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_rels/drawing1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Bank Schedule" sheetId="1" state="visible" r:id="rId3"/>
    <sheet name="Voids Tab" sheetId="2" state="visible" r:id="rId4"/>
    <sheet name="Tenant Trade" sheetId="3" state="visible" r:id="rId5"/>
    <sheet name="Lease Events " sheetId="4" state="visible" r:id="rId6"/>
    <sheet name="Calculations " sheetId="5" state="visible" r:id="rId7"/>
    <sheet name="Units" sheetId="6" state="visible" r:id="rId8"/>
    <sheet name="Buildings" sheetId="7" state="visible" r:id="rId9"/>
  </sheets>
  <definedNames>
    <definedName function="false" hidden="false" localSheetId="0" name="_xlnm.Print_Area" vbProcedure="false">'Bank Schedule'!$C$3:$AD$815</definedName>
    <definedName function="false" hidden="false" localSheetId="0" name="_xlnm.Print_Titles" vbProcedure="false">'Bank Schedule'!$1:$3</definedName>
    <definedName function="false" hidden="true" localSheetId="6" name="_xlnm._FilterDatabase" vbProcedure="false">Buildings!$A$1:$F$1</definedName>
    <definedName function="false" hidden="true" localSheetId="2" name="_xlnm._FilterDatabase" vbProcedure="false">'Tenant Trade'!$A$1:$B$1</definedName>
    <definedName function="false" hidden="true" localSheetId="5" name="_xlnm._FilterDatabase" vbProcedure="false">Units!$A$1:$AJ$427</definedName>
    <definedName function="false" hidden="true" localSheetId="1" name="_xlnm._FilterDatabase" vbProcedure="false">'Voids Tab'!$A$3:$AE$197</definedName>
  </definedName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<sst xmlns="http://schemas.openxmlformats.org/spreadsheetml/2006/main" count="9627" uniqueCount="1110">
  <si>
    <t xml:space="preserve">Hide</t>
  </si>
  <si>
    <t xml:space="preserve">Surveyor</t>
  </si>
  <si>
    <t xml:space="preserve">Client</t>
  </si>
  <si>
    <t xml:space="preserve">Property Number</t>
  </si>
  <si>
    <t xml:space="preserve">Property</t>
  </si>
  <si>
    <t xml:space="preserve">Unit Demise</t>
  </si>
  <si>
    <t xml:space="preserve">Unit Type</t>
  </si>
  <si>
    <t xml:space="preserve">Net Area</t>
  </si>
  <si>
    <t xml:space="preserve">.</t>
  </si>
  <si>
    <t xml:space="preserve">Agency Area group</t>
  </si>
  <si>
    <t xml:space="preserve">Tenant Name</t>
  </si>
  <si>
    <t xml:space="preserve">Start            Date</t>
  </si>
  <si>
    <t xml:space="preserve">Expiry   Date</t>
  </si>
  <si>
    <t xml:space="preserve">Vacant Since?</t>
  </si>
  <si>
    <t xml:space="preserve">RRs</t>
  </si>
  <si>
    <t xml:space="preserve">Break Date </t>
  </si>
  <si>
    <t xml:space="preserve">Rent PA (£) </t>
  </si>
  <si>
    <t xml:space="preserve">check 1</t>
  </si>
  <si>
    <t xml:space="preserve">check 2</t>
  </si>
  <si>
    <t xml:space="preserve">  2023 ERV (£)</t>
  </si>
  <si>
    <t xml:space="preserve">check 3</t>
  </si>
  <si>
    <t xml:space="preserve">  2024 ERV (£)</t>
  </si>
  <si>
    <t xml:space="preserve">check 4</t>
  </si>
  <si>
    <t xml:space="preserve">ERV 2024 £.Sq.ft</t>
  </si>
  <si>
    <t xml:space="preserve">ERV Variation</t>
  </si>
  <si>
    <t xml:space="preserve">EPC</t>
  </si>
  <si>
    <t xml:space="preserve">*</t>
  </si>
  <si>
    <t xml:space="preserve">2024 Cap Valn. (£)    </t>
  </si>
  <si>
    <t xml:space="preserve">1954 Act Protected</t>
  </si>
  <si>
    <t xml:space="preserve">Remarks</t>
  </si>
  <si>
    <t xml:space="preserve">Agency Quoting Rent £.sq.ft</t>
  </si>
  <si>
    <t xml:space="preserve">Monthly Viewings</t>
  </si>
  <si>
    <t xml:space="preserve">Total Viewings</t>
  </si>
  <si>
    <t xml:space="preserve">Marketing Agent</t>
  </si>
  <si>
    <t xml:space="preserve">NEW COLUMN</t>
  </si>
  <si>
    <t xml:space="preserve">other column</t>
  </si>
  <si>
    <t xml:space="preserve">5-6 Bywell Place</t>
  </si>
  <si>
    <t xml:space="preserve">JM</t>
  </si>
  <si>
    <t xml:space="preserve">MEL</t>
  </si>
  <si>
    <t xml:space="preserve">Whole Building</t>
  </si>
  <si>
    <t xml:space="preserve">Office</t>
  </si>
  <si>
    <t xml:space="preserve">111 Skin Limited</t>
  </si>
  <si>
    <t xml:space="preserve">C</t>
  </si>
  <si>
    <t xml:space="preserve">No</t>
  </si>
  <si>
    <t xml:space="preserve">Tenant break on 6 months notice. Break penalty of £28,875 if exercised.</t>
  </si>
  <si>
    <t xml:space="preserve">5/6 Bywell Place</t>
  </si>
  <si>
    <t xml:space="preserve">22 and 23-25 Eastcastle Street</t>
  </si>
  <si>
    <t xml:space="preserve">SH</t>
  </si>
  <si>
    <t xml:space="preserve">Lower Ground &amp; Ground (22)</t>
  </si>
  <si>
    <t xml:space="preserve">Retail</t>
  </si>
  <si>
    <t xml:space="preserve">Top Bridal Ltd</t>
  </si>
  <si>
    <t xml:space="preserve">Stepped rent increasing to £130,000 wef 20/03/27. Tenant break on 6 months notice.</t>
  </si>
  <si>
    <t xml:space="preserve">Lower Ground &amp; Ground (23-25)</t>
  </si>
  <si>
    <t xml:space="preserve">Gallery</t>
  </si>
  <si>
    <t xml:space="preserve">Sisters Grimm Ltd</t>
  </si>
  <si>
    <t xml:space="preserve">B</t>
  </si>
  <si>
    <t xml:space="preserve">Tenant break on 6 months notice. 1 month rent free from 24/02/28 if break not excerised.</t>
  </si>
  <si>
    <t xml:space="preserve">LEM</t>
  </si>
  <si>
    <t xml:space="preserve">First Floor (22)</t>
  </si>
  <si>
    <t xml:space="preserve">Peter Alexander UK Ltd</t>
  </si>
  <si>
    <t xml:space="preserve">D</t>
  </si>
  <si>
    <t xml:space="preserve">Tenant break on 3 months notice. Additional 3 months rent free if not exercised.</t>
  </si>
  <si>
    <t xml:space="preserve">First Floor (23-25)</t>
  </si>
  <si>
    <t xml:space="preserve">Cord Technologies Ltd</t>
  </si>
  <si>
    <t xml:space="preserve">Tenant break passed.</t>
  </si>
  <si>
    <t xml:space="preserve">Second Floor (22)</t>
  </si>
  <si>
    <t xml:space="preserve">Second Floor (23-25)</t>
  </si>
  <si>
    <t xml:space="preserve">Vacant</t>
  </si>
  <si>
    <t xml:space="preserve">LEM marketing.</t>
  </si>
  <si>
    <t xml:space="preserve">Third Floor (22)</t>
  </si>
  <si>
    <t xml:space="preserve">Third Floor (23-25)</t>
  </si>
  <si>
    <t xml:space="preserve">Fourth Floor (22)</t>
  </si>
  <si>
    <t xml:space="preserve">Element Pictures UK Ltd.</t>
  </si>
  <si>
    <t xml:space="preserve">Fourth Floor (23-25)</t>
  </si>
  <si>
    <t xml:space="preserve">Encore Search (Newburgh Street) Ltd.</t>
  </si>
  <si>
    <t xml:space="preserve">Tenant break on 6 months notice. 3 months rent free if not exercised.</t>
  </si>
  <si>
    <t xml:space="preserve">Fifth Floor (23-25)</t>
  </si>
  <si>
    <t xml:space="preserve">Tenant break on 6 months notice.</t>
  </si>
  <si>
    <t xml:space="preserve">Sixth Floor (23-25)</t>
  </si>
  <si>
    <t xml:space="preserve">Garage</t>
  </si>
  <si>
    <t xml:space="preserve">Parking</t>
  </si>
  <si>
    <t xml:space="preserve">Vacant / Landlord</t>
  </si>
  <si>
    <t xml:space="preserve">N/A</t>
  </si>
  <si>
    <t xml:space="preserve">22, 23 &amp; 25 Eastcastle St</t>
  </si>
  <si>
    <t xml:space="preserve">26 Eastcastle Street</t>
  </si>
  <si>
    <t xml:space="preserve">Lower Ground &amp; Ground</t>
  </si>
  <si>
    <t xml:space="preserve">Showroom/ Offices</t>
  </si>
  <si>
    <t xml:space="preserve">Hela Brands Ltd</t>
  </si>
  <si>
    <t xml:space="preserve">Tenant rolling break from 22/12/25 on 4 months notice.</t>
  </si>
  <si>
    <t xml:space="preserve">First Floor</t>
  </si>
  <si>
    <t xml:space="preserve">Offices</t>
  </si>
  <si>
    <t xml:space="preserve">Alternative Real Estate Advisors Ltd</t>
  </si>
  <si>
    <t xml:space="preserve">Rent increases to £98,000 wef 27/06/27. Tenant break on 6 months notice.</t>
  </si>
  <si>
    <t xml:space="preserve">Second Floor</t>
  </si>
  <si>
    <t xml:space="preserve">Third Floor</t>
  </si>
  <si>
    <t xml:space="preserve">Mr. A. Park</t>
  </si>
  <si>
    <t xml:space="preserve">27 - 28 Eastcastle Street</t>
  </si>
  <si>
    <t xml:space="preserve">Showroom / Offices</t>
  </si>
  <si>
    <t xml:space="preserve">The London Hair Clinic Ltd</t>
  </si>
  <si>
    <t xml:space="preserve">Feldberg Capital UK Limited</t>
  </si>
  <si>
    <t xml:space="preserve">All inclusive including rates and furniture.</t>
  </si>
  <si>
    <t xml:space="preserve">MSP Secretaries Ltd.</t>
  </si>
  <si>
    <t xml:space="preserve">Principle Estate Management LLP</t>
  </si>
  <si>
    <t xml:space="preserve">Tenant break on 6 months notice. 2 months rent free if break not exercised.</t>
  </si>
  <si>
    <t xml:space="preserve">27/28 Eastcastle Street</t>
  </si>
  <si>
    <t xml:space="preserve">10 Great Castle Street</t>
  </si>
  <si>
    <t xml:space="preserve">WS</t>
  </si>
  <si>
    <t xml:space="preserve">Basmt. Ground  - 1 to 4 Floors</t>
  </si>
  <si>
    <t xml:space="preserve">Guaranty Trust Bank (UK) Ltd</t>
  </si>
  <si>
    <t xml:space="preserve">Fixed increase to £950,000 wef 29/07/26. 5 yearly rent reviews. Tenant break on 9 months notice. Rent reduces by 20% for 12 months if break not activated. </t>
  </si>
  <si>
    <t xml:space="preserve">8-11 Great Castle Street</t>
  </si>
  <si>
    <t xml:space="preserve">Windsor House, 40-41 Great Castle Street</t>
  </si>
  <si>
    <t xml:space="preserve">Basement &amp; Ground Floor</t>
  </si>
  <si>
    <t xml:space="preserve">Retail/Café</t>
  </si>
  <si>
    <t xml:space="preserve">LEM Marketing.</t>
  </si>
  <si>
    <t xml:space="preserve">JRDL UK Ltd.</t>
  </si>
  <si>
    <t xml:space="preserve">Jamieson Stone Services Ltd.</t>
  </si>
  <si>
    <t xml:space="preserve">Arav Fashion UK Ltd.</t>
  </si>
  <si>
    <t xml:space="preserve">Fourth Floor</t>
  </si>
  <si>
    <t xml:space="preserve">To be refurbished.</t>
  </si>
  <si>
    <t xml:space="preserve">Roof</t>
  </si>
  <si>
    <t xml:space="preserve">Air Con Units</t>
  </si>
  <si>
    <t xml:space="preserve">40/41 Great Castle Street</t>
  </si>
  <si>
    <t xml:space="preserve">Portland House, 4 Great Portland Street</t>
  </si>
  <si>
    <t xml:space="preserve">Basement (West)</t>
  </si>
  <si>
    <t xml:space="preserve">Restaurant/Bar</t>
  </si>
  <si>
    <t xml:space="preserve">The London Cocktail Club Ltd</t>
  </si>
  <si>
    <t xml:space="preserve">E</t>
  </si>
  <si>
    <t xml:space="preserve">5 year reversionary lease completed from 02/07/28 with day one rent review. Rent review to be documented at passing rent.</t>
  </si>
  <si>
    <t xml:space="preserve">Ground Floor</t>
  </si>
  <si>
    <t xml:space="preserve">Retail/Cafe</t>
  </si>
  <si>
    <t xml:space="preserve">Costa Ltd</t>
  </si>
  <si>
    <t xml:space="preserve">Mutual break on 6 months notice.</t>
  </si>
  <si>
    <t xml:space="preserve">Ground Floor &amp; Basement (East) &amp; Basement Vaults</t>
  </si>
  <si>
    <t xml:space="preserve">Restaurant</t>
  </si>
  <si>
    <t xml:space="preserve">Futuremaxx Ltd</t>
  </si>
  <si>
    <t xml:space="preserve">Stepped rent. £300,000 wef 02/10/25, £305,000 wef 02/10/26, £310,000 wef 02/10/27 and £320,000 wef 02/10/28. Min rent on review £330,000. Landlord redevelopment break option on 01/07/33 on 6 months notice.</t>
  </si>
  <si>
    <t xml:space="preserve">First Floor (West)</t>
  </si>
  <si>
    <t xml:space="preserve">Time &amp; Tide Holdings (UK) Ltd</t>
  </si>
  <si>
    <t xml:space="preserve">Rent increases to £121,400 wef 14/08/25</t>
  </si>
  <si>
    <t xml:space="preserve">First Floor (East)</t>
  </si>
  <si>
    <t xml:space="preserve">L52 Communications Ltd</t>
  </si>
  <si>
    <t xml:space="preserve">Tenant break on 6 months notice. 1 month rent free from 02/04/27 if not exercised.</t>
  </si>
  <si>
    <t xml:space="preserve">Second Floor (East)</t>
  </si>
  <si>
    <t xml:space="preserve">Tekcor4 Limited</t>
  </si>
  <si>
    <t xml:space="preserve">Second Floor (West)</t>
  </si>
  <si>
    <t xml:space="preserve">LEM/LDG</t>
  </si>
  <si>
    <t xml:space="preserve">Third Floor (West)</t>
  </si>
  <si>
    <t xml:space="preserve">J&amp;M Davidson Limited.</t>
  </si>
  <si>
    <t xml:space="preserve">Third Floor (East) </t>
  </si>
  <si>
    <t xml:space="preserve">Media Campaign Limited</t>
  </si>
  <si>
    <t xml:space="preserve">Tenant break on 6 months notice. 2 months rent free @ 15/07/27 if not exercised.</t>
  </si>
  <si>
    <t xml:space="preserve">Fourth Floor (West)</t>
  </si>
  <si>
    <t xml:space="preserve">Racoon Media Services Limited</t>
  </si>
  <si>
    <t xml:space="preserve">Tenant break on 6 months notice. Rent PA corrected.</t>
  </si>
  <si>
    <t xml:space="preserve">Fourth Floor (East)</t>
  </si>
  <si>
    <t xml:space="preserve">Fifth Floor (East)</t>
  </si>
  <si>
    <t xml:space="preserve">Greek National Tourism Organisation.</t>
  </si>
  <si>
    <t xml:space="preserve">Fifth Floor (West)</t>
  </si>
  <si>
    <t xml:space="preserve">Rios Designs Ltd</t>
  </si>
  <si>
    <t xml:space="preserve">Rent increases to £108,680 wef 26/11/25. Tenant break on 6 months notice.</t>
  </si>
  <si>
    <t xml:space="preserve">Sixth Floor (West)</t>
  </si>
  <si>
    <t xml:space="preserve">Directors Cut Films West Limited</t>
  </si>
  <si>
    <t xml:space="preserve">Sixth Floor (East)</t>
  </si>
  <si>
    <t xml:space="preserve">Cupboards 2nd, 4th, 5th &amp; 6th Floors</t>
  </si>
  <si>
    <t xml:space="preserve">Storage</t>
  </si>
  <si>
    <t xml:space="preserve">To be converted into extra toilet facilities.</t>
  </si>
  <si>
    <t xml:space="preserve">Transformer Chamber</t>
  </si>
  <si>
    <t xml:space="preserve">Sub-Station</t>
  </si>
  <si>
    <t xml:space="preserve">London Power Networks Plc</t>
  </si>
  <si>
    <t xml:space="preserve">Yes</t>
  </si>
  <si>
    <t xml:space="preserve">Rolling redevelopment break on 6 months notice.</t>
  </si>
  <si>
    <t xml:space="preserve">4 Great Portland Street</t>
  </si>
  <si>
    <t xml:space="preserve">6-10a Great Portland Street</t>
  </si>
  <si>
    <t xml:space="preserve">Basement &amp; Ground</t>
  </si>
  <si>
    <t xml:space="preserve">PrettyLittleThing.com</t>
  </si>
  <si>
    <t xml:space="preserve">Rent increasing to £375,000 wef 11/09/25. Tenant break on 6 months notice. 3 months rent free if not exercised.</t>
  </si>
  <si>
    <t xml:space="preserve">LEM / Colliers</t>
  </si>
  <si>
    <t xml:space="preserve">First  Floor</t>
  </si>
  <si>
    <t xml:space="preserve">The Yuki Clinic Ltd.</t>
  </si>
  <si>
    <t xml:space="preserve">Fifth Floor</t>
  </si>
  <si>
    <t xml:space="preserve">Basement</t>
  </si>
  <si>
    <t xml:space="preserve">Landlords redevelopment break on 6 months notice. Rent review is RPI indexation (every 2 years. Rent review completed. Backdated rent increased £737 wef 01/08/21 &amp; £903 wef 01/08/23.</t>
  </si>
  <si>
    <t xml:space="preserve">6/10a Great Portland Street</t>
  </si>
  <si>
    <t xml:space="preserve">15-17 Great Portland Street &amp; 6-7 Great Castle Street</t>
  </si>
  <si>
    <t xml:space="preserve">Office/Bank</t>
  </si>
  <si>
    <t xml:space="preserve">Barclays Bank UK Plc</t>
  </si>
  <si>
    <t xml:space="preserve">15/17 Great Portland Street</t>
  </si>
  <si>
    <t xml:space="preserve">19-21 Great Portland Street</t>
  </si>
  <si>
    <t xml:space="preserve">CD</t>
  </si>
  <si>
    <t xml:space="preserve">19-21 Great Portland Street .</t>
  </si>
  <si>
    <t xml:space="preserve">Basement, Ground &amp; First Floors</t>
  </si>
  <si>
    <t xml:space="preserve">Restaurant </t>
  </si>
  <si>
    <t xml:space="preserve">UK VAP GPS</t>
  </si>
  <si>
    <t xml:space="preserve">Rent increasing to £650,000 wef 25/03/26. Mutual break @ 16/06/32 on 6 months notice.</t>
  </si>
  <si>
    <t xml:space="preserve">Second Floor.</t>
  </si>
  <si>
    <t xml:space="preserve">LEM / Savills</t>
  </si>
  <si>
    <t xml:space="preserve">Factory Studios Limited.</t>
  </si>
  <si>
    <t xml:space="preserve">Tenant break subject to 6 months notice.</t>
  </si>
  <si>
    <t xml:space="preserve">19/21 Great Portland Street</t>
  </si>
  <si>
    <t xml:space="preserve">20 Great Portland Street</t>
  </si>
  <si>
    <t xml:space="preserve">Studio</t>
  </si>
  <si>
    <t xml:space="preserve">Ground Floor Rear</t>
  </si>
  <si>
    <t xml:space="preserve">Express Alteration and Tailoring Ltd</t>
  </si>
  <si>
    <t xml:space="preserve">LEM / RIB</t>
  </si>
  <si>
    <t xml:space="preserve">Ground Floor Front </t>
  </si>
  <si>
    <t xml:space="preserve">Explore Global Limited</t>
  </si>
  <si>
    <t xml:space="preserve">First Floor Front</t>
  </si>
  <si>
    <t xml:space="preserve">Des Baines Ltd</t>
  </si>
  <si>
    <t xml:space="preserve">First Floor Rear</t>
  </si>
  <si>
    <t xml:space="preserve">Face2Face Counselling Services Ltd</t>
  </si>
  <si>
    <t xml:space="preserve">Tenant break on 6 months notice. 5yr reversionary lease completed. Tenant change of name to One Therapy Ltd on new lease.</t>
  </si>
  <si>
    <t xml:space="preserve">Second Floor Front</t>
  </si>
  <si>
    <t xml:space="preserve">The Campbell Napier Practice Ltd</t>
  </si>
  <si>
    <t xml:space="preserve">Reversionary lease completed. Lease expiring 29/09/26 @ same rent.</t>
  </si>
  <si>
    <t xml:space="preserve">Second Floor Rear</t>
  </si>
  <si>
    <t xml:space="preserve">PsychotherapyUK Training Ltd.</t>
  </si>
  <si>
    <t xml:space="preserve">Tenant break on 6 months notice. 5yr reversionary lease completed. </t>
  </si>
  <si>
    <t xml:space="preserve">Third Floor Front</t>
  </si>
  <si>
    <t xml:space="preserve">Rent rises to £26,325 wef 29/09/26. Tenant break on 6 months notice.</t>
  </si>
  <si>
    <t xml:space="preserve">Third Floor Rear</t>
  </si>
  <si>
    <t xml:space="preserve">One Therapy Ltd.</t>
  </si>
  <si>
    <t xml:space="preserve">Tenant break on 6 months notice. 5yr reversionary lease completed.</t>
  </si>
  <si>
    <t xml:space="preserve">Rent rises to £23,985 wef 29/09/26. Tenant break on 6 months notice.</t>
  </si>
  <si>
    <t xml:space="preserve">Highlight House, 22-24 Great Portland Street</t>
  </si>
  <si>
    <t xml:space="preserve">Mamaye UK Limited.</t>
  </si>
  <si>
    <t xml:space="preserve">Rent rises to £237,500 wef 15/03/26.</t>
  </si>
  <si>
    <t xml:space="preserve"> Office</t>
  </si>
  <si>
    <t xml:space="preserve">Mothballed.</t>
  </si>
  <si>
    <t xml:space="preserve">22/24 Great Portland Street</t>
  </si>
  <si>
    <t xml:space="preserve">23-25 Great Portland Street &amp; 54-55 Margaret Street</t>
  </si>
  <si>
    <t xml:space="preserve">Shop/Cafe</t>
  </si>
  <si>
    <t xml:space="preserve">Florian James Limited</t>
  </si>
  <si>
    <t xml:space="preserve">First to Fourth Floors</t>
  </si>
  <si>
    <t xml:space="preserve">23/25 Great Portland Street</t>
  </si>
  <si>
    <t xml:space="preserve">39 Great Portland Street</t>
  </si>
  <si>
    <t xml:space="preserve">CM</t>
  </si>
  <si>
    <t xml:space="preserve">Showroom</t>
  </si>
  <si>
    <t xml:space="preserve">Fads Boutique Limited</t>
  </si>
  <si>
    <t xml:space="preserve">Studio Boum Limited.</t>
  </si>
  <si>
    <t xml:space="preserve">David Walker Architects Ltd.</t>
  </si>
  <si>
    <t xml:space="preserve">Fourth &amp; Fifth Floors</t>
  </si>
  <si>
    <t xml:space="preserve">Residential</t>
  </si>
  <si>
    <t xml:space="preserve">T. Ciss, E. Moser</t>
  </si>
  <si>
    <t xml:space="preserve">Lease renewal agreed.</t>
  </si>
  <si>
    <t xml:space="preserve">Mayfair House</t>
  </si>
  <si>
    <t xml:space="preserve">41 Great Portland Street</t>
  </si>
  <si>
    <t xml:space="preserve">Basement to Fourth</t>
  </si>
  <si>
    <t xml:space="preserve">S.Hardwick &amp; L.Morris (t/a Hardwick &amp; Morris Chartered Accountants)</t>
  </si>
  <si>
    <t xml:space="preserve">42-48 Great Portland Street</t>
  </si>
  <si>
    <t xml:space="preserve">Basement &amp; Ground Floor </t>
  </si>
  <si>
    <t xml:space="preserve">Shop</t>
  </si>
  <si>
    <t xml:space="preserve">GP Acoustics (UK) Limited</t>
  </si>
  <si>
    <t xml:space="preserve">45-49 Great Portland Street</t>
  </si>
  <si>
    <t xml:space="preserve">Ground Floor &amp; Basement (North)</t>
  </si>
  <si>
    <t xml:space="preserve">Straight Forward Retail Ltd.</t>
  </si>
  <si>
    <t xml:space="preserve">Rent increasing to £73,000 @ 28/11/27, £77,500 @ 28/11/30. Landlord break 27/11/27 on 6 months notice.</t>
  </si>
  <si>
    <t xml:space="preserve">Ground Floor &amp; Basement (South</t>
  </si>
  <si>
    <t xml:space="preserve">A1/D1</t>
  </si>
  <si>
    <t xml:space="preserve">Reviv Global Ltd</t>
  </si>
  <si>
    <t xml:space="preserve">First, Second &amp; Third Floors</t>
  </si>
  <si>
    <t xml:space="preserve">DMR Film Ventures (Facilities) Ltd.</t>
  </si>
  <si>
    <t xml:space="preserve">Tenant break on 6 months notice. 6 months rent free if not exercised.</t>
  </si>
  <si>
    <t xml:space="preserve">50 Great Portland Street</t>
  </si>
  <si>
    <t xml:space="preserve">Ground Floor &amp; Basement</t>
  </si>
  <si>
    <t xml:space="preserve">Beautify LDN Ltd.</t>
  </si>
  <si>
    <t xml:space="preserve">Mutual break 28/02/29 on 6 months notice. 3 months rent free if break not exercised.</t>
  </si>
  <si>
    <t xml:space="preserve">Fresh Film Productions Ltd.</t>
  </si>
  <si>
    <t xml:space="preserve">Therapy Central LLP</t>
  </si>
  <si>
    <t xml:space="preserve">Tenant break on 4 months notice.</t>
  </si>
  <si>
    <t xml:space="preserve">James Boatman</t>
  </si>
  <si>
    <t xml:space="preserve">OpenStudio Architects Ltd.</t>
  </si>
  <si>
    <t xml:space="preserve">Lease renewal terms agreed.</t>
  </si>
  <si>
    <t xml:space="preserve">51 Great Portland Street</t>
  </si>
  <si>
    <t xml:space="preserve">Bernardo Vasconcelos Ltd</t>
  </si>
  <si>
    <t xml:space="preserve">Learn Lab Language School Ltd</t>
  </si>
  <si>
    <t xml:space="preserve">Rent all inclusive (excl rates).</t>
  </si>
  <si>
    <t xml:space="preserve">53 Great Portland Street</t>
  </si>
  <si>
    <t xml:space="preserve">Café</t>
  </si>
  <si>
    <t xml:space="preserve">O-Chaa Thai Ltd.</t>
  </si>
  <si>
    <t xml:space="preserve">Lease renewal terms being discussed.</t>
  </si>
  <si>
    <t xml:space="preserve">Kiosk</t>
  </si>
  <si>
    <t xml:space="preserve">J C Patel</t>
  </si>
  <si>
    <t xml:space="preserve">All Inclusive. Lease renewal being discussed.</t>
  </si>
  <si>
    <t xml:space="preserve">76 Great Portland Street</t>
  </si>
  <si>
    <t xml:space="preserve">Basement &amp; Ground Floor (Front)</t>
  </si>
  <si>
    <t xml:space="preserve">Tenant break on 6 months notice. </t>
  </si>
  <si>
    <t xml:space="preserve">Basement &amp; Ground Floor (Rear)</t>
  </si>
  <si>
    <t xml:space="preserve">First to Fourth Floor</t>
  </si>
  <si>
    <t xml:space="preserve">1 Great Titchfield Street</t>
  </si>
  <si>
    <t xml:space="preserve">Basement to Third Floor</t>
  </si>
  <si>
    <t xml:space="preserve">Shop/Snack Bar</t>
  </si>
  <si>
    <t xml:space="preserve">Tikkas Group Ltd</t>
  </si>
  <si>
    <t xml:space="preserve">Rent £90,000 wef 01/09/25. Tenant break on 6 months notice. 2 months rent free if break not exercised.</t>
  </si>
  <si>
    <t xml:space="preserve">3 Great Titchfield Street</t>
  </si>
  <si>
    <t xml:space="preserve">Pho Trading Ltd.</t>
  </si>
  <si>
    <t xml:space="preserve">Rent review not activated due to level of passing rent.</t>
  </si>
  <si>
    <t xml:space="preserve">First to Third Floor </t>
  </si>
  <si>
    <t xml:space="preserve">Flat</t>
  </si>
  <si>
    <t xml:space="preserve">Hewson Independent Trading Company Ltd</t>
  </si>
  <si>
    <t xml:space="preserve">Great Titchfield House,  14-18 Great Titchfield Street</t>
  </si>
  <si>
    <t xml:space="preserve">Ground Floor &amp; Basement (South)</t>
  </si>
  <si>
    <t xml:space="preserve">Sound Disposition Limited</t>
  </si>
  <si>
    <t xml:space="preserve">Tenant break on 6 months notice. 5 months rent free if not exercised (spread over 12 months).</t>
  </si>
  <si>
    <t xml:space="preserve">Godske Group A/S</t>
  </si>
  <si>
    <t xml:space="preserve">Recording Studio /Office</t>
  </si>
  <si>
    <t xml:space="preserve">Tenancy at will.</t>
  </si>
  <si>
    <t xml:space="preserve">Infront Sports &amp; Media UK Ltd</t>
  </si>
  <si>
    <t xml:space="preserve">Tenanct vacating on expiry.</t>
  </si>
  <si>
    <t xml:space="preserve">Showroom/ Office</t>
  </si>
  <si>
    <t xml:space="preserve">Sam Rogoff &amp; Co Ltd</t>
  </si>
  <si>
    <t xml:space="preserve">Rent PA corrected</t>
  </si>
  <si>
    <t xml:space="preserve">Recording Studio/ Office</t>
  </si>
  <si>
    <t xml:space="preserve">Sine Audio Post Production Ltd</t>
  </si>
  <si>
    <t xml:space="preserve">Tenant break on 6 months notice. Rent concession to be granted to reflect cost of tenant installing air-con.</t>
  </si>
  <si>
    <t xml:space="preserve">14/18 Great Titchfield Street</t>
  </si>
  <si>
    <t xml:space="preserve">Golderbrock House,  15-19 Great Titchfield Street</t>
  </si>
  <si>
    <t xml:space="preserve">Ground &amp; Basement (South)</t>
  </si>
  <si>
    <t xml:space="preserve">Dal Fiorentino Ltd</t>
  </si>
  <si>
    <t xml:space="preserve">Rent increasing to £65,000 wef 31/07/25. Tenant break on 6 months notice. Tenant name corrected.</t>
  </si>
  <si>
    <t xml:space="preserve">Basement (Rear)</t>
  </si>
  <si>
    <t xml:space="preserve">Recording Studio</t>
  </si>
  <si>
    <t xml:space="preserve">Soho Sonic Ltd.</t>
  </si>
  <si>
    <t xml:space="preserve">Ground &amp; Basement (North)</t>
  </si>
  <si>
    <t xml:space="preserve">Gillian Jason Modern &amp; Contemporary Art Ltd</t>
  </si>
  <si>
    <t xml:space="preserve">Ground Floor (Rear) </t>
  </si>
  <si>
    <t xml:space="preserve">Arlettie London Ltd.</t>
  </si>
  <si>
    <t xml:space="preserve">All inclusive excluding rates.</t>
  </si>
  <si>
    <t xml:space="preserve">First Floor (Front)</t>
  </si>
  <si>
    <t xml:space="preserve">Space Workplace Ltd</t>
  </si>
  <si>
    <t xml:space="preserve">Rent increases to £80,400 wef 28/11/25. Tenant break on 6 months notice.</t>
  </si>
  <si>
    <t xml:space="preserve">First Floor (Rear)</t>
  </si>
  <si>
    <t xml:space="preserve">Final Cut Ltd.</t>
  </si>
  <si>
    <t xml:space="preserve">Tenant break on 6 months notice. Tenant break exercised. Lease to end on 30/09/25 if conditions met.</t>
  </si>
  <si>
    <t xml:space="preserve">Autonomous UK Operations Ltd</t>
  </si>
  <si>
    <t xml:space="preserve">15/19 Great Titchfield Street</t>
  </si>
  <si>
    <t xml:space="preserve">Circus House,  21 Great Titchfield Street</t>
  </si>
  <si>
    <t xml:space="preserve">Basement &amp; Ground (East)</t>
  </si>
  <si>
    <t xml:space="preserve">The Graphical Tree Ltd</t>
  </si>
  <si>
    <t xml:space="preserve">Tenant break on 6 months notice. Rent free 01/06/26 to 31/08/26 if not exercised. Landlord rolling break from 07/10/25.</t>
  </si>
  <si>
    <t xml:space="preserve">Ground Floor (West)</t>
  </si>
  <si>
    <t xml:space="preserve">Dawbell Limited</t>
  </si>
  <si>
    <t xml:space="preserve">Rent reducing to £134,064 wef 05/10/25. Tenant break on 6 months notice.</t>
  </si>
  <si>
    <t xml:space="preserve">Second &amp; Third Floors</t>
  </si>
  <si>
    <t xml:space="preserve">Mesmerise Global Limited</t>
  </si>
  <si>
    <t xml:space="preserve">Tenant break on 6 months notice. 3 months rent free if not exercised. Break notice served. Ongoing discussions regarding renewal of one floor.</t>
  </si>
  <si>
    <t xml:space="preserve">Marstead Living Limited</t>
  </si>
  <si>
    <t xml:space="preserve">NSL Limited</t>
  </si>
  <si>
    <t xml:space="preserve">Ongoing legal action withdrawn. Rent stop removed. Tenant repaid all arrears.</t>
  </si>
  <si>
    <t xml:space="preserve">21 Great Titchfield Street</t>
  </si>
  <si>
    <t xml:space="preserve">Moray House, 23-35 Great Titchfield Street &amp; 63-65 Mortimer Street</t>
  </si>
  <si>
    <t xml:space="preserve">Part Lower Ground</t>
  </si>
  <si>
    <t xml:space="preserve">Gym / D1</t>
  </si>
  <si>
    <t xml:space="preserve">Rehabilitation &amp; Athletics Performance UK Ltd.</t>
  </si>
  <si>
    <t xml:space="preserve">Fixed increases 01/05/26 wef  £85,000, 01/05/27 wef £90,000 and 01/05/28 wef £95,000.</t>
  </si>
  <si>
    <t xml:space="preserve">Unit A &amp; B. Ground Floor</t>
  </si>
  <si>
    <t xml:space="preserve">Shop/Showroom</t>
  </si>
  <si>
    <t xml:space="preserve">Medialab Group Ltd.</t>
  </si>
  <si>
    <t xml:space="preserve">Unit C. Ground Floor &amp; Basement</t>
  </si>
  <si>
    <t xml:space="preserve">Office/ Showroom</t>
  </si>
  <si>
    <t xml:space="preserve">H Illume Ltd (t/a LAPO)</t>
  </si>
  <si>
    <t xml:space="preserve">Rent increasing to £118,000 wef 30/04/26.</t>
  </si>
  <si>
    <t xml:space="preserve">Unit D &amp; E. Ground Floor &amp; Part Basement</t>
  </si>
  <si>
    <t xml:space="preserve">CSS F45 UK Ltd</t>
  </si>
  <si>
    <t xml:space="preserve">Suite 1.1 First Floor</t>
  </si>
  <si>
    <t xml:space="preserve">Suites 2 &amp; 3 First Floor  </t>
  </si>
  <si>
    <t xml:space="preserve">Showroom/Office</t>
  </si>
  <si>
    <t xml:space="preserve">Wacoal Emea Ltd.</t>
  </si>
  <si>
    <t xml:space="preserve">Tenant vacating on expiry. Renewal discussions ended.</t>
  </si>
  <si>
    <t xml:space="preserve">Suite 4 First Floor</t>
  </si>
  <si>
    <t xml:space="preserve">Oldie Publications Ltd</t>
  </si>
  <si>
    <t xml:space="preserve">Suites 1, 2, 3 &amp; 4, Second Floor</t>
  </si>
  <si>
    <t xml:space="preserve">InPost UK Limited</t>
  </si>
  <si>
    <t xml:space="preserve">Rent £231,000 wef 30/07/25. Tenant break on 6 months notice. 1 month rent free wef 22/01/27 if break not exercised.</t>
  </si>
  <si>
    <t xml:space="preserve">Suite 5, Second Floor</t>
  </si>
  <si>
    <t xml:space="preserve">Carbonaires Ltd</t>
  </si>
  <si>
    <t xml:space="preserve">Tenant break on 6 months notice. Rent free @ 07/07/25 to 20/09/25 if not exercised.</t>
  </si>
  <si>
    <t xml:space="preserve">Knotel Moray House Ltd.</t>
  </si>
  <si>
    <t xml:space="preserve">Landlords redevelopment break @ 04/10/26 on 9 months notice.</t>
  </si>
  <si>
    <t xml:space="preserve">Suite 1, 2 &amp; 3  Fourth Floor</t>
  </si>
  <si>
    <t xml:space="preserve">Tenant breaks @ 26/01/26 &amp; 21/01/27 on 3 months notice. One month rent free if not exercised.</t>
  </si>
  <si>
    <t xml:space="preserve">ACP Ltd &amp; ACM Ltd </t>
  </si>
  <si>
    <t xml:space="preserve">Tenant break on 6 months notice. Rent free @ 09/06/26 to 23/09/26 if not exercised.</t>
  </si>
  <si>
    <t xml:space="preserve">Suites 1 &amp; 2 , Sixth Floor</t>
  </si>
  <si>
    <t xml:space="preserve">Katch Investment Management Ltd</t>
  </si>
  <si>
    <t xml:space="preserve">Tenant break on 6 months notice. Rent reduces to £66,625 for 2 months if not exercised.</t>
  </si>
  <si>
    <t xml:space="preserve">Sixth Floor</t>
  </si>
  <si>
    <t xml:space="preserve">Mr M Versteegh &amp; Mr W Antell</t>
  </si>
  <si>
    <t xml:space="preserve">Moray House</t>
  </si>
  <si>
    <t xml:space="preserve">56 Great Titchfield Street</t>
  </si>
  <si>
    <t xml:space="preserve">Morplan Ltd.</t>
  </si>
  <si>
    <t xml:space="preserve">Tenant holding over. S25 served terminating tenancy @ 12/10/24. Lease renewal agreed. Awaiting completion. Lease extension agreed to 31/03/25</t>
  </si>
  <si>
    <t xml:space="preserve">58 Great Titchfield Street</t>
  </si>
  <si>
    <t xml:space="preserve">Retail/Showroom/Office</t>
  </si>
  <si>
    <t xml:space="preserve">12 Hallam Street (The Hallam Hotel)</t>
  </si>
  <si>
    <t xml:space="preserve">Whole Building </t>
  </si>
  <si>
    <t xml:space="preserve">Hotel                       25 Beds</t>
  </si>
  <si>
    <t xml:space="preserve">12 Hallam Street</t>
  </si>
  <si>
    <t xml:space="preserve">16-20 Hallam Street  (Astor Court Hotel)</t>
  </si>
  <si>
    <t xml:space="preserve">Hotel 52 Beds</t>
  </si>
  <si>
    <t xml:space="preserve">Wesdom Investments Ltd.</t>
  </si>
  <si>
    <t xml:space="preserve">Internal Lease to another Lee Family Group Company. CBRE value on a DCF basis and do not adopt ERV for valuation purposes. Guide ERV is £660,000 pa. Rent review is CPI indexed.</t>
  </si>
  <si>
    <t xml:space="preserve">Flat 1, 2 Little Portland Street</t>
  </si>
  <si>
    <t xml:space="preserve">Flat 1</t>
  </si>
  <si>
    <t xml:space="preserve">Miss Julia Tressler</t>
  </si>
  <si>
    <t xml:space="preserve">Flat 1 2 Little Portland St</t>
  </si>
  <si>
    <t xml:space="preserve">3/4/4a Little Portland Street</t>
  </si>
  <si>
    <t xml:space="preserve">Basement (North &amp; Centre) Part Ground</t>
  </si>
  <si>
    <t xml:space="preserve">Storage/Cloakroom</t>
  </si>
  <si>
    <t xml:space="preserve">Pure Public Relations Ltd.</t>
  </si>
  <si>
    <t xml:space="preserve">Ground Floor (Rear)</t>
  </si>
  <si>
    <t xml:space="preserve">Cloakroom</t>
  </si>
  <si>
    <t xml:space="preserve">Ground Floor (East)</t>
  </si>
  <si>
    <t xml:space="preserve">Econnective UK Ltd.</t>
  </si>
  <si>
    <t xml:space="preserve">Basement (South) (Front)</t>
  </si>
  <si>
    <t xml:space="preserve">Workshop</t>
  </si>
  <si>
    <t xml:space="preserve">Langham Estate Management Ltd</t>
  </si>
  <si>
    <t xml:space="preserve">Mutual rolling break on 6 months notice. Internal Lease to another Lee Family Group Company.</t>
  </si>
  <si>
    <t xml:space="preserve">Mutual break in the event of planning enforcement. Tenant break on 6 months notice. 3 months rent free if not exercised.</t>
  </si>
  <si>
    <t xml:space="preserve">Second Floor (Middle &amp; West)</t>
  </si>
  <si>
    <t xml:space="preserve">Tenant break on 6 months notice with £7.7k penalty clause.</t>
  </si>
  <si>
    <t xml:space="preserve">Second Floor (East) </t>
  </si>
  <si>
    <t xml:space="preserve">Second (Rear) &amp; Part Ground (Storage)</t>
  </si>
  <si>
    <t xml:space="preserve"> Office &amp; Storage</t>
  </si>
  <si>
    <t xml:space="preserve">Total Recruitment Specialists Ltd</t>
  </si>
  <si>
    <t xml:space="preserve">Electricity Sub-Station</t>
  </si>
  <si>
    <t xml:space="preserve">Rent review is RPI. Rolling landlords redevelopment break after 04/02/25 on 9 months notice.</t>
  </si>
  <si>
    <t xml:space="preserve">3/4/4a Little Portland St.</t>
  </si>
  <si>
    <t xml:space="preserve">5 Little Portland Street</t>
  </si>
  <si>
    <t xml:space="preserve">Ground &amp; Basement</t>
  </si>
  <si>
    <t xml:space="preserve">Bar</t>
  </si>
  <si>
    <t xml:space="preserve">The Social Little Portland Street Ltd.</t>
  </si>
  <si>
    <t xml:space="preserve">First to Third Floors</t>
  </si>
  <si>
    <t xml:space="preserve">Oaxaca Ltd.</t>
  </si>
  <si>
    <t xml:space="preserve">Tenant break on 6 months notice. Tenant has a 20% concession reducing the rent until the 25/10/25 review date, after this date it reverts to £126,500 pa.</t>
  </si>
  <si>
    <t xml:space="preserve">Alexandra House, 6 Little Portland Street</t>
  </si>
  <si>
    <t xml:space="preserve">Ground Floor &amp; Part Basement</t>
  </si>
  <si>
    <t xml:space="preserve">Burger &amp; Lobster Restaurant Group Ltd.</t>
  </si>
  <si>
    <t xml:space="preserve">Rent review not yet activated due to level of passing rent.</t>
  </si>
  <si>
    <t xml:space="preserve">Exposure Promotions Ltd.</t>
  </si>
  <si>
    <t xml:space="preserve">6 Little Portland St.</t>
  </si>
  <si>
    <t xml:space="preserve">9 Little Portland Street</t>
  </si>
  <si>
    <t xml:space="preserve">Lower Ground and Ground Floors</t>
  </si>
  <si>
    <t xml:space="preserve">Showroom / Office</t>
  </si>
  <si>
    <t xml:space="preserve">Order Line Ltd</t>
  </si>
  <si>
    <t xml:space="preserve">Tenancy at will granted based at existing rent.</t>
  </si>
  <si>
    <t xml:space="preserve">Second Floor </t>
  </si>
  <si>
    <t xml:space="preserve">Skynet Ltd</t>
  </si>
  <si>
    <t xml:space="preserve">21 Little Portland Street</t>
  </si>
  <si>
    <t xml:space="preserve">FRIBA Limited</t>
  </si>
  <si>
    <t xml:space="preserve">Premises inter connected with 19 Margaret Street and let under a single lease. The floor area is shown for this building only. Rent shown pro rata.</t>
  </si>
  <si>
    <t xml:space="preserve">Spanx UK Ltd</t>
  </si>
  <si>
    <t xml:space="preserve">Mutual break @ 20/06/25 on 6 months notice. Tenant break exercised. Break conditions not met. Lease to continue.</t>
  </si>
  <si>
    <t xml:space="preserve">Caneparo Associates Ltd</t>
  </si>
  <si>
    <t xml:space="preserve">22 Little Portland Street (formerly 22-23 LPS)</t>
  </si>
  <si>
    <t xml:space="preserve">22-23 Little Portland Street</t>
  </si>
  <si>
    <t xml:space="preserve">Office/ Showroom/ Storage</t>
  </si>
  <si>
    <t xml:space="preserve">David Chipperfield Architects Ltd</t>
  </si>
  <si>
    <t xml:space="preserve">A</t>
  </si>
  <si>
    <t xml:space="preserve">9 Margaret Street</t>
  </si>
  <si>
    <t xml:space="preserve">                                                                                                                           </t>
  </si>
  <si>
    <t xml:space="preserve">Whole</t>
  </si>
  <si>
    <t xml:space="preserve">Tenant break on 6 months notice, if not exercised then a further 3 months rent free.</t>
  </si>
  <si>
    <t xml:space="preserve">London House, 9a Margaret Street</t>
  </si>
  <si>
    <t xml:space="preserve">Basement (Vaults)</t>
  </si>
  <si>
    <t xml:space="preserve">Basement (South)</t>
  </si>
  <si>
    <t xml:space="preserve">Office/ Storage</t>
  </si>
  <si>
    <t xml:space="preserve">Basement (North)</t>
  </si>
  <si>
    <t xml:space="preserve">9a Margaret Street</t>
  </si>
  <si>
    <t xml:space="preserve">10 Margaret Street</t>
  </si>
  <si>
    <t xml:space="preserve">Tenant break on 6 months notice. 6 months rent free if break not exercised.</t>
  </si>
  <si>
    <t xml:space="preserve">Pavement Vaults</t>
  </si>
  <si>
    <t xml:space="preserve">Landlords rolling redevelopment option on 6 months notice.</t>
  </si>
  <si>
    <t xml:space="preserve">Audley House,  12 Margaret Street</t>
  </si>
  <si>
    <t xml:space="preserve">Wimbledon Business Centre Ltd.</t>
  </si>
  <si>
    <t xml:space="preserve">12 Margaret Street</t>
  </si>
  <si>
    <t xml:space="preserve">13-14 Margaret Street</t>
  </si>
  <si>
    <t xml:space="preserve">Tenant break on 6 months notice and penalty clause of £48,345.</t>
  </si>
  <si>
    <t xml:space="preserve">Third &amp; Fourth Floor</t>
  </si>
  <si>
    <t xml:space="preserve">13/14 Margaret Street</t>
  </si>
  <si>
    <t xml:space="preserve">15-16 Margaret Street</t>
  </si>
  <si>
    <t xml:space="preserve">Lower Ground</t>
  </si>
  <si>
    <t xml:space="preserve">Under offer</t>
  </si>
  <si>
    <t xml:space="preserve">Tenant break on 6 months notice</t>
  </si>
  <si>
    <t xml:space="preserve">Marson Property Ltd</t>
  </si>
  <si>
    <t xml:space="preserve">15/16 Margaret Street</t>
  </si>
  <si>
    <t xml:space="preserve">17-18 Margaret Street</t>
  </si>
  <si>
    <t xml:space="preserve">Arrow International Media Ltd.</t>
  </si>
  <si>
    <t xml:space="preserve">Ground Floor (E) </t>
  </si>
  <si>
    <t xml:space="preserve">Ground Floor (W)</t>
  </si>
  <si>
    <t xml:space="preserve">Yamaha Music Europe GMBH.</t>
  </si>
  <si>
    <t xml:space="preserve">Second Floor (E)</t>
  </si>
  <si>
    <t xml:space="preserve">Second Floor (W &amp; N)</t>
  </si>
  <si>
    <t xml:space="preserve">Smiggle UK Limited</t>
  </si>
  <si>
    <t xml:space="preserve">Tenant break on 3 months notice. Two months rent free if not exercised.</t>
  </si>
  <si>
    <t xml:space="preserve">Fourth Floor (R) </t>
  </si>
  <si>
    <t xml:space="preserve">The London Child &amp; Family Therapy Centre Ltd.</t>
  </si>
  <si>
    <t xml:space="preserve">All inclusive rent (excl rates). </t>
  </si>
  <si>
    <t xml:space="preserve">Fourth Floor (RW)</t>
  </si>
  <si>
    <t xml:space="preserve">Fourth Floor (E)</t>
  </si>
  <si>
    <t xml:space="preserve">Fourth Floor (W)</t>
  </si>
  <si>
    <t xml:space="preserve">17/18 Margaret Street</t>
  </si>
  <si>
    <t xml:space="preserve">19 Margaret Street</t>
  </si>
  <si>
    <t xml:space="preserve">This unit interconnects with G &amp; B, 21 Lt Portland St. The floor area shown is only for this unit. Rent shown pro rata. Tenant break on 6 months notice. Rent review @ 25/11/24.</t>
  </si>
  <si>
    <t xml:space="preserve">Effigest UK Ltd.</t>
  </si>
  <si>
    <t xml:space="preserve">Theatrical Rights Worldwide Limited</t>
  </si>
  <si>
    <t xml:space="preserve">20 Margaret Street</t>
  </si>
  <si>
    <t xml:space="preserve">Outform Group UK Ltd.</t>
  </si>
  <si>
    <t xml:space="preserve">Rent increasing to £103,000 wef 14/06/27. Tenant break on 6 months notice. Penalty payment due if exercised. Further tenant break 13/06/27 on 6 months notice.</t>
  </si>
  <si>
    <t xml:space="preserve">Vesper Investments Ltd</t>
  </si>
  <si>
    <t xml:space="preserve">Moods Beauty Ltd</t>
  </si>
  <si>
    <t xml:space="preserve">25 Margaret Street</t>
  </si>
  <si>
    <t xml:space="preserve">Mr K Saraj</t>
  </si>
  <si>
    <t xml:space="preserve">Ground Floor </t>
  </si>
  <si>
    <t xml:space="preserve">Camran Naseri &amp; Rehana Miah</t>
  </si>
  <si>
    <t xml:space="preserve">First Floor (F)</t>
  </si>
  <si>
    <t xml:space="preserve">Mr Christos Tombras</t>
  </si>
  <si>
    <t xml:space="preserve">First Floor (R)</t>
  </si>
  <si>
    <t xml:space="preserve">Ms J. Hogan</t>
  </si>
  <si>
    <t xml:space="preserve">Second Floor (F)</t>
  </si>
  <si>
    <t xml:space="preserve">Ms Tara Harrison</t>
  </si>
  <si>
    <t xml:space="preserve">Tenant break 12/05/27 on 6 months notice.</t>
  </si>
  <si>
    <t xml:space="preserve">Second Floor (R)</t>
  </si>
  <si>
    <t xml:space="preserve">Mr R Backes</t>
  </si>
  <si>
    <t xml:space="preserve">Third &amp; Fourth Floors</t>
  </si>
  <si>
    <t xml:space="preserve">Mr Bick Ole &amp; Miss Ana Roomas Ledo</t>
  </si>
  <si>
    <t xml:space="preserve">1 year lease renewal completed @ £41,600 from 28/07/25</t>
  </si>
  <si>
    <t xml:space="preserve">47,48 &amp; 50 Margaret Street</t>
  </si>
  <si>
    <t xml:space="preserve">Basement (48-50)</t>
  </si>
  <si>
    <t xml:space="preserve">Nightclub</t>
  </si>
  <si>
    <t xml:space="preserve">Masterbet Ltd.</t>
  </si>
  <si>
    <t xml:space="preserve">Rent rises to £232,500 @ 07/02/26.</t>
  </si>
  <si>
    <t xml:space="preserve">Ground Floor &amp; Basement (47)</t>
  </si>
  <si>
    <t xml:space="preserve">MSBB Ltd.</t>
  </si>
  <si>
    <t xml:space="preserve">Landlord break @ 08/09/26 on 6 months notice</t>
  </si>
  <si>
    <t xml:space="preserve">Ground Floor (50)</t>
  </si>
  <si>
    <t xml:space="preserve">Oreno Ramen Limited</t>
  </si>
  <si>
    <t xml:space="preserve">Stepped rent. £100,000 wef 12/04/26. Mutual break on 9 months notice.</t>
  </si>
  <si>
    <t xml:space="preserve">Ground Floor (48) </t>
  </si>
  <si>
    <t xml:space="preserve">48 Margaret Street Trading Ltd</t>
  </si>
  <si>
    <t xml:space="preserve">D1</t>
  </si>
  <si>
    <t xml:space="preserve">Sun Kyeong Qi</t>
  </si>
  <si>
    <t xml:space="preserve">Hypecore Limited</t>
  </si>
  <si>
    <t xml:space="preserve">Second Floor (West) </t>
  </si>
  <si>
    <t xml:space="preserve">Gnosco Ltd &amp; Fortis Block Management Ltd</t>
  </si>
  <si>
    <t xml:space="preserve">Tenant break on 6 months notice. One mnth rent free from 07/06/27 if break not exercised.</t>
  </si>
  <si>
    <t xml:space="preserve">Third Floor (East)</t>
  </si>
  <si>
    <t xml:space="preserve">LDG</t>
  </si>
  <si>
    <t xml:space="preserve">Sen Yoga Limited</t>
  </si>
  <si>
    <t xml:space="preserve">51-53 Margaret Street</t>
  </si>
  <si>
    <t xml:space="preserve">Basement Vault</t>
  </si>
  <si>
    <t xml:space="preserve">Kiss The Hippo Fritzrovia Ltd.</t>
  </si>
  <si>
    <t xml:space="preserve">The rent is a peppercorn.</t>
  </si>
  <si>
    <t xml:space="preserve">Basement &amp; Ground Floor (West)</t>
  </si>
  <si>
    <t xml:space="preserve">Rent review completed wef 03/05/24. Rent increase from £67,500 to £70,000</t>
  </si>
  <si>
    <t xml:space="preserve">Basement (East)</t>
  </si>
  <si>
    <t xml:space="preserve">Shtager &amp; Schch Limited</t>
  </si>
  <si>
    <t xml:space="preserve">Struggling tenant. Unit Under offer.</t>
  </si>
  <si>
    <t xml:space="preserve">Phyto Nourishment Limited</t>
  </si>
  <si>
    <t xml:space="preserve">Tenant break on 6 months notice with a penalty clause if exercised. Tenant in Administration. Under offer</t>
  </si>
  <si>
    <t xml:space="preserve">More &amp; More Studio Limited</t>
  </si>
  <si>
    <t xml:space="preserve">G. McGonagle &amp; I. Robertson</t>
  </si>
  <si>
    <t xml:space="preserve">Tenant break on 6 months notice. 2 months rent free if not exercised.</t>
  </si>
  <si>
    <t xml:space="preserve">Reishi Clinic Ltd</t>
  </si>
  <si>
    <t xml:space="preserve">MDB Sarl</t>
  </si>
  <si>
    <t xml:space="preserve">All inclusive Service charge &amp; Insurance.</t>
  </si>
  <si>
    <t xml:space="preserve">51/53 Margaret Street</t>
  </si>
  <si>
    <t xml:space="preserve">63-64 Margaret Street</t>
  </si>
  <si>
    <t xml:space="preserve">Ground Floor &amp; Basement (East)</t>
  </si>
  <si>
    <t xml:space="preserve">Showroom/ Educational</t>
  </si>
  <si>
    <t xml:space="preserve">Apollo Galleries Limited</t>
  </si>
  <si>
    <t xml:space="preserve">Ground  &amp; Basement (West) &amp; Rear Block</t>
  </si>
  <si>
    <t xml:space="preserve">Margaret Howell Ltd</t>
  </si>
  <si>
    <t xml:space="preserve">Tenant break on 6 months notice and a Landlord Redevelopment Break @ 01/09/22 on 6 months notice. Break not exercised. </t>
  </si>
  <si>
    <t xml:space="preserve">Kipas London Ltd</t>
  </si>
  <si>
    <t xml:space="preserve">First Floor (West) (Front)</t>
  </si>
  <si>
    <t xml:space="preserve">Staybrook Asset Management Ltd</t>
  </si>
  <si>
    <t xml:space="preserve">Tenant break on 6 months notice. 1 month rent free if not exercised.</t>
  </si>
  <si>
    <t xml:space="preserve">First Floor (West) (Rear)</t>
  </si>
  <si>
    <t xml:space="preserve">Cihangir Group Limited.</t>
  </si>
  <si>
    <t xml:space="preserve">Second Floor (Rear)</t>
  </si>
  <si>
    <t xml:space="preserve">63/64 Margaret Street</t>
  </si>
  <si>
    <t xml:space="preserve">65 Margaret Street</t>
  </si>
  <si>
    <t xml:space="preserve">Advanced Beauty Medical Clinics Ltd</t>
  </si>
  <si>
    <t xml:space="preserve">Leap Productions Limited</t>
  </si>
  <si>
    <t xml:space="preserve">Philips Lockhart Ltd.</t>
  </si>
  <si>
    <t xml:space="preserve">Tenant break on 6 months notice. 2 months rent free at 08/09/25 if break not exercised.</t>
  </si>
  <si>
    <t xml:space="preserve">Mercury Creations Limited</t>
  </si>
  <si>
    <t xml:space="preserve">Rent £19,950 wef 28/07/25. Tenant break on 6 months notice. 2 months rent free if not exercised. Tenant name corrected.</t>
  </si>
  <si>
    <t xml:space="preserve">75-77 Margaret Street</t>
  </si>
  <si>
    <t xml:space="preserve">Sub-Basement</t>
  </si>
  <si>
    <t xml:space="preserve">M&amp;C Saatchi World Services Ltd.</t>
  </si>
  <si>
    <t xml:space="preserve">Lower Ground Floor</t>
  </si>
  <si>
    <t xml:space="preserve">Retail / Showroom</t>
  </si>
  <si>
    <t xml:space="preserve">EDC2 Ltd.</t>
  </si>
  <si>
    <t xml:space="preserve">Tenant break on 6 months notice. Half rent for 1year from 05/05/29 if break not exercised. Penalty clause of £106k if exercised.</t>
  </si>
  <si>
    <t xml:space="preserve">Maxguard Limited</t>
  </si>
  <si>
    <t xml:space="preserve">Second Floor (Front)</t>
  </si>
  <si>
    <t xml:space="preserve">Major League Baseball Europe Ltd.</t>
  </si>
  <si>
    <t xml:space="preserve">LEM / LDG</t>
  </si>
  <si>
    <t xml:space="preserve">75/77 Margaret Street</t>
  </si>
  <si>
    <t xml:space="preserve">Sackville House - 78 Margaret Street</t>
  </si>
  <si>
    <t xml:space="preserve">Ground</t>
  </si>
  <si>
    <t xml:space="preserve">78 Margaret Street</t>
  </si>
  <si>
    <t xml:space="preserve">Kenilworth House - 79-80 Margaret Street</t>
  </si>
  <si>
    <t xml:space="preserve">Basement (E)</t>
  </si>
  <si>
    <t xml:space="preserve">Educational</t>
  </si>
  <si>
    <t xml:space="preserve">Jewells Retail Ltd</t>
  </si>
  <si>
    <t xml:space="preserve">New letting completed. Rent all inclusive (excl rates).</t>
  </si>
  <si>
    <t xml:space="preserve">Ground (East) </t>
  </si>
  <si>
    <t xml:space="preserve">Lualdi UK </t>
  </si>
  <si>
    <t xml:space="preserve">New letting completed. Stepped rent. Rent £62,500 wef 26/09/25. Fixed increases to £72,500 wef 26/06/26, £82,000 wef 26/06/27, £90,000 wef 26/06/28 and £93,000 wef 26/06/29.</t>
  </si>
  <si>
    <t xml:space="preserve">Ground (West) &amp; Part Basement</t>
  </si>
  <si>
    <t xml:space="preserve">Edwards Cheshire Company Ltd.</t>
  </si>
  <si>
    <t xml:space="preserve">79/80 Margaret Street</t>
  </si>
  <si>
    <t xml:space="preserve">4 Market Place</t>
  </si>
  <si>
    <t xml:space="preserve">Ground, Basement &amp; Vaults</t>
  </si>
  <si>
    <t xml:space="preserve">Honest Burgers Ltd</t>
  </si>
  <si>
    <t xml:space="preserve">Landlords redevelopment break @ 02/02/24 on 6 months notice. </t>
  </si>
  <si>
    <t xml:space="preserve">Feel Films Ltd.</t>
  </si>
  <si>
    <t xml:space="preserve">11-13 Market Place</t>
  </si>
  <si>
    <t xml:space="preserve">Bar &amp; Office</t>
  </si>
  <si>
    <t xml:space="preserve">Market Place (London) Holdings Ltd</t>
  </si>
  <si>
    <t xml:space="preserve">Upper floors sublet.</t>
  </si>
  <si>
    <t xml:space="preserve">Radiant House, 34-38 Mortimer Street &amp; 3-4 Bywell Place</t>
  </si>
  <si>
    <t xml:space="preserve">Ground &amp; Basement (34)</t>
  </si>
  <si>
    <t xml:space="preserve">Showroom/Studio</t>
  </si>
  <si>
    <t xml:space="preserve">Ab-Anbar Limited</t>
  </si>
  <si>
    <t xml:space="preserve">Ground &amp; Basement (36-38)</t>
  </si>
  <si>
    <t xml:space="preserve">Europride Ltd.</t>
  </si>
  <si>
    <t xml:space="preserve">Part Ground, First to Fourth Floor (34)</t>
  </si>
  <si>
    <t xml:space="preserve">First (36-38)</t>
  </si>
  <si>
    <t xml:space="preserve">Second (36-38)</t>
  </si>
  <si>
    <t xml:space="preserve">Third (36-38)</t>
  </si>
  <si>
    <t xml:space="preserve">Fourth (36-38)</t>
  </si>
  <si>
    <t xml:space="preserve">Carver Associates Ltd.</t>
  </si>
  <si>
    <t xml:space="preserve">Tenant has annual breaks on 6 months notice. </t>
  </si>
  <si>
    <t xml:space="preserve">Ground &amp; Basement, 3-4 Bywell Place</t>
  </si>
  <si>
    <t xml:space="preserve">Solo60 Ltd</t>
  </si>
  <si>
    <t xml:space="preserve">First , 3-4 Bywell Place</t>
  </si>
  <si>
    <t xml:space="preserve">Olsen UK Limited</t>
  </si>
  <si>
    <t xml:space="preserve">Second, 3-4 Bywell Place</t>
  </si>
  <si>
    <t xml:space="preserve">Radiant House</t>
  </si>
  <si>
    <t xml:space="preserve">Gilmoora House, 57-61 Mortimer Street</t>
  </si>
  <si>
    <t xml:space="preserve">Part Basement &amp; Part Ground Floor - 36 Gt Titchfield St</t>
  </si>
  <si>
    <t xml:space="preserve">Medical</t>
  </si>
  <si>
    <t xml:space="preserve">The Central London Clinic Ltd.</t>
  </si>
  <si>
    <t xml:space="preserve">Part Ground to Fifth Floors</t>
  </si>
  <si>
    <t xml:space="preserve">Gilmoora House Ltd</t>
  </si>
  <si>
    <t xml:space="preserve">Internal Lease to another Lee Family Group Company.</t>
  </si>
  <si>
    <t xml:space="preserve">57/61 Mortimer Street</t>
  </si>
  <si>
    <t xml:space="preserve">67 - 81 Mortimer Street</t>
  </si>
  <si>
    <t xml:space="preserve">Ground Floor &amp; Bsmt. (No.67)</t>
  </si>
  <si>
    <t xml:space="preserve">Status Beauty Limited</t>
  </si>
  <si>
    <t xml:space="preserve">Tenant break on 6 months notice. Rent free from 10/01/26 to 28/03/26 if not exercised.</t>
  </si>
  <si>
    <t xml:space="preserve">Ground Floor &amp; Bsmt. (No.69)</t>
  </si>
  <si>
    <t xml:space="preserve">Shop/ Showroom</t>
  </si>
  <si>
    <t xml:space="preserve">ABC Smile Limited</t>
  </si>
  <si>
    <t xml:space="preserve">Tenant break on 6 month notice.</t>
  </si>
  <si>
    <t xml:space="preserve">Ground Floor &amp; Bsmt. (No.71)</t>
  </si>
  <si>
    <t xml:space="preserve">Folia Ltd.</t>
  </si>
  <si>
    <t xml:space="preserve">Rent £55,000 wef 6 weeks after landlord works completed. Work expected to complete by 27/06/25, Further tenant break 25/03/27.</t>
  </si>
  <si>
    <t xml:space="preserve">Ground Floor &amp; Bsmt. (No. 77)</t>
  </si>
  <si>
    <t xml:space="preserve">Ground Floor &amp; Bsmt. (No.79-81)</t>
  </si>
  <si>
    <t xml:space="preserve">PHBB Restaurants Ltd.</t>
  </si>
  <si>
    <t xml:space="preserve">54 Act protected lease. All Inclusive (excl rates). </t>
  </si>
  <si>
    <t xml:space="preserve">Tenant break on 6 months notice. If break not exercised, rent reduces to £67,146 wef 20/06/25 to 19/06/26. Break passed</t>
  </si>
  <si>
    <t xml:space="preserve">Rent rises to £83,950 wef 11/08/25. </t>
  </si>
  <si>
    <t xml:space="preserve">Under offer.</t>
  </si>
  <si>
    <t xml:space="preserve">Tenant break on 6 months notice. 3 months rent free if break not exercised.</t>
  </si>
  <si>
    <t xml:space="preserve">67/81 Mortimer Street</t>
  </si>
  <si>
    <t xml:space="preserve">93 Mortimer Street &amp; 43 Great Portland Street</t>
  </si>
  <si>
    <t xml:space="preserve">IBRAAZ</t>
  </si>
  <si>
    <t xml:space="preserve">Rent increases reverts to £700,000 wef 20/02/30 subject to rent review.</t>
  </si>
  <si>
    <t xml:space="preserve">93 Mortimer Street</t>
  </si>
  <si>
    <t xml:space="preserve">142-144 Oxford Street</t>
  </si>
  <si>
    <t xml:space="preserve">Retail/ Ancillary</t>
  </si>
  <si>
    <t xml:space="preserve">Telefonica UK Ltd</t>
  </si>
  <si>
    <t xml:space="preserve">Rent wef £352,500 wef 23/07/25, increasing to £705,000 wef 24/07/26. Tenant break on 6 months notice.</t>
  </si>
  <si>
    <t xml:space="preserve">Kiosk in Adam and Eve Court</t>
  </si>
  <si>
    <t xml:space="preserve">The Prudential Assurance Company Ltd.</t>
  </si>
  <si>
    <t xml:space="preserve">Tenant rolling break on 3 months notice. Tenant has renewal option at stepped rent. Landlord redevelopment break @ 16/01/27 on 6 months notice.</t>
  </si>
  <si>
    <t xml:space="preserve">Flats 1 - 9 Inclusive</t>
  </si>
  <si>
    <t xml:space="preserve">Advan Capital Limited</t>
  </si>
  <si>
    <t xml:space="preserve">146/148 Oxford Street</t>
  </si>
  <si>
    <t xml:space="preserve">Vaults, Basement &amp; Ground Floors</t>
  </si>
  <si>
    <t xml:space="preserve">Holland &amp; Barrett Retail Ltd</t>
  </si>
  <si>
    <t xml:space="preserve">Rent increases to £520,000 wef 04/08/26. Tenant break on 6 months notice. </t>
  </si>
  <si>
    <t xml:space="preserve">146-148 Oxford Street</t>
  </si>
  <si>
    <t xml:space="preserve">150/154 Oxford Street</t>
  </si>
  <si>
    <t xml:space="preserve">Part Basement to Second Floors &amp; Rooftop Switch Room</t>
  </si>
  <si>
    <t xml:space="preserve">Sportsdirect.com Retail Ltd</t>
  </si>
  <si>
    <t xml:space="preserve">Electricity Substation sublet by Sportsdirect.com. Rent review not yet activated. </t>
  </si>
  <si>
    <t xml:space="preserve">50 Eastcastle Street</t>
  </si>
  <si>
    <t xml:space="preserve">50-60 Eastcastle Street</t>
  </si>
  <si>
    <t xml:space="preserve">Basement (South East)</t>
  </si>
  <si>
    <t xml:space="preserve">Building Workshop</t>
  </si>
  <si>
    <t xml:space="preserve">Basement Store A</t>
  </si>
  <si>
    <t xml:space="preserve">Hope93 Ltd.</t>
  </si>
  <si>
    <t xml:space="preserve">Building Managers Office</t>
  </si>
  <si>
    <t xml:space="preserve">2 yearly rent reviews. Mutual rolling break on 6 months notice. Internal Lease to another Lee Family Group Company.</t>
  </si>
  <si>
    <t xml:space="preserve">Grnd/Basement  - 10 &amp; 12 Winsley St.</t>
  </si>
  <si>
    <t xml:space="preserve">Comptoir Group Plc</t>
  </si>
  <si>
    <t xml:space="preserve">Basement 56-57 Eastcastle St.</t>
  </si>
  <si>
    <t xml:space="preserve">Ground 56-57 Eastcastle St.</t>
  </si>
  <si>
    <t xml:space="preserve">YG Group Ltd</t>
  </si>
  <si>
    <t xml:space="preserve">Mutual break on 6 months notice. 5 months rent free amortised over 1yr if break not exercised.</t>
  </si>
  <si>
    <t xml:space="preserve">Grnd/Basement - 55 Eastcastle St.</t>
  </si>
  <si>
    <t xml:space="preserve">Art Gallery</t>
  </si>
  <si>
    <t xml:space="preserve">PI Artworks Ltd.</t>
  </si>
  <si>
    <t xml:space="preserve">Tenant confirmed they will vacate on expiry.</t>
  </si>
  <si>
    <t xml:space="preserve">Grnd/Basement - 54 Eastcastle St</t>
  </si>
  <si>
    <t xml:space="preserve">Rent increasing to £167,000 pa wef 29/08/29. Further break @ 28/08/29 on 6 months notice. Penalty clause of £27,833 for first break.</t>
  </si>
  <si>
    <t xml:space="preserve">Grnd/Basement - 51, 52 &amp; 53 Eastcastle St.</t>
  </si>
  <si>
    <t xml:space="preserve">Stay On Target Ltd</t>
  </si>
  <si>
    <t xml:space="preserve">Stepped rent. £390,000 wef 10/03/26. Penalty of £27,833 if first break activated. Parent company (Whistle Punks Ltd) in liquidation.</t>
  </si>
  <si>
    <t xml:space="preserve">First Floor (100)</t>
  </si>
  <si>
    <t xml:space="preserve">First Floor  (140)</t>
  </si>
  <si>
    <t xml:space="preserve">First Floor (120)</t>
  </si>
  <si>
    <t xml:space="preserve">First Floor (Centre)</t>
  </si>
  <si>
    <t xml:space="preserve">First Floor (160, 180)</t>
  </si>
  <si>
    <t xml:space="preserve">Second Floor (South)</t>
  </si>
  <si>
    <t xml:space="preserve">Second Floor (Centre)</t>
  </si>
  <si>
    <t xml:space="preserve">Fintech Partners Limited.</t>
  </si>
  <si>
    <t xml:space="preserve">Second Floor (210,220, 230 &amp; 231)</t>
  </si>
  <si>
    <t xml:space="preserve">Second Floor (240)</t>
  </si>
  <si>
    <t xml:space="preserve">Third Floor (303)</t>
  </si>
  <si>
    <t xml:space="preserve">Third Floor (305)</t>
  </si>
  <si>
    <t xml:space="preserve">Property Management Recruitment Ltd.</t>
  </si>
  <si>
    <t xml:space="preserve">Third Floor North (320)</t>
  </si>
  <si>
    <t xml:space="preserve">Third Floor (325)</t>
  </si>
  <si>
    <t xml:space="preserve">Third Floor (335, 390)</t>
  </si>
  <si>
    <t xml:space="preserve">Third Floor (330)</t>
  </si>
  <si>
    <t xml:space="preserve">Brand Murray Fuller Services Ltd.</t>
  </si>
  <si>
    <t xml:space="preserve">Third Floor (340)</t>
  </si>
  <si>
    <t xml:space="preserve">Third Floor (345)</t>
  </si>
  <si>
    <t xml:space="preserve">Third Floor (350)</t>
  </si>
  <si>
    <t xml:space="preserve">Rent inclusive of service charge and insurance.</t>
  </si>
  <si>
    <t xml:space="preserve">Third Floor (360 &amp; 365)</t>
  </si>
  <si>
    <t xml:space="preserve">TGR1.618 Limited</t>
  </si>
  <si>
    <t xml:space="preserve">Third Floor (395)</t>
  </si>
  <si>
    <t xml:space="preserve">Pixi Limited</t>
  </si>
  <si>
    <t xml:space="preserve">Third Floor (398)</t>
  </si>
  <si>
    <t xml:space="preserve">Rolling tenant break on 6 months notice.</t>
  </si>
  <si>
    <t xml:space="preserve">Third Floor (396)</t>
  </si>
  <si>
    <t xml:space="preserve">Lovisa UK Ltd</t>
  </si>
  <si>
    <t xml:space="preserve">Third Floor (375 &amp; 380)</t>
  </si>
  <si>
    <t xml:space="preserve">Rent all inclusive (excluding rates).</t>
  </si>
  <si>
    <t xml:space="preserve">Winsley St. Sub-station (N)</t>
  </si>
  <si>
    <t xml:space="preserve">Plant Room</t>
  </si>
  <si>
    <t xml:space="preserve">Landlords redevelopment break on 6 months notice. Rent review is RPI indexation. </t>
  </si>
  <si>
    <t xml:space="preserve">Winsley St. Sub-station (S)</t>
  </si>
  <si>
    <t xml:space="preserve">Princess House</t>
  </si>
  <si>
    <t xml:space="preserve">Mappin House, 156-162 Oxford Street</t>
  </si>
  <si>
    <t xml:space="preserve">Part Basement</t>
  </si>
  <si>
    <t xml:space="preserve">Vincere NK Group Ltd</t>
  </si>
  <si>
    <t xml:space="preserve">Landlord can terminate on 1 months notice.</t>
  </si>
  <si>
    <t xml:space="preserve">Ground Floor &amp; Basement                           Winsley Street</t>
  </si>
  <si>
    <t xml:space="preserve">Basement - 158 Oxford Street</t>
  </si>
  <si>
    <t xml:space="preserve">Ground Floor &amp; Basement                           162 Oxford Street</t>
  </si>
  <si>
    <t xml:space="preserve">Dune Group Ltd.</t>
  </si>
  <si>
    <t xml:space="preserve">Ground Floor - 160 Oxford Street</t>
  </si>
  <si>
    <t xml:space="preserve">Hutchison 3 G UK Ltd</t>
  </si>
  <si>
    <t xml:space="preserve">Ground Floor - 158 Oxford Street</t>
  </si>
  <si>
    <t xml:space="preserve">VF Northern Europe Services Ltd</t>
  </si>
  <si>
    <t xml:space="preserve">Ground Floor - 156 Oxford Street</t>
  </si>
  <si>
    <t xml:space="preserve">Hawes &amp; Curtis Ltd</t>
  </si>
  <si>
    <t xml:space="preserve">Tenancy @ will completed. Lease renewal terms agreed for 10 years.</t>
  </si>
  <si>
    <t xml:space="preserve">Mezzanine</t>
  </si>
  <si>
    <t xml:space="preserve">Perry Ellis Europe Ltd.</t>
  </si>
  <si>
    <t xml:space="preserve">London Mappin House Centre Ltd.</t>
  </si>
  <si>
    <t xml:space="preserve">Guaranteed base rent of £241,776 plus revenue top up. Revenue top-up rent of £55,860 paid for 1Apr24 - 31Mar25. Rolling mutual break option after 18 months. </t>
  </si>
  <si>
    <t xml:space="preserve">Guaranteed base rent of £242,259 plus revenue top up. Revenue top-up rent of £55,974 paid for 1Apr24 - 31Mar25. Rolling mutual break option after 18 months. </t>
  </si>
  <si>
    <t xml:space="preserve">LEM marketing</t>
  </si>
  <si>
    <t xml:space="preserve">Guaranteed base rent of £252,885 plus revenue top up. Revenue top-up rent of £58,429 paid for 1Apr24 - 31Mar25. Rolling mutual break option after 18 months. </t>
  </si>
  <si>
    <t xml:space="preserve">Guaranteed base rent of £252,393 plus revenue top up. Revenue top-up rent of £58,316 paid for 1Apr24 - 31Mar25. Rolling mutual break option after 18 months. </t>
  </si>
  <si>
    <t xml:space="preserve">Mappin House</t>
  </si>
  <si>
    <t xml:space="preserve">53 Wells Street</t>
  </si>
  <si>
    <t xml:space="preserve">LEM Marketing. </t>
  </si>
  <si>
    <t xml:space="preserve">Flat 1. Ground Floor</t>
  </si>
  <si>
    <t xml:space="preserve">One Bed Flat</t>
  </si>
  <si>
    <t xml:space="preserve">Edward Davenport</t>
  </si>
  <si>
    <t xml:space="preserve">Rent and Service charge stop placed on unit</t>
  </si>
  <si>
    <t xml:space="preserve">Flat 2. First Floor</t>
  </si>
  <si>
    <t xml:space="preserve">V. Chamoun</t>
  </si>
  <si>
    <t xml:space="preserve">Flat 3. Second Floor</t>
  </si>
  <si>
    <t xml:space="preserve">C &amp; Y Hopper</t>
  </si>
  <si>
    <t xml:space="preserve">Peppercorn.</t>
  </si>
  <si>
    <t xml:space="preserve">Flat 4. Third Floor</t>
  </si>
  <si>
    <t xml:space="preserve">Lion Brand Limited</t>
  </si>
  <si>
    <t xml:space="preserve">68 Wells Street</t>
  </si>
  <si>
    <t xml:space="preserve">Showroom &amp; Office</t>
  </si>
  <si>
    <t xml:space="preserve">Voltage TV Productions Ltd</t>
  </si>
  <si>
    <t xml:space="preserve">Rent increasing to £100,000 wef 25/03/26. Tenant break on 6 months notice.</t>
  </si>
  <si>
    <t xml:space="preserve">Total MEL Area</t>
  </si>
  <si>
    <t xml:space="preserve">33 Eastcastle Street</t>
  </si>
  <si>
    <t xml:space="preserve">OPG</t>
  </si>
  <si>
    <t xml:space="preserve">Retail &amp; Office</t>
  </si>
  <si>
    <t xml:space="preserve">Leon Restaurants Ltd</t>
  </si>
  <si>
    <t xml:space="preserve">Julco House, 26-28 Great Portland Street</t>
  </si>
  <si>
    <t xml:space="preserve">Rent £255,000 pa with a top-up of 11% turnover up to a maximum of £300,000 pa.</t>
  </si>
  <si>
    <t xml:space="preserve">Collins Benson Goldhill LLP</t>
  </si>
  <si>
    <t xml:space="preserve">Oakvale Capital LLP</t>
  </si>
  <si>
    <t xml:space="preserve">Hague Securities Limited</t>
  </si>
  <si>
    <t xml:space="preserve">Tenant break on 6 months notice. 4 months rent free from 05/12/25 if break not exercised.</t>
  </si>
  <si>
    <t xml:space="preserve">Zephyrus Partners Ltd.</t>
  </si>
  <si>
    <t xml:space="preserve">Rent rising to £151,143 wef 07/03/26. </t>
  </si>
  <si>
    <t xml:space="preserve">Global Future Partnership LLP</t>
  </si>
  <si>
    <t xml:space="preserve">Heywood &amp; Partners Surveyors Ltd</t>
  </si>
  <si>
    <t xml:space="preserve">Basement Vaults</t>
  </si>
  <si>
    <t xml:space="preserve">Rent review to RPI.</t>
  </si>
  <si>
    <t xml:space="preserve">5 Margaret Street</t>
  </si>
  <si>
    <t xml:space="preserve">Workpad Fitzrovia Ltd</t>
  </si>
  <si>
    <t xml:space="preserve">60/62 Margaret Street</t>
  </si>
  <si>
    <t xml:space="preserve">Creo London Limited.</t>
  </si>
  <si>
    <t xml:space="preserve">Rent rising to £1,250,000 wef 01/03/26. </t>
  </si>
  <si>
    <t xml:space="preserve">85 Mortimer Street</t>
  </si>
  <si>
    <t xml:space="preserve">The Feel Good Group Ltd.</t>
  </si>
  <si>
    <t xml:space="preserve">Welbeck House, 66/67 Wells Street</t>
  </si>
  <si>
    <t xml:space="preserve">Basement (67)</t>
  </si>
  <si>
    <t xml:space="preserve">Electricity / Substation</t>
  </si>
  <si>
    <t xml:space="preserve">Rent 5p paid annually on 25th March</t>
  </si>
  <si>
    <t xml:space="preserve">Basement &amp; Ground (67), Rear (66/67) &amp; 1st Floor (R) 66.</t>
  </si>
  <si>
    <t xml:space="preserve">Retail / Offices</t>
  </si>
  <si>
    <t xml:space="preserve">Basement &amp; Ground (66)</t>
  </si>
  <si>
    <t xml:space="preserve">Noble Furs (Regent Street) Ltd</t>
  </si>
  <si>
    <t xml:space="preserve">Further 2 months rent free @ 31/10/25. Rent rises to £50,600 @ 31/12/25. Mutual break on 3 months notice. </t>
  </si>
  <si>
    <t xml:space="preserve">Investments Services UK Ltd</t>
  </si>
  <si>
    <t xml:space="preserve">32-36 Great Portland Street</t>
  </si>
  <si>
    <t xml:space="preserve">PEL</t>
  </si>
  <si>
    <t xml:space="preserve">Prenuvo Ltd</t>
  </si>
  <si>
    <t xml:space="preserve">Rent increasing to £220,000 wef 18/01/26. Tenant break on 6 months notice.</t>
  </si>
  <si>
    <t xml:space="preserve">AdMaxim Limited</t>
  </si>
  <si>
    <t xml:space="preserve">Lease renewal completion imminent.</t>
  </si>
  <si>
    <t xml:space="preserve">Fourth Floor </t>
  </si>
  <si>
    <t xml:space="preserve">Mackintosh Limited</t>
  </si>
  <si>
    <t xml:space="preserve">Rent increasing to £105,490 @ 21/10/26. Tenant break on 6 months notice.</t>
  </si>
  <si>
    <t xml:space="preserve">Total Area</t>
  </si>
  <si>
    <t xml:space="preserve">Total OPG &amp; PEL Area</t>
  </si>
  <si>
    <t xml:space="preserve">184-190 Oxford Street &amp; 28/30 Market Place</t>
  </si>
  <si>
    <t xml:space="preserve">OOS</t>
  </si>
  <si>
    <t xml:space="preserve">184-188 Oxford Street (B, G &amp; 1st)</t>
  </si>
  <si>
    <t xml:space="preserve">Airwair International Ltd</t>
  </si>
  <si>
    <t xml:space="preserve">Rent rising to £650,000 wef 23/12/25. In addition, turnover rent payable if 10% turnover exceeds £650,000.</t>
  </si>
  <si>
    <t xml:space="preserve">190 Oxford Street (B &amp; G)</t>
  </si>
  <si>
    <t xml:space="preserve">Office Holdings Ltd</t>
  </si>
  <si>
    <t xml:space="preserve">1st Floor, 28 Market Place</t>
  </si>
  <si>
    <t xml:space="preserve">EP Commodities Ltd</t>
  </si>
  <si>
    <t xml:space="preserve">Annual RPI rent increase (min 1%, max 4%). </t>
  </si>
  <si>
    <t xml:space="preserve">2nd Floor, 30 Market Place</t>
  </si>
  <si>
    <t xml:space="preserve">Joint London Ltd</t>
  </si>
  <si>
    <t xml:space="preserve">3rd Floor, 30 Market Place</t>
  </si>
  <si>
    <t xml:space="preserve">LEM / EC&amp;P</t>
  </si>
  <si>
    <t xml:space="preserve">4th Floor, 30 Market Place</t>
  </si>
  <si>
    <t xml:space="preserve">Ascot Lloyd Ltd</t>
  </si>
  <si>
    <t xml:space="preserve">Rent £180,625 wef 09/11/25. Fixed increase to £361,250 wef 09/11/26. Tenant break on 6 months notice. Half rent from 09/05/30 to 08/03/32 if not exercised. Penalty payment of £30,105 if exercised.</t>
  </si>
  <si>
    <t xml:space="preserve">5th Floor, 30 Market Place</t>
  </si>
  <si>
    <t xml:space="preserve">Nchain Ltd</t>
  </si>
  <si>
    <t xml:space="preserve">Lease variation completed. Tenant break option (18/12/25) removed and forfeit 8 months rent free. Lease expiry date moved from 17/12/30 to 17/12/26. Pre-emption right removed and rent review @ 18/12/25 documented at passing rent.</t>
  </si>
  <si>
    <t xml:space="preserve">6th Floor, 30 Market Place</t>
  </si>
  <si>
    <t xml:space="preserve">EDF</t>
  </si>
  <si>
    <t xml:space="preserve">New lease in negotiation. £1k max from date of purchase.</t>
  </si>
  <si>
    <t xml:space="preserve">Total OOS Area</t>
  </si>
  <si>
    <t xml:space="preserve">Total Category B Properties     </t>
  </si>
  <si>
    <t xml:space="preserve">Total Area Categaory B's</t>
  </si>
  <si>
    <t xml:space="preserve">Circa 99,900</t>
  </si>
  <si>
    <t xml:space="preserve">Total Category C Properties</t>
  </si>
  <si>
    <t xml:space="preserve">Total Area Category C's</t>
  </si>
  <si>
    <t xml:space="preserve">Circa 782,000</t>
  </si>
  <si>
    <t xml:space="preserve">TOTAL</t>
  </si>
  <si>
    <t xml:space="preserve">MEL, OPG, PEL &amp; OOS Notes</t>
  </si>
  <si>
    <t xml:space="preserve">(1) Capital Values and ERV's are taken from the July 2024 CBRE Valuation.</t>
  </si>
  <si>
    <t xml:space="preserve">(2) Rent PA column represents the documented rental level as per legal agreements and should be read in conjunction with the Remarks.</t>
  </si>
  <si>
    <t xml:space="preserve">(3) As a result of CBRE’s valuation approach, they attributed no ERV's to 12 Hallam St &amp; 16-20 Hallam St.</t>
  </si>
  <si>
    <t xml:space="preserve">Updated 30th June 2025</t>
  </si>
  <si>
    <t xml:space="preserve">Agency Area</t>
  </si>
  <si>
    <t xml:space="preserve">Area</t>
  </si>
  <si>
    <t xml:space="preserve">Total </t>
  </si>
  <si>
    <t xml:space="preserve">LEM Strategy</t>
  </si>
  <si>
    <t xml:space="preserve">blank </t>
  </si>
  <si>
    <t xml:space="preserve">LEM Marketing</t>
  </si>
  <si>
    <t xml:space="preserve">To be refurbished</t>
  </si>
  <si>
    <t xml:space="preserve">Under Offer</t>
  </si>
  <si>
    <t xml:space="preserve">Mothballed</t>
  </si>
  <si>
    <t xml:space="preserve">EPC Rating</t>
  </si>
  <si>
    <t xml:space="preserve">EPC Rating By Floor Area</t>
  </si>
  <si>
    <t xml:space="preserve">Unlettable under ARES</t>
  </si>
  <si>
    <t xml:space="preserve">sq.ft</t>
  </si>
  <si>
    <t xml:space="preserve">Total</t>
  </si>
  <si>
    <t xml:space="preserve">Tenant Trade</t>
  </si>
  <si>
    <t xml:space="preserve">"Taipei Education Division"</t>
  </si>
  <si>
    <t xml:space="preserve">Other</t>
  </si>
  <si>
    <t xml:space="preserve">Professional Services</t>
  </si>
  <si>
    <t xml:space="preserve">28-50 Oxford Circus Ltd.</t>
  </si>
  <si>
    <t xml:space="preserve">Leisure Services</t>
  </si>
  <si>
    <t xml:space="preserve">ACP Ltd, acm Ltd &amp; Effecta</t>
  </si>
  <si>
    <t xml:space="preserve">Al Falamanki Raoucche Limited</t>
  </si>
  <si>
    <t xml:space="preserve">Real Estate &amp; Construction</t>
  </si>
  <si>
    <t xml:space="preserve">Media &amp; Marketing</t>
  </si>
  <si>
    <t xml:space="preserve">Banking &amp; Finance</t>
  </si>
  <si>
    <t xml:space="preserve">Beyond Creative Ltd</t>
  </si>
  <si>
    <t xml:space="preserve">Blueprint Pictures Limited</t>
  </si>
  <si>
    <t xml:space="preserve">Cool Britannia Retail Limited</t>
  </si>
  <si>
    <t xml:space="preserve">IT &amp; Telecoms</t>
  </si>
  <si>
    <t xml:space="preserve">Dal Florentino Ltd</t>
  </si>
  <si>
    <t xml:space="preserve">Directors Cut Films Ltd.</t>
  </si>
  <si>
    <t xml:space="preserve">Dry Eyes Limited</t>
  </si>
  <si>
    <t xml:space="preserve">Eleven Film Ltd.</t>
  </si>
  <si>
    <t xml:space="preserve">Recruitment</t>
  </si>
  <si>
    <t xml:space="preserve">Health &amp; Social Services</t>
  </si>
  <si>
    <t xml:space="preserve">Focus International Ltd.</t>
  </si>
  <si>
    <t xml:space="preserve">FSB Technology (UK) Ltd.</t>
  </si>
  <si>
    <t xml:space="preserve">Functional 45 Training Ltd.</t>
  </si>
  <si>
    <t xml:space="preserve">Serviced Offices</t>
  </si>
  <si>
    <t xml:space="preserve">Island Poke Ltd.</t>
  </si>
  <si>
    <t xml:space="preserve">JMS Engineers Consulting Group Ltd</t>
  </si>
  <si>
    <t xml:space="preserve">London Health and Aesthetics Ltd</t>
  </si>
  <si>
    <t xml:space="preserve">Manufacturing</t>
  </si>
  <si>
    <t xml:space="preserve">Lualdi UK</t>
  </si>
  <si>
    <t xml:space="preserve">Miller Hare Ltd</t>
  </si>
  <si>
    <t xml:space="preserve">Moooi UK Ltd.</t>
  </si>
  <si>
    <t xml:space="preserve">Mr E Belloulou</t>
  </si>
  <si>
    <t xml:space="preserve">Mr M.J Bradshaw &amp; Mr D.G Bradshaw</t>
  </si>
  <si>
    <t xml:space="preserve">Outform EMEA Ltd.</t>
  </si>
  <si>
    <t xml:space="preserve">Portland Audio Limited</t>
  </si>
  <si>
    <t xml:space="preserve">Reachout Recruit Ltd.</t>
  </si>
  <si>
    <t xml:space="preserve">Space Workplace Ltd.</t>
  </si>
  <si>
    <t xml:space="preserve">Spirit Entertainment Ltd.</t>
  </si>
  <si>
    <t xml:space="preserve">T. Ciss, E. Moser &amp; Casanova</t>
  </si>
  <si>
    <t xml:space="preserve">Lease Expiry next 6 months </t>
  </si>
  <si>
    <t xml:space="preserve">Start Date</t>
  </si>
  <si>
    <t xml:space="preserve">Expiry Date</t>
  </si>
  <si>
    <t xml:space="preserve">ERV £SQ.FT</t>
  </si>
  <si>
    <t xml:space="preserve">Break dates next 7 months </t>
  </si>
  <si>
    <t xml:space="preserve">Rent Review dates next 6 months </t>
  </si>
  <si>
    <t xml:space="preserve">Floor </t>
  </si>
  <si>
    <t xml:space="preserve">Rates  RP</t>
  </si>
  <si>
    <t xml:space="preserve">Insurance</t>
  </si>
  <si>
    <t xml:space="preserve">S/C</t>
  </si>
  <si>
    <t xml:space="preserve">Utilities</t>
  </si>
  <si>
    <t xml:space="preserve">Net</t>
  </si>
  <si>
    <t xml:space="preserve">1st floor</t>
  </si>
  <si>
    <t xml:space="preserve">Sarah Haywood</t>
  </si>
  <si>
    <t xml:space="preserve">2nd floor</t>
  </si>
  <si>
    <t xml:space="preserve">Holzweiler</t>
  </si>
  <si>
    <t xml:space="preserve">3rd floor</t>
  </si>
  <si>
    <t xml:space="preserve">Longwater Partners </t>
  </si>
  <si>
    <t xml:space="preserve">4th floor</t>
  </si>
  <si>
    <t xml:space="preserve">Ridgeback Asset Management</t>
  </si>
  <si>
    <t xml:space="preserve">Principle property </t>
  </si>
  <si>
    <t xml:space="preserve">With Solictors</t>
  </si>
  <si>
    <t xml:space="preserve">4 months </t>
  </si>
  <si>
    <t xml:space="preserve">4month</t>
  </si>
  <si>
    <t xml:space="preserve">2month</t>
  </si>
  <si>
    <t xml:space="preserve">PB&amp;Co</t>
  </si>
  <si>
    <t xml:space="preserve">3/4a</t>
  </si>
  <si>
    <t xml:space="preserve">rent</t>
  </si>
  <si>
    <t xml:space="preserve">rates</t>
  </si>
  <si>
    <t xml:space="preserve">s/c</t>
  </si>
  <si>
    <t xml:space="preserve">insur</t>
  </si>
  <si>
    <t xml:space="preserve">Langham position</t>
  </si>
  <si>
    <t xml:space="preserve">10 months</t>
  </si>
  <si>
    <t xml:space="preserve">10yr</t>
  </si>
  <si>
    <t xml:space="preserve">comprimise 12 months </t>
  </si>
  <si>
    <t xml:space="preserve">10year</t>
  </si>
  <si>
    <t xml:space="preserve">Drunch Offer</t>
  </si>
  <si>
    <t xml:space="preserve">15 month</t>
  </si>
  <si>
    <t xml:space="preserve">on15 year</t>
  </si>
  <si>
    <t xml:space="preserve">Drunch </t>
  </si>
  <si>
    <t xml:space="preserve">Rent </t>
  </si>
  <si>
    <t xml:space="preserve">3rd</t>
  </si>
  <si>
    <t xml:space="preserve">2nd</t>
  </si>
  <si>
    <t xml:space="preserve">1st</t>
  </si>
  <si>
    <t xml:space="preserve">grd</t>
  </si>
  <si>
    <t xml:space="preserve">bse</t>
  </si>
  <si>
    <t xml:space="preserve">Welbeck House</t>
  </si>
  <si>
    <t xml:space="preserve">66 Wells Street</t>
  </si>
  <si>
    <t xml:space="preserve">22 Eastcastle </t>
  </si>
  <si>
    <t xml:space="preserve">months</t>
  </si>
  <si>
    <t xml:space="preserve">rates payable </t>
  </si>
  <si>
    <t xml:space="preserve">rates free</t>
  </si>
  <si>
    <t xml:space="preserve">5th floor Portland house </t>
  </si>
  <si>
    <t xml:space="preserve">new rent with old incentive</t>
  </si>
  <si>
    <t xml:space="preserve">Harrison offer</t>
  </si>
  <si>
    <t xml:space="preserve">6 months</t>
  </si>
  <si>
    <t xml:space="preserve">8.5 rent free</t>
  </si>
  <si>
    <t xml:space="preserve">5+2</t>
  </si>
  <si>
    <t xml:space="preserve">annual</t>
  </si>
  <si>
    <t xml:space="preserve">day rate</t>
  </si>
  <si>
    <t xml:space="preserve">orignal deal og floor area</t>
  </si>
  <si>
    <t xml:space="preserve">Void Rates </t>
  </si>
  <si>
    <t xml:space="preserve">payable</t>
  </si>
  <si>
    <t xml:space="preserve">savings</t>
  </si>
  <si>
    <t xml:space="preserve">fee</t>
  </si>
  <si>
    <t xml:space="preserve">Fees / Rates costs</t>
  </si>
  <si>
    <t xml:space="preserve">value</t>
  </si>
  <si>
    <t xml:space="preserve">LTV</t>
  </si>
  <si>
    <t xml:space="preserve">interest </t>
  </si>
  <si>
    <t xml:space="preserve">old rent</t>
  </si>
  <si>
    <t xml:space="preserve">1st floor  51-53 Margaret street</t>
  </si>
  <si>
    <t xml:space="preserve">jelly &amp; Steel</t>
  </si>
  <si>
    <t xml:space="preserve">erv</t>
  </si>
  <si>
    <t xml:space="preserve">Circus hose </t>
  </si>
  <si>
    <t xml:space="preserve">MOME</t>
  </si>
  <si>
    <t xml:space="preserve">Lupo</t>
  </si>
  <si>
    <t xml:space="preserve">Whealth revised </t>
  </si>
  <si>
    <t xml:space="preserve">Unit C Moray </t>
  </si>
  <si>
    <t xml:space="preserve">Mome</t>
  </si>
  <si>
    <t xml:space="preserve">9 months RF</t>
  </si>
  <si>
    <t xml:space="preserve">7 months RF</t>
  </si>
  <si>
    <t xml:space="preserve">6 months RF</t>
  </si>
  <si>
    <t xml:space="preserve">Ave</t>
  </si>
  <si>
    <t xml:space="preserve">79-80 Margaret street</t>
  </si>
  <si>
    <t xml:space="preserve">Lualdi </t>
  </si>
  <si>
    <t xml:space="preserve">January</t>
  </si>
  <si>
    <t xml:space="preserve">Febuary </t>
  </si>
  <si>
    <t xml:space="preserve">March</t>
  </si>
  <si>
    <t xml:space="preserve">April 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</si>
  <si>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</si>
  <si>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</si>
  <si>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</si>
  <si>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</si>
  <si>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</si>
  <si>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</si>
  <si>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</si>
  <si>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</si>
  <si>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February</t>
  </si>
  <si>
    <t xml:space="preserve">April</t>
  </si>
  <si>
    <t xml:space="preserve">Stepped rents through lease </t>
  </si>
  <si>
    <t xml:space="preserve">4 years at £6,250   2 months rent free</t>
  </si>
  <si>
    <t xml:space="preserve">£5,250 for first 2 years then increase</t>
  </si>
  <si>
    <t xml:space="preserve">Y1 </t>
  </si>
  <si>
    <t xml:space="preserve">Y2</t>
  </si>
  <si>
    <t xml:space="preserve">Y3</t>
  </si>
  <si>
    <t xml:space="preserve">Y4</t>
  </si>
  <si>
    <t xml:space="preserve">Y5</t>
  </si>
  <si>
    <t xml:space="preserve">Net </t>
  </si>
  <si>
    <t xml:space="preserve">32-36 GPS</t>
  </si>
  <si>
    <t xml:space="preserve">4th Floor </t>
  </si>
  <si>
    <t xml:space="preserve">December </t>
  </si>
  <si>
    <t xml:space="preserve">January </t>
  </si>
  <si>
    <t xml:space="preserve">Annual</t>
  </si>
  <si>
    <t xml:space="preserve">Monthly </t>
  </si>
  <si>
    <t xml:space="preserve">19/221 Great Portland street</t>
  </si>
  <si>
    <t xml:space="preserve">20 Great portland Street</t>
  </si>
  <si>
    <t xml:space="preserve">area</t>
  </si>
  <si>
    <t xml:space="preserve">Rates</t>
  </si>
  <si>
    <t xml:space="preserve">85 mortimer</t>
  </si>
  <si>
    <t xml:space="preserve">2024 ERV</t>
  </si>
  <si>
    <t xml:space="preserve">Langham </t>
  </si>
  <si>
    <t xml:space="preserve">Infront Sport Media </t>
  </si>
  <si>
    <t xml:space="preserve">2024 ERV </t>
  </si>
  <si>
    <t xml:space="preserve">Sine audio</t>
  </si>
  <si>
    <t xml:space="preserve">Opening Offer</t>
  </si>
  <si>
    <t xml:space="preserve">6 months rent free </t>
  </si>
  <si>
    <t xml:space="preserve">Counter </t>
  </si>
  <si>
    <t xml:space="preserve">10 months rent free</t>
  </si>
  <si>
    <t xml:space="preserve">30 Market place </t>
  </si>
  <si>
    <t xml:space="preserve">joint  vs Iqonic</t>
  </si>
  <si>
    <t xml:space="preserve">gross </t>
  </si>
  <si>
    <t xml:space="preserve">Rent free </t>
  </si>
  <si>
    <t xml:space="preserve">iqonic</t>
  </si>
  <si>
    <t xml:space="preserve">Joint </t>
  </si>
  <si>
    <t xml:space="preserve">ascot lloyd </t>
  </si>
  <si>
    <t xml:space="preserve">19/21 GPS</t>
  </si>
  <si>
    <t xml:space="preserve">47-50MS</t>
  </si>
  <si>
    <t xml:space="preserve">47-50 Margaret Street</t>
  </si>
  <si>
    <t xml:space="preserve">7.5 months</t>
  </si>
  <si>
    <t xml:space="preserve">8 months </t>
  </si>
  <si>
    <t xml:space="preserve">9 months </t>
  </si>
  <si>
    <t xml:space="preserve">opening offer</t>
  </si>
  <si>
    <t xml:space="preserve">counter offer</t>
  </si>
  <si>
    <t xml:space="preserve">3-4 Little Portland street</t>
  </si>
  <si>
    <t xml:space="preserve">6 months </t>
  </si>
  <si>
    <t xml:space="preserve">3months </t>
  </si>
  <si>
    <t xml:space="preserve">2nd rear </t>
  </si>
  <si>
    <t xml:space="preserve">rent </t>
  </si>
  <si>
    <t xml:space="preserve">rates </t>
  </si>
  <si>
    <t xml:space="preserve">S/C </t>
  </si>
  <si>
    <t xml:space="preserve">Insur</t>
  </si>
  <si>
    <t xml:space="preserve">4th Floor Great Titchfield House</t>
  </si>
  <si>
    <t xml:space="preserve">ADMAXIM</t>
  </si>
  <si>
    <t xml:space="preserve">Rent free</t>
  </si>
  <si>
    <t xml:space="preserve">77 Diamonds </t>
  </si>
  <si>
    <t xml:space="preserve">47-50 MS 2nd Floor </t>
  </si>
  <si>
    <t xml:space="preserve">Fitz IT</t>
  </si>
  <si>
    <t xml:space="preserve">1st floor </t>
  </si>
  <si>
    <t xml:space="preserve">Annual rent</t>
  </si>
  <si>
    <t xml:space="preserve">Humble Crumble </t>
  </si>
  <si>
    <t xml:space="preserve">New Financial</t>
  </si>
  <si>
    <t xml:space="preserve">15-16</t>
  </si>
  <si>
    <t xml:space="preserve">5th Floor </t>
  </si>
  <si>
    <t xml:space="preserve">Prenuvo</t>
  </si>
  <si>
    <t xml:space="preserve">Rent</t>
  </si>
  <si>
    <t xml:space="preserve">insurance</t>
  </si>
  <si>
    <t xml:space="preserve">windsor HSE</t>
  </si>
  <si>
    <t xml:space="preserve">east</t>
  </si>
  <si>
    <t xml:space="preserve">west</t>
  </si>
  <si>
    <t xml:space="preserve">Feel films </t>
  </si>
  <si>
    <t xml:space="preserve">1st </t>
  </si>
  <si>
    <t xml:space="preserve">Arya Douge </t>
  </si>
  <si>
    <t xml:space="preserve">65MS</t>
  </si>
  <si>
    <t xml:space="preserve">Status</t>
  </si>
  <si>
    <t xml:space="preserve">Void</t>
  </si>
  <si>
    <t xml:space="preserve">Let</t>
  </si>
  <si>
    <t xml:space="preserve">Building</t>
  </si>
  <si>
    <t xml:space="preserve">Rent PA (£)</t>
  </si>
  <si>
    <t xml:space="preserve">2023 ERV (£)</t>
  </si>
  <si>
    <t xml:space="preserve">2024 ERV (£)</t>
  </si>
  <si>
    <t xml:space="preserve">2024 Cap Valn. (£)</t>
  </si>
</sst>
</file>

<file path=xl/styles.xml><?xml version="1.0" encoding="utf-8"?>
<styleSheet xmlns="http://schemas.openxmlformats.org/spreadsheetml/2006/main">
  <numFmts count="37">
    <numFmt numFmtId="164" formatCode="General"/>
    <numFmt numFmtId="165" formatCode="_-* #,##0.00_-;\-* #,##0.00_-;_-* \-??_-;_-@_-"/>
    <numFmt numFmtId="166" formatCode="_-\£* #,##0.00_-;&quot;-£&quot;* #,##0.00_-;_-\£* \-??_-;_-@_-"/>
    <numFmt numFmtId="167" formatCode="0%"/>
    <numFmt numFmtId="168" formatCode="#,##0"/>
    <numFmt numFmtId="169" formatCode="dd/mm/yy;@"/>
    <numFmt numFmtId="170" formatCode="#,##0;[RED]#,##0"/>
    <numFmt numFmtId="171" formatCode="_-* #,##0_-;\-* #,##0_-;_-* \-??_-;_-@_-"/>
    <numFmt numFmtId="172" formatCode="\£#,##0.0"/>
    <numFmt numFmtId="173" formatCode="dd/mm/yyyy"/>
    <numFmt numFmtId="174" formatCode="0.0%"/>
    <numFmt numFmtId="175" formatCode="\£#,##0.00"/>
    <numFmt numFmtId="176" formatCode="#,##0.00;[RED]#,##0.00"/>
    <numFmt numFmtId="177" formatCode="dd/mm/yyyy;@"/>
    <numFmt numFmtId="178" formatCode="#,##0_ ;[RED]\-#,##0\ "/>
    <numFmt numFmtId="179" formatCode="dd\-mm\-yyyy;@"/>
    <numFmt numFmtId="180" formatCode="\£#,##0"/>
    <numFmt numFmtId="181" formatCode="_-\£* #,##0_-;&quot;-£&quot;* #,##0_-;_-\£* \-??_-;_-@_-"/>
    <numFmt numFmtId="182" formatCode="_-* #,##0.0_-;\-* #,##0.0_-;_-* \-??_-;_-@_-"/>
    <numFmt numFmtId="183" formatCode="#"/>
    <numFmt numFmtId="184" formatCode="[$-F800]dddd&quot;, &quot;mmmm\ dd&quot;, &quot;yyyy"/>
    <numFmt numFmtId="185" formatCode="_-\£* #,##0.0_-;&quot;-£&quot;* #,##0.0_-;_-\£* \-??_-;_-@_-"/>
    <numFmt numFmtId="186" formatCode="@"/>
    <numFmt numFmtId="187" formatCode="0.00%"/>
    <numFmt numFmtId="188" formatCode="_-* #,##0.000_-;\-* #,##0.000_-;_-* \-??_-;_-@_-"/>
    <numFmt numFmtId="189" formatCode="0.00"/>
    <numFmt numFmtId="190" formatCode="mmm\-yy"/>
    <numFmt numFmtId="191" formatCode="# ?/?"/>
    <numFmt numFmtId="192" formatCode="\£#,##0;[RED]&quot;-£&quot;#,##0"/>
    <numFmt numFmtId="193" formatCode="\£#,##0.0;[RED]&quot;-£&quot;#,##0.0"/>
    <numFmt numFmtId="194" formatCode="\£#,##0.00;[RED]&quot;-£&quot;#,##0.00"/>
    <numFmt numFmtId="195" formatCode="_-\£* #,##0.000_-;&quot;-£&quot;* #,##0.000_-;_-\£* \-???_-;_-@_-"/>
    <numFmt numFmtId="196" formatCode="0.0"/>
    <numFmt numFmtId="197" formatCode="_-\£* #,##0.0_-;&quot;-£&quot;* #,##0.0_-;_-\£* \-?_-;_-@_-"/>
    <numFmt numFmtId="198" formatCode="_-[$£-809]* #,##0_-;\-[$£-809]* #,##0_-;_-[$£-809]* \-??_-;_-@_-"/>
    <numFmt numFmtId="199" formatCode="_-[$£-809]* #,##0.00_-;\-[$£-809]* #,##0.00_-;_-[$£-809]* \-??_-;_-@_-"/>
    <numFmt numFmtId="200" formatCode="0"/>
  </numFmts>
  <fonts count="60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sz val="8"/>
      <name val="Arial"/>
      <family val="2"/>
      <charset val="1"/>
    </font>
    <font>
      <u val="single"/>
      <sz val="8"/>
      <name val="Arial"/>
      <family val="2"/>
      <charset val="1"/>
    </font>
    <font>
      <sz val="11"/>
      <name val="Arial"/>
      <family val="2"/>
      <charset val="1"/>
    </font>
    <font>
      <b val="true"/>
      <sz val="8"/>
      <name val="Arial"/>
      <family val="2"/>
      <charset val="1"/>
    </font>
    <font>
      <b val="true"/>
      <sz val="11"/>
      <name val="Arial"/>
      <family val="2"/>
      <charset val="1"/>
    </font>
    <font>
      <b val="true"/>
      <u val="single"/>
      <sz val="10"/>
      <name val="Arial"/>
      <family val="2"/>
      <charset val="1"/>
    </font>
    <font>
      <b val="true"/>
      <sz val="8"/>
      <color rgb="FFFFFFFF"/>
      <name val="Arial"/>
      <family val="2"/>
      <charset val="1"/>
    </font>
    <font>
      <sz val="8"/>
      <color rgb="FFFFFFFF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sz val="8"/>
      <color rgb="FFFF0000"/>
      <name val="Arial"/>
      <family val="2"/>
      <charset val="1"/>
    </font>
    <font>
      <u val="single"/>
      <sz val="8"/>
      <color rgb="FFFF0000"/>
      <name val="Arial"/>
      <family val="2"/>
      <charset val="1"/>
    </font>
    <font>
      <b val="true"/>
      <u val="single"/>
      <sz val="8"/>
      <name val="Arial"/>
      <family val="2"/>
      <charset val="1"/>
    </font>
    <font>
      <u val="single"/>
      <sz val="10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name val="MS Sans Serif"/>
      <family val="2"/>
      <charset val="1"/>
    </font>
    <font>
      <sz val="10"/>
      <name val="MS Sans Serif"/>
      <family val="2"/>
      <charset val="1"/>
    </font>
    <font>
      <sz val="11"/>
      <name val="MS Sans Serif"/>
      <family val="2"/>
      <charset val="1"/>
    </font>
    <font>
      <sz val="10"/>
      <color rgb="FFFF0000"/>
      <name val="MS Sans Serif"/>
      <family val="2"/>
      <charset val="1"/>
    </font>
    <font>
      <sz val="8"/>
      <color theme="1"/>
      <name val="Arial"/>
      <family val="2"/>
      <charset val="1"/>
    </font>
    <font>
      <b val="true"/>
      <sz val="8"/>
      <color theme="1"/>
      <name val="Arial"/>
      <family val="2"/>
      <charset val="1"/>
    </font>
    <font>
      <b val="true"/>
      <sz val="11"/>
      <color theme="1"/>
      <name val="Arial"/>
      <family val="2"/>
      <charset val="1"/>
    </font>
    <font>
      <u val="single"/>
      <sz val="7"/>
      <name val="Arial"/>
      <family val="2"/>
      <charset val="1"/>
    </font>
    <font>
      <sz val="8"/>
      <color rgb="FF000000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b val="true"/>
      <sz val="9"/>
      <name val="Arial"/>
      <family val="2"/>
      <charset val="1"/>
    </font>
    <font>
      <sz val="9"/>
      <name val="Arial"/>
      <family val="2"/>
      <charset val="1"/>
    </font>
    <font>
      <sz val="9"/>
      <color rgb="FFFF0000"/>
      <name val="Arial"/>
      <family val="2"/>
      <charset val="1"/>
    </font>
    <font>
      <sz val="9"/>
      <color theme="1"/>
      <name val="Arial"/>
      <family val="2"/>
      <charset val="1"/>
    </font>
    <font>
      <b val="true"/>
      <u val="single"/>
      <sz val="9"/>
      <color theme="1"/>
      <name val="Arial"/>
      <family val="2"/>
      <charset val="1"/>
    </font>
    <font>
      <u val="single"/>
      <sz val="8"/>
      <color theme="1"/>
      <name val="Arial"/>
      <family val="2"/>
      <charset val="1"/>
    </font>
    <font>
      <b val="true"/>
      <sz val="8"/>
      <color theme="1"/>
      <name val="Calibri"/>
      <family val="2"/>
      <charset val="1"/>
    </font>
    <font>
      <b val="true"/>
      <sz val="9"/>
      <color theme="1"/>
      <name val="Arial"/>
      <family val="2"/>
      <charset val="1"/>
    </font>
    <font>
      <b val="true"/>
      <sz val="8"/>
      <color rgb="FFFF0000"/>
      <name val="Arial"/>
      <family val="2"/>
      <charset val="1"/>
    </font>
    <font>
      <u val="single"/>
      <sz val="9"/>
      <color theme="1"/>
      <name val="Arial"/>
      <family val="2"/>
      <charset val="1"/>
    </font>
    <font>
      <b val="true"/>
      <sz val="10"/>
      <color rgb="FFC00000"/>
      <name val="Arial"/>
      <family val="2"/>
      <charset val="1"/>
    </font>
    <font>
      <sz val="10"/>
      <color rgb="FFFF0000"/>
      <name val="Arial"/>
      <family val="2"/>
      <charset val="1"/>
    </font>
    <font>
      <b val="true"/>
      <u val="single"/>
      <sz val="9"/>
      <name val="Arial"/>
      <family val="2"/>
      <charset val="1"/>
    </font>
    <font>
      <b val="true"/>
      <i val="true"/>
      <sz val="8"/>
      <name val="Arial"/>
      <family val="2"/>
      <charset val="1"/>
    </font>
    <font>
      <sz val="10"/>
      <color rgb="FFC00000"/>
      <name val="Arial"/>
      <family val="2"/>
      <charset val="1"/>
    </font>
    <font>
      <b val="true"/>
      <sz val="18"/>
      <color rgb="FF000000"/>
      <name val="Calibri"/>
      <family val="2"/>
    </font>
    <font>
      <b val="true"/>
      <sz val="11"/>
      <color rgb="FF404040"/>
      <name val="Calibri"/>
      <family val="2"/>
    </font>
    <font>
      <sz val="9"/>
      <color rgb="FF595959"/>
      <name val="Calibri"/>
      <family val="2"/>
    </font>
    <font>
      <b val="true"/>
      <sz val="16"/>
      <color rgb="FF595959"/>
      <name val="Calibri"/>
      <family val="2"/>
    </font>
    <font>
      <b val="true"/>
      <sz val="16"/>
      <color rgb="FFFFFFFF"/>
      <name val="Calibri"/>
      <family val="2"/>
    </font>
    <font>
      <sz val="16"/>
      <color rgb="FF595959"/>
      <name val="Calibri"/>
      <family val="2"/>
    </font>
    <font>
      <u val="single"/>
      <sz val="9"/>
      <name val="Arial"/>
      <family val="2"/>
      <charset val="1"/>
    </font>
    <font>
      <sz val="9"/>
      <color rgb="FF000000"/>
      <name val="Arial"/>
      <family val="2"/>
      <charset val="1"/>
    </font>
    <font>
      <sz val="10"/>
      <name val="Arial Unicode MS"/>
      <family val="2"/>
      <charset val="1"/>
    </font>
    <font>
      <b val="true"/>
      <sz val="11"/>
      <color theme="4"/>
      <name val="Calibri"/>
      <family val="2"/>
      <charset val="1"/>
    </font>
    <font>
      <b val="true"/>
      <sz val="11"/>
      <color rgb="FF0070C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color rgb="FF000000"/>
      <name val="Aptos Narrow"/>
      <family val="2"/>
      <charset val="1"/>
    </font>
    <font>
      <sz val="10"/>
      <color theme="1"/>
      <name val="Arial"/>
      <family val="2"/>
      <charset val="1"/>
    </font>
    <font>
      <b val="true"/>
      <sz val="11"/>
      <name val="Cambria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theme="4" tint="0.7999"/>
        <bgColor rgb="FFDBEEF4"/>
      </patternFill>
    </fill>
    <fill>
      <patternFill patternType="solid">
        <fgColor theme="5" tint="0.7999"/>
        <bgColor rgb="FFE6E0EC"/>
      </patternFill>
    </fill>
    <fill>
      <patternFill patternType="solid">
        <fgColor theme="6" tint="0.7999"/>
        <bgColor rgb="FFFDEADA"/>
      </patternFill>
    </fill>
    <fill>
      <patternFill patternType="solid">
        <fgColor theme="7" tint="0.7999"/>
        <bgColor rgb="FFDCE6F2"/>
      </patternFill>
    </fill>
    <fill>
      <patternFill patternType="solid">
        <fgColor theme="8" tint="0.7999"/>
        <bgColor rgb="FFDCE6F2"/>
      </patternFill>
    </fill>
    <fill>
      <patternFill patternType="solid">
        <fgColor theme="9" tint="0.7999"/>
        <bgColor rgb="FFEBF1DE"/>
      </patternFill>
    </fill>
    <fill>
      <patternFill patternType="solid">
        <fgColor theme="4" tint="0.5999"/>
        <bgColor rgb="FFB7DEE8"/>
      </patternFill>
    </fill>
    <fill>
      <patternFill patternType="solid">
        <fgColor theme="5" tint="0.5999"/>
        <bgColor rgb="FFCCC1DA"/>
      </patternFill>
    </fill>
    <fill>
      <patternFill patternType="solid">
        <fgColor theme="6" tint="0.5999"/>
        <bgColor rgb="FFDDD9C3"/>
      </patternFill>
    </fill>
    <fill>
      <patternFill patternType="solid">
        <fgColor theme="7" tint="0.5999"/>
        <bgColor rgb="FFBFBFBF"/>
      </patternFill>
    </fill>
    <fill>
      <patternFill patternType="solid">
        <fgColor theme="8" tint="0.5999"/>
        <bgColor rgb="FFB9CDE5"/>
      </patternFill>
    </fill>
    <fill>
      <patternFill patternType="solid">
        <fgColor theme="9" tint="0.5999"/>
        <bgColor rgb="FFF2DCDB"/>
      </patternFill>
    </fill>
    <fill>
      <patternFill patternType="solid">
        <fgColor rgb="FFFFFFCC"/>
        <bgColor rgb="FFEBF1DE"/>
      </patternFill>
    </fill>
    <fill>
      <patternFill patternType="solid">
        <fgColor theme="0" tint="-0.25"/>
        <bgColor rgb="FFCCC1DA"/>
      </patternFill>
    </fill>
    <fill>
      <patternFill patternType="solid">
        <fgColor theme="2" tint="-0.1"/>
        <bgColor rgb="FFD9D9D9"/>
      </patternFill>
    </fill>
    <fill>
      <patternFill patternType="solid">
        <fgColor theme="0"/>
        <bgColor rgb="FFFFFFCC"/>
      </patternFill>
    </fill>
    <fill>
      <patternFill patternType="solid">
        <fgColor rgb="FFFFC000"/>
        <bgColor rgb="FFF79646"/>
      </patternFill>
    </fill>
    <fill>
      <patternFill patternType="solid">
        <fgColor theme="9"/>
        <bgColor rgb="FFFFC000"/>
      </patternFill>
    </fill>
    <fill>
      <patternFill patternType="solid">
        <fgColor rgb="FFFFFF00"/>
        <bgColor rgb="FFFFC000"/>
      </patternFill>
    </fill>
  </fills>
  <borders count="23">
    <border diagonalUp="false" diagonalDown="false">
      <left/>
      <right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/>
      <right style="thin"/>
      <top style="thin"/>
      <bottom style="double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double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</borders>
  <cellStyleXfs count="4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4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4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8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9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0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71" fontId="7" fillId="0" borderId="0" xfId="15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6" fillId="0" borderId="0" xfId="15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6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7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15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15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9" fillId="15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15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9" fontId="9" fillId="15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9" fillId="15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15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1" fontId="9" fillId="15" borderId="3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15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2" fontId="9" fillId="15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9" fillId="15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6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6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6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6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1" fontId="6" fillId="0" borderId="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8" fontId="6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7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0" fontId="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0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5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4" fontId="6" fillId="0" borderId="0" xfId="19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8" fontId="1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9" fontId="1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9" fontId="1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4" fontId="1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1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71" fontId="12" fillId="0" borderId="0" xfId="15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13" fillId="0" borderId="0" xfId="15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8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7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73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8" fontId="1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4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1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71" fontId="9" fillId="0" borderId="0" xfId="15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0" fontId="1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9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70" fontId="6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73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1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9" fontId="1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0" fontId="2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9" fontId="2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4" fontId="2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0" fontId="22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71" fontId="21" fillId="0" borderId="0" xfId="15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72" fontId="21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23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8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70" fontId="19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70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0" xfId="15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6" fillId="0" borderId="0" xfId="19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0" fontId="15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9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1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9" fontId="1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2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8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8" fontId="2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4" fontId="2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2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8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70" fontId="1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0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9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9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4" fontId="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71" fontId="9" fillId="0" borderId="0" xfId="15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8" fontId="6" fillId="0" borderId="0" xfId="15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4" fontId="6" fillId="0" borderId="0" xfId="15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8" fillId="0" borderId="0" xfId="15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8" fontId="9" fillId="0" borderId="0" xfId="15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4" fontId="9" fillId="0" borderId="0" xfId="15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10" fillId="0" borderId="0" xfId="15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70" fontId="2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8" fontId="15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8" fontId="6" fillId="0" borderId="0" xfId="15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6" fillId="0" borderId="0" xfId="15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70" fontId="1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4" fontId="1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19" fillId="0" borderId="0" xfId="15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19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9" fontId="6" fillId="0" borderId="0" xfId="36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9" fontId="6" fillId="0" borderId="0" xfId="36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0" fontId="6" fillId="0" borderId="0" xfId="36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36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76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7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0" fillId="16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1" fillId="16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30" fillId="16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1" fillId="16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9" fontId="31" fillId="16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31" fillId="16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31" fillId="16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1" fillId="16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31" fillId="16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1" fontId="30" fillId="16" borderId="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1" fillId="16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31" fillId="16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32" fillId="16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33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33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78" fontId="33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9" fontId="33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78" fontId="33" fillId="0" borderId="0" xfId="15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74" fontId="33" fillId="0" borderId="0" xfId="15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72" fontId="33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32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3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2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8" fontId="2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8" fontId="2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2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8" fontId="25" fillId="0" borderId="0" xfId="15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8" fontId="24" fillId="0" borderId="0" xfId="15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2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73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74" fontId="33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3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3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78" fontId="33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33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9" fontId="33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78" fontId="33" fillId="0" borderId="0" xfId="15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78" fontId="3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4" fontId="3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33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32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3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9" fontId="2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4" fontId="2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3" fontId="3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78" fontId="3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8" fontId="33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3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8" fontId="2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8" fontId="3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9" fontId="3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8" fontId="33" fillId="0" borderId="0" xfId="15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4" fontId="33" fillId="0" borderId="0" xfId="15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3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72" fontId="2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38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78" fontId="2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9" fontId="2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8" fontId="24" fillId="0" borderId="0" xfId="15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4" fontId="24" fillId="0" borderId="0" xfId="15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3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3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39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24" fillId="17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33" fillId="16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8" fontId="37" fillId="16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8" fontId="33" fillId="16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3" fillId="16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9" fontId="33" fillId="16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6" fillId="16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3" fillId="16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3" fillId="16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2" fontId="33" fillId="16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33" fillId="16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32" fillId="16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37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70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4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24" fillId="0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73" fontId="2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8" fontId="33" fillId="0" borderId="0" xfId="15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4" fontId="3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8" fontId="34" fillId="16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8" fontId="33" fillId="16" borderId="6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33" fillId="16" borderId="6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3" fillId="16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6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6" fillId="16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6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9" fontId="6" fillId="16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6" fillId="16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6" fillId="16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8" fillId="16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1" fontId="6" fillId="16" borderId="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6" fillId="16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6" fillId="16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0" fontId="9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8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3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9" fontId="3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9" fontId="3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0" fontId="4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0" fontId="3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4" fontId="3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0" fontId="3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71" fontId="17" fillId="0" borderId="0" xfId="15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2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3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71" fontId="0" fillId="0" borderId="0" xfId="15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7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19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80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80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19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71" fontId="5" fillId="0" borderId="0" xfId="15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9" fillId="15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80" fontId="9" fillId="15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9" fillId="15" borderId="3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6" fillId="0" borderId="0" xfId="15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9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9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0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80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6" fillId="0" borderId="0" xfId="19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1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2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4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0" xfId="15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5" fillId="0" borderId="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6" fillId="0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0" fillId="0" borderId="8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8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0" fillId="0" borderId="7" xfId="1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0" fillId="0" borderId="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0" fillId="0" borderId="0" xfId="17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9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1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1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9" fillId="0" borderId="1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1" fontId="5" fillId="0" borderId="17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1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82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1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1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1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70" fontId="31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31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8" fontId="31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1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51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83" fontId="52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39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8" fontId="31" fillId="0" borderId="0" xfId="15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8" fontId="31" fillId="0" borderId="0" xfId="15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70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70" fontId="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6" fillId="0" borderId="0" xfId="15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4" fillId="0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3" fillId="16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33" fillId="0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7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18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9" fillId="15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84" fontId="5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80" fontId="5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5" fontId="5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53" fillId="0" borderId="0" xfId="19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8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0" fillId="0" borderId="0" xfId="15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5" fontId="0" fillId="0" borderId="0" xfId="17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0" xfId="17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8" fontId="9" fillId="15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9" fontId="9" fillId="15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80" fontId="9" fillId="15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70" fontId="9" fillId="15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75" fontId="9" fillId="15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7" fontId="9" fillId="15" borderId="0" xfId="19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0" fillId="15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71" fontId="9" fillId="15" borderId="0" xfId="15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8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0" fillId="0" borderId="0" xfId="19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5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5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1" fontId="54" fillId="0" borderId="0" xfId="3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5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1" fontId="55" fillId="0" borderId="0" xfId="3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0" fillId="0" borderId="6" xfId="3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0" fillId="0" borderId="6" xfId="3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0" fillId="0" borderId="0" xfId="3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19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3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9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1" fontId="5" fillId="0" borderId="0" xfId="3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15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19" fillId="0" borderId="0" xfId="3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1" fontId="0" fillId="0" borderId="0" xfId="33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85" fontId="0" fillId="0" borderId="0" xfId="33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81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0" fillId="0" borderId="6" xfId="3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5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85" fontId="0" fillId="0" borderId="0" xfId="3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9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9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0" fillId="0" borderId="0" xfId="19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9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0" xfId="15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1" fontId="0" fillId="0" borderId="14" xfId="3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1" fontId="0" fillId="19" borderId="0" xfId="3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19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1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7" fillId="0" borderId="0" xfId="3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7" fillId="19" borderId="0" xfId="3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3" xfId="3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" fillId="0" borderId="3" xfId="3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19" borderId="3" xfId="3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4" xfId="3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19" borderId="0" xfId="3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1" fontId="0" fillId="0" borderId="0" xfId="1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9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1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0" fillId="19" borderId="0" xfId="19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33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5" fontId="0" fillId="0" borderId="0" xfId="33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7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8" fontId="5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81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81" fontId="0" fillId="7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89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9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9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15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15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2" fontId="19" fillId="0" borderId="0" xfId="15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1" fontId="10" fillId="0" borderId="0" xfId="3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10" fillId="0" borderId="0" xfId="15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15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80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5" fillId="0" borderId="0" xfId="15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5" fillId="2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2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3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20" borderId="0" xfId="3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0" xfId="3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0" fillId="2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0" fillId="2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20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right" vertical="center" textRotation="0" wrapText="false" indent="0" shrinkToFit="false"/>
      <protection locked="true" hidden="false"/>
    </xf>
    <xf numFmtId="180" fontId="0" fillId="0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5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0" xfId="17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81" fontId="6" fillId="0" borderId="0" xfId="17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80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80" fontId="0" fillId="0" borderId="0" xfId="33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9" fillId="15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2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 2" xfId="20"/>
    <cellStyle name="20% - Accent2 2" xfId="21"/>
    <cellStyle name="20% - Accent3 2" xfId="22"/>
    <cellStyle name="20% - Accent4 2" xfId="23"/>
    <cellStyle name="20% - Accent5 2" xfId="24"/>
    <cellStyle name="20% - Accent6 2" xfId="25"/>
    <cellStyle name="40% - Accent1 2" xfId="26"/>
    <cellStyle name="40% - Accent2 2" xfId="27"/>
    <cellStyle name="40% - Accent3 2" xfId="28"/>
    <cellStyle name="40% - Accent4 2" xfId="29"/>
    <cellStyle name="40% - Accent5 2" xfId="30"/>
    <cellStyle name="40% - Accent6 2" xfId="31"/>
    <cellStyle name="Comma 2" xfId="32"/>
    <cellStyle name="Currency 2" xfId="33"/>
    <cellStyle name="Normal 2" xfId="34"/>
    <cellStyle name="Normal 2 2" xfId="35"/>
    <cellStyle name="Normal 3" xfId="36"/>
    <cellStyle name="Note 2" xfId="37"/>
    <cellStyle name="Note 2 2" xfId="38"/>
    <cellStyle name="Per cent 2" xfId="39"/>
  </cellStyles>
  <dxfs count="8">
    <dxf>
      <fill>
        <patternFill>
          <bgColor rgb="FFFFC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BFBFBF"/>
          <bgColor rgb="FF000000"/>
        </patternFill>
      </fill>
    </dxf>
    <dxf>
      <fill>
        <patternFill>
          <bgColor theme="9" tint="0.7999"/>
        </patternFill>
      </fill>
    </dxf>
    <dxf>
      <fill>
        <patternFill>
          <bgColor rgb="FFFF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4F81BD"/>
      <rgbColor rgb="FFD9D9D9"/>
      <rgbColor rgb="FF993366"/>
      <rgbColor rgb="FFFFFFCC"/>
      <rgbColor rgb="FFDBEEF4"/>
      <rgbColor rgb="FF660066"/>
      <rgbColor rgb="FFDDD9C3"/>
      <rgbColor rgb="FF0070C0"/>
      <rgbColor rgb="FFB9CDE5"/>
      <rgbColor rgb="FF000080"/>
      <rgbColor rgb="FFFF00FF"/>
      <rgbColor rgb="FFD7E4BD"/>
      <rgbColor rgb="FF00FFFF"/>
      <rgbColor rgb="FF800080"/>
      <rgbColor rgb="FF800000"/>
      <rgbColor rgb="FF008080"/>
      <rgbColor rgb="FF0000FF"/>
      <rgbColor rgb="FF00CCFF"/>
      <rgbColor rgb="FFDCE6F2"/>
      <rgbColor rgb="FFEBF1DE"/>
      <rgbColor rgb="FFFDEADA"/>
      <rgbColor rgb="FFB7DEE8"/>
      <rgbColor rgb="FFE6B9B8"/>
      <rgbColor rgb="FFCCC1DA"/>
      <rgbColor rgb="FFFCD5B5"/>
      <rgbColor rgb="FF3366FF"/>
      <rgbColor rgb="FFE6E0EC"/>
      <rgbColor rgb="FFF2DCDB"/>
      <rgbColor rgb="FFFFC000"/>
      <rgbColor rgb="FFF79646"/>
      <rgbColor rgb="FFEE5C1A"/>
      <rgbColor rgb="FF59595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None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45842012498"/>
          <c:y val="0.0939650800550605"/>
          <c:w val="0.603300753084442"/>
          <c:h val="0.862131420705644"/>
        </c:manualLayout>
      </c:layout>
      <c:pieChart>
        <c:varyColors val="1"/>
        <c:ser>
          <c:idx val="0"/>
          <c:order val="0"/>
          <c:tx>
            <c:strRef>
              <c:f>label 0</c:f>
              <c:strCache>
                <c:ptCount val="1"/>
                <c:pt idx="0">
                  <c:v>Void Property by Category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gradFill>
                <a:gsLst>
                  <a:gs pos="0">
                    <a:srgbClr val="2e5f99"/>
                  </a:gs>
                  <a:gs pos="80000">
                    <a:srgbClr val="3c7ac7"/>
                  </a:gs>
                  <a:gs pos="100000">
                    <a:srgbClr val="397bca"/>
                  </a:gs>
                </a:gsLst>
                <a:lin ang="16200000"/>
              </a:gradFill>
              <a:ln w="0">
                <a:noFill/>
              </a:ln>
            </c:spPr>
          </c:dPt>
          <c:dPt>
            <c:idx val="1"/>
            <c:spPr>
              <a:gradFill>
                <a:gsLst>
                  <a:gs pos="0">
                    <a:srgbClr val="9c2f2c"/>
                  </a:gs>
                  <a:gs pos="80000">
                    <a:srgbClr val="cb3d39"/>
                  </a:gs>
                  <a:gs pos="100000">
                    <a:srgbClr val="ce3a36"/>
                  </a:gs>
                </a:gsLst>
                <a:lin ang="16200000"/>
              </a:gradFill>
              <a:ln w="0">
                <a:noFill/>
              </a:ln>
            </c:spPr>
          </c:dPt>
          <c:dPt>
            <c:idx val="2"/>
            <c:spPr>
              <a:gradFill>
                <a:gsLst>
                  <a:gs pos="0">
                    <a:srgbClr val="779637"/>
                  </a:gs>
                  <a:gs pos="80000">
                    <a:srgbClr val="9bc348"/>
                  </a:gs>
                  <a:gs pos="100000">
                    <a:srgbClr val="9cc745"/>
                  </a:gs>
                </a:gsLst>
                <a:lin ang="16200000"/>
              </a:gradFill>
              <a:ln w="0">
                <a:noFill/>
              </a:ln>
            </c:spPr>
          </c:dPt>
          <c:dPt>
            <c:idx val="3"/>
            <c:spPr>
              <a:gradFill>
                <a:gsLst>
                  <a:gs pos="0">
                    <a:srgbClr val="5e437f"/>
                  </a:gs>
                  <a:gs pos="80000">
                    <a:srgbClr val="7b57a5"/>
                  </a:gs>
                  <a:gs pos="100000">
                    <a:srgbClr val="7b57a7"/>
                  </a:gs>
                </a:gsLst>
                <a:lin ang="16200000"/>
              </a:gradFill>
              <a:ln w="0">
                <a:noFill/>
              </a:ln>
            </c:spPr>
          </c:dPt>
          <c:dPt>
            <c:idx val="4"/>
            <c:spPr>
              <a:gradFill>
                <a:gsLst>
                  <a:gs pos="0">
                    <a:srgbClr val="2988a1"/>
                  </a:gs>
                  <a:gs pos="80000">
                    <a:srgbClr val="36b0d1"/>
                  </a:gs>
                  <a:gs pos="100000">
                    <a:srgbClr val="34b3d5"/>
                  </a:gs>
                </a:gsLst>
                <a:lin ang="16200000"/>
              </a:gradFill>
              <a:ln w="0">
                <a:noFill/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b="1" sz="1100" strike="noStrike" u="none">
                      <a:solidFill>
                        <a:srgbClr val="40404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b="1" sz="1100" strike="noStrike" u="none">
                      <a:solidFill>
                        <a:srgbClr val="40404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eparator>; </c:separator>
            </c:dLbl>
            <c:dLbl>
              <c:idx val="2"/>
              <c:numFmt formatCode="General" sourceLinked="1"/>
              <c:txPr>
                <a:bodyPr wrap="square"/>
                <a:lstStyle/>
                <a:p>
                  <a:pPr>
                    <a:defRPr b="1" sz="1100" strike="noStrike" u="none">
                      <a:solidFill>
                        <a:srgbClr val="40404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eparator>; </c:separator>
            </c:dLbl>
            <c:dLbl>
              <c:idx val="3"/>
              <c:numFmt formatCode="General" sourceLinked="1"/>
              <c:txPr>
                <a:bodyPr wrap="square"/>
                <a:lstStyle/>
                <a:p>
                  <a:pPr>
                    <a:defRPr b="1" sz="1100" strike="noStrike" u="none">
                      <a:solidFill>
                        <a:srgbClr val="40404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eparator>; </c:separator>
            </c:dLbl>
            <c:dLbl>
              <c:idx val="4"/>
              <c:numFmt formatCode="General" sourceLinked="1"/>
              <c:txPr>
                <a:bodyPr wrap="square"/>
                <a:lstStyle/>
                <a:p>
                  <a:pPr>
                    <a:defRPr b="1" sz="1100" strike="noStrike" u="none">
                      <a:solidFill>
                        <a:srgbClr val="40404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eparator>; </c:separator>
            </c:dLbl>
            <c:txPr>
              <a:bodyPr wrap="square"/>
              <a:lstStyle/>
              <a:p>
                <a:pPr>
                  <a:defRPr b="1" sz="1100" strike="noStrike" u="none">
                    <a:solidFill>
                      <a:srgbClr val="40404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categories</c:f>
              <c:strCache>
                <c:ptCount val="5"/>
                <c:pt idx="0">
                  <c:v>0</c:v>
                </c:pt>
                <c:pt idx="1">
                  <c:v>LEM Marketing</c:v>
                </c:pt>
                <c:pt idx="2">
                  <c:v>To be refurbished.</c:v>
                </c:pt>
                <c:pt idx="3">
                  <c:v>Under Offer</c:v>
                </c:pt>
                <c:pt idx="4">
                  <c:v>Mothballed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5"/>
                <c:pt idx="0">
                  <c:v>12</c:v>
                </c:pt>
                <c:pt idx="1">
                  <c:v>53</c:v>
                </c:pt>
                <c:pt idx="2">
                  <c:v>50</c:v>
                </c:pt>
                <c:pt idx="3">
                  <c:v>8</c:v>
                </c:pt>
                <c:pt idx="4">
                  <c:v>23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811854175056549"/>
          <c:y val="0.272195414349308"/>
          <c:w val="0.186555785349477"/>
          <c:h val="0.469080983782609"/>
        </c:manualLayout>
      </c:layout>
      <c:overlay val="1"/>
      <c:spPr>
        <a:noFill/>
        <a:ln w="0">
          <a:noFill/>
        </a:ln>
      </c:spPr>
      <c:txPr>
        <a:bodyPr/>
        <a:lstStyle/>
        <a:p>
          <a:pPr>
            <a:defRPr b="0" sz="900" strike="noStrike" u="none">
              <a:solidFill>
                <a:srgbClr val="595959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lang="en-US" sz="1600" strike="noStrike" u="none">
                <a:solidFill>
                  <a:srgbClr val="595959"/>
                </a:solidFill>
                <a:uFillTx/>
                <a:latin typeface="Calibri"/>
              </a:rPr>
              <a:t>Void Property By EPC Rating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label 0</c:f>
              <c:strCache>
                <c:ptCount val="1"/>
                <c:pt idx="0">
                  <c:v>Void Property by Category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gradFill>
                <a:gsLst>
                  <a:gs pos="0">
                    <a:srgbClr val="2e5f99"/>
                  </a:gs>
                  <a:gs pos="80000">
                    <a:srgbClr val="3c7ac7"/>
                  </a:gs>
                  <a:gs pos="100000">
                    <a:srgbClr val="397bca"/>
                  </a:gs>
                </a:gsLst>
                <a:lin ang="16200000"/>
              </a:gradFill>
              <a:ln w="0">
                <a:noFill/>
              </a:ln>
            </c:spPr>
          </c:dPt>
          <c:dPt>
            <c:idx val="1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990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4"/>
            <c:spPr>
              <a:solidFill>
                <a:srgbClr val="c00000"/>
              </a:solidFill>
              <a:ln w="0">
                <a:noFill/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b="1" sz="1600" strike="noStrike" u="none">
                      <a:solidFill>
                        <a:srgbClr val="ffffff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0"/>
              <c:showPercent val="1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b="1" sz="1600" strike="noStrike" u="none">
                      <a:solidFill>
                        <a:srgbClr val="ffffff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0"/>
              <c:showPercent val="1"/>
              <c:separator>; </c:separator>
            </c:dLbl>
            <c:dLbl>
              <c:idx val="2"/>
              <c:numFmt formatCode="General" sourceLinked="1"/>
              <c:txPr>
                <a:bodyPr wrap="square"/>
                <a:lstStyle/>
                <a:p>
                  <a:pPr>
                    <a:defRPr b="1" sz="1600" strike="noStrike" u="none">
                      <a:solidFill>
                        <a:srgbClr val="ffffff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0"/>
              <c:showPercent val="1"/>
              <c:separator>; </c:separator>
            </c:dLbl>
            <c:dLbl>
              <c:idx val="3"/>
              <c:numFmt formatCode="General" sourceLinked="1"/>
              <c:txPr>
                <a:bodyPr wrap="square"/>
                <a:lstStyle/>
                <a:p>
                  <a:pPr>
                    <a:defRPr b="1" sz="1600" strike="noStrike" u="none">
                      <a:solidFill>
                        <a:srgbClr val="ffffff"/>
                      </a:solidFill>
                      <a:uFillTx/>
                      <a:latin typeface="Calibri"/>
                    </a:defRPr>
                  </a:pPr>
                </a:p>
              </c:txPr>
              <c:dLblPos val="ctr"/>
              <c:showLegendKey val="1"/>
              <c:showVal val="1"/>
              <c:showCatName val="0"/>
              <c:showSerName val="0"/>
              <c:showPercent val="1"/>
              <c:separator>; </c:separator>
            </c:dLbl>
            <c:dLbl>
              <c:idx val="4"/>
              <c:numFmt formatCode="General" sourceLinked="1"/>
              <c:txPr>
                <a:bodyPr wrap="square"/>
                <a:lstStyle/>
                <a:p>
                  <a:pPr>
                    <a:defRPr b="1" sz="1600" strike="noStrike" u="none">
                      <a:solidFill>
                        <a:srgbClr val="ffffff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0"/>
              <c:showPercent val="1"/>
              <c:separator>; </c:separator>
            </c:dLbl>
            <c:txPr>
              <a:bodyPr wrap="square"/>
              <a:lstStyle/>
              <a:p>
                <a:pPr>
                  <a:defRPr b="1" sz="1600" strike="noStrike" u="none">
                    <a:solidFill>
                      <a:srgbClr val="ffffff"/>
                    </a:solidFill>
                    <a:uFillTx/>
                    <a:latin typeface="Calibri"/>
                  </a:defRPr>
                </a:pPr>
              </a:p>
            </c:txPr>
            <c:dLblPos val="ctr"/>
            <c:showLegendKey val="1"/>
            <c:showVal val="1"/>
            <c:showCatName val="0"/>
            <c:showSerName val="0"/>
            <c:showPercent val="1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categories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5"/>
                <c:pt idx="0">
                  <c:v>0</c:v>
                </c:pt>
                <c:pt idx="1">
                  <c:v>14</c:v>
                </c:pt>
                <c:pt idx="2">
                  <c:v>14</c:v>
                </c:pt>
                <c:pt idx="3">
                  <c:v>64</c:v>
                </c:pt>
                <c:pt idx="4">
                  <c:v>39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888869770937597"/>
          <c:y val="0.302999597726013"/>
          <c:w val="0.0587318421844177"/>
          <c:h val="0.442301133562817"/>
        </c:manualLayout>
      </c:layout>
      <c:overlay val="1"/>
      <c:spPr>
        <a:noFill/>
        <a:ln w="0">
          <a:noFill/>
        </a:ln>
      </c:spPr>
      <c:txPr>
        <a:bodyPr/>
        <a:lstStyle/>
        <a:p>
          <a:pPr>
            <a:defRPr b="0" sz="1600" strike="noStrike" u="none">
              <a:solidFill>
                <a:srgbClr val="595959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145</xdr:row>
      <xdr:rowOff>50400</xdr:rowOff>
    </xdr:from>
    <xdr:to>
      <xdr:col>25</xdr:col>
      <xdr:colOff>10440</xdr:colOff>
      <xdr:row>161</xdr:row>
      <xdr:rowOff>294840</xdr:rowOff>
    </xdr:to>
    <xdr:graphicFrame>
      <xdr:nvGraphicFramePr>
        <xdr:cNvPr id="0" name="Chart 1"/>
        <xdr:cNvGraphicFramePr/>
      </xdr:nvGraphicFramePr>
      <xdr:xfrm>
        <a:off x="975240" y="52047360"/>
        <a:ext cx="11233440" cy="4968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0</xdr:colOff>
      <xdr:row>161</xdr:row>
      <xdr:rowOff>255960</xdr:rowOff>
    </xdr:from>
    <xdr:to>
      <xdr:col>25</xdr:col>
      <xdr:colOff>16560</xdr:colOff>
      <xdr:row>179</xdr:row>
      <xdr:rowOff>137880</xdr:rowOff>
    </xdr:to>
    <xdr:graphicFrame>
      <xdr:nvGraphicFramePr>
        <xdr:cNvPr id="1" name="Chart 2"/>
        <xdr:cNvGraphicFramePr/>
      </xdr:nvGraphicFramePr>
      <xdr:xfrm>
        <a:off x="975240" y="56977200"/>
        <a:ext cx="11239560" cy="5196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E5C1A"/>
    <pageSetUpPr fitToPage="false"/>
  </sheetPr>
  <dimension ref="A1:AJ976"/>
  <sheetViews>
    <sheetView showFormulas="false" showGridLines="true" showRowColHeaders="true" showZeros="true" rightToLeft="false" tabSelected="false" showOutlineSymbols="true" defaultGridColor="true" view="pageBreakPreview" topLeftCell="B1" colorId="64" zoomScale="100" zoomScaleNormal="100" zoomScalePageLayoutView="100" workbookViewId="0">
      <pane xSplit="0" ySplit="3" topLeftCell="A4" activePane="bottomLeft" state="frozen"/>
      <selection pane="topLeft" activeCell="B1" activeCellId="0" sqref="B1"/>
      <selection pane="bottomLeft" activeCell="AJ5" activeCellId="0" sqref="AJ5"/>
    </sheetView>
  </sheetViews>
  <sheetFormatPr defaultColWidth="8.83203125" defaultRowHeight="13.5" customHeight="true" zeroHeight="false" outlineLevelRow="0" outlineLevelCol="0"/>
  <cols>
    <col collapsed="false" customWidth="true" hidden="false" outlineLevel="0" max="1" min="1" style="1" width="1.51"/>
    <col collapsed="false" customWidth="true" hidden="false" outlineLevel="0" max="2" min="2" style="2" width="8"/>
    <col collapsed="false" customWidth="true" hidden="true" outlineLevel="0" max="3" min="3" style="2" width="5.52"/>
    <col collapsed="false" customWidth="true" hidden="true" outlineLevel="0" max="4" min="4" style="3" width="8.16"/>
    <col collapsed="false" customWidth="true" hidden="true" outlineLevel="0" max="5" min="5" style="3" width="28.67"/>
    <col collapsed="false" customWidth="true" hidden="false" outlineLevel="0" max="6" min="6" style="4" width="22.5"/>
    <col collapsed="false" customWidth="true" hidden="false" outlineLevel="0" max="7" min="7" style="5" width="12.83"/>
    <col collapsed="false" customWidth="true" hidden="false" outlineLevel="0" max="8" min="8" style="6" width="9.16"/>
    <col collapsed="false" customWidth="true" hidden="true" outlineLevel="0" max="10" min="9" style="6" width="7.83"/>
    <col collapsed="false" customWidth="true" hidden="false" outlineLevel="0" max="11" min="11" style="4" width="31.16"/>
    <col collapsed="false" customWidth="true" hidden="false" outlineLevel="0" max="12" min="12" style="7" width="9.67"/>
    <col collapsed="false" customWidth="true" hidden="false" outlineLevel="0" max="13" min="13" style="8" width="9.67"/>
    <col collapsed="false" customWidth="true" hidden="false" outlineLevel="0" max="14" min="14" style="8" width="8.16"/>
    <col collapsed="false" customWidth="true" hidden="false" outlineLevel="0" max="15" min="15" style="8" width="7.5"/>
    <col collapsed="false" customWidth="true" hidden="false" outlineLevel="0" max="16" min="16" style="8" width="9"/>
    <col collapsed="false" customWidth="true" hidden="false" outlineLevel="0" max="17" min="17" style="9" width="11.5"/>
    <col collapsed="false" customWidth="true" hidden="true" outlineLevel="0" max="18" min="18" style="9" width="9.52"/>
    <col collapsed="false" customWidth="true" hidden="true" outlineLevel="0" max="19" min="19" style="9" width="8.67"/>
    <col collapsed="false" customWidth="true" hidden="false" outlineLevel="0" max="20" min="20" style="10" width="11.33"/>
    <col collapsed="false" customWidth="true" hidden="true" outlineLevel="0" max="21" min="21" style="11" width="9.33"/>
    <col collapsed="false" customWidth="true" hidden="false" outlineLevel="0" max="22" min="22" style="10" width="11.33"/>
    <col collapsed="false" customWidth="true" hidden="true" outlineLevel="0" max="23" min="23" style="11" width="8.34"/>
    <col collapsed="false" customWidth="true" hidden="false" outlineLevel="0" max="24" min="24" style="11" width="7.5"/>
    <col collapsed="false" customWidth="false" hidden="false" outlineLevel="0" max="25" min="25" style="11" width="8.83"/>
    <col collapsed="false" customWidth="true" hidden="false" outlineLevel="0" max="26" min="26" style="11" width="4.5"/>
    <col collapsed="false" customWidth="true" hidden="false" outlineLevel="0" max="27" min="27" style="12" width="1.51"/>
    <col collapsed="false" customWidth="true" hidden="false" outlineLevel="0" max="28" min="28" style="13" width="11.5"/>
    <col collapsed="false" customWidth="true" hidden="false" outlineLevel="0" max="29" min="29" style="14" width="8.5"/>
    <col collapsed="false" customWidth="true" hidden="false" outlineLevel="0" max="30" min="30" style="4" width="52.83"/>
    <col collapsed="false" customWidth="true" hidden="false" outlineLevel="0" max="31" min="31" style="15" width="11.33"/>
    <col collapsed="false" customWidth="true" hidden="false" outlineLevel="0" max="34" min="32" style="4" width="11"/>
    <col collapsed="false" customWidth="true" hidden="false" outlineLevel="0" max="36" min="36" style="16" width="10.16"/>
  </cols>
  <sheetData>
    <row r="1" customFormat="false" ht="13.5" hidden="false" customHeight="false" outlineLevel="0" collapsed="false">
      <c r="C1" s="3" t="s">
        <v>0</v>
      </c>
      <c r="D1" s="3" t="s">
        <v>0</v>
      </c>
      <c r="E1" s="3" t="s">
        <v>0</v>
      </c>
      <c r="P1" s="3"/>
      <c r="AC1" s="3"/>
    </row>
    <row r="2" customFormat="false" ht="13.5" hidden="false" customHeight="false" outlineLevel="0" collapsed="false">
      <c r="C2" s="3" t="s">
        <v>0</v>
      </c>
      <c r="D2" s="3" t="s">
        <v>0</v>
      </c>
      <c r="E2" s="3" t="s">
        <v>0</v>
      </c>
      <c r="I2" s="3" t="s">
        <v>0</v>
      </c>
      <c r="J2" s="3" t="s">
        <v>0</v>
      </c>
      <c r="P2" s="3"/>
      <c r="R2" s="3" t="s">
        <v>0</v>
      </c>
      <c r="S2" s="3" t="s">
        <v>0</v>
      </c>
      <c r="U2" s="3" t="s">
        <v>0</v>
      </c>
      <c r="W2" s="3" t="s">
        <v>0</v>
      </c>
      <c r="X2" s="3"/>
      <c r="Y2" s="3"/>
      <c r="Z2" s="3"/>
      <c r="AC2" s="3"/>
      <c r="AE2" s="15" t="s">
        <v>0</v>
      </c>
      <c r="AF2" s="15" t="s">
        <v>0</v>
      </c>
      <c r="AG2" s="15" t="s">
        <v>0</v>
      </c>
      <c r="AH2" s="15" t="s">
        <v>0</v>
      </c>
    </row>
    <row r="3" customFormat="false" ht="24" hidden="false" customHeight="true" outlineLevel="0" collapsed="false">
      <c r="B3" s="17" t="s">
        <v>1</v>
      </c>
      <c r="C3" s="17" t="s">
        <v>2</v>
      </c>
      <c r="D3" s="18" t="s">
        <v>3</v>
      </c>
      <c r="E3" s="18" t="s">
        <v>4</v>
      </c>
      <c r="F3" s="18" t="s">
        <v>5</v>
      </c>
      <c r="G3" s="19" t="s">
        <v>6</v>
      </c>
      <c r="H3" s="20" t="s">
        <v>7</v>
      </c>
      <c r="I3" s="20" t="s">
        <v>8</v>
      </c>
      <c r="J3" s="20" t="s">
        <v>9</v>
      </c>
      <c r="K3" s="21" t="s">
        <v>10</v>
      </c>
      <c r="L3" s="22" t="s">
        <v>11</v>
      </c>
      <c r="M3" s="22" t="s">
        <v>12</v>
      </c>
      <c r="N3" s="22" t="s">
        <v>13</v>
      </c>
      <c r="O3" s="22" t="s">
        <v>14</v>
      </c>
      <c r="P3" s="22" t="s">
        <v>15</v>
      </c>
      <c r="Q3" s="23" t="s">
        <v>16</v>
      </c>
      <c r="R3" s="23" t="s">
        <v>17</v>
      </c>
      <c r="S3" s="23" t="s">
        <v>18</v>
      </c>
      <c r="T3" s="23" t="s">
        <v>19</v>
      </c>
      <c r="U3" s="19" t="s">
        <v>20</v>
      </c>
      <c r="V3" s="23" t="s">
        <v>21</v>
      </c>
      <c r="W3" s="19" t="s">
        <v>22</v>
      </c>
      <c r="X3" s="19" t="s">
        <v>23</v>
      </c>
      <c r="Y3" s="19" t="s">
        <v>24</v>
      </c>
      <c r="Z3" s="19" t="s">
        <v>25</v>
      </c>
      <c r="AA3" s="24" t="s">
        <v>26</v>
      </c>
      <c r="AB3" s="25" t="s">
        <v>27</v>
      </c>
      <c r="AC3" s="25" t="s">
        <v>28</v>
      </c>
      <c r="AD3" s="26" t="s">
        <v>29</v>
      </c>
      <c r="AE3" s="27" t="s">
        <v>30</v>
      </c>
      <c r="AF3" s="28" t="s">
        <v>31</v>
      </c>
      <c r="AG3" s="28" t="s">
        <v>32</v>
      </c>
      <c r="AH3" s="28" t="s">
        <v>33</v>
      </c>
      <c r="AI3" s="28" t="s">
        <v>34</v>
      </c>
      <c r="AJ3" s="28" t="s">
        <v>35</v>
      </c>
    </row>
    <row r="4" customFormat="false" ht="13.5" hidden="false" customHeight="false" outlineLevel="0" collapsed="false">
      <c r="B4" s="11"/>
      <c r="C4" s="11"/>
      <c r="D4" s="29"/>
      <c r="E4" s="4"/>
      <c r="F4" s="30"/>
      <c r="G4" s="31"/>
      <c r="H4" s="32"/>
      <c r="I4" s="32"/>
      <c r="J4" s="32"/>
      <c r="K4" s="30"/>
      <c r="L4" s="33"/>
      <c r="M4" s="34"/>
      <c r="N4" s="34"/>
      <c r="O4" s="34"/>
      <c r="P4" s="34"/>
      <c r="Q4" s="35"/>
      <c r="R4" s="35"/>
      <c r="S4" s="35"/>
      <c r="T4" s="36"/>
      <c r="U4" s="36"/>
      <c r="V4" s="36"/>
      <c r="W4" s="36"/>
      <c r="X4" s="36"/>
      <c r="Y4" s="36"/>
      <c r="Z4" s="36"/>
      <c r="AA4" s="37"/>
      <c r="AB4" s="38"/>
      <c r="AD4" s="30"/>
      <c r="AI4" s="1" t="n">
        <v>1</v>
      </c>
      <c r="AJ4" s="16" t="n">
        <v>44026</v>
      </c>
    </row>
    <row r="5" customFormat="false" ht="14.25" hidden="false" customHeight="true" outlineLevel="0" collapsed="false">
      <c r="A5" s="29"/>
      <c r="B5" s="11"/>
      <c r="C5" s="11"/>
      <c r="D5" s="29"/>
      <c r="E5" s="4"/>
      <c r="G5" s="39" t="s">
        <v>36</v>
      </c>
      <c r="I5" s="9"/>
      <c r="J5" s="9"/>
      <c r="K5" s="40"/>
      <c r="T5" s="11"/>
      <c r="U5" s="9"/>
      <c r="V5" s="11"/>
      <c r="W5" s="9"/>
      <c r="X5" s="9"/>
      <c r="Y5" s="41"/>
      <c r="Z5" s="9"/>
      <c r="AA5" s="42"/>
      <c r="AB5" s="14"/>
    </row>
    <row r="6" customFormat="false" ht="14.25" hidden="false" customHeight="true" outlineLevel="0" collapsed="false">
      <c r="A6" s="29"/>
      <c r="B6" s="11"/>
      <c r="C6" s="11"/>
      <c r="D6" s="29"/>
      <c r="E6" s="4"/>
      <c r="I6" s="9"/>
      <c r="J6" s="9"/>
      <c r="K6" s="40"/>
      <c r="T6" s="9"/>
      <c r="U6" s="9"/>
      <c r="V6" s="9"/>
      <c r="W6" s="9"/>
      <c r="X6" s="9"/>
      <c r="Y6" s="41"/>
      <c r="Z6" s="9"/>
      <c r="AA6" s="42"/>
      <c r="AB6" s="14"/>
      <c r="AI6" s="1" t="n">
        <v>1</v>
      </c>
    </row>
    <row r="7" customFormat="false" ht="24" hidden="false" customHeight="true" outlineLevel="0" collapsed="false">
      <c r="A7" s="29"/>
      <c r="B7" s="11" t="s">
        <v>37</v>
      </c>
      <c r="C7" s="11" t="s">
        <v>38</v>
      </c>
      <c r="D7" s="29" t="n">
        <v>550020</v>
      </c>
      <c r="E7" s="4" t="s">
        <v>36</v>
      </c>
      <c r="F7" s="4" t="s">
        <v>39</v>
      </c>
      <c r="G7" s="5" t="s">
        <v>40</v>
      </c>
      <c r="H7" s="43" t="n">
        <v>2011</v>
      </c>
      <c r="I7" s="9" t="n">
        <f aca="false">H7</f>
        <v>2011</v>
      </c>
      <c r="J7" s="9" t="n">
        <v>2000</v>
      </c>
      <c r="K7" s="4" t="s">
        <v>41</v>
      </c>
      <c r="L7" s="7" t="n">
        <v>45365</v>
      </c>
      <c r="M7" s="8" t="n">
        <v>47190</v>
      </c>
      <c r="P7" s="8" t="n">
        <v>46459</v>
      </c>
      <c r="Q7" s="44" t="n">
        <v>115500</v>
      </c>
      <c r="R7" s="9" t="n">
        <f aca="false">Q7</f>
        <v>115500</v>
      </c>
      <c r="S7" s="44" t="n">
        <f aca="false">R7</f>
        <v>115500</v>
      </c>
      <c r="T7" s="44" t="n">
        <v>100600</v>
      </c>
      <c r="U7" s="9" t="n">
        <f aca="false">T7</f>
        <v>100600</v>
      </c>
      <c r="V7" s="44" t="n">
        <v>115000</v>
      </c>
      <c r="W7" s="9" t="n">
        <f aca="false">V7</f>
        <v>115000</v>
      </c>
      <c r="X7" s="45" t="n">
        <f aca="false">V7/H7</f>
        <v>57.1854798607658</v>
      </c>
      <c r="Y7" s="46" t="n">
        <f aca="false">SUM(V7-T7)/T7</f>
        <v>0.143141153081511</v>
      </c>
      <c r="Z7" s="9" t="s">
        <v>42</v>
      </c>
      <c r="AA7" s="42"/>
      <c r="AB7" s="44" t="n">
        <v>1825000</v>
      </c>
      <c r="AC7" s="14" t="s">
        <v>43</v>
      </c>
      <c r="AD7" s="4" t="s">
        <v>44</v>
      </c>
    </row>
    <row r="8" customFormat="false" ht="14.25" hidden="false" customHeight="true" outlineLevel="0" collapsed="false">
      <c r="A8" s="29"/>
      <c r="B8" s="11"/>
      <c r="C8" s="11"/>
      <c r="D8" s="29"/>
      <c r="E8" s="4"/>
      <c r="F8" s="47" t="s">
        <v>45</v>
      </c>
      <c r="H8" s="48" t="n">
        <f aca="false">SUM(H7)</f>
        <v>2011</v>
      </c>
      <c r="I8" s="43"/>
      <c r="J8" s="43"/>
      <c r="K8" s="49"/>
      <c r="L8" s="50"/>
      <c r="M8" s="51"/>
      <c r="N8" s="51"/>
      <c r="O8" s="51"/>
      <c r="P8" s="51"/>
      <c r="Q8" s="48"/>
      <c r="R8" s="48"/>
      <c r="S8" s="48"/>
      <c r="T8" s="48"/>
      <c r="U8" s="48"/>
      <c r="V8" s="48"/>
      <c r="W8" s="48"/>
      <c r="X8" s="48"/>
      <c r="Y8" s="52"/>
      <c r="Z8" s="48"/>
      <c r="AA8" s="53"/>
      <c r="AB8" s="54"/>
      <c r="AC8" s="55"/>
      <c r="AI8" s="1" t="n">
        <v>2</v>
      </c>
    </row>
    <row r="9" customFormat="false" ht="14.25" hidden="false" customHeight="true" outlineLevel="0" collapsed="false">
      <c r="A9" s="29"/>
      <c r="B9" s="11"/>
      <c r="C9" s="11"/>
      <c r="D9" s="29"/>
      <c r="E9" s="4"/>
      <c r="G9" s="39" t="s">
        <v>46</v>
      </c>
      <c r="I9" s="9"/>
      <c r="J9" s="9"/>
      <c r="K9" s="40"/>
      <c r="T9" s="11"/>
      <c r="U9" s="9"/>
      <c r="V9" s="11"/>
      <c r="W9" s="9"/>
      <c r="X9" s="9"/>
      <c r="Y9" s="41"/>
      <c r="Z9" s="9"/>
      <c r="AA9" s="42"/>
      <c r="AB9" s="14"/>
      <c r="AC9" s="5"/>
    </row>
    <row r="10" customFormat="false" ht="14.25" hidden="false" customHeight="true" outlineLevel="0" collapsed="false">
      <c r="A10" s="29"/>
      <c r="B10" s="11"/>
      <c r="C10" s="11"/>
      <c r="D10" s="29"/>
      <c r="E10" s="4"/>
      <c r="L10" s="8"/>
      <c r="Q10" s="6"/>
      <c r="R10" s="6"/>
      <c r="S10" s="6"/>
      <c r="T10" s="6"/>
      <c r="U10" s="6"/>
      <c r="V10" s="6"/>
      <c r="W10" s="6"/>
      <c r="X10" s="6"/>
      <c r="Y10" s="41"/>
      <c r="Z10" s="6"/>
      <c r="AA10" s="56"/>
      <c r="AB10" s="14"/>
      <c r="AC10" s="5"/>
    </row>
    <row r="11" customFormat="false" ht="24.75" hidden="false" customHeight="true" outlineLevel="0" collapsed="false">
      <c r="A11" s="29"/>
      <c r="B11" s="11" t="s">
        <v>47</v>
      </c>
      <c r="C11" s="11" t="s">
        <v>38</v>
      </c>
      <c r="D11" s="29" t="n">
        <v>550910</v>
      </c>
      <c r="E11" s="4" t="s">
        <v>46</v>
      </c>
      <c r="F11" s="4" t="s">
        <v>48</v>
      </c>
      <c r="G11" s="5" t="s">
        <v>49</v>
      </c>
      <c r="H11" s="6" t="n">
        <v>2333</v>
      </c>
      <c r="I11" s="9" t="n">
        <f aca="false">H11</f>
        <v>2333</v>
      </c>
      <c r="J11" s="9" t="n">
        <v>2000</v>
      </c>
      <c r="K11" s="4" t="s">
        <v>50</v>
      </c>
      <c r="L11" s="8" t="n">
        <v>45736</v>
      </c>
      <c r="M11" s="8" t="n">
        <v>47561</v>
      </c>
      <c r="P11" s="8" t="n">
        <v>46831</v>
      </c>
      <c r="Q11" s="57" t="n">
        <v>128000</v>
      </c>
      <c r="R11" s="9" t="n">
        <f aca="false">Q11</f>
        <v>128000</v>
      </c>
      <c r="T11" s="6" t="n">
        <v>110000</v>
      </c>
      <c r="U11" s="9" t="n">
        <f aca="false">T11</f>
        <v>110000</v>
      </c>
      <c r="V11" s="6" t="n">
        <v>108100</v>
      </c>
      <c r="W11" s="9" t="n">
        <f aca="false">V11</f>
        <v>108100</v>
      </c>
      <c r="X11" s="45" t="n">
        <f aca="false">V11/H11</f>
        <v>46.3351907415345</v>
      </c>
      <c r="Y11" s="46" t="n">
        <f aca="false">SUM(V11-T11)/T11</f>
        <v>-0.0172727272727273</v>
      </c>
      <c r="Z11" s="9" t="s">
        <v>42</v>
      </c>
      <c r="AA11" s="42"/>
      <c r="AB11" s="14"/>
      <c r="AC11" s="5" t="s">
        <v>43</v>
      </c>
      <c r="AD11" s="4" t="s">
        <v>51</v>
      </c>
      <c r="AE11" s="58"/>
      <c r="AF11" s="4" t="n">
        <v>1</v>
      </c>
      <c r="AG11" s="59" t="n">
        <v>3</v>
      </c>
      <c r="AI11" s="1" t="n">
        <v>4</v>
      </c>
    </row>
    <row r="12" customFormat="false" ht="22.5" hidden="false" customHeight="true" outlineLevel="0" collapsed="false">
      <c r="A12" s="29"/>
      <c r="B12" s="11" t="s">
        <v>47</v>
      </c>
      <c r="C12" s="11" t="s">
        <v>38</v>
      </c>
      <c r="D12" s="29" t="n">
        <v>550910</v>
      </c>
      <c r="E12" s="4" t="s">
        <v>46</v>
      </c>
      <c r="F12" s="4" t="s">
        <v>52</v>
      </c>
      <c r="G12" s="5" t="s">
        <v>53</v>
      </c>
      <c r="H12" s="6" t="n">
        <v>6092</v>
      </c>
      <c r="I12" s="9" t="n">
        <f aca="false">H12</f>
        <v>6092</v>
      </c>
      <c r="J12" s="9" t="n">
        <v>6000</v>
      </c>
      <c r="K12" s="4" t="s">
        <v>54</v>
      </c>
      <c r="L12" s="7" t="n">
        <v>45712</v>
      </c>
      <c r="M12" s="8" t="n">
        <v>47537</v>
      </c>
      <c r="P12" s="8" t="n">
        <v>46806</v>
      </c>
      <c r="Q12" s="9" t="n">
        <v>325000</v>
      </c>
      <c r="R12" s="9" t="n">
        <f aca="false">Q12</f>
        <v>325000</v>
      </c>
      <c r="T12" s="6" t="n">
        <v>225000</v>
      </c>
      <c r="U12" s="9" t="n">
        <f aca="false">T12</f>
        <v>225000</v>
      </c>
      <c r="V12" s="6" t="n">
        <v>226100</v>
      </c>
      <c r="W12" s="9" t="n">
        <f aca="false">V12</f>
        <v>226100</v>
      </c>
      <c r="X12" s="45" t="n">
        <f aca="false">V12/H12</f>
        <v>37.1142481943533</v>
      </c>
      <c r="Y12" s="46" t="n">
        <f aca="false">SUM(V12-T12)/T12</f>
        <v>0.00488888888888889</v>
      </c>
      <c r="Z12" s="9" t="s">
        <v>55</v>
      </c>
      <c r="AA12" s="42"/>
      <c r="AB12" s="14"/>
      <c r="AC12" s="5" t="s">
        <v>43</v>
      </c>
      <c r="AD12" s="4" t="s">
        <v>56</v>
      </c>
      <c r="AE12" s="58"/>
      <c r="AG12" s="59" t="n">
        <v>3</v>
      </c>
      <c r="AH12" s="4" t="s">
        <v>57</v>
      </c>
    </row>
    <row r="13" customFormat="false" ht="22.5" hidden="false" customHeight="true" outlineLevel="0" collapsed="false">
      <c r="A13" s="29"/>
      <c r="B13" s="11" t="s">
        <v>47</v>
      </c>
      <c r="C13" s="11" t="s">
        <v>38</v>
      </c>
      <c r="D13" s="29" t="n">
        <v>550910</v>
      </c>
      <c r="E13" s="4" t="s">
        <v>46</v>
      </c>
      <c r="F13" s="4" t="s">
        <v>58</v>
      </c>
      <c r="G13" s="5" t="s">
        <v>40</v>
      </c>
      <c r="H13" s="6" t="n">
        <v>1063</v>
      </c>
      <c r="I13" s="9" t="n">
        <f aca="false">H13</f>
        <v>1063</v>
      </c>
      <c r="J13" s="9" t="n">
        <v>1000</v>
      </c>
      <c r="K13" s="4" t="s">
        <v>59</v>
      </c>
      <c r="L13" s="8" t="n">
        <v>45551</v>
      </c>
      <c r="M13" s="8" t="n">
        <v>47376</v>
      </c>
      <c r="P13" s="8" t="n">
        <v>46645</v>
      </c>
      <c r="Q13" s="6" t="n">
        <v>61425</v>
      </c>
      <c r="R13" s="9" t="n">
        <f aca="false">Q13</f>
        <v>61425</v>
      </c>
      <c r="T13" s="6" t="n">
        <v>55700</v>
      </c>
      <c r="U13" s="9" t="n">
        <f aca="false">T13</f>
        <v>55700</v>
      </c>
      <c r="V13" s="6" t="n">
        <v>61100</v>
      </c>
      <c r="W13" s="9" t="n">
        <f aca="false">V13</f>
        <v>61100</v>
      </c>
      <c r="X13" s="45" t="n">
        <f aca="false">V13/H13</f>
        <v>57.4788334901223</v>
      </c>
      <c r="Y13" s="46" t="n">
        <f aca="false">SUM(V13-T13)/T13</f>
        <v>0.0969479353680431</v>
      </c>
      <c r="Z13" s="9" t="s">
        <v>60</v>
      </c>
      <c r="AA13" s="42"/>
      <c r="AB13" s="14"/>
      <c r="AC13" s="5" t="s">
        <v>43</v>
      </c>
      <c r="AD13" s="4" t="s">
        <v>61</v>
      </c>
      <c r="AH13" s="60" t="s">
        <v>57</v>
      </c>
    </row>
    <row r="14" customFormat="false" ht="22.5" hidden="false" customHeight="true" outlineLevel="0" collapsed="false">
      <c r="A14" s="29"/>
      <c r="B14" s="11" t="s">
        <v>47</v>
      </c>
      <c r="C14" s="11" t="s">
        <v>38</v>
      </c>
      <c r="D14" s="29" t="n">
        <v>550910</v>
      </c>
      <c r="E14" s="4" t="s">
        <v>46</v>
      </c>
      <c r="F14" s="4" t="s">
        <v>62</v>
      </c>
      <c r="G14" s="5" t="s">
        <v>40</v>
      </c>
      <c r="H14" s="6" t="n">
        <v>2220</v>
      </c>
      <c r="I14" s="9" t="n">
        <f aca="false">H14</f>
        <v>2220</v>
      </c>
      <c r="J14" s="9" t="n">
        <v>2000</v>
      </c>
      <c r="K14" s="4" t="s">
        <v>63</v>
      </c>
      <c r="L14" s="8" t="n">
        <v>45086</v>
      </c>
      <c r="M14" s="8" t="n">
        <v>46181</v>
      </c>
      <c r="Q14" s="6" t="n">
        <v>131400</v>
      </c>
      <c r="R14" s="9" t="n">
        <f aca="false">Q14</f>
        <v>131400</v>
      </c>
      <c r="T14" s="6" t="n">
        <v>131100</v>
      </c>
      <c r="U14" s="9" t="n">
        <f aca="false">T14</f>
        <v>131100</v>
      </c>
      <c r="V14" s="6" t="n">
        <v>133200</v>
      </c>
      <c r="W14" s="9" t="n">
        <f aca="false">V14</f>
        <v>133200</v>
      </c>
      <c r="X14" s="45" t="n">
        <f aca="false">V14/H14</f>
        <v>60</v>
      </c>
      <c r="Y14" s="46" t="n">
        <f aca="false">SUM(V14-T14)/T14</f>
        <v>0.0160183066361556</v>
      </c>
      <c r="Z14" s="9" t="s">
        <v>60</v>
      </c>
      <c r="AA14" s="42"/>
      <c r="AB14" s="14"/>
      <c r="AC14" s="5" t="s">
        <v>43</v>
      </c>
      <c r="AD14" s="60" t="s">
        <v>64</v>
      </c>
      <c r="AG14" s="59"/>
    </row>
    <row r="15" s="3" customFormat="true" ht="22.5" hidden="false" customHeight="true" outlineLevel="0" collapsed="false">
      <c r="A15" s="29"/>
      <c r="B15" s="11" t="s">
        <v>47</v>
      </c>
      <c r="C15" s="11" t="s">
        <v>38</v>
      </c>
      <c r="D15" s="29" t="n">
        <v>550910</v>
      </c>
      <c r="E15" s="4" t="s">
        <v>46</v>
      </c>
      <c r="F15" s="4" t="s">
        <v>65</v>
      </c>
      <c r="G15" s="5" t="s">
        <v>40</v>
      </c>
      <c r="H15" s="6" t="n">
        <v>1124</v>
      </c>
      <c r="I15" s="9" t="n">
        <f aca="false">H15</f>
        <v>1124</v>
      </c>
      <c r="J15" s="9" t="n">
        <v>1000</v>
      </c>
      <c r="K15" s="4" t="s">
        <v>63</v>
      </c>
      <c r="L15" s="8" t="n">
        <v>45614</v>
      </c>
      <c r="M15" s="8" t="n">
        <v>46181</v>
      </c>
      <c r="N15" s="8"/>
      <c r="O15" s="8"/>
      <c r="P15" s="8"/>
      <c r="Q15" s="6" t="n">
        <v>71875</v>
      </c>
      <c r="R15" s="9" t="n">
        <f aca="false">Q15</f>
        <v>71875</v>
      </c>
      <c r="S15" s="9"/>
      <c r="T15" s="6" t="n">
        <v>60400</v>
      </c>
      <c r="U15" s="9" t="n">
        <f aca="false">T15</f>
        <v>60400</v>
      </c>
      <c r="V15" s="6" t="n">
        <v>61800</v>
      </c>
      <c r="W15" s="9" t="n">
        <f aca="false">V15</f>
        <v>61800</v>
      </c>
      <c r="X15" s="45" t="n">
        <f aca="false">V15/H15</f>
        <v>54.982206405694</v>
      </c>
      <c r="Y15" s="46" t="n">
        <f aca="false">SUM(V15-T15)/T15</f>
        <v>0.0231788079470199</v>
      </c>
      <c r="Z15" s="9" t="s">
        <v>55</v>
      </c>
      <c r="AA15" s="42"/>
      <c r="AB15" s="14"/>
      <c r="AC15" s="5" t="s">
        <v>43</v>
      </c>
      <c r="AD15" s="60" t="s">
        <v>64</v>
      </c>
      <c r="AE15" s="58"/>
      <c r="AF15" s="4"/>
      <c r="AG15" s="59"/>
      <c r="AH15" s="4"/>
      <c r="AJ15" s="61"/>
    </row>
    <row r="16" customFormat="false" ht="22.5" hidden="false" customHeight="true" outlineLevel="0" collapsed="false">
      <c r="A16" s="29"/>
      <c r="B16" s="11" t="s">
        <v>47</v>
      </c>
      <c r="C16" s="11" t="s">
        <v>38</v>
      </c>
      <c r="D16" s="29" t="n">
        <v>550910</v>
      </c>
      <c r="E16" s="4" t="s">
        <v>46</v>
      </c>
      <c r="F16" s="4" t="s">
        <v>66</v>
      </c>
      <c r="G16" s="5" t="s">
        <v>40</v>
      </c>
      <c r="H16" s="6" t="n">
        <v>2238</v>
      </c>
      <c r="I16" s="9" t="n">
        <f aca="false">H16</f>
        <v>2238</v>
      </c>
      <c r="J16" s="9" t="n">
        <v>2000</v>
      </c>
      <c r="K16" s="4" t="s">
        <v>67</v>
      </c>
      <c r="L16" s="8"/>
      <c r="N16" s="8" t="n">
        <v>45636</v>
      </c>
      <c r="Q16" s="6" t="n">
        <v>0</v>
      </c>
      <c r="R16" s="9" t="n">
        <f aca="false">Q16</f>
        <v>0</v>
      </c>
      <c r="T16" s="6" t="n">
        <v>134300</v>
      </c>
      <c r="U16" s="9" t="n">
        <f aca="false">T16</f>
        <v>134300</v>
      </c>
      <c r="V16" s="6" t="n">
        <v>134300</v>
      </c>
      <c r="W16" s="9" t="n">
        <f aca="false">V16</f>
        <v>134300</v>
      </c>
      <c r="X16" s="45" t="n">
        <f aca="false">V16/H16</f>
        <v>60.0089365504915</v>
      </c>
      <c r="Y16" s="46" t="n">
        <f aca="false">SUM(V16-T16)/T16</f>
        <v>0</v>
      </c>
      <c r="Z16" s="9" t="s">
        <v>60</v>
      </c>
      <c r="AA16" s="42"/>
      <c r="AB16" s="14"/>
      <c r="AC16" s="5" t="s">
        <v>43</v>
      </c>
      <c r="AD16" s="4" t="s">
        <v>68</v>
      </c>
      <c r="AF16" s="4" t="n">
        <v>2</v>
      </c>
      <c r="AG16" s="59" t="n">
        <v>2</v>
      </c>
      <c r="AH16" s="60"/>
    </row>
    <row r="17" customFormat="false" ht="22.5" hidden="false" customHeight="true" outlineLevel="0" collapsed="false">
      <c r="A17" s="29"/>
      <c r="B17" s="11" t="s">
        <v>47</v>
      </c>
      <c r="C17" s="11" t="s">
        <v>38</v>
      </c>
      <c r="D17" s="29" t="n">
        <v>550910</v>
      </c>
      <c r="E17" s="4" t="s">
        <v>46</v>
      </c>
      <c r="F17" s="4" t="s">
        <v>69</v>
      </c>
      <c r="G17" s="5" t="s">
        <v>40</v>
      </c>
      <c r="H17" s="6" t="n">
        <v>400</v>
      </c>
      <c r="I17" s="9" t="n">
        <f aca="false">H17</f>
        <v>400</v>
      </c>
      <c r="J17" s="9" t="n">
        <v>500</v>
      </c>
      <c r="K17" s="4" t="s">
        <v>67</v>
      </c>
      <c r="L17" s="8"/>
      <c r="N17" s="8" t="n">
        <v>45771</v>
      </c>
      <c r="Q17" s="6" t="n">
        <v>0</v>
      </c>
      <c r="R17" s="9" t="n">
        <f aca="false">Q17</f>
        <v>0</v>
      </c>
      <c r="T17" s="6" t="n">
        <v>20600</v>
      </c>
      <c r="U17" s="9" t="n">
        <f aca="false">T17</f>
        <v>20600</v>
      </c>
      <c r="V17" s="6" t="n">
        <v>23000</v>
      </c>
      <c r="W17" s="9" t="n">
        <f aca="false">V17</f>
        <v>23000</v>
      </c>
      <c r="X17" s="45" t="n">
        <f aca="false">V17/H17</f>
        <v>57.5</v>
      </c>
      <c r="Y17" s="46" t="n">
        <f aca="false">SUM(V17-T17)/T17</f>
        <v>0.116504854368932</v>
      </c>
      <c r="Z17" s="9" t="s">
        <v>60</v>
      </c>
      <c r="AA17" s="42"/>
      <c r="AB17" s="14"/>
      <c r="AC17" s="5" t="s">
        <v>43</v>
      </c>
      <c r="AD17" s="4" t="s">
        <v>68</v>
      </c>
      <c r="AF17" s="4" t="n">
        <v>1</v>
      </c>
      <c r="AG17" s="59" t="n">
        <v>1</v>
      </c>
    </row>
    <row r="18" customFormat="false" ht="22.5" hidden="false" customHeight="true" outlineLevel="0" collapsed="false">
      <c r="A18" s="29"/>
      <c r="B18" s="11" t="s">
        <v>47</v>
      </c>
      <c r="C18" s="11" t="s">
        <v>38</v>
      </c>
      <c r="D18" s="29" t="n">
        <v>550910</v>
      </c>
      <c r="E18" s="4" t="s">
        <v>46</v>
      </c>
      <c r="F18" s="4" t="s">
        <v>70</v>
      </c>
      <c r="G18" s="5" t="s">
        <v>40</v>
      </c>
      <c r="H18" s="6" t="n">
        <v>1938</v>
      </c>
      <c r="I18" s="9" t="n">
        <f aca="false">H18</f>
        <v>1938</v>
      </c>
      <c r="J18" s="9" t="n">
        <v>2000</v>
      </c>
      <c r="K18" s="4" t="s">
        <v>67</v>
      </c>
      <c r="N18" s="8" t="n">
        <v>45217</v>
      </c>
      <c r="Q18" s="9" t="n">
        <v>0</v>
      </c>
      <c r="R18" s="9" t="n">
        <f aca="false">Q18</f>
        <v>0</v>
      </c>
      <c r="T18" s="6" t="n">
        <v>109000</v>
      </c>
      <c r="U18" s="9" t="n">
        <f aca="false">T18</f>
        <v>109000</v>
      </c>
      <c r="V18" s="6" t="n">
        <v>111400</v>
      </c>
      <c r="W18" s="9" t="n">
        <f aca="false">V18</f>
        <v>111400</v>
      </c>
      <c r="X18" s="45" t="n">
        <f aca="false">V18/H18</f>
        <v>57.4819401444788</v>
      </c>
      <c r="Y18" s="46" t="n">
        <f aca="false">SUM(V18-T18)/T18</f>
        <v>0.0220183486238532</v>
      </c>
      <c r="Z18" s="9" t="s">
        <v>60</v>
      </c>
      <c r="AA18" s="42"/>
      <c r="AB18" s="14"/>
      <c r="AC18" s="5" t="s">
        <v>43</v>
      </c>
      <c r="AD18" s="4" t="s">
        <v>68</v>
      </c>
      <c r="AE18" s="15" t="n">
        <v>65</v>
      </c>
      <c r="AF18" s="4" t="n">
        <v>2</v>
      </c>
      <c r="AG18" s="59" t="n">
        <v>4</v>
      </c>
    </row>
    <row r="19" customFormat="false" ht="27.75" hidden="false" customHeight="true" outlineLevel="0" collapsed="false">
      <c r="A19" s="29"/>
      <c r="B19" s="11" t="s">
        <v>47</v>
      </c>
      <c r="C19" s="11" t="s">
        <v>38</v>
      </c>
      <c r="D19" s="29" t="n">
        <v>550910</v>
      </c>
      <c r="E19" s="4" t="s">
        <v>46</v>
      </c>
      <c r="F19" s="4" t="s">
        <v>71</v>
      </c>
      <c r="G19" s="5" t="s">
        <v>40</v>
      </c>
      <c r="H19" s="6" t="n">
        <v>419</v>
      </c>
      <c r="I19" s="9" t="n">
        <f aca="false">H19</f>
        <v>419</v>
      </c>
      <c r="J19" s="9" t="n">
        <v>500</v>
      </c>
      <c r="K19" s="4" t="s">
        <v>72</v>
      </c>
      <c r="L19" s="7" t="n">
        <v>44539</v>
      </c>
      <c r="M19" s="8" t="n">
        <v>46364</v>
      </c>
      <c r="Q19" s="9" t="n">
        <v>23940</v>
      </c>
      <c r="R19" s="9" t="n">
        <f aca="false">Q19</f>
        <v>23940</v>
      </c>
      <c r="T19" s="6" t="n">
        <v>21000</v>
      </c>
      <c r="U19" s="9" t="n">
        <f aca="false">T19</f>
        <v>21000</v>
      </c>
      <c r="V19" s="6" t="n">
        <v>24100</v>
      </c>
      <c r="W19" s="9" t="n">
        <f aca="false">V19</f>
        <v>24100</v>
      </c>
      <c r="X19" s="45" t="n">
        <f aca="false">V19/H19</f>
        <v>57.5178997613365</v>
      </c>
      <c r="Y19" s="46" t="n">
        <f aca="false">SUM(V19-T19)/T19</f>
        <v>0.147619047619048</v>
      </c>
      <c r="Z19" s="9" t="s">
        <v>60</v>
      </c>
      <c r="AA19" s="42"/>
      <c r="AB19" s="14"/>
      <c r="AC19" s="5" t="s">
        <v>43</v>
      </c>
      <c r="AF19" s="4" t="n">
        <v>1</v>
      </c>
      <c r="AG19" s="59" t="n">
        <v>1</v>
      </c>
    </row>
    <row r="20" customFormat="false" ht="22.5" hidden="false" customHeight="true" outlineLevel="0" collapsed="false">
      <c r="A20" s="29"/>
      <c r="B20" s="11" t="s">
        <v>47</v>
      </c>
      <c r="C20" s="11" t="s">
        <v>38</v>
      </c>
      <c r="D20" s="29" t="n">
        <v>550910</v>
      </c>
      <c r="E20" s="4" t="s">
        <v>46</v>
      </c>
      <c r="F20" s="4" t="s">
        <v>73</v>
      </c>
      <c r="G20" s="5" t="s">
        <v>40</v>
      </c>
      <c r="H20" s="6" t="n">
        <v>972</v>
      </c>
      <c r="I20" s="9" t="n">
        <f aca="false">H20</f>
        <v>972</v>
      </c>
      <c r="J20" s="9" t="n">
        <v>1000</v>
      </c>
      <c r="K20" s="4" t="s">
        <v>74</v>
      </c>
      <c r="L20" s="7" t="n">
        <v>45100</v>
      </c>
      <c r="M20" s="8" t="n">
        <v>46926</v>
      </c>
      <c r="P20" s="8" t="n">
        <v>46195</v>
      </c>
      <c r="Q20" s="6" t="n">
        <v>58560</v>
      </c>
      <c r="R20" s="9" t="n">
        <f aca="false">Q20</f>
        <v>58560</v>
      </c>
      <c r="T20" s="6" t="n">
        <v>49400</v>
      </c>
      <c r="U20" s="9" t="n">
        <f aca="false">T20</f>
        <v>49400</v>
      </c>
      <c r="V20" s="6" t="n">
        <v>58300</v>
      </c>
      <c r="W20" s="9" t="n">
        <f aca="false">V20</f>
        <v>58300</v>
      </c>
      <c r="X20" s="45" t="n">
        <f aca="false">V20/H20</f>
        <v>59.9794238683128</v>
      </c>
      <c r="Y20" s="46" t="n">
        <f aca="false">SUM(V20-T20)/T20</f>
        <v>0.180161943319838</v>
      </c>
      <c r="Z20" s="9" t="s">
        <v>60</v>
      </c>
      <c r="AA20" s="42"/>
      <c r="AB20" s="14"/>
      <c r="AC20" s="5" t="s">
        <v>43</v>
      </c>
      <c r="AD20" s="4" t="s">
        <v>75</v>
      </c>
      <c r="AG20" s="59"/>
    </row>
    <row r="21" customFormat="false" ht="13.5" hidden="false" customHeight="false" outlineLevel="0" collapsed="false">
      <c r="A21" s="29"/>
      <c r="B21" s="11" t="s">
        <v>47</v>
      </c>
      <c r="C21" s="11" t="s">
        <v>38</v>
      </c>
      <c r="D21" s="29" t="n">
        <v>550910</v>
      </c>
      <c r="E21" s="4" t="s">
        <v>46</v>
      </c>
      <c r="F21" s="4" t="s">
        <v>76</v>
      </c>
      <c r="G21" s="5" t="s">
        <v>40</v>
      </c>
      <c r="H21" s="6" t="n">
        <v>977</v>
      </c>
      <c r="I21" s="9" t="n">
        <f aca="false">H21</f>
        <v>977</v>
      </c>
      <c r="J21" s="9" t="n">
        <v>1000</v>
      </c>
      <c r="K21" s="4" t="s">
        <v>72</v>
      </c>
      <c r="L21" s="8" t="n">
        <v>45476</v>
      </c>
      <c r="M21" s="8" t="n">
        <v>47301</v>
      </c>
      <c r="P21" s="8" t="n">
        <v>46364</v>
      </c>
      <c r="Q21" s="6" t="n">
        <v>58496</v>
      </c>
      <c r="R21" s="9" t="n">
        <f aca="false">Q21</f>
        <v>58496</v>
      </c>
      <c r="T21" s="6" t="n">
        <v>47400</v>
      </c>
      <c r="U21" s="9" t="n">
        <f aca="false">T21</f>
        <v>47400</v>
      </c>
      <c r="V21" s="6" t="n">
        <v>58600</v>
      </c>
      <c r="W21" s="9" t="n">
        <f aca="false">V21</f>
        <v>58600</v>
      </c>
      <c r="X21" s="45" t="n">
        <f aca="false">V21/H21</f>
        <v>59.9795291709314</v>
      </c>
      <c r="Y21" s="46" t="n">
        <f aca="false">SUM(V21-T21)/T21</f>
        <v>0.236286919831224</v>
      </c>
      <c r="Z21" s="9" t="s">
        <v>55</v>
      </c>
      <c r="AA21" s="42"/>
      <c r="AB21" s="14"/>
      <c r="AC21" s="5" t="s">
        <v>43</v>
      </c>
      <c r="AD21" s="4" t="s">
        <v>77</v>
      </c>
      <c r="AF21" s="60"/>
      <c r="AG21" s="62"/>
      <c r="AH21" s="60"/>
    </row>
    <row r="22" customFormat="false" ht="22.5" hidden="false" customHeight="true" outlineLevel="0" collapsed="false">
      <c r="A22" s="29"/>
      <c r="B22" s="11" t="s">
        <v>47</v>
      </c>
      <c r="C22" s="11" t="s">
        <v>38</v>
      </c>
      <c r="D22" s="29" t="n">
        <v>550910</v>
      </c>
      <c r="E22" s="4" t="s">
        <v>46</v>
      </c>
      <c r="F22" s="4" t="s">
        <v>78</v>
      </c>
      <c r="G22" s="5" t="s">
        <v>40</v>
      </c>
      <c r="H22" s="6" t="n">
        <v>744</v>
      </c>
      <c r="I22" s="9" t="n">
        <f aca="false">H22</f>
        <v>744</v>
      </c>
      <c r="J22" s="9" t="n">
        <v>750</v>
      </c>
      <c r="K22" s="4" t="s">
        <v>67</v>
      </c>
      <c r="L22" s="8"/>
      <c r="N22" s="8" t="n">
        <v>45182</v>
      </c>
      <c r="Q22" s="6" t="n">
        <v>0</v>
      </c>
      <c r="R22" s="9" t="n">
        <f aca="false">Q22</f>
        <v>0</v>
      </c>
      <c r="T22" s="6" t="n">
        <v>34400</v>
      </c>
      <c r="U22" s="9" t="n">
        <f aca="false">T22</f>
        <v>34400</v>
      </c>
      <c r="V22" s="6" t="n">
        <v>47000</v>
      </c>
      <c r="W22" s="9" t="n">
        <f aca="false">V22</f>
        <v>47000</v>
      </c>
      <c r="X22" s="45" t="n">
        <f aca="false">V22/H22</f>
        <v>63.1720430107527</v>
      </c>
      <c r="Y22" s="46" t="n">
        <f aca="false">SUM(V22-T22)/T22</f>
        <v>0.366279069767442</v>
      </c>
      <c r="Z22" s="9" t="s">
        <v>60</v>
      </c>
      <c r="AA22" s="42"/>
      <c r="AB22" s="14"/>
      <c r="AC22" s="5" t="s">
        <v>43</v>
      </c>
      <c r="AD22" s="4" t="s">
        <v>68</v>
      </c>
      <c r="AE22" s="15" t="n">
        <v>63.5</v>
      </c>
      <c r="AF22" s="4" t="n">
        <v>2</v>
      </c>
      <c r="AG22" s="59" t="n">
        <v>4</v>
      </c>
      <c r="AH22" s="4" t="s">
        <v>57</v>
      </c>
    </row>
    <row r="23" customFormat="false" ht="22.5" hidden="false" customHeight="true" outlineLevel="0" collapsed="false">
      <c r="A23" s="29"/>
      <c r="B23" s="11" t="s">
        <v>47</v>
      </c>
      <c r="C23" s="11" t="s">
        <v>38</v>
      </c>
      <c r="D23" s="29" t="n">
        <v>550910</v>
      </c>
      <c r="E23" s="4" t="s">
        <v>46</v>
      </c>
      <c r="F23" s="4" t="s">
        <v>79</v>
      </c>
      <c r="G23" s="5" t="s">
        <v>80</v>
      </c>
      <c r="H23" s="6" t="n">
        <v>185</v>
      </c>
      <c r="I23" s="9" t="n">
        <f aca="false">H23</f>
        <v>185</v>
      </c>
      <c r="J23" s="9" t="n">
        <v>200</v>
      </c>
      <c r="K23" s="4" t="s">
        <v>81</v>
      </c>
      <c r="L23" s="8"/>
      <c r="N23" s="8" t="s">
        <v>82</v>
      </c>
      <c r="Q23" s="6" t="n">
        <v>0</v>
      </c>
      <c r="R23" s="9" t="n">
        <f aca="false">Q23</f>
        <v>0</v>
      </c>
      <c r="T23" s="6" t="n">
        <v>3000</v>
      </c>
      <c r="U23" s="9" t="n">
        <f aca="false">T23</f>
        <v>3000</v>
      </c>
      <c r="V23" s="6" t="n">
        <v>4500</v>
      </c>
      <c r="W23" s="9" t="n">
        <f aca="false">V23</f>
        <v>4500</v>
      </c>
      <c r="X23" s="45" t="n">
        <f aca="false">V23/H23</f>
        <v>24.3243243243243</v>
      </c>
      <c r="Y23" s="46" t="n">
        <f aca="false">SUM(V23-T23)/T23</f>
        <v>0.5</v>
      </c>
      <c r="Z23" s="9"/>
      <c r="AA23" s="42"/>
      <c r="AB23" s="14"/>
      <c r="AC23" s="5" t="s">
        <v>43</v>
      </c>
      <c r="AG23" s="59"/>
    </row>
    <row r="24" customFormat="false" ht="14.25" hidden="false" customHeight="true" outlineLevel="0" collapsed="false">
      <c r="A24" s="29"/>
      <c r="B24" s="11"/>
      <c r="C24" s="11" t="s">
        <v>38</v>
      </c>
      <c r="D24" s="29"/>
      <c r="E24" s="4"/>
      <c r="L24" s="8"/>
      <c r="Q24" s="6"/>
      <c r="R24" s="6"/>
      <c r="S24" s="6"/>
      <c r="T24" s="6"/>
      <c r="U24" s="6"/>
      <c r="V24" s="6"/>
      <c r="W24" s="6"/>
      <c r="X24" s="6"/>
      <c r="Y24" s="41"/>
      <c r="Z24" s="6"/>
      <c r="AA24" s="56"/>
      <c r="AB24" s="14"/>
      <c r="AC24" s="5"/>
      <c r="AG24" s="59"/>
    </row>
    <row r="25" customFormat="false" ht="14.25" hidden="false" customHeight="true" outlineLevel="0" collapsed="false">
      <c r="A25" s="29"/>
      <c r="B25" s="11"/>
      <c r="C25" s="11" t="s">
        <v>38</v>
      </c>
      <c r="D25" s="29"/>
      <c r="E25" s="4"/>
      <c r="F25" s="47" t="s">
        <v>83</v>
      </c>
      <c r="H25" s="43" t="n">
        <f aca="false">SUM(H11:H23)</f>
        <v>20705</v>
      </c>
      <c r="I25" s="43"/>
      <c r="J25" s="43"/>
      <c r="L25" s="8"/>
      <c r="Q25" s="63" t="n">
        <f aca="false">SUM(Q11:Q23)</f>
        <v>858696</v>
      </c>
      <c r="R25" s="43"/>
      <c r="S25" s="44" t="n">
        <f aca="false">SUM(R10:R23)</f>
        <v>858696</v>
      </c>
      <c r="T25" s="43" t="n">
        <f aca="false">SUM(T11:T23)</f>
        <v>1001300</v>
      </c>
      <c r="U25" s="43"/>
      <c r="V25" s="43" t="n">
        <f aca="false">SUM(V11:V23)</f>
        <v>1051500</v>
      </c>
      <c r="W25" s="43"/>
      <c r="X25" s="43"/>
      <c r="Y25" s="64"/>
      <c r="Z25" s="43"/>
      <c r="AA25" s="65"/>
      <c r="AB25" s="43" t="n">
        <v>14850000</v>
      </c>
      <c r="AC25" s="5"/>
      <c r="AF25" s="60"/>
      <c r="AG25" s="62"/>
      <c r="AH25" s="60"/>
    </row>
    <row r="26" customFormat="false" ht="14.25" hidden="false" customHeight="true" outlineLevel="0" collapsed="false">
      <c r="A26" s="29"/>
      <c r="B26" s="11"/>
      <c r="C26" s="11" t="s">
        <v>38</v>
      </c>
      <c r="D26" s="29"/>
      <c r="E26" s="4"/>
      <c r="F26" s="47"/>
      <c r="H26" s="43"/>
      <c r="I26" s="43"/>
      <c r="J26" s="43"/>
      <c r="L26" s="8"/>
      <c r="Q26" s="43"/>
      <c r="R26" s="43"/>
      <c r="S26" s="44"/>
      <c r="T26" s="43"/>
      <c r="U26" s="43"/>
      <c r="V26" s="43"/>
      <c r="W26" s="43"/>
      <c r="X26" s="43"/>
      <c r="Y26" s="64"/>
      <c r="Z26" s="43"/>
      <c r="AA26" s="65"/>
      <c r="AB26" s="66"/>
      <c r="AC26" s="5"/>
      <c r="AG26" s="59"/>
    </row>
    <row r="27" customFormat="false" ht="14.25" hidden="false" customHeight="true" outlineLevel="0" collapsed="false">
      <c r="A27" s="29"/>
      <c r="B27" s="11"/>
      <c r="C27" s="11" t="s">
        <v>38</v>
      </c>
      <c r="D27" s="29"/>
      <c r="E27" s="4"/>
      <c r="G27" s="39" t="s">
        <v>84</v>
      </c>
      <c r="I27" s="9"/>
      <c r="J27" s="9"/>
      <c r="K27" s="40"/>
      <c r="T27" s="11"/>
      <c r="U27" s="9"/>
      <c r="V27" s="11"/>
      <c r="W27" s="9"/>
      <c r="X27" s="9"/>
      <c r="Y27" s="41"/>
      <c r="Z27" s="9"/>
      <c r="AA27" s="42"/>
      <c r="AB27" s="14"/>
      <c r="AC27" s="5"/>
      <c r="AG27" s="59"/>
    </row>
    <row r="28" customFormat="false" ht="14.25" hidden="false" customHeight="true" outlineLevel="0" collapsed="false">
      <c r="A28" s="29"/>
      <c r="B28" s="11"/>
      <c r="C28" s="11" t="s">
        <v>38</v>
      </c>
      <c r="D28" s="29"/>
      <c r="E28" s="4"/>
      <c r="L28" s="8"/>
      <c r="Q28" s="6"/>
      <c r="R28" s="6"/>
      <c r="S28" s="6"/>
      <c r="T28" s="6"/>
      <c r="U28" s="6"/>
      <c r="V28" s="6"/>
      <c r="W28" s="6"/>
      <c r="X28" s="6"/>
      <c r="Y28" s="41"/>
      <c r="Z28" s="6"/>
      <c r="AA28" s="56"/>
      <c r="AB28" s="14"/>
      <c r="AC28" s="5"/>
      <c r="AG28" s="59"/>
    </row>
    <row r="29" customFormat="false" ht="22.5" hidden="false" customHeight="true" outlineLevel="0" collapsed="false">
      <c r="A29" s="29"/>
      <c r="B29" s="11" t="s">
        <v>47</v>
      </c>
      <c r="C29" s="11" t="s">
        <v>38</v>
      </c>
      <c r="D29" s="29" t="n">
        <v>550920</v>
      </c>
      <c r="E29" s="4" t="s">
        <v>84</v>
      </c>
      <c r="F29" s="4" t="s">
        <v>85</v>
      </c>
      <c r="G29" s="5" t="s">
        <v>86</v>
      </c>
      <c r="H29" s="6" t="n">
        <v>2940</v>
      </c>
      <c r="I29" s="9" t="n">
        <f aca="false">H29</f>
        <v>2940</v>
      </c>
      <c r="J29" s="9" t="n">
        <v>3000</v>
      </c>
      <c r="K29" s="4" t="s">
        <v>87</v>
      </c>
      <c r="L29" s="8" t="n">
        <v>45649</v>
      </c>
      <c r="M29" s="8" t="n">
        <v>46743</v>
      </c>
      <c r="P29" s="8" t="n">
        <v>46013</v>
      </c>
      <c r="Q29" s="6" t="n">
        <v>132000</v>
      </c>
      <c r="R29" s="9" t="n">
        <f aca="false">Q29</f>
        <v>132000</v>
      </c>
      <c r="T29" s="6" t="n">
        <v>114600</v>
      </c>
      <c r="U29" s="9" t="n">
        <f aca="false">T29</f>
        <v>114600</v>
      </c>
      <c r="V29" s="6" t="n">
        <v>124500</v>
      </c>
      <c r="W29" s="9" t="n">
        <f aca="false">V29</f>
        <v>124500</v>
      </c>
      <c r="X29" s="45" t="n">
        <f aca="false">V29/H29</f>
        <v>42.3469387755102</v>
      </c>
      <c r="Y29" s="46" t="n">
        <f aca="false">SUM(V29-T29)/T29</f>
        <v>0.0863874345549738</v>
      </c>
      <c r="Z29" s="9" t="s">
        <v>42</v>
      </c>
      <c r="AA29" s="42"/>
      <c r="AB29" s="14"/>
      <c r="AC29" s="5" t="s">
        <v>43</v>
      </c>
      <c r="AD29" s="4" t="s">
        <v>88</v>
      </c>
      <c r="AG29" s="59"/>
    </row>
    <row r="30" customFormat="false" ht="13.5" hidden="false" customHeight="false" outlineLevel="0" collapsed="false">
      <c r="A30" s="29"/>
      <c r="B30" s="11" t="s">
        <v>47</v>
      </c>
      <c r="C30" s="11" t="s">
        <v>38</v>
      </c>
      <c r="D30" s="29" t="n">
        <v>550920</v>
      </c>
      <c r="E30" s="4" t="s">
        <v>84</v>
      </c>
      <c r="F30" s="4" t="s">
        <v>89</v>
      </c>
      <c r="G30" s="5" t="s">
        <v>90</v>
      </c>
      <c r="H30" s="6" t="n">
        <v>1398</v>
      </c>
      <c r="I30" s="9" t="n">
        <f aca="false">H30</f>
        <v>1398</v>
      </c>
      <c r="J30" s="9" t="n">
        <v>1000</v>
      </c>
      <c r="K30" s="4" t="s">
        <v>91</v>
      </c>
      <c r="L30" s="8" t="n">
        <v>45470</v>
      </c>
      <c r="M30" s="8" t="n">
        <v>47295</v>
      </c>
      <c r="P30" s="8" t="n">
        <v>46564</v>
      </c>
      <c r="Q30" s="6" t="n">
        <v>89833</v>
      </c>
      <c r="R30" s="9" t="n">
        <f aca="false">Q30</f>
        <v>89833</v>
      </c>
      <c r="T30" s="6" t="n">
        <v>76900</v>
      </c>
      <c r="U30" s="9" t="n">
        <f aca="false">T30</f>
        <v>76900</v>
      </c>
      <c r="V30" s="6" t="n">
        <v>97900</v>
      </c>
      <c r="W30" s="9" t="n">
        <f aca="false">V30</f>
        <v>97900</v>
      </c>
      <c r="X30" s="45" t="n">
        <f aca="false">V30/H30</f>
        <v>70.0286123032904</v>
      </c>
      <c r="Y30" s="46" t="n">
        <f aca="false">SUM(V30-T30)/T30</f>
        <v>0.273081924577373</v>
      </c>
      <c r="Z30" s="9" t="s">
        <v>60</v>
      </c>
      <c r="AA30" s="42"/>
      <c r="AB30" s="14"/>
      <c r="AC30" s="5" t="s">
        <v>43</v>
      </c>
      <c r="AD30" s="4" t="s">
        <v>92</v>
      </c>
      <c r="AG30" s="59"/>
    </row>
    <row r="31" customFormat="false" ht="13.5" hidden="false" customHeight="false" outlineLevel="0" collapsed="false">
      <c r="A31" s="29"/>
      <c r="B31" s="11" t="s">
        <v>47</v>
      </c>
      <c r="C31" s="11" t="s">
        <v>38</v>
      </c>
      <c r="D31" s="29" t="n">
        <v>550920</v>
      </c>
      <c r="E31" s="4" t="s">
        <v>84</v>
      </c>
      <c r="F31" s="4" t="s">
        <v>93</v>
      </c>
      <c r="G31" s="5" t="s">
        <v>90</v>
      </c>
      <c r="H31" s="6" t="n">
        <v>1110</v>
      </c>
      <c r="I31" s="9" t="n">
        <f aca="false">H31</f>
        <v>1110</v>
      </c>
      <c r="J31" s="9" t="n">
        <v>1000</v>
      </c>
      <c r="K31" s="4" t="s">
        <v>67</v>
      </c>
      <c r="L31" s="8"/>
      <c r="N31" s="8" t="n">
        <v>43273</v>
      </c>
      <c r="Q31" s="6" t="n">
        <v>0</v>
      </c>
      <c r="R31" s="9" t="n">
        <f aca="false">Q31</f>
        <v>0</v>
      </c>
      <c r="T31" s="6" t="n">
        <v>61100</v>
      </c>
      <c r="U31" s="9" t="n">
        <f aca="false">T31</f>
        <v>61100</v>
      </c>
      <c r="V31" s="6" t="n">
        <v>69400</v>
      </c>
      <c r="W31" s="9" t="n">
        <f aca="false">V31</f>
        <v>69400</v>
      </c>
      <c r="X31" s="45" t="n">
        <f aca="false">V31/H31</f>
        <v>62.5225225225225</v>
      </c>
      <c r="Y31" s="46" t="n">
        <f aca="false">SUM(V31-T31)/T31</f>
        <v>0.135842880523732</v>
      </c>
      <c r="Z31" s="9" t="s">
        <v>42</v>
      </c>
      <c r="AA31" s="42"/>
      <c r="AB31" s="14"/>
      <c r="AC31" s="5" t="s">
        <v>43</v>
      </c>
      <c r="AD31" s="4" t="s">
        <v>68</v>
      </c>
      <c r="AE31" s="15" t="n">
        <v>63.5</v>
      </c>
      <c r="AG31" s="59" t="n">
        <v>1</v>
      </c>
    </row>
    <row r="32" customFormat="false" ht="13.5" hidden="false" customHeight="false" outlineLevel="0" collapsed="false">
      <c r="A32" s="29"/>
      <c r="B32" s="11" t="s">
        <v>47</v>
      </c>
      <c r="C32" s="11" t="s">
        <v>38</v>
      </c>
      <c r="D32" s="29" t="n">
        <v>550920</v>
      </c>
      <c r="E32" s="4" t="s">
        <v>84</v>
      </c>
      <c r="F32" s="4" t="s">
        <v>94</v>
      </c>
      <c r="G32" s="5" t="s">
        <v>90</v>
      </c>
      <c r="H32" s="6" t="n">
        <v>481</v>
      </c>
      <c r="I32" s="9" t="n">
        <f aca="false">H32</f>
        <v>481</v>
      </c>
      <c r="J32" s="9" t="n">
        <v>500</v>
      </c>
      <c r="K32" s="4" t="s">
        <v>95</v>
      </c>
      <c r="L32" s="8" t="n">
        <v>45541</v>
      </c>
      <c r="M32" s="8" t="n">
        <v>47366</v>
      </c>
      <c r="P32" s="8" t="n">
        <v>46635</v>
      </c>
      <c r="Q32" s="6" t="n">
        <v>26000</v>
      </c>
      <c r="R32" s="9" t="n">
        <f aca="false">Q32</f>
        <v>26000</v>
      </c>
      <c r="T32" s="6" t="n">
        <v>25300</v>
      </c>
      <c r="U32" s="9" t="n">
        <f aca="false">T32</f>
        <v>25300</v>
      </c>
      <c r="V32" s="6" t="n">
        <v>25300</v>
      </c>
      <c r="W32" s="9" t="n">
        <f aca="false">V32</f>
        <v>25300</v>
      </c>
      <c r="X32" s="45" t="n">
        <f aca="false">V32/H32</f>
        <v>52.5987525987526</v>
      </c>
      <c r="Y32" s="46" t="n">
        <f aca="false">SUM(V32-T32)/T32</f>
        <v>0</v>
      </c>
      <c r="Z32" s="9" t="s">
        <v>60</v>
      </c>
      <c r="AA32" s="42"/>
      <c r="AB32" s="14"/>
      <c r="AC32" s="5" t="s">
        <v>43</v>
      </c>
      <c r="AD32" s="4" t="s">
        <v>77</v>
      </c>
      <c r="AF32" s="60"/>
      <c r="AG32" s="62"/>
      <c r="AH32" s="60"/>
    </row>
    <row r="33" customFormat="false" ht="14.25" hidden="false" customHeight="true" outlineLevel="0" collapsed="false">
      <c r="A33" s="29"/>
      <c r="B33" s="11"/>
      <c r="C33" s="11" t="s">
        <v>38</v>
      </c>
      <c r="D33" s="29"/>
      <c r="E33" s="4"/>
      <c r="L33" s="8"/>
      <c r="Q33" s="6"/>
      <c r="R33" s="6"/>
      <c r="S33" s="6"/>
      <c r="T33" s="6"/>
      <c r="U33" s="6"/>
      <c r="V33" s="6"/>
      <c r="W33" s="6"/>
      <c r="X33" s="45"/>
      <c r="Y33" s="41"/>
      <c r="Z33" s="6"/>
      <c r="AA33" s="56"/>
      <c r="AB33" s="14"/>
      <c r="AC33" s="5"/>
      <c r="AG33" s="59"/>
    </row>
    <row r="34" customFormat="false" ht="14.25" hidden="false" customHeight="true" outlineLevel="0" collapsed="false">
      <c r="A34" s="29"/>
      <c r="B34" s="11"/>
      <c r="C34" s="11" t="s">
        <v>38</v>
      </c>
      <c r="D34" s="29"/>
      <c r="E34" s="4"/>
      <c r="F34" s="47" t="s">
        <v>84</v>
      </c>
      <c r="H34" s="43" t="n">
        <f aca="false">SUM(H29:H32)</f>
        <v>5929</v>
      </c>
      <c r="I34" s="43"/>
      <c r="J34" s="43"/>
      <c r="L34" s="8"/>
      <c r="Q34" s="43" t="n">
        <f aca="false">SUM(Q29:Q32)</f>
        <v>247833</v>
      </c>
      <c r="R34" s="43"/>
      <c r="S34" s="44" t="n">
        <f aca="false">SUM(R29:R32)</f>
        <v>247833</v>
      </c>
      <c r="T34" s="43" t="n">
        <f aca="false">SUM(T29:T32)</f>
        <v>277900</v>
      </c>
      <c r="U34" s="43"/>
      <c r="V34" s="43" t="n">
        <f aca="false">SUM(V29:V32)</f>
        <v>317100</v>
      </c>
      <c r="W34" s="43"/>
      <c r="X34" s="43"/>
      <c r="Y34" s="64"/>
      <c r="Z34" s="43"/>
      <c r="AA34" s="65"/>
      <c r="AB34" s="43" t="n">
        <v>4725000</v>
      </c>
      <c r="AC34" s="5"/>
      <c r="AG34" s="59"/>
    </row>
    <row r="35" customFormat="false" ht="14.25" hidden="false" customHeight="true" outlineLevel="0" collapsed="false">
      <c r="A35" s="29"/>
      <c r="B35" s="11"/>
      <c r="C35" s="11" t="s">
        <v>38</v>
      </c>
      <c r="D35" s="29"/>
      <c r="E35" s="4"/>
      <c r="F35" s="47"/>
      <c r="H35" s="43"/>
      <c r="I35" s="43"/>
      <c r="J35" s="43"/>
      <c r="L35" s="8"/>
      <c r="Q35" s="43"/>
      <c r="R35" s="43"/>
      <c r="S35" s="44"/>
      <c r="T35" s="43"/>
      <c r="U35" s="43"/>
      <c r="V35" s="43"/>
      <c r="W35" s="43"/>
      <c r="X35" s="43"/>
      <c r="Y35" s="64"/>
      <c r="Z35" s="43"/>
      <c r="AA35" s="65"/>
      <c r="AB35" s="66"/>
      <c r="AC35" s="5"/>
      <c r="AG35" s="59"/>
    </row>
    <row r="36" customFormat="false" ht="14.25" hidden="false" customHeight="true" outlineLevel="0" collapsed="false">
      <c r="A36" s="29"/>
      <c r="B36" s="11"/>
      <c r="C36" s="11" t="s">
        <v>38</v>
      </c>
      <c r="D36" s="29"/>
      <c r="E36" s="4"/>
      <c r="G36" s="39" t="s">
        <v>96</v>
      </c>
      <c r="I36" s="9"/>
      <c r="J36" s="9"/>
      <c r="K36" s="40"/>
      <c r="T36" s="11"/>
      <c r="U36" s="9"/>
      <c r="V36" s="11"/>
      <c r="W36" s="9"/>
      <c r="X36" s="9"/>
      <c r="Y36" s="41"/>
      <c r="Z36" s="9"/>
      <c r="AA36" s="42"/>
      <c r="AB36" s="14"/>
      <c r="AC36" s="5"/>
      <c r="AG36" s="59"/>
    </row>
    <row r="37" customFormat="false" ht="14.25" hidden="false" customHeight="true" outlineLevel="0" collapsed="false">
      <c r="A37" s="29"/>
      <c r="B37" s="11"/>
      <c r="C37" s="11" t="s">
        <v>38</v>
      </c>
      <c r="D37" s="29"/>
      <c r="E37" s="4"/>
      <c r="G37" s="39"/>
      <c r="I37" s="9"/>
      <c r="J37" s="9"/>
      <c r="K37" s="40"/>
      <c r="T37" s="11"/>
      <c r="U37" s="9"/>
      <c r="V37" s="11"/>
      <c r="W37" s="9"/>
      <c r="X37" s="9"/>
      <c r="Y37" s="41"/>
      <c r="Z37" s="9"/>
      <c r="AA37" s="42"/>
      <c r="AB37" s="14"/>
      <c r="AC37" s="5"/>
      <c r="AG37" s="59"/>
    </row>
    <row r="38" customFormat="false" ht="19.4" hidden="false" customHeight="false" outlineLevel="0" collapsed="false">
      <c r="A38" s="29"/>
      <c r="B38" s="11" t="s">
        <v>47</v>
      </c>
      <c r="C38" s="11" t="s">
        <v>38</v>
      </c>
      <c r="D38" s="29" t="n">
        <v>550930</v>
      </c>
      <c r="E38" s="4" t="s">
        <v>96</v>
      </c>
      <c r="F38" s="4" t="s">
        <v>85</v>
      </c>
      <c r="G38" s="5" t="s">
        <v>97</v>
      </c>
      <c r="H38" s="6" t="n">
        <v>3668</v>
      </c>
      <c r="I38" s="9" t="n">
        <f aca="false">H38</f>
        <v>3668</v>
      </c>
      <c r="J38" s="9" t="n">
        <v>3500</v>
      </c>
      <c r="K38" s="4" t="s">
        <v>98</v>
      </c>
      <c r="L38" s="8" t="n">
        <v>44757</v>
      </c>
      <c r="M38" s="8" t="n">
        <v>48409</v>
      </c>
      <c r="O38" s="8" t="n">
        <v>46583</v>
      </c>
      <c r="Q38" s="6" t="n">
        <v>170000</v>
      </c>
      <c r="R38" s="9" t="n">
        <f aca="false">Q38</f>
        <v>170000</v>
      </c>
      <c r="T38" s="6" t="n">
        <v>170000</v>
      </c>
      <c r="U38" s="9" t="n">
        <f aca="false">T38</f>
        <v>170000</v>
      </c>
      <c r="V38" s="6" t="n">
        <v>170000</v>
      </c>
      <c r="W38" s="9" t="n">
        <f aca="false">V38</f>
        <v>170000</v>
      </c>
      <c r="X38" s="45" t="n">
        <f aca="false">V38/H38</f>
        <v>46.3467829880044</v>
      </c>
      <c r="Y38" s="46" t="n">
        <f aca="false">SUM(V38-T38)/T38</f>
        <v>0</v>
      </c>
      <c r="Z38" s="9" t="s">
        <v>55</v>
      </c>
      <c r="AA38" s="42"/>
      <c r="AB38" s="14"/>
      <c r="AC38" s="5" t="s">
        <v>43</v>
      </c>
      <c r="AG38" s="59"/>
    </row>
    <row r="39" customFormat="false" ht="13.5" hidden="false" customHeight="false" outlineLevel="0" collapsed="false">
      <c r="A39" s="29"/>
      <c r="B39" s="11" t="s">
        <v>47</v>
      </c>
      <c r="C39" s="11" t="s">
        <v>38</v>
      </c>
      <c r="D39" s="29" t="n">
        <v>550930</v>
      </c>
      <c r="E39" s="4" t="s">
        <v>96</v>
      </c>
      <c r="F39" s="4" t="s">
        <v>89</v>
      </c>
      <c r="G39" s="5" t="s">
        <v>90</v>
      </c>
      <c r="H39" s="6" t="n">
        <v>1418</v>
      </c>
      <c r="I39" s="9" t="n">
        <f aca="false">H39</f>
        <v>1418</v>
      </c>
      <c r="J39" s="9" t="n">
        <v>1500</v>
      </c>
      <c r="K39" s="4" t="s">
        <v>99</v>
      </c>
      <c r="L39" s="8" t="n">
        <v>45231</v>
      </c>
      <c r="M39" s="8" t="n">
        <v>46326</v>
      </c>
      <c r="Q39" s="6" t="n">
        <v>174500</v>
      </c>
      <c r="R39" s="9" t="n">
        <f aca="false">Q39</f>
        <v>174500</v>
      </c>
      <c r="T39" s="6" t="n">
        <v>78000</v>
      </c>
      <c r="U39" s="9" t="n">
        <f aca="false">T39</f>
        <v>78000</v>
      </c>
      <c r="V39" s="6" t="n">
        <v>99300</v>
      </c>
      <c r="W39" s="9" t="n">
        <f aca="false">V39</f>
        <v>99300</v>
      </c>
      <c r="X39" s="45" t="n">
        <f aca="false">V39/H39</f>
        <v>70.0282087447109</v>
      </c>
      <c r="Y39" s="46" t="n">
        <f aca="false">SUM(V39-T39)/T39</f>
        <v>0.273076923076923</v>
      </c>
      <c r="Z39" s="9" t="s">
        <v>55</v>
      </c>
      <c r="AA39" s="42"/>
      <c r="AB39" s="14"/>
      <c r="AC39" s="5" t="s">
        <v>43</v>
      </c>
      <c r="AD39" s="4" t="s">
        <v>100</v>
      </c>
      <c r="AG39" s="59"/>
    </row>
    <row r="40" customFormat="false" ht="13.5" hidden="false" customHeight="false" outlineLevel="0" collapsed="false">
      <c r="A40" s="29"/>
      <c r="B40" s="11" t="s">
        <v>47</v>
      </c>
      <c r="C40" s="11" t="s">
        <v>38</v>
      </c>
      <c r="D40" s="29" t="n">
        <v>550930</v>
      </c>
      <c r="E40" s="4" t="s">
        <v>96</v>
      </c>
      <c r="F40" s="4" t="s">
        <v>93</v>
      </c>
      <c r="G40" s="5" t="s">
        <v>90</v>
      </c>
      <c r="H40" s="6" t="n">
        <v>716</v>
      </c>
      <c r="I40" s="9" t="n">
        <f aca="false">H40</f>
        <v>716</v>
      </c>
      <c r="J40" s="9" t="n">
        <v>750</v>
      </c>
      <c r="K40" s="4" t="s">
        <v>101</v>
      </c>
      <c r="L40" s="8" t="n">
        <v>44384</v>
      </c>
      <c r="M40" s="8" t="n">
        <v>46209</v>
      </c>
      <c r="Q40" s="6" t="n">
        <v>41000</v>
      </c>
      <c r="R40" s="9" t="n">
        <f aca="false">Q40</f>
        <v>41000</v>
      </c>
      <c r="T40" s="6" t="n">
        <v>39400</v>
      </c>
      <c r="U40" s="9" t="n">
        <f aca="false">T40</f>
        <v>39400</v>
      </c>
      <c r="V40" s="6" t="n">
        <v>41200</v>
      </c>
      <c r="W40" s="9" t="n">
        <f aca="false">V40</f>
        <v>41200</v>
      </c>
      <c r="X40" s="45" t="n">
        <f aca="false">V40/H40</f>
        <v>57.5418994413408</v>
      </c>
      <c r="Y40" s="46" t="n">
        <f aca="false">SUM(V40-T40)/T40</f>
        <v>0.0456852791878173</v>
      </c>
      <c r="Z40" s="9" t="s">
        <v>55</v>
      </c>
      <c r="AA40" s="42"/>
      <c r="AB40" s="14"/>
      <c r="AC40" s="5" t="s">
        <v>43</v>
      </c>
      <c r="AG40" s="59"/>
    </row>
    <row r="41" customFormat="false" ht="13.5" hidden="false" customHeight="false" outlineLevel="0" collapsed="false">
      <c r="A41" s="29"/>
      <c r="B41" s="11" t="s">
        <v>47</v>
      </c>
      <c r="C41" s="11" t="s">
        <v>38</v>
      </c>
      <c r="D41" s="29" t="n">
        <v>550930</v>
      </c>
      <c r="E41" s="4" t="s">
        <v>96</v>
      </c>
      <c r="F41" s="4" t="s">
        <v>94</v>
      </c>
      <c r="G41" s="5" t="s">
        <v>90</v>
      </c>
      <c r="H41" s="6" t="n">
        <v>665</v>
      </c>
      <c r="I41" s="9" t="n">
        <f aca="false">H41</f>
        <v>665</v>
      </c>
      <c r="J41" s="9" t="n">
        <v>750</v>
      </c>
      <c r="K41" s="4" t="s">
        <v>102</v>
      </c>
      <c r="L41" s="8" t="n">
        <v>45617</v>
      </c>
      <c r="M41" s="8" t="n">
        <v>47442</v>
      </c>
      <c r="P41" s="8" t="n">
        <v>46527</v>
      </c>
      <c r="Q41" s="6" t="n">
        <v>41875</v>
      </c>
      <c r="R41" s="9" t="n">
        <f aca="false">Q41</f>
        <v>41875</v>
      </c>
      <c r="T41" s="6" t="n">
        <v>36600</v>
      </c>
      <c r="U41" s="9" t="n">
        <f aca="false">T41</f>
        <v>36600</v>
      </c>
      <c r="V41" s="6" t="n">
        <v>38200</v>
      </c>
      <c r="W41" s="9" t="n">
        <f aca="false">V41</f>
        <v>38200</v>
      </c>
      <c r="X41" s="45" t="n">
        <f aca="false">V41/H41</f>
        <v>57.4436090225564</v>
      </c>
      <c r="Y41" s="46" t="n">
        <f aca="false">SUM(V41-T41)/T41</f>
        <v>0.0437158469945355</v>
      </c>
      <c r="Z41" s="9" t="s">
        <v>55</v>
      </c>
      <c r="AA41" s="42"/>
      <c r="AB41" s="14"/>
      <c r="AC41" s="5" t="s">
        <v>43</v>
      </c>
      <c r="AD41" s="4" t="s">
        <v>103</v>
      </c>
      <c r="AE41" s="58"/>
      <c r="AG41" s="59"/>
    </row>
    <row r="42" customFormat="false" ht="14.25" hidden="false" customHeight="true" outlineLevel="0" collapsed="false">
      <c r="A42" s="29"/>
      <c r="B42" s="11"/>
      <c r="C42" s="11" t="s">
        <v>38</v>
      </c>
      <c r="D42" s="29"/>
      <c r="E42" s="4"/>
      <c r="H42" s="29"/>
      <c r="L42" s="8"/>
      <c r="Q42" s="6"/>
      <c r="R42" s="6"/>
      <c r="S42" s="6"/>
      <c r="T42" s="6"/>
      <c r="U42" s="6"/>
      <c r="V42" s="6"/>
      <c r="W42" s="6"/>
      <c r="X42" s="6"/>
      <c r="Y42" s="41"/>
      <c r="Z42" s="6"/>
      <c r="AA42" s="56"/>
      <c r="AB42" s="14"/>
      <c r="AC42" s="5"/>
      <c r="AG42" s="59"/>
    </row>
    <row r="43" customFormat="false" ht="14.25" hidden="false" customHeight="true" outlineLevel="0" collapsed="false">
      <c r="A43" s="29"/>
      <c r="B43" s="11"/>
      <c r="C43" s="11" t="s">
        <v>38</v>
      </c>
      <c r="D43" s="29"/>
      <c r="E43" s="4"/>
      <c r="F43" s="47" t="s">
        <v>104</v>
      </c>
      <c r="H43" s="43" t="n">
        <f aca="false">SUM(H38:H41)</f>
        <v>6467</v>
      </c>
      <c r="I43" s="43"/>
      <c r="J43" s="43"/>
      <c r="L43" s="8"/>
      <c r="Q43" s="43" t="n">
        <f aca="false">SUM(Q36:Q41)</f>
        <v>427375</v>
      </c>
      <c r="R43" s="43"/>
      <c r="S43" s="44" t="n">
        <f aca="false">SUM(R38:R41)</f>
        <v>427375</v>
      </c>
      <c r="T43" s="43" t="n">
        <f aca="false">SUM(T38:T41)</f>
        <v>324000</v>
      </c>
      <c r="U43" s="43"/>
      <c r="V43" s="43" t="n">
        <f aca="false">SUM(V38:V41)</f>
        <v>348700</v>
      </c>
      <c r="W43" s="43"/>
      <c r="X43" s="43"/>
      <c r="Y43" s="64"/>
      <c r="Z43" s="43"/>
      <c r="AA43" s="65"/>
      <c r="AB43" s="43" t="n">
        <v>5675000</v>
      </c>
      <c r="AC43" s="5"/>
      <c r="AG43" s="59"/>
    </row>
    <row r="44" customFormat="false" ht="14.25" hidden="false" customHeight="true" outlineLevel="0" collapsed="false">
      <c r="A44" s="29"/>
      <c r="B44" s="11"/>
      <c r="C44" s="11" t="s">
        <v>38</v>
      </c>
      <c r="D44" s="29"/>
      <c r="E44" s="4"/>
      <c r="H44" s="43"/>
      <c r="I44" s="43"/>
      <c r="J44" s="43"/>
      <c r="L44" s="8"/>
      <c r="Q44" s="43"/>
      <c r="R44" s="43"/>
      <c r="S44" s="43"/>
      <c r="T44" s="43"/>
      <c r="U44" s="43"/>
      <c r="V44" s="43"/>
      <c r="W44" s="43"/>
      <c r="X44" s="43"/>
      <c r="Y44" s="64"/>
      <c r="Z44" s="43"/>
      <c r="AA44" s="65"/>
      <c r="AB44" s="14"/>
      <c r="AC44" s="5"/>
      <c r="AG44" s="59"/>
    </row>
    <row r="45" customFormat="false" ht="14.25" hidden="false" customHeight="true" outlineLevel="0" collapsed="false">
      <c r="A45" s="29"/>
      <c r="B45" s="11"/>
      <c r="C45" s="11" t="s">
        <v>38</v>
      </c>
      <c r="D45" s="29"/>
      <c r="E45" s="4"/>
      <c r="G45" s="39" t="s">
        <v>105</v>
      </c>
      <c r="I45" s="9"/>
      <c r="J45" s="9"/>
      <c r="T45" s="9"/>
      <c r="U45" s="9"/>
      <c r="V45" s="9"/>
      <c r="W45" s="9"/>
      <c r="X45" s="9"/>
      <c r="Y45" s="41"/>
      <c r="Z45" s="9"/>
      <c r="AA45" s="42"/>
      <c r="AB45" s="14"/>
      <c r="AG45" s="59"/>
    </row>
    <row r="46" customFormat="false" ht="14.25" hidden="false" customHeight="true" outlineLevel="0" collapsed="false">
      <c r="A46" s="29"/>
      <c r="B46" s="11"/>
      <c r="C46" s="11" t="s">
        <v>38</v>
      </c>
      <c r="D46" s="29"/>
      <c r="E46" s="4"/>
      <c r="G46" s="39"/>
      <c r="I46" s="9"/>
      <c r="J46" s="9"/>
      <c r="T46" s="9"/>
      <c r="U46" s="9"/>
      <c r="V46" s="9"/>
      <c r="W46" s="9"/>
      <c r="X46" s="9"/>
      <c r="Y46" s="41"/>
      <c r="Z46" s="9"/>
      <c r="AA46" s="42"/>
      <c r="AB46" s="14"/>
      <c r="AG46" s="59"/>
    </row>
    <row r="47" customFormat="false" ht="24" hidden="false" customHeight="true" outlineLevel="0" collapsed="false">
      <c r="A47" s="29"/>
      <c r="B47" s="11" t="s">
        <v>106</v>
      </c>
      <c r="C47" s="11" t="s">
        <v>38</v>
      </c>
      <c r="D47" s="29" t="n">
        <v>550560</v>
      </c>
      <c r="E47" s="4" t="s">
        <v>105</v>
      </c>
      <c r="F47" s="4" t="s">
        <v>107</v>
      </c>
      <c r="G47" s="5" t="s">
        <v>40</v>
      </c>
      <c r="H47" s="43" t="n">
        <v>12578</v>
      </c>
      <c r="I47" s="9" t="n">
        <f aca="false">H47</f>
        <v>12578</v>
      </c>
      <c r="J47" s="9" t="n">
        <v>12500</v>
      </c>
      <c r="K47" s="4" t="s">
        <v>108</v>
      </c>
      <c r="L47" s="7" t="n">
        <v>44771</v>
      </c>
      <c r="M47" s="8" t="n">
        <v>50249</v>
      </c>
      <c r="O47" s="8" t="n">
        <v>46597</v>
      </c>
      <c r="P47" s="8" t="n">
        <v>48423</v>
      </c>
      <c r="Q47" s="44" t="n">
        <v>633334</v>
      </c>
      <c r="R47" s="9" t="n">
        <f aca="false">Q47</f>
        <v>633334</v>
      </c>
      <c r="S47" s="44" t="n">
        <f aca="false">R47</f>
        <v>633334</v>
      </c>
      <c r="T47" s="44" t="n">
        <v>950000</v>
      </c>
      <c r="U47" s="9" t="n">
        <f aca="false">T47</f>
        <v>950000</v>
      </c>
      <c r="V47" s="44" t="n">
        <v>950000</v>
      </c>
      <c r="W47" s="9" t="n">
        <f aca="false">V47</f>
        <v>950000</v>
      </c>
      <c r="X47" s="45" t="n">
        <f aca="false">V47/H47</f>
        <v>75.5287009063444</v>
      </c>
      <c r="Y47" s="46" t="n">
        <f aca="false">SUM(V47-T47)/T47</f>
        <v>0</v>
      </c>
      <c r="Z47" s="9" t="s">
        <v>42</v>
      </c>
      <c r="AA47" s="42"/>
      <c r="AB47" s="43" t="n">
        <v>17050000</v>
      </c>
      <c r="AC47" s="5" t="s">
        <v>43</v>
      </c>
      <c r="AD47" s="4" t="s">
        <v>109</v>
      </c>
      <c r="AG47" s="59"/>
    </row>
    <row r="48" customFormat="false" ht="14.25" hidden="false" customHeight="true" outlineLevel="0" collapsed="false">
      <c r="A48" s="29"/>
      <c r="B48" s="11"/>
      <c r="C48" s="11" t="s">
        <v>38</v>
      </c>
      <c r="D48" s="29"/>
      <c r="E48" s="4"/>
      <c r="F48" s="47" t="s">
        <v>110</v>
      </c>
      <c r="H48" s="48" t="n">
        <f aca="false">SUM(H47)</f>
        <v>12578</v>
      </c>
      <c r="I48" s="43"/>
      <c r="J48" s="43"/>
      <c r="K48" s="49"/>
      <c r="L48" s="50"/>
      <c r="M48" s="51"/>
      <c r="N48" s="51"/>
      <c r="O48" s="51"/>
      <c r="Q48" s="48" t="n">
        <f aca="false">SUM(Q47)</f>
        <v>633334</v>
      </c>
      <c r="R48" s="48"/>
      <c r="S48" s="48"/>
      <c r="T48" s="48" t="n">
        <f aca="false">SUM(T47)</f>
        <v>950000</v>
      </c>
      <c r="U48" s="48"/>
      <c r="V48" s="48" t="n">
        <f aca="false">SUM(V47)</f>
        <v>950000</v>
      </c>
      <c r="W48" s="48"/>
      <c r="X48" s="48"/>
      <c r="Y48" s="52"/>
      <c r="Z48" s="48"/>
      <c r="AA48" s="53"/>
      <c r="AB48" s="54"/>
      <c r="AC48" s="55"/>
      <c r="AG48" s="59"/>
    </row>
    <row r="49" customFormat="false" ht="14.25" hidden="false" customHeight="true" outlineLevel="0" collapsed="false">
      <c r="A49" s="29"/>
      <c r="B49" s="11"/>
      <c r="C49" s="11" t="s">
        <v>38</v>
      </c>
      <c r="D49" s="29"/>
      <c r="E49" s="4"/>
      <c r="G49" s="39" t="s">
        <v>111</v>
      </c>
      <c r="I49" s="9"/>
      <c r="J49" s="9"/>
      <c r="K49" s="40"/>
      <c r="P49" s="51"/>
      <c r="T49" s="11"/>
      <c r="U49" s="9"/>
      <c r="V49" s="11"/>
      <c r="W49" s="9"/>
      <c r="X49" s="9"/>
      <c r="Y49" s="41"/>
      <c r="Z49" s="9"/>
      <c r="AA49" s="42"/>
      <c r="AB49" s="14"/>
      <c r="AG49" s="59"/>
    </row>
    <row r="50" customFormat="false" ht="14.25" hidden="false" customHeight="true" outlineLevel="0" collapsed="false">
      <c r="A50" s="29"/>
      <c r="B50" s="11"/>
      <c r="C50" s="11" t="s">
        <v>38</v>
      </c>
      <c r="D50" s="29"/>
      <c r="E50" s="4"/>
      <c r="I50" s="9"/>
      <c r="J50" s="9"/>
      <c r="T50" s="9"/>
      <c r="U50" s="9"/>
      <c r="V50" s="9"/>
      <c r="W50" s="9"/>
      <c r="X50" s="9"/>
      <c r="Y50" s="41"/>
      <c r="Z50" s="9"/>
      <c r="AA50" s="42"/>
      <c r="AB50" s="14"/>
      <c r="AG50" s="59"/>
    </row>
    <row r="51" customFormat="false" ht="19.4" hidden="false" customHeight="false" outlineLevel="0" collapsed="false">
      <c r="A51" s="29"/>
      <c r="B51" s="11" t="s">
        <v>47</v>
      </c>
      <c r="C51" s="11" t="s">
        <v>38</v>
      </c>
      <c r="D51" s="29" t="n">
        <v>550070</v>
      </c>
      <c r="E51" s="4" t="s">
        <v>111</v>
      </c>
      <c r="F51" s="4" t="s">
        <v>112</v>
      </c>
      <c r="G51" s="5" t="s">
        <v>113</v>
      </c>
      <c r="H51" s="6" t="n">
        <v>2235</v>
      </c>
      <c r="I51" s="9" t="n">
        <f aca="false">H51</f>
        <v>2235</v>
      </c>
      <c r="J51" s="9" t="n">
        <v>2000</v>
      </c>
      <c r="K51" s="4" t="s">
        <v>67</v>
      </c>
      <c r="N51" s="8" t="n">
        <v>45754</v>
      </c>
      <c r="Q51" s="9" t="n">
        <v>0</v>
      </c>
      <c r="R51" s="9" t="n">
        <f aca="false">Q51</f>
        <v>0</v>
      </c>
      <c r="T51" s="9" t="n">
        <v>143000</v>
      </c>
      <c r="U51" s="9" t="n">
        <f aca="false">T51</f>
        <v>143000</v>
      </c>
      <c r="V51" s="9" t="n">
        <v>145000</v>
      </c>
      <c r="W51" s="9" t="n">
        <f aca="false">V51</f>
        <v>145000</v>
      </c>
      <c r="X51" s="45" t="n">
        <f aca="false">V51/H51</f>
        <v>64.8769574944072</v>
      </c>
      <c r="Y51" s="46" t="n">
        <f aca="false">SUM(V51-T51)/T51</f>
        <v>0.013986013986014</v>
      </c>
      <c r="Z51" s="9" t="s">
        <v>60</v>
      </c>
      <c r="AA51" s="42"/>
      <c r="AB51" s="14"/>
      <c r="AC51" s="5" t="s">
        <v>43</v>
      </c>
      <c r="AD51" s="4" t="s">
        <v>114</v>
      </c>
      <c r="AF51" s="4" t="n">
        <v>15</v>
      </c>
      <c r="AG51" s="59" t="n">
        <v>15</v>
      </c>
    </row>
    <row r="52" customFormat="false" ht="19.4" hidden="false" customHeight="false" outlineLevel="0" collapsed="false">
      <c r="A52" s="29"/>
      <c r="B52" s="11" t="s">
        <v>47</v>
      </c>
      <c r="C52" s="11" t="s">
        <v>38</v>
      </c>
      <c r="D52" s="29" t="n">
        <v>550070</v>
      </c>
      <c r="E52" s="4" t="s">
        <v>111</v>
      </c>
      <c r="F52" s="4" t="s">
        <v>89</v>
      </c>
      <c r="G52" s="5" t="s">
        <v>40</v>
      </c>
      <c r="H52" s="6" t="n">
        <v>694</v>
      </c>
      <c r="I52" s="9" t="n">
        <f aca="false">H52</f>
        <v>694</v>
      </c>
      <c r="J52" s="9" t="n">
        <v>750</v>
      </c>
      <c r="K52" s="4" t="s">
        <v>115</v>
      </c>
      <c r="L52" s="7" t="n">
        <v>44904</v>
      </c>
      <c r="M52" s="8" t="n">
        <v>45999</v>
      </c>
      <c r="Q52" s="9" t="n">
        <v>42000</v>
      </c>
      <c r="R52" s="9" t="n">
        <f aca="false">Q52</f>
        <v>42000</v>
      </c>
      <c r="T52" s="9" t="n">
        <v>42000</v>
      </c>
      <c r="U52" s="9" t="n">
        <f aca="false">T52</f>
        <v>42000</v>
      </c>
      <c r="V52" s="9" t="n">
        <v>42000</v>
      </c>
      <c r="W52" s="9" t="n">
        <f aca="false">V52</f>
        <v>42000</v>
      </c>
      <c r="X52" s="45" t="n">
        <f aca="false">V52/H52</f>
        <v>60.5187319884726</v>
      </c>
      <c r="Y52" s="46" t="n">
        <f aca="false">SUM(V52-T52)/T52</f>
        <v>0</v>
      </c>
      <c r="Z52" s="9" t="s">
        <v>60</v>
      </c>
      <c r="AA52" s="42"/>
      <c r="AB52" s="14"/>
      <c r="AC52" s="5" t="s">
        <v>43</v>
      </c>
      <c r="AG52" s="59"/>
    </row>
    <row r="53" customFormat="false" ht="24.75" hidden="false" customHeight="true" outlineLevel="0" collapsed="false">
      <c r="A53" s="29"/>
      <c r="B53" s="11" t="s">
        <v>47</v>
      </c>
      <c r="C53" s="11" t="s">
        <v>38</v>
      </c>
      <c r="D53" s="29" t="n">
        <v>550070</v>
      </c>
      <c r="E53" s="4" t="s">
        <v>111</v>
      </c>
      <c r="F53" s="4" t="s">
        <v>93</v>
      </c>
      <c r="G53" s="5" t="s">
        <v>40</v>
      </c>
      <c r="H53" s="6" t="n">
        <v>690</v>
      </c>
      <c r="I53" s="9" t="n">
        <f aca="false">H53</f>
        <v>690</v>
      </c>
      <c r="J53" s="9" t="n">
        <v>750</v>
      </c>
      <c r="K53" s="4" t="s">
        <v>116</v>
      </c>
      <c r="L53" s="7" t="n">
        <v>45412</v>
      </c>
      <c r="M53" s="8" t="n">
        <v>47237</v>
      </c>
      <c r="P53" s="8" t="n">
        <v>46326</v>
      </c>
      <c r="Q53" s="9" t="n">
        <v>40020</v>
      </c>
      <c r="R53" s="9" t="n">
        <f aca="false">Q53</f>
        <v>40020</v>
      </c>
      <c r="T53" s="9" t="n">
        <v>39700</v>
      </c>
      <c r="U53" s="9" t="n">
        <f aca="false">T53</f>
        <v>39700</v>
      </c>
      <c r="V53" s="9" t="n">
        <v>40000</v>
      </c>
      <c r="W53" s="9" t="n">
        <f aca="false">V53</f>
        <v>40000</v>
      </c>
      <c r="X53" s="45" t="n">
        <f aca="false">V53/H53</f>
        <v>57.9710144927536</v>
      </c>
      <c r="Y53" s="46" t="n">
        <f aca="false">SUM(V53-T53)/T53</f>
        <v>0.00755667506297229</v>
      </c>
      <c r="Z53" s="9" t="s">
        <v>60</v>
      </c>
      <c r="AA53" s="42"/>
      <c r="AB53" s="14"/>
      <c r="AC53" s="5" t="s">
        <v>43</v>
      </c>
      <c r="AD53" s="4" t="s">
        <v>77</v>
      </c>
      <c r="AG53" s="59"/>
    </row>
    <row r="54" customFormat="false" ht="19.4" hidden="false" customHeight="false" outlineLevel="0" collapsed="false">
      <c r="A54" s="29"/>
      <c r="B54" s="11" t="s">
        <v>47</v>
      </c>
      <c r="C54" s="11" t="s">
        <v>38</v>
      </c>
      <c r="D54" s="29" t="n">
        <v>550070</v>
      </c>
      <c r="E54" s="4" t="s">
        <v>111</v>
      </c>
      <c r="F54" s="4" t="s">
        <v>94</v>
      </c>
      <c r="G54" s="5" t="s">
        <v>40</v>
      </c>
      <c r="H54" s="6" t="n">
        <v>620</v>
      </c>
      <c r="I54" s="9" t="n">
        <f aca="false">H54</f>
        <v>620</v>
      </c>
      <c r="J54" s="9" t="n">
        <v>750</v>
      </c>
      <c r="K54" s="4" t="s">
        <v>117</v>
      </c>
      <c r="L54" s="7" t="n">
        <v>44816</v>
      </c>
      <c r="M54" s="8" t="n">
        <v>45911</v>
      </c>
      <c r="Q54" s="9" t="n">
        <v>33480</v>
      </c>
      <c r="R54" s="9" t="n">
        <f aca="false">Q54</f>
        <v>33480</v>
      </c>
      <c r="T54" s="9" t="n">
        <v>34100</v>
      </c>
      <c r="U54" s="9" t="n">
        <f aca="false">T54</f>
        <v>34100</v>
      </c>
      <c r="V54" s="9" t="n">
        <v>36000</v>
      </c>
      <c r="W54" s="9" t="n">
        <f aca="false">V54</f>
        <v>36000</v>
      </c>
      <c r="X54" s="45" t="n">
        <f aca="false">V54/H54</f>
        <v>58.0645161290323</v>
      </c>
      <c r="Y54" s="46" t="n">
        <f aca="false">SUM(V54-T54)/T54</f>
        <v>0.0557184750733138</v>
      </c>
      <c r="Z54" s="9" t="s">
        <v>60</v>
      </c>
      <c r="AA54" s="42"/>
      <c r="AB54" s="14"/>
      <c r="AC54" s="5" t="s">
        <v>43</v>
      </c>
      <c r="AG54" s="59"/>
    </row>
    <row r="55" customFormat="false" ht="19.4" hidden="false" customHeight="false" outlineLevel="0" collapsed="false">
      <c r="A55" s="29"/>
      <c r="B55" s="11" t="s">
        <v>47</v>
      </c>
      <c r="C55" s="11" t="s">
        <v>38</v>
      </c>
      <c r="D55" s="29" t="n">
        <v>550070</v>
      </c>
      <c r="E55" s="4" t="s">
        <v>111</v>
      </c>
      <c r="F55" s="4" t="s">
        <v>118</v>
      </c>
      <c r="G55" s="5" t="s">
        <v>40</v>
      </c>
      <c r="H55" s="6" t="n">
        <v>400</v>
      </c>
      <c r="I55" s="9" t="n">
        <f aca="false">H55</f>
        <v>400</v>
      </c>
      <c r="J55" s="9" t="n">
        <v>500</v>
      </c>
      <c r="K55" s="4" t="s">
        <v>67</v>
      </c>
      <c r="N55" s="8" t="n">
        <v>44168</v>
      </c>
      <c r="Q55" s="9" t="n">
        <v>0</v>
      </c>
      <c r="R55" s="9" t="n">
        <f aca="false">Q55</f>
        <v>0</v>
      </c>
      <c r="T55" s="9" t="n">
        <v>21600</v>
      </c>
      <c r="U55" s="9" t="n">
        <f aca="false">T55</f>
        <v>21600</v>
      </c>
      <c r="V55" s="9" t="n">
        <v>22000</v>
      </c>
      <c r="W55" s="9" t="n">
        <f aca="false">V55</f>
        <v>22000</v>
      </c>
      <c r="X55" s="45" t="n">
        <f aca="false">V55/H55</f>
        <v>55</v>
      </c>
      <c r="Y55" s="46" t="n">
        <f aca="false">SUM(V55-T55)/T55</f>
        <v>0.0185185185185185</v>
      </c>
      <c r="Z55" s="9" t="s">
        <v>60</v>
      </c>
      <c r="AA55" s="42"/>
      <c r="AB55" s="14"/>
      <c r="AC55" s="5" t="s">
        <v>43</v>
      </c>
      <c r="AD55" s="4" t="s">
        <v>119</v>
      </c>
      <c r="AG55" s="59"/>
    </row>
    <row r="56" customFormat="false" ht="22.5" hidden="false" customHeight="true" outlineLevel="0" collapsed="false">
      <c r="A56" s="29"/>
      <c r="B56" s="11" t="s">
        <v>47</v>
      </c>
      <c r="C56" s="11" t="s">
        <v>38</v>
      </c>
      <c r="D56" s="29" t="n">
        <v>550070</v>
      </c>
      <c r="E56" s="4" t="s">
        <v>111</v>
      </c>
      <c r="F56" s="4" t="s">
        <v>120</v>
      </c>
      <c r="G56" s="5" t="s">
        <v>121</v>
      </c>
      <c r="H56" s="6" t="n">
        <v>0</v>
      </c>
      <c r="I56" s="9" t="n">
        <f aca="false">H56</f>
        <v>0</v>
      </c>
      <c r="J56" s="9"/>
      <c r="K56" s="4" t="s">
        <v>81</v>
      </c>
      <c r="N56" s="8" t="s">
        <v>82</v>
      </c>
      <c r="Q56" s="9" t="n">
        <v>0</v>
      </c>
      <c r="R56" s="44" t="n">
        <f aca="false">Q56</f>
        <v>0</v>
      </c>
      <c r="S56" s="44"/>
      <c r="T56" s="9" t="n">
        <v>0</v>
      </c>
      <c r="U56" s="44" t="n">
        <f aca="false">T56</f>
        <v>0</v>
      </c>
      <c r="V56" s="9" t="n">
        <v>0</v>
      </c>
      <c r="W56" s="44" t="n">
        <f aca="false">V56</f>
        <v>0</v>
      </c>
      <c r="X56" s="44"/>
      <c r="Y56" s="64"/>
      <c r="Z56" s="44"/>
      <c r="AA56" s="67"/>
      <c r="AB56" s="14"/>
      <c r="AC56" s="5" t="s">
        <v>43</v>
      </c>
      <c r="AG56" s="59"/>
    </row>
    <row r="57" customFormat="false" ht="14.25" hidden="false" customHeight="true" outlineLevel="0" collapsed="false">
      <c r="A57" s="29"/>
      <c r="B57" s="11"/>
      <c r="C57" s="11" t="s">
        <v>38</v>
      </c>
      <c r="D57" s="29"/>
      <c r="E57" s="4"/>
      <c r="H57" s="43"/>
      <c r="I57" s="9"/>
      <c r="J57" s="9"/>
      <c r="Q57" s="44"/>
      <c r="R57" s="44"/>
      <c r="S57" s="44"/>
      <c r="T57" s="44"/>
      <c r="U57" s="44"/>
      <c r="V57" s="44"/>
      <c r="W57" s="44"/>
      <c r="X57" s="44"/>
      <c r="Y57" s="64"/>
      <c r="Z57" s="44"/>
      <c r="AA57" s="67"/>
      <c r="AB57" s="14"/>
      <c r="AC57" s="5"/>
      <c r="AG57" s="59"/>
    </row>
    <row r="58" customFormat="false" ht="14.25" hidden="false" customHeight="true" outlineLevel="0" collapsed="false">
      <c r="A58" s="29"/>
      <c r="B58" s="11"/>
      <c r="C58" s="11" t="s">
        <v>38</v>
      </c>
      <c r="D58" s="29"/>
      <c r="E58" s="4"/>
      <c r="F58" s="47" t="s">
        <v>122</v>
      </c>
      <c r="H58" s="43" t="n">
        <f aca="false">SUM(H51:H56)</f>
        <v>4639</v>
      </c>
      <c r="I58" s="44"/>
      <c r="J58" s="44"/>
      <c r="Q58" s="44" t="n">
        <f aca="false">SUM(Q51:Q56)</f>
        <v>115500</v>
      </c>
      <c r="R58" s="44"/>
      <c r="S58" s="44" t="n">
        <f aca="false">SUM(R51:R56)</f>
        <v>115500</v>
      </c>
      <c r="T58" s="44" t="n">
        <f aca="false">SUM(T51:T56)</f>
        <v>280400</v>
      </c>
      <c r="U58" s="44"/>
      <c r="V58" s="44" t="n">
        <f aca="false">SUM(V51:V56)</f>
        <v>285000</v>
      </c>
      <c r="W58" s="44"/>
      <c r="X58" s="44"/>
      <c r="Y58" s="64"/>
      <c r="Z58" s="44"/>
      <c r="AA58" s="67"/>
      <c r="AB58" s="43" t="n">
        <v>4750000</v>
      </c>
      <c r="AC58" s="5"/>
      <c r="AF58" s="60"/>
      <c r="AG58" s="62"/>
      <c r="AH58" s="60"/>
    </row>
    <row r="59" customFormat="false" ht="14.25" hidden="false" customHeight="true" outlineLevel="0" collapsed="false">
      <c r="A59" s="29"/>
      <c r="B59" s="11"/>
      <c r="C59" s="11" t="s">
        <v>38</v>
      </c>
      <c r="D59" s="29"/>
      <c r="E59" s="4"/>
      <c r="F59" s="49"/>
      <c r="H59" s="43"/>
      <c r="I59" s="44"/>
      <c r="J59" s="44"/>
      <c r="Q59" s="44"/>
      <c r="R59" s="44"/>
      <c r="S59" s="44"/>
      <c r="T59" s="44"/>
      <c r="U59" s="44"/>
      <c r="V59" s="44"/>
      <c r="W59" s="44"/>
      <c r="X59" s="44"/>
      <c r="Y59" s="64"/>
      <c r="Z59" s="44"/>
      <c r="AA59" s="67"/>
      <c r="AB59" s="66"/>
      <c r="AC59" s="5"/>
      <c r="AG59" s="59"/>
    </row>
    <row r="60" customFormat="false" ht="14.25" hidden="false" customHeight="true" outlineLevel="0" collapsed="false">
      <c r="A60" s="29"/>
      <c r="B60" s="11"/>
      <c r="C60" s="11" t="s">
        <v>38</v>
      </c>
      <c r="D60" s="29"/>
      <c r="E60" s="4"/>
      <c r="G60" s="39" t="s">
        <v>123</v>
      </c>
      <c r="I60" s="9"/>
      <c r="J60" s="9"/>
      <c r="K60" s="40"/>
      <c r="T60" s="11"/>
      <c r="U60" s="9"/>
      <c r="V60" s="11"/>
      <c r="W60" s="9"/>
      <c r="X60" s="9"/>
      <c r="Y60" s="41"/>
      <c r="Z60" s="9"/>
      <c r="AA60" s="42"/>
      <c r="AB60" s="14"/>
      <c r="AC60" s="5"/>
      <c r="AG60" s="59"/>
    </row>
    <row r="61" customFormat="false" ht="14.25" hidden="false" customHeight="true" outlineLevel="0" collapsed="false">
      <c r="A61" s="29"/>
      <c r="B61" s="11"/>
      <c r="C61" s="11" t="s">
        <v>38</v>
      </c>
      <c r="D61" s="29"/>
      <c r="E61" s="4"/>
      <c r="G61" s="39"/>
      <c r="H61" s="68"/>
      <c r="I61" s="9"/>
      <c r="J61" s="9"/>
      <c r="K61" s="69"/>
      <c r="L61" s="70"/>
      <c r="T61" s="9"/>
      <c r="U61" s="9"/>
      <c r="V61" s="9"/>
      <c r="W61" s="9"/>
      <c r="X61" s="9"/>
      <c r="Y61" s="41"/>
      <c r="Z61" s="9"/>
      <c r="AA61" s="42"/>
      <c r="AB61" s="14"/>
      <c r="AC61" s="5"/>
      <c r="AG61" s="59"/>
    </row>
    <row r="62" customFormat="false" ht="24" hidden="false" customHeight="true" outlineLevel="0" collapsed="false">
      <c r="A62" s="29"/>
      <c r="B62" s="11" t="s">
        <v>47</v>
      </c>
      <c r="C62" s="11" t="s">
        <v>38</v>
      </c>
      <c r="D62" s="29" t="n">
        <v>550470</v>
      </c>
      <c r="E62" s="4" t="s">
        <v>123</v>
      </c>
      <c r="F62" s="4" t="s">
        <v>124</v>
      </c>
      <c r="G62" s="5" t="s">
        <v>125</v>
      </c>
      <c r="H62" s="6" t="n">
        <v>2945</v>
      </c>
      <c r="I62" s="6" t="n">
        <f aca="false">H62</f>
        <v>2945</v>
      </c>
      <c r="J62" s="6" t="n">
        <v>3000</v>
      </c>
      <c r="K62" s="4" t="s">
        <v>126</v>
      </c>
      <c r="L62" s="7" t="n">
        <v>41457</v>
      </c>
      <c r="M62" s="8" t="n">
        <v>46935</v>
      </c>
      <c r="Q62" s="9" t="n">
        <v>147500</v>
      </c>
      <c r="R62" s="9" t="n">
        <f aca="false">Q62</f>
        <v>147500</v>
      </c>
      <c r="T62" s="9" t="n">
        <v>147500</v>
      </c>
      <c r="U62" s="9" t="n">
        <f aca="false">T62</f>
        <v>147500</v>
      </c>
      <c r="V62" s="9" t="n">
        <v>147500</v>
      </c>
      <c r="W62" s="9" t="n">
        <f aca="false">V62</f>
        <v>147500</v>
      </c>
      <c r="X62" s="45" t="n">
        <f aca="false">V62/H62</f>
        <v>50.0848896434635</v>
      </c>
      <c r="Y62" s="46" t="n">
        <f aca="false">SUM(V62-T62)/T62</f>
        <v>0</v>
      </c>
      <c r="Z62" s="9" t="s">
        <v>127</v>
      </c>
      <c r="AA62" s="42"/>
      <c r="AB62" s="14"/>
      <c r="AC62" s="5" t="s">
        <v>43</v>
      </c>
      <c r="AD62" s="4" t="s">
        <v>128</v>
      </c>
      <c r="AG62" s="59"/>
    </row>
    <row r="63" customFormat="false" ht="18" hidden="false" customHeight="true" outlineLevel="0" collapsed="false">
      <c r="A63" s="29"/>
      <c r="B63" s="11" t="s">
        <v>47</v>
      </c>
      <c r="C63" s="11" t="s">
        <v>38</v>
      </c>
      <c r="D63" s="29" t="n">
        <v>550470</v>
      </c>
      <c r="E63" s="4" t="s">
        <v>123</v>
      </c>
      <c r="F63" s="4" t="s">
        <v>129</v>
      </c>
      <c r="G63" s="5" t="s">
        <v>130</v>
      </c>
      <c r="H63" s="6" t="n">
        <v>2103</v>
      </c>
      <c r="I63" s="6" t="n">
        <f aca="false">H63</f>
        <v>2103</v>
      </c>
      <c r="J63" s="6" t="n">
        <v>2000</v>
      </c>
      <c r="K63" s="4" t="s">
        <v>131</v>
      </c>
      <c r="L63" s="7" t="n">
        <v>45669</v>
      </c>
      <c r="M63" s="8" t="n">
        <v>51146</v>
      </c>
      <c r="O63" s="8" t="n">
        <v>47495</v>
      </c>
      <c r="P63" s="8" t="n">
        <v>49320</v>
      </c>
      <c r="Q63" s="9" t="n">
        <v>220000</v>
      </c>
      <c r="R63" s="9" t="n">
        <f aca="false">Q63</f>
        <v>220000</v>
      </c>
      <c r="T63" s="9" t="n">
        <v>176200</v>
      </c>
      <c r="U63" s="9" t="n">
        <f aca="false">T63</f>
        <v>176200</v>
      </c>
      <c r="V63" s="9" t="n">
        <v>220000</v>
      </c>
      <c r="W63" s="9" t="n">
        <f aca="false">V63</f>
        <v>220000</v>
      </c>
      <c r="X63" s="45" t="n">
        <f aca="false">V63/H63</f>
        <v>104.612458392772</v>
      </c>
      <c r="Y63" s="46" t="n">
        <f aca="false">SUM(V63-T63)/T63</f>
        <v>0.248581157775255</v>
      </c>
      <c r="Z63" s="9" t="s">
        <v>55</v>
      </c>
      <c r="AA63" s="42"/>
      <c r="AB63" s="14"/>
      <c r="AC63" s="5" t="s">
        <v>43</v>
      </c>
      <c r="AD63" s="4" t="s">
        <v>132</v>
      </c>
      <c r="AG63" s="59"/>
    </row>
    <row r="64" customFormat="false" ht="36" hidden="false" customHeight="true" outlineLevel="0" collapsed="false">
      <c r="A64" s="29"/>
      <c r="B64" s="11" t="s">
        <v>47</v>
      </c>
      <c r="C64" s="11" t="s">
        <v>38</v>
      </c>
      <c r="D64" s="29" t="n">
        <v>550470</v>
      </c>
      <c r="E64" s="4" t="s">
        <v>123</v>
      </c>
      <c r="F64" s="4" t="s">
        <v>133</v>
      </c>
      <c r="G64" s="5" t="s">
        <v>134</v>
      </c>
      <c r="H64" s="6" t="n">
        <v>5667</v>
      </c>
      <c r="I64" s="6" t="n">
        <f aca="false">H64</f>
        <v>5667</v>
      </c>
      <c r="J64" s="6" t="n">
        <v>5500</v>
      </c>
      <c r="K64" s="4" t="s">
        <v>135</v>
      </c>
      <c r="L64" s="7" t="n">
        <v>45567</v>
      </c>
      <c r="M64" s="8" t="n">
        <v>51044</v>
      </c>
      <c r="O64" s="8" t="n">
        <v>47393</v>
      </c>
      <c r="Q64" s="9" t="n">
        <v>150000</v>
      </c>
      <c r="R64" s="9" t="n">
        <f aca="false">Q64</f>
        <v>150000</v>
      </c>
      <c r="T64" s="9" t="n">
        <v>255000</v>
      </c>
      <c r="U64" s="9" t="n">
        <f aca="false">T64</f>
        <v>255000</v>
      </c>
      <c r="V64" s="9" t="n">
        <v>300000</v>
      </c>
      <c r="W64" s="9" t="n">
        <f aca="false">V64</f>
        <v>300000</v>
      </c>
      <c r="X64" s="45" t="n">
        <f aca="false">V64/H64</f>
        <v>52.9380624669137</v>
      </c>
      <c r="Y64" s="46" t="n">
        <f aca="false">SUM(V64-T64)/T64</f>
        <v>0.176470588235294</v>
      </c>
      <c r="Z64" s="9" t="s">
        <v>55</v>
      </c>
      <c r="AA64" s="42"/>
      <c r="AB64" s="14"/>
      <c r="AC64" s="5" t="s">
        <v>43</v>
      </c>
      <c r="AD64" s="4" t="s">
        <v>136</v>
      </c>
      <c r="AG64" s="59"/>
    </row>
    <row r="65" customFormat="false" ht="13.5" hidden="false" customHeight="false" outlineLevel="0" collapsed="false">
      <c r="A65" s="29"/>
      <c r="B65" s="11" t="s">
        <v>47</v>
      </c>
      <c r="C65" s="11" t="s">
        <v>38</v>
      </c>
      <c r="D65" s="29" t="n">
        <v>550470</v>
      </c>
      <c r="E65" s="4" t="s">
        <v>123</v>
      </c>
      <c r="F65" s="4" t="s">
        <v>137</v>
      </c>
      <c r="G65" s="5" t="s">
        <v>40</v>
      </c>
      <c r="H65" s="6" t="n">
        <v>1784</v>
      </c>
      <c r="I65" s="6" t="n">
        <f aca="false">H65</f>
        <v>1784</v>
      </c>
      <c r="J65" s="6" t="n">
        <v>1750</v>
      </c>
      <c r="K65" s="4" t="s">
        <v>138</v>
      </c>
      <c r="L65" s="7" t="n">
        <v>45457</v>
      </c>
      <c r="M65" s="8" t="n">
        <v>47282</v>
      </c>
      <c r="Q65" s="9" t="n">
        <v>60700</v>
      </c>
      <c r="R65" s="9" t="n">
        <f aca="false">Q65</f>
        <v>60700</v>
      </c>
      <c r="T65" s="9" t="n">
        <v>99700</v>
      </c>
      <c r="U65" s="9" t="n">
        <f aca="false">T65</f>
        <v>99700</v>
      </c>
      <c r="V65" s="9" t="n">
        <v>120400</v>
      </c>
      <c r="W65" s="9" t="n">
        <f aca="false">V65</f>
        <v>120400</v>
      </c>
      <c r="X65" s="45" t="n">
        <f aca="false">V65/H65</f>
        <v>67.4887892376682</v>
      </c>
      <c r="Y65" s="46" t="n">
        <f aca="false">SUM(V65-T65)/T65</f>
        <v>0.207622868605817</v>
      </c>
      <c r="Z65" s="9" t="s">
        <v>55</v>
      </c>
      <c r="AA65" s="42"/>
      <c r="AB65" s="14"/>
      <c r="AC65" s="5" t="s">
        <v>43</v>
      </c>
      <c r="AD65" s="4" t="s">
        <v>139</v>
      </c>
      <c r="AG65" s="59"/>
    </row>
    <row r="66" customFormat="false" ht="19.4" hidden="false" customHeight="false" outlineLevel="0" collapsed="false">
      <c r="A66" s="29"/>
      <c r="B66" s="11" t="s">
        <v>47</v>
      </c>
      <c r="C66" s="11" t="s">
        <v>38</v>
      </c>
      <c r="D66" s="29" t="n">
        <v>550470</v>
      </c>
      <c r="E66" s="4" t="s">
        <v>123</v>
      </c>
      <c r="F66" s="4" t="s">
        <v>140</v>
      </c>
      <c r="G66" s="5" t="s">
        <v>40</v>
      </c>
      <c r="H66" s="6" t="n">
        <v>2075</v>
      </c>
      <c r="I66" s="6" t="n">
        <f aca="false">H66</f>
        <v>2075</v>
      </c>
      <c r="J66" s="6" t="n">
        <v>2000</v>
      </c>
      <c r="K66" s="4" t="s">
        <v>141</v>
      </c>
      <c r="L66" s="7" t="n">
        <v>45384</v>
      </c>
      <c r="M66" s="8" t="n">
        <v>47209</v>
      </c>
      <c r="P66" s="8" t="n">
        <v>46478</v>
      </c>
      <c r="Q66" s="9" t="n">
        <v>133280</v>
      </c>
      <c r="R66" s="9" t="n">
        <f aca="false">Q66</f>
        <v>133280</v>
      </c>
      <c r="T66" s="9" t="n">
        <v>114700</v>
      </c>
      <c r="U66" s="9" t="n">
        <f aca="false">T66</f>
        <v>114700</v>
      </c>
      <c r="V66" s="9" t="n">
        <v>140100</v>
      </c>
      <c r="W66" s="9" t="n">
        <f aca="false">V66</f>
        <v>140100</v>
      </c>
      <c r="X66" s="45" t="n">
        <f aca="false">V66/H66</f>
        <v>67.5180722891566</v>
      </c>
      <c r="Y66" s="46" t="n">
        <f aca="false">SUM(V66-T66)/T66</f>
        <v>0.221447253705318</v>
      </c>
      <c r="Z66" s="9" t="s">
        <v>55</v>
      </c>
      <c r="AA66" s="42"/>
      <c r="AB66" s="14"/>
      <c r="AC66" s="5" t="s">
        <v>43</v>
      </c>
      <c r="AD66" s="4" t="s">
        <v>142</v>
      </c>
      <c r="AG66" s="59"/>
    </row>
    <row r="67" customFormat="false" ht="13.5" hidden="false" customHeight="false" outlineLevel="0" collapsed="false">
      <c r="A67" s="29"/>
      <c r="B67" s="11" t="s">
        <v>47</v>
      </c>
      <c r="C67" s="11" t="s">
        <v>38</v>
      </c>
      <c r="D67" s="29" t="n">
        <v>550470</v>
      </c>
      <c r="E67" s="4" t="s">
        <v>123</v>
      </c>
      <c r="F67" s="4" t="s">
        <v>143</v>
      </c>
      <c r="G67" s="5" t="s">
        <v>40</v>
      </c>
      <c r="H67" s="6" t="n">
        <v>2063</v>
      </c>
      <c r="I67" s="6" t="n">
        <f aca="false">H67</f>
        <v>2063</v>
      </c>
      <c r="J67" s="6" t="n">
        <v>2000</v>
      </c>
      <c r="K67" s="4" t="s">
        <v>144</v>
      </c>
      <c r="L67" s="7" t="n">
        <v>45516</v>
      </c>
      <c r="M67" s="8" t="n">
        <v>47341</v>
      </c>
      <c r="P67" s="8" t="n">
        <v>46610</v>
      </c>
      <c r="Q67" s="9" t="n">
        <v>146450</v>
      </c>
      <c r="R67" s="9" t="n">
        <f aca="false">Q67</f>
        <v>146450</v>
      </c>
      <c r="T67" s="9" t="n">
        <v>120700</v>
      </c>
      <c r="U67" s="9" t="n">
        <f aca="false">T67</f>
        <v>120700</v>
      </c>
      <c r="V67" s="9" t="n">
        <v>139260</v>
      </c>
      <c r="W67" s="9" t="n">
        <f aca="false">V67</f>
        <v>139260</v>
      </c>
      <c r="X67" s="45" t="n">
        <f aca="false">V67/H67</f>
        <v>67.5036354823073</v>
      </c>
      <c r="Y67" s="46" t="n">
        <f aca="false">SUM(V67-T67)/T67</f>
        <v>0.153769676884838</v>
      </c>
      <c r="Z67" s="9" t="s">
        <v>55</v>
      </c>
      <c r="AA67" s="42"/>
      <c r="AB67" s="14"/>
      <c r="AC67" s="5" t="s">
        <v>43</v>
      </c>
      <c r="AD67" s="4" t="s">
        <v>77</v>
      </c>
      <c r="AF67" s="60"/>
      <c r="AG67" s="62"/>
      <c r="AH67" s="60"/>
    </row>
    <row r="68" customFormat="false" ht="13.5" hidden="false" customHeight="false" outlineLevel="0" collapsed="false">
      <c r="A68" s="29"/>
      <c r="B68" s="11" t="s">
        <v>47</v>
      </c>
      <c r="C68" s="11" t="s">
        <v>38</v>
      </c>
      <c r="D68" s="29" t="n">
        <v>550470</v>
      </c>
      <c r="E68" s="4" t="s">
        <v>123</v>
      </c>
      <c r="F68" s="4" t="s">
        <v>145</v>
      </c>
      <c r="G68" s="5" t="s">
        <v>40</v>
      </c>
      <c r="H68" s="6" t="n">
        <v>1796</v>
      </c>
      <c r="I68" s="6" t="n">
        <f aca="false">H68</f>
        <v>1796</v>
      </c>
      <c r="J68" s="6" t="n">
        <v>1750</v>
      </c>
      <c r="K68" s="4" t="s">
        <v>67</v>
      </c>
      <c r="N68" s="8" t="n">
        <v>45051</v>
      </c>
      <c r="Q68" s="9" t="n">
        <v>0</v>
      </c>
      <c r="R68" s="9" t="n">
        <f aca="false">Q68</f>
        <v>0</v>
      </c>
      <c r="T68" s="9" t="n">
        <v>87300</v>
      </c>
      <c r="U68" s="9" t="n">
        <f aca="false">T68</f>
        <v>87300</v>
      </c>
      <c r="V68" s="9" t="n">
        <v>121240</v>
      </c>
      <c r="W68" s="9" t="n">
        <f aca="false">V68</f>
        <v>121240</v>
      </c>
      <c r="X68" s="45" t="n">
        <f aca="false">V68/H68</f>
        <v>67.5055679287305</v>
      </c>
      <c r="Y68" s="46" t="n">
        <f aca="false">SUM(V68-T68)/T68</f>
        <v>0.388774341351661</v>
      </c>
      <c r="Z68" s="9" t="s">
        <v>55</v>
      </c>
      <c r="AA68" s="42"/>
      <c r="AB68" s="14"/>
      <c r="AC68" s="5" t="s">
        <v>43</v>
      </c>
      <c r="AD68" s="4" t="s">
        <v>68</v>
      </c>
      <c r="AE68" s="15" t="n">
        <v>72.5</v>
      </c>
      <c r="AF68" s="4" t="n">
        <v>3</v>
      </c>
      <c r="AG68" s="59" t="n">
        <v>13</v>
      </c>
      <c r="AH68" s="4" t="s">
        <v>146</v>
      </c>
    </row>
    <row r="69" customFormat="false" ht="13.5" hidden="false" customHeight="false" outlineLevel="0" collapsed="false">
      <c r="A69" s="29"/>
      <c r="B69" s="11" t="s">
        <v>47</v>
      </c>
      <c r="C69" s="11" t="s">
        <v>38</v>
      </c>
      <c r="D69" s="29" t="n">
        <v>550470</v>
      </c>
      <c r="E69" s="4" t="s">
        <v>123</v>
      </c>
      <c r="F69" s="4" t="s">
        <v>147</v>
      </c>
      <c r="G69" s="5" t="s">
        <v>40</v>
      </c>
      <c r="H69" s="6" t="n">
        <v>1691</v>
      </c>
      <c r="I69" s="6" t="n">
        <f aca="false">H69</f>
        <v>1691</v>
      </c>
      <c r="J69" s="6" t="n">
        <v>1500</v>
      </c>
      <c r="K69" s="4" t="s">
        <v>148</v>
      </c>
      <c r="L69" s="7" t="n">
        <v>44795</v>
      </c>
      <c r="M69" s="8" t="n">
        <v>46620</v>
      </c>
      <c r="P69" s="8" t="n">
        <v>45890</v>
      </c>
      <c r="Q69" s="9" t="n">
        <v>102705</v>
      </c>
      <c r="R69" s="9" t="n">
        <f aca="false">Q69</f>
        <v>102705</v>
      </c>
      <c r="T69" s="9" t="n">
        <v>102705</v>
      </c>
      <c r="U69" s="9" t="n">
        <f aca="false">T69</f>
        <v>102705</v>
      </c>
      <c r="V69" s="9" t="n">
        <v>114100</v>
      </c>
      <c r="W69" s="9" t="n">
        <f aca="false">V69</f>
        <v>114100</v>
      </c>
      <c r="X69" s="45" t="n">
        <f aca="false">V69/H69</f>
        <v>67.4748669426375</v>
      </c>
      <c r="Y69" s="46" t="n">
        <f aca="false">SUM(V69-T69)/T69</f>
        <v>0.110948834039239</v>
      </c>
      <c r="Z69" s="9" t="s">
        <v>55</v>
      </c>
      <c r="AA69" s="42"/>
      <c r="AB69" s="14"/>
      <c r="AC69" s="5" t="s">
        <v>43</v>
      </c>
      <c r="AD69" s="4" t="s">
        <v>77</v>
      </c>
      <c r="AG69" s="59"/>
    </row>
    <row r="70" customFormat="false" ht="19.4" hidden="false" customHeight="false" outlineLevel="0" collapsed="false">
      <c r="A70" s="29"/>
      <c r="B70" s="11" t="s">
        <v>47</v>
      </c>
      <c r="C70" s="11" t="s">
        <v>38</v>
      </c>
      <c r="D70" s="29" t="n">
        <v>550470</v>
      </c>
      <c r="E70" s="4" t="s">
        <v>123</v>
      </c>
      <c r="F70" s="4" t="s">
        <v>149</v>
      </c>
      <c r="G70" s="5" t="s">
        <v>40</v>
      </c>
      <c r="H70" s="6" t="n">
        <v>2055</v>
      </c>
      <c r="I70" s="6" t="n">
        <f aca="false">H70</f>
        <v>2055</v>
      </c>
      <c r="J70" s="6" t="n">
        <v>2000</v>
      </c>
      <c r="K70" s="4" t="s">
        <v>150</v>
      </c>
      <c r="L70" s="7" t="n">
        <v>45488</v>
      </c>
      <c r="M70" s="8" t="n">
        <v>47313</v>
      </c>
      <c r="P70" s="8" t="n">
        <v>46582</v>
      </c>
      <c r="Q70" s="9" t="n">
        <v>181050</v>
      </c>
      <c r="R70" s="9" t="n">
        <f aca="false">Q70</f>
        <v>181050</v>
      </c>
      <c r="T70" s="9" t="n">
        <v>125050</v>
      </c>
      <c r="U70" s="9" t="n">
        <f aca="false">T70</f>
        <v>125050</v>
      </c>
      <c r="V70" s="9" t="n">
        <v>138700</v>
      </c>
      <c r="W70" s="9" t="n">
        <f aca="false">V70</f>
        <v>138700</v>
      </c>
      <c r="X70" s="45" t="n">
        <f aca="false">V70/H70</f>
        <v>67.4939172749392</v>
      </c>
      <c r="Y70" s="46" t="n">
        <f aca="false">SUM(V70-T70)/T70</f>
        <v>0.109156337465014</v>
      </c>
      <c r="Z70" s="9" t="s">
        <v>55</v>
      </c>
      <c r="AA70" s="42"/>
      <c r="AB70" s="14"/>
      <c r="AC70" s="5" t="s">
        <v>43</v>
      </c>
      <c r="AD70" s="4" t="s">
        <v>151</v>
      </c>
      <c r="AF70" s="60"/>
      <c r="AG70" s="62"/>
      <c r="AH70" s="60"/>
    </row>
    <row r="71" s="3" customFormat="true" ht="23.25" hidden="false" customHeight="true" outlineLevel="0" collapsed="false">
      <c r="A71" s="29"/>
      <c r="B71" s="11" t="s">
        <v>47</v>
      </c>
      <c r="C71" s="11" t="s">
        <v>38</v>
      </c>
      <c r="D71" s="29" t="n">
        <v>550470</v>
      </c>
      <c r="E71" s="4" t="s">
        <v>123</v>
      </c>
      <c r="F71" s="4" t="s">
        <v>152</v>
      </c>
      <c r="G71" s="5" t="s">
        <v>40</v>
      </c>
      <c r="H71" s="6" t="n">
        <v>1548</v>
      </c>
      <c r="I71" s="6" t="n">
        <f aca="false">H71</f>
        <v>1548</v>
      </c>
      <c r="J71" s="6" t="n">
        <v>1500</v>
      </c>
      <c r="K71" s="4" t="s">
        <v>153</v>
      </c>
      <c r="L71" s="7" t="n">
        <v>45609</v>
      </c>
      <c r="M71" s="8" t="n">
        <v>47434</v>
      </c>
      <c r="N71" s="8"/>
      <c r="O71" s="8"/>
      <c r="P71" s="8" t="n">
        <v>46703</v>
      </c>
      <c r="Q71" s="9" t="n">
        <v>90090</v>
      </c>
      <c r="R71" s="9" t="n">
        <f aca="false">Q71</f>
        <v>90090</v>
      </c>
      <c r="S71" s="9"/>
      <c r="T71" s="9" t="n">
        <v>90100</v>
      </c>
      <c r="U71" s="9" t="n">
        <f aca="false">T71</f>
        <v>90100</v>
      </c>
      <c r="V71" s="9" t="n">
        <v>104500</v>
      </c>
      <c r="W71" s="9" t="n">
        <f aca="false">V71</f>
        <v>104500</v>
      </c>
      <c r="X71" s="45" t="n">
        <f aca="false">V71/H71</f>
        <v>67.5064599483204</v>
      </c>
      <c r="Y71" s="46" t="n">
        <f aca="false">SUM(V71-T71)/T71</f>
        <v>0.159822419533851</v>
      </c>
      <c r="Z71" s="9" t="s">
        <v>55</v>
      </c>
      <c r="AA71" s="42"/>
      <c r="AB71" s="14"/>
      <c r="AC71" s="5" t="s">
        <v>43</v>
      </c>
      <c r="AD71" s="4" t="s">
        <v>154</v>
      </c>
      <c r="AE71" s="15"/>
      <c r="AF71" s="4"/>
      <c r="AG71" s="59"/>
      <c r="AH71" s="4"/>
      <c r="AJ71" s="61"/>
    </row>
    <row r="72" customFormat="false" ht="13.5" hidden="false" customHeight="false" outlineLevel="0" collapsed="false">
      <c r="A72" s="29"/>
      <c r="B72" s="11" t="s">
        <v>47</v>
      </c>
      <c r="C72" s="11" t="s">
        <v>38</v>
      </c>
      <c r="D72" s="29" t="n">
        <v>550470</v>
      </c>
      <c r="E72" s="4" t="s">
        <v>123</v>
      </c>
      <c r="F72" s="4" t="s">
        <v>155</v>
      </c>
      <c r="G72" s="5" t="s">
        <v>40</v>
      </c>
      <c r="H72" s="6" t="n">
        <v>1957</v>
      </c>
      <c r="I72" s="6" t="n">
        <f aca="false">H72</f>
        <v>1957</v>
      </c>
      <c r="J72" s="6" t="n">
        <v>2000</v>
      </c>
      <c r="K72" s="4" t="s">
        <v>153</v>
      </c>
      <c r="L72" s="7" t="n">
        <v>45609</v>
      </c>
      <c r="M72" s="8" t="n">
        <v>47434</v>
      </c>
      <c r="P72" s="8" t="n">
        <v>46703</v>
      </c>
      <c r="Q72" s="9" t="n">
        <v>114253</v>
      </c>
      <c r="R72" s="9" t="n">
        <f aca="false">Q72</f>
        <v>114253</v>
      </c>
      <c r="T72" s="9" t="n">
        <v>115800</v>
      </c>
      <c r="U72" s="9" t="n">
        <f aca="false">T72</f>
        <v>115800</v>
      </c>
      <c r="V72" s="9" t="n">
        <v>132100</v>
      </c>
      <c r="W72" s="9" t="n">
        <f aca="false">V72</f>
        <v>132100</v>
      </c>
      <c r="X72" s="45" t="n">
        <f aca="false">V72/H72</f>
        <v>67.5012774655084</v>
      </c>
      <c r="Y72" s="46" t="n">
        <f aca="false">SUM(V72-T72)/T72</f>
        <v>0.140759930915371</v>
      </c>
      <c r="Z72" s="9" t="s">
        <v>55</v>
      </c>
      <c r="AA72" s="42"/>
      <c r="AB72" s="14"/>
      <c r="AC72" s="5" t="s">
        <v>43</v>
      </c>
      <c r="AD72" s="4" t="s">
        <v>77</v>
      </c>
      <c r="AE72" s="58"/>
      <c r="AG72" s="59"/>
    </row>
    <row r="73" customFormat="false" ht="19.5" hidden="false" customHeight="true" outlineLevel="0" collapsed="false">
      <c r="A73" s="29"/>
      <c r="B73" s="11" t="s">
        <v>47</v>
      </c>
      <c r="C73" s="11" t="s">
        <v>38</v>
      </c>
      <c r="D73" s="29" t="n">
        <v>550470</v>
      </c>
      <c r="E73" s="4" t="s">
        <v>123</v>
      </c>
      <c r="F73" s="4" t="s">
        <v>156</v>
      </c>
      <c r="G73" s="5" t="s">
        <v>40</v>
      </c>
      <c r="H73" s="6" t="n">
        <v>1845</v>
      </c>
      <c r="I73" s="6" t="n">
        <f aca="false">H73</f>
        <v>1845</v>
      </c>
      <c r="J73" s="6" t="n">
        <v>2000</v>
      </c>
      <c r="K73" s="4" t="s">
        <v>157</v>
      </c>
      <c r="L73" s="7" t="n">
        <v>45256</v>
      </c>
      <c r="M73" s="8" t="n">
        <v>47082</v>
      </c>
      <c r="P73" s="8" t="n">
        <v>46351</v>
      </c>
      <c r="Q73" s="9" t="n">
        <v>115500</v>
      </c>
      <c r="R73" s="9" t="n">
        <f aca="false">Q73</f>
        <v>115500</v>
      </c>
      <c r="T73" s="9" t="n">
        <v>107400</v>
      </c>
      <c r="U73" s="9" t="n">
        <f aca="false">T73</f>
        <v>107400</v>
      </c>
      <c r="V73" s="9" t="n">
        <v>124500</v>
      </c>
      <c r="W73" s="9" t="n">
        <f aca="false">V73</f>
        <v>124500</v>
      </c>
      <c r="X73" s="45" t="n">
        <f aca="false">V73/H73</f>
        <v>67.479674796748</v>
      </c>
      <c r="Y73" s="46" t="n">
        <f aca="false">SUM(V73-T73)/T73</f>
        <v>0.159217877094972</v>
      </c>
      <c r="Z73" s="9" t="s">
        <v>55</v>
      </c>
      <c r="AA73" s="42"/>
      <c r="AB73" s="14"/>
      <c r="AC73" s="5" t="s">
        <v>43</v>
      </c>
      <c r="AD73" s="4" t="s">
        <v>77</v>
      </c>
      <c r="AG73" s="59"/>
    </row>
    <row r="74" customFormat="false" ht="13.5" hidden="false" customHeight="false" outlineLevel="0" collapsed="false">
      <c r="A74" s="29"/>
      <c r="B74" s="11" t="s">
        <v>47</v>
      </c>
      <c r="C74" s="11" t="s">
        <v>38</v>
      </c>
      <c r="D74" s="29" t="n">
        <v>550470</v>
      </c>
      <c r="E74" s="4" t="s">
        <v>123</v>
      </c>
      <c r="F74" s="4" t="s">
        <v>158</v>
      </c>
      <c r="G74" s="5" t="s">
        <v>40</v>
      </c>
      <c r="H74" s="6" t="n">
        <v>1528</v>
      </c>
      <c r="I74" s="6" t="n">
        <f aca="false">H74</f>
        <v>1528</v>
      </c>
      <c r="J74" s="6" t="n">
        <v>1500</v>
      </c>
      <c r="K74" s="4" t="s">
        <v>159</v>
      </c>
      <c r="L74" s="7" t="n">
        <v>45622</v>
      </c>
      <c r="M74" s="8" t="n">
        <v>47447</v>
      </c>
      <c r="P74" s="8" t="n">
        <v>46716</v>
      </c>
      <c r="Q74" s="9" t="n">
        <v>54340</v>
      </c>
      <c r="R74" s="9" t="n">
        <f aca="false">Q74</f>
        <v>54340</v>
      </c>
      <c r="T74" s="9" t="n">
        <v>76600</v>
      </c>
      <c r="U74" s="9" t="n">
        <f aca="false">T74</f>
        <v>76600</v>
      </c>
      <c r="V74" s="9" t="n">
        <v>103100</v>
      </c>
      <c r="W74" s="9" t="n">
        <f aca="false">V74</f>
        <v>103100</v>
      </c>
      <c r="X74" s="45" t="n">
        <f aca="false">V74/H74</f>
        <v>67.4738219895288</v>
      </c>
      <c r="Y74" s="46" t="n">
        <f aca="false">SUM(V74-T74)/T74</f>
        <v>0.345953002610966</v>
      </c>
      <c r="Z74" s="9" t="s">
        <v>55</v>
      </c>
      <c r="AA74" s="42"/>
      <c r="AB74" s="14"/>
      <c r="AC74" s="5" t="s">
        <v>43</v>
      </c>
      <c r="AD74" s="4" t="s">
        <v>160</v>
      </c>
      <c r="AE74" s="58"/>
      <c r="AG74" s="59" t="n">
        <v>2</v>
      </c>
      <c r="AH74" s="4" t="s">
        <v>146</v>
      </c>
    </row>
    <row r="75" customFormat="false" ht="13.5" hidden="false" customHeight="false" outlineLevel="0" collapsed="false">
      <c r="A75" s="29"/>
      <c r="B75" s="11" t="s">
        <v>47</v>
      </c>
      <c r="C75" s="11" t="s">
        <v>38</v>
      </c>
      <c r="D75" s="29" t="n">
        <v>550470</v>
      </c>
      <c r="E75" s="4" t="s">
        <v>123</v>
      </c>
      <c r="F75" s="71" t="s">
        <v>161</v>
      </c>
      <c r="G75" s="5" t="s">
        <v>40</v>
      </c>
      <c r="H75" s="6" t="n">
        <v>1253</v>
      </c>
      <c r="I75" s="6" t="n">
        <f aca="false">H75</f>
        <v>1253</v>
      </c>
      <c r="J75" s="6" t="n">
        <v>1250</v>
      </c>
      <c r="K75" s="4" t="s">
        <v>162</v>
      </c>
      <c r="L75" s="7" t="n">
        <v>45617</v>
      </c>
      <c r="M75" s="8" t="n">
        <v>47442</v>
      </c>
      <c r="Q75" s="9" t="n">
        <v>66700</v>
      </c>
      <c r="R75" s="9" t="n">
        <f aca="false">Q75</f>
        <v>66700</v>
      </c>
      <c r="T75" s="9" t="n">
        <v>66700</v>
      </c>
      <c r="U75" s="9" t="n">
        <f aca="false">T75</f>
        <v>66700</v>
      </c>
      <c r="V75" s="9" t="n">
        <v>78300</v>
      </c>
      <c r="W75" s="9" t="n">
        <f aca="false">V75</f>
        <v>78300</v>
      </c>
      <c r="X75" s="45" t="n">
        <f aca="false">V75/H75</f>
        <v>62.4900239425379</v>
      </c>
      <c r="Y75" s="46" t="n">
        <f aca="false">SUM(V75-T75)/T75</f>
        <v>0.173913043478261</v>
      </c>
      <c r="Z75" s="9" t="s">
        <v>60</v>
      </c>
      <c r="AA75" s="42"/>
      <c r="AB75" s="14"/>
      <c r="AC75" s="5" t="s">
        <v>43</v>
      </c>
      <c r="AE75" s="58"/>
      <c r="AG75" s="59"/>
    </row>
    <row r="76" customFormat="false" ht="13.5" hidden="false" customHeight="false" outlineLevel="0" collapsed="false">
      <c r="A76" s="29"/>
      <c r="B76" s="11" t="s">
        <v>47</v>
      </c>
      <c r="C76" s="11" t="s">
        <v>38</v>
      </c>
      <c r="D76" s="29" t="n">
        <v>550470</v>
      </c>
      <c r="E76" s="4" t="s">
        <v>123</v>
      </c>
      <c r="F76" s="4" t="s">
        <v>163</v>
      </c>
      <c r="G76" s="5" t="s">
        <v>40</v>
      </c>
      <c r="H76" s="6" t="n">
        <v>859</v>
      </c>
      <c r="I76" s="6" t="n">
        <f aca="false">H76</f>
        <v>859</v>
      </c>
      <c r="J76" s="6" t="n">
        <v>1000</v>
      </c>
      <c r="K76" s="4" t="s">
        <v>67</v>
      </c>
      <c r="N76" s="8" t="n">
        <v>44609</v>
      </c>
      <c r="Q76" s="9" t="n">
        <v>0</v>
      </c>
      <c r="R76" s="9" t="n">
        <f aca="false">Q76</f>
        <v>0</v>
      </c>
      <c r="T76" s="9" t="n">
        <v>65750</v>
      </c>
      <c r="U76" s="9" t="n">
        <f aca="false">T76</f>
        <v>65750</v>
      </c>
      <c r="V76" s="9" t="n">
        <v>53700</v>
      </c>
      <c r="W76" s="9" t="n">
        <f aca="false">V76</f>
        <v>53700</v>
      </c>
      <c r="X76" s="45" t="n">
        <f aca="false">V76/H76</f>
        <v>62.5145518044237</v>
      </c>
      <c r="Y76" s="46" t="n">
        <f aca="false">SUM(V76-T76)/T76</f>
        <v>-0.183269961977186</v>
      </c>
      <c r="Z76" s="9" t="s">
        <v>60</v>
      </c>
      <c r="AA76" s="42"/>
      <c r="AB76" s="14"/>
      <c r="AC76" s="5" t="s">
        <v>43</v>
      </c>
      <c r="AD76" s="4" t="s">
        <v>68</v>
      </c>
      <c r="AE76" s="15" t="n">
        <v>63</v>
      </c>
      <c r="AG76" s="59" t="n">
        <v>2</v>
      </c>
    </row>
    <row r="77" s="72" customFormat="true" ht="28.5" hidden="false" customHeight="true" outlineLevel="0" collapsed="false">
      <c r="A77" s="29"/>
      <c r="B77" s="11" t="s">
        <v>47</v>
      </c>
      <c r="C77" s="11" t="s">
        <v>38</v>
      </c>
      <c r="D77" s="29" t="n">
        <v>550470</v>
      </c>
      <c r="E77" s="4" t="s">
        <v>123</v>
      </c>
      <c r="F77" s="4" t="s">
        <v>164</v>
      </c>
      <c r="G77" s="5" t="s">
        <v>165</v>
      </c>
      <c r="H77" s="6" t="n">
        <v>0</v>
      </c>
      <c r="I77" s="6" t="n">
        <f aca="false">H77</f>
        <v>0</v>
      </c>
      <c r="J77" s="6"/>
      <c r="K77" s="4" t="s">
        <v>81</v>
      </c>
      <c r="L77" s="7"/>
      <c r="M77" s="8"/>
      <c r="N77" s="8" t="s">
        <v>82</v>
      </c>
      <c r="O77" s="8"/>
      <c r="P77" s="8"/>
      <c r="Q77" s="9" t="n">
        <v>0</v>
      </c>
      <c r="R77" s="9" t="n">
        <f aca="false">Q77</f>
        <v>0</v>
      </c>
      <c r="S77" s="9"/>
      <c r="T77" s="9" t="n">
        <v>1460</v>
      </c>
      <c r="U77" s="9" t="n">
        <f aca="false">T77</f>
        <v>1460</v>
      </c>
      <c r="V77" s="9" t="n">
        <v>0</v>
      </c>
      <c r="W77" s="9" t="n">
        <f aca="false">V77</f>
        <v>0</v>
      </c>
      <c r="X77" s="9"/>
      <c r="Y77" s="41"/>
      <c r="Z77" s="9"/>
      <c r="AA77" s="42"/>
      <c r="AB77" s="14"/>
      <c r="AC77" s="5"/>
      <c r="AD77" s="4" t="s">
        <v>166</v>
      </c>
      <c r="AE77" s="15"/>
      <c r="AF77" s="4"/>
      <c r="AG77" s="59"/>
      <c r="AH77" s="4"/>
      <c r="AJ77" s="73"/>
    </row>
    <row r="78" customFormat="false" ht="14.25" hidden="false" customHeight="true" outlineLevel="0" collapsed="false">
      <c r="A78" s="29"/>
      <c r="B78" s="11" t="s">
        <v>47</v>
      </c>
      <c r="C78" s="11" t="s">
        <v>38</v>
      </c>
      <c r="D78" s="29" t="n">
        <v>550470</v>
      </c>
      <c r="E78" s="4" t="s">
        <v>123</v>
      </c>
      <c r="F78" s="4" t="s">
        <v>167</v>
      </c>
      <c r="G78" s="5" t="s">
        <v>168</v>
      </c>
      <c r="H78" s="6" t="n">
        <v>0</v>
      </c>
      <c r="I78" s="6" t="n">
        <f aca="false">H78</f>
        <v>0</v>
      </c>
      <c r="K78" s="4" t="s">
        <v>169</v>
      </c>
      <c r="L78" s="74" t="n">
        <v>35240</v>
      </c>
      <c r="M78" s="75" t="n">
        <v>68735</v>
      </c>
      <c r="N78" s="75"/>
      <c r="Q78" s="9" t="n">
        <v>0</v>
      </c>
      <c r="R78" s="9" t="n">
        <f aca="false">Q78</f>
        <v>0</v>
      </c>
      <c r="T78" s="9" t="n">
        <v>0</v>
      </c>
      <c r="U78" s="9" t="n">
        <f aca="false">T78</f>
        <v>0</v>
      </c>
      <c r="V78" s="9" t="n">
        <v>0</v>
      </c>
      <c r="W78" s="9" t="n">
        <f aca="false">V78</f>
        <v>0</v>
      </c>
      <c r="X78" s="9"/>
      <c r="Y78" s="41"/>
      <c r="Z78" s="9"/>
      <c r="AA78" s="42"/>
      <c r="AB78" s="14"/>
      <c r="AC78" s="5" t="s">
        <v>170</v>
      </c>
      <c r="AD78" s="4" t="s">
        <v>171</v>
      </c>
      <c r="AG78" s="59"/>
    </row>
    <row r="79" customFormat="false" ht="13.5" hidden="false" customHeight="false" outlineLevel="0" collapsed="false">
      <c r="A79" s="29"/>
      <c r="B79" s="11"/>
      <c r="C79" s="11" t="s">
        <v>38</v>
      </c>
      <c r="D79" s="29"/>
      <c r="E79" s="4"/>
      <c r="T79" s="9"/>
      <c r="U79" s="9"/>
      <c r="V79" s="9"/>
      <c r="W79" s="9"/>
      <c r="X79" s="9"/>
      <c r="Y79" s="41"/>
      <c r="Z79" s="9"/>
      <c r="AA79" s="42"/>
      <c r="AB79" s="14"/>
      <c r="AC79" s="5"/>
      <c r="AG79" s="59"/>
    </row>
    <row r="80" customFormat="false" ht="14.25" hidden="false" customHeight="true" outlineLevel="0" collapsed="false">
      <c r="A80" s="29"/>
      <c r="B80" s="11"/>
      <c r="C80" s="11" t="s">
        <v>38</v>
      </c>
      <c r="D80" s="29"/>
      <c r="E80" s="4"/>
      <c r="F80" s="47" t="s">
        <v>172</v>
      </c>
      <c r="H80" s="43" t="n">
        <f aca="false">SUM(H62:H78)</f>
        <v>31169</v>
      </c>
      <c r="I80" s="44"/>
      <c r="J80" s="44"/>
      <c r="Q80" s="44" t="n">
        <f aca="false">SUM(Q62:Q78)</f>
        <v>1582568</v>
      </c>
      <c r="R80" s="44"/>
      <c r="S80" s="44" t="n">
        <f aca="false">SUM(R62:R78)</f>
        <v>1582568</v>
      </c>
      <c r="T80" s="44" t="n">
        <f aca="false">SUM(T62:T78)</f>
        <v>1752665</v>
      </c>
      <c r="U80" s="44"/>
      <c r="V80" s="44" t="n">
        <f aca="false">SUM(V62:V78)</f>
        <v>2037500</v>
      </c>
      <c r="W80" s="44"/>
      <c r="X80" s="44"/>
      <c r="Y80" s="64"/>
      <c r="Z80" s="44"/>
      <c r="AA80" s="67"/>
      <c r="AB80" s="43" t="n">
        <v>34025000</v>
      </c>
      <c r="AC80" s="5"/>
      <c r="AF80" s="60"/>
      <c r="AG80" s="62"/>
      <c r="AH80" s="60"/>
    </row>
    <row r="81" customFormat="false" ht="14.25" hidden="false" customHeight="true" outlineLevel="0" collapsed="false">
      <c r="A81" s="29"/>
      <c r="B81" s="11"/>
      <c r="C81" s="11" t="s">
        <v>38</v>
      </c>
      <c r="D81" s="29"/>
      <c r="E81" s="4"/>
      <c r="F81" s="47"/>
      <c r="H81" s="43"/>
      <c r="I81" s="44"/>
      <c r="J81" s="44"/>
      <c r="Q81" s="44"/>
      <c r="R81" s="44"/>
      <c r="S81" s="44"/>
      <c r="T81" s="44"/>
      <c r="U81" s="44"/>
      <c r="V81" s="44"/>
      <c r="W81" s="44"/>
      <c r="X81" s="44"/>
      <c r="Y81" s="64"/>
      <c r="Z81" s="44"/>
      <c r="AA81" s="67"/>
      <c r="AB81" s="66"/>
      <c r="AC81" s="5"/>
      <c r="AG81" s="59"/>
    </row>
    <row r="82" customFormat="false" ht="14.25" hidden="false" customHeight="true" outlineLevel="0" collapsed="false">
      <c r="A82" s="29"/>
      <c r="B82" s="11"/>
      <c r="C82" s="11" t="s">
        <v>38</v>
      </c>
      <c r="D82" s="29"/>
      <c r="E82" s="4"/>
      <c r="G82" s="39" t="s">
        <v>173</v>
      </c>
      <c r="I82" s="9"/>
      <c r="J82" s="9"/>
      <c r="K82" s="40"/>
      <c r="T82" s="11"/>
      <c r="U82" s="9"/>
      <c r="V82" s="11"/>
      <c r="W82" s="9"/>
      <c r="X82" s="9"/>
      <c r="Y82" s="41"/>
      <c r="Z82" s="9"/>
      <c r="AA82" s="42"/>
      <c r="AB82" s="14"/>
      <c r="AC82" s="5"/>
      <c r="AG82" s="59"/>
    </row>
    <row r="83" customFormat="false" ht="14.25" hidden="false" customHeight="true" outlineLevel="0" collapsed="false">
      <c r="A83" s="29"/>
      <c r="B83" s="11"/>
      <c r="C83" s="11" t="s">
        <v>38</v>
      </c>
      <c r="D83" s="29"/>
      <c r="E83" s="4"/>
      <c r="G83" s="39"/>
      <c r="I83" s="9"/>
      <c r="J83" s="9"/>
      <c r="K83" s="71"/>
      <c r="L83" s="8"/>
      <c r="T83" s="9"/>
      <c r="U83" s="9"/>
      <c r="V83" s="9"/>
      <c r="W83" s="9"/>
      <c r="X83" s="9"/>
      <c r="Y83" s="41"/>
      <c r="Z83" s="9"/>
      <c r="AA83" s="42"/>
      <c r="AB83" s="14"/>
      <c r="AC83" s="5"/>
      <c r="AG83" s="59"/>
    </row>
    <row r="84" customFormat="false" ht="24" hidden="false" customHeight="true" outlineLevel="0" collapsed="false">
      <c r="A84" s="29"/>
      <c r="B84" s="11" t="s">
        <v>47</v>
      </c>
      <c r="C84" s="11" t="s">
        <v>38</v>
      </c>
      <c r="D84" s="29" t="n">
        <v>550480</v>
      </c>
      <c r="E84" s="4" t="s">
        <v>173</v>
      </c>
      <c r="F84" s="4" t="s">
        <v>174</v>
      </c>
      <c r="G84" s="5" t="s">
        <v>49</v>
      </c>
      <c r="H84" s="6" t="n">
        <v>4958</v>
      </c>
      <c r="I84" s="6" t="n">
        <f aca="false">H84</f>
        <v>4958</v>
      </c>
      <c r="J84" s="6" t="n">
        <v>5000</v>
      </c>
      <c r="K84" s="4" t="s">
        <v>175</v>
      </c>
      <c r="L84" s="7" t="n">
        <v>45699</v>
      </c>
      <c r="M84" s="8" t="n">
        <v>47524</v>
      </c>
      <c r="P84" s="8" t="n">
        <v>46793</v>
      </c>
      <c r="Q84" s="9" t="n">
        <v>187500</v>
      </c>
      <c r="R84" s="9" t="n">
        <f aca="false">Q84</f>
        <v>187500</v>
      </c>
      <c r="T84" s="9" t="n">
        <v>337100</v>
      </c>
      <c r="U84" s="9" t="n">
        <f aca="false">T84</f>
        <v>337100</v>
      </c>
      <c r="V84" s="9" t="n">
        <v>380000</v>
      </c>
      <c r="W84" s="9" t="n">
        <f aca="false">V84</f>
        <v>380000</v>
      </c>
      <c r="X84" s="45" t="n">
        <f aca="false">V84/H84</f>
        <v>76.6438079870916</v>
      </c>
      <c r="Y84" s="46" t="n">
        <f aca="false">SUM(V84-T84)/T84</f>
        <v>0.127261940077128</v>
      </c>
      <c r="Z84" s="9" t="s">
        <v>55</v>
      </c>
      <c r="AA84" s="42"/>
      <c r="AB84" s="14"/>
      <c r="AC84" s="5" t="s">
        <v>43</v>
      </c>
      <c r="AD84" s="4" t="s">
        <v>176</v>
      </c>
      <c r="AE84" s="15" t="n">
        <v>68</v>
      </c>
      <c r="AF84" s="4" t="n">
        <v>1</v>
      </c>
      <c r="AG84" s="59" t="n">
        <v>13</v>
      </c>
      <c r="AH84" s="4" t="s">
        <v>177</v>
      </c>
    </row>
    <row r="85" customFormat="false" ht="13.5" hidden="false" customHeight="false" outlineLevel="0" collapsed="false">
      <c r="A85" s="29"/>
      <c r="B85" s="11" t="s">
        <v>47</v>
      </c>
      <c r="C85" s="11" t="s">
        <v>38</v>
      </c>
      <c r="D85" s="29" t="n">
        <v>550480</v>
      </c>
      <c r="E85" s="4" t="s">
        <v>173</v>
      </c>
      <c r="F85" s="4" t="s">
        <v>178</v>
      </c>
      <c r="G85" s="5" t="s">
        <v>40</v>
      </c>
      <c r="H85" s="6" t="n">
        <v>1862</v>
      </c>
      <c r="I85" s="6" t="n">
        <f aca="false">H85</f>
        <v>1862</v>
      </c>
      <c r="J85" s="6" t="n">
        <v>2000</v>
      </c>
      <c r="K85" s="4" t="s">
        <v>179</v>
      </c>
      <c r="L85" s="7" t="n">
        <v>44452</v>
      </c>
      <c r="M85" s="8" t="n">
        <v>46277</v>
      </c>
      <c r="Q85" s="9" t="n">
        <v>108170</v>
      </c>
      <c r="R85" s="9" t="n">
        <f aca="false">Q85</f>
        <v>108170</v>
      </c>
      <c r="T85" s="9" t="n">
        <v>107200</v>
      </c>
      <c r="U85" s="9" t="n">
        <f aca="false">T85</f>
        <v>107200</v>
      </c>
      <c r="V85" s="9" t="n">
        <v>114500</v>
      </c>
      <c r="W85" s="9" t="n">
        <f aca="false">V85</f>
        <v>114500</v>
      </c>
      <c r="X85" s="45" t="n">
        <f aca="false">V85/H85</f>
        <v>61.4930182599356</v>
      </c>
      <c r="Y85" s="46" t="n">
        <f aca="false">SUM(V85-T85)/T85</f>
        <v>0.0680970149253731</v>
      </c>
      <c r="Z85" s="9" t="s">
        <v>60</v>
      </c>
      <c r="AA85" s="42"/>
      <c r="AB85" s="14"/>
      <c r="AC85" s="5" t="s">
        <v>43</v>
      </c>
      <c r="AG85" s="59"/>
    </row>
    <row r="86" customFormat="false" ht="13.5" hidden="false" customHeight="false" outlineLevel="0" collapsed="false">
      <c r="A86" s="29"/>
      <c r="B86" s="11" t="s">
        <v>47</v>
      </c>
      <c r="C86" s="11" t="s">
        <v>38</v>
      </c>
      <c r="D86" s="29" t="n">
        <v>550480</v>
      </c>
      <c r="E86" s="4" t="s">
        <v>173</v>
      </c>
      <c r="F86" s="4" t="s">
        <v>93</v>
      </c>
      <c r="G86" s="5" t="s">
        <v>40</v>
      </c>
      <c r="H86" s="6" t="n">
        <v>1818</v>
      </c>
      <c r="I86" s="6" t="n">
        <f aca="false">H86</f>
        <v>1818</v>
      </c>
      <c r="J86" s="6" t="n">
        <v>2000</v>
      </c>
      <c r="K86" s="4" t="s">
        <v>67</v>
      </c>
      <c r="N86" s="7" t="n">
        <v>45609</v>
      </c>
      <c r="Q86" s="9" t="n">
        <v>0</v>
      </c>
      <c r="R86" s="9" t="n">
        <f aca="false">Q86</f>
        <v>0</v>
      </c>
      <c r="T86" s="9" t="n">
        <v>105500</v>
      </c>
      <c r="U86" s="9" t="n">
        <f aca="false">T86</f>
        <v>105500</v>
      </c>
      <c r="V86" s="9" t="n">
        <v>109100</v>
      </c>
      <c r="W86" s="9" t="n">
        <f aca="false">V86</f>
        <v>109100</v>
      </c>
      <c r="X86" s="45" t="n">
        <f aca="false">V86/H86</f>
        <v>60.01100110011</v>
      </c>
      <c r="Y86" s="46" t="n">
        <f aca="false">SUM(V86-T86)/T86</f>
        <v>0.0341232227488152</v>
      </c>
      <c r="Z86" s="9" t="s">
        <v>127</v>
      </c>
      <c r="AA86" s="42"/>
      <c r="AB86" s="14"/>
      <c r="AC86" s="5" t="s">
        <v>43</v>
      </c>
      <c r="AD86" s="4" t="s">
        <v>68</v>
      </c>
      <c r="AE86" s="15" t="n">
        <v>65</v>
      </c>
      <c r="AF86" s="4" t="n">
        <v>4</v>
      </c>
      <c r="AG86" s="59" t="n">
        <v>6</v>
      </c>
    </row>
    <row r="87" customFormat="false" ht="13.5" hidden="false" customHeight="false" outlineLevel="0" collapsed="false">
      <c r="A87" s="29"/>
      <c r="B87" s="11" t="s">
        <v>47</v>
      </c>
      <c r="C87" s="11" t="s">
        <v>38</v>
      </c>
      <c r="D87" s="29" t="n">
        <v>550480</v>
      </c>
      <c r="E87" s="4" t="s">
        <v>173</v>
      </c>
      <c r="F87" s="4" t="s">
        <v>94</v>
      </c>
      <c r="G87" s="5" t="s">
        <v>40</v>
      </c>
      <c r="H87" s="6" t="n">
        <v>1808</v>
      </c>
      <c r="I87" s="6" t="n">
        <f aca="false">H87</f>
        <v>1808</v>
      </c>
      <c r="J87" s="6" t="n">
        <v>2000</v>
      </c>
      <c r="K87" s="4" t="s">
        <v>67</v>
      </c>
      <c r="N87" s="7" t="n">
        <v>45609</v>
      </c>
      <c r="Q87" s="9" t="n">
        <v>0</v>
      </c>
      <c r="R87" s="9" t="n">
        <f aca="false">Q87</f>
        <v>0</v>
      </c>
      <c r="T87" s="9" t="n">
        <v>108800</v>
      </c>
      <c r="U87" s="9" t="n">
        <f aca="false">T87</f>
        <v>108800</v>
      </c>
      <c r="V87" s="9" t="n">
        <v>108500</v>
      </c>
      <c r="W87" s="9" t="n">
        <f aca="false">V87</f>
        <v>108500</v>
      </c>
      <c r="X87" s="45" t="n">
        <f aca="false">V87/H87</f>
        <v>60.0110619469027</v>
      </c>
      <c r="Y87" s="46" t="n">
        <f aca="false">SUM(V87-T87)/T87</f>
        <v>-0.00275735294117647</v>
      </c>
      <c r="Z87" s="9" t="s">
        <v>127</v>
      </c>
      <c r="AA87" s="42"/>
      <c r="AB87" s="14"/>
      <c r="AC87" s="5" t="s">
        <v>43</v>
      </c>
      <c r="AD87" s="4" t="s">
        <v>68</v>
      </c>
      <c r="AE87" s="15" t="n">
        <v>65</v>
      </c>
      <c r="AF87" s="4" t="n">
        <v>4</v>
      </c>
      <c r="AG87" s="59" t="n">
        <v>6</v>
      </c>
    </row>
    <row r="88" customFormat="false" ht="14.25" hidden="false" customHeight="true" outlineLevel="0" collapsed="false">
      <c r="A88" s="29"/>
      <c r="B88" s="11" t="s">
        <v>47</v>
      </c>
      <c r="C88" s="11" t="s">
        <v>38</v>
      </c>
      <c r="D88" s="29" t="n">
        <v>550480</v>
      </c>
      <c r="E88" s="4" t="s">
        <v>173</v>
      </c>
      <c r="F88" s="4" t="s">
        <v>118</v>
      </c>
      <c r="G88" s="5" t="s">
        <v>40</v>
      </c>
      <c r="H88" s="6" t="n">
        <v>1672</v>
      </c>
      <c r="I88" s="6" t="n">
        <f aca="false">H88</f>
        <v>1672</v>
      </c>
      <c r="J88" s="6" t="n">
        <v>1500</v>
      </c>
      <c r="K88" s="4" t="s">
        <v>67</v>
      </c>
      <c r="N88" s="8" t="n">
        <v>45457</v>
      </c>
      <c r="Q88" s="9" t="n">
        <v>0</v>
      </c>
      <c r="R88" s="9" t="n">
        <f aca="false">Q88</f>
        <v>0</v>
      </c>
      <c r="T88" s="9" t="n">
        <v>94400</v>
      </c>
      <c r="U88" s="9" t="n">
        <f aca="false">T88</f>
        <v>94400</v>
      </c>
      <c r="V88" s="9" t="n">
        <v>97800</v>
      </c>
      <c r="W88" s="9" t="n">
        <f aca="false">V88</f>
        <v>97800</v>
      </c>
      <c r="X88" s="45" t="n">
        <f aca="false">V88/H88</f>
        <v>58.4928229665072</v>
      </c>
      <c r="Y88" s="46" t="n">
        <f aca="false">SUM(V88-T88)/T88</f>
        <v>0.0360169491525424</v>
      </c>
      <c r="Z88" s="9" t="s">
        <v>55</v>
      </c>
      <c r="AA88" s="42"/>
      <c r="AB88" s="14"/>
      <c r="AC88" s="5" t="s">
        <v>43</v>
      </c>
      <c r="AD88" s="4" t="s">
        <v>119</v>
      </c>
      <c r="AE88" s="15" t="n">
        <v>65</v>
      </c>
      <c r="AF88" s="4" t="n">
        <v>1</v>
      </c>
      <c r="AG88" s="59" t="n">
        <v>2</v>
      </c>
      <c r="AH88" s="4" t="s">
        <v>57</v>
      </c>
    </row>
    <row r="89" customFormat="false" ht="13.5" hidden="false" customHeight="false" outlineLevel="0" collapsed="false">
      <c r="A89" s="29"/>
      <c r="B89" s="11" t="s">
        <v>47</v>
      </c>
      <c r="C89" s="11" t="s">
        <v>38</v>
      </c>
      <c r="D89" s="29" t="n">
        <v>550480</v>
      </c>
      <c r="E89" s="4" t="s">
        <v>173</v>
      </c>
      <c r="F89" s="4" t="s">
        <v>180</v>
      </c>
      <c r="G89" s="5" t="s">
        <v>40</v>
      </c>
      <c r="H89" s="6" t="n">
        <v>995</v>
      </c>
      <c r="I89" s="6" t="n">
        <f aca="false">H89</f>
        <v>995</v>
      </c>
      <c r="J89" s="6" t="n">
        <v>1000</v>
      </c>
      <c r="K89" s="4" t="s">
        <v>153</v>
      </c>
      <c r="L89" s="7" t="n">
        <v>45609</v>
      </c>
      <c r="M89" s="8" t="n">
        <v>47434</v>
      </c>
      <c r="P89" s="8" t="n">
        <v>46703</v>
      </c>
      <c r="Q89" s="9" t="n">
        <v>61928</v>
      </c>
      <c r="R89" s="9" t="n">
        <f aca="false">Q89</f>
        <v>61928</v>
      </c>
      <c r="T89" s="6" t="n">
        <v>61200</v>
      </c>
      <c r="U89" s="9" t="n">
        <f aca="false">T89</f>
        <v>61200</v>
      </c>
      <c r="V89" s="6" t="n">
        <v>57200</v>
      </c>
      <c r="W89" s="9" t="n">
        <f aca="false">V89</f>
        <v>57200</v>
      </c>
      <c r="X89" s="45" t="n">
        <f aca="false">V89/H89</f>
        <v>57.4874371859297</v>
      </c>
      <c r="Y89" s="46" t="n">
        <f aca="false">SUM(V89-T89)/T89</f>
        <v>-0.065359477124183</v>
      </c>
      <c r="Z89" s="9" t="s">
        <v>127</v>
      </c>
      <c r="AA89" s="42"/>
      <c r="AB89" s="14"/>
      <c r="AC89" s="5" t="s">
        <v>43</v>
      </c>
      <c r="AD89" s="4" t="s">
        <v>77</v>
      </c>
      <c r="AE89" s="58"/>
      <c r="AG89" s="59"/>
    </row>
    <row r="90" customFormat="false" ht="36" hidden="false" customHeight="true" outlineLevel="0" collapsed="false">
      <c r="A90" s="29"/>
      <c r="B90" s="11" t="s">
        <v>47</v>
      </c>
      <c r="C90" s="11" t="s">
        <v>38</v>
      </c>
      <c r="D90" s="29" t="n">
        <v>550480</v>
      </c>
      <c r="E90" s="4" t="s">
        <v>173</v>
      </c>
      <c r="F90" s="40" t="s">
        <v>181</v>
      </c>
      <c r="G90" s="5" t="s">
        <v>168</v>
      </c>
      <c r="H90" s="6" t="n">
        <v>0</v>
      </c>
      <c r="I90" s="6" t="n">
        <f aca="false">H90</f>
        <v>0</v>
      </c>
      <c r="K90" s="4" t="s">
        <v>169</v>
      </c>
      <c r="L90" s="7" t="n">
        <v>39295</v>
      </c>
      <c r="M90" s="8" t="n">
        <v>46599</v>
      </c>
      <c r="O90" s="8" t="n">
        <v>45870</v>
      </c>
      <c r="Q90" s="9" t="n">
        <v>903</v>
      </c>
      <c r="R90" s="9" t="n">
        <f aca="false">Q90</f>
        <v>903</v>
      </c>
      <c r="T90" s="6" t="n">
        <v>625</v>
      </c>
      <c r="U90" s="9" t="n">
        <f aca="false">T90</f>
        <v>625</v>
      </c>
      <c r="V90" s="6" t="n">
        <v>625</v>
      </c>
      <c r="W90" s="9" t="n">
        <f aca="false">V90</f>
        <v>625</v>
      </c>
      <c r="X90" s="45"/>
      <c r="Y90" s="41"/>
      <c r="Z90" s="9"/>
      <c r="AA90" s="42"/>
      <c r="AB90" s="14"/>
      <c r="AC90" s="5" t="s">
        <v>43</v>
      </c>
      <c r="AD90" s="4" t="s">
        <v>182</v>
      </c>
      <c r="AG90" s="59"/>
    </row>
    <row r="91" customFormat="false" ht="14.25" hidden="false" customHeight="true" outlineLevel="0" collapsed="false">
      <c r="A91" s="29"/>
      <c r="B91" s="11"/>
      <c r="C91" s="11" t="s">
        <v>38</v>
      </c>
      <c r="D91" s="29"/>
      <c r="E91" s="4"/>
      <c r="F91" s="40"/>
      <c r="I91" s="9"/>
      <c r="J91" s="9"/>
      <c r="T91" s="6"/>
      <c r="U91" s="9"/>
      <c r="V91" s="6"/>
      <c r="W91" s="9"/>
      <c r="X91" s="9"/>
      <c r="Y91" s="41"/>
      <c r="Z91" s="9"/>
      <c r="AA91" s="42"/>
      <c r="AB91" s="14"/>
      <c r="AC91" s="5"/>
      <c r="AG91" s="59"/>
    </row>
    <row r="92" customFormat="false" ht="14.25" hidden="false" customHeight="true" outlineLevel="0" collapsed="false">
      <c r="A92" s="29"/>
      <c r="B92" s="11"/>
      <c r="C92" s="11" t="s">
        <v>38</v>
      </c>
      <c r="D92" s="29"/>
      <c r="E92" s="4"/>
      <c r="F92" s="47" t="s">
        <v>183</v>
      </c>
      <c r="H92" s="43" t="n">
        <f aca="false">SUM(H84:H90)</f>
        <v>13113</v>
      </c>
      <c r="I92" s="44"/>
      <c r="J92" s="44"/>
      <c r="Q92" s="44" t="n">
        <f aca="false">SUM(Q84:Q90)</f>
        <v>358501</v>
      </c>
      <c r="R92" s="44"/>
      <c r="S92" s="44" t="n">
        <f aca="false">SUM(R83:R90)</f>
        <v>358501</v>
      </c>
      <c r="T92" s="44" t="n">
        <f aca="false">SUM(T84:T90)</f>
        <v>814825</v>
      </c>
      <c r="U92" s="44"/>
      <c r="V92" s="44" t="n">
        <f aca="false">SUM(V84:V90)</f>
        <v>867725</v>
      </c>
      <c r="W92" s="44"/>
      <c r="X92" s="44"/>
      <c r="Y92" s="64"/>
      <c r="Z92" s="44"/>
      <c r="AA92" s="67"/>
      <c r="AB92" s="43" t="n">
        <v>13775000</v>
      </c>
      <c r="AC92" s="5"/>
      <c r="AF92" s="60"/>
      <c r="AG92" s="62"/>
      <c r="AH92" s="60"/>
    </row>
    <row r="93" customFormat="false" ht="14.25" hidden="false" customHeight="true" outlineLevel="0" collapsed="false">
      <c r="A93" s="29"/>
      <c r="B93" s="11"/>
      <c r="C93" s="11" t="s">
        <v>38</v>
      </c>
      <c r="D93" s="29"/>
      <c r="E93" s="4"/>
      <c r="H93" s="43"/>
      <c r="I93" s="44"/>
      <c r="J93" s="44"/>
      <c r="Q93" s="44"/>
      <c r="R93" s="44"/>
      <c r="S93" s="44"/>
      <c r="T93" s="44"/>
      <c r="U93" s="44"/>
      <c r="V93" s="44"/>
      <c r="W93" s="44"/>
      <c r="X93" s="44"/>
      <c r="Y93" s="64"/>
      <c r="Z93" s="44"/>
      <c r="AA93" s="67"/>
      <c r="AB93" s="66"/>
      <c r="AC93" s="5"/>
      <c r="AG93" s="59"/>
    </row>
    <row r="94" customFormat="false" ht="14.25" hidden="false" customHeight="true" outlineLevel="0" collapsed="false">
      <c r="A94" s="29"/>
      <c r="B94" s="11"/>
      <c r="C94" s="11" t="s">
        <v>38</v>
      </c>
      <c r="D94" s="29"/>
      <c r="E94" s="4"/>
      <c r="G94" s="39" t="s">
        <v>184</v>
      </c>
      <c r="I94" s="9"/>
      <c r="J94" s="9"/>
      <c r="K94" s="40"/>
      <c r="T94" s="11"/>
      <c r="U94" s="9"/>
      <c r="V94" s="11"/>
      <c r="W94" s="9"/>
      <c r="X94" s="9"/>
      <c r="Y94" s="41"/>
      <c r="Z94" s="9"/>
      <c r="AA94" s="42"/>
      <c r="AB94" s="14"/>
      <c r="AC94" s="5"/>
      <c r="AG94" s="59"/>
    </row>
    <row r="95" customFormat="false" ht="14.25" hidden="false" customHeight="true" outlineLevel="0" collapsed="false">
      <c r="A95" s="29"/>
      <c r="B95" s="11"/>
      <c r="C95" s="11" t="s">
        <v>38</v>
      </c>
      <c r="D95" s="29"/>
      <c r="E95" s="4"/>
      <c r="G95" s="4"/>
      <c r="I95" s="9"/>
      <c r="J95" s="9"/>
      <c r="T95" s="9"/>
      <c r="U95" s="9"/>
      <c r="V95" s="9"/>
      <c r="W95" s="9"/>
      <c r="X95" s="9"/>
      <c r="Y95" s="41"/>
      <c r="Z95" s="9"/>
      <c r="AA95" s="42"/>
      <c r="AB95" s="14"/>
      <c r="AC95" s="5"/>
      <c r="AG95" s="59"/>
    </row>
    <row r="96" customFormat="false" ht="24" hidden="false" customHeight="true" outlineLevel="0" collapsed="false">
      <c r="A96" s="29"/>
      <c r="B96" s="11" t="s">
        <v>47</v>
      </c>
      <c r="C96" s="11" t="s">
        <v>38</v>
      </c>
      <c r="D96" s="29" t="n">
        <v>550530</v>
      </c>
      <c r="E96" s="4" t="s">
        <v>184</v>
      </c>
      <c r="F96" s="4" t="s">
        <v>39</v>
      </c>
      <c r="G96" s="5" t="s">
        <v>185</v>
      </c>
      <c r="H96" s="43" t="n">
        <v>9884</v>
      </c>
      <c r="I96" s="9" t="n">
        <f aca="false">H96</f>
        <v>9884</v>
      </c>
      <c r="J96" s="9" t="n">
        <v>10000</v>
      </c>
      <c r="K96" s="4" t="s">
        <v>186</v>
      </c>
      <c r="L96" s="7" t="n">
        <v>44856</v>
      </c>
      <c r="M96" s="8" t="n">
        <v>47411</v>
      </c>
      <c r="O96" s="8" t="n">
        <v>46682</v>
      </c>
      <c r="Q96" s="44" t="n">
        <v>580000</v>
      </c>
      <c r="R96" s="9" t="n">
        <f aca="false">Q96</f>
        <v>580000</v>
      </c>
      <c r="S96" s="44" t="n">
        <f aca="false">R96</f>
        <v>580000</v>
      </c>
      <c r="T96" s="44" t="n">
        <v>580000</v>
      </c>
      <c r="U96" s="9" t="n">
        <f aca="false">T96</f>
        <v>580000</v>
      </c>
      <c r="V96" s="44" t="n">
        <v>607100</v>
      </c>
      <c r="W96" s="9" t="n">
        <f aca="false">V96</f>
        <v>607100</v>
      </c>
      <c r="X96" s="45" t="n">
        <f aca="false">V96/H96</f>
        <v>61.4225010117361</v>
      </c>
      <c r="Y96" s="46" t="n">
        <f aca="false">SUM(V96-T96)/T96</f>
        <v>0.0467241379310345</v>
      </c>
      <c r="Z96" s="9" t="s">
        <v>55</v>
      </c>
      <c r="AA96" s="42"/>
      <c r="AB96" s="43" t="n">
        <v>10650000</v>
      </c>
      <c r="AC96" s="5" t="s">
        <v>170</v>
      </c>
      <c r="AG96" s="59"/>
    </row>
    <row r="97" customFormat="false" ht="14.25" hidden="false" customHeight="true" outlineLevel="0" collapsed="false">
      <c r="A97" s="29"/>
      <c r="B97" s="11"/>
      <c r="C97" s="11" t="s">
        <v>38</v>
      </c>
      <c r="D97" s="29"/>
      <c r="E97" s="4"/>
      <c r="F97" s="47" t="s">
        <v>187</v>
      </c>
      <c r="H97" s="48" t="n">
        <f aca="false">SUM(H96)</f>
        <v>9884</v>
      </c>
      <c r="I97" s="43"/>
      <c r="J97" s="43"/>
      <c r="K97" s="49"/>
      <c r="L97" s="50"/>
      <c r="M97" s="51"/>
      <c r="N97" s="51"/>
      <c r="O97" s="51"/>
      <c r="P97" s="51"/>
      <c r="Q97" s="48" t="n">
        <f aca="false">SUM(Q96)</f>
        <v>580000</v>
      </c>
      <c r="R97" s="48"/>
      <c r="S97" s="48"/>
      <c r="T97" s="48" t="n">
        <f aca="false">SUM(T96)</f>
        <v>580000</v>
      </c>
      <c r="U97" s="48"/>
      <c r="V97" s="48" t="n">
        <f aca="false">SUM(V96)</f>
        <v>607100</v>
      </c>
      <c r="W97" s="48"/>
      <c r="X97" s="48"/>
      <c r="Y97" s="52"/>
      <c r="Z97" s="48"/>
      <c r="AA97" s="53"/>
      <c r="AB97" s="54"/>
      <c r="AC97" s="5"/>
      <c r="AG97" s="59"/>
    </row>
    <row r="98" customFormat="false" ht="14.25" hidden="false" customHeight="true" outlineLevel="0" collapsed="false">
      <c r="A98" s="29"/>
      <c r="B98" s="11"/>
      <c r="C98" s="11" t="s">
        <v>38</v>
      </c>
      <c r="D98" s="29"/>
      <c r="E98" s="4"/>
      <c r="I98" s="9"/>
      <c r="J98" s="9"/>
      <c r="T98" s="9"/>
      <c r="U98" s="9"/>
      <c r="V98" s="9"/>
      <c r="W98" s="9"/>
      <c r="X98" s="9"/>
      <c r="Y98" s="41"/>
      <c r="Z98" s="9"/>
      <c r="AA98" s="42"/>
      <c r="AB98" s="14"/>
      <c r="AC98" s="5"/>
      <c r="AG98" s="59"/>
    </row>
    <row r="99" customFormat="false" ht="14.25" hidden="false" customHeight="true" outlineLevel="0" collapsed="false">
      <c r="A99" s="29"/>
      <c r="B99" s="11"/>
      <c r="C99" s="11" t="s">
        <v>38</v>
      </c>
      <c r="D99" s="29"/>
      <c r="E99" s="4"/>
      <c r="G99" s="39" t="s">
        <v>188</v>
      </c>
      <c r="I99" s="9"/>
      <c r="J99" s="9"/>
      <c r="K99" s="40"/>
      <c r="T99" s="11"/>
      <c r="U99" s="9"/>
      <c r="V99" s="11"/>
      <c r="W99" s="9"/>
      <c r="X99" s="9"/>
      <c r="Y99" s="41"/>
      <c r="Z99" s="9"/>
      <c r="AA99" s="42"/>
      <c r="AB99" s="14"/>
      <c r="AC99" s="5"/>
      <c r="AG99" s="59"/>
    </row>
    <row r="100" customFormat="false" ht="14.25" hidden="false" customHeight="true" outlineLevel="0" collapsed="false">
      <c r="A100" s="29"/>
      <c r="B100" s="11"/>
      <c r="C100" s="11" t="s">
        <v>38</v>
      </c>
      <c r="D100" s="29"/>
      <c r="E100" s="4"/>
      <c r="G100" s="39"/>
      <c r="H100" s="76"/>
      <c r="I100" s="9"/>
      <c r="J100" s="9"/>
      <c r="K100" s="69"/>
      <c r="L100" s="70"/>
      <c r="M100" s="77"/>
      <c r="N100" s="77"/>
      <c r="O100" s="77"/>
      <c r="P100" s="77"/>
      <c r="T100" s="9"/>
      <c r="U100" s="9"/>
      <c r="V100" s="9"/>
      <c r="W100" s="9"/>
      <c r="X100" s="9"/>
      <c r="Y100" s="41"/>
      <c r="Z100" s="9"/>
      <c r="AA100" s="42"/>
      <c r="AB100" s="14"/>
      <c r="AC100" s="5"/>
      <c r="AG100" s="59"/>
    </row>
    <row r="101" customFormat="false" ht="19.4" hidden="false" customHeight="false" outlineLevel="0" collapsed="false">
      <c r="A101" s="29"/>
      <c r="B101" s="11" t="s">
        <v>189</v>
      </c>
      <c r="C101" s="11" t="s">
        <v>38</v>
      </c>
      <c r="D101" s="29" t="n">
        <v>550410</v>
      </c>
      <c r="E101" s="4" t="s">
        <v>190</v>
      </c>
      <c r="F101" s="4" t="s">
        <v>191</v>
      </c>
      <c r="G101" s="5" t="s">
        <v>192</v>
      </c>
      <c r="H101" s="6" t="n">
        <v>11225</v>
      </c>
      <c r="I101" s="6" t="n">
        <f aca="false">H101</f>
        <v>11225</v>
      </c>
      <c r="J101" s="6" t="n">
        <v>10000</v>
      </c>
      <c r="K101" s="4" t="s">
        <v>193</v>
      </c>
      <c r="L101" s="7" t="n">
        <v>44729</v>
      </c>
      <c r="M101" s="8" t="n">
        <v>50207</v>
      </c>
      <c r="O101" s="7" t="n">
        <v>46555</v>
      </c>
      <c r="P101" s="7" t="n">
        <v>48381</v>
      </c>
      <c r="Q101" s="9" t="n">
        <v>625000</v>
      </c>
      <c r="R101" s="9" t="n">
        <f aca="false">Q101</f>
        <v>625000</v>
      </c>
      <c r="T101" s="9" t="n">
        <v>750000</v>
      </c>
      <c r="U101" s="9" t="n">
        <f aca="false">T101</f>
        <v>750000</v>
      </c>
      <c r="V101" s="9" t="n">
        <v>650000</v>
      </c>
      <c r="W101" s="9" t="n">
        <f aca="false">V101</f>
        <v>650000</v>
      </c>
      <c r="X101" s="45" t="n">
        <f aca="false">V101/H101</f>
        <v>57.9064587973274</v>
      </c>
      <c r="Y101" s="46" t="n">
        <f aca="false">SUM(V101-T101)/T101</f>
        <v>-0.133333333333333</v>
      </c>
      <c r="Z101" s="9" t="s">
        <v>55</v>
      </c>
      <c r="AA101" s="42"/>
      <c r="AB101" s="66"/>
      <c r="AC101" s="5" t="s">
        <v>43</v>
      </c>
      <c r="AD101" s="4" t="s">
        <v>194</v>
      </c>
    </row>
    <row r="102" customFormat="false" ht="13.5" hidden="false" customHeight="false" outlineLevel="0" collapsed="false">
      <c r="A102" s="29"/>
      <c r="B102" s="11" t="s">
        <v>189</v>
      </c>
      <c r="C102" s="11" t="s">
        <v>38</v>
      </c>
      <c r="D102" s="29" t="n">
        <v>550410</v>
      </c>
      <c r="E102" s="4" t="s">
        <v>190</v>
      </c>
      <c r="F102" s="4" t="s">
        <v>195</v>
      </c>
      <c r="G102" s="5" t="s">
        <v>90</v>
      </c>
      <c r="H102" s="6" t="n">
        <v>2847</v>
      </c>
      <c r="I102" s="6" t="n">
        <f aca="false">H102</f>
        <v>2847</v>
      </c>
      <c r="J102" s="6" t="n">
        <v>3000</v>
      </c>
      <c r="K102" s="4" t="s">
        <v>67</v>
      </c>
      <c r="N102" s="8" t="n">
        <v>45219</v>
      </c>
      <c r="Q102" s="9" t="n">
        <v>0</v>
      </c>
      <c r="R102" s="9" t="n">
        <f aca="false">Q102</f>
        <v>0</v>
      </c>
      <c r="T102" s="9" t="n">
        <v>170000</v>
      </c>
      <c r="U102" s="9" t="n">
        <f aca="false">T102</f>
        <v>170000</v>
      </c>
      <c r="V102" s="9" t="n">
        <v>185100</v>
      </c>
      <c r="W102" s="9" t="n">
        <f aca="false">V102</f>
        <v>185100</v>
      </c>
      <c r="X102" s="45" t="n">
        <f aca="false">V102/H102</f>
        <v>65.0158061116965</v>
      </c>
      <c r="Y102" s="46" t="n">
        <f aca="false">SUM(V102-T102)/T102</f>
        <v>0.0888235294117647</v>
      </c>
      <c r="Z102" s="9" t="s">
        <v>55</v>
      </c>
      <c r="AA102" s="42"/>
      <c r="AB102" s="66"/>
      <c r="AC102" s="5" t="s">
        <v>43</v>
      </c>
      <c r="AD102" s="4" t="s">
        <v>68</v>
      </c>
      <c r="AE102" s="15" t="n">
        <v>70</v>
      </c>
      <c r="AF102" s="4" t="n">
        <v>6</v>
      </c>
      <c r="AG102" s="59" t="n">
        <v>20</v>
      </c>
      <c r="AH102" s="4" t="s">
        <v>196</v>
      </c>
    </row>
    <row r="103" s="72" customFormat="true" ht="17.25" hidden="false" customHeight="true" outlineLevel="0" collapsed="false">
      <c r="A103" s="29"/>
      <c r="B103" s="11" t="s">
        <v>189</v>
      </c>
      <c r="C103" s="11" t="s">
        <v>38</v>
      </c>
      <c r="D103" s="29" t="n">
        <v>550410</v>
      </c>
      <c r="E103" s="4" t="s">
        <v>190</v>
      </c>
      <c r="F103" s="4" t="s">
        <v>94</v>
      </c>
      <c r="G103" s="5" t="s">
        <v>90</v>
      </c>
      <c r="H103" s="6" t="n">
        <v>2651</v>
      </c>
      <c r="I103" s="6" t="n">
        <f aca="false">H103</f>
        <v>2651</v>
      </c>
      <c r="J103" s="6" t="n">
        <v>2500</v>
      </c>
      <c r="K103" s="4" t="s">
        <v>67</v>
      </c>
      <c r="L103" s="7"/>
      <c r="M103" s="8"/>
      <c r="N103" s="8" t="n">
        <v>44124</v>
      </c>
      <c r="O103" s="8"/>
      <c r="P103" s="8"/>
      <c r="Q103" s="9" t="n">
        <v>0</v>
      </c>
      <c r="R103" s="9" t="n">
        <f aca="false">Q103</f>
        <v>0</v>
      </c>
      <c r="S103" s="9"/>
      <c r="T103" s="9" t="n">
        <v>172000</v>
      </c>
      <c r="U103" s="9" t="n">
        <f aca="false">T103</f>
        <v>172000</v>
      </c>
      <c r="V103" s="9" t="n">
        <v>181600</v>
      </c>
      <c r="W103" s="9" t="n">
        <f aca="false">V103</f>
        <v>181600</v>
      </c>
      <c r="X103" s="45" t="n">
        <f aca="false">V103/H103</f>
        <v>68.5024519049415</v>
      </c>
      <c r="Y103" s="46" t="n">
        <f aca="false">SUM(V103-T103)/T103</f>
        <v>0.0558139534883721</v>
      </c>
      <c r="Z103" s="9" t="s">
        <v>55</v>
      </c>
      <c r="AA103" s="42"/>
      <c r="AB103" s="66"/>
      <c r="AC103" s="5" t="s">
        <v>43</v>
      </c>
      <c r="AD103" s="4" t="s">
        <v>68</v>
      </c>
      <c r="AE103" s="15" t="n">
        <v>72.5</v>
      </c>
      <c r="AF103" s="4" t="n">
        <v>6</v>
      </c>
      <c r="AG103" s="59" t="n">
        <v>20</v>
      </c>
      <c r="AH103" s="4" t="s">
        <v>196</v>
      </c>
      <c r="AJ103" s="73"/>
    </row>
    <row r="104" s="72" customFormat="true" ht="24.75" hidden="false" customHeight="true" outlineLevel="0" collapsed="false">
      <c r="A104" s="29"/>
      <c r="B104" s="11" t="s">
        <v>189</v>
      </c>
      <c r="C104" s="11" t="s">
        <v>38</v>
      </c>
      <c r="D104" s="29" t="n">
        <v>550410</v>
      </c>
      <c r="E104" s="4" t="s">
        <v>190</v>
      </c>
      <c r="F104" s="4" t="s">
        <v>118</v>
      </c>
      <c r="G104" s="5" t="s">
        <v>90</v>
      </c>
      <c r="H104" s="6" t="n">
        <v>1197</v>
      </c>
      <c r="I104" s="6" t="n">
        <f aca="false">H104</f>
        <v>1197</v>
      </c>
      <c r="J104" s="6" t="n">
        <v>1000</v>
      </c>
      <c r="K104" s="4" t="s">
        <v>197</v>
      </c>
      <c r="L104" s="7" t="n">
        <v>44362</v>
      </c>
      <c r="M104" s="8" t="n">
        <v>48013</v>
      </c>
      <c r="N104" s="8"/>
      <c r="O104" s="8" t="n">
        <v>46197</v>
      </c>
      <c r="P104" s="8" t="n">
        <v>46197</v>
      </c>
      <c r="Q104" s="9" t="n">
        <v>80000</v>
      </c>
      <c r="R104" s="9" t="n">
        <f aca="false">Q104</f>
        <v>80000</v>
      </c>
      <c r="S104" s="9"/>
      <c r="T104" s="9" t="n">
        <v>80000</v>
      </c>
      <c r="U104" s="9" t="n">
        <f aca="false">T104</f>
        <v>80000</v>
      </c>
      <c r="V104" s="9" t="n">
        <v>80800</v>
      </c>
      <c r="W104" s="9" t="n">
        <f aca="false">V104</f>
        <v>80800</v>
      </c>
      <c r="X104" s="45" t="n">
        <f aca="false">V104/H104</f>
        <v>67.5020885547201</v>
      </c>
      <c r="Y104" s="46" t="n">
        <f aca="false">SUM(V104-T104)/T104</f>
        <v>0.01</v>
      </c>
      <c r="Z104" s="9" t="s">
        <v>55</v>
      </c>
      <c r="AA104" s="42"/>
      <c r="AB104" s="66"/>
      <c r="AC104" s="5" t="s">
        <v>43</v>
      </c>
      <c r="AD104" s="4" t="s">
        <v>198</v>
      </c>
      <c r="AE104" s="15"/>
      <c r="AF104" s="4"/>
      <c r="AG104" s="59"/>
      <c r="AH104" s="4"/>
      <c r="AJ104" s="73"/>
    </row>
    <row r="105" customFormat="false" ht="14.25" hidden="false" customHeight="true" outlineLevel="0" collapsed="false">
      <c r="A105" s="29"/>
      <c r="B105" s="11"/>
      <c r="C105" s="11" t="s">
        <v>38</v>
      </c>
      <c r="D105" s="29"/>
      <c r="E105" s="4"/>
      <c r="I105" s="9"/>
      <c r="J105" s="9"/>
      <c r="T105" s="9"/>
      <c r="U105" s="9"/>
      <c r="V105" s="9"/>
      <c r="W105" s="9"/>
      <c r="X105" s="9"/>
      <c r="Y105" s="41"/>
      <c r="Z105" s="9"/>
      <c r="AA105" s="42"/>
      <c r="AB105" s="66"/>
      <c r="AC105" s="5"/>
      <c r="AG105" s="59"/>
    </row>
    <row r="106" customFormat="false" ht="14.25" hidden="false" customHeight="true" outlineLevel="0" collapsed="false">
      <c r="A106" s="29"/>
      <c r="B106" s="11"/>
      <c r="C106" s="11" t="s">
        <v>38</v>
      </c>
      <c r="D106" s="29"/>
      <c r="E106" s="4"/>
      <c r="F106" s="47" t="s">
        <v>199</v>
      </c>
      <c r="G106" s="78"/>
      <c r="H106" s="43" t="n">
        <f aca="false">SUM(H101:H104)</f>
        <v>17920</v>
      </c>
      <c r="I106" s="44"/>
      <c r="J106" s="44"/>
      <c r="Q106" s="44" t="n">
        <f aca="false">SUM(Q101:Q105)</f>
        <v>705000</v>
      </c>
      <c r="R106" s="44"/>
      <c r="S106" s="44" t="n">
        <f aca="false">SUM(R101:R105)</f>
        <v>705000</v>
      </c>
      <c r="T106" s="44" t="n">
        <f aca="false">SUM(T101:T105)</f>
        <v>1172000</v>
      </c>
      <c r="U106" s="44"/>
      <c r="V106" s="44" t="n">
        <f aca="false">SUM(V101:V105)</f>
        <v>1097500</v>
      </c>
      <c r="W106" s="44"/>
      <c r="X106" s="44"/>
      <c r="Y106" s="64"/>
      <c r="Z106" s="44"/>
      <c r="AA106" s="67"/>
      <c r="AB106" s="43" t="n">
        <v>19100000</v>
      </c>
      <c r="AC106" s="5"/>
      <c r="AF106" s="60"/>
      <c r="AG106" s="62"/>
      <c r="AH106" s="60"/>
    </row>
    <row r="107" customFormat="false" ht="14.25" hidden="false" customHeight="true" outlineLevel="0" collapsed="false">
      <c r="A107" s="29"/>
      <c r="B107" s="11"/>
      <c r="C107" s="11" t="s">
        <v>38</v>
      </c>
      <c r="D107" s="29"/>
      <c r="E107" s="4"/>
      <c r="G107" s="78"/>
      <c r="H107" s="43"/>
      <c r="I107" s="44"/>
      <c r="J107" s="44"/>
      <c r="Q107" s="44"/>
      <c r="R107" s="44"/>
      <c r="S107" s="44"/>
      <c r="T107" s="44"/>
      <c r="U107" s="44"/>
      <c r="V107" s="44"/>
      <c r="W107" s="44"/>
      <c r="X107" s="44"/>
      <c r="Y107" s="64"/>
      <c r="Z107" s="44"/>
      <c r="AA107" s="67"/>
      <c r="AB107" s="66"/>
      <c r="AC107" s="5"/>
      <c r="AG107" s="59"/>
    </row>
    <row r="108" customFormat="false" ht="14.25" hidden="false" customHeight="true" outlineLevel="0" collapsed="false">
      <c r="A108" s="29"/>
      <c r="B108" s="11"/>
      <c r="C108" s="11" t="s">
        <v>38</v>
      </c>
      <c r="D108" s="29"/>
      <c r="E108" s="4"/>
      <c r="G108" s="39" t="s">
        <v>200</v>
      </c>
      <c r="I108" s="9"/>
      <c r="J108" s="9"/>
      <c r="K108" s="40"/>
      <c r="T108" s="11"/>
      <c r="U108" s="9"/>
      <c r="V108" s="11"/>
      <c r="W108" s="9"/>
      <c r="X108" s="9"/>
      <c r="Y108" s="41"/>
      <c r="Z108" s="9"/>
      <c r="AA108" s="42"/>
      <c r="AB108" s="14"/>
      <c r="AC108" s="5"/>
      <c r="AG108" s="59"/>
    </row>
    <row r="109" customFormat="false" ht="14.25" hidden="false" customHeight="true" outlineLevel="0" collapsed="false">
      <c r="A109" s="29"/>
      <c r="B109" s="11"/>
      <c r="C109" s="11" t="s">
        <v>38</v>
      </c>
      <c r="D109" s="29"/>
      <c r="E109" s="4"/>
      <c r="G109" s="39"/>
      <c r="I109" s="9"/>
      <c r="J109" s="9"/>
      <c r="T109" s="9"/>
      <c r="U109" s="9"/>
      <c r="V109" s="9"/>
      <c r="W109" s="9"/>
      <c r="X109" s="9"/>
      <c r="Y109" s="41"/>
      <c r="Z109" s="9"/>
      <c r="AA109" s="42"/>
      <c r="AB109" s="14"/>
      <c r="AC109" s="5"/>
      <c r="AG109" s="59"/>
    </row>
    <row r="110" customFormat="false" ht="13.5" hidden="false" customHeight="false" outlineLevel="0" collapsed="false">
      <c r="A110" s="29"/>
      <c r="B110" s="11" t="s">
        <v>106</v>
      </c>
      <c r="C110" s="11" t="s">
        <v>38</v>
      </c>
      <c r="D110" s="29" t="n">
        <v>550795</v>
      </c>
      <c r="E110" s="4" t="s">
        <v>200</v>
      </c>
      <c r="F110" s="4" t="s">
        <v>181</v>
      </c>
      <c r="G110" s="5" t="s">
        <v>201</v>
      </c>
      <c r="H110" s="6" t="n">
        <v>1330</v>
      </c>
      <c r="I110" s="6" t="n">
        <f aca="false">H110</f>
        <v>1330</v>
      </c>
      <c r="K110" s="4" t="s">
        <v>81</v>
      </c>
      <c r="N110" s="8" t="n">
        <v>43670</v>
      </c>
      <c r="Q110" s="9" t="n">
        <v>0</v>
      </c>
      <c r="R110" s="9" t="n">
        <f aca="false">Q110</f>
        <v>0</v>
      </c>
      <c r="T110" s="9" t="n">
        <v>25000</v>
      </c>
      <c r="U110" s="9" t="n">
        <f aca="false">T110</f>
        <v>25000</v>
      </c>
      <c r="V110" s="9" t="n">
        <v>25000</v>
      </c>
      <c r="W110" s="9" t="n">
        <f aca="false">V110</f>
        <v>25000</v>
      </c>
      <c r="X110" s="45" t="n">
        <f aca="false">V110/H110</f>
        <v>18.796992481203</v>
      </c>
      <c r="Y110" s="46" t="n">
        <f aca="false">SUM(V110-T110)/T110</f>
        <v>0</v>
      </c>
      <c r="Z110" s="9" t="s">
        <v>60</v>
      </c>
      <c r="AA110" s="42"/>
      <c r="AB110" s="14"/>
      <c r="AC110" s="5" t="s">
        <v>43</v>
      </c>
      <c r="AG110" s="59"/>
    </row>
    <row r="111" customFormat="false" ht="13.5" hidden="false" customHeight="false" outlineLevel="0" collapsed="false">
      <c r="A111" s="29"/>
      <c r="B111" s="11" t="s">
        <v>106</v>
      </c>
      <c r="C111" s="11" t="s">
        <v>38</v>
      </c>
      <c r="D111" s="29" t="n">
        <v>550795</v>
      </c>
      <c r="E111" s="4" t="s">
        <v>200</v>
      </c>
      <c r="F111" s="4" t="s">
        <v>202</v>
      </c>
      <c r="G111" s="5" t="s">
        <v>49</v>
      </c>
      <c r="H111" s="6" t="n">
        <v>260</v>
      </c>
      <c r="I111" s="6" t="n">
        <f aca="false">H111</f>
        <v>260</v>
      </c>
      <c r="J111" s="6" t="n">
        <v>250</v>
      </c>
      <c r="K111" s="4" t="s">
        <v>203</v>
      </c>
      <c r="L111" s="7" t="n">
        <v>45645</v>
      </c>
      <c r="M111" s="8" t="n">
        <v>46739</v>
      </c>
      <c r="Q111" s="9" t="n">
        <v>18000</v>
      </c>
      <c r="R111" s="9" t="n">
        <f aca="false">Q111</f>
        <v>18000</v>
      </c>
      <c r="T111" s="9" t="n">
        <v>11700</v>
      </c>
      <c r="U111" s="9" t="n">
        <f aca="false">T111</f>
        <v>11700</v>
      </c>
      <c r="V111" s="9" t="n">
        <v>11700</v>
      </c>
      <c r="W111" s="9" t="n">
        <f aca="false">V111</f>
        <v>11700</v>
      </c>
      <c r="X111" s="45" t="n">
        <f aca="false">V111/H111</f>
        <v>45</v>
      </c>
      <c r="Y111" s="46" t="n">
        <f aca="false">SUM(V111-T111)/T111</f>
        <v>0</v>
      </c>
      <c r="Z111" s="9" t="s">
        <v>42</v>
      </c>
      <c r="AA111" s="42"/>
      <c r="AB111" s="14"/>
      <c r="AC111" s="5" t="s">
        <v>43</v>
      </c>
      <c r="AG111" s="59" t="n">
        <v>1</v>
      </c>
      <c r="AH111" s="4" t="s">
        <v>204</v>
      </c>
    </row>
    <row r="112" customFormat="false" ht="14.25" hidden="false" customHeight="true" outlineLevel="0" collapsed="false">
      <c r="A112" s="29"/>
      <c r="B112" s="11" t="s">
        <v>106</v>
      </c>
      <c r="C112" s="11" t="s">
        <v>38</v>
      </c>
      <c r="D112" s="29" t="n">
        <v>550795</v>
      </c>
      <c r="E112" s="4" t="s">
        <v>200</v>
      </c>
      <c r="F112" s="4" t="s">
        <v>205</v>
      </c>
      <c r="G112" s="5" t="s">
        <v>49</v>
      </c>
      <c r="H112" s="6" t="n">
        <v>652</v>
      </c>
      <c r="I112" s="6" t="n">
        <f aca="false">H112</f>
        <v>652</v>
      </c>
      <c r="J112" s="6" t="n">
        <v>750</v>
      </c>
      <c r="K112" s="4" t="s">
        <v>206</v>
      </c>
      <c r="L112" s="7" t="n">
        <v>44851</v>
      </c>
      <c r="M112" s="8" t="n">
        <v>48503</v>
      </c>
      <c r="O112" s="8" t="n">
        <v>46677</v>
      </c>
      <c r="Q112" s="9" t="n">
        <v>55000</v>
      </c>
      <c r="R112" s="9" t="n">
        <f aca="false">Q112</f>
        <v>55000</v>
      </c>
      <c r="T112" s="9" t="n">
        <v>55000</v>
      </c>
      <c r="U112" s="9" t="n">
        <f aca="false">T112</f>
        <v>55000</v>
      </c>
      <c r="V112" s="9" t="n">
        <v>55000</v>
      </c>
      <c r="W112" s="9" t="n">
        <f aca="false">V112</f>
        <v>55000</v>
      </c>
      <c r="X112" s="45" t="n">
        <f aca="false">V112/H112</f>
        <v>84.3558282208589</v>
      </c>
      <c r="Y112" s="46" t="n">
        <f aca="false">SUM(V112-T112)/T112</f>
        <v>0</v>
      </c>
      <c r="Z112" s="9" t="s">
        <v>60</v>
      </c>
      <c r="AA112" s="42"/>
      <c r="AB112" s="14"/>
      <c r="AC112" s="5" t="s">
        <v>43</v>
      </c>
      <c r="AG112" s="59"/>
    </row>
    <row r="113" customFormat="false" ht="13.5" hidden="false" customHeight="false" outlineLevel="0" collapsed="false">
      <c r="A113" s="29"/>
      <c r="B113" s="11" t="s">
        <v>106</v>
      </c>
      <c r="C113" s="11" t="s">
        <v>38</v>
      </c>
      <c r="D113" s="29" t="n">
        <v>550795</v>
      </c>
      <c r="E113" s="4" t="s">
        <v>200</v>
      </c>
      <c r="F113" s="4" t="s">
        <v>207</v>
      </c>
      <c r="G113" s="5" t="s">
        <v>90</v>
      </c>
      <c r="H113" s="6" t="n">
        <v>558</v>
      </c>
      <c r="I113" s="6" t="n">
        <f aca="false">H113</f>
        <v>558</v>
      </c>
      <c r="J113" s="6" t="n">
        <v>500</v>
      </c>
      <c r="K113" s="4" t="s">
        <v>208</v>
      </c>
      <c r="L113" s="7" t="n">
        <v>45114</v>
      </c>
      <c r="M113" s="8" t="n">
        <v>46940</v>
      </c>
      <c r="P113" s="8" t="n">
        <v>46209</v>
      </c>
      <c r="Q113" s="9" t="n">
        <v>32400</v>
      </c>
      <c r="R113" s="9" t="n">
        <f aca="false">Q113</f>
        <v>32400</v>
      </c>
      <c r="T113" s="9" t="n">
        <v>29300</v>
      </c>
      <c r="U113" s="9" t="n">
        <f aca="false">T113</f>
        <v>29300</v>
      </c>
      <c r="V113" s="9" t="n">
        <v>29300</v>
      </c>
      <c r="W113" s="9" t="n">
        <f aca="false">V113</f>
        <v>29300</v>
      </c>
      <c r="X113" s="45" t="n">
        <f aca="false">V113/H113</f>
        <v>52.5089605734767</v>
      </c>
      <c r="Y113" s="46" t="n">
        <f aca="false">SUM(V113-T113)/T113</f>
        <v>0</v>
      </c>
      <c r="Z113" s="9" t="s">
        <v>42</v>
      </c>
      <c r="AA113" s="42"/>
      <c r="AB113" s="14"/>
      <c r="AC113" s="5" t="s">
        <v>43</v>
      </c>
      <c r="AD113" s="4" t="s">
        <v>77</v>
      </c>
      <c r="AG113" s="59"/>
    </row>
    <row r="114" customFormat="false" ht="24" hidden="false" customHeight="true" outlineLevel="0" collapsed="false">
      <c r="A114" s="29"/>
      <c r="B114" s="11" t="s">
        <v>106</v>
      </c>
      <c r="C114" s="11" t="s">
        <v>38</v>
      </c>
      <c r="D114" s="29" t="n">
        <v>550795</v>
      </c>
      <c r="E114" s="4" t="s">
        <v>200</v>
      </c>
      <c r="F114" s="4" t="s">
        <v>209</v>
      </c>
      <c r="G114" s="5" t="s">
        <v>90</v>
      </c>
      <c r="H114" s="6" t="n">
        <v>310</v>
      </c>
      <c r="I114" s="6" t="n">
        <f aca="false">H114</f>
        <v>310</v>
      </c>
      <c r="J114" s="6" t="n">
        <v>250</v>
      </c>
      <c r="K114" s="4" t="s">
        <v>210</v>
      </c>
      <c r="L114" s="7" t="n">
        <v>44043</v>
      </c>
      <c r="M114" s="8" t="n">
        <v>45868</v>
      </c>
      <c r="Q114" s="9" t="n">
        <v>15500</v>
      </c>
      <c r="R114" s="9" t="n">
        <f aca="false">Q114</f>
        <v>15500</v>
      </c>
      <c r="T114" s="9" t="n">
        <v>15500</v>
      </c>
      <c r="U114" s="9" t="n">
        <f aca="false">T114</f>
        <v>15500</v>
      </c>
      <c r="V114" s="9" t="n">
        <v>15500</v>
      </c>
      <c r="W114" s="9" t="n">
        <f aca="false">V114</f>
        <v>15500</v>
      </c>
      <c r="X114" s="45" t="n">
        <f aca="false">V114/H114</f>
        <v>50</v>
      </c>
      <c r="Y114" s="46" t="n">
        <f aca="false">SUM(V114-T114)/T114</f>
        <v>0</v>
      </c>
      <c r="Z114" s="9" t="s">
        <v>42</v>
      </c>
      <c r="AA114" s="42"/>
      <c r="AB114" s="14"/>
      <c r="AC114" s="5" t="s">
        <v>43</v>
      </c>
      <c r="AD114" s="4" t="s">
        <v>211</v>
      </c>
      <c r="AG114" s="59"/>
    </row>
    <row r="115" customFormat="false" ht="23.25" hidden="false" customHeight="true" outlineLevel="0" collapsed="false">
      <c r="A115" s="29"/>
      <c r="B115" s="11" t="s">
        <v>106</v>
      </c>
      <c r="C115" s="11" t="s">
        <v>38</v>
      </c>
      <c r="D115" s="29" t="n">
        <v>550795</v>
      </c>
      <c r="E115" s="4" t="s">
        <v>200</v>
      </c>
      <c r="F115" s="4" t="s">
        <v>212</v>
      </c>
      <c r="G115" s="5" t="s">
        <v>90</v>
      </c>
      <c r="H115" s="6" t="n">
        <v>455</v>
      </c>
      <c r="I115" s="6" t="n">
        <f aca="false">H115</f>
        <v>455</v>
      </c>
      <c r="J115" s="6" t="n">
        <v>500</v>
      </c>
      <c r="K115" s="4" t="s">
        <v>213</v>
      </c>
      <c r="L115" s="7" t="n">
        <v>44505</v>
      </c>
      <c r="M115" s="8" t="n">
        <v>45965</v>
      </c>
      <c r="Q115" s="9" t="n">
        <v>22800</v>
      </c>
      <c r="R115" s="9" t="n">
        <f aca="false">Q115</f>
        <v>22800</v>
      </c>
      <c r="T115" s="9" t="n">
        <v>22800</v>
      </c>
      <c r="U115" s="9" t="n">
        <f aca="false">T115</f>
        <v>22800</v>
      </c>
      <c r="V115" s="9" t="n">
        <v>22800</v>
      </c>
      <c r="W115" s="9" t="n">
        <f aca="false">V115</f>
        <v>22800</v>
      </c>
      <c r="X115" s="45" t="n">
        <f aca="false">V115/H115</f>
        <v>50.1098901098901</v>
      </c>
      <c r="Y115" s="46" t="n">
        <f aca="false">SUM(V115-T115)/T115</f>
        <v>0</v>
      </c>
      <c r="Z115" s="9" t="s">
        <v>127</v>
      </c>
      <c r="AA115" s="42"/>
      <c r="AB115" s="14"/>
      <c r="AC115" s="5" t="s">
        <v>43</v>
      </c>
      <c r="AD115" s="4" t="s">
        <v>214</v>
      </c>
      <c r="AG115" s="59"/>
    </row>
    <row r="116" customFormat="false" ht="13.5" hidden="false" customHeight="false" outlineLevel="0" collapsed="false">
      <c r="A116" s="29"/>
      <c r="B116" s="11" t="s">
        <v>106</v>
      </c>
      <c r="C116" s="11" t="s">
        <v>38</v>
      </c>
      <c r="D116" s="29" t="n">
        <v>550795</v>
      </c>
      <c r="E116" s="4" t="s">
        <v>200</v>
      </c>
      <c r="F116" s="4" t="s">
        <v>215</v>
      </c>
      <c r="G116" s="5" t="s">
        <v>90</v>
      </c>
      <c r="H116" s="6" t="n">
        <v>310</v>
      </c>
      <c r="I116" s="6" t="n">
        <f aca="false">H116</f>
        <v>310</v>
      </c>
      <c r="J116" s="6" t="n">
        <v>250</v>
      </c>
      <c r="K116" s="4" t="s">
        <v>216</v>
      </c>
      <c r="L116" s="7" t="n">
        <v>44032</v>
      </c>
      <c r="M116" s="8" t="n">
        <v>45857</v>
      </c>
      <c r="Q116" s="9" t="n">
        <v>15500</v>
      </c>
      <c r="R116" s="9" t="n">
        <f aca="false">Q116</f>
        <v>15500</v>
      </c>
      <c r="T116" s="9" t="n">
        <v>15500</v>
      </c>
      <c r="U116" s="9" t="n">
        <f aca="false">T116</f>
        <v>15500</v>
      </c>
      <c r="V116" s="9" t="n">
        <v>15500</v>
      </c>
      <c r="W116" s="9" t="n">
        <f aca="false">V116</f>
        <v>15500</v>
      </c>
      <c r="X116" s="45" t="n">
        <f aca="false">V116/H116</f>
        <v>50</v>
      </c>
      <c r="Y116" s="46" t="n">
        <f aca="false">SUM(V116-T116)/T116</f>
        <v>0</v>
      </c>
      <c r="Z116" s="9" t="s">
        <v>127</v>
      </c>
      <c r="AA116" s="42"/>
      <c r="AB116" s="14"/>
      <c r="AC116" s="5" t="s">
        <v>43</v>
      </c>
      <c r="AD116" s="4" t="s">
        <v>217</v>
      </c>
      <c r="AG116" s="59"/>
    </row>
    <row r="117" customFormat="false" ht="13.5" hidden="false" customHeight="false" outlineLevel="0" collapsed="false">
      <c r="A117" s="29"/>
      <c r="B117" s="11" t="s">
        <v>106</v>
      </c>
      <c r="C117" s="11" t="s">
        <v>38</v>
      </c>
      <c r="D117" s="29" t="n">
        <v>550795</v>
      </c>
      <c r="E117" s="4" t="s">
        <v>200</v>
      </c>
      <c r="F117" s="4" t="s">
        <v>218</v>
      </c>
      <c r="G117" s="5" t="s">
        <v>90</v>
      </c>
      <c r="H117" s="6" t="n">
        <v>450</v>
      </c>
      <c r="I117" s="6" t="n">
        <f aca="false">H117</f>
        <v>450</v>
      </c>
      <c r="J117" s="6" t="n">
        <v>500</v>
      </c>
      <c r="K117" s="4" t="s">
        <v>213</v>
      </c>
      <c r="L117" s="7" t="n">
        <v>45199</v>
      </c>
      <c r="M117" s="8" t="n">
        <v>47025</v>
      </c>
      <c r="P117" s="8" t="n">
        <v>46294</v>
      </c>
      <c r="Q117" s="9" t="n">
        <v>24750</v>
      </c>
      <c r="R117" s="9" t="n">
        <f aca="false">Q117</f>
        <v>24750</v>
      </c>
      <c r="T117" s="9" t="n">
        <v>22838</v>
      </c>
      <c r="U117" s="9" t="n">
        <f aca="false">T117</f>
        <v>22838</v>
      </c>
      <c r="V117" s="9" t="n">
        <v>22500</v>
      </c>
      <c r="W117" s="9" t="n">
        <f aca="false">V117</f>
        <v>22500</v>
      </c>
      <c r="X117" s="45" t="n">
        <f aca="false">V117/H117</f>
        <v>50</v>
      </c>
      <c r="Y117" s="46" t="n">
        <f aca="false">SUM(V117-T117)/T117</f>
        <v>-0.0147998949119888</v>
      </c>
      <c r="Z117" s="9" t="s">
        <v>127</v>
      </c>
      <c r="AA117" s="42"/>
      <c r="AB117" s="14"/>
      <c r="AC117" s="5" t="s">
        <v>43</v>
      </c>
      <c r="AD117" s="4" t="s">
        <v>219</v>
      </c>
      <c r="AG117" s="59"/>
    </row>
    <row r="118" customFormat="false" ht="13.5" hidden="false" customHeight="false" outlineLevel="0" collapsed="false">
      <c r="A118" s="29"/>
      <c r="B118" s="11" t="s">
        <v>106</v>
      </c>
      <c r="C118" s="11" t="s">
        <v>38</v>
      </c>
      <c r="D118" s="29" t="n">
        <v>550795</v>
      </c>
      <c r="E118" s="4" t="s">
        <v>200</v>
      </c>
      <c r="F118" s="4" t="s">
        <v>220</v>
      </c>
      <c r="G118" s="5" t="s">
        <v>90</v>
      </c>
      <c r="H118" s="6" t="n">
        <v>215</v>
      </c>
      <c r="I118" s="6" t="n">
        <f aca="false">H118</f>
        <v>215</v>
      </c>
      <c r="J118" s="6" t="n">
        <v>250</v>
      </c>
      <c r="K118" s="4" t="s">
        <v>221</v>
      </c>
      <c r="L118" s="7" t="n">
        <v>44043</v>
      </c>
      <c r="M118" s="8" t="n">
        <v>45868</v>
      </c>
      <c r="Q118" s="9" t="n">
        <v>11502</v>
      </c>
      <c r="R118" s="9" t="n">
        <f aca="false">Q118</f>
        <v>11502</v>
      </c>
      <c r="T118" s="9" t="n">
        <v>10200</v>
      </c>
      <c r="U118" s="9" t="n">
        <f aca="false">T118</f>
        <v>10200</v>
      </c>
      <c r="V118" s="9" t="n">
        <v>10200</v>
      </c>
      <c r="W118" s="9" t="n">
        <f aca="false">V118</f>
        <v>10200</v>
      </c>
      <c r="X118" s="45" t="n">
        <f aca="false">V118/H118</f>
        <v>47.4418604651163</v>
      </c>
      <c r="Y118" s="46" t="n">
        <f aca="false">SUM(V118-T118)/T118</f>
        <v>0</v>
      </c>
      <c r="Z118" s="9" t="s">
        <v>127</v>
      </c>
      <c r="AA118" s="42"/>
      <c r="AB118" s="14"/>
      <c r="AC118" s="5" t="s">
        <v>43</v>
      </c>
      <c r="AD118" s="4" t="s">
        <v>222</v>
      </c>
      <c r="AG118" s="59"/>
    </row>
    <row r="119" customFormat="false" ht="13.5" hidden="false" customHeight="false" outlineLevel="0" collapsed="false">
      <c r="A119" s="29"/>
      <c r="B119" s="11" t="s">
        <v>106</v>
      </c>
      <c r="C119" s="11" t="s">
        <v>38</v>
      </c>
      <c r="D119" s="29" t="n">
        <v>550795</v>
      </c>
      <c r="E119" s="4" t="s">
        <v>200</v>
      </c>
      <c r="F119" s="4" t="s">
        <v>118</v>
      </c>
      <c r="G119" s="5" t="s">
        <v>90</v>
      </c>
      <c r="H119" s="6" t="n">
        <v>410</v>
      </c>
      <c r="I119" s="6" t="n">
        <f aca="false">H119</f>
        <v>410</v>
      </c>
      <c r="J119" s="6" t="n">
        <v>500</v>
      </c>
      <c r="K119" s="4" t="s">
        <v>213</v>
      </c>
      <c r="L119" s="7" t="n">
        <v>45199</v>
      </c>
      <c r="M119" s="8" t="n">
        <v>47025</v>
      </c>
      <c r="P119" s="8" t="n">
        <v>46294</v>
      </c>
      <c r="Q119" s="9" t="n">
        <v>22550</v>
      </c>
      <c r="R119" s="9" t="n">
        <f aca="false">Q119</f>
        <v>22550</v>
      </c>
      <c r="T119" s="9" t="n">
        <v>21100</v>
      </c>
      <c r="U119" s="9" t="n">
        <f aca="false">T119</f>
        <v>21100</v>
      </c>
      <c r="V119" s="9" t="n">
        <v>21100</v>
      </c>
      <c r="W119" s="9" t="n">
        <f aca="false">V119</f>
        <v>21100</v>
      </c>
      <c r="X119" s="45" t="n">
        <f aca="false">V119/H119</f>
        <v>51.4634146341463</v>
      </c>
      <c r="Y119" s="46" t="n">
        <f aca="false">SUM(V119-T119)/T119</f>
        <v>0</v>
      </c>
      <c r="Z119" s="9" t="s">
        <v>60</v>
      </c>
      <c r="AA119" s="42"/>
      <c r="AB119" s="14"/>
      <c r="AC119" s="5" t="s">
        <v>43</v>
      </c>
      <c r="AD119" s="4" t="s">
        <v>223</v>
      </c>
      <c r="AG119" s="59"/>
    </row>
    <row r="120" customFormat="false" ht="14.25" hidden="false" customHeight="true" outlineLevel="0" collapsed="false">
      <c r="A120" s="29"/>
      <c r="B120" s="11"/>
      <c r="C120" s="11" t="s">
        <v>38</v>
      </c>
      <c r="D120" s="29"/>
      <c r="E120" s="4"/>
      <c r="I120" s="9"/>
      <c r="J120" s="9"/>
      <c r="T120" s="9"/>
      <c r="U120" s="9"/>
      <c r="V120" s="9"/>
      <c r="W120" s="9"/>
      <c r="X120" s="9"/>
      <c r="Y120" s="41"/>
      <c r="Z120" s="9"/>
      <c r="AA120" s="42"/>
      <c r="AB120" s="14"/>
      <c r="AC120" s="5"/>
      <c r="AG120" s="59"/>
    </row>
    <row r="121" customFormat="false" ht="14.25" hidden="false" customHeight="true" outlineLevel="0" collapsed="false">
      <c r="A121" s="29"/>
      <c r="B121" s="11"/>
      <c r="C121" s="11" t="s">
        <v>38</v>
      </c>
      <c r="D121" s="29"/>
      <c r="E121" s="4"/>
      <c r="F121" s="47" t="s">
        <v>200</v>
      </c>
      <c r="H121" s="43" t="n">
        <f aca="false">SUM(H110:H119)</f>
        <v>4950</v>
      </c>
      <c r="I121" s="44"/>
      <c r="J121" s="44"/>
      <c r="Q121" s="44" t="n">
        <f aca="false">SUM(Q110:Q119)</f>
        <v>218002</v>
      </c>
      <c r="R121" s="44"/>
      <c r="S121" s="44" t="n">
        <f aca="false">SUM(R109:R120)</f>
        <v>218002</v>
      </c>
      <c r="T121" s="44" t="n">
        <f aca="false">SUM(T110:T119)</f>
        <v>228938</v>
      </c>
      <c r="U121" s="44"/>
      <c r="V121" s="44" t="n">
        <f aca="false">SUM(V110:V119)</f>
        <v>228600</v>
      </c>
      <c r="W121" s="44"/>
      <c r="X121" s="44"/>
      <c r="Y121" s="64"/>
      <c r="Z121" s="44"/>
      <c r="AA121" s="67"/>
      <c r="AB121" s="43" t="n">
        <v>3225000</v>
      </c>
      <c r="AC121" s="5"/>
      <c r="AG121" s="59"/>
    </row>
    <row r="122" customFormat="false" ht="14.25" hidden="false" customHeight="true" outlineLevel="0" collapsed="false">
      <c r="A122" s="29"/>
      <c r="B122" s="11"/>
      <c r="C122" s="11" t="s">
        <v>38</v>
      </c>
      <c r="D122" s="29"/>
      <c r="E122" s="4"/>
      <c r="H122" s="43"/>
      <c r="I122" s="44"/>
      <c r="J122" s="44"/>
      <c r="Q122" s="44"/>
      <c r="R122" s="44"/>
      <c r="S122" s="44"/>
      <c r="T122" s="44"/>
      <c r="U122" s="44"/>
      <c r="V122" s="44"/>
      <c r="W122" s="44"/>
      <c r="X122" s="44"/>
      <c r="Y122" s="64"/>
      <c r="Z122" s="44"/>
      <c r="AA122" s="67"/>
      <c r="AB122" s="66"/>
      <c r="AC122" s="5"/>
      <c r="AG122" s="59"/>
    </row>
    <row r="123" customFormat="false" ht="14.25" hidden="false" customHeight="true" outlineLevel="0" collapsed="false">
      <c r="A123" s="29"/>
      <c r="B123" s="11"/>
      <c r="C123" s="11" t="s">
        <v>38</v>
      </c>
      <c r="D123" s="29"/>
      <c r="E123" s="4"/>
      <c r="G123" s="39" t="s">
        <v>224</v>
      </c>
      <c r="I123" s="9"/>
      <c r="J123" s="9"/>
      <c r="K123" s="40"/>
      <c r="T123" s="11"/>
      <c r="U123" s="9"/>
      <c r="V123" s="11"/>
      <c r="W123" s="9"/>
      <c r="X123" s="9"/>
      <c r="Y123" s="41"/>
      <c r="Z123" s="9"/>
      <c r="AA123" s="42"/>
      <c r="AB123" s="14"/>
      <c r="AC123" s="5"/>
      <c r="AG123" s="59"/>
    </row>
    <row r="124" customFormat="false" ht="14.25" hidden="false" customHeight="true" outlineLevel="0" collapsed="false">
      <c r="A124" s="29"/>
      <c r="B124" s="11"/>
      <c r="C124" s="11" t="s">
        <v>38</v>
      </c>
      <c r="D124" s="29"/>
      <c r="E124" s="4"/>
      <c r="G124" s="39"/>
      <c r="I124" s="9"/>
      <c r="J124" s="9"/>
      <c r="L124" s="8"/>
      <c r="T124" s="9"/>
      <c r="U124" s="9"/>
      <c r="V124" s="9"/>
      <c r="W124" s="9"/>
      <c r="X124" s="9"/>
      <c r="Y124" s="41"/>
      <c r="Z124" s="9"/>
      <c r="AA124" s="42"/>
      <c r="AB124" s="14"/>
      <c r="AC124" s="5"/>
      <c r="AG124" s="59"/>
    </row>
    <row r="125" customFormat="false" ht="23.25" hidden="false" customHeight="true" outlineLevel="0" collapsed="false">
      <c r="A125" s="29"/>
      <c r="B125" s="11" t="s">
        <v>106</v>
      </c>
      <c r="C125" s="11" t="s">
        <v>38</v>
      </c>
      <c r="D125" s="29" t="n">
        <v>550080</v>
      </c>
      <c r="E125" s="4" t="s">
        <v>224</v>
      </c>
      <c r="F125" s="4" t="s">
        <v>112</v>
      </c>
      <c r="G125" s="5" t="s">
        <v>134</v>
      </c>
      <c r="H125" s="6" t="n">
        <v>3626</v>
      </c>
      <c r="I125" s="6" t="n">
        <f aca="false">H125</f>
        <v>3626</v>
      </c>
      <c r="J125" s="6" t="n">
        <v>3500</v>
      </c>
      <c r="K125" s="4" t="s">
        <v>225</v>
      </c>
      <c r="L125" s="7" t="n">
        <v>44635</v>
      </c>
      <c r="M125" s="8" t="n">
        <v>48287</v>
      </c>
      <c r="O125" s="8" t="n">
        <v>46461</v>
      </c>
      <c r="P125" s="8" t="n">
        <v>46460</v>
      </c>
      <c r="Q125" s="9" t="n">
        <v>220000</v>
      </c>
      <c r="R125" s="9" t="n">
        <f aca="false">Q125</f>
        <v>220000</v>
      </c>
      <c r="T125" s="9" t="n">
        <v>210000</v>
      </c>
      <c r="U125" s="9" t="n">
        <f aca="false">T125</f>
        <v>210000</v>
      </c>
      <c r="V125" s="9" t="n">
        <v>227900</v>
      </c>
      <c r="W125" s="9" t="n">
        <f aca="false">V125</f>
        <v>227900</v>
      </c>
      <c r="X125" s="45" t="n">
        <f aca="false">V125/H125</f>
        <v>62.8516271373414</v>
      </c>
      <c r="Y125" s="46" t="n">
        <f aca="false">SUM(V125-T125)/T125</f>
        <v>0.0852380952380952</v>
      </c>
      <c r="Z125" s="9" t="s">
        <v>60</v>
      </c>
      <c r="AA125" s="42"/>
      <c r="AB125" s="14"/>
      <c r="AC125" s="5" t="s">
        <v>43</v>
      </c>
      <c r="AD125" s="4" t="s">
        <v>226</v>
      </c>
      <c r="AG125" s="59"/>
    </row>
    <row r="126" customFormat="false" ht="14.25" hidden="false" customHeight="true" outlineLevel="0" collapsed="false">
      <c r="A126" s="29"/>
      <c r="B126" s="11" t="s">
        <v>106</v>
      </c>
      <c r="C126" s="11" t="s">
        <v>38</v>
      </c>
      <c r="D126" s="29" t="n">
        <v>550080</v>
      </c>
      <c r="E126" s="4" t="s">
        <v>224</v>
      </c>
      <c r="F126" s="4" t="s">
        <v>89</v>
      </c>
      <c r="G126" s="5" t="s">
        <v>227</v>
      </c>
      <c r="H126" s="6" t="n">
        <v>1493</v>
      </c>
      <c r="I126" s="6" t="n">
        <f aca="false">H126</f>
        <v>1493</v>
      </c>
      <c r="J126" s="6" t="n">
        <v>1500</v>
      </c>
      <c r="K126" s="4" t="s">
        <v>67</v>
      </c>
      <c r="N126" s="8" t="n">
        <v>43279</v>
      </c>
      <c r="Q126" s="9" t="n">
        <v>0</v>
      </c>
      <c r="R126" s="9" t="n">
        <f aca="false">Q126</f>
        <v>0</v>
      </c>
      <c r="T126" s="9" t="n">
        <v>86600</v>
      </c>
      <c r="U126" s="9" t="n">
        <f aca="false">T126</f>
        <v>86600</v>
      </c>
      <c r="V126" s="9" t="n">
        <v>93300</v>
      </c>
      <c r="W126" s="9" t="n">
        <f aca="false">V126</f>
        <v>93300</v>
      </c>
      <c r="X126" s="45" t="n">
        <f aca="false">V126/H126</f>
        <v>62.4916275954454</v>
      </c>
      <c r="Y126" s="46" t="n">
        <f aca="false">SUM(V126-T126)/T126</f>
        <v>0.0773672055427252</v>
      </c>
      <c r="Z126" s="9" t="s">
        <v>60</v>
      </c>
      <c r="AA126" s="42"/>
      <c r="AB126" s="14"/>
      <c r="AC126" s="5" t="s">
        <v>43</v>
      </c>
      <c r="AD126" s="4" t="s">
        <v>228</v>
      </c>
      <c r="AF126" s="60"/>
      <c r="AG126" s="62" t="n">
        <v>2</v>
      </c>
      <c r="AH126" s="60"/>
    </row>
    <row r="127" customFormat="false" ht="14.25" hidden="false" customHeight="true" outlineLevel="0" collapsed="false">
      <c r="A127" s="29"/>
      <c r="B127" s="11" t="s">
        <v>106</v>
      </c>
      <c r="C127" s="11" t="s">
        <v>38</v>
      </c>
      <c r="D127" s="29" t="n">
        <v>550080</v>
      </c>
      <c r="E127" s="4" t="s">
        <v>224</v>
      </c>
      <c r="F127" s="4" t="s">
        <v>93</v>
      </c>
      <c r="G127" s="5" t="s">
        <v>40</v>
      </c>
      <c r="H127" s="6" t="n">
        <v>1503</v>
      </c>
      <c r="I127" s="6" t="n">
        <f aca="false">H127</f>
        <v>1503</v>
      </c>
      <c r="J127" s="6" t="n">
        <v>1500</v>
      </c>
      <c r="K127" s="4" t="s">
        <v>67</v>
      </c>
      <c r="N127" s="8" t="n">
        <v>43354</v>
      </c>
      <c r="Q127" s="9" t="n">
        <v>0</v>
      </c>
      <c r="R127" s="9" t="n">
        <f aca="false">Q127</f>
        <v>0</v>
      </c>
      <c r="T127" s="9" t="n">
        <v>88100</v>
      </c>
      <c r="U127" s="9" t="n">
        <f aca="false">T127</f>
        <v>88100</v>
      </c>
      <c r="V127" s="9" t="n">
        <v>93900</v>
      </c>
      <c r="W127" s="9" t="n">
        <f aca="false">V127</f>
        <v>93900</v>
      </c>
      <c r="X127" s="45" t="n">
        <f aca="false">V127/H127</f>
        <v>62.4750499001996</v>
      </c>
      <c r="Y127" s="46" t="n">
        <f aca="false">SUM(V127-T127)/T127</f>
        <v>0.0658342792281498</v>
      </c>
      <c r="Z127" s="9" t="s">
        <v>60</v>
      </c>
      <c r="AA127" s="42"/>
      <c r="AB127" s="14"/>
      <c r="AC127" s="5" t="s">
        <v>43</v>
      </c>
      <c r="AD127" s="4" t="s">
        <v>228</v>
      </c>
      <c r="AF127" s="60"/>
      <c r="AG127" s="62" t="n">
        <v>2</v>
      </c>
      <c r="AH127" s="60"/>
    </row>
    <row r="128" customFormat="false" ht="19.4" hidden="false" customHeight="false" outlineLevel="0" collapsed="false">
      <c r="A128" s="29"/>
      <c r="B128" s="11" t="s">
        <v>106</v>
      </c>
      <c r="C128" s="11" t="s">
        <v>38</v>
      </c>
      <c r="D128" s="29" t="n">
        <v>550080</v>
      </c>
      <c r="E128" s="4" t="s">
        <v>224</v>
      </c>
      <c r="F128" s="4" t="s">
        <v>94</v>
      </c>
      <c r="G128" s="5" t="s">
        <v>40</v>
      </c>
      <c r="H128" s="6" t="n">
        <v>1519</v>
      </c>
      <c r="I128" s="6" t="n">
        <f aca="false">H128</f>
        <v>1519</v>
      </c>
      <c r="J128" s="6" t="n">
        <v>1500</v>
      </c>
      <c r="K128" s="4" t="s">
        <v>67</v>
      </c>
      <c r="N128" s="8" t="n">
        <v>43354</v>
      </c>
      <c r="Q128" s="9" t="n">
        <v>0</v>
      </c>
      <c r="R128" s="9" t="n">
        <f aca="false">Q128</f>
        <v>0</v>
      </c>
      <c r="T128" s="9" t="n">
        <v>83100</v>
      </c>
      <c r="U128" s="9" t="n">
        <f aca="false">T128</f>
        <v>83100</v>
      </c>
      <c r="V128" s="9" t="n">
        <v>91100</v>
      </c>
      <c r="W128" s="9" t="n">
        <f aca="false">V128</f>
        <v>91100</v>
      </c>
      <c r="X128" s="45" t="n">
        <f aca="false">V128/H128</f>
        <v>59.9736668861093</v>
      </c>
      <c r="Y128" s="46" t="n">
        <f aca="false">SUM(V128-T128)/T128</f>
        <v>0.0962695547533093</v>
      </c>
      <c r="Z128" s="9" t="s">
        <v>60</v>
      </c>
      <c r="AA128" s="42"/>
      <c r="AB128" s="14"/>
      <c r="AC128" s="5" t="s">
        <v>43</v>
      </c>
      <c r="AD128" s="4" t="s">
        <v>228</v>
      </c>
      <c r="AF128" s="60"/>
      <c r="AG128" s="62" t="n">
        <v>2</v>
      </c>
      <c r="AH128" s="60"/>
    </row>
    <row r="129" customFormat="false" ht="14.25" hidden="false" customHeight="true" outlineLevel="0" collapsed="false">
      <c r="A129" s="29"/>
      <c r="B129" s="11" t="s">
        <v>106</v>
      </c>
      <c r="C129" s="11" t="s">
        <v>38</v>
      </c>
      <c r="D129" s="29" t="n">
        <v>550080</v>
      </c>
      <c r="E129" s="4" t="s">
        <v>224</v>
      </c>
      <c r="F129" s="4" t="s">
        <v>118</v>
      </c>
      <c r="G129" s="5" t="s">
        <v>40</v>
      </c>
      <c r="H129" s="6" t="n">
        <v>1505</v>
      </c>
      <c r="I129" s="6" t="n">
        <f aca="false">H129</f>
        <v>1505</v>
      </c>
      <c r="J129" s="6" t="n">
        <v>1500</v>
      </c>
      <c r="K129" s="4" t="s">
        <v>67</v>
      </c>
      <c r="N129" s="8" t="n">
        <v>43354</v>
      </c>
      <c r="Q129" s="9" t="n">
        <v>0</v>
      </c>
      <c r="R129" s="9" t="n">
        <f aca="false">Q129</f>
        <v>0</v>
      </c>
      <c r="T129" s="9" t="n">
        <v>83800</v>
      </c>
      <c r="U129" s="9" t="n">
        <f aca="false">T129</f>
        <v>83800</v>
      </c>
      <c r="V129" s="9" t="n">
        <v>90300</v>
      </c>
      <c r="W129" s="9" t="n">
        <f aca="false">V129</f>
        <v>90300</v>
      </c>
      <c r="X129" s="45" t="n">
        <f aca="false">V129/H129</f>
        <v>60</v>
      </c>
      <c r="Y129" s="46" t="n">
        <f aca="false">SUM(V129-T129)/T129</f>
        <v>0.0775656324582339</v>
      </c>
      <c r="Z129" s="9" t="s">
        <v>60</v>
      </c>
      <c r="AA129" s="42"/>
      <c r="AB129" s="14"/>
      <c r="AC129" s="5" t="s">
        <v>43</v>
      </c>
      <c r="AD129" s="4" t="s">
        <v>228</v>
      </c>
      <c r="AF129" s="60"/>
      <c r="AG129" s="62" t="n">
        <v>2</v>
      </c>
      <c r="AH129" s="60"/>
    </row>
    <row r="130" customFormat="false" ht="14.25" hidden="false" customHeight="true" outlineLevel="0" collapsed="false">
      <c r="A130" s="29"/>
      <c r="B130" s="11"/>
      <c r="C130" s="11" t="s">
        <v>38</v>
      </c>
      <c r="D130" s="29"/>
      <c r="E130" s="4"/>
      <c r="T130" s="9"/>
      <c r="U130" s="9"/>
      <c r="V130" s="9"/>
      <c r="W130" s="9"/>
      <c r="X130" s="9"/>
      <c r="Y130" s="41"/>
      <c r="Z130" s="9"/>
      <c r="AA130" s="42"/>
      <c r="AB130" s="14"/>
      <c r="AC130" s="5"/>
      <c r="AG130" s="59"/>
    </row>
    <row r="131" customFormat="false" ht="14.25" hidden="false" customHeight="true" outlineLevel="0" collapsed="false">
      <c r="A131" s="29"/>
      <c r="B131" s="11"/>
      <c r="C131" s="11" t="s">
        <v>38</v>
      </c>
      <c r="D131" s="29"/>
      <c r="E131" s="4"/>
      <c r="F131" s="47" t="s">
        <v>229</v>
      </c>
      <c r="H131" s="43" t="n">
        <f aca="false">SUM(H125:H129)</f>
        <v>9646</v>
      </c>
      <c r="I131" s="44"/>
      <c r="J131" s="44"/>
      <c r="Q131" s="44" t="n">
        <f aca="false">SUM(Q125:Q129)</f>
        <v>220000</v>
      </c>
      <c r="R131" s="44"/>
      <c r="S131" s="44" t="n">
        <f aca="false">SUM(R124:R129)</f>
        <v>220000</v>
      </c>
      <c r="T131" s="44" t="n">
        <f aca="false">SUM(T125:T129)</f>
        <v>551600</v>
      </c>
      <c r="U131" s="44"/>
      <c r="V131" s="44" t="n">
        <f aca="false">SUM(V125:V129)</f>
        <v>596500</v>
      </c>
      <c r="W131" s="44"/>
      <c r="X131" s="44"/>
      <c r="Y131" s="64"/>
      <c r="Z131" s="44"/>
      <c r="AA131" s="67"/>
      <c r="AB131" s="43" t="n">
        <v>9175000</v>
      </c>
      <c r="AC131" s="5"/>
      <c r="AF131" s="60"/>
      <c r="AG131" s="62"/>
      <c r="AH131" s="60"/>
    </row>
    <row r="132" customFormat="false" ht="14.25" hidden="false" customHeight="true" outlineLevel="0" collapsed="false">
      <c r="A132" s="29"/>
      <c r="B132" s="11"/>
      <c r="C132" s="11" t="s">
        <v>38</v>
      </c>
      <c r="D132" s="29"/>
      <c r="E132" s="4"/>
      <c r="H132" s="43"/>
      <c r="I132" s="44"/>
      <c r="J132" s="44"/>
      <c r="Q132" s="44"/>
      <c r="R132" s="44"/>
      <c r="S132" s="44"/>
      <c r="T132" s="44"/>
      <c r="U132" s="44"/>
      <c r="V132" s="44"/>
      <c r="W132" s="44"/>
      <c r="X132" s="44"/>
      <c r="Y132" s="64"/>
      <c r="Z132" s="44"/>
      <c r="AA132" s="67"/>
      <c r="AB132" s="66"/>
      <c r="AC132" s="5"/>
      <c r="AG132" s="59"/>
    </row>
    <row r="133" customFormat="false" ht="14.25" hidden="false" customHeight="true" outlineLevel="0" collapsed="false">
      <c r="A133" s="29"/>
      <c r="B133" s="11"/>
      <c r="C133" s="11" t="s">
        <v>38</v>
      </c>
      <c r="D133" s="29"/>
      <c r="E133" s="4"/>
      <c r="G133" s="39" t="s">
        <v>230</v>
      </c>
      <c r="I133" s="9"/>
      <c r="J133" s="9"/>
      <c r="K133" s="40"/>
      <c r="T133" s="11"/>
      <c r="U133" s="9"/>
      <c r="V133" s="11"/>
      <c r="W133" s="9"/>
      <c r="X133" s="9"/>
      <c r="Y133" s="41"/>
      <c r="Z133" s="9"/>
      <c r="AA133" s="42"/>
      <c r="AB133" s="14"/>
      <c r="AC133" s="5"/>
      <c r="AG133" s="59"/>
    </row>
    <row r="134" customFormat="false" ht="14.25" hidden="false" customHeight="true" outlineLevel="0" collapsed="false">
      <c r="A134" s="29"/>
      <c r="B134" s="11"/>
      <c r="C134" s="11" t="s">
        <v>38</v>
      </c>
      <c r="D134" s="29"/>
      <c r="E134" s="4"/>
      <c r="G134" s="39"/>
      <c r="H134" s="76"/>
      <c r="I134" s="9"/>
      <c r="J134" s="9"/>
      <c r="K134" s="79"/>
      <c r="L134" s="80"/>
      <c r="T134" s="11"/>
      <c r="U134" s="9"/>
      <c r="V134" s="11"/>
      <c r="W134" s="9"/>
      <c r="X134" s="9"/>
      <c r="Y134" s="41"/>
      <c r="Z134" s="9"/>
      <c r="AA134" s="42"/>
      <c r="AB134" s="14"/>
      <c r="AC134" s="5"/>
      <c r="AG134" s="59"/>
    </row>
    <row r="135" customFormat="false" ht="28.5" hidden="false" customHeight="true" outlineLevel="0" collapsed="false">
      <c r="A135" s="29"/>
      <c r="B135" s="11" t="s">
        <v>189</v>
      </c>
      <c r="C135" s="11" t="s">
        <v>38</v>
      </c>
      <c r="D135" s="29" t="n">
        <v>550400</v>
      </c>
      <c r="E135" s="4" t="s">
        <v>230</v>
      </c>
      <c r="F135" s="4" t="s">
        <v>112</v>
      </c>
      <c r="G135" s="5" t="s">
        <v>231</v>
      </c>
      <c r="H135" s="6" t="n">
        <v>2164</v>
      </c>
      <c r="I135" s="6" t="n">
        <f aca="false">H135</f>
        <v>2164</v>
      </c>
      <c r="J135" s="6" t="n">
        <v>2000</v>
      </c>
      <c r="K135" s="4" t="s">
        <v>232</v>
      </c>
      <c r="L135" s="7" t="n">
        <v>44995</v>
      </c>
      <c r="M135" s="8" t="n">
        <v>48647</v>
      </c>
      <c r="O135" s="8" t="n">
        <v>46822</v>
      </c>
      <c r="Q135" s="9" t="n">
        <v>165000</v>
      </c>
      <c r="R135" s="9" t="n">
        <f aca="false">Q135</f>
        <v>165000</v>
      </c>
      <c r="T135" s="9" t="n">
        <v>165000</v>
      </c>
      <c r="U135" s="9" t="n">
        <f aca="false">T135</f>
        <v>165000</v>
      </c>
      <c r="V135" s="9" t="n">
        <v>165000</v>
      </c>
      <c r="W135" s="9" t="n">
        <f aca="false">V135</f>
        <v>165000</v>
      </c>
      <c r="X135" s="45" t="n">
        <f aca="false">V135/H135</f>
        <v>76.2476894639556</v>
      </c>
      <c r="Y135" s="46" t="n">
        <f aca="false">SUM(V135-T135)/T135</f>
        <v>0</v>
      </c>
      <c r="Z135" s="9" t="s">
        <v>60</v>
      </c>
      <c r="AA135" s="42"/>
      <c r="AB135" s="14"/>
      <c r="AC135" s="5" t="s">
        <v>43</v>
      </c>
      <c r="AG135" s="59"/>
    </row>
    <row r="136" customFormat="false" ht="28.5" hidden="false" customHeight="true" outlineLevel="0" collapsed="false">
      <c r="A136" s="29"/>
      <c r="B136" s="11" t="s">
        <v>189</v>
      </c>
      <c r="C136" s="11" t="s">
        <v>38</v>
      </c>
      <c r="D136" s="29" t="n">
        <v>550400</v>
      </c>
      <c r="E136" s="4" t="s">
        <v>230</v>
      </c>
      <c r="F136" s="71" t="s">
        <v>233</v>
      </c>
      <c r="G136" s="5" t="s">
        <v>40</v>
      </c>
      <c r="H136" s="6" t="n">
        <v>3545</v>
      </c>
      <c r="I136" s="6" t="n">
        <f aca="false">H136</f>
        <v>3545</v>
      </c>
      <c r="J136" s="6" t="n">
        <v>3500</v>
      </c>
      <c r="K136" s="4" t="s">
        <v>197</v>
      </c>
      <c r="L136" s="7" t="n">
        <v>44362</v>
      </c>
      <c r="M136" s="8" t="n">
        <v>48013</v>
      </c>
      <c r="O136" s="8" t="n">
        <v>46197</v>
      </c>
      <c r="P136" s="8" t="n">
        <v>46197</v>
      </c>
      <c r="Q136" s="9" t="n">
        <v>220000</v>
      </c>
      <c r="R136" s="9" t="n">
        <f aca="false">Q136</f>
        <v>220000</v>
      </c>
      <c r="T136" s="9" t="n">
        <v>220000</v>
      </c>
      <c r="U136" s="9" t="n">
        <f aca="false">T136</f>
        <v>220000</v>
      </c>
      <c r="V136" s="9" t="n">
        <v>220000</v>
      </c>
      <c r="W136" s="9" t="n">
        <f aca="false">V136</f>
        <v>220000</v>
      </c>
      <c r="X136" s="45" t="n">
        <f aca="false">V136/H136</f>
        <v>62.0592383638928</v>
      </c>
      <c r="Y136" s="46" t="n">
        <f aca="false">SUM(V136-T136)/T136</f>
        <v>0</v>
      </c>
      <c r="Z136" s="9" t="s">
        <v>42</v>
      </c>
      <c r="AA136" s="42"/>
      <c r="AB136" s="14"/>
      <c r="AC136" s="5" t="s">
        <v>43</v>
      </c>
      <c r="AD136" s="4" t="s">
        <v>77</v>
      </c>
      <c r="AG136" s="59"/>
    </row>
    <row r="137" customFormat="false" ht="14.25" hidden="false" customHeight="true" outlineLevel="0" collapsed="false">
      <c r="A137" s="29"/>
      <c r="B137" s="11"/>
      <c r="C137" s="11" t="s">
        <v>38</v>
      </c>
      <c r="D137" s="29"/>
      <c r="E137" s="4"/>
      <c r="T137" s="9"/>
      <c r="U137" s="9"/>
      <c r="V137" s="9"/>
      <c r="W137" s="9"/>
      <c r="X137" s="9"/>
      <c r="Y137" s="41"/>
      <c r="Z137" s="9"/>
      <c r="AA137" s="42"/>
      <c r="AB137" s="14"/>
      <c r="AC137" s="5"/>
      <c r="AG137" s="59"/>
    </row>
    <row r="138" customFormat="false" ht="14.25" hidden="false" customHeight="true" outlineLevel="0" collapsed="false">
      <c r="A138" s="29"/>
      <c r="B138" s="11"/>
      <c r="C138" s="11" t="s">
        <v>38</v>
      </c>
      <c r="D138" s="29"/>
      <c r="E138" s="4"/>
      <c r="F138" s="47" t="s">
        <v>234</v>
      </c>
      <c r="H138" s="43" t="n">
        <f aca="false">SUM(H135:H136)</f>
        <v>5709</v>
      </c>
      <c r="I138" s="44"/>
      <c r="J138" s="44"/>
      <c r="Q138" s="44" t="n">
        <f aca="false">SUM(Q135:Q136)</f>
        <v>385000</v>
      </c>
      <c r="R138" s="44"/>
      <c r="S138" s="44" t="n">
        <f aca="false">SUM(R134:R137)</f>
        <v>385000</v>
      </c>
      <c r="T138" s="44" t="n">
        <f aca="false">SUM(T135:T136)</f>
        <v>385000</v>
      </c>
      <c r="U138" s="44"/>
      <c r="V138" s="44" t="n">
        <f aca="false">SUM(V135:V136)</f>
        <v>385000</v>
      </c>
      <c r="W138" s="44"/>
      <c r="X138" s="44"/>
      <c r="Y138" s="64"/>
      <c r="Z138" s="44"/>
      <c r="AA138" s="67"/>
      <c r="AB138" s="43" t="n">
        <v>6875000</v>
      </c>
      <c r="AC138" s="5"/>
      <c r="AG138" s="59"/>
    </row>
    <row r="139" customFormat="false" ht="14.25" hidden="false" customHeight="true" outlineLevel="0" collapsed="false">
      <c r="A139" s="29"/>
      <c r="B139" s="11"/>
      <c r="C139" s="11" t="s">
        <v>38</v>
      </c>
      <c r="D139" s="29"/>
      <c r="E139" s="4"/>
      <c r="F139" s="47"/>
      <c r="H139" s="43"/>
      <c r="I139" s="44"/>
      <c r="J139" s="44"/>
      <c r="Q139" s="44"/>
      <c r="R139" s="44"/>
      <c r="S139" s="44"/>
      <c r="T139" s="44"/>
      <c r="U139" s="44"/>
      <c r="V139" s="44"/>
      <c r="W139" s="44"/>
      <c r="X139" s="44"/>
      <c r="Y139" s="64"/>
      <c r="Z139" s="44"/>
      <c r="AA139" s="67"/>
      <c r="AB139" s="66"/>
      <c r="AC139" s="5"/>
      <c r="AG139" s="59"/>
    </row>
    <row r="140" customFormat="false" ht="14.25" hidden="false" customHeight="true" outlineLevel="0" collapsed="false">
      <c r="A140" s="29"/>
      <c r="B140" s="11"/>
      <c r="C140" s="11" t="s">
        <v>38</v>
      </c>
      <c r="D140" s="29"/>
      <c r="E140" s="4"/>
      <c r="G140" s="39" t="s">
        <v>235</v>
      </c>
      <c r="I140" s="9"/>
      <c r="J140" s="9"/>
      <c r="K140" s="40"/>
      <c r="T140" s="11"/>
      <c r="U140" s="9"/>
      <c r="V140" s="11"/>
      <c r="W140" s="9"/>
      <c r="X140" s="9"/>
      <c r="Y140" s="41"/>
      <c r="Z140" s="9"/>
      <c r="AA140" s="42"/>
      <c r="AB140" s="14"/>
      <c r="AC140" s="5"/>
      <c r="AG140" s="59"/>
    </row>
    <row r="141" customFormat="false" ht="14.25" hidden="false" customHeight="true" outlineLevel="0" collapsed="false">
      <c r="A141" s="29"/>
      <c r="B141" s="11"/>
      <c r="C141" s="11" t="s">
        <v>38</v>
      </c>
      <c r="D141" s="29"/>
      <c r="E141" s="4"/>
      <c r="G141" s="81"/>
      <c r="H141" s="76"/>
      <c r="I141" s="9"/>
      <c r="J141" s="9"/>
      <c r="M141" s="80"/>
      <c r="N141" s="80"/>
      <c r="T141" s="9"/>
      <c r="U141" s="9"/>
      <c r="V141" s="9"/>
      <c r="W141" s="9"/>
      <c r="X141" s="9"/>
      <c r="Y141" s="41"/>
      <c r="Z141" s="9"/>
      <c r="AA141" s="42"/>
      <c r="AB141" s="14"/>
      <c r="AC141" s="5"/>
      <c r="AG141" s="59"/>
    </row>
    <row r="142" customFormat="false" ht="17.25" hidden="false" customHeight="true" outlineLevel="0" collapsed="false">
      <c r="A142" s="29"/>
      <c r="B142" s="11" t="s">
        <v>236</v>
      </c>
      <c r="C142" s="11" t="s">
        <v>38</v>
      </c>
      <c r="D142" s="29" t="n">
        <v>550740</v>
      </c>
      <c r="E142" s="4" t="s">
        <v>235</v>
      </c>
      <c r="F142" s="4" t="s">
        <v>112</v>
      </c>
      <c r="G142" s="5" t="s">
        <v>237</v>
      </c>
      <c r="H142" s="6" t="n">
        <v>1524</v>
      </c>
      <c r="I142" s="6" t="n">
        <f aca="false">H142</f>
        <v>1524</v>
      </c>
      <c r="J142" s="6" t="n">
        <v>1500</v>
      </c>
      <c r="K142" s="4" t="s">
        <v>238</v>
      </c>
      <c r="L142" s="7" t="n">
        <v>44833</v>
      </c>
      <c r="M142" s="8" t="n">
        <v>45928</v>
      </c>
      <c r="Q142" s="9" t="n">
        <v>72000</v>
      </c>
      <c r="R142" s="9" t="n">
        <f aca="false">Q142</f>
        <v>72000</v>
      </c>
      <c r="T142" s="9" t="n">
        <v>72000</v>
      </c>
      <c r="U142" s="9" t="n">
        <f aca="false">T142</f>
        <v>72000</v>
      </c>
      <c r="V142" s="9" t="n">
        <v>72038</v>
      </c>
      <c r="W142" s="9" t="n">
        <f aca="false">V142</f>
        <v>72038</v>
      </c>
      <c r="X142" s="45" t="n">
        <f aca="false">V142/H142</f>
        <v>47.2690288713911</v>
      </c>
      <c r="Y142" s="46" t="n">
        <f aca="false">SUM(V142-T142)/T142</f>
        <v>0.000527777777777778</v>
      </c>
      <c r="Z142" s="9" t="s">
        <v>60</v>
      </c>
      <c r="AA142" s="42"/>
      <c r="AB142" s="14"/>
      <c r="AC142" s="5" t="s">
        <v>43</v>
      </c>
      <c r="AF142" s="4" t="n">
        <v>1</v>
      </c>
      <c r="AG142" s="59" t="n">
        <v>1</v>
      </c>
    </row>
    <row r="143" customFormat="false" ht="14.25" hidden="false" customHeight="true" outlineLevel="0" collapsed="false">
      <c r="A143" s="29"/>
      <c r="B143" s="11" t="s">
        <v>236</v>
      </c>
      <c r="C143" s="11" t="s">
        <v>38</v>
      </c>
      <c r="D143" s="29" t="n">
        <v>550740</v>
      </c>
      <c r="E143" s="4" t="s">
        <v>235</v>
      </c>
      <c r="F143" s="4" t="s">
        <v>89</v>
      </c>
      <c r="G143" s="5" t="s">
        <v>40</v>
      </c>
      <c r="H143" s="6" t="n">
        <v>730</v>
      </c>
      <c r="I143" s="6" t="n">
        <f aca="false">H143</f>
        <v>730</v>
      </c>
      <c r="J143" s="6" t="n">
        <v>750</v>
      </c>
      <c r="K143" s="4" t="s">
        <v>239</v>
      </c>
      <c r="L143" s="7" t="n">
        <v>45271</v>
      </c>
      <c r="M143" s="8" t="n">
        <v>46561</v>
      </c>
      <c r="Q143" s="9" t="n">
        <v>42705</v>
      </c>
      <c r="R143" s="9" t="n">
        <f aca="false">Q143</f>
        <v>42705</v>
      </c>
      <c r="T143" s="9" t="n">
        <v>42000</v>
      </c>
      <c r="U143" s="9" t="n">
        <f aca="false">T143</f>
        <v>42000</v>
      </c>
      <c r="V143" s="9" t="n">
        <v>41975</v>
      </c>
      <c r="W143" s="9" t="n">
        <f aca="false">V143</f>
        <v>41975</v>
      </c>
      <c r="X143" s="45" t="n">
        <f aca="false">V143/H143</f>
        <v>57.5</v>
      </c>
      <c r="Y143" s="46" t="n">
        <f aca="false">SUM(V143-T143)/T143</f>
        <v>-0.000595238095238095</v>
      </c>
      <c r="Z143" s="9" t="s">
        <v>60</v>
      </c>
      <c r="AA143" s="42"/>
      <c r="AB143" s="14"/>
      <c r="AC143" s="5" t="s">
        <v>43</v>
      </c>
      <c r="AD143" s="60" t="s">
        <v>64</v>
      </c>
      <c r="AG143" s="59"/>
    </row>
    <row r="144" customFormat="false" ht="13.5" hidden="false" customHeight="false" outlineLevel="0" collapsed="false">
      <c r="A144" s="29"/>
      <c r="B144" s="11" t="s">
        <v>236</v>
      </c>
      <c r="C144" s="11" t="s">
        <v>38</v>
      </c>
      <c r="D144" s="29" t="n">
        <v>550740</v>
      </c>
      <c r="E144" s="4" t="s">
        <v>235</v>
      </c>
      <c r="F144" s="4" t="s">
        <v>93</v>
      </c>
      <c r="G144" s="5" t="s">
        <v>40</v>
      </c>
      <c r="H144" s="6" t="n">
        <v>730</v>
      </c>
      <c r="I144" s="6" t="n">
        <f aca="false">H144</f>
        <v>730</v>
      </c>
      <c r="J144" s="6" t="n">
        <v>750</v>
      </c>
      <c r="K144" s="4" t="s">
        <v>240</v>
      </c>
      <c r="L144" s="7" t="n">
        <v>44833</v>
      </c>
      <c r="M144" s="8" t="n">
        <v>46658</v>
      </c>
      <c r="Q144" s="9" t="n">
        <v>42000</v>
      </c>
      <c r="R144" s="9" t="n">
        <f aca="false">Q144</f>
        <v>42000</v>
      </c>
      <c r="T144" s="9" t="n">
        <v>42000</v>
      </c>
      <c r="U144" s="9" t="n">
        <f aca="false">T144</f>
        <v>42000</v>
      </c>
      <c r="V144" s="9" t="n">
        <v>41975</v>
      </c>
      <c r="W144" s="9" t="n">
        <f aca="false">V144</f>
        <v>41975</v>
      </c>
      <c r="X144" s="45" t="n">
        <f aca="false">V144/H144</f>
        <v>57.5</v>
      </c>
      <c r="Y144" s="46" t="n">
        <f aca="false">SUM(V144-T144)/T144</f>
        <v>-0.000595238095238095</v>
      </c>
      <c r="Z144" s="9" t="s">
        <v>60</v>
      </c>
      <c r="AA144" s="42"/>
      <c r="AB144" s="14"/>
      <c r="AC144" s="5" t="s">
        <v>43</v>
      </c>
      <c r="AG144" s="59"/>
    </row>
    <row r="145" customFormat="false" ht="19.5" hidden="false" customHeight="true" outlineLevel="0" collapsed="false">
      <c r="A145" s="29"/>
      <c r="B145" s="11" t="s">
        <v>236</v>
      </c>
      <c r="C145" s="11" t="s">
        <v>38</v>
      </c>
      <c r="D145" s="29" t="n">
        <v>550740</v>
      </c>
      <c r="E145" s="4" t="s">
        <v>235</v>
      </c>
      <c r="F145" s="4" t="s">
        <v>94</v>
      </c>
      <c r="G145" s="5" t="s">
        <v>40</v>
      </c>
      <c r="H145" s="6" t="n">
        <v>730</v>
      </c>
      <c r="I145" s="6" t="n">
        <f aca="false">H145</f>
        <v>730</v>
      </c>
      <c r="J145" s="6" t="n">
        <v>750</v>
      </c>
      <c r="K145" s="4" t="s">
        <v>239</v>
      </c>
      <c r="L145" s="7" t="n">
        <v>45271</v>
      </c>
      <c r="M145" s="8" t="n">
        <v>46561</v>
      </c>
      <c r="Q145" s="9" t="n">
        <v>42705</v>
      </c>
      <c r="R145" s="9" t="n">
        <f aca="false">Q145</f>
        <v>42705</v>
      </c>
      <c r="T145" s="9" t="n">
        <v>42000</v>
      </c>
      <c r="U145" s="9" t="n">
        <f aca="false">T145</f>
        <v>42000</v>
      </c>
      <c r="V145" s="9" t="n">
        <v>41975</v>
      </c>
      <c r="W145" s="9" t="n">
        <f aca="false">V145</f>
        <v>41975</v>
      </c>
      <c r="X145" s="45" t="n">
        <f aca="false">V145/H145</f>
        <v>57.5</v>
      </c>
      <c r="Y145" s="46" t="n">
        <f aca="false">SUM(V145-T145)/T145</f>
        <v>-0.000595238095238095</v>
      </c>
      <c r="Z145" s="9" t="s">
        <v>60</v>
      </c>
      <c r="AA145" s="42"/>
      <c r="AB145" s="14"/>
      <c r="AC145" s="5" t="s">
        <v>43</v>
      </c>
      <c r="AD145" s="60" t="s">
        <v>64</v>
      </c>
      <c r="AG145" s="59"/>
    </row>
    <row r="146" customFormat="false" ht="13.5" hidden="false" customHeight="false" outlineLevel="0" collapsed="false">
      <c r="A146" s="29"/>
      <c r="B146" s="11" t="s">
        <v>236</v>
      </c>
      <c r="C146" s="11" t="s">
        <v>38</v>
      </c>
      <c r="D146" s="29" t="n">
        <v>550740</v>
      </c>
      <c r="E146" s="4" t="s">
        <v>235</v>
      </c>
      <c r="F146" s="4" t="s">
        <v>241</v>
      </c>
      <c r="G146" s="5" t="s">
        <v>242</v>
      </c>
      <c r="H146" s="6" t="n">
        <v>1180</v>
      </c>
      <c r="I146" s="6" t="n">
        <f aca="false">H146</f>
        <v>1180</v>
      </c>
      <c r="J146" s="6" t="n">
        <v>1000</v>
      </c>
      <c r="K146" s="4" t="s">
        <v>243</v>
      </c>
      <c r="L146" s="7" t="n">
        <v>45480</v>
      </c>
      <c r="M146" s="8" t="n">
        <v>45844</v>
      </c>
      <c r="Q146" s="9" t="n">
        <v>65000</v>
      </c>
      <c r="R146" s="9" t="n">
        <f aca="false">Q146</f>
        <v>65000</v>
      </c>
      <c r="T146" s="9" t="n">
        <v>61360</v>
      </c>
      <c r="U146" s="9" t="n">
        <f aca="false">T146</f>
        <v>61360</v>
      </c>
      <c r="V146" s="9" t="n">
        <v>63177</v>
      </c>
      <c r="W146" s="9" t="n">
        <f aca="false">V146</f>
        <v>63177</v>
      </c>
      <c r="X146" s="45" t="n">
        <f aca="false">V146/H146</f>
        <v>53.5398305084746</v>
      </c>
      <c r="Y146" s="46" t="n">
        <f aca="false">SUM(V146-T146)/T146</f>
        <v>0.0296121251629726</v>
      </c>
      <c r="Z146" s="9" t="s">
        <v>42</v>
      </c>
      <c r="AA146" s="42"/>
      <c r="AB146" s="14"/>
      <c r="AC146" s="5" t="s">
        <v>43</v>
      </c>
      <c r="AD146" s="4" t="s">
        <v>244</v>
      </c>
      <c r="AG146" s="59"/>
    </row>
    <row r="147" customFormat="false" ht="14.25" hidden="false" customHeight="true" outlineLevel="0" collapsed="false">
      <c r="A147" s="29"/>
      <c r="B147" s="11"/>
      <c r="C147" s="11" t="s">
        <v>38</v>
      </c>
      <c r="D147" s="29"/>
      <c r="E147" s="4"/>
      <c r="T147" s="9"/>
      <c r="U147" s="9"/>
      <c r="V147" s="9"/>
      <c r="W147" s="9"/>
      <c r="X147" s="9"/>
      <c r="Y147" s="41"/>
      <c r="Z147" s="9"/>
      <c r="AA147" s="42"/>
      <c r="AB147" s="14"/>
      <c r="AC147" s="5"/>
      <c r="AG147" s="59"/>
    </row>
    <row r="148" customFormat="false" ht="14.25" hidden="false" customHeight="true" outlineLevel="0" collapsed="false">
      <c r="A148" s="29"/>
      <c r="B148" s="11"/>
      <c r="C148" s="11" t="s">
        <v>38</v>
      </c>
      <c r="D148" s="29"/>
      <c r="E148" s="4"/>
      <c r="F148" s="47" t="s">
        <v>245</v>
      </c>
      <c r="H148" s="43" t="n">
        <f aca="false">SUM(H142:H146)</f>
        <v>4894</v>
      </c>
      <c r="I148" s="44"/>
      <c r="J148" s="44"/>
      <c r="Q148" s="44" t="n">
        <f aca="false">SUM(Q142:Q146)</f>
        <v>264410</v>
      </c>
      <c r="R148" s="44"/>
      <c r="S148" s="44" t="n">
        <f aca="false">SUM(R141:R147)</f>
        <v>264410</v>
      </c>
      <c r="T148" s="44" t="n">
        <f aca="false">SUM(T142:T146)</f>
        <v>259360</v>
      </c>
      <c r="U148" s="44"/>
      <c r="V148" s="44" t="n">
        <f aca="false">SUM(V142:V146)</f>
        <v>261140</v>
      </c>
      <c r="W148" s="44"/>
      <c r="X148" s="44"/>
      <c r="Y148" s="64"/>
      <c r="Z148" s="44"/>
      <c r="AA148" s="67"/>
      <c r="AB148" s="43" t="n">
        <v>4300000</v>
      </c>
      <c r="AC148" s="5"/>
      <c r="AG148" s="59"/>
    </row>
    <row r="149" customFormat="false" ht="14.25" hidden="false" customHeight="true" outlineLevel="0" collapsed="false">
      <c r="A149" s="29"/>
      <c r="B149" s="11"/>
      <c r="C149" s="11" t="s">
        <v>38</v>
      </c>
      <c r="D149" s="29"/>
      <c r="E149" s="4"/>
      <c r="H149" s="43"/>
      <c r="I149" s="44"/>
      <c r="J149" s="44"/>
      <c r="Q149" s="44"/>
      <c r="R149" s="44"/>
      <c r="S149" s="44"/>
      <c r="T149" s="44"/>
      <c r="U149" s="44"/>
      <c r="V149" s="44"/>
      <c r="W149" s="44"/>
      <c r="X149" s="44"/>
      <c r="Y149" s="64"/>
      <c r="Z149" s="44"/>
      <c r="AA149" s="67"/>
      <c r="AB149" s="66"/>
      <c r="AC149" s="5"/>
      <c r="AG149" s="59"/>
    </row>
    <row r="150" customFormat="false" ht="14.25" hidden="false" customHeight="true" outlineLevel="0" collapsed="false">
      <c r="A150" s="29"/>
      <c r="B150" s="11"/>
      <c r="C150" s="11" t="s">
        <v>38</v>
      </c>
      <c r="D150" s="29"/>
      <c r="E150" s="4"/>
      <c r="G150" s="39" t="s">
        <v>246</v>
      </c>
      <c r="I150" s="9"/>
      <c r="J150" s="9"/>
      <c r="K150" s="40"/>
      <c r="T150" s="11"/>
      <c r="U150" s="9"/>
      <c r="V150" s="11"/>
      <c r="W150" s="9"/>
      <c r="X150" s="9"/>
      <c r="Y150" s="41"/>
      <c r="Z150" s="9"/>
      <c r="AA150" s="42"/>
      <c r="AB150" s="14"/>
      <c r="AC150" s="5"/>
      <c r="AG150" s="59"/>
    </row>
    <row r="151" customFormat="false" ht="14.25" hidden="false" customHeight="true" outlineLevel="0" collapsed="false">
      <c r="A151" s="29"/>
      <c r="B151" s="11"/>
      <c r="C151" s="11" t="s">
        <v>38</v>
      </c>
      <c r="D151" s="29"/>
      <c r="E151" s="4"/>
      <c r="F151" s="82"/>
      <c r="G151" s="81"/>
      <c r="H151" s="83"/>
      <c r="I151" s="84"/>
      <c r="J151" s="84"/>
      <c r="K151" s="85"/>
      <c r="L151" s="80"/>
      <c r="M151" s="86"/>
      <c r="N151" s="86"/>
      <c r="O151" s="86"/>
      <c r="P151" s="86"/>
      <c r="Q151" s="84"/>
      <c r="R151" s="84"/>
      <c r="S151" s="84"/>
      <c r="T151" s="87"/>
      <c r="U151" s="84"/>
      <c r="V151" s="87"/>
      <c r="W151" s="84"/>
      <c r="X151" s="84"/>
      <c r="Y151" s="88"/>
      <c r="Z151" s="84"/>
      <c r="AA151" s="89"/>
      <c r="AB151" s="90"/>
      <c r="AC151" s="5"/>
      <c r="AD151" s="91"/>
      <c r="AE151" s="92"/>
      <c r="AF151" s="91"/>
      <c r="AG151" s="93"/>
      <c r="AH151" s="91"/>
    </row>
    <row r="152" customFormat="false" ht="24" hidden="false" customHeight="true" outlineLevel="0" collapsed="false">
      <c r="A152" s="29"/>
      <c r="B152" s="11" t="s">
        <v>189</v>
      </c>
      <c r="C152" s="11" t="s">
        <v>38</v>
      </c>
      <c r="D152" s="29" t="n">
        <v>550840</v>
      </c>
      <c r="E152" s="4" t="s">
        <v>246</v>
      </c>
      <c r="F152" s="4" t="s">
        <v>247</v>
      </c>
      <c r="G152" s="5" t="s">
        <v>90</v>
      </c>
      <c r="H152" s="43" t="n">
        <v>2313</v>
      </c>
      <c r="I152" s="9" t="n">
        <f aca="false">H152</f>
        <v>2313</v>
      </c>
      <c r="J152" s="9" t="n">
        <v>2250</v>
      </c>
      <c r="K152" s="4" t="s">
        <v>248</v>
      </c>
      <c r="L152" s="7" t="n">
        <v>42339</v>
      </c>
      <c r="M152" s="8" t="n">
        <v>45991</v>
      </c>
      <c r="O152" s="8" t="n">
        <v>44166</v>
      </c>
      <c r="Q152" s="44" t="n">
        <v>112000</v>
      </c>
      <c r="R152" s="9" t="n">
        <f aca="false">Q152</f>
        <v>112000</v>
      </c>
      <c r="S152" s="44" t="n">
        <f aca="false">R152</f>
        <v>112000</v>
      </c>
      <c r="T152" s="43" t="n">
        <v>106600</v>
      </c>
      <c r="U152" s="9" t="n">
        <f aca="false">T152</f>
        <v>106600</v>
      </c>
      <c r="V152" s="43" t="n">
        <v>102100</v>
      </c>
      <c r="W152" s="9" t="n">
        <f aca="false">V152</f>
        <v>102100</v>
      </c>
      <c r="X152" s="45" t="n">
        <f aca="false">V152/H152</f>
        <v>44.1418071768266</v>
      </c>
      <c r="Y152" s="46" t="n">
        <f aca="false">SUM(V152-T152)/T152</f>
        <v>-0.0422138836772983</v>
      </c>
      <c r="Z152" s="9" t="s">
        <v>127</v>
      </c>
      <c r="AA152" s="42"/>
      <c r="AB152" s="43" t="n">
        <v>1750000</v>
      </c>
      <c r="AC152" s="5" t="s">
        <v>43</v>
      </c>
      <c r="AG152" s="59"/>
    </row>
    <row r="153" customFormat="false" ht="14.25" hidden="false" customHeight="true" outlineLevel="0" collapsed="false">
      <c r="A153" s="29"/>
      <c r="B153" s="11"/>
      <c r="C153" s="11" t="s">
        <v>38</v>
      </c>
      <c r="D153" s="29"/>
      <c r="E153" s="4"/>
      <c r="H153" s="43"/>
      <c r="I153" s="44"/>
      <c r="J153" s="44"/>
      <c r="Q153" s="44"/>
      <c r="R153" s="44"/>
      <c r="S153" s="44"/>
      <c r="T153" s="43"/>
      <c r="U153" s="44"/>
      <c r="V153" s="43"/>
      <c r="W153" s="44"/>
      <c r="X153" s="44"/>
      <c r="Y153" s="64"/>
      <c r="Z153" s="44"/>
      <c r="AA153" s="67"/>
      <c r="AB153" s="66"/>
      <c r="AC153" s="5"/>
      <c r="AG153" s="59"/>
    </row>
    <row r="154" customFormat="false" ht="14.25" hidden="false" customHeight="true" outlineLevel="0" collapsed="false">
      <c r="A154" s="29"/>
      <c r="B154" s="11"/>
      <c r="C154" s="11" t="s">
        <v>38</v>
      </c>
      <c r="D154" s="29"/>
      <c r="E154" s="4"/>
      <c r="G154" s="39" t="s">
        <v>249</v>
      </c>
      <c r="I154" s="9"/>
      <c r="J154" s="9"/>
      <c r="K154" s="40"/>
      <c r="T154" s="11"/>
      <c r="U154" s="9"/>
      <c r="V154" s="11"/>
      <c r="W154" s="9"/>
      <c r="X154" s="9"/>
      <c r="Y154" s="41"/>
      <c r="Z154" s="9"/>
      <c r="AA154" s="42"/>
      <c r="AB154" s="14"/>
      <c r="AC154" s="5"/>
      <c r="AG154" s="59"/>
    </row>
    <row r="155" customFormat="false" ht="14.25" hidden="false" customHeight="true" outlineLevel="0" collapsed="false">
      <c r="A155" s="29"/>
      <c r="B155" s="11"/>
      <c r="C155" s="11" t="s">
        <v>38</v>
      </c>
      <c r="D155" s="29"/>
      <c r="E155" s="4"/>
      <c r="G155" s="39"/>
      <c r="I155" s="9"/>
      <c r="J155" s="9"/>
      <c r="K155" s="40"/>
      <c r="T155" s="11"/>
      <c r="U155" s="9"/>
      <c r="V155" s="11"/>
      <c r="W155" s="9"/>
      <c r="X155" s="9"/>
      <c r="Y155" s="41"/>
      <c r="Z155" s="9"/>
      <c r="AA155" s="42"/>
      <c r="AB155" s="14"/>
      <c r="AC155" s="5"/>
      <c r="AG155" s="59"/>
    </row>
    <row r="156" customFormat="false" ht="13.5" hidden="false" customHeight="false" outlineLevel="0" collapsed="false">
      <c r="A156" s="29"/>
      <c r="B156" s="11" t="s">
        <v>236</v>
      </c>
      <c r="C156" s="11" t="s">
        <v>38</v>
      </c>
      <c r="D156" s="29" t="n">
        <v>550830</v>
      </c>
      <c r="E156" s="4" t="s">
        <v>249</v>
      </c>
      <c r="F156" s="4" t="s">
        <v>250</v>
      </c>
      <c r="G156" s="11" t="s">
        <v>251</v>
      </c>
      <c r="H156" s="6" t="n">
        <v>4259</v>
      </c>
      <c r="I156" s="6" t="n">
        <f aca="false">H156</f>
        <v>4259</v>
      </c>
      <c r="J156" s="6" t="n">
        <v>4250</v>
      </c>
      <c r="K156" s="4" t="s">
        <v>252</v>
      </c>
      <c r="L156" s="7" t="n">
        <v>44967</v>
      </c>
      <c r="M156" s="8" t="n">
        <v>48619</v>
      </c>
      <c r="O156" s="8" t="n">
        <v>46793</v>
      </c>
      <c r="P156" s="8" t="n">
        <v>46792</v>
      </c>
      <c r="Q156" s="9" t="n">
        <v>215000</v>
      </c>
      <c r="R156" s="9" t="n">
        <f aca="false">Q156</f>
        <v>215000</v>
      </c>
      <c r="T156" s="6" t="n">
        <v>215000</v>
      </c>
      <c r="U156" s="9" t="n">
        <f aca="false">T156</f>
        <v>215000</v>
      </c>
      <c r="V156" s="6" t="n">
        <v>215000</v>
      </c>
      <c r="W156" s="9" t="n">
        <f aca="false">V156</f>
        <v>215000</v>
      </c>
      <c r="X156" s="45" t="n">
        <f aca="false">V156/H156</f>
        <v>50.4813336463959</v>
      </c>
      <c r="Y156" s="46" t="n">
        <f aca="false">SUM(V156-T156)/T156</f>
        <v>0</v>
      </c>
      <c r="Z156" s="9" t="s">
        <v>42</v>
      </c>
      <c r="AA156" s="56"/>
      <c r="AB156" s="14"/>
      <c r="AC156" s="5" t="s">
        <v>43</v>
      </c>
      <c r="AD156" s="4" t="s">
        <v>77</v>
      </c>
      <c r="AG156" s="59"/>
    </row>
    <row r="157" customFormat="false" ht="13.5" hidden="false" customHeight="false" outlineLevel="0" collapsed="false">
      <c r="A157" s="29"/>
      <c r="B157" s="11" t="s">
        <v>236</v>
      </c>
      <c r="C157" s="11" t="s">
        <v>38</v>
      </c>
      <c r="D157" s="29" t="n">
        <v>550830</v>
      </c>
      <c r="E157" s="4" t="s">
        <v>249</v>
      </c>
      <c r="F157" s="4" t="s">
        <v>89</v>
      </c>
      <c r="G157" s="11" t="s">
        <v>40</v>
      </c>
      <c r="H157" s="6" t="n">
        <v>1902</v>
      </c>
      <c r="I157" s="6" t="n">
        <f aca="false">H157</f>
        <v>1902</v>
      </c>
      <c r="J157" s="6" t="n">
        <v>2000</v>
      </c>
      <c r="K157" s="4" t="s">
        <v>252</v>
      </c>
      <c r="L157" s="7" t="n">
        <v>44967</v>
      </c>
      <c r="M157" s="8" t="n">
        <v>48619</v>
      </c>
      <c r="O157" s="8" t="n">
        <v>46793</v>
      </c>
      <c r="P157" s="8" t="n">
        <v>46792</v>
      </c>
      <c r="Q157" s="9" t="n">
        <v>109620</v>
      </c>
      <c r="R157" s="9" t="n">
        <f aca="false">Q157</f>
        <v>109620</v>
      </c>
      <c r="T157" s="6" t="n">
        <v>109620</v>
      </c>
      <c r="U157" s="9" t="n">
        <f aca="false">T157</f>
        <v>109620</v>
      </c>
      <c r="V157" s="6" t="n">
        <v>123600</v>
      </c>
      <c r="W157" s="9" t="n">
        <f aca="false">V157</f>
        <v>123600</v>
      </c>
      <c r="X157" s="45" t="n">
        <f aca="false">V157/H157</f>
        <v>64.9842271293375</v>
      </c>
      <c r="Y157" s="46" t="n">
        <f aca="false">SUM(V157-T157)/T157</f>
        <v>0.127531472359059</v>
      </c>
      <c r="Z157" s="9" t="s">
        <v>42</v>
      </c>
      <c r="AA157" s="42"/>
      <c r="AB157" s="14"/>
      <c r="AC157" s="5" t="s">
        <v>43</v>
      </c>
      <c r="AD157" s="4" t="s">
        <v>77</v>
      </c>
      <c r="AG157" s="59"/>
    </row>
    <row r="158" customFormat="false" ht="14.25" hidden="false" customHeight="true" outlineLevel="0" collapsed="false">
      <c r="A158" s="29"/>
      <c r="B158" s="11" t="s">
        <v>236</v>
      </c>
      <c r="C158" s="11" t="s">
        <v>38</v>
      </c>
      <c r="D158" s="29" t="n">
        <v>550830</v>
      </c>
      <c r="E158" s="4" t="s">
        <v>249</v>
      </c>
      <c r="F158" s="4" t="s">
        <v>93</v>
      </c>
      <c r="G158" s="11" t="s">
        <v>40</v>
      </c>
      <c r="H158" s="6" t="n">
        <v>1440</v>
      </c>
      <c r="I158" s="6" t="n">
        <f aca="false">H158</f>
        <v>1440</v>
      </c>
      <c r="J158" s="6" t="n">
        <v>1500</v>
      </c>
      <c r="K158" s="4" t="s">
        <v>67</v>
      </c>
      <c r="N158" s="8" t="n">
        <v>44593</v>
      </c>
      <c r="Q158" s="9" t="n">
        <v>0</v>
      </c>
      <c r="R158" s="9" t="n">
        <f aca="false">Q158</f>
        <v>0</v>
      </c>
      <c r="T158" s="6" t="n">
        <v>79800</v>
      </c>
      <c r="U158" s="9" t="n">
        <f aca="false">T158</f>
        <v>79800</v>
      </c>
      <c r="V158" s="6" t="n">
        <v>93600</v>
      </c>
      <c r="W158" s="9" t="n">
        <f aca="false">V158</f>
        <v>93600</v>
      </c>
      <c r="X158" s="45" t="n">
        <f aca="false">V158/H158</f>
        <v>65</v>
      </c>
      <c r="Y158" s="46" t="n">
        <f aca="false">SUM(V158-T158)/T158</f>
        <v>0.172932330827068</v>
      </c>
      <c r="Z158" s="9" t="s">
        <v>60</v>
      </c>
      <c r="AA158" s="42"/>
      <c r="AB158" s="14"/>
      <c r="AC158" s="5" t="s">
        <v>43</v>
      </c>
      <c r="AD158" s="4" t="s">
        <v>119</v>
      </c>
      <c r="AG158" s="59"/>
    </row>
    <row r="159" customFormat="false" ht="14.25" hidden="false" customHeight="true" outlineLevel="0" collapsed="false">
      <c r="A159" s="29"/>
      <c r="B159" s="11" t="s">
        <v>236</v>
      </c>
      <c r="C159" s="11" t="s">
        <v>38</v>
      </c>
      <c r="D159" s="29" t="n">
        <v>550830</v>
      </c>
      <c r="E159" s="4" t="s">
        <v>249</v>
      </c>
      <c r="F159" s="4" t="s">
        <v>94</v>
      </c>
      <c r="G159" s="11" t="s">
        <v>40</v>
      </c>
      <c r="H159" s="6" t="n">
        <v>1433</v>
      </c>
      <c r="I159" s="6" t="n">
        <f aca="false">H159</f>
        <v>1433</v>
      </c>
      <c r="J159" s="6" t="n">
        <v>1500</v>
      </c>
      <c r="K159" s="4" t="s">
        <v>67</v>
      </c>
      <c r="N159" s="8" t="n">
        <v>43313</v>
      </c>
      <c r="Q159" s="9" t="n">
        <v>0</v>
      </c>
      <c r="R159" s="9" t="n">
        <f aca="false">Q159</f>
        <v>0</v>
      </c>
      <c r="T159" s="6" t="n">
        <v>79750</v>
      </c>
      <c r="U159" s="9" t="n">
        <f aca="false">T159</f>
        <v>79750</v>
      </c>
      <c r="V159" s="6" t="n">
        <v>93100</v>
      </c>
      <c r="W159" s="9" t="n">
        <f aca="false">V159</f>
        <v>93100</v>
      </c>
      <c r="X159" s="45" t="n">
        <f aca="false">V159/H159</f>
        <v>64.9685973482205</v>
      </c>
      <c r="Y159" s="46" t="n">
        <f aca="false">SUM(V159-T159)/T159</f>
        <v>0.167398119122257</v>
      </c>
      <c r="Z159" s="9" t="s">
        <v>60</v>
      </c>
      <c r="AA159" s="42"/>
      <c r="AB159" s="14"/>
      <c r="AC159" s="5" t="s">
        <v>43</v>
      </c>
      <c r="AD159" s="4" t="s">
        <v>119</v>
      </c>
      <c r="AG159" s="59"/>
    </row>
    <row r="160" customFormat="false" ht="14.25" hidden="false" customHeight="true" outlineLevel="0" collapsed="false">
      <c r="A160" s="29"/>
      <c r="B160" s="11" t="s">
        <v>236</v>
      </c>
      <c r="C160" s="11" t="s">
        <v>38</v>
      </c>
      <c r="D160" s="29" t="n">
        <v>550830</v>
      </c>
      <c r="E160" s="4" t="s">
        <v>249</v>
      </c>
      <c r="F160" s="4" t="s">
        <v>118</v>
      </c>
      <c r="G160" s="11" t="s">
        <v>40</v>
      </c>
      <c r="H160" s="6" t="n">
        <v>1480</v>
      </c>
      <c r="I160" s="6" t="n">
        <f aca="false">H160</f>
        <v>1480</v>
      </c>
      <c r="J160" s="6" t="n">
        <v>1500</v>
      </c>
      <c r="K160" s="4" t="s">
        <v>67</v>
      </c>
      <c r="N160" s="8" t="n">
        <v>44409</v>
      </c>
      <c r="Q160" s="9" t="n">
        <v>0</v>
      </c>
      <c r="R160" s="9" t="n">
        <f aca="false">Q160</f>
        <v>0</v>
      </c>
      <c r="T160" s="6" t="n">
        <v>79800</v>
      </c>
      <c r="U160" s="9" t="n">
        <f aca="false">T160</f>
        <v>79800</v>
      </c>
      <c r="V160" s="6" t="n">
        <v>96200</v>
      </c>
      <c r="W160" s="9" t="n">
        <f aca="false">V160</f>
        <v>96200</v>
      </c>
      <c r="X160" s="45" t="n">
        <f aca="false">V160/H160</f>
        <v>65</v>
      </c>
      <c r="Y160" s="46" t="n">
        <f aca="false">SUM(V160-T160)/T160</f>
        <v>0.205513784461153</v>
      </c>
      <c r="Z160" s="9" t="s">
        <v>127</v>
      </c>
      <c r="AA160" s="42"/>
      <c r="AB160" s="14"/>
      <c r="AC160" s="5" t="s">
        <v>43</v>
      </c>
      <c r="AD160" s="4" t="s">
        <v>119</v>
      </c>
      <c r="AG160" s="59"/>
    </row>
    <row r="161" customFormat="false" ht="13.5" hidden="false" customHeight="false" outlineLevel="0" collapsed="false">
      <c r="A161" s="29"/>
      <c r="B161" s="11" t="s">
        <v>236</v>
      </c>
      <c r="C161" s="11" t="s">
        <v>38</v>
      </c>
      <c r="D161" s="29" t="n">
        <v>550830</v>
      </c>
      <c r="E161" s="4" t="s">
        <v>249</v>
      </c>
      <c r="F161" s="4" t="s">
        <v>180</v>
      </c>
      <c r="G161" s="11" t="s">
        <v>40</v>
      </c>
      <c r="H161" s="6" t="n">
        <v>784</v>
      </c>
      <c r="I161" s="6" t="n">
        <f aca="false">H161</f>
        <v>784</v>
      </c>
      <c r="J161" s="6" t="n">
        <v>750</v>
      </c>
      <c r="K161" s="4" t="s">
        <v>67</v>
      </c>
      <c r="N161" s="8" t="n">
        <v>44734</v>
      </c>
      <c r="Q161" s="9" t="n">
        <v>0</v>
      </c>
      <c r="R161" s="9" t="n">
        <f aca="false">Q161</f>
        <v>0</v>
      </c>
      <c r="T161" s="6" t="n">
        <v>39030</v>
      </c>
      <c r="U161" s="9" t="n">
        <f aca="false">T161</f>
        <v>39030</v>
      </c>
      <c r="V161" s="6" t="n">
        <v>49000</v>
      </c>
      <c r="W161" s="9" t="n">
        <f aca="false">V161</f>
        <v>49000</v>
      </c>
      <c r="X161" s="45" t="n">
        <f aca="false">V161/H161</f>
        <v>62.5</v>
      </c>
      <c r="Y161" s="46" t="n">
        <f aca="false">SUM(V161-T161)/T161</f>
        <v>0.255444529848834</v>
      </c>
      <c r="Z161" s="9" t="s">
        <v>60</v>
      </c>
      <c r="AA161" s="42"/>
      <c r="AB161" s="14"/>
      <c r="AC161" s="5" t="s">
        <v>43</v>
      </c>
      <c r="AD161" s="4" t="s">
        <v>119</v>
      </c>
      <c r="AG161" s="59"/>
    </row>
    <row r="162" customFormat="false" ht="14.25" hidden="false" customHeight="true" outlineLevel="0" collapsed="false">
      <c r="A162" s="29"/>
      <c r="B162" s="11"/>
      <c r="C162" s="11" t="s">
        <v>38</v>
      </c>
      <c r="D162" s="29"/>
      <c r="E162" s="4"/>
      <c r="G162" s="11"/>
      <c r="T162" s="6"/>
      <c r="U162" s="9"/>
      <c r="V162" s="6"/>
      <c r="W162" s="9"/>
      <c r="X162" s="9"/>
      <c r="Y162" s="41"/>
      <c r="Z162" s="9"/>
      <c r="AA162" s="42"/>
      <c r="AB162" s="14"/>
      <c r="AC162" s="5"/>
      <c r="AG162" s="59"/>
    </row>
    <row r="163" customFormat="false" ht="14.25" hidden="false" customHeight="true" outlineLevel="0" collapsed="false">
      <c r="A163" s="29"/>
      <c r="B163" s="11"/>
      <c r="C163" s="11" t="s">
        <v>38</v>
      </c>
      <c r="D163" s="29"/>
      <c r="E163" s="4"/>
      <c r="F163" s="47" t="s">
        <v>249</v>
      </c>
      <c r="G163" s="11"/>
      <c r="H163" s="43" t="n">
        <f aca="false">SUM(H156:H161)</f>
        <v>11298</v>
      </c>
      <c r="I163" s="44"/>
      <c r="J163" s="44"/>
      <c r="K163" s="94"/>
      <c r="L163" s="77"/>
      <c r="Q163" s="43" t="n">
        <f aca="false">SUM(Q156:Q161)</f>
        <v>324620</v>
      </c>
      <c r="R163" s="43"/>
      <c r="S163" s="44" t="n">
        <f aca="false">SUM(R156:R162)</f>
        <v>324620</v>
      </c>
      <c r="T163" s="43" t="n">
        <f aca="false">SUM(T156:T161)</f>
        <v>603000</v>
      </c>
      <c r="U163" s="44"/>
      <c r="V163" s="43" t="n">
        <f aca="false">SUM(V156:V161)</f>
        <v>670500</v>
      </c>
      <c r="W163" s="44"/>
      <c r="X163" s="44"/>
      <c r="Y163" s="64"/>
      <c r="Z163" s="44"/>
      <c r="AA163" s="67"/>
      <c r="AB163" s="43" t="n">
        <v>9750000</v>
      </c>
      <c r="AC163" s="5"/>
      <c r="AF163" s="60"/>
      <c r="AG163" s="62"/>
      <c r="AH163" s="60"/>
    </row>
    <row r="164" customFormat="false" ht="14.25" hidden="false" customHeight="true" outlineLevel="0" collapsed="false">
      <c r="A164" s="29"/>
      <c r="B164" s="11"/>
      <c r="C164" s="11" t="s">
        <v>38</v>
      </c>
      <c r="D164" s="29"/>
      <c r="E164" s="4"/>
      <c r="I164" s="9"/>
      <c r="J164" s="9"/>
      <c r="T164" s="11"/>
      <c r="U164" s="9"/>
      <c r="V164" s="11"/>
      <c r="W164" s="9"/>
      <c r="X164" s="9"/>
      <c r="Y164" s="41"/>
      <c r="Z164" s="9"/>
      <c r="AA164" s="42"/>
      <c r="AB164" s="14"/>
      <c r="AC164" s="5"/>
      <c r="AG164" s="59"/>
    </row>
    <row r="165" customFormat="false" ht="14.25" hidden="false" customHeight="true" outlineLevel="0" collapsed="false">
      <c r="A165" s="29"/>
      <c r="B165" s="11"/>
      <c r="C165" s="11" t="s">
        <v>38</v>
      </c>
      <c r="D165" s="29"/>
      <c r="E165" s="4"/>
      <c r="G165" s="39" t="s">
        <v>253</v>
      </c>
      <c r="I165" s="9"/>
      <c r="J165" s="9"/>
      <c r="K165" s="40"/>
      <c r="T165" s="11"/>
      <c r="U165" s="9"/>
      <c r="V165" s="11"/>
      <c r="W165" s="9"/>
      <c r="X165" s="9"/>
      <c r="Y165" s="41"/>
      <c r="Z165" s="9"/>
      <c r="AA165" s="42"/>
      <c r="AB165" s="14"/>
      <c r="AC165" s="5"/>
      <c r="AG165" s="59"/>
    </row>
    <row r="166" customFormat="false" ht="14.25" hidden="false" customHeight="true" outlineLevel="0" collapsed="false">
      <c r="A166" s="29"/>
      <c r="B166" s="11"/>
      <c r="C166" s="11" t="s">
        <v>38</v>
      </c>
      <c r="D166" s="29"/>
      <c r="E166" s="4"/>
      <c r="G166" s="39"/>
      <c r="H166" s="76"/>
      <c r="I166" s="9"/>
      <c r="J166" s="9"/>
      <c r="T166" s="9"/>
      <c r="U166" s="9"/>
      <c r="V166" s="9"/>
      <c r="W166" s="9"/>
      <c r="X166" s="9"/>
      <c r="Y166" s="41"/>
      <c r="Z166" s="9"/>
      <c r="AA166" s="42"/>
      <c r="AB166" s="14"/>
      <c r="AC166" s="5"/>
      <c r="AG166" s="59"/>
    </row>
    <row r="167" customFormat="false" ht="24" hidden="false" customHeight="true" outlineLevel="0" collapsed="false">
      <c r="A167" s="29"/>
      <c r="B167" s="11" t="s">
        <v>47</v>
      </c>
      <c r="C167" s="11" t="s">
        <v>38</v>
      </c>
      <c r="D167" s="29" t="n">
        <v>550600</v>
      </c>
      <c r="E167" s="4" t="s">
        <v>253</v>
      </c>
      <c r="F167" s="4" t="s">
        <v>254</v>
      </c>
      <c r="G167" s="5" t="s">
        <v>237</v>
      </c>
      <c r="H167" s="6" t="n">
        <v>1449</v>
      </c>
      <c r="I167" s="6" t="n">
        <f aca="false">H167</f>
        <v>1449</v>
      </c>
      <c r="J167" s="6" t="n">
        <v>1500</v>
      </c>
      <c r="K167" s="4" t="s">
        <v>255</v>
      </c>
      <c r="L167" s="7" t="n">
        <v>45624</v>
      </c>
      <c r="M167" s="8" t="n">
        <v>49275</v>
      </c>
      <c r="Q167" s="9" t="n">
        <v>70000</v>
      </c>
      <c r="R167" s="9" t="n">
        <f aca="false">Q167</f>
        <v>70000</v>
      </c>
      <c r="T167" s="9" t="n">
        <v>76500</v>
      </c>
      <c r="U167" s="9" t="n">
        <f aca="false">T167</f>
        <v>76500</v>
      </c>
      <c r="V167" s="9" t="n">
        <v>76800</v>
      </c>
      <c r="W167" s="9" t="n">
        <f aca="false">V167</f>
        <v>76800</v>
      </c>
      <c r="X167" s="45" t="n">
        <f aca="false">V167/H167</f>
        <v>53.0020703933747</v>
      </c>
      <c r="Y167" s="46" t="n">
        <f aca="false">SUM(V167-T167)/T167</f>
        <v>0.00392156862745098</v>
      </c>
      <c r="Z167" s="9" t="s">
        <v>42</v>
      </c>
      <c r="AA167" s="42"/>
      <c r="AB167" s="14"/>
      <c r="AC167" s="5" t="s">
        <v>43</v>
      </c>
      <c r="AD167" s="4" t="s">
        <v>256</v>
      </c>
      <c r="AE167" s="58"/>
      <c r="AG167" s="59"/>
    </row>
    <row r="168" customFormat="false" ht="28.5" hidden="false" customHeight="true" outlineLevel="0" collapsed="false">
      <c r="A168" s="29"/>
      <c r="B168" s="11" t="s">
        <v>47</v>
      </c>
      <c r="C168" s="11" t="s">
        <v>38</v>
      </c>
      <c r="D168" s="29" t="n">
        <v>550600</v>
      </c>
      <c r="E168" s="4" t="s">
        <v>253</v>
      </c>
      <c r="F168" s="4" t="s">
        <v>257</v>
      </c>
      <c r="G168" s="5" t="s">
        <v>258</v>
      </c>
      <c r="H168" s="6" t="n">
        <v>1550</v>
      </c>
      <c r="I168" s="6" t="n">
        <f aca="false">H168</f>
        <v>1550</v>
      </c>
      <c r="J168" s="6" t="n">
        <v>1500</v>
      </c>
      <c r="K168" s="4" t="s">
        <v>259</v>
      </c>
      <c r="L168" s="7" t="n">
        <v>43293</v>
      </c>
      <c r="M168" s="8" t="n">
        <v>46214</v>
      </c>
      <c r="Q168" s="9" t="n">
        <v>120000</v>
      </c>
      <c r="R168" s="9" t="n">
        <f aca="false">Q168</f>
        <v>120000</v>
      </c>
      <c r="T168" s="9" t="n">
        <v>81000</v>
      </c>
      <c r="U168" s="9" t="n">
        <f aca="false">T168</f>
        <v>81000</v>
      </c>
      <c r="V168" s="9" t="n">
        <v>97300</v>
      </c>
      <c r="W168" s="9" t="n">
        <f aca="false">V168</f>
        <v>97300</v>
      </c>
      <c r="X168" s="45" t="n">
        <f aca="false">V168/H168</f>
        <v>62.7741935483871</v>
      </c>
      <c r="Y168" s="46" t="n">
        <f aca="false">SUM(V168-T168)/T168</f>
        <v>0.201234567901235</v>
      </c>
      <c r="Z168" s="9" t="s">
        <v>42</v>
      </c>
      <c r="AA168" s="42"/>
      <c r="AB168" s="14"/>
      <c r="AC168" s="5" t="s">
        <v>43</v>
      </c>
      <c r="AG168" s="59"/>
    </row>
    <row r="169" customFormat="false" ht="13.5" hidden="false" customHeight="false" outlineLevel="0" collapsed="false">
      <c r="A169" s="29"/>
      <c r="B169" s="11" t="s">
        <v>47</v>
      </c>
      <c r="C169" s="11" t="s">
        <v>38</v>
      </c>
      <c r="D169" s="29" t="n">
        <v>550600</v>
      </c>
      <c r="E169" s="4" t="s">
        <v>253</v>
      </c>
      <c r="F169" s="4" t="s">
        <v>260</v>
      </c>
      <c r="G169" s="5" t="s">
        <v>40</v>
      </c>
      <c r="H169" s="6" t="n">
        <v>3441</v>
      </c>
      <c r="I169" s="6" t="n">
        <f aca="false">H169</f>
        <v>3441</v>
      </c>
      <c r="J169" s="6" t="n">
        <v>3500</v>
      </c>
      <c r="K169" s="4" t="s">
        <v>261</v>
      </c>
      <c r="L169" s="7" t="n">
        <v>44358</v>
      </c>
      <c r="M169" s="8" t="n">
        <v>48009</v>
      </c>
      <c r="O169" s="8" t="n">
        <v>46184</v>
      </c>
      <c r="P169" s="8" t="n">
        <v>46183</v>
      </c>
      <c r="Q169" s="9" t="n">
        <v>189000</v>
      </c>
      <c r="R169" s="9" t="n">
        <f aca="false">Q169</f>
        <v>189000</v>
      </c>
      <c r="T169" s="9" t="n">
        <v>189300</v>
      </c>
      <c r="U169" s="9" t="n">
        <f aca="false">T169</f>
        <v>189300</v>
      </c>
      <c r="V169" s="9" t="n">
        <v>189300</v>
      </c>
      <c r="W169" s="9" t="n">
        <f aca="false">V169</f>
        <v>189300</v>
      </c>
      <c r="X169" s="45" t="n">
        <f aca="false">V169/H169</f>
        <v>55.0130775937228</v>
      </c>
      <c r="Y169" s="46" t="n">
        <f aca="false">SUM(V169-T169)/T169</f>
        <v>0</v>
      </c>
      <c r="Z169" s="9" t="s">
        <v>127</v>
      </c>
      <c r="AA169" s="42"/>
      <c r="AB169" s="14"/>
      <c r="AC169" s="5" t="s">
        <v>43</v>
      </c>
      <c r="AD169" s="4" t="s">
        <v>262</v>
      </c>
      <c r="AG169" s="59"/>
    </row>
    <row r="170" customFormat="false" ht="14.25" hidden="false" customHeight="true" outlineLevel="0" collapsed="false">
      <c r="A170" s="29"/>
      <c r="B170" s="11"/>
      <c r="C170" s="11" t="s">
        <v>38</v>
      </c>
      <c r="D170" s="29"/>
      <c r="E170" s="4"/>
      <c r="I170" s="9"/>
      <c r="J170" s="9"/>
      <c r="T170" s="9"/>
      <c r="U170" s="9"/>
      <c r="V170" s="9"/>
      <c r="W170" s="9"/>
      <c r="X170" s="9"/>
      <c r="Y170" s="41"/>
      <c r="Z170" s="9"/>
      <c r="AA170" s="42"/>
      <c r="AB170" s="14"/>
      <c r="AC170" s="5"/>
      <c r="AG170" s="59"/>
    </row>
    <row r="171" customFormat="false" ht="14.25" hidden="false" customHeight="true" outlineLevel="0" collapsed="false">
      <c r="A171" s="29"/>
      <c r="B171" s="11"/>
      <c r="C171" s="11" t="s">
        <v>38</v>
      </c>
      <c r="D171" s="29"/>
      <c r="E171" s="4"/>
      <c r="F171" s="47" t="s">
        <v>253</v>
      </c>
      <c r="H171" s="43" t="n">
        <f aca="false">SUM(H167:H169)</f>
        <v>6440</v>
      </c>
      <c r="I171" s="44"/>
      <c r="J171" s="44"/>
      <c r="Q171" s="44" t="n">
        <f aca="false">SUM(Q167:Q169)</f>
        <v>379000</v>
      </c>
      <c r="R171" s="44"/>
      <c r="S171" s="44" t="n">
        <f aca="false">SUM(R166:R169)</f>
        <v>379000</v>
      </c>
      <c r="T171" s="44" t="n">
        <f aca="false">SUM(T167:T169)</f>
        <v>346800</v>
      </c>
      <c r="U171" s="44"/>
      <c r="V171" s="44" t="n">
        <f aca="false">SUM(V167:V169)</f>
        <v>363400</v>
      </c>
      <c r="W171" s="44"/>
      <c r="X171" s="44"/>
      <c r="Y171" s="64"/>
      <c r="Z171" s="44"/>
      <c r="AA171" s="67"/>
      <c r="AB171" s="43" t="n">
        <v>5950000</v>
      </c>
      <c r="AC171" s="5"/>
      <c r="AF171" s="60"/>
      <c r="AG171" s="62"/>
      <c r="AH171" s="60"/>
    </row>
    <row r="172" customFormat="false" ht="14.25" hidden="false" customHeight="true" outlineLevel="0" collapsed="false">
      <c r="A172" s="29"/>
      <c r="B172" s="11"/>
      <c r="C172" s="11" t="s">
        <v>38</v>
      </c>
      <c r="D172" s="29"/>
      <c r="E172" s="4"/>
      <c r="F172" s="47"/>
      <c r="H172" s="43"/>
      <c r="I172" s="44"/>
      <c r="J172" s="44"/>
      <c r="Q172" s="44"/>
      <c r="R172" s="44"/>
      <c r="S172" s="44"/>
      <c r="T172" s="44"/>
      <c r="U172" s="44"/>
      <c r="V172" s="44"/>
      <c r="W172" s="44"/>
      <c r="X172" s="44"/>
      <c r="Y172" s="64"/>
      <c r="Z172" s="44"/>
      <c r="AA172" s="67"/>
      <c r="AB172" s="66"/>
      <c r="AC172" s="5"/>
      <c r="AG172" s="59"/>
    </row>
    <row r="173" customFormat="false" ht="14.25" hidden="false" customHeight="true" outlineLevel="0" collapsed="false">
      <c r="A173" s="29"/>
      <c r="B173" s="11"/>
      <c r="C173" s="11" t="s">
        <v>38</v>
      </c>
      <c r="D173" s="29"/>
      <c r="E173" s="4"/>
      <c r="G173" s="39" t="s">
        <v>263</v>
      </c>
      <c r="I173" s="9"/>
      <c r="J173" s="9"/>
      <c r="K173" s="40"/>
      <c r="T173" s="11"/>
      <c r="U173" s="9"/>
      <c r="V173" s="11"/>
      <c r="W173" s="9"/>
      <c r="X173" s="9"/>
      <c r="Y173" s="41"/>
      <c r="Z173" s="9"/>
      <c r="AA173" s="42"/>
      <c r="AB173" s="14"/>
      <c r="AC173" s="5"/>
      <c r="AG173" s="59"/>
    </row>
    <row r="174" customFormat="false" ht="14.25" hidden="false" customHeight="true" outlineLevel="0" collapsed="false">
      <c r="A174" s="29"/>
      <c r="B174" s="11"/>
      <c r="C174" s="11" t="s">
        <v>38</v>
      </c>
      <c r="D174" s="29"/>
      <c r="E174" s="4"/>
      <c r="I174" s="9"/>
      <c r="J174" s="9"/>
      <c r="T174" s="9"/>
      <c r="U174" s="9"/>
      <c r="V174" s="9"/>
      <c r="W174" s="9"/>
      <c r="X174" s="9"/>
      <c r="Y174" s="41"/>
      <c r="Z174" s="9"/>
      <c r="AA174" s="42"/>
      <c r="AB174" s="14"/>
      <c r="AC174" s="5"/>
      <c r="AG174" s="59"/>
    </row>
    <row r="175" customFormat="false" ht="19.4" hidden="false" customHeight="false" outlineLevel="0" collapsed="false">
      <c r="A175" s="29"/>
      <c r="B175" s="11" t="s">
        <v>189</v>
      </c>
      <c r="C175" s="11" t="s">
        <v>38</v>
      </c>
      <c r="D175" s="29" t="n">
        <v>550990</v>
      </c>
      <c r="E175" s="4" t="s">
        <v>263</v>
      </c>
      <c r="F175" s="4" t="s">
        <v>264</v>
      </c>
      <c r="G175" s="5" t="s">
        <v>49</v>
      </c>
      <c r="H175" s="6" t="n">
        <v>1361</v>
      </c>
      <c r="I175" s="6" t="n">
        <f aca="false">H175</f>
        <v>1361</v>
      </c>
      <c r="K175" s="4" t="s">
        <v>265</v>
      </c>
      <c r="L175" s="7" t="n">
        <v>45352</v>
      </c>
      <c r="M175" s="8" t="n">
        <v>49003</v>
      </c>
      <c r="O175" s="8" t="n">
        <v>47178</v>
      </c>
      <c r="P175" s="8" t="n">
        <v>47177</v>
      </c>
      <c r="Q175" s="9" t="n">
        <v>60000</v>
      </c>
      <c r="R175" s="9" t="n">
        <f aca="false">Q175</f>
        <v>60000</v>
      </c>
      <c r="T175" s="9" t="n">
        <v>55600</v>
      </c>
      <c r="U175" s="9" t="n">
        <f aca="false">T175</f>
        <v>55600</v>
      </c>
      <c r="V175" s="9" t="n">
        <v>59000</v>
      </c>
      <c r="W175" s="9" t="n">
        <f aca="false">V175</f>
        <v>59000</v>
      </c>
      <c r="X175" s="45" t="n">
        <f aca="false">V175/H175</f>
        <v>43.3504775900073</v>
      </c>
      <c r="Y175" s="46" t="n">
        <f aca="false">SUM(V175-T175)/T175</f>
        <v>0.0611510791366907</v>
      </c>
      <c r="Z175" s="9" t="s">
        <v>55</v>
      </c>
      <c r="AA175" s="42"/>
      <c r="AB175" s="14"/>
      <c r="AC175" s="5" t="s">
        <v>43</v>
      </c>
      <c r="AD175" s="4" t="s">
        <v>266</v>
      </c>
      <c r="AG175" s="59"/>
    </row>
    <row r="176" customFormat="false" ht="14.25" hidden="false" customHeight="true" outlineLevel="0" collapsed="false">
      <c r="A176" s="29"/>
      <c r="B176" s="11" t="s">
        <v>189</v>
      </c>
      <c r="C176" s="11" t="s">
        <v>38</v>
      </c>
      <c r="D176" s="29" t="n">
        <v>550990</v>
      </c>
      <c r="E176" s="4" t="s">
        <v>263</v>
      </c>
      <c r="F176" s="4" t="s">
        <v>89</v>
      </c>
      <c r="G176" s="5" t="s">
        <v>40</v>
      </c>
      <c r="H176" s="6" t="n">
        <v>552</v>
      </c>
      <c r="I176" s="6" t="n">
        <f aca="false">H176</f>
        <v>552</v>
      </c>
      <c r="K176" s="4" t="s">
        <v>267</v>
      </c>
      <c r="L176" s="7" t="n">
        <v>45579</v>
      </c>
      <c r="M176" s="8" t="n">
        <v>47404</v>
      </c>
      <c r="P176" s="8" t="n">
        <v>46673</v>
      </c>
      <c r="Q176" s="9" t="n">
        <v>33000</v>
      </c>
      <c r="R176" s="9" t="n">
        <f aca="false">Q176</f>
        <v>33000</v>
      </c>
      <c r="T176" s="9" t="n">
        <v>29700</v>
      </c>
      <c r="U176" s="9" t="n">
        <f aca="false">T176</f>
        <v>29700</v>
      </c>
      <c r="V176" s="9" t="n">
        <v>30400</v>
      </c>
      <c r="W176" s="9" t="n">
        <f aca="false">V176</f>
        <v>30400</v>
      </c>
      <c r="X176" s="45" t="n">
        <f aca="false">V176/H176</f>
        <v>55.0724637681159</v>
      </c>
      <c r="Y176" s="46" t="n">
        <f aca="false">SUM(V176-T176)/T176</f>
        <v>0.0235690235690236</v>
      </c>
      <c r="Z176" s="9" t="s">
        <v>60</v>
      </c>
      <c r="AA176" s="42"/>
      <c r="AB176" s="14"/>
      <c r="AC176" s="5" t="s">
        <v>43</v>
      </c>
      <c r="AD176" s="4" t="s">
        <v>77</v>
      </c>
      <c r="AE176" s="58"/>
      <c r="AG176" s="59"/>
    </row>
    <row r="177" customFormat="false" ht="14.25" hidden="false" customHeight="true" outlineLevel="0" collapsed="false">
      <c r="A177" s="29"/>
      <c r="B177" s="11" t="s">
        <v>189</v>
      </c>
      <c r="C177" s="11" t="s">
        <v>38</v>
      </c>
      <c r="D177" s="29" t="n">
        <v>550990</v>
      </c>
      <c r="E177" s="4" t="s">
        <v>263</v>
      </c>
      <c r="F177" s="4" t="s">
        <v>93</v>
      </c>
      <c r="G177" s="5" t="s">
        <v>40</v>
      </c>
      <c r="H177" s="6" t="n">
        <v>304</v>
      </c>
      <c r="I177" s="6" t="n">
        <f aca="false">H177</f>
        <v>304</v>
      </c>
      <c r="J177" s="6" t="n">
        <v>250</v>
      </c>
      <c r="K177" s="4" t="s">
        <v>67</v>
      </c>
      <c r="N177" s="8" t="n">
        <v>43256</v>
      </c>
      <c r="Q177" s="9" t="n">
        <v>0</v>
      </c>
      <c r="R177" s="9" t="n">
        <f aca="false">Q177</f>
        <v>0</v>
      </c>
      <c r="T177" s="9" t="n">
        <v>15800</v>
      </c>
      <c r="U177" s="9" t="n">
        <f aca="false">T177</f>
        <v>15800</v>
      </c>
      <c r="V177" s="9" t="n">
        <v>16700</v>
      </c>
      <c r="W177" s="9" t="n">
        <f aca="false">V177</f>
        <v>16700</v>
      </c>
      <c r="X177" s="45" t="n">
        <f aca="false">V177/H177</f>
        <v>54.9342105263158</v>
      </c>
      <c r="Y177" s="46" t="n">
        <f aca="false">SUM(V177-T177)/T177</f>
        <v>0.0569620253164557</v>
      </c>
      <c r="Z177" s="9" t="s">
        <v>60</v>
      </c>
      <c r="AA177" s="42"/>
      <c r="AB177" s="14"/>
      <c r="AC177" s="5" t="s">
        <v>43</v>
      </c>
      <c r="AD177" s="4" t="s">
        <v>119</v>
      </c>
      <c r="AG177" s="59"/>
    </row>
    <row r="178" customFormat="false" ht="13.5" hidden="false" customHeight="false" outlineLevel="0" collapsed="false">
      <c r="A178" s="29"/>
      <c r="B178" s="11" t="s">
        <v>189</v>
      </c>
      <c r="C178" s="11" t="s">
        <v>38</v>
      </c>
      <c r="D178" s="29" t="n">
        <v>550990</v>
      </c>
      <c r="E178" s="4" t="s">
        <v>263</v>
      </c>
      <c r="F178" s="4" t="s">
        <v>94</v>
      </c>
      <c r="G178" s="5" t="s">
        <v>40</v>
      </c>
      <c r="H178" s="6" t="n">
        <v>314</v>
      </c>
      <c r="I178" s="6" t="n">
        <f aca="false">H178</f>
        <v>314</v>
      </c>
      <c r="K178" s="4" t="s">
        <v>268</v>
      </c>
      <c r="L178" s="7" t="n">
        <v>45476</v>
      </c>
      <c r="M178" s="8" t="n">
        <v>47301</v>
      </c>
      <c r="P178" s="8" t="n">
        <v>46570</v>
      </c>
      <c r="Q178" s="9" t="n">
        <v>17500</v>
      </c>
      <c r="R178" s="9" t="n">
        <f aca="false">Q178</f>
        <v>17500</v>
      </c>
      <c r="T178" s="9" t="n">
        <v>15000</v>
      </c>
      <c r="U178" s="9" t="n">
        <f aca="false">T178</f>
        <v>15000</v>
      </c>
      <c r="V178" s="9" t="n">
        <v>18100</v>
      </c>
      <c r="W178" s="9" t="n">
        <f aca="false">V178</f>
        <v>18100</v>
      </c>
      <c r="X178" s="45" t="n">
        <f aca="false">V178/H178</f>
        <v>57.6433121019108</v>
      </c>
      <c r="Y178" s="46" t="n">
        <f aca="false">SUM(V178-T178)/T178</f>
        <v>0.206666666666667</v>
      </c>
      <c r="Z178" s="9" t="s">
        <v>42</v>
      </c>
      <c r="AA178" s="42"/>
      <c r="AB178" s="14"/>
      <c r="AC178" s="5" t="s">
        <v>43</v>
      </c>
      <c r="AD178" s="4" t="s">
        <v>269</v>
      </c>
      <c r="AF178" s="60"/>
      <c r="AG178" s="62"/>
      <c r="AH178" s="60"/>
    </row>
    <row r="179" customFormat="false" ht="18" hidden="false" customHeight="true" outlineLevel="0" collapsed="false">
      <c r="A179" s="29"/>
      <c r="B179" s="11" t="s">
        <v>189</v>
      </c>
      <c r="C179" s="11" t="s">
        <v>38</v>
      </c>
      <c r="D179" s="29" t="n">
        <v>550990</v>
      </c>
      <c r="E179" s="4" t="s">
        <v>263</v>
      </c>
      <c r="F179" s="4" t="s">
        <v>118</v>
      </c>
      <c r="G179" s="5" t="s">
        <v>40</v>
      </c>
      <c r="H179" s="6" t="n">
        <v>314</v>
      </c>
      <c r="I179" s="6" t="n">
        <f aca="false">H179</f>
        <v>314</v>
      </c>
      <c r="K179" s="4" t="s">
        <v>270</v>
      </c>
      <c r="L179" s="7" t="n">
        <v>45754</v>
      </c>
      <c r="M179" s="8" t="n">
        <v>46849</v>
      </c>
      <c r="Q179" s="9" t="n">
        <v>17500</v>
      </c>
      <c r="R179" s="9" t="n">
        <f aca="false">Q179</f>
        <v>17500</v>
      </c>
      <c r="T179" s="9" t="n">
        <v>15500</v>
      </c>
      <c r="U179" s="9" t="n">
        <f aca="false">T179</f>
        <v>15500</v>
      </c>
      <c r="V179" s="9" t="n">
        <v>17300</v>
      </c>
      <c r="W179" s="9" t="n">
        <f aca="false">V179</f>
        <v>17300</v>
      </c>
      <c r="X179" s="45" t="n">
        <f aca="false">V179/H179</f>
        <v>55.0955414012739</v>
      </c>
      <c r="Y179" s="46" t="n">
        <f aca="false">SUM(V179-T179)/T179</f>
        <v>0.116129032258065</v>
      </c>
      <c r="Z179" s="9" t="s">
        <v>42</v>
      </c>
      <c r="AA179" s="42"/>
      <c r="AB179" s="14"/>
      <c r="AC179" s="5" t="s">
        <v>43</v>
      </c>
      <c r="AG179" s="59"/>
    </row>
    <row r="180" customFormat="false" ht="13.5" hidden="false" customHeight="false" outlineLevel="0" collapsed="false">
      <c r="A180" s="29"/>
      <c r="B180" s="11" t="s">
        <v>189</v>
      </c>
      <c r="C180" s="11" t="s">
        <v>38</v>
      </c>
      <c r="D180" s="29" t="n">
        <v>550990</v>
      </c>
      <c r="E180" s="4" t="s">
        <v>263</v>
      </c>
      <c r="F180" s="4" t="s">
        <v>180</v>
      </c>
      <c r="G180" s="5" t="s">
        <v>40</v>
      </c>
      <c r="H180" s="6" t="n">
        <v>309</v>
      </c>
      <c r="I180" s="6" t="n">
        <f aca="false">H180</f>
        <v>309</v>
      </c>
      <c r="K180" s="4" t="s">
        <v>271</v>
      </c>
      <c r="L180" s="7" t="n">
        <v>44767</v>
      </c>
      <c r="M180" s="8" t="n">
        <v>45862</v>
      </c>
      <c r="Q180" s="9" t="n">
        <v>16000</v>
      </c>
      <c r="R180" s="9" t="n">
        <f aca="false">Q180</f>
        <v>16000</v>
      </c>
      <c r="T180" s="9" t="n">
        <v>15000</v>
      </c>
      <c r="U180" s="9" t="n">
        <f aca="false">T180</f>
        <v>15000</v>
      </c>
      <c r="V180" s="9" t="n">
        <v>15500</v>
      </c>
      <c r="W180" s="9" t="n">
        <f aca="false">V180</f>
        <v>15500</v>
      </c>
      <c r="X180" s="45" t="n">
        <f aca="false">V180/H180</f>
        <v>50.1618122977346</v>
      </c>
      <c r="Y180" s="46" t="n">
        <f aca="false">SUM(V180-T180)/T180</f>
        <v>0.0333333333333333</v>
      </c>
      <c r="Z180" s="9" t="s">
        <v>42</v>
      </c>
      <c r="AA180" s="42"/>
      <c r="AB180" s="14"/>
      <c r="AC180" s="5" t="s">
        <v>43</v>
      </c>
      <c r="AD180" s="4" t="s">
        <v>272</v>
      </c>
      <c r="AG180" s="59"/>
    </row>
    <row r="181" customFormat="false" ht="14.25" hidden="false" customHeight="true" outlineLevel="0" collapsed="false">
      <c r="A181" s="29"/>
      <c r="B181" s="11"/>
      <c r="C181" s="11" t="s">
        <v>38</v>
      </c>
      <c r="D181" s="29"/>
      <c r="E181" s="4"/>
      <c r="I181" s="9"/>
      <c r="J181" s="9"/>
      <c r="T181" s="9"/>
      <c r="U181" s="9"/>
      <c r="V181" s="9"/>
      <c r="W181" s="9"/>
      <c r="X181" s="9"/>
      <c r="Y181" s="41"/>
      <c r="Z181" s="9"/>
      <c r="AA181" s="42"/>
      <c r="AB181" s="43"/>
      <c r="AC181" s="5"/>
      <c r="AG181" s="59"/>
    </row>
    <row r="182" customFormat="false" ht="14.25" hidden="false" customHeight="true" outlineLevel="0" collapsed="false">
      <c r="A182" s="29"/>
      <c r="B182" s="11"/>
      <c r="C182" s="11" t="s">
        <v>38</v>
      </c>
      <c r="D182" s="29"/>
      <c r="E182" s="4"/>
      <c r="F182" s="47" t="s">
        <v>273</v>
      </c>
      <c r="H182" s="43" t="n">
        <f aca="false">SUM(H175:H180)</f>
        <v>3154</v>
      </c>
      <c r="I182" s="44"/>
      <c r="J182" s="44"/>
      <c r="Q182" s="44" t="n">
        <f aca="false">SUM(Q175:Q180)</f>
        <v>144000</v>
      </c>
      <c r="R182" s="44"/>
      <c r="S182" s="44" t="n">
        <f aca="false">SUM(R174:R181)</f>
        <v>144000</v>
      </c>
      <c r="T182" s="44" t="n">
        <f aca="false">SUM(T175:T180)</f>
        <v>146600</v>
      </c>
      <c r="U182" s="44"/>
      <c r="V182" s="44" t="n">
        <f aca="false">SUM(V175:V180)</f>
        <v>157000</v>
      </c>
      <c r="W182" s="44"/>
      <c r="X182" s="44"/>
      <c r="Y182" s="64"/>
      <c r="Z182" s="44"/>
      <c r="AA182" s="67"/>
      <c r="AB182" s="43" t="n">
        <v>2325000</v>
      </c>
      <c r="AC182" s="5"/>
      <c r="AF182" s="60"/>
      <c r="AG182" s="62"/>
      <c r="AH182" s="60"/>
    </row>
    <row r="183" customFormat="false" ht="14.25" hidden="false" customHeight="true" outlineLevel="0" collapsed="false">
      <c r="A183" s="29"/>
      <c r="B183" s="11"/>
      <c r="C183" s="11" t="s">
        <v>38</v>
      </c>
      <c r="D183" s="29"/>
      <c r="E183" s="4"/>
      <c r="F183" s="47"/>
      <c r="H183" s="43"/>
      <c r="I183" s="44"/>
      <c r="J183" s="44"/>
      <c r="Q183" s="44"/>
      <c r="R183" s="44"/>
      <c r="S183" s="44"/>
      <c r="T183" s="44"/>
      <c r="U183" s="44"/>
      <c r="V183" s="44"/>
      <c r="W183" s="44"/>
      <c r="X183" s="44"/>
      <c r="Y183" s="64"/>
      <c r="Z183" s="44"/>
      <c r="AA183" s="67"/>
      <c r="AB183" s="66"/>
      <c r="AC183" s="5"/>
      <c r="AG183" s="59"/>
    </row>
    <row r="184" customFormat="false" ht="14.25" hidden="false" customHeight="true" outlineLevel="0" collapsed="false">
      <c r="A184" s="29"/>
      <c r="B184" s="11"/>
      <c r="C184" s="11" t="s">
        <v>38</v>
      </c>
      <c r="D184" s="29"/>
      <c r="E184" s="4"/>
      <c r="G184" s="39" t="s">
        <v>273</v>
      </c>
      <c r="I184" s="9"/>
      <c r="J184" s="9"/>
      <c r="K184" s="40"/>
      <c r="T184" s="11"/>
      <c r="U184" s="9"/>
      <c r="V184" s="11"/>
      <c r="W184" s="9"/>
      <c r="X184" s="9"/>
      <c r="Y184" s="41"/>
      <c r="Z184" s="9"/>
      <c r="AA184" s="42"/>
      <c r="AB184" s="14"/>
      <c r="AC184" s="5"/>
      <c r="AG184" s="59"/>
    </row>
    <row r="185" customFormat="false" ht="14.25" hidden="false" customHeight="true" outlineLevel="0" collapsed="false">
      <c r="A185" s="29"/>
      <c r="B185" s="11"/>
      <c r="C185" s="11" t="s">
        <v>38</v>
      </c>
      <c r="D185" s="29"/>
      <c r="E185" s="4"/>
      <c r="I185" s="9"/>
      <c r="J185" s="9"/>
      <c r="T185" s="9"/>
      <c r="U185" s="9"/>
      <c r="V185" s="9"/>
      <c r="W185" s="9"/>
      <c r="X185" s="9"/>
      <c r="Y185" s="41"/>
      <c r="Z185" s="9"/>
      <c r="AA185" s="42"/>
      <c r="AB185" s="14"/>
      <c r="AC185" s="5"/>
      <c r="AG185" s="59"/>
    </row>
    <row r="186" customFormat="false" ht="13.5" hidden="false" customHeight="false" outlineLevel="0" collapsed="false">
      <c r="A186" s="29"/>
      <c r="B186" s="11" t="s">
        <v>106</v>
      </c>
      <c r="C186" s="11" t="s">
        <v>38</v>
      </c>
      <c r="D186" s="29" t="n">
        <v>550700</v>
      </c>
      <c r="E186" s="4" t="s">
        <v>273</v>
      </c>
      <c r="F186" s="4" t="s">
        <v>264</v>
      </c>
      <c r="G186" s="5" t="s">
        <v>49</v>
      </c>
      <c r="H186" s="6" t="n">
        <v>750</v>
      </c>
      <c r="I186" s="6" t="n">
        <f aca="false">H186</f>
        <v>750</v>
      </c>
      <c r="K186" s="4" t="s">
        <v>274</v>
      </c>
      <c r="L186" s="7" t="n">
        <v>45377</v>
      </c>
      <c r="M186" s="8" t="n">
        <v>49028</v>
      </c>
      <c r="O186" s="8" t="n">
        <v>47203</v>
      </c>
      <c r="Q186" s="9" t="n">
        <v>45000</v>
      </c>
      <c r="R186" s="9" t="n">
        <f aca="false">Q186</f>
        <v>45000</v>
      </c>
      <c r="T186" s="9" t="n">
        <v>39000</v>
      </c>
      <c r="U186" s="9" t="n">
        <f aca="false">T186</f>
        <v>39000</v>
      </c>
      <c r="V186" s="9" t="n">
        <v>39000</v>
      </c>
      <c r="W186" s="9" t="n">
        <f aca="false">V186</f>
        <v>39000</v>
      </c>
      <c r="X186" s="45" t="n">
        <f aca="false">V186/H186</f>
        <v>52</v>
      </c>
      <c r="Y186" s="46" t="n">
        <f aca="false">SUM(V186-T186)/T186</f>
        <v>0</v>
      </c>
      <c r="Z186" s="9" t="s">
        <v>60</v>
      </c>
      <c r="AA186" s="42"/>
      <c r="AB186" s="14"/>
      <c r="AC186" s="5" t="s">
        <v>43</v>
      </c>
    </row>
    <row r="187" customFormat="false" ht="14.25" hidden="false" customHeight="true" outlineLevel="0" collapsed="false">
      <c r="A187" s="29"/>
      <c r="B187" s="11" t="s">
        <v>106</v>
      </c>
      <c r="C187" s="11" t="s">
        <v>38</v>
      </c>
      <c r="D187" s="29" t="n">
        <v>550700</v>
      </c>
      <c r="E187" s="4" t="s">
        <v>273</v>
      </c>
      <c r="F187" s="4" t="s">
        <v>89</v>
      </c>
      <c r="G187" s="5" t="s">
        <v>40</v>
      </c>
      <c r="H187" s="6" t="n">
        <v>325</v>
      </c>
      <c r="I187" s="6" t="n">
        <f aca="false">H187</f>
        <v>325</v>
      </c>
      <c r="J187" s="6" t="n">
        <v>500</v>
      </c>
      <c r="K187" s="4" t="s">
        <v>67</v>
      </c>
      <c r="N187" s="8" t="n">
        <v>45282</v>
      </c>
      <c r="Q187" s="9" t="n">
        <v>0</v>
      </c>
      <c r="R187" s="9" t="n">
        <f aca="false">Q187</f>
        <v>0</v>
      </c>
      <c r="T187" s="9" t="n">
        <v>17100</v>
      </c>
      <c r="U187" s="9" t="n">
        <f aca="false">T187</f>
        <v>17100</v>
      </c>
      <c r="V187" s="9" t="n">
        <v>17100</v>
      </c>
      <c r="W187" s="9" t="n">
        <f aca="false">V187</f>
        <v>17100</v>
      </c>
      <c r="X187" s="45" t="n">
        <f aca="false">V187/H187</f>
        <v>52.6153846153846</v>
      </c>
      <c r="Y187" s="46" t="n">
        <f aca="false">SUM(V187-T187)/T187</f>
        <v>0</v>
      </c>
      <c r="Z187" s="9" t="s">
        <v>127</v>
      </c>
      <c r="AA187" s="42"/>
      <c r="AB187" s="14"/>
      <c r="AC187" s="5" t="s">
        <v>43</v>
      </c>
      <c r="AD187" s="4" t="s">
        <v>119</v>
      </c>
      <c r="AE187" s="15" t="n">
        <v>58</v>
      </c>
      <c r="AG187" s="59" t="n">
        <v>4</v>
      </c>
    </row>
    <row r="188" customFormat="false" ht="13.5" hidden="false" customHeight="false" outlineLevel="0" collapsed="false">
      <c r="A188" s="29"/>
      <c r="B188" s="11" t="s">
        <v>106</v>
      </c>
      <c r="C188" s="11" t="s">
        <v>38</v>
      </c>
      <c r="D188" s="29" t="n">
        <v>550700</v>
      </c>
      <c r="E188" s="4" t="s">
        <v>273</v>
      </c>
      <c r="F188" s="4" t="s">
        <v>93</v>
      </c>
      <c r="G188" s="5" t="s">
        <v>40</v>
      </c>
      <c r="H188" s="6" t="n">
        <v>325</v>
      </c>
      <c r="I188" s="6" t="n">
        <f aca="false">H188</f>
        <v>325</v>
      </c>
      <c r="J188" s="6" t="n">
        <v>500</v>
      </c>
      <c r="K188" s="4" t="s">
        <v>275</v>
      </c>
      <c r="L188" s="7" t="n">
        <v>45698</v>
      </c>
      <c r="M188" s="8" t="n">
        <v>46427</v>
      </c>
      <c r="Q188" s="9" t="n">
        <v>22069</v>
      </c>
      <c r="R188" s="9" t="n">
        <f aca="false">Q188</f>
        <v>22069</v>
      </c>
      <c r="T188" s="9" t="n">
        <v>17100</v>
      </c>
      <c r="U188" s="9" t="n">
        <f aca="false">T188</f>
        <v>17100</v>
      </c>
      <c r="V188" s="9" t="n">
        <v>17100</v>
      </c>
      <c r="W188" s="9" t="n">
        <f aca="false">V188</f>
        <v>17100</v>
      </c>
      <c r="X188" s="45" t="n">
        <f aca="false">V188/H188</f>
        <v>52.6153846153846</v>
      </c>
      <c r="Y188" s="46" t="n">
        <f aca="false">SUM(V188-T188)/T188</f>
        <v>0</v>
      </c>
      <c r="Z188" s="9" t="s">
        <v>60</v>
      </c>
      <c r="AA188" s="42"/>
      <c r="AB188" s="14"/>
      <c r="AC188" s="5" t="s">
        <v>43</v>
      </c>
      <c r="AD188" s="4" t="s">
        <v>276</v>
      </c>
      <c r="AG188" s="59" t="n">
        <v>1</v>
      </c>
    </row>
    <row r="189" customFormat="false" ht="13.5" hidden="false" customHeight="false" outlineLevel="0" collapsed="false">
      <c r="A189" s="29"/>
      <c r="B189" s="11" t="s">
        <v>106</v>
      </c>
      <c r="C189" s="11" t="s">
        <v>38</v>
      </c>
      <c r="D189" s="29" t="n">
        <v>550700</v>
      </c>
      <c r="E189" s="4" t="s">
        <v>273</v>
      </c>
      <c r="F189" s="4" t="s">
        <v>94</v>
      </c>
      <c r="G189" s="5" t="s">
        <v>40</v>
      </c>
      <c r="H189" s="6" t="n">
        <v>325</v>
      </c>
      <c r="I189" s="6" t="n">
        <f aca="false">H189</f>
        <v>325</v>
      </c>
      <c r="J189" s="6" t="n">
        <v>500</v>
      </c>
      <c r="K189" s="4" t="s">
        <v>67</v>
      </c>
      <c r="N189" s="8" t="n">
        <v>44714</v>
      </c>
      <c r="Q189" s="9" t="n">
        <v>0</v>
      </c>
      <c r="R189" s="9" t="n">
        <f aca="false">Q189</f>
        <v>0</v>
      </c>
      <c r="T189" s="9" t="n">
        <v>16300</v>
      </c>
      <c r="U189" s="9" t="n">
        <f aca="false">T189</f>
        <v>16300</v>
      </c>
      <c r="V189" s="9" t="n">
        <v>16300</v>
      </c>
      <c r="W189" s="9" t="n">
        <f aca="false">V189</f>
        <v>16300</v>
      </c>
      <c r="X189" s="45" t="n">
        <f aca="false">V189/H189</f>
        <v>50.1538461538462</v>
      </c>
      <c r="Y189" s="46" t="n">
        <f aca="false">SUM(V189-T189)/T189</f>
        <v>0</v>
      </c>
      <c r="Z189" s="9" t="s">
        <v>42</v>
      </c>
      <c r="AA189" s="42"/>
      <c r="AB189" s="14"/>
      <c r="AC189" s="5" t="s">
        <v>43</v>
      </c>
      <c r="AD189" s="4" t="s">
        <v>119</v>
      </c>
      <c r="AE189" s="15" t="n">
        <v>52.5</v>
      </c>
      <c r="AG189" s="59"/>
    </row>
    <row r="190" customFormat="false" ht="14.25" hidden="false" customHeight="true" outlineLevel="0" collapsed="false">
      <c r="A190" s="29"/>
      <c r="B190" s="11"/>
      <c r="C190" s="11" t="s">
        <v>38</v>
      </c>
      <c r="D190" s="29"/>
      <c r="E190" s="4"/>
      <c r="I190" s="9"/>
      <c r="J190" s="9"/>
      <c r="T190" s="9"/>
      <c r="U190" s="9"/>
      <c r="V190" s="9"/>
      <c r="W190" s="9"/>
      <c r="X190" s="45"/>
      <c r="Y190" s="41"/>
      <c r="Z190" s="9"/>
      <c r="AA190" s="42"/>
      <c r="AB190" s="14"/>
      <c r="AC190" s="5"/>
      <c r="AG190" s="59"/>
    </row>
    <row r="191" customFormat="false" ht="14.25" hidden="false" customHeight="true" outlineLevel="0" collapsed="false">
      <c r="A191" s="29"/>
      <c r="B191" s="11"/>
      <c r="C191" s="11" t="s">
        <v>38</v>
      </c>
      <c r="D191" s="29"/>
      <c r="E191" s="4"/>
      <c r="F191" s="47" t="s">
        <v>273</v>
      </c>
      <c r="H191" s="43" t="n">
        <f aca="false">SUM(H186:H189)</f>
        <v>1725</v>
      </c>
      <c r="I191" s="44"/>
      <c r="J191" s="44"/>
      <c r="Q191" s="44" t="n">
        <f aca="false">SUM(Q186:Q189)</f>
        <v>67069</v>
      </c>
      <c r="R191" s="44"/>
      <c r="S191" s="44" t="n">
        <f aca="false">SUM(R185:R190)</f>
        <v>67069</v>
      </c>
      <c r="T191" s="44" t="n">
        <f aca="false">SUM(T186:T189)</f>
        <v>89500</v>
      </c>
      <c r="U191" s="44"/>
      <c r="V191" s="44" t="n">
        <f aca="false">SUM(V186:V189)</f>
        <v>89500</v>
      </c>
      <c r="W191" s="44"/>
      <c r="X191" s="45"/>
      <c r="Y191" s="64"/>
      <c r="Z191" s="44"/>
      <c r="AA191" s="67"/>
      <c r="AB191" s="43" t="n">
        <v>1300000</v>
      </c>
      <c r="AC191" s="5"/>
      <c r="AG191" s="59"/>
    </row>
    <row r="192" customFormat="false" ht="14.25" hidden="false" customHeight="true" outlineLevel="0" collapsed="false">
      <c r="A192" s="29"/>
      <c r="B192" s="11"/>
      <c r="C192" s="11" t="s">
        <v>38</v>
      </c>
      <c r="D192" s="29"/>
      <c r="E192" s="4"/>
      <c r="I192" s="9"/>
      <c r="J192" s="9"/>
      <c r="T192" s="9"/>
      <c r="U192" s="9"/>
      <c r="V192" s="9"/>
      <c r="W192" s="9"/>
      <c r="X192" s="45"/>
      <c r="Y192" s="41"/>
      <c r="Z192" s="9"/>
      <c r="AA192" s="42"/>
      <c r="AB192" s="14"/>
      <c r="AC192" s="5"/>
      <c r="AG192" s="59"/>
    </row>
    <row r="193" customFormat="false" ht="14.25" hidden="false" customHeight="true" outlineLevel="0" collapsed="false">
      <c r="A193" s="29"/>
      <c r="B193" s="11"/>
      <c r="C193" s="11" t="s">
        <v>38</v>
      </c>
      <c r="D193" s="29"/>
      <c r="E193" s="4"/>
      <c r="G193" s="39" t="s">
        <v>277</v>
      </c>
      <c r="I193" s="9"/>
      <c r="J193" s="9"/>
      <c r="K193" s="40"/>
      <c r="T193" s="11"/>
      <c r="U193" s="9"/>
      <c r="V193" s="11"/>
      <c r="W193" s="9"/>
      <c r="X193" s="45"/>
      <c r="Y193" s="41"/>
      <c r="Z193" s="9"/>
      <c r="AA193" s="42"/>
      <c r="AB193" s="14"/>
      <c r="AC193" s="5"/>
      <c r="AG193" s="59"/>
    </row>
    <row r="194" customFormat="false" ht="14.25" hidden="false" customHeight="true" outlineLevel="0" collapsed="false">
      <c r="A194" s="29"/>
      <c r="B194" s="11"/>
      <c r="C194" s="11" t="s">
        <v>38</v>
      </c>
      <c r="D194" s="29"/>
      <c r="E194" s="4"/>
      <c r="I194" s="9"/>
      <c r="J194" s="9"/>
      <c r="T194" s="9"/>
      <c r="U194" s="9"/>
      <c r="V194" s="9"/>
      <c r="W194" s="9"/>
      <c r="X194" s="45"/>
      <c r="Y194" s="41"/>
      <c r="Z194" s="9"/>
      <c r="AA194" s="42"/>
      <c r="AB194" s="14"/>
      <c r="AC194" s="5"/>
      <c r="AG194" s="59"/>
    </row>
    <row r="195" customFormat="false" ht="20.25" hidden="false" customHeight="true" outlineLevel="0" collapsed="false">
      <c r="A195" s="29"/>
      <c r="B195" s="11" t="s">
        <v>106</v>
      </c>
      <c r="C195" s="11" t="s">
        <v>38</v>
      </c>
      <c r="D195" s="29" t="n">
        <v>550710</v>
      </c>
      <c r="E195" s="4" t="s">
        <v>277</v>
      </c>
      <c r="F195" s="4" t="s">
        <v>264</v>
      </c>
      <c r="G195" s="5" t="s">
        <v>278</v>
      </c>
      <c r="H195" s="6" t="n">
        <v>807</v>
      </c>
      <c r="I195" s="6" t="n">
        <f aca="false">H195</f>
        <v>807</v>
      </c>
      <c r="J195" s="6" t="n">
        <v>1000</v>
      </c>
      <c r="K195" s="4" t="s">
        <v>279</v>
      </c>
      <c r="L195" s="7" t="n">
        <v>42179</v>
      </c>
      <c r="M195" s="8" t="n">
        <v>45831</v>
      </c>
      <c r="Q195" s="9" t="n">
        <v>34320</v>
      </c>
      <c r="R195" s="9" t="n">
        <f aca="false">Q195</f>
        <v>34320</v>
      </c>
      <c r="T195" s="9" t="n">
        <v>34320</v>
      </c>
      <c r="U195" s="9" t="n">
        <f aca="false">T195</f>
        <v>34320</v>
      </c>
      <c r="V195" s="9" t="n">
        <v>34481</v>
      </c>
      <c r="W195" s="9" t="n">
        <f aca="false">V195</f>
        <v>34481</v>
      </c>
      <c r="X195" s="45" t="n">
        <f aca="false">V195/H195</f>
        <v>42.727385377943</v>
      </c>
      <c r="Y195" s="46" t="n">
        <f aca="false">SUM(V195-T195)/T195</f>
        <v>0.00469114219114219</v>
      </c>
      <c r="Z195" s="9" t="s">
        <v>127</v>
      </c>
      <c r="AA195" s="42"/>
      <c r="AB195" s="14"/>
      <c r="AC195" s="5" t="s">
        <v>43</v>
      </c>
      <c r="AD195" s="4" t="s">
        <v>280</v>
      </c>
      <c r="AG195" s="59"/>
    </row>
    <row r="196" customFormat="false" ht="14.25" hidden="false" customHeight="true" outlineLevel="0" collapsed="false">
      <c r="A196" s="29"/>
      <c r="B196" s="11" t="s">
        <v>106</v>
      </c>
      <c r="C196" s="11" t="s">
        <v>38</v>
      </c>
      <c r="D196" s="29" t="n">
        <v>550710</v>
      </c>
      <c r="E196" s="4" t="s">
        <v>277</v>
      </c>
      <c r="F196" s="4" t="s">
        <v>129</v>
      </c>
      <c r="G196" s="5" t="s">
        <v>281</v>
      </c>
      <c r="H196" s="6" t="n">
        <v>60</v>
      </c>
      <c r="I196" s="6" t="n">
        <f aca="false">H196</f>
        <v>60</v>
      </c>
      <c r="K196" s="4" t="s">
        <v>282</v>
      </c>
      <c r="L196" s="7" t="n">
        <v>44075</v>
      </c>
      <c r="M196" s="8" t="n">
        <v>45900</v>
      </c>
      <c r="Q196" s="9" t="n">
        <v>12500</v>
      </c>
      <c r="R196" s="9" t="n">
        <f aca="false">Q196</f>
        <v>12500</v>
      </c>
      <c r="T196" s="9" t="n">
        <v>12000</v>
      </c>
      <c r="U196" s="9" t="n">
        <f aca="false">T196</f>
        <v>12000</v>
      </c>
      <c r="V196" s="9" t="n">
        <v>12000</v>
      </c>
      <c r="W196" s="9" t="n">
        <f aca="false">V196</f>
        <v>12000</v>
      </c>
      <c r="X196" s="45" t="n">
        <f aca="false">V196/H196</f>
        <v>200</v>
      </c>
      <c r="Y196" s="46" t="n">
        <f aca="false">SUM(V196-T196)/T196</f>
        <v>0</v>
      </c>
      <c r="Z196" s="9" t="s">
        <v>127</v>
      </c>
      <c r="AA196" s="42"/>
      <c r="AB196" s="14"/>
      <c r="AC196" s="5" t="s">
        <v>43</v>
      </c>
      <c r="AD196" s="4" t="s">
        <v>283</v>
      </c>
      <c r="AG196" s="59"/>
    </row>
    <row r="197" customFormat="false" ht="16.5" hidden="false" customHeight="true" outlineLevel="0" collapsed="false">
      <c r="A197" s="29"/>
      <c r="B197" s="11" t="s">
        <v>106</v>
      </c>
      <c r="C197" s="11" t="s">
        <v>38</v>
      </c>
      <c r="D197" s="29" t="n">
        <v>550710</v>
      </c>
      <c r="E197" s="4" t="s">
        <v>277</v>
      </c>
      <c r="F197" s="4" t="s">
        <v>89</v>
      </c>
      <c r="G197" s="5" t="s">
        <v>40</v>
      </c>
      <c r="H197" s="6" t="n">
        <v>370</v>
      </c>
      <c r="I197" s="6" t="n">
        <f aca="false">H197</f>
        <v>370</v>
      </c>
      <c r="J197" s="6" t="n">
        <v>500</v>
      </c>
      <c r="K197" s="4" t="s">
        <v>67</v>
      </c>
      <c r="N197" s="8" t="n">
        <v>43738</v>
      </c>
      <c r="Q197" s="9" t="n">
        <v>0</v>
      </c>
      <c r="R197" s="9" t="n">
        <f aca="false">Q197</f>
        <v>0</v>
      </c>
      <c r="T197" s="9" t="n">
        <v>18500</v>
      </c>
      <c r="U197" s="9" t="n">
        <f aca="false">T197</f>
        <v>18500</v>
      </c>
      <c r="V197" s="9" t="n">
        <v>18500</v>
      </c>
      <c r="W197" s="9" t="n">
        <f aca="false">V197</f>
        <v>18500</v>
      </c>
      <c r="X197" s="45" t="n">
        <f aca="false">V197/H197</f>
        <v>50</v>
      </c>
      <c r="Y197" s="46" t="n">
        <f aca="false">SUM(V197-T197)/T197</f>
        <v>0</v>
      </c>
      <c r="Z197" s="9" t="s">
        <v>127</v>
      </c>
      <c r="AA197" s="42"/>
      <c r="AB197" s="14"/>
      <c r="AC197" s="5" t="s">
        <v>43</v>
      </c>
      <c r="AD197" s="4" t="s">
        <v>119</v>
      </c>
      <c r="AE197" s="15" t="n">
        <v>52.5</v>
      </c>
      <c r="AF197" s="4" t="n">
        <v>1</v>
      </c>
      <c r="AG197" s="59" t="n">
        <v>3</v>
      </c>
    </row>
    <row r="198" customFormat="false" ht="13.5" hidden="false" customHeight="false" outlineLevel="0" collapsed="false">
      <c r="A198" s="29"/>
      <c r="B198" s="11" t="s">
        <v>106</v>
      </c>
      <c r="C198" s="11" t="s">
        <v>38</v>
      </c>
      <c r="D198" s="29" t="n">
        <v>550710</v>
      </c>
      <c r="E198" s="4" t="s">
        <v>277</v>
      </c>
      <c r="F198" s="4" t="s">
        <v>93</v>
      </c>
      <c r="G198" s="5" t="s">
        <v>40</v>
      </c>
      <c r="H198" s="6" t="n">
        <v>325</v>
      </c>
      <c r="I198" s="6" t="n">
        <f aca="false">H198</f>
        <v>325</v>
      </c>
      <c r="J198" s="6" t="n">
        <v>500</v>
      </c>
      <c r="K198" s="4" t="s">
        <v>67</v>
      </c>
      <c r="N198" s="8" t="n">
        <v>45379</v>
      </c>
      <c r="Q198" s="9" t="n">
        <v>0</v>
      </c>
      <c r="R198" s="9" t="n">
        <f aca="false">Q198</f>
        <v>0</v>
      </c>
      <c r="T198" s="9" t="n">
        <v>17000</v>
      </c>
      <c r="U198" s="9" t="n">
        <f aca="false">T198</f>
        <v>17000</v>
      </c>
      <c r="V198" s="9" t="n">
        <v>17062</v>
      </c>
      <c r="W198" s="9" t="n">
        <f aca="false">V198</f>
        <v>17062</v>
      </c>
      <c r="X198" s="45" t="n">
        <f aca="false">V198/H198</f>
        <v>52.4984615384615</v>
      </c>
      <c r="Y198" s="46" t="n">
        <f aca="false">SUM(V198-T198)/T198</f>
        <v>0.00364705882352941</v>
      </c>
      <c r="Z198" s="9" t="s">
        <v>127</v>
      </c>
      <c r="AA198" s="42"/>
      <c r="AB198" s="14"/>
      <c r="AC198" s="5" t="s">
        <v>43</v>
      </c>
      <c r="AD198" s="4" t="s">
        <v>119</v>
      </c>
      <c r="AE198" s="15" t="n">
        <v>53</v>
      </c>
      <c r="AG198" s="59"/>
    </row>
    <row r="199" customFormat="false" ht="13.5" hidden="false" customHeight="false" outlineLevel="0" collapsed="false">
      <c r="A199" s="29"/>
      <c r="B199" s="11" t="s">
        <v>106</v>
      </c>
      <c r="C199" s="11" t="s">
        <v>38</v>
      </c>
      <c r="D199" s="29" t="n">
        <v>550710</v>
      </c>
      <c r="E199" s="4" t="s">
        <v>277</v>
      </c>
      <c r="F199" s="4" t="s">
        <v>94</v>
      </c>
      <c r="G199" s="5" t="s">
        <v>40</v>
      </c>
      <c r="H199" s="6" t="n">
        <v>321</v>
      </c>
      <c r="I199" s="6" t="n">
        <f aca="false">H199</f>
        <v>321</v>
      </c>
      <c r="J199" s="6" t="n">
        <v>500</v>
      </c>
      <c r="K199" s="4" t="s">
        <v>67</v>
      </c>
      <c r="N199" s="8" t="n">
        <v>45170</v>
      </c>
      <c r="Q199" s="9" t="n">
        <v>0</v>
      </c>
      <c r="R199" s="9" t="n">
        <f aca="false">Q199</f>
        <v>0</v>
      </c>
      <c r="T199" s="9" t="n">
        <v>17000</v>
      </c>
      <c r="U199" s="9" t="n">
        <f aca="false">T199</f>
        <v>17000</v>
      </c>
      <c r="V199" s="9" t="n">
        <v>16852</v>
      </c>
      <c r="W199" s="9" t="n">
        <f aca="false">V199</f>
        <v>16852</v>
      </c>
      <c r="X199" s="45" t="n">
        <f aca="false">V199/H199</f>
        <v>52.4984423676012</v>
      </c>
      <c r="Y199" s="46" t="n">
        <f aca="false">SUM(V199-T199)/T199</f>
        <v>-0.00870588235294118</v>
      </c>
      <c r="Z199" s="9" t="s">
        <v>127</v>
      </c>
      <c r="AA199" s="42"/>
      <c r="AB199" s="14"/>
      <c r="AC199" s="5" t="s">
        <v>43</v>
      </c>
      <c r="AD199" s="4" t="s">
        <v>119</v>
      </c>
      <c r="AE199" s="15" t="n">
        <v>53</v>
      </c>
      <c r="AF199" s="4" t="n">
        <v>2</v>
      </c>
      <c r="AG199" s="59" t="n">
        <v>2</v>
      </c>
    </row>
    <row r="200" customFormat="false" ht="14.25" hidden="false" customHeight="true" outlineLevel="0" collapsed="false">
      <c r="A200" s="29"/>
      <c r="B200" s="11"/>
      <c r="C200" s="11" t="s">
        <v>38</v>
      </c>
      <c r="D200" s="29"/>
      <c r="E200" s="4"/>
      <c r="I200" s="9"/>
      <c r="J200" s="9"/>
      <c r="T200" s="9"/>
      <c r="U200" s="9"/>
      <c r="V200" s="9"/>
      <c r="W200" s="9"/>
      <c r="X200" s="45"/>
      <c r="Y200" s="41"/>
      <c r="Z200" s="9"/>
      <c r="AA200" s="42"/>
      <c r="AB200" s="14"/>
      <c r="AC200" s="5"/>
      <c r="AG200" s="59"/>
    </row>
    <row r="201" customFormat="false" ht="14.25" hidden="false" customHeight="true" outlineLevel="0" collapsed="false">
      <c r="A201" s="29"/>
      <c r="B201" s="11"/>
      <c r="C201" s="11" t="s">
        <v>38</v>
      </c>
      <c r="D201" s="29"/>
      <c r="E201" s="4"/>
      <c r="F201" s="47" t="s">
        <v>277</v>
      </c>
      <c r="H201" s="43" t="n">
        <f aca="false">SUM(H195:H199)</f>
        <v>1883</v>
      </c>
      <c r="I201" s="44"/>
      <c r="J201" s="44"/>
      <c r="Q201" s="44" t="n">
        <f aca="false">SUM(Q195:Q199)</f>
        <v>46820</v>
      </c>
      <c r="R201" s="44"/>
      <c r="S201" s="44" t="n">
        <f aca="false">SUM(R194:R200)</f>
        <v>46820</v>
      </c>
      <c r="T201" s="44" t="n">
        <f aca="false">SUM(T195:T199)</f>
        <v>98820</v>
      </c>
      <c r="U201" s="44"/>
      <c r="V201" s="44" t="n">
        <f aca="false">SUM(V195:V199)</f>
        <v>98895</v>
      </c>
      <c r="W201" s="44"/>
      <c r="X201" s="45"/>
      <c r="Y201" s="64"/>
      <c r="Z201" s="44"/>
      <c r="AA201" s="67"/>
      <c r="AB201" s="43" t="n">
        <v>1400000</v>
      </c>
      <c r="AC201" s="5"/>
      <c r="AG201" s="59"/>
    </row>
    <row r="202" customFormat="false" ht="14.25" hidden="false" customHeight="true" outlineLevel="0" collapsed="false">
      <c r="A202" s="29"/>
      <c r="B202" s="11"/>
      <c r="C202" s="11" t="s">
        <v>38</v>
      </c>
      <c r="D202" s="29"/>
      <c r="E202" s="4"/>
      <c r="F202" s="47"/>
      <c r="H202" s="43"/>
      <c r="I202" s="44"/>
      <c r="J202" s="44"/>
      <c r="Q202" s="44"/>
      <c r="R202" s="44"/>
      <c r="S202" s="44"/>
      <c r="T202" s="44"/>
      <c r="U202" s="44"/>
      <c r="V202" s="44"/>
      <c r="W202" s="44"/>
      <c r="X202" s="45"/>
      <c r="Y202" s="64"/>
      <c r="Z202" s="44"/>
      <c r="AA202" s="67"/>
      <c r="AB202" s="66"/>
      <c r="AC202" s="5"/>
      <c r="AG202" s="59"/>
    </row>
    <row r="203" customFormat="false" ht="14.25" hidden="false" customHeight="true" outlineLevel="0" collapsed="false">
      <c r="A203" s="29"/>
      <c r="B203" s="11"/>
      <c r="C203" s="11" t="s">
        <v>38</v>
      </c>
      <c r="D203" s="29"/>
      <c r="E203" s="4"/>
      <c r="G203" s="39" t="s">
        <v>284</v>
      </c>
      <c r="I203" s="9"/>
      <c r="J203" s="9"/>
      <c r="K203" s="40"/>
      <c r="T203" s="11"/>
      <c r="U203" s="9"/>
      <c r="V203" s="11"/>
      <c r="W203" s="9"/>
      <c r="X203" s="45"/>
      <c r="Y203" s="41"/>
      <c r="Z203" s="9"/>
      <c r="AA203" s="42"/>
      <c r="AB203" s="14"/>
      <c r="AC203" s="5"/>
      <c r="AG203" s="59"/>
    </row>
    <row r="204" customFormat="false" ht="14.25" hidden="false" customHeight="true" outlineLevel="0" collapsed="false">
      <c r="A204" s="29"/>
      <c r="B204" s="11"/>
      <c r="C204" s="11" t="s">
        <v>38</v>
      </c>
      <c r="D204" s="29"/>
      <c r="E204" s="4"/>
      <c r="G204" s="39"/>
      <c r="I204" s="9"/>
      <c r="J204" s="9"/>
      <c r="T204" s="9"/>
      <c r="U204" s="9"/>
      <c r="V204" s="9"/>
      <c r="W204" s="9"/>
      <c r="X204" s="45"/>
      <c r="Y204" s="41"/>
      <c r="Z204" s="9"/>
      <c r="AA204" s="42"/>
      <c r="AB204" s="14"/>
      <c r="AC204" s="5"/>
      <c r="AG204" s="59"/>
    </row>
    <row r="205" customFormat="false" ht="19.4" hidden="false" customHeight="false" outlineLevel="0" collapsed="false">
      <c r="A205" s="29"/>
      <c r="B205" s="11" t="s">
        <v>236</v>
      </c>
      <c r="C205" s="11" t="s">
        <v>38</v>
      </c>
      <c r="D205" s="29" t="n">
        <v>550090</v>
      </c>
      <c r="E205" s="4" t="s">
        <v>284</v>
      </c>
      <c r="F205" s="4" t="s">
        <v>285</v>
      </c>
      <c r="G205" s="5" t="s">
        <v>237</v>
      </c>
      <c r="H205" s="6" t="n">
        <v>607</v>
      </c>
      <c r="I205" s="6" t="n">
        <f aca="false">H205</f>
        <v>607</v>
      </c>
      <c r="J205" s="6" t="n">
        <v>500</v>
      </c>
      <c r="K205" s="4" t="s">
        <v>279</v>
      </c>
      <c r="L205" s="7" t="n">
        <v>45706</v>
      </c>
      <c r="M205" s="8" t="n">
        <v>49357</v>
      </c>
      <c r="O205" s="8" t="n">
        <v>47532</v>
      </c>
      <c r="P205" s="8" t="n">
        <v>47531</v>
      </c>
      <c r="Q205" s="9" t="n">
        <v>27000</v>
      </c>
      <c r="R205" s="9" t="n">
        <f aca="false">Q205</f>
        <v>27000</v>
      </c>
      <c r="T205" s="9" t="n">
        <v>25000</v>
      </c>
      <c r="U205" s="9" t="n">
        <f aca="false">T205</f>
        <v>25000</v>
      </c>
      <c r="V205" s="9" t="n">
        <v>25000</v>
      </c>
      <c r="W205" s="9" t="n">
        <f aca="false">V205</f>
        <v>25000</v>
      </c>
      <c r="X205" s="45" t="n">
        <f aca="false">V205/H205</f>
        <v>41.1861614497529</v>
      </c>
      <c r="Y205" s="46" t="n">
        <f aca="false">SUM(V205-T205)/T205</f>
        <v>0</v>
      </c>
      <c r="Z205" s="9" t="s">
        <v>55</v>
      </c>
      <c r="AA205" s="42"/>
      <c r="AB205" s="14"/>
      <c r="AC205" s="5" t="s">
        <v>43</v>
      </c>
      <c r="AD205" s="4" t="s">
        <v>286</v>
      </c>
      <c r="AG205" s="59"/>
    </row>
    <row r="206" customFormat="false" ht="19.4" hidden="false" customHeight="false" outlineLevel="0" collapsed="false">
      <c r="A206" s="29"/>
      <c r="B206" s="11" t="s">
        <v>236</v>
      </c>
      <c r="C206" s="11" t="s">
        <v>38</v>
      </c>
      <c r="D206" s="29" t="n">
        <v>550090</v>
      </c>
      <c r="E206" s="4" t="s">
        <v>284</v>
      </c>
      <c r="F206" s="4" t="s">
        <v>287</v>
      </c>
      <c r="G206" s="5" t="s">
        <v>134</v>
      </c>
      <c r="H206" s="6" t="n">
        <v>662</v>
      </c>
      <c r="I206" s="6" t="n">
        <f aca="false">H206</f>
        <v>662</v>
      </c>
      <c r="J206" s="6" t="n">
        <v>500</v>
      </c>
      <c r="K206" s="4" t="s">
        <v>279</v>
      </c>
      <c r="L206" s="7" t="n">
        <v>45706</v>
      </c>
      <c r="M206" s="8" t="n">
        <v>49357</v>
      </c>
      <c r="O206" s="8" t="n">
        <v>47532</v>
      </c>
      <c r="P206" s="8" t="n">
        <v>47531</v>
      </c>
      <c r="Q206" s="9" t="n">
        <v>22000</v>
      </c>
      <c r="R206" s="9" t="n">
        <f aca="false">Q206</f>
        <v>22000</v>
      </c>
      <c r="T206" s="9" t="n">
        <v>20000</v>
      </c>
      <c r="U206" s="9" t="n">
        <f aca="false">T206</f>
        <v>20000</v>
      </c>
      <c r="V206" s="9" t="n">
        <v>20000</v>
      </c>
      <c r="W206" s="9" t="n">
        <f aca="false">V206</f>
        <v>20000</v>
      </c>
      <c r="X206" s="45" t="n">
        <f aca="false">V206/H206</f>
        <v>30.2114803625378</v>
      </c>
      <c r="Y206" s="46" t="n">
        <f aca="false">SUM(V206-T206)/T206</f>
        <v>0</v>
      </c>
      <c r="Z206" s="9" t="s">
        <v>55</v>
      </c>
      <c r="AA206" s="42"/>
      <c r="AB206" s="14"/>
      <c r="AC206" s="5" t="s">
        <v>43</v>
      </c>
      <c r="AD206" s="4" t="s">
        <v>77</v>
      </c>
      <c r="AG206" s="59"/>
    </row>
    <row r="207" customFormat="false" ht="14.25" hidden="false" customHeight="true" outlineLevel="0" collapsed="false">
      <c r="A207" s="29"/>
      <c r="B207" s="11" t="s">
        <v>236</v>
      </c>
      <c r="C207" s="11" t="s">
        <v>38</v>
      </c>
      <c r="D207" s="29" t="n">
        <v>550090</v>
      </c>
      <c r="E207" s="4" t="s">
        <v>284</v>
      </c>
      <c r="F207" s="4" t="s">
        <v>288</v>
      </c>
      <c r="G207" s="5" t="s">
        <v>40</v>
      </c>
      <c r="H207" s="6" t="n">
        <v>1765</v>
      </c>
      <c r="I207" s="6" t="n">
        <f aca="false">H207</f>
        <v>1765</v>
      </c>
      <c r="J207" s="6" t="n">
        <v>1750</v>
      </c>
      <c r="K207" s="4" t="s">
        <v>67</v>
      </c>
      <c r="N207" s="8" t="n">
        <v>43256</v>
      </c>
      <c r="Q207" s="9" t="n">
        <v>0</v>
      </c>
      <c r="R207" s="9" t="n">
        <f aca="false">Q207</f>
        <v>0</v>
      </c>
      <c r="T207" s="9" t="n">
        <v>90000</v>
      </c>
      <c r="U207" s="9" t="n">
        <f aca="false">T207</f>
        <v>90000</v>
      </c>
      <c r="V207" s="9" t="n">
        <v>85000</v>
      </c>
      <c r="W207" s="9" t="n">
        <f aca="false">V207</f>
        <v>85000</v>
      </c>
      <c r="X207" s="45" t="n">
        <f aca="false">V207/H207</f>
        <v>48.1586402266289</v>
      </c>
      <c r="Y207" s="46" t="n">
        <f aca="false">SUM(V207-T207)/T207</f>
        <v>-0.0555555555555556</v>
      </c>
      <c r="Z207" s="9" t="s">
        <v>127</v>
      </c>
      <c r="AA207" s="42"/>
      <c r="AB207" s="14"/>
      <c r="AC207" s="5" t="s">
        <v>43</v>
      </c>
      <c r="AD207" s="4" t="s">
        <v>228</v>
      </c>
      <c r="AF207" s="60"/>
      <c r="AG207" s="62"/>
      <c r="AH207" s="60"/>
    </row>
    <row r="208" customFormat="false" ht="14.25" hidden="false" customHeight="true" outlineLevel="0" collapsed="false">
      <c r="A208" s="29"/>
      <c r="B208" s="11"/>
      <c r="C208" s="11" t="s">
        <v>38</v>
      </c>
      <c r="D208" s="29"/>
      <c r="E208" s="4"/>
      <c r="I208" s="9"/>
      <c r="J208" s="9"/>
      <c r="T208" s="9"/>
      <c r="U208" s="9"/>
      <c r="V208" s="9"/>
      <c r="W208" s="9"/>
      <c r="X208" s="45"/>
      <c r="Y208" s="41"/>
      <c r="Z208" s="9"/>
      <c r="AA208" s="42"/>
      <c r="AB208" s="14"/>
      <c r="AC208" s="5"/>
      <c r="AG208" s="59"/>
    </row>
    <row r="209" customFormat="false" ht="14.25" hidden="false" customHeight="true" outlineLevel="0" collapsed="false">
      <c r="A209" s="29"/>
      <c r="B209" s="11"/>
      <c r="C209" s="11" t="s">
        <v>38</v>
      </c>
      <c r="D209" s="29"/>
      <c r="E209" s="4"/>
      <c r="F209" s="47" t="s">
        <v>284</v>
      </c>
      <c r="H209" s="43" t="n">
        <f aca="false">SUM(H205:H207)</f>
        <v>3034</v>
      </c>
      <c r="I209" s="44"/>
      <c r="J209" s="44"/>
      <c r="Q209" s="44" t="n">
        <f aca="false">SUM(Q205:Q207)</f>
        <v>49000</v>
      </c>
      <c r="R209" s="44"/>
      <c r="S209" s="44" t="n">
        <f aca="false">SUM(R205:R208)</f>
        <v>49000</v>
      </c>
      <c r="T209" s="44" t="n">
        <f aca="false">SUM(T205:T207)</f>
        <v>135000</v>
      </c>
      <c r="U209" s="44"/>
      <c r="V209" s="44" t="n">
        <f aca="false">SUM(V205:V207)</f>
        <v>130000</v>
      </c>
      <c r="W209" s="44"/>
      <c r="X209" s="45"/>
      <c r="Y209" s="64"/>
      <c r="Z209" s="44"/>
      <c r="AA209" s="67"/>
      <c r="AB209" s="43" t="n">
        <v>1400000</v>
      </c>
      <c r="AC209" s="5"/>
      <c r="AG209" s="59"/>
    </row>
    <row r="210" customFormat="false" ht="14.25" hidden="false" customHeight="true" outlineLevel="0" collapsed="false">
      <c r="A210" s="29"/>
      <c r="B210" s="11"/>
      <c r="C210" s="11" t="s">
        <v>38</v>
      </c>
      <c r="D210" s="29"/>
      <c r="E210" s="4"/>
      <c r="I210" s="9"/>
      <c r="J210" s="9"/>
      <c r="T210" s="9"/>
      <c r="U210" s="9"/>
      <c r="V210" s="9"/>
      <c r="W210" s="9"/>
      <c r="X210" s="45"/>
      <c r="Y210" s="41"/>
      <c r="Z210" s="9"/>
      <c r="AA210" s="42"/>
      <c r="AB210" s="14"/>
      <c r="AC210" s="5"/>
      <c r="AG210" s="59"/>
    </row>
    <row r="211" customFormat="false" ht="14.25" hidden="false" customHeight="true" outlineLevel="0" collapsed="false">
      <c r="A211" s="29"/>
      <c r="B211" s="11"/>
      <c r="C211" s="11" t="s">
        <v>38</v>
      </c>
      <c r="D211" s="29"/>
      <c r="E211" s="4"/>
      <c r="G211" s="39" t="s">
        <v>289</v>
      </c>
      <c r="I211" s="9"/>
      <c r="J211" s="9"/>
      <c r="K211" s="40"/>
      <c r="T211" s="11"/>
      <c r="U211" s="9"/>
      <c r="V211" s="11"/>
      <c r="W211" s="9"/>
      <c r="X211" s="45"/>
      <c r="Y211" s="41"/>
      <c r="Z211" s="9"/>
      <c r="AA211" s="42"/>
      <c r="AB211" s="14"/>
      <c r="AC211" s="5"/>
      <c r="AG211" s="59"/>
    </row>
    <row r="212" customFormat="false" ht="14.25" hidden="false" customHeight="true" outlineLevel="0" collapsed="false">
      <c r="A212" s="29"/>
      <c r="B212" s="11"/>
      <c r="C212" s="11" t="s">
        <v>38</v>
      </c>
      <c r="D212" s="29"/>
      <c r="E212" s="4"/>
      <c r="G212" s="39"/>
      <c r="H212" s="76"/>
      <c r="I212" s="9"/>
      <c r="J212" s="9"/>
      <c r="K212" s="79"/>
      <c r="L212" s="80"/>
      <c r="T212" s="9"/>
      <c r="U212" s="9"/>
      <c r="V212" s="9"/>
      <c r="W212" s="9"/>
      <c r="X212" s="45"/>
      <c r="Y212" s="41"/>
      <c r="Z212" s="9"/>
      <c r="AA212" s="42"/>
      <c r="AB212" s="14"/>
      <c r="AC212" s="5"/>
      <c r="AG212" s="59"/>
    </row>
    <row r="213" customFormat="false" ht="24" hidden="false" customHeight="true" outlineLevel="0" collapsed="false">
      <c r="A213" s="29"/>
      <c r="B213" s="11" t="s">
        <v>106</v>
      </c>
      <c r="C213" s="11" t="s">
        <v>38</v>
      </c>
      <c r="D213" s="29" t="n">
        <v>550750</v>
      </c>
      <c r="E213" s="4" t="s">
        <v>289</v>
      </c>
      <c r="F213" s="4" t="s">
        <v>290</v>
      </c>
      <c r="G213" s="5" t="s">
        <v>291</v>
      </c>
      <c r="H213" s="43" t="n">
        <v>1305</v>
      </c>
      <c r="I213" s="9" t="n">
        <f aca="false">H213</f>
        <v>1305</v>
      </c>
      <c r="J213" s="9" t="n">
        <v>1250</v>
      </c>
      <c r="K213" s="4" t="s">
        <v>292</v>
      </c>
      <c r="L213" s="7" t="n">
        <v>45748</v>
      </c>
      <c r="M213" s="8" t="n">
        <v>49399</v>
      </c>
      <c r="O213" s="8" t="n">
        <v>47574</v>
      </c>
      <c r="P213" s="8" t="n">
        <v>47573</v>
      </c>
      <c r="Q213" s="9" t="n">
        <v>0</v>
      </c>
      <c r="R213" s="9" t="n">
        <f aca="false">Q213</f>
        <v>0</v>
      </c>
      <c r="S213" s="44" t="n">
        <f aca="false">R213</f>
        <v>0</v>
      </c>
      <c r="T213" s="44" t="n">
        <v>90000</v>
      </c>
      <c r="U213" s="9" t="n">
        <f aca="false">T213</f>
        <v>90000</v>
      </c>
      <c r="V213" s="44" t="n">
        <v>90000</v>
      </c>
      <c r="W213" s="9" t="n">
        <f aca="false">V213</f>
        <v>90000</v>
      </c>
      <c r="X213" s="45" t="n">
        <f aca="false">V213/H213</f>
        <v>68.9655172413793</v>
      </c>
      <c r="Y213" s="46" t="n">
        <f aca="false">SUM(V213-T213)/T213</f>
        <v>0</v>
      </c>
      <c r="Z213" s="9" t="s">
        <v>60</v>
      </c>
      <c r="AA213" s="42"/>
      <c r="AB213" s="44" t="n">
        <v>1630000</v>
      </c>
      <c r="AC213" s="5" t="s">
        <v>43</v>
      </c>
      <c r="AD213" s="4" t="s">
        <v>293</v>
      </c>
      <c r="AE213" s="15" t="n">
        <v>69</v>
      </c>
      <c r="AG213" s="59" t="n">
        <v>10</v>
      </c>
      <c r="AH213" s="4" t="s">
        <v>57</v>
      </c>
    </row>
    <row r="214" customFormat="false" ht="14.25" hidden="false" customHeight="true" outlineLevel="0" collapsed="false">
      <c r="A214" s="29"/>
      <c r="B214" s="11"/>
      <c r="C214" s="11" t="s">
        <v>38</v>
      </c>
      <c r="D214" s="29"/>
      <c r="E214" s="4"/>
      <c r="F214" s="47" t="s">
        <v>289</v>
      </c>
      <c r="H214" s="48" t="n">
        <f aca="false">SUM(H213)</f>
        <v>1305</v>
      </c>
      <c r="I214" s="43"/>
      <c r="J214" s="43"/>
      <c r="K214" s="49"/>
      <c r="L214" s="50"/>
      <c r="M214" s="51"/>
      <c r="N214" s="51"/>
      <c r="O214" s="51"/>
      <c r="P214" s="51"/>
      <c r="Q214" s="48"/>
      <c r="R214" s="48"/>
      <c r="S214" s="48"/>
      <c r="T214" s="48" t="n">
        <f aca="false">SUM(T213)</f>
        <v>90000</v>
      </c>
      <c r="U214" s="48"/>
      <c r="V214" s="48" t="n">
        <f aca="false">SUM(V213)</f>
        <v>90000</v>
      </c>
      <c r="W214" s="48"/>
      <c r="X214" s="45"/>
      <c r="Y214" s="52"/>
      <c r="Z214" s="48"/>
      <c r="AA214" s="53"/>
      <c r="AB214" s="54"/>
      <c r="AC214" s="5"/>
      <c r="AG214" s="59"/>
    </row>
    <row r="215" customFormat="false" ht="14.25" hidden="false" customHeight="true" outlineLevel="0" collapsed="false">
      <c r="A215" s="29"/>
      <c r="B215" s="11"/>
      <c r="C215" s="11" t="s">
        <v>38</v>
      </c>
      <c r="D215" s="29"/>
      <c r="E215" s="4"/>
      <c r="I215" s="9"/>
      <c r="J215" s="9"/>
      <c r="T215" s="9"/>
      <c r="U215" s="9"/>
      <c r="V215" s="9"/>
      <c r="W215" s="9"/>
      <c r="X215" s="45"/>
      <c r="Y215" s="41"/>
      <c r="Z215" s="9"/>
      <c r="AA215" s="42"/>
      <c r="AB215" s="14"/>
      <c r="AC215" s="5"/>
      <c r="AG215" s="59"/>
    </row>
    <row r="216" customFormat="false" ht="14.25" hidden="false" customHeight="true" outlineLevel="0" collapsed="false">
      <c r="A216" s="29"/>
      <c r="B216" s="11"/>
      <c r="C216" s="11" t="s">
        <v>38</v>
      </c>
      <c r="D216" s="29"/>
      <c r="E216" s="4"/>
      <c r="G216" s="39" t="s">
        <v>294</v>
      </c>
      <c r="I216" s="9"/>
      <c r="J216" s="9"/>
      <c r="K216" s="40"/>
      <c r="T216" s="11"/>
      <c r="U216" s="9"/>
      <c r="V216" s="11"/>
      <c r="W216" s="9"/>
      <c r="X216" s="45"/>
      <c r="Y216" s="41"/>
      <c r="Z216" s="9"/>
      <c r="AA216" s="42"/>
      <c r="AB216" s="14"/>
      <c r="AC216" s="5"/>
      <c r="AG216" s="59"/>
    </row>
    <row r="217" customFormat="false" ht="14.25" hidden="false" customHeight="true" outlineLevel="0" collapsed="false">
      <c r="A217" s="29"/>
      <c r="B217" s="11"/>
      <c r="C217" s="11" t="s">
        <v>38</v>
      </c>
      <c r="D217" s="29"/>
      <c r="E217" s="4"/>
      <c r="G217" s="39"/>
      <c r="H217" s="68"/>
      <c r="I217" s="9"/>
      <c r="J217" s="9"/>
      <c r="K217" s="71"/>
      <c r="L217" s="8"/>
      <c r="T217" s="9"/>
      <c r="U217" s="9"/>
      <c r="V217" s="9"/>
      <c r="W217" s="9"/>
      <c r="X217" s="45"/>
      <c r="Y217" s="41"/>
      <c r="Z217" s="9"/>
      <c r="AA217" s="42"/>
      <c r="AB217" s="14"/>
      <c r="AC217" s="5"/>
      <c r="AG217" s="59"/>
    </row>
    <row r="218" customFormat="false" ht="13.5" hidden="false" customHeight="false" outlineLevel="0" collapsed="false">
      <c r="A218" s="29"/>
      <c r="B218" s="11" t="s">
        <v>236</v>
      </c>
      <c r="C218" s="11" t="s">
        <v>38</v>
      </c>
      <c r="D218" s="29" t="n">
        <v>550880</v>
      </c>
      <c r="E218" s="4" t="s">
        <v>294</v>
      </c>
      <c r="F218" s="4" t="s">
        <v>174</v>
      </c>
      <c r="G218" s="5" t="s">
        <v>134</v>
      </c>
      <c r="H218" s="95" t="n">
        <v>1440</v>
      </c>
      <c r="I218" s="9" t="n">
        <f aca="false">H218</f>
        <v>1440</v>
      </c>
      <c r="J218" s="9" t="n">
        <v>1500</v>
      </c>
      <c r="K218" s="4" t="s">
        <v>295</v>
      </c>
      <c r="L218" s="8" t="n">
        <v>43430</v>
      </c>
      <c r="M218" s="8" t="n">
        <v>47082</v>
      </c>
      <c r="O218" s="8" t="n">
        <v>45256</v>
      </c>
      <c r="Q218" s="9" t="n">
        <v>100000</v>
      </c>
      <c r="R218" s="9" t="n">
        <f aca="false">Q218</f>
        <v>100000</v>
      </c>
      <c r="T218" s="9" t="n">
        <v>100000</v>
      </c>
      <c r="U218" s="9" t="n">
        <f aca="false">T218</f>
        <v>100000</v>
      </c>
      <c r="V218" s="9" t="n">
        <v>100000</v>
      </c>
      <c r="W218" s="9" t="n">
        <f aca="false">V218</f>
        <v>100000</v>
      </c>
      <c r="X218" s="45" t="n">
        <f aca="false">V218/H218</f>
        <v>69.4444444444444</v>
      </c>
      <c r="Y218" s="46" t="n">
        <f aca="false">SUM(V218-T218)/T218</f>
        <v>0</v>
      </c>
      <c r="Z218" s="9" t="s">
        <v>42</v>
      </c>
      <c r="AA218" s="42"/>
      <c r="AB218" s="14"/>
      <c r="AC218" s="5" t="s">
        <v>43</v>
      </c>
      <c r="AD218" s="4" t="s">
        <v>296</v>
      </c>
      <c r="AG218" s="59"/>
    </row>
    <row r="219" customFormat="false" ht="13.5" hidden="false" customHeight="false" outlineLevel="0" collapsed="false">
      <c r="A219" s="29"/>
      <c r="B219" s="11" t="s">
        <v>236</v>
      </c>
      <c r="C219" s="11" t="s">
        <v>38</v>
      </c>
      <c r="D219" s="29" t="n">
        <v>550880</v>
      </c>
      <c r="E219" s="4" t="s">
        <v>294</v>
      </c>
      <c r="F219" s="4" t="s">
        <v>297</v>
      </c>
      <c r="G219" s="11" t="s">
        <v>298</v>
      </c>
      <c r="H219" s="6" t="n">
        <v>1082</v>
      </c>
      <c r="I219" s="9" t="n">
        <f aca="false">H219</f>
        <v>1082</v>
      </c>
      <c r="J219" s="9" t="n">
        <v>1000</v>
      </c>
      <c r="K219" s="96" t="s">
        <v>299</v>
      </c>
      <c r="L219" s="8" t="n">
        <v>45065</v>
      </c>
      <c r="M219" s="8" t="n">
        <v>46160</v>
      </c>
      <c r="Q219" s="9" t="n">
        <v>88400</v>
      </c>
      <c r="R219" s="9" t="n">
        <f aca="false">Q219</f>
        <v>88400</v>
      </c>
      <c r="T219" s="9" t="n">
        <v>58968</v>
      </c>
      <c r="U219" s="9" t="n">
        <f aca="false">T219</f>
        <v>58968</v>
      </c>
      <c r="V219" s="9" t="n">
        <v>58968</v>
      </c>
      <c r="W219" s="9" t="n">
        <f aca="false">V219</f>
        <v>58968</v>
      </c>
      <c r="X219" s="45" t="n">
        <f aca="false">V219/H219</f>
        <v>54.4990757855823</v>
      </c>
      <c r="Y219" s="46" t="n">
        <f aca="false">SUM(V219-T219)/T219</f>
        <v>0</v>
      </c>
      <c r="Z219" s="9" t="s">
        <v>60</v>
      </c>
      <c r="AA219" s="42"/>
      <c r="AB219" s="14"/>
      <c r="AC219" s="5" t="s">
        <v>43</v>
      </c>
      <c r="AG219" s="59"/>
    </row>
    <row r="220" customFormat="false" ht="14.25" hidden="false" customHeight="true" outlineLevel="0" collapsed="false">
      <c r="A220" s="29"/>
      <c r="B220" s="11"/>
      <c r="C220" s="11" t="s">
        <v>38</v>
      </c>
      <c r="D220" s="29"/>
      <c r="E220" s="4"/>
      <c r="G220" s="11"/>
      <c r="I220" s="9"/>
      <c r="J220" s="9"/>
      <c r="L220" s="8"/>
      <c r="T220" s="9"/>
      <c r="U220" s="9"/>
      <c r="V220" s="9"/>
      <c r="W220" s="9"/>
      <c r="X220" s="45"/>
      <c r="Y220" s="41"/>
      <c r="Z220" s="9"/>
      <c r="AA220" s="42"/>
      <c r="AB220" s="14"/>
      <c r="AC220" s="5"/>
      <c r="AG220" s="59"/>
    </row>
    <row r="221" customFormat="false" ht="14.25" hidden="false" customHeight="true" outlineLevel="0" collapsed="false">
      <c r="A221" s="29"/>
      <c r="B221" s="11"/>
      <c r="C221" s="11" t="s">
        <v>38</v>
      </c>
      <c r="D221" s="29"/>
      <c r="E221" s="4"/>
      <c r="F221" s="47" t="s">
        <v>294</v>
      </c>
      <c r="G221" s="29"/>
      <c r="H221" s="43" t="n">
        <f aca="false">SUM(H218:H219)</f>
        <v>2522</v>
      </c>
      <c r="I221" s="43"/>
      <c r="J221" s="43"/>
      <c r="L221" s="8"/>
      <c r="Q221" s="43" t="n">
        <f aca="false">SUM(Q218:Q219)</f>
        <v>188400</v>
      </c>
      <c r="R221" s="43"/>
      <c r="S221" s="44" t="n">
        <f aca="false">SUM(R216:R220)</f>
        <v>188400</v>
      </c>
      <c r="T221" s="43" t="n">
        <f aca="false">SUM(T218:T219)</f>
        <v>158968</v>
      </c>
      <c r="U221" s="43"/>
      <c r="V221" s="43" t="n">
        <f aca="false">SUM(V218:V219)</f>
        <v>158968</v>
      </c>
      <c r="W221" s="43"/>
      <c r="X221" s="45"/>
      <c r="Y221" s="64"/>
      <c r="Z221" s="43"/>
      <c r="AA221" s="65"/>
      <c r="AB221" s="44" t="n">
        <v>3725000</v>
      </c>
      <c r="AC221" s="5"/>
      <c r="AG221" s="59"/>
    </row>
    <row r="222" customFormat="false" ht="14.25" hidden="false" customHeight="true" outlineLevel="0" collapsed="false">
      <c r="A222" s="29"/>
      <c r="B222" s="11"/>
      <c r="C222" s="11" t="s">
        <v>38</v>
      </c>
      <c r="D222" s="29"/>
      <c r="E222" s="4"/>
      <c r="I222" s="9"/>
      <c r="J222" s="9"/>
      <c r="T222" s="9"/>
      <c r="U222" s="9"/>
      <c r="V222" s="9"/>
      <c r="W222" s="9"/>
      <c r="X222" s="45"/>
      <c r="Y222" s="41"/>
      <c r="Z222" s="9"/>
      <c r="AA222" s="42"/>
      <c r="AB222" s="14"/>
      <c r="AC222" s="5"/>
      <c r="AG222" s="59"/>
    </row>
    <row r="223" customFormat="false" ht="14.25" hidden="false" customHeight="true" outlineLevel="0" collapsed="false">
      <c r="A223" s="29"/>
      <c r="B223" s="11"/>
      <c r="C223" s="11" t="s">
        <v>38</v>
      </c>
      <c r="D223" s="29"/>
      <c r="E223" s="4"/>
      <c r="G223" s="39" t="s">
        <v>300</v>
      </c>
      <c r="I223" s="9"/>
      <c r="J223" s="9"/>
      <c r="K223" s="40"/>
      <c r="T223" s="11"/>
      <c r="U223" s="9"/>
      <c r="V223" s="11"/>
      <c r="W223" s="9"/>
      <c r="X223" s="45"/>
      <c r="Y223" s="41"/>
      <c r="Z223" s="9"/>
      <c r="AA223" s="42"/>
      <c r="AB223" s="14"/>
      <c r="AC223" s="5"/>
      <c r="AG223" s="59"/>
    </row>
    <row r="224" customFormat="false" ht="14.25" hidden="false" customHeight="true" outlineLevel="0" collapsed="false">
      <c r="A224" s="29"/>
      <c r="B224" s="11"/>
      <c r="C224" s="11" t="s">
        <v>38</v>
      </c>
      <c r="D224" s="29"/>
      <c r="E224" s="4"/>
      <c r="G224" s="39"/>
      <c r="H224" s="76"/>
      <c r="I224" s="9"/>
      <c r="J224" s="9"/>
      <c r="K224" s="97"/>
      <c r="L224" s="80"/>
      <c r="M224" s="80"/>
      <c r="N224" s="80"/>
      <c r="T224" s="9"/>
      <c r="U224" s="9"/>
      <c r="V224" s="9"/>
      <c r="W224" s="9"/>
      <c r="X224" s="45"/>
      <c r="Y224" s="41"/>
      <c r="Z224" s="9"/>
      <c r="AA224" s="42"/>
      <c r="AB224" s="14"/>
      <c r="AC224" s="5"/>
      <c r="AG224" s="59"/>
    </row>
    <row r="225" customFormat="false" ht="24" hidden="false" customHeight="true" outlineLevel="0" collapsed="false">
      <c r="A225" s="29"/>
      <c r="B225" s="11" t="s">
        <v>106</v>
      </c>
      <c r="C225" s="11" t="s">
        <v>38</v>
      </c>
      <c r="D225" s="29" t="n">
        <v>550180</v>
      </c>
      <c r="E225" s="4" t="s">
        <v>300</v>
      </c>
      <c r="F225" s="4" t="s">
        <v>301</v>
      </c>
      <c r="G225" s="5" t="s">
        <v>237</v>
      </c>
      <c r="H225" s="6" t="n">
        <v>2026</v>
      </c>
      <c r="I225" s="6" t="n">
        <f aca="false">H225</f>
        <v>2026</v>
      </c>
      <c r="J225" s="6" t="n">
        <v>2000</v>
      </c>
      <c r="K225" s="4" t="s">
        <v>302</v>
      </c>
      <c r="L225" s="7" t="n">
        <v>45247</v>
      </c>
      <c r="M225" s="8" t="n">
        <v>48899</v>
      </c>
      <c r="O225" s="8" t="n">
        <v>47074</v>
      </c>
      <c r="P225" s="8" t="n">
        <v>47073</v>
      </c>
      <c r="Q225" s="9" t="n">
        <v>100000</v>
      </c>
      <c r="R225" s="9" t="n">
        <f aca="false">Q225</f>
        <v>100000</v>
      </c>
      <c r="T225" s="9" t="n">
        <v>71800</v>
      </c>
      <c r="U225" s="9" t="n">
        <f aca="false">T225</f>
        <v>71800</v>
      </c>
      <c r="V225" s="9" t="n">
        <v>100000</v>
      </c>
      <c r="W225" s="9" t="n">
        <f aca="false">V225</f>
        <v>100000</v>
      </c>
      <c r="X225" s="45" t="n">
        <f aca="false">V225/H225</f>
        <v>49.3583415597236</v>
      </c>
      <c r="Y225" s="46" t="n">
        <f aca="false">SUM(V225-T225)/T225</f>
        <v>0.392757660167131</v>
      </c>
      <c r="Z225" s="9" t="s">
        <v>42</v>
      </c>
      <c r="AA225" s="42"/>
      <c r="AB225" s="14"/>
      <c r="AC225" s="5" t="s">
        <v>43</v>
      </c>
      <c r="AD225" s="4" t="s">
        <v>303</v>
      </c>
      <c r="AG225" s="59"/>
    </row>
    <row r="226" customFormat="false" ht="28.5" hidden="false" customHeight="true" outlineLevel="0" collapsed="false">
      <c r="A226" s="29"/>
      <c r="B226" s="11" t="s">
        <v>106</v>
      </c>
      <c r="C226" s="11" t="s">
        <v>38</v>
      </c>
      <c r="D226" s="29" t="n">
        <v>550180</v>
      </c>
      <c r="E226" s="4" t="s">
        <v>300</v>
      </c>
      <c r="F226" s="4" t="s">
        <v>254</v>
      </c>
      <c r="G226" s="5" t="s">
        <v>237</v>
      </c>
      <c r="H226" s="6" t="n">
        <v>2202</v>
      </c>
      <c r="I226" s="6" t="n">
        <f aca="false">H226</f>
        <v>2202</v>
      </c>
      <c r="J226" s="6" t="n">
        <v>2000</v>
      </c>
      <c r="K226" s="4" t="s">
        <v>304</v>
      </c>
      <c r="L226" s="7" t="n">
        <v>44497</v>
      </c>
      <c r="M226" s="8" t="n">
        <v>46322</v>
      </c>
      <c r="Q226" s="9" t="n">
        <v>96000</v>
      </c>
      <c r="R226" s="9" t="n">
        <f aca="false">Q226</f>
        <v>96000</v>
      </c>
      <c r="T226" s="9" t="n">
        <v>78600</v>
      </c>
      <c r="U226" s="9" t="n">
        <f aca="false">T226</f>
        <v>78600</v>
      </c>
      <c r="V226" s="9" t="n">
        <v>96000</v>
      </c>
      <c r="W226" s="9" t="n">
        <f aca="false">V226</f>
        <v>96000</v>
      </c>
      <c r="X226" s="45" t="n">
        <f aca="false">V226/H226</f>
        <v>43.5967302452316</v>
      </c>
      <c r="Y226" s="46" t="n">
        <f aca="false">SUM(V226-T226)/T226</f>
        <v>0.221374045801527</v>
      </c>
      <c r="Z226" s="9" t="s">
        <v>42</v>
      </c>
      <c r="AA226" s="42"/>
      <c r="AB226" s="14"/>
      <c r="AC226" s="5" t="s">
        <v>43</v>
      </c>
      <c r="AG226" s="59"/>
    </row>
    <row r="227" customFormat="false" ht="21.75" hidden="false" customHeight="true" outlineLevel="0" collapsed="false">
      <c r="A227" s="29"/>
      <c r="B227" s="11" t="s">
        <v>106</v>
      </c>
      <c r="C227" s="11" t="s">
        <v>38</v>
      </c>
      <c r="D227" s="29" t="n">
        <v>550180</v>
      </c>
      <c r="E227" s="4" t="s">
        <v>300</v>
      </c>
      <c r="F227" s="4" t="s">
        <v>89</v>
      </c>
      <c r="G227" s="5" t="s">
        <v>305</v>
      </c>
      <c r="H227" s="6" t="n">
        <v>1977</v>
      </c>
      <c r="I227" s="6" t="n">
        <f aca="false">H227</f>
        <v>1977</v>
      </c>
      <c r="J227" s="6" t="n">
        <v>2000</v>
      </c>
      <c r="K227" s="4" t="s">
        <v>302</v>
      </c>
      <c r="L227" s="7" t="n">
        <v>45441</v>
      </c>
      <c r="Q227" s="9" t="n">
        <v>96000</v>
      </c>
      <c r="R227" s="9" t="n">
        <f aca="false">Q227</f>
        <v>96000</v>
      </c>
      <c r="T227" s="9" t="n">
        <v>121900</v>
      </c>
      <c r="U227" s="9" t="n">
        <f aca="false">T227</f>
        <v>121900</v>
      </c>
      <c r="V227" s="9" t="n">
        <v>133400</v>
      </c>
      <c r="W227" s="9" t="n">
        <f aca="false">V227</f>
        <v>133400</v>
      </c>
      <c r="X227" s="45" t="n">
        <f aca="false">V227/H227</f>
        <v>67.4759736975215</v>
      </c>
      <c r="Y227" s="46" t="n">
        <f aca="false">SUM(V227-T227)/T227</f>
        <v>0.0943396226415094</v>
      </c>
      <c r="Z227" s="9" t="s">
        <v>60</v>
      </c>
      <c r="AA227" s="42"/>
      <c r="AB227" s="14"/>
      <c r="AC227" s="5" t="s">
        <v>43</v>
      </c>
      <c r="AD227" s="4" t="s">
        <v>306</v>
      </c>
      <c r="AF227" s="60"/>
      <c r="AG227" s="62"/>
      <c r="AH227" s="60"/>
    </row>
    <row r="228" customFormat="false" ht="24" hidden="false" customHeight="true" outlineLevel="0" collapsed="false">
      <c r="A228" s="29"/>
      <c r="B228" s="11" t="s">
        <v>106</v>
      </c>
      <c r="C228" s="11" t="s">
        <v>38</v>
      </c>
      <c r="D228" s="29" t="n">
        <v>550180</v>
      </c>
      <c r="E228" s="4" t="s">
        <v>300</v>
      </c>
      <c r="F228" s="4" t="s">
        <v>93</v>
      </c>
      <c r="G228" s="5" t="s">
        <v>40</v>
      </c>
      <c r="H228" s="6" t="n">
        <v>1938</v>
      </c>
      <c r="I228" s="6" t="n">
        <f aca="false">H228</f>
        <v>1938</v>
      </c>
      <c r="J228" s="6" t="n">
        <v>2000</v>
      </c>
      <c r="K228" s="4" t="s">
        <v>307</v>
      </c>
      <c r="L228" s="7" t="n">
        <v>44768</v>
      </c>
      <c r="M228" s="8" t="n">
        <v>45863</v>
      </c>
      <c r="Q228" s="9" t="n">
        <v>152250</v>
      </c>
      <c r="R228" s="9" t="n">
        <f aca="false">Q228</f>
        <v>152250</v>
      </c>
      <c r="T228" s="9" t="n">
        <v>121800</v>
      </c>
      <c r="U228" s="9" t="n">
        <f aca="false">T228</f>
        <v>121800</v>
      </c>
      <c r="V228" s="9" t="n">
        <v>130800</v>
      </c>
      <c r="W228" s="9" t="n">
        <f aca="false">V228</f>
        <v>130800</v>
      </c>
      <c r="X228" s="45" t="n">
        <f aca="false">V228/H228</f>
        <v>67.4922600619195</v>
      </c>
      <c r="Y228" s="46" t="n">
        <f aca="false">SUM(V228-T228)/T228</f>
        <v>0.0738916256157636</v>
      </c>
      <c r="Z228" s="9" t="s">
        <v>60</v>
      </c>
      <c r="AA228" s="42"/>
      <c r="AB228" s="14"/>
      <c r="AC228" s="5" t="s">
        <v>43</v>
      </c>
      <c r="AD228" s="4" t="s">
        <v>308</v>
      </c>
      <c r="AG228" s="59"/>
    </row>
    <row r="229" customFormat="false" ht="21.75" hidden="false" customHeight="true" outlineLevel="0" collapsed="false">
      <c r="A229" s="29"/>
      <c r="B229" s="11" t="s">
        <v>106</v>
      </c>
      <c r="C229" s="11" t="s">
        <v>38</v>
      </c>
      <c r="D229" s="29" t="n">
        <v>550180</v>
      </c>
      <c r="E229" s="4" t="s">
        <v>300</v>
      </c>
      <c r="F229" s="4" t="s">
        <v>94</v>
      </c>
      <c r="G229" s="5" t="s">
        <v>309</v>
      </c>
      <c r="H229" s="6" t="n">
        <v>1961</v>
      </c>
      <c r="I229" s="6" t="n">
        <f aca="false">H229</f>
        <v>1961</v>
      </c>
      <c r="J229" s="6" t="n">
        <v>2000</v>
      </c>
      <c r="K229" s="4" t="s">
        <v>310</v>
      </c>
      <c r="L229" s="7" t="n">
        <v>45357</v>
      </c>
      <c r="M229" s="8" t="n">
        <v>47182</v>
      </c>
      <c r="Q229" s="9" t="n">
        <v>137025</v>
      </c>
      <c r="R229" s="9" t="n">
        <f aca="false">Q229</f>
        <v>137025</v>
      </c>
      <c r="T229" s="9" t="n">
        <v>121800</v>
      </c>
      <c r="U229" s="9" t="n">
        <f aca="false">T229</f>
        <v>121800</v>
      </c>
      <c r="V229" s="9" t="n">
        <v>137035</v>
      </c>
      <c r="W229" s="9" t="n">
        <f aca="false">V229</f>
        <v>137035</v>
      </c>
      <c r="X229" s="45" t="n">
        <f aca="false">V229/H229</f>
        <v>69.88016318205</v>
      </c>
      <c r="Y229" s="46" t="n">
        <f aca="false">SUM(V229-T229)/T229</f>
        <v>0.12508210180624</v>
      </c>
      <c r="Z229" s="9" t="s">
        <v>55</v>
      </c>
      <c r="AA229" s="42"/>
      <c r="AB229" s="14"/>
      <c r="AC229" s="5" t="s">
        <v>43</v>
      </c>
      <c r="AD229" s="4" t="s">
        <v>311</v>
      </c>
      <c r="AG229" s="59"/>
    </row>
    <row r="230" customFormat="false" ht="21.75" hidden="false" customHeight="true" outlineLevel="0" collapsed="false">
      <c r="A230" s="29"/>
      <c r="B230" s="11" t="s">
        <v>106</v>
      </c>
      <c r="C230" s="11" t="s">
        <v>38</v>
      </c>
      <c r="D230" s="29" t="n">
        <v>550180</v>
      </c>
      <c r="E230" s="4" t="s">
        <v>300</v>
      </c>
      <c r="F230" s="4" t="s">
        <v>118</v>
      </c>
      <c r="G230" s="5" t="s">
        <v>309</v>
      </c>
      <c r="H230" s="6" t="n">
        <v>1992</v>
      </c>
      <c r="I230" s="6" t="n">
        <f aca="false">H230</f>
        <v>1992</v>
      </c>
      <c r="J230" s="6" t="n">
        <v>2000</v>
      </c>
      <c r="K230" s="4" t="s">
        <v>67</v>
      </c>
      <c r="L230" s="8"/>
      <c r="N230" s="8" t="n">
        <v>45596</v>
      </c>
      <c r="Q230" s="9" t="n">
        <v>0</v>
      </c>
      <c r="R230" s="9" t="n">
        <f aca="false">Q230</f>
        <v>0</v>
      </c>
      <c r="T230" s="9" t="n">
        <v>117300</v>
      </c>
      <c r="U230" s="9" t="n">
        <f aca="false">T230</f>
        <v>117300</v>
      </c>
      <c r="V230" s="9" t="n">
        <v>130325</v>
      </c>
      <c r="W230" s="9" t="n">
        <f aca="false">V230</f>
        <v>130325</v>
      </c>
      <c r="X230" s="45" t="n">
        <f aca="false">V230/H230</f>
        <v>65.4241967871486</v>
      </c>
      <c r="Y230" s="46" t="n">
        <f aca="false">SUM(V230-T230)/T230</f>
        <v>0.111040068201194</v>
      </c>
      <c r="Z230" s="9" t="s">
        <v>60</v>
      </c>
      <c r="AA230" s="42"/>
      <c r="AB230" s="14"/>
      <c r="AC230" s="5" t="s">
        <v>43</v>
      </c>
      <c r="AD230" s="4" t="s">
        <v>119</v>
      </c>
      <c r="AE230" s="15" t="n">
        <v>72.5</v>
      </c>
      <c r="AF230" s="4" t="n">
        <v>4</v>
      </c>
      <c r="AG230" s="59" t="n">
        <v>9</v>
      </c>
      <c r="AH230" s="4" t="s">
        <v>57</v>
      </c>
    </row>
    <row r="231" customFormat="false" ht="31.5" hidden="false" customHeight="true" outlineLevel="0" collapsed="false">
      <c r="A231" s="29"/>
      <c r="B231" s="11" t="s">
        <v>106</v>
      </c>
      <c r="C231" s="11" t="s">
        <v>38</v>
      </c>
      <c r="D231" s="29" t="n">
        <v>550180</v>
      </c>
      <c r="E231" s="4" t="s">
        <v>300</v>
      </c>
      <c r="F231" s="4" t="s">
        <v>180</v>
      </c>
      <c r="G231" s="5" t="s">
        <v>312</v>
      </c>
      <c r="H231" s="6" t="n">
        <v>1468</v>
      </c>
      <c r="I231" s="6" t="n">
        <f aca="false">H231</f>
        <v>1468</v>
      </c>
      <c r="J231" s="6" t="n">
        <v>1500</v>
      </c>
      <c r="K231" s="4" t="s">
        <v>313</v>
      </c>
      <c r="L231" s="7" t="n">
        <v>44805</v>
      </c>
      <c r="M231" s="8" t="n">
        <v>46630</v>
      </c>
      <c r="P231" s="8" t="n">
        <v>45900</v>
      </c>
      <c r="Q231" s="9" t="n">
        <v>98280</v>
      </c>
      <c r="R231" s="9" t="n">
        <f aca="false">Q231</f>
        <v>98280</v>
      </c>
      <c r="T231" s="9" t="n">
        <v>100400</v>
      </c>
      <c r="U231" s="9" t="n">
        <f aca="false">T231</f>
        <v>100400</v>
      </c>
      <c r="V231" s="9" t="n">
        <v>99100</v>
      </c>
      <c r="W231" s="9" t="n">
        <f aca="false">V231</f>
        <v>99100</v>
      </c>
      <c r="X231" s="45" t="n">
        <f aca="false">V231/H231</f>
        <v>67.5068119891008</v>
      </c>
      <c r="Y231" s="46" t="n">
        <f aca="false">SUM(V231-T231)/T231</f>
        <v>-0.0129482071713147</v>
      </c>
      <c r="Z231" s="98" t="s">
        <v>55</v>
      </c>
      <c r="AA231" s="42"/>
      <c r="AB231" s="14"/>
      <c r="AC231" s="5" t="s">
        <v>43</v>
      </c>
      <c r="AD231" s="4" t="s">
        <v>314</v>
      </c>
      <c r="AG231" s="59"/>
    </row>
    <row r="232" customFormat="false" ht="14.25" hidden="false" customHeight="true" outlineLevel="0" collapsed="false">
      <c r="A232" s="29"/>
      <c r="B232" s="11"/>
      <c r="C232" s="11" t="s">
        <v>38</v>
      </c>
      <c r="D232" s="29"/>
      <c r="E232" s="4"/>
      <c r="T232" s="9"/>
      <c r="U232" s="9"/>
      <c r="V232" s="9"/>
      <c r="W232" s="9"/>
      <c r="X232" s="9"/>
      <c r="Y232" s="41"/>
      <c r="Z232" s="9"/>
      <c r="AA232" s="42"/>
      <c r="AB232" s="14"/>
      <c r="AC232" s="5"/>
      <c r="AG232" s="59"/>
    </row>
    <row r="233" customFormat="false" ht="14.25" hidden="false" customHeight="true" outlineLevel="0" collapsed="false">
      <c r="A233" s="29"/>
      <c r="B233" s="11"/>
      <c r="C233" s="11" t="s">
        <v>38</v>
      </c>
      <c r="D233" s="29"/>
      <c r="E233" s="4"/>
      <c r="F233" s="47" t="s">
        <v>315</v>
      </c>
      <c r="H233" s="43" t="n">
        <f aca="false">SUM(H225:H231)</f>
        <v>13564</v>
      </c>
      <c r="I233" s="44"/>
      <c r="J233" s="44"/>
      <c r="Q233" s="44" t="n">
        <f aca="false">SUM(Q225:Q231)</f>
        <v>679555</v>
      </c>
      <c r="R233" s="44"/>
      <c r="S233" s="44" t="n">
        <f aca="false">SUM(R223:R232)</f>
        <v>679555</v>
      </c>
      <c r="T233" s="43" t="n">
        <f aca="false">SUM(T225:T231)</f>
        <v>733600</v>
      </c>
      <c r="U233" s="44"/>
      <c r="V233" s="43" t="n">
        <f aca="false">SUM(V225:V231)</f>
        <v>826660</v>
      </c>
      <c r="W233" s="44"/>
      <c r="X233" s="44"/>
      <c r="Y233" s="64"/>
      <c r="Z233" s="44"/>
      <c r="AA233" s="67"/>
      <c r="AB233" s="44" t="n">
        <v>11300000</v>
      </c>
      <c r="AC233" s="5"/>
      <c r="AF233" s="60"/>
      <c r="AG233" s="62"/>
      <c r="AH233" s="60"/>
    </row>
    <row r="234" customFormat="false" ht="14.25" hidden="false" customHeight="true" outlineLevel="0" collapsed="false">
      <c r="A234" s="29"/>
      <c r="B234" s="11"/>
      <c r="C234" s="11" t="s">
        <v>38</v>
      </c>
      <c r="D234" s="29"/>
      <c r="E234" s="4"/>
      <c r="H234" s="43"/>
      <c r="I234" s="44"/>
      <c r="J234" s="44"/>
      <c r="Q234" s="44"/>
      <c r="R234" s="44"/>
      <c r="S234" s="44"/>
      <c r="T234" s="44"/>
      <c r="U234" s="44"/>
      <c r="V234" s="44"/>
      <c r="W234" s="44"/>
      <c r="X234" s="44"/>
      <c r="Y234" s="64"/>
      <c r="Z234" s="44"/>
      <c r="AA234" s="67"/>
      <c r="AB234" s="66"/>
      <c r="AC234" s="5"/>
      <c r="AG234" s="59"/>
    </row>
    <row r="235" customFormat="false" ht="14.25" hidden="false" customHeight="true" outlineLevel="0" collapsed="false">
      <c r="A235" s="29"/>
      <c r="B235" s="11"/>
      <c r="C235" s="11" t="s">
        <v>38</v>
      </c>
      <c r="D235" s="29"/>
      <c r="E235" s="4"/>
      <c r="G235" s="39" t="s">
        <v>316</v>
      </c>
      <c r="I235" s="9"/>
      <c r="J235" s="9"/>
      <c r="K235" s="40"/>
      <c r="P235" s="99"/>
      <c r="T235" s="11"/>
      <c r="U235" s="9"/>
      <c r="V235" s="11"/>
      <c r="W235" s="9"/>
      <c r="X235" s="9"/>
      <c r="Y235" s="41"/>
      <c r="Z235" s="9"/>
      <c r="AA235" s="42"/>
      <c r="AB235" s="14"/>
      <c r="AC235" s="5"/>
      <c r="AG235" s="59"/>
    </row>
    <row r="236" customFormat="false" ht="14.25" hidden="false" customHeight="true" outlineLevel="0" collapsed="false">
      <c r="A236" s="29"/>
      <c r="B236" s="11"/>
      <c r="C236" s="11" t="s">
        <v>38</v>
      </c>
      <c r="D236" s="29"/>
      <c r="E236" s="4"/>
      <c r="I236" s="9"/>
      <c r="J236" s="9"/>
      <c r="P236" s="100"/>
      <c r="T236" s="9"/>
      <c r="U236" s="9"/>
      <c r="V236" s="9"/>
      <c r="W236" s="9"/>
      <c r="X236" s="9"/>
      <c r="Y236" s="41"/>
      <c r="Z236" s="9"/>
      <c r="AA236" s="42"/>
      <c r="AB236" s="14"/>
      <c r="AC236" s="5"/>
      <c r="AG236" s="59"/>
    </row>
    <row r="237" customFormat="false" ht="24" hidden="false" customHeight="true" outlineLevel="0" collapsed="false">
      <c r="A237" s="29"/>
      <c r="B237" s="11" t="s">
        <v>106</v>
      </c>
      <c r="C237" s="11" t="s">
        <v>38</v>
      </c>
      <c r="D237" s="29" t="n">
        <v>550420</v>
      </c>
      <c r="E237" s="4" t="s">
        <v>316</v>
      </c>
      <c r="F237" s="4" t="s">
        <v>317</v>
      </c>
      <c r="G237" s="5" t="s">
        <v>237</v>
      </c>
      <c r="H237" s="6" t="n">
        <v>1115</v>
      </c>
      <c r="I237" s="6" t="n">
        <f aca="false">H237</f>
        <v>1115</v>
      </c>
      <c r="J237" s="6" t="n">
        <v>1000</v>
      </c>
      <c r="K237" s="60" t="s">
        <v>318</v>
      </c>
      <c r="L237" s="7" t="n">
        <v>45504</v>
      </c>
      <c r="M237" s="8" t="n">
        <v>47329</v>
      </c>
      <c r="P237" s="8" t="n">
        <v>46599</v>
      </c>
      <c r="Q237" s="9" t="n">
        <v>60000</v>
      </c>
      <c r="R237" s="9" t="n">
        <f aca="false">Q237</f>
        <v>60000</v>
      </c>
      <c r="T237" s="9" t="n">
        <v>50400</v>
      </c>
      <c r="U237" s="9" t="n">
        <f aca="false">T237</f>
        <v>50400</v>
      </c>
      <c r="V237" s="9" t="n">
        <v>63500</v>
      </c>
      <c r="W237" s="9" t="n">
        <f aca="false">V237</f>
        <v>63500</v>
      </c>
      <c r="X237" s="45" t="n">
        <f aca="false">V237/H237</f>
        <v>56.9506726457399</v>
      </c>
      <c r="Y237" s="46" t="n">
        <f aca="false">SUM(V237-T237)/T237</f>
        <v>0.259920634920635</v>
      </c>
      <c r="Z237" s="9" t="s">
        <v>42</v>
      </c>
      <c r="AA237" s="42"/>
      <c r="AB237" s="14"/>
      <c r="AC237" s="5" t="s">
        <v>43</v>
      </c>
      <c r="AD237" s="4" t="s">
        <v>319</v>
      </c>
      <c r="AF237" s="60"/>
      <c r="AG237" s="62"/>
      <c r="AH237" s="60"/>
    </row>
    <row r="238" customFormat="false" ht="22.5" hidden="false" customHeight="true" outlineLevel="0" collapsed="false">
      <c r="A238" s="29"/>
      <c r="B238" s="11" t="s">
        <v>106</v>
      </c>
      <c r="C238" s="11" t="s">
        <v>38</v>
      </c>
      <c r="D238" s="29" t="n">
        <v>550420</v>
      </c>
      <c r="E238" s="4" t="s">
        <v>316</v>
      </c>
      <c r="F238" s="4" t="s">
        <v>320</v>
      </c>
      <c r="G238" s="5" t="s">
        <v>321</v>
      </c>
      <c r="H238" s="6" t="n">
        <v>488</v>
      </c>
      <c r="I238" s="6" t="n">
        <f aca="false">H238</f>
        <v>488</v>
      </c>
      <c r="J238" s="6" t="n">
        <v>500</v>
      </c>
      <c r="K238" s="4" t="s">
        <v>322</v>
      </c>
      <c r="L238" s="7" t="n">
        <v>45439</v>
      </c>
      <c r="M238" s="8" t="n">
        <v>47264</v>
      </c>
      <c r="Q238" s="9" t="n">
        <v>16000</v>
      </c>
      <c r="R238" s="9" t="n">
        <f aca="false">Q238</f>
        <v>16000</v>
      </c>
      <c r="T238" s="9" t="n">
        <v>13100</v>
      </c>
      <c r="U238" s="9" t="n">
        <f aca="false">T238</f>
        <v>13100</v>
      </c>
      <c r="V238" s="9" t="n">
        <v>14600</v>
      </c>
      <c r="W238" s="9" t="n">
        <f aca="false">V238</f>
        <v>14600</v>
      </c>
      <c r="X238" s="45" t="n">
        <f aca="false">V238/H238</f>
        <v>29.9180327868852</v>
      </c>
      <c r="Y238" s="46" t="n">
        <f aca="false">SUM(V238-T238)/T238</f>
        <v>0.114503816793893</v>
      </c>
      <c r="Z238" s="9" t="s">
        <v>42</v>
      </c>
      <c r="AA238" s="42"/>
      <c r="AB238" s="14"/>
      <c r="AC238" s="5" t="s">
        <v>43</v>
      </c>
      <c r="AD238" s="71"/>
      <c r="AF238" s="71"/>
      <c r="AG238" s="101"/>
      <c r="AH238" s="71"/>
    </row>
    <row r="239" customFormat="false" ht="28.5" hidden="false" customHeight="true" outlineLevel="0" collapsed="false">
      <c r="A239" s="29"/>
      <c r="B239" s="11" t="s">
        <v>106</v>
      </c>
      <c r="C239" s="11" t="s">
        <v>38</v>
      </c>
      <c r="D239" s="29" t="n">
        <v>550420</v>
      </c>
      <c r="E239" s="4" t="s">
        <v>316</v>
      </c>
      <c r="F239" s="4" t="s">
        <v>323</v>
      </c>
      <c r="G239" s="5" t="s">
        <v>237</v>
      </c>
      <c r="H239" s="6" t="n">
        <v>1064</v>
      </c>
      <c r="I239" s="6" t="n">
        <f aca="false">H239</f>
        <v>1064</v>
      </c>
      <c r="J239" s="6" t="n">
        <v>100</v>
      </c>
      <c r="K239" s="4" t="s">
        <v>324</v>
      </c>
      <c r="L239" s="7" t="n">
        <v>44515</v>
      </c>
      <c r="M239" s="8" t="n">
        <v>46340</v>
      </c>
      <c r="Q239" s="9" t="n">
        <v>48000</v>
      </c>
      <c r="R239" s="9" t="n">
        <f aca="false">Q239</f>
        <v>48000</v>
      </c>
      <c r="T239" s="9" t="n">
        <v>48000</v>
      </c>
      <c r="U239" s="9" t="n">
        <f aca="false">T239</f>
        <v>48000</v>
      </c>
      <c r="V239" s="9" t="n">
        <v>48000</v>
      </c>
      <c r="W239" s="9" t="n">
        <f aca="false">V239</f>
        <v>48000</v>
      </c>
      <c r="X239" s="45" t="n">
        <f aca="false">V239/H239</f>
        <v>45.1127819548872</v>
      </c>
      <c r="Y239" s="46" t="n">
        <f aca="false">SUM(V239-T239)/T239</f>
        <v>0</v>
      </c>
      <c r="Z239" s="9" t="s">
        <v>60</v>
      </c>
      <c r="AA239" s="42"/>
      <c r="AB239" s="14"/>
      <c r="AC239" s="5" t="s">
        <v>43</v>
      </c>
      <c r="AG239" s="59"/>
    </row>
    <row r="240" customFormat="false" ht="24" hidden="false" customHeight="true" outlineLevel="0" collapsed="false">
      <c r="A240" s="29"/>
      <c r="B240" s="11" t="s">
        <v>106</v>
      </c>
      <c r="C240" s="11" t="s">
        <v>38</v>
      </c>
      <c r="D240" s="29" t="n">
        <v>550420</v>
      </c>
      <c r="E240" s="4" t="s">
        <v>316</v>
      </c>
      <c r="F240" s="4" t="s">
        <v>325</v>
      </c>
      <c r="G240" s="5" t="s">
        <v>40</v>
      </c>
      <c r="H240" s="6" t="n">
        <v>325</v>
      </c>
      <c r="I240" s="6" t="n">
        <f aca="false">H240</f>
        <v>325</v>
      </c>
      <c r="J240" s="6" t="n">
        <v>500</v>
      </c>
      <c r="K240" s="4" t="s">
        <v>326</v>
      </c>
      <c r="L240" s="7" t="n">
        <v>45709</v>
      </c>
      <c r="M240" s="8" t="n">
        <v>47066</v>
      </c>
      <c r="Q240" s="9" t="n">
        <v>25310</v>
      </c>
      <c r="R240" s="9" t="n">
        <f aca="false">Q240</f>
        <v>25310</v>
      </c>
      <c r="T240" s="9" t="n">
        <v>28000</v>
      </c>
      <c r="U240" s="9" t="n">
        <f aca="false">T240</f>
        <v>28000</v>
      </c>
      <c r="V240" s="9" t="n">
        <v>27600</v>
      </c>
      <c r="W240" s="9" t="n">
        <f aca="false">V240</f>
        <v>27600</v>
      </c>
      <c r="X240" s="45" t="n">
        <f aca="false">V240/H240</f>
        <v>84.9230769230769</v>
      </c>
      <c r="Y240" s="46" t="n">
        <f aca="false">SUM(V240-T240)/T240</f>
        <v>-0.0142857142857143</v>
      </c>
      <c r="Z240" s="98" t="s">
        <v>55</v>
      </c>
      <c r="AA240" s="42"/>
      <c r="AB240" s="14"/>
      <c r="AC240" s="5" t="s">
        <v>43</v>
      </c>
      <c r="AD240" s="4" t="s">
        <v>327</v>
      </c>
      <c r="AG240" s="59" t="n">
        <v>1</v>
      </c>
      <c r="AH240" s="4" t="s">
        <v>57</v>
      </c>
    </row>
    <row r="241" customFormat="false" ht="30.75" hidden="false" customHeight="true" outlineLevel="0" collapsed="false">
      <c r="A241" s="29"/>
      <c r="B241" s="11" t="s">
        <v>106</v>
      </c>
      <c r="C241" s="11" t="s">
        <v>38</v>
      </c>
      <c r="D241" s="29" t="n">
        <v>550420</v>
      </c>
      <c r="E241" s="4" t="s">
        <v>316</v>
      </c>
      <c r="F241" s="4" t="s">
        <v>328</v>
      </c>
      <c r="G241" s="5" t="s">
        <v>40</v>
      </c>
      <c r="H241" s="6" t="n">
        <v>1335</v>
      </c>
      <c r="I241" s="6" t="n">
        <f aca="false">H241</f>
        <v>1335</v>
      </c>
      <c r="J241" s="6" t="n">
        <v>1250</v>
      </c>
      <c r="K241" s="4" t="s">
        <v>329</v>
      </c>
      <c r="L241" s="7" t="n">
        <v>45624</v>
      </c>
      <c r="M241" s="8" t="n">
        <v>47449</v>
      </c>
      <c r="P241" s="8" t="n">
        <v>46718</v>
      </c>
      <c r="Q241" s="9" t="n">
        <v>40200</v>
      </c>
      <c r="R241" s="9" t="n">
        <f aca="false">Q241</f>
        <v>40200</v>
      </c>
      <c r="T241" s="9" t="n">
        <v>73700</v>
      </c>
      <c r="U241" s="9" t="n">
        <f aca="false">T241</f>
        <v>73700</v>
      </c>
      <c r="V241" s="9" t="n">
        <v>75710</v>
      </c>
      <c r="W241" s="9" t="n">
        <f aca="false">V241</f>
        <v>75710</v>
      </c>
      <c r="X241" s="45" t="n">
        <f aca="false">V241/H241</f>
        <v>56.7116104868914</v>
      </c>
      <c r="Y241" s="46" t="n">
        <f aca="false">SUM(V241-T241)/T241</f>
        <v>0.0272727272727273</v>
      </c>
      <c r="Z241" s="98" t="s">
        <v>55</v>
      </c>
      <c r="AA241" s="42"/>
      <c r="AB241" s="14"/>
      <c r="AC241" s="5" t="s">
        <v>43</v>
      </c>
      <c r="AD241" s="4" t="s">
        <v>330</v>
      </c>
      <c r="AG241" s="59" t="n">
        <v>1</v>
      </c>
      <c r="AH241" s="4" t="s">
        <v>57</v>
      </c>
    </row>
    <row r="242" customFormat="false" ht="24" hidden="false" customHeight="true" outlineLevel="0" collapsed="false">
      <c r="A242" s="29"/>
      <c r="B242" s="11" t="s">
        <v>106</v>
      </c>
      <c r="C242" s="11" t="s">
        <v>38</v>
      </c>
      <c r="D242" s="29" t="n">
        <v>550420</v>
      </c>
      <c r="E242" s="4" t="s">
        <v>316</v>
      </c>
      <c r="F242" s="4" t="s">
        <v>331</v>
      </c>
      <c r="G242" s="5" t="s">
        <v>40</v>
      </c>
      <c r="H242" s="6" t="n">
        <v>533</v>
      </c>
      <c r="I242" s="6" t="n">
        <f aca="false">H242</f>
        <v>533</v>
      </c>
      <c r="J242" s="6" t="n">
        <v>500</v>
      </c>
      <c r="K242" s="4" t="s">
        <v>67</v>
      </c>
      <c r="N242" s="8" t="n">
        <v>44536</v>
      </c>
      <c r="Q242" s="9" t="n">
        <v>0</v>
      </c>
      <c r="R242" s="9" t="n">
        <f aca="false">Q242</f>
        <v>0</v>
      </c>
      <c r="T242" s="9" t="n">
        <v>28900</v>
      </c>
      <c r="U242" s="9" t="n">
        <f aca="false">T242</f>
        <v>28900</v>
      </c>
      <c r="V242" s="9" t="n">
        <v>29300</v>
      </c>
      <c r="W242" s="9" t="n">
        <f aca="false">V242</f>
        <v>29300</v>
      </c>
      <c r="X242" s="45" t="n">
        <f aca="false">V242/H242</f>
        <v>54.9718574108818</v>
      </c>
      <c r="Y242" s="46" t="n">
        <f aca="false">SUM(V242-T242)/T242</f>
        <v>0.013840830449827</v>
      </c>
      <c r="Z242" s="9" t="s">
        <v>42</v>
      </c>
      <c r="AA242" s="42"/>
      <c r="AB242" s="14"/>
      <c r="AC242" s="5" t="s">
        <v>43</v>
      </c>
      <c r="AD242" s="4" t="s">
        <v>119</v>
      </c>
      <c r="AF242" s="4" t="n">
        <v>1</v>
      </c>
      <c r="AG242" s="59" t="n">
        <v>1</v>
      </c>
    </row>
    <row r="243" customFormat="false" ht="24" hidden="false" customHeight="true" outlineLevel="0" collapsed="false">
      <c r="A243" s="29"/>
      <c r="B243" s="11" t="s">
        <v>106</v>
      </c>
      <c r="C243" s="11" t="s">
        <v>38</v>
      </c>
      <c r="D243" s="29" t="n">
        <v>550420</v>
      </c>
      <c r="E243" s="4" t="s">
        <v>316</v>
      </c>
      <c r="F243" s="4" t="s">
        <v>93</v>
      </c>
      <c r="G243" s="5" t="s">
        <v>40</v>
      </c>
      <c r="H243" s="6" t="n">
        <v>1404</v>
      </c>
      <c r="I243" s="6" t="n">
        <f aca="false">H243</f>
        <v>1404</v>
      </c>
      <c r="J243" s="6" t="n">
        <v>1500</v>
      </c>
      <c r="K243" s="4" t="s">
        <v>332</v>
      </c>
      <c r="L243" s="7" t="n">
        <v>44490</v>
      </c>
      <c r="M243" s="8" t="n">
        <v>45930</v>
      </c>
      <c r="O243" s="8" t="n">
        <v>45258</v>
      </c>
      <c r="Q243" s="9" t="n">
        <v>78000</v>
      </c>
      <c r="R243" s="9" t="n">
        <f aca="false">Q243</f>
        <v>78000</v>
      </c>
      <c r="T243" s="9" t="n">
        <v>79100</v>
      </c>
      <c r="U243" s="9" t="n">
        <f aca="false">T243</f>
        <v>79100</v>
      </c>
      <c r="V243" s="9" t="n">
        <v>80700</v>
      </c>
      <c r="W243" s="9" t="n">
        <f aca="false">V243</f>
        <v>80700</v>
      </c>
      <c r="X243" s="45" t="n">
        <f aca="false">V243/H243</f>
        <v>57.4786324786325</v>
      </c>
      <c r="Y243" s="46" t="n">
        <f aca="false">SUM(V243-T243)/T243</f>
        <v>0.0202275600505689</v>
      </c>
      <c r="Z243" s="9" t="s">
        <v>42</v>
      </c>
      <c r="AA243" s="42"/>
      <c r="AB243" s="14"/>
      <c r="AC243" s="5" t="s">
        <v>43</v>
      </c>
      <c r="AG243" s="59"/>
    </row>
    <row r="244" s="72" customFormat="true" ht="24" hidden="false" customHeight="true" outlineLevel="0" collapsed="false">
      <c r="A244" s="29"/>
      <c r="B244" s="11" t="s">
        <v>106</v>
      </c>
      <c r="C244" s="11" t="s">
        <v>38</v>
      </c>
      <c r="D244" s="29" t="n">
        <v>550420</v>
      </c>
      <c r="E244" s="4" t="s">
        <v>316</v>
      </c>
      <c r="F244" s="4" t="s">
        <v>94</v>
      </c>
      <c r="G244" s="5" t="s">
        <v>40</v>
      </c>
      <c r="H244" s="6" t="n">
        <v>1404</v>
      </c>
      <c r="I244" s="6" t="n">
        <f aca="false">H244</f>
        <v>1404</v>
      </c>
      <c r="J244" s="6" t="n">
        <v>1500</v>
      </c>
      <c r="K244" s="4" t="s">
        <v>332</v>
      </c>
      <c r="L244" s="7" t="n">
        <v>45259</v>
      </c>
      <c r="M244" s="8" t="n">
        <v>45930</v>
      </c>
      <c r="N244" s="8"/>
      <c r="O244" s="8"/>
      <c r="P244" s="8" t="n">
        <v>45930</v>
      </c>
      <c r="Q244" s="9" t="n">
        <v>78800</v>
      </c>
      <c r="R244" s="9" t="n">
        <f aca="false">Q244</f>
        <v>78800</v>
      </c>
      <c r="S244" s="9"/>
      <c r="T244" s="9" t="n">
        <v>79600</v>
      </c>
      <c r="U244" s="9" t="n">
        <f aca="false">T244</f>
        <v>79600</v>
      </c>
      <c r="V244" s="9" t="n">
        <v>80700</v>
      </c>
      <c r="W244" s="9" t="n">
        <f aca="false">V244</f>
        <v>80700</v>
      </c>
      <c r="X244" s="45" t="n">
        <f aca="false">V244/H244</f>
        <v>57.4786324786325</v>
      </c>
      <c r="Y244" s="46" t="n">
        <f aca="false">SUM(V244-T244)/T244</f>
        <v>0.0138190954773869</v>
      </c>
      <c r="Z244" s="9" t="s">
        <v>42</v>
      </c>
      <c r="AA244" s="42"/>
      <c r="AB244" s="14"/>
      <c r="AC244" s="5" t="s">
        <v>43</v>
      </c>
      <c r="AD244" s="4" t="s">
        <v>333</v>
      </c>
      <c r="AE244" s="15"/>
      <c r="AF244" s="4"/>
      <c r="AG244" s="59"/>
      <c r="AH244" s="4"/>
      <c r="AJ244" s="73"/>
    </row>
    <row r="245" s="72" customFormat="true" ht="28.5" hidden="false" customHeight="true" outlineLevel="0" collapsed="false">
      <c r="A245" s="29"/>
      <c r="B245" s="11" t="s">
        <v>106</v>
      </c>
      <c r="C245" s="11" t="s">
        <v>38</v>
      </c>
      <c r="D245" s="29" t="n">
        <v>550420</v>
      </c>
      <c r="E245" s="4" t="s">
        <v>316</v>
      </c>
      <c r="F245" s="4" t="s">
        <v>118</v>
      </c>
      <c r="G245" s="5" t="s">
        <v>40</v>
      </c>
      <c r="H245" s="6" t="n">
        <v>1330</v>
      </c>
      <c r="I245" s="6" t="n">
        <f aca="false">H245</f>
        <v>1330</v>
      </c>
      <c r="J245" s="6" t="n">
        <v>1250</v>
      </c>
      <c r="K245" s="4" t="s">
        <v>334</v>
      </c>
      <c r="L245" s="7" t="n">
        <v>45762</v>
      </c>
      <c r="M245" s="8" t="n">
        <v>47587</v>
      </c>
      <c r="N245" s="8"/>
      <c r="O245" s="8"/>
      <c r="P245" s="8" t="n">
        <v>46857</v>
      </c>
      <c r="Q245" s="9" t="n">
        <v>86450</v>
      </c>
      <c r="R245" s="9" t="n">
        <f aca="false">Q245</f>
        <v>86450</v>
      </c>
      <c r="S245" s="9"/>
      <c r="T245" s="9" t="n">
        <v>78200</v>
      </c>
      <c r="U245" s="9" t="n">
        <f aca="false">T245</f>
        <v>78200</v>
      </c>
      <c r="V245" s="9" t="n">
        <v>76500</v>
      </c>
      <c r="W245" s="9" t="n">
        <f aca="false">V245</f>
        <v>76500</v>
      </c>
      <c r="X245" s="45" t="n">
        <f aca="false">V245/H245</f>
        <v>57.5187969924812</v>
      </c>
      <c r="Y245" s="46" t="n">
        <f aca="false">SUM(V245-T245)/T245</f>
        <v>-0.0217391304347826</v>
      </c>
      <c r="Z245" s="9" t="s">
        <v>55</v>
      </c>
      <c r="AA245" s="42"/>
      <c r="AB245" s="14"/>
      <c r="AC245" s="5" t="s">
        <v>43</v>
      </c>
      <c r="AD245" s="4" t="s">
        <v>77</v>
      </c>
      <c r="AE245" s="15" t="n">
        <v>63</v>
      </c>
      <c r="AF245" s="4"/>
      <c r="AG245" s="59" t="n">
        <v>4</v>
      </c>
      <c r="AH245" s="4" t="s">
        <v>57</v>
      </c>
      <c r="AJ245" s="73"/>
    </row>
    <row r="246" customFormat="false" ht="14.25" hidden="false" customHeight="true" outlineLevel="0" collapsed="false">
      <c r="A246" s="29"/>
      <c r="B246" s="11"/>
      <c r="C246" s="11" t="s">
        <v>38</v>
      </c>
      <c r="D246" s="29"/>
      <c r="E246" s="4"/>
      <c r="I246" s="9"/>
      <c r="J246" s="9"/>
      <c r="T246" s="9"/>
      <c r="U246" s="9"/>
      <c r="V246" s="9"/>
      <c r="W246" s="9"/>
      <c r="X246" s="45"/>
      <c r="Y246" s="41"/>
      <c r="Z246" s="9"/>
      <c r="AA246" s="42"/>
      <c r="AB246" s="14"/>
      <c r="AC246" s="5"/>
      <c r="AG246" s="59"/>
    </row>
    <row r="247" customFormat="false" ht="14.25" hidden="false" customHeight="true" outlineLevel="0" collapsed="false">
      <c r="A247" s="29"/>
      <c r="B247" s="11"/>
      <c r="C247" s="11" t="s">
        <v>38</v>
      </c>
      <c r="D247" s="29"/>
      <c r="E247" s="4"/>
      <c r="F247" s="47" t="s">
        <v>335</v>
      </c>
      <c r="H247" s="43" t="n">
        <f aca="false">SUM(H237:H245)</f>
        <v>8998</v>
      </c>
      <c r="I247" s="44"/>
      <c r="J247" s="44"/>
      <c r="Q247" s="44" t="n">
        <f aca="false">SUM(Q237:Q245)</f>
        <v>432760</v>
      </c>
      <c r="R247" s="44"/>
      <c r="S247" s="44" t="n">
        <f aca="false">SUM(R236:R246)</f>
        <v>432760</v>
      </c>
      <c r="T247" s="44" t="n">
        <f aca="false">SUM(T237:T245)</f>
        <v>479000</v>
      </c>
      <c r="U247" s="44"/>
      <c r="V247" s="44" t="n">
        <f aca="false">SUM(V237:V245)</f>
        <v>496610</v>
      </c>
      <c r="W247" s="44"/>
      <c r="X247" s="45" t="n">
        <f aca="false">V247/H247</f>
        <v>55.1911535896866</v>
      </c>
      <c r="Y247" s="64"/>
      <c r="Z247" s="44"/>
      <c r="AA247" s="67"/>
      <c r="AB247" s="44" t="n">
        <v>6850000</v>
      </c>
      <c r="AC247" s="5"/>
      <c r="AF247" s="60"/>
      <c r="AG247" s="62"/>
      <c r="AH247" s="60"/>
    </row>
    <row r="248" customFormat="false" ht="14.25" hidden="false" customHeight="true" outlineLevel="0" collapsed="false">
      <c r="A248" s="29"/>
      <c r="B248" s="11"/>
      <c r="C248" s="11" t="s">
        <v>38</v>
      </c>
      <c r="D248" s="29"/>
      <c r="E248" s="4"/>
      <c r="F248" s="47"/>
      <c r="H248" s="43"/>
      <c r="I248" s="44"/>
      <c r="J248" s="44"/>
      <c r="Q248" s="44"/>
      <c r="R248" s="44"/>
      <c r="S248" s="44"/>
      <c r="T248" s="44"/>
      <c r="U248" s="44"/>
      <c r="V248" s="44"/>
      <c r="W248" s="44"/>
      <c r="X248" s="45"/>
      <c r="Y248" s="64"/>
      <c r="Z248" s="44"/>
      <c r="AA248" s="67"/>
      <c r="AB248" s="66"/>
      <c r="AC248" s="5"/>
      <c r="AG248" s="59"/>
    </row>
    <row r="249" customFormat="false" ht="14.25" hidden="false" customHeight="true" outlineLevel="0" collapsed="false">
      <c r="A249" s="29"/>
      <c r="B249" s="11"/>
      <c r="C249" s="11" t="s">
        <v>38</v>
      </c>
      <c r="D249" s="29"/>
      <c r="E249" s="4"/>
      <c r="F249" s="47"/>
      <c r="G249" s="39" t="s">
        <v>336</v>
      </c>
      <c r="H249" s="43"/>
      <c r="I249" s="44"/>
      <c r="J249" s="44"/>
      <c r="Q249" s="44"/>
      <c r="R249" s="44"/>
      <c r="S249" s="44"/>
      <c r="T249" s="44"/>
      <c r="U249" s="44"/>
      <c r="V249" s="44"/>
      <c r="W249" s="44"/>
      <c r="X249" s="45"/>
      <c r="Y249" s="64"/>
      <c r="Z249" s="44"/>
      <c r="AA249" s="67"/>
      <c r="AB249" s="66"/>
      <c r="AC249" s="5"/>
      <c r="AG249" s="59"/>
    </row>
    <row r="250" customFormat="false" ht="14.25" hidden="false" customHeight="true" outlineLevel="0" collapsed="false">
      <c r="A250" s="29"/>
      <c r="B250" s="11"/>
      <c r="C250" s="11" t="s">
        <v>38</v>
      </c>
      <c r="D250" s="29"/>
      <c r="E250" s="4"/>
      <c r="I250" s="9"/>
      <c r="J250" s="9"/>
      <c r="T250" s="9"/>
      <c r="U250" s="9"/>
      <c r="V250" s="9"/>
      <c r="W250" s="9"/>
      <c r="X250" s="45"/>
      <c r="Y250" s="41"/>
      <c r="Z250" s="9"/>
      <c r="AA250" s="42"/>
      <c r="AB250" s="14"/>
      <c r="AC250" s="5"/>
      <c r="AG250" s="59"/>
    </row>
    <row r="251" customFormat="false" ht="24" hidden="false" customHeight="true" outlineLevel="0" collapsed="false">
      <c r="A251" s="29"/>
      <c r="B251" s="11" t="s">
        <v>47</v>
      </c>
      <c r="C251" s="11" t="s">
        <v>38</v>
      </c>
      <c r="D251" s="29" t="n">
        <v>550190</v>
      </c>
      <c r="E251" s="4" t="s">
        <v>336</v>
      </c>
      <c r="F251" s="4" t="s">
        <v>337</v>
      </c>
      <c r="G251" s="5" t="s">
        <v>309</v>
      </c>
      <c r="H251" s="6" t="n">
        <v>3443</v>
      </c>
      <c r="I251" s="6" t="n">
        <f aca="false">H251</f>
        <v>3443</v>
      </c>
      <c r="J251" s="6" t="n">
        <v>3500</v>
      </c>
      <c r="K251" s="4" t="s">
        <v>338</v>
      </c>
      <c r="L251" s="7" t="n">
        <v>44348</v>
      </c>
      <c r="M251" s="8" t="n">
        <v>47999</v>
      </c>
      <c r="O251" s="8" t="n">
        <v>46174</v>
      </c>
      <c r="P251" s="8" t="n">
        <v>46173</v>
      </c>
      <c r="Q251" s="9" t="n">
        <v>75000</v>
      </c>
      <c r="R251" s="9" t="n">
        <f aca="false">Q251</f>
        <v>75000</v>
      </c>
      <c r="T251" s="9" t="n">
        <v>75800</v>
      </c>
      <c r="U251" s="9" t="n">
        <f aca="false">T251</f>
        <v>75800</v>
      </c>
      <c r="V251" s="9" t="n">
        <v>75000</v>
      </c>
      <c r="W251" s="9" t="n">
        <f aca="false">V251</f>
        <v>75000</v>
      </c>
      <c r="X251" s="45" t="n">
        <f aca="false">V251/H251</f>
        <v>21.7833284925937</v>
      </c>
      <c r="Y251" s="46" t="n">
        <f aca="false">SUM(V251-T251)/T251</f>
        <v>-0.0105540897097625</v>
      </c>
      <c r="Z251" s="9" t="s">
        <v>55</v>
      </c>
      <c r="AA251" s="42"/>
      <c r="AB251" s="14"/>
      <c r="AC251" s="5" t="s">
        <v>43</v>
      </c>
      <c r="AD251" s="4" t="s">
        <v>339</v>
      </c>
      <c r="AG251" s="59"/>
    </row>
    <row r="252" customFormat="false" ht="28.5" hidden="false" customHeight="true" outlineLevel="0" collapsed="false">
      <c r="A252" s="29"/>
      <c r="B252" s="11" t="s">
        <v>47</v>
      </c>
      <c r="C252" s="11" t="s">
        <v>38</v>
      </c>
      <c r="D252" s="29" t="n">
        <v>550190</v>
      </c>
      <c r="E252" s="4" t="s">
        <v>336</v>
      </c>
      <c r="F252" s="4" t="s">
        <v>340</v>
      </c>
      <c r="G252" s="5" t="s">
        <v>40</v>
      </c>
      <c r="H252" s="6" t="n">
        <v>1946</v>
      </c>
      <c r="I252" s="6" t="n">
        <f aca="false">H252</f>
        <v>1946</v>
      </c>
      <c r="J252" s="6" t="n">
        <v>2000</v>
      </c>
      <c r="K252" s="4" t="s">
        <v>67</v>
      </c>
      <c r="N252" s="8" t="n">
        <v>45154</v>
      </c>
      <c r="Q252" s="9" t="n">
        <v>0</v>
      </c>
      <c r="R252" s="9" t="n">
        <f aca="false">Q252</f>
        <v>0</v>
      </c>
      <c r="T252" s="9" t="n">
        <v>113900</v>
      </c>
      <c r="U252" s="9" t="n">
        <f aca="false">T252</f>
        <v>113900</v>
      </c>
      <c r="V252" s="9" t="n">
        <v>116800</v>
      </c>
      <c r="W252" s="9" t="n">
        <f aca="false">V252</f>
        <v>116800</v>
      </c>
      <c r="X252" s="45" t="n">
        <f aca="false">V252/H252</f>
        <v>60.0205549845838</v>
      </c>
      <c r="Y252" s="46" t="n">
        <f aca="false">SUM(V252-T252)/T252</f>
        <v>0.0254609306409131</v>
      </c>
      <c r="Z252" s="9" t="s">
        <v>127</v>
      </c>
      <c r="AA252" s="42"/>
      <c r="AB252" s="14"/>
      <c r="AC252" s="5" t="s">
        <v>43</v>
      </c>
      <c r="AD252" s="4" t="s">
        <v>68</v>
      </c>
      <c r="AE252" s="15" t="n">
        <v>60</v>
      </c>
      <c r="AF252" s="4" t="n">
        <v>5</v>
      </c>
      <c r="AG252" s="59" t="n">
        <v>11</v>
      </c>
      <c r="AH252" s="4" t="s">
        <v>57</v>
      </c>
    </row>
    <row r="253" customFormat="false" ht="13.5" hidden="false" customHeight="false" outlineLevel="0" collapsed="false">
      <c r="A253" s="29"/>
      <c r="B253" s="11" t="s">
        <v>47</v>
      </c>
      <c r="C253" s="11" t="s">
        <v>38</v>
      </c>
      <c r="D253" s="29" t="n">
        <v>550190</v>
      </c>
      <c r="E253" s="4" t="s">
        <v>336</v>
      </c>
      <c r="F253" s="4" t="s">
        <v>89</v>
      </c>
      <c r="G253" s="5" t="s">
        <v>40</v>
      </c>
      <c r="H253" s="6" t="n">
        <v>2319</v>
      </c>
      <c r="I253" s="6" t="n">
        <f aca="false">H253</f>
        <v>2319</v>
      </c>
      <c r="J253" s="6" t="n">
        <v>2250</v>
      </c>
      <c r="K253" s="4" t="s">
        <v>341</v>
      </c>
      <c r="L253" s="7" t="n">
        <v>44839</v>
      </c>
      <c r="M253" s="8" t="n">
        <v>46664</v>
      </c>
      <c r="P253" s="8" t="n">
        <v>45935</v>
      </c>
      <c r="Q253" s="9" t="n">
        <v>153216</v>
      </c>
      <c r="R253" s="9" t="n">
        <f aca="false">Q253</f>
        <v>153216</v>
      </c>
      <c r="T253" s="9" t="n">
        <v>153600</v>
      </c>
      <c r="U253" s="9" t="n">
        <f aca="false">T253</f>
        <v>153600</v>
      </c>
      <c r="V253" s="9" t="n">
        <v>151900</v>
      </c>
      <c r="W253" s="9" t="n">
        <f aca="false">V253</f>
        <v>151900</v>
      </c>
      <c r="X253" s="45" t="n">
        <f aca="false">V253/H253</f>
        <v>65.5023717119448</v>
      </c>
      <c r="Y253" s="46" t="n">
        <f aca="false">SUM(V253-T253)/T253</f>
        <v>-0.0110677083333333</v>
      </c>
      <c r="Z253" s="9" t="s">
        <v>60</v>
      </c>
      <c r="AA253" s="42"/>
      <c r="AB253" s="14"/>
      <c r="AC253" s="5" t="s">
        <v>43</v>
      </c>
      <c r="AD253" s="4" t="s">
        <v>342</v>
      </c>
      <c r="AG253" s="59"/>
    </row>
    <row r="254" customFormat="false" ht="28.5" hidden="false" customHeight="true" outlineLevel="0" collapsed="false">
      <c r="A254" s="29"/>
      <c r="B254" s="11" t="s">
        <v>47</v>
      </c>
      <c r="C254" s="11" t="s">
        <v>38</v>
      </c>
      <c r="D254" s="29" t="n">
        <v>550190</v>
      </c>
      <c r="E254" s="4" t="s">
        <v>336</v>
      </c>
      <c r="F254" s="4" t="s">
        <v>343</v>
      </c>
      <c r="G254" s="5" t="s">
        <v>40</v>
      </c>
      <c r="H254" s="6" t="n">
        <v>4653</v>
      </c>
      <c r="I254" s="6" t="n">
        <f aca="false">H254</f>
        <v>4653</v>
      </c>
      <c r="J254" s="6" t="n">
        <v>4500</v>
      </c>
      <c r="K254" s="4" t="s">
        <v>344</v>
      </c>
      <c r="L254" s="7" t="n">
        <v>44879</v>
      </c>
      <c r="M254" s="8" t="n">
        <v>46704</v>
      </c>
      <c r="P254" s="8" t="n">
        <v>45974</v>
      </c>
      <c r="Q254" s="9" t="n">
        <v>310500</v>
      </c>
      <c r="R254" s="9" t="n">
        <f aca="false">Q254</f>
        <v>310500</v>
      </c>
      <c r="T254" s="9" t="n">
        <v>310800</v>
      </c>
      <c r="U254" s="9" t="n">
        <f aca="false">T254</f>
        <v>310800</v>
      </c>
      <c r="V254" s="9" t="n">
        <v>316400</v>
      </c>
      <c r="W254" s="9" t="n">
        <f aca="false">V254</f>
        <v>316400</v>
      </c>
      <c r="X254" s="45" t="n">
        <f aca="false">V254/H254</f>
        <v>67.9991403395659</v>
      </c>
      <c r="Y254" s="46" t="n">
        <f aca="false">SUM(V254-T254)/T254</f>
        <v>0.018018018018018</v>
      </c>
      <c r="Z254" s="9" t="s">
        <v>60</v>
      </c>
      <c r="AA254" s="42"/>
      <c r="AB254" s="14"/>
      <c r="AC254" s="5" t="s">
        <v>43</v>
      </c>
      <c r="AD254" s="4" t="s">
        <v>345</v>
      </c>
      <c r="AG254" s="59"/>
    </row>
    <row r="255" customFormat="false" ht="13.5" hidden="false" customHeight="false" outlineLevel="0" collapsed="false">
      <c r="A255" s="29"/>
      <c r="B255" s="11" t="s">
        <v>47</v>
      </c>
      <c r="C255" s="11" t="s">
        <v>38</v>
      </c>
      <c r="D255" s="29" t="n">
        <v>550190</v>
      </c>
      <c r="E255" s="4" t="s">
        <v>336</v>
      </c>
      <c r="F255" s="4" t="s">
        <v>118</v>
      </c>
      <c r="G255" s="5" t="s">
        <v>40</v>
      </c>
      <c r="H255" s="6" t="n">
        <v>2316</v>
      </c>
      <c r="I255" s="6" t="n">
        <f aca="false">H255</f>
        <v>2316</v>
      </c>
      <c r="J255" s="6" t="n">
        <v>2250</v>
      </c>
      <c r="K255" s="4" t="s">
        <v>346</v>
      </c>
      <c r="L255" s="7" t="n">
        <v>44883</v>
      </c>
      <c r="M255" s="8" t="n">
        <v>46708</v>
      </c>
      <c r="P255" s="8" t="n">
        <v>45978</v>
      </c>
      <c r="Q255" s="9" t="n">
        <v>151875</v>
      </c>
      <c r="R255" s="9" t="n">
        <f aca="false">Q255</f>
        <v>151875</v>
      </c>
      <c r="T255" s="9" t="n">
        <v>152900</v>
      </c>
      <c r="U255" s="9" t="n">
        <f aca="false">T255</f>
        <v>152900</v>
      </c>
      <c r="V255" s="9" t="n">
        <v>157500</v>
      </c>
      <c r="W255" s="9" t="n">
        <f aca="false">V255</f>
        <v>157500</v>
      </c>
      <c r="X255" s="45" t="n">
        <f aca="false">V255/H255</f>
        <v>68.0051813471503</v>
      </c>
      <c r="Y255" s="46" t="n">
        <f aca="false">SUM(V255-T255)/T255</f>
        <v>0.0300850228907783</v>
      </c>
      <c r="Z255" s="9" t="s">
        <v>127</v>
      </c>
      <c r="AA255" s="42"/>
      <c r="AB255" s="14"/>
      <c r="AC255" s="5" t="s">
        <v>43</v>
      </c>
      <c r="AD255" s="4" t="s">
        <v>75</v>
      </c>
      <c r="AG255" s="59"/>
    </row>
    <row r="256" customFormat="false" ht="19.4" hidden="false" customHeight="false" outlineLevel="0" collapsed="false">
      <c r="A256" s="29"/>
      <c r="B256" s="11" t="s">
        <v>47</v>
      </c>
      <c r="C256" s="11" t="s">
        <v>38</v>
      </c>
      <c r="D256" s="29" t="n">
        <v>550190</v>
      </c>
      <c r="E256" s="4" t="s">
        <v>336</v>
      </c>
      <c r="F256" s="4" t="s">
        <v>180</v>
      </c>
      <c r="G256" s="5" t="s">
        <v>40</v>
      </c>
      <c r="H256" s="6" t="n">
        <v>2096</v>
      </c>
      <c r="I256" s="6" t="n">
        <f aca="false">H256</f>
        <v>2096</v>
      </c>
      <c r="J256" s="6" t="n">
        <v>2000</v>
      </c>
      <c r="K256" s="4" t="s">
        <v>347</v>
      </c>
      <c r="L256" s="7" t="n">
        <v>44470</v>
      </c>
      <c r="M256" s="8" t="n">
        <v>46295</v>
      </c>
      <c r="Q256" s="9" t="n">
        <v>120750</v>
      </c>
      <c r="R256" s="9" t="n">
        <f aca="false">Q256</f>
        <v>120750</v>
      </c>
      <c r="T256" s="9" t="n">
        <v>141800</v>
      </c>
      <c r="U256" s="9" t="n">
        <f aca="false">T256</f>
        <v>141800</v>
      </c>
      <c r="V256" s="9" t="n">
        <v>142500</v>
      </c>
      <c r="W256" s="9" t="n">
        <f aca="false">V256</f>
        <v>142500</v>
      </c>
      <c r="X256" s="45" t="n">
        <f aca="false">V256/H256</f>
        <v>67.986641221374</v>
      </c>
      <c r="Y256" s="46" t="n">
        <f aca="false">SUM(V256-T256)/T256</f>
        <v>0.00493653032440056</v>
      </c>
      <c r="Z256" s="9" t="s">
        <v>127</v>
      </c>
      <c r="AA256" s="42"/>
      <c r="AB256" s="14"/>
      <c r="AC256" s="5" t="s">
        <v>43</v>
      </c>
      <c r="AD256" s="4" t="s">
        <v>348</v>
      </c>
      <c r="AG256" s="59"/>
    </row>
    <row r="257" customFormat="false" ht="13.5" hidden="false" customHeight="false" outlineLevel="0" collapsed="false">
      <c r="A257" s="29"/>
      <c r="B257" s="11"/>
      <c r="C257" s="11" t="s">
        <v>38</v>
      </c>
      <c r="D257" s="29"/>
      <c r="E257" s="4"/>
      <c r="I257" s="9"/>
      <c r="J257" s="9"/>
      <c r="T257" s="9"/>
      <c r="U257" s="9"/>
      <c r="V257" s="9"/>
      <c r="W257" s="9"/>
      <c r="X257" s="45"/>
      <c r="Y257" s="41"/>
      <c r="Z257" s="9"/>
      <c r="AA257" s="42"/>
      <c r="AB257" s="14"/>
      <c r="AC257" s="5"/>
      <c r="AG257" s="59"/>
    </row>
    <row r="258" customFormat="false" ht="14.25" hidden="false" customHeight="true" outlineLevel="0" collapsed="false">
      <c r="A258" s="29"/>
      <c r="B258" s="11"/>
      <c r="C258" s="11" t="s">
        <v>38</v>
      </c>
      <c r="D258" s="29"/>
      <c r="E258" s="4"/>
      <c r="F258" s="47" t="s">
        <v>349</v>
      </c>
      <c r="H258" s="43" t="n">
        <f aca="false">SUM(H251:H256)</f>
        <v>16773</v>
      </c>
      <c r="I258" s="44"/>
      <c r="J258" s="44"/>
      <c r="Q258" s="44" t="n">
        <f aca="false">SUM(Q251:Q256)</f>
        <v>811341</v>
      </c>
      <c r="R258" s="44"/>
      <c r="S258" s="44" t="n">
        <f aca="false">SUM(R250:R257)</f>
        <v>811341</v>
      </c>
      <c r="T258" s="43" t="n">
        <f aca="false">SUM(T251:T256)</f>
        <v>948800</v>
      </c>
      <c r="U258" s="44"/>
      <c r="V258" s="43" t="n">
        <f aca="false">SUM(V251:V256)</f>
        <v>960100</v>
      </c>
      <c r="W258" s="44"/>
      <c r="X258" s="45"/>
      <c r="Y258" s="64"/>
      <c r="Z258" s="44"/>
      <c r="AA258" s="67"/>
      <c r="AB258" s="44" t="n">
        <v>15675000</v>
      </c>
      <c r="AC258" s="5"/>
      <c r="AF258" s="60"/>
      <c r="AG258" s="62"/>
      <c r="AH258" s="60"/>
    </row>
    <row r="259" customFormat="false" ht="14.25" hidden="false" customHeight="true" outlineLevel="0" collapsed="false">
      <c r="A259" s="29"/>
      <c r="B259" s="11"/>
      <c r="C259" s="11" t="s">
        <v>38</v>
      </c>
      <c r="D259" s="29"/>
      <c r="E259" s="4"/>
      <c r="H259" s="43"/>
      <c r="I259" s="44"/>
      <c r="J259" s="44"/>
      <c r="Q259" s="44"/>
      <c r="R259" s="44"/>
      <c r="S259" s="44"/>
      <c r="T259" s="44"/>
      <c r="U259" s="44"/>
      <c r="V259" s="44"/>
      <c r="W259" s="44"/>
      <c r="X259" s="45"/>
      <c r="Y259" s="64"/>
      <c r="Z259" s="44"/>
      <c r="AA259" s="67"/>
      <c r="AB259" s="66"/>
      <c r="AC259" s="5"/>
      <c r="AG259" s="59"/>
    </row>
    <row r="260" customFormat="false" ht="14.25" hidden="false" customHeight="true" outlineLevel="0" collapsed="false">
      <c r="A260" s="29"/>
      <c r="B260" s="11"/>
      <c r="C260" s="11" t="s">
        <v>38</v>
      </c>
      <c r="D260" s="29"/>
      <c r="E260" s="4"/>
      <c r="G260" s="39" t="s">
        <v>350</v>
      </c>
      <c r="I260" s="9"/>
      <c r="J260" s="9"/>
      <c r="K260" s="40"/>
      <c r="T260" s="11"/>
      <c r="U260" s="9"/>
      <c r="V260" s="11"/>
      <c r="W260" s="9"/>
      <c r="X260" s="45"/>
      <c r="Y260" s="41"/>
      <c r="Z260" s="9"/>
      <c r="AA260" s="42"/>
      <c r="AB260" s="14"/>
      <c r="AC260" s="5"/>
      <c r="AG260" s="59"/>
    </row>
    <row r="261" customFormat="false" ht="13.5" hidden="false" customHeight="false" outlineLevel="0" collapsed="false">
      <c r="A261" s="29"/>
      <c r="B261" s="11"/>
      <c r="C261" s="11" t="s">
        <v>38</v>
      </c>
      <c r="D261" s="29"/>
      <c r="E261" s="4"/>
      <c r="G261" s="39"/>
      <c r="H261" s="76"/>
      <c r="I261" s="9"/>
      <c r="J261" s="9"/>
      <c r="K261" s="97"/>
      <c r="L261" s="80"/>
      <c r="M261" s="80"/>
      <c r="N261" s="80"/>
      <c r="T261" s="9"/>
      <c r="U261" s="9"/>
      <c r="V261" s="9"/>
      <c r="W261" s="9"/>
      <c r="X261" s="45"/>
      <c r="Y261" s="41"/>
      <c r="Z261" s="9"/>
      <c r="AA261" s="42"/>
      <c r="AB261" s="14"/>
      <c r="AC261" s="5"/>
      <c r="AG261" s="59"/>
    </row>
    <row r="262" customFormat="false" ht="24" hidden="false" customHeight="true" outlineLevel="0" collapsed="false">
      <c r="A262" s="29"/>
      <c r="B262" s="11" t="s">
        <v>106</v>
      </c>
      <c r="C262" s="11" t="s">
        <v>38</v>
      </c>
      <c r="D262" s="29" t="n">
        <v>550570</v>
      </c>
      <c r="E262" s="4" t="s">
        <v>350</v>
      </c>
      <c r="F262" s="4" t="s">
        <v>351</v>
      </c>
      <c r="G262" s="5" t="s">
        <v>352</v>
      </c>
      <c r="H262" s="6" t="n">
        <v>2604</v>
      </c>
      <c r="I262" s="6" t="n">
        <f aca="false">H262</f>
        <v>2604</v>
      </c>
      <c r="J262" s="6" t="n">
        <v>2500</v>
      </c>
      <c r="K262" s="4" t="s">
        <v>353</v>
      </c>
      <c r="L262" s="7" t="n">
        <v>44941</v>
      </c>
      <c r="M262" s="8" t="n">
        <v>47057</v>
      </c>
      <c r="Q262" s="9" t="n">
        <v>80000</v>
      </c>
      <c r="R262" s="9" t="n">
        <f aca="false">Q262</f>
        <v>80000</v>
      </c>
      <c r="T262" s="9" t="n">
        <v>80000</v>
      </c>
      <c r="U262" s="9" t="n">
        <f aca="false">T262</f>
        <v>80000</v>
      </c>
      <c r="V262" s="9" t="n">
        <v>70000</v>
      </c>
      <c r="W262" s="9" t="n">
        <f aca="false">V262</f>
        <v>70000</v>
      </c>
      <c r="X262" s="45" t="n">
        <f aca="false">V262/H262</f>
        <v>26.8817204301075</v>
      </c>
      <c r="Y262" s="46" t="n">
        <f aca="false">SUM(V262-T262)/T262</f>
        <v>-0.125</v>
      </c>
      <c r="Z262" s="9" t="s">
        <v>60</v>
      </c>
      <c r="AA262" s="42"/>
      <c r="AB262" s="14"/>
      <c r="AC262" s="5" t="s">
        <v>43</v>
      </c>
      <c r="AD262" s="4" t="s">
        <v>354</v>
      </c>
      <c r="AG262" s="59"/>
    </row>
    <row r="263" customFormat="false" ht="28.5" hidden="false" customHeight="true" outlineLevel="0" collapsed="false">
      <c r="A263" s="29"/>
      <c r="B263" s="11" t="s">
        <v>106</v>
      </c>
      <c r="C263" s="11" t="s">
        <v>38</v>
      </c>
      <c r="D263" s="29" t="n">
        <v>550570</v>
      </c>
      <c r="E263" s="4" t="s">
        <v>350</v>
      </c>
      <c r="F263" s="4" t="s">
        <v>355</v>
      </c>
      <c r="G263" s="5" t="s">
        <v>356</v>
      </c>
      <c r="H263" s="6" t="n">
        <v>1452</v>
      </c>
      <c r="I263" s="6" t="n">
        <f aca="false">H263</f>
        <v>1452</v>
      </c>
      <c r="J263" s="6" t="n">
        <v>1500</v>
      </c>
      <c r="K263" s="4" t="s">
        <v>357</v>
      </c>
      <c r="L263" s="7" t="n">
        <v>45586</v>
      </c>
      <c r="M263" s="8" t="n">
        <v>46827</v>
      </c>
      <c r="P263" s="8" t="n">
        <v>46097</v>
      </c>
      <c r="Q263" s="9" t="n">
        <v>117500</v>
      </c>
      <c r="R263" s="9" t="n">
        <f aca="false">Q263</f>
        <v>117500</v>
      </c>
      <c r="T263" s="9" t="n">
        <v>115000</v>
      </c>
      <c r="U263" s="9" t="n">
        <f aca="false">T263</f>
        <v>115000</v>
      </c>
      <c r="V263" s="9" t="n">
        <v>115000</v>
      </c>
      <c r="W263" s="9" t="n">
        <f aca="false">V263</f>
        <v>115000</v>
      </c>
      <c r="X263" s="45" t="n">
        <f aca="false">V263/H263</f>
        <v>79.2011019283747</v>
      </c>
      <c r="Y263" s="46" t="n">
        <f aca="false">SUM(V263-T263)/T263</f>
        <v>0</v>
      </c>
      <c r="Z263" s="9" t="s">
        <v>55</v>
      </c>
      <c r="AA263" s="42"/>
      <c r="AB263" s="14"/>
      <c r="AC263" s="5" t="s">
        <v>43</v>
      </c>
      <c r="AD263" s="4" t="s">
        <v>77</v>
      </c>
      <c r="AG263" s="59"/>
    </row>
    <row r="264" customFormat="false" ht="27.75" hidden="false" customHeight="true" outlineLevel="0" collapsed="false">
      <c r="A264" s="29"/>
      <c r="B264" s="11" t="s">
        <v>106</v>
      </c>
      <c r="C264" s="11" t="s">
        <v>38</v>
      </c>
      <c r="D264" s="29" t="n">
        <v>550570</v>
      </c>
      <c r="E264" s="4" t="s">
        <v>350</v>
      </c>
      <c r="F264" s="4" t="s">
        <v>358</v>
      </c>
      <c r="G264" s="5" t="s">
        <v>359</v>
      </c>
      <c r="H264" s="6" t="n">
        <v>1949</v>
      </c>
      <c r="I264" s="6" t="n">
        <f aca="false">H264</f>
        <v>1949</v>
      </c>
      <c r="J264" s="6" t="n">
        <v>2000</v>
      </c>
      <c r="K264" s="4" t="s">
        <v>360</v>
      </c>
      <c r="L264" s="7" t="n">
        <v>45687</v>
      </c>
      <c r="M264" s="8" t="n">
        <v>49338</v>
      </c>
      <c r="O264" s="8" t="n">
        <v>47513</v>
      </c>
      <c r="Q264" s="9" t="n">
        <v>59000</v>
      </c>
      <c r="R264" s="9" t="n">
        <f aca="false">Q264</f>
        <v>59000</v>
      </c>
      <c r="T264" s="9" t="n">
        <v>91000</v>
      </c>
      <c r="U264" s="9" t="n">
        <f aca="false">T264</f>
        <v>91000</v>
      </c>
      <c r="V264" s="9" t="n">
        <v>115000</v>
      </c>
      <c r="W264" s="9" t="n">
        <f aca="false">V264</f>
        <v>115000</v>
      </c>
      <c r="X264" s="45" t="n">
        <f aca="false">V264/H264</f>
        <v>59.0046177526937</v>
      </c>
      <c r="Y264" s="46" t="n">
        <f aca="false">SUM(V264-T264)/T264</f>
        <v>0.263736263736264</v>
      </c>
      <c r="Z264" s="9" t="s">
        <v>60</v>
      </c>
      <c r="AA264" s="42"/>
      <c r="AB264" s="14"/>
      <c r="AC264" s="5" t="s">
        <v>43</v>
      </c>
      <c r="AD264" s="4" t="s">
        <v>361</v>
      </c>
      <c r="AG264" s="59" t="n">
        <v>3</v>
      </c>
      <c r="AH264" s="4" t="s">
        <v>57</v>
      </c>
    </row>
    <row r="265" customFormat="false" ht="24" hidden="false" customHeight="true" outlineLevel="0" collapsed="false">
      <c r="A265" s="29"/>
      <c r="B265" s="11" t="s">
        <v>106</v>
      </c>
      <c r="C265" s="11" t="s">
        <v>38</v>
      </c>
      <c r="D265" s="29" t="n">
        <v>550570</v>
      </c>
      <c r="E265" s="4" t="s">
        <v>350</v>
      </c>
      <c r="F265" s="4" t="s">
        <v>362</v>
      </c>
      <c r="G265" s="5" t="s">
        <v>352</v>
      </c>
      <c r="H265" s="6" t="n">
        <v>4976</v>
      </c>
      <c r="I265" s="6" t="n">
        <f aca="false">H265</f>
        <v>4976</v>
      </c>
      <c r="J265" s="6" t="n">
        <v>5000</v>
      </c>
      <c r="K265" s="4" t="s">
        <v>363</v>
      </c>
      <c r="L265" s="7" t="n">
        <v>44722</v>
      </c>
      <c r="M265" s="8" t="n">
        <v>48374</v>
      </c>
      <c r="O265" s="8" t="n">
        <v>46548</v>
      </c>
      <c r="P265" s="8" t="n">
        <v>46547</v>
      </c>
      <c r="Q265" s="9" t="n">
        <v>230000</v>
      </c>
      <c r="R265" s="9" t="n">
        <f aca="false">Q265</f>
        <v>230000</v>
      </c>
      <c r="T265" s="9" t="n">
        <v>230000</v>
      </c>
      <c r="U265" s="9" t="n">
        <f aca="false">T265</f>
        <v>230000</v>
      </c>
      <c r="V265" s="9" t="n">
        <v>230000</v>
      </c>
      <c r="W265" s="9" t="n">
        <f aca="false">V265</f>
        <v>230000</v>
      </c>
      <c r="X265" s="45" t="n">
        <f aca="false">V265/H265</f>
        <v>46.2218649517685</v>
      </c>
      <c r="Y265" s="46" t="n">
        <f aca="false">SUM(V265-T265)/T265</f>
        <v>0</v>
      </c>
      <c r="Z265" s="9" t="s">
        <v>55</v>
      </c>
      <c r="AA265" s="42"/>
      <c r="AB265" s="14"/>
      <c r="AC265" s="5" t="s">
        <v>43</v>
      </c>
      <c r="AD265" s="71" t="s">
        <v>286</v>
      </c>
      <c r="AF265" s="71"/>
      <c r="AG265" s="101"/>
      <c r="AH265" s="71"/>
    </row>
    <row r="266" customFormat="false" ht="24" hidden="false" customHeight="true" outlineLevel="0" collapsed="false">
      <c r="A266" s="29"/>
      <c r="B266" s="11" t="s">
        <v>106</v>
      </c>
      <c r="C266" s="11" t="s">
        <v>38</v>
      </c>
      <c r="D266" s="29" t="n">
        <v>550570</v>
      </c>
      <c r="E266" s="4" t="s">
        <v>350</v>
      </c>
      <c r="F266" s="4" t="s">
        <v>364</v>
      </c>
      <c r="G266" s="5" t="s">
        <v>40</v>
      </c>
      <c r="H266" s="6" t="n">
        <v>1443</v>
      </c>
      <c r="I266" s="6" t="n">
        <f aca="false">H266</f>
        <v>1443</v>
      </c>
      <c r="J266" s="6" t="n">
        <v>1500</v>
      </c>
      <c r="K266" s="4" t="s">
        <v>67</v>
      </c>
      <c r="N266" s="8" t="n">
        <v>44121</v>
      </c>
      <c r="Q266" s="9" t="n">
        <v>0</v>
      </c>
      <c r="R266" s="9" t="n">
        <f aca="false">Q266</f>
        <v>0</v>
      </c>
      <c r="T266" s="9" t="n">
        <v>87800</v>
      </c>
      <c r="U266" s="9" t="n">
        <f aca="false">T266</f>
        <v>87800</v>
      </c>
      <c r="V266" s="9" t="n">
        <v>90200</v>
      </c>
      <c r="W266" s="9" t="n">
        <f aca="false">V266</f>
        <v>90200</v>
      </c>
      <c r="X266" s="45" t="n">
        <f aca="false">V266/H266</f>
        <v>62.5086625086625</v>
      </c>
      <c r="Y266" s="46" t="n">
        <f aca="false">SUM(V266-T266)/T266</f>
        <v>0.0273348519362187</v>
      </c>
      <c r="Z266" s="9" t="s">
        <v>60</v>
      </c>
      <c r="AA266" s="42"/>
      <c r="AB266" s="14"/>
      <c r="AC266" s="5" t="s">
        <v>43</v>
      </c>
      <c r="AD266" s="4" t="s">
        <v>119</v>
      </c>
      <c r="AE266" s="15" t="n">
        <v>65</v>
      </c>
      <c r="AG266" s="59" t="n">
        <v>3</v>
      </c>
      <c r="AH266" s="4" t="s">
        <v>57</v>
      </c>
    </row>
    <row r="267" customFormat="false" ht="27" hidden="false" customHeight="true" outlineLevel="0" collapsed="false">
      <c r="A267" s="29"/>
      <c r="B267" s="11" t="s">
        <v>106</v>
      </c>
      <c r="C267" s="11" t="s">
        <v>38</v>
      </c>
      <c r="D267" s="29" t="n">
        <v>550570</v>
      </c>
      <c r="E267" s="4" t="s">
        <v>350</v>
      </c>
      <c r="F267" s="4" t="s">
        <v>365</v>
      </c>
      <c r="G267" s="5" t="s">
        <v>366</v>
      </c>
      <c r="H267" s="6" t="n">
        <v>2851</v>
      </c>
      <c r="I267" s="6" t="n">
        <f aca="false">H267</f>
        <v>2851</v>
      </c>
      <c r="J267" s="6" t="n">
        <v>2750</v>
      </c>
      <c r="K267" s="4" t="s">
        <v>367</v>
      </c>
      <c r="L267" s="7" t="n">
        <v>42192</v>
      </c>
      <c r="M267" s="8" t="n">
        <v>45844</v>
      </c>
      <c r="O267" s="8" t="n">
        <v>44019</v>
      </c>
      <c r="Q267" s="9" t="n">
        <v>156000</v>
      </c>
      <c r="R267" s="9" t="n">
        <f aca="false">Q267</f>
        <v>156000</v>
      </c>
      <c r="T267" s="9" t="n">
        <v>151300</v>
      </c>
      <c r="U267" s="9" t="n">
        <f aca="false">T267</f>
        <v>151300</v>
      </c>
      <c r="V267" s="9" t="n">
        <v>178200</v>
      </c>
      <c r="W267" s="9" t="n">
        <f aca="false">V267</f>
        <v>178200</v>
      </c>
      <c r="X267" s="45" t="n">
        <f aca="false">V267/H267</f>
        <v>62.504384426517</v>
      </c>
      <c r="Y267" s="46" t="n">
        <f aca="false">SUM(V267-T267)/T267</f>
        <v>0.177792465300727</v>
      </c>
      <c r="Z267" s="9" t="s">
        <v>42</v>
      </c>
      <c r="AA267" s="42"/>
      <c r="AB267" s="14"/>
      <c r="AC267" s="5" t="s">
        <v>43</v>
      </c>
      <c r="AD267" s="4" t="s">
        <v>368</v>
      </c>
      <c r="AG267" s="59"/>
    </row>
    <row r="268" customFormat="false" ht="27" hidden="false" customHeight="true" outlineLevel="0" collapsed="false">
      <c r="A268" s="29"/>
      <c r="B268" s="11" t="s">
        <v>106</v>
      </c>
      <c r="C268" s="11" t="s">
        <v>38</v>
      </c>
      <c r="D268" s="29" t="n">
        <v>550570</v>
      </c>
      <c r="E268" s="4" t="s">
        <v>350</v>
      </c>
      <c r="F268" s="4" t="s">
        <v>369</v>
      </c>
      <c r="G268" s="5" t="s">
        <v>366</v>
      </c>
      <c r="H268" s="6" t="n">
        <v>483</v>
      </c>
      <c r="I268" s="6" t="n">
        <f aca="false">H268</f>
        <v>483</v>
      </c>
      <c r="J268" s="6" t="n">
        <v>500</v>
      </c>
      <c r="K268" s="4" t="s">
        <v>370</v>
      </c>
      <c r="L268" s="7" t="n">
        <v>44272</v>
      </c>
      <c r="M268" s="8" t="n">
        <v>46097</v>
      </c>
      <c r="Q268" s="9" t="n">
        <v>52200</v>
      </c>
      <c r="R268" s="9" t="n">
        <f aca="false">Q268</f>
        <v>52200</v>
      </c>
      <c r="T268" s="9" t="n">
        <v>54900</v>
      </c>
      <c r="U268" s="9" t="n">
        <f aca="false">T268</f>
        <v>54900</v>
      </c>
      <c r="V268" s="9" t="n">
        <v>30200</v>
      </c>
      <c r="W268" s="9" t="n">
        <f aca="false">V268</f>
        <v>30200</v>
      </c>
      <c r="X268" s="45" t="n">
        <f aca="false">V268/H268</f>
        <v>62.5258799171843</v>
      </c>
      <c r="Y268" s="46" t="n">
        <f aca="false">SUM(V268-T268)/T268</f>
        <v>-0.449908925318761</v>
      </c>
      <c r="Z268" s="9" t="s">
        <v>127</v>
      </c>
      <c r="AA268" s="42"/>
      <c r="AB268" s="14"/>
      <c r="AC268" s="5" t="s">
        <v>43</v>
      </c>
      <c r="AG268" s="59"/>
    </row>
    <row r="269" customFormat="false" ht="24" hidden="false" customHeight="true" outlineLevel="0" collapsed="false">
      <c r="A269" s="29"/>
      <c r="B269" s="11" t="s">
        <v>106</v>
      </c>
      <c r="C269" s="11" t="s">
        <v>38</v>
      </c>
      <c r="D269" s="29" t="n">
        <v>550570</v>
      </c>
      <c r="E269" s="4" t="s">
        <v>350</v>
      </c>
      <c r="F269" s="4" t="s">
        <v>371</v>
      </c>
      <c r="G269" s="5" t="s">
        <v>237</v>
      </c>
      <c r="H269" s="6" t="n">
        <v>3299</v>
      </c>
      <c r="I269" s="6" t="n">
        <f aca="false">H269</f>
        <v>3299</v>
      </c>
      <c r="J269" s="6" t="n">
        <v>3250</v>
      </c>
      <c r="K269" s="4" t="s">
        <v>372</v>
      </c>
      <c r="L269" s="7" t="n">
        <v>45807</v>
      </c>
      <c r="M269" s="8" t="n">
        <v>47143</v>
      </c>
      <c r="P269" s="8" t="n">
        <v>46408</v>
      </c>
      <c r="Q269" s="9" t="n">
        <v>0</v>
      </c>
      <c r="R269" s="9" t="n">
        <f aca="false">Q269</f>
        <v>0</v>
      </c>
      <c r="T269" s="9" t="n">
        <v>193200</v>
      </c>
      <c r="U269" s="9" t="n">
        <f aca="false">T269</f>
        <v>193200</v>
      </c>
      <c r="V269" s="9" t="n">
        <v>209500</v>
      </c>
      <c r="W269" s="9" t="n">
        <f aca="false">V269</f>
        <v>209500</v>
      </c>
      <c r="X269" s="45" t="n">
        <f aca="false">V269/H269</f>
        <v>63.5040921491361</v>
      </c>
      <c r="Y269" s="46" t="n">
        <f aca="false">SUM(V269-T269)/T269</f>
        <v>0.0843685300207039</v>
      </c>
      <c r="Z269" s="98" t="s">
        <v>55</v>
      </c>
      <c r="AA269" s="42"/>
      <c r="AB269" s="14"/>
      <c r="AC269" s="5" t="s">
        <v>43</v>
      </c>
      <c r="AD269" s="4" t="s">
        <v>373</v>
      </c>
      <c r="AF269" s="4" t="n">
        <v>3</v>
      </c>
      <c r="AG269" s="59" t="n">
        <v>5</v>
      </c>
    </row>
    <row r="270" customFormat="false" ht="25.5" hidden="false" customHeight="true" outlineLevel="0" collapsed="false">
      <c r="A270" s="29"/>
      <c r="B270" s="11" t="s">
        <v>106</v>
      </c>
      <c r="C270" s="11" t="s">
        <v>38</v>
      </c>
      <c r="D270" s="29" t="n">
        <v>550570</v>
      </c>
      <c r="E270" s="4" t="s">
        <v>350</v>
      </c>
      <c r="F270" s="4" t="s">
        <v>374</v>
      </c>
      <c r="G270" s="5" t="s">
        <v>309</v>
      </c>
      <c r="H270" s="6" t="n">
        <v>882</v>
      </c>
      <c r="I270" s="6" t="n">
        <f aca="false">H270</f>
        <v>882</v>
      </c>
      <c r="J270" s="6" t="n">
        <v>1000</v>
      </c>
      <c r="K270" s="4" t="s">
        <v>375</v>
      </c>
      <c r="L270" s="7" t="n">
        <v>45114</v>
      </c>
      <c r="M270" s="8" t="n">
        <v>46209</v>
      </c>
      <c r="P270" s="8" t="n">
        <v>45844</v>
      </c>
      <c r="Q270" s="9" t="n">
        <v>56225</v>
      </c>
      <c r="R270" s="9" t="n">
        <f aca="false">Q270</f>
        <v>56225</v>
      </c>
      <c r="T270" s="9" t="n">
        <v>52800</v>
      </c>
      <c r="U270" s="9" t="n">
        <f aca="false">T270</f>
        <v>52800</v>
      </c>
      <c r="V270" s="9" t="n">
        <v>56225</v>
      </c>
      <c r="W270" s="9" t="n">
        <f aca="false">V270</f>
        <v>56225</v>
      </c>
      <c r="X270" s="45" t="n">
        <f aca="false">V270/H270</f>
        <v>63.7471655328798</v>
      </c>
      <c r="Y270" s="46" t="n">
        <f aca="false">SUM(V270-T270)/T270</f>
        <v>0.0648674242424242</v>
      </c>
      <c r="Z270" s="9" t="s">
        <v>60</v>
      </c>
      <c r="AA270" s="42"/>
      <c r="AB270" s="14"/>
      <c r="AC270" s="5" t="s">
        <v>43</v>
      </c>
      <c r="AD270" s="4" t="s">
        <v>376</v>
      </c>
      <c r="AG270" s="59"/>
    </row>
    <row r="271" customFormat="false" ht="24" hidden="false" customHeight="true" outlineLevel="0" collapsed="false">
      <c r="A271" s="29"/>
      <c r="B271" s="11" t="s">
        <v>106</v>
      </c>
      <c r="C271" s="11" t="s">
        <v>38</v>
      </c>
      <c r="D271" s="29" t="n">
        <v>550570</v>
      </c>
      <c r="E271" s="4" t="s">
        <v>350</v>
      </c>
      <c r="F271" s="4" t="s">
        <v>94</v>
      </c>
      <c r="G271" s="5" t="s">
        <v>309</v>
      </c>
      <c r="H271" s="6" t="n">
        <v>4169</v>
      </c>
      <c r="I271" s="6" t="n">
        <f aca="false">H271</f>
        <v>4169</v>
      </c>
      <c r="J271" s="6" t="n">
        <v>4000</v>
      </c>
      <c r="K271" s="4" t="s">
        <v>377</v>
      </c>
      <c r="L271" s="7" t="n">
        <v>43378</v>
      </c>
      <c r="M271" s="8" t="n">
        <v>47030</v>
      </c>
      <c r="O271" s="8" t="n">
        <v>45204</v>
      </c>
      <c r="Q271" s="9" t="n">
        <v>257635</v>
      </c>
      <c r="R271" s="9" t="n">
        <f aca="false">Q271</f>
        <v>257635</v>
      </c>
      <c r="T271" s="9" t="n">
        <v>264100</v>
      </c>
      <c r="U271" s="9" t="n">
        <f aca="false">T271</f>
        <v>264100</v>
      </c>
      <c r="V271" s="9" t="n">
        <v>271000</v>
      </c>
      <c r="W271" s="9" t="n">
        <f aca="false">V271</f>
        <v>271000</v>
      </c>
      <c r="X271" s="45" t="n">
        <f aca="false">V271/H271</f>
        <v>65.0035979851283</v>
      </c>
      <c r="Y271" s="46" t="n">
        <f aca="false">SUM(V271-T271)/T271</f>
        <v>0.0261264672472548</v>
      </c>
      <c r="Z271" s="9" t="s">
        <v>60</v>
      </c>
      <c r="AA271" s="42"/>
      <c r="AB271" s="14"/>
      <c r="AC271" s="5" t="s">
        <v>43</v>
      </c>
      <c r="AD271" s="4" t="s">
        <v>378</v>
      </c>
      <c r="AF271" s="4" t="n">
        <v>1</v>
      </c>
      <c r="AG271" s="59" t="n">
        <v>1</v>
      </c>
    </row>
    <row r="272" customFormat="false" ht="24" hidden="false" customHeight="true" outlineLevel="0" collapsed="false">
      <c r="A272" s="29"/>
      <c r="B272" s="11" t="s">
        <v>106</v>
      </c>
      <c r="C272" s="11" t="s">
        <v>38</v>
      </c>
      <c r="D272" s="29" t="n">
        <v>550570</v>
      </c>
      <c r="E272" s="4" t="s">
        <v>350</v>
      </c>
      <c r="F272" s="4" t="s">
        <v>379</v>
      </c>
      <c r="G272" s="5" t="s">
        <v>40</v>
      </c>
      <c r="H272" s="6" t="n">
        <v>4098</v>
      </c>
      <c r="I272" s="6" t="n">
        <f aca="false">H272</f>
        <v>4098</v>
      </c>
      <c r="J272" s="6" t="n">
        <v>4000</v>
      </c>
      <c r="K272" s="4" t="s">
        <v>372</v>
      </c>
      <c r="L272" s="7" t="n">
        <v>45317</v>
      </c>
      <c r="M272" s="8" t="n">
        <v>47143</v>
      </c>
      <c r="P272" s="8" t="n">
        <v>46047</v>
      </c>
      <c r="Q272" s="9" t="n">
        <v>304500</v>
      </c>
      <c r="R272" s="9" t="n">
        <f aca="false">Q272</f>
        <v>304500</v>
      </c>
      <c r="T272" s="9" t="n">
        <v>255600</v>
      </c>
      <c r="U272" s="9" t="n">
        <f aca="false">T272</f>
        <v>255600</v>
      </c>
      <c r="V272" s="9" t="n">
        <v>304500</v>
      </c>
      <c r="W272" s="9" t="n">
        <f aca="false">V272</f>
        <v>304500</v>
      </c>
      <c r="X272" s="45" t="n">
        <f aca="false">V272/H272</f>
        <v>74.3045387994144</v>
      </c>
      <c r="Y272" s="46" t="n">
        <f aca="false">SUM(V272-T272)/T272</f>
        <v>0.19131455399061</v>
      </c>
      <c r="Z272" s="9" t="s">
        <v>55</v>
      </c>
      <c r="AA272" s="42"/>
      <c r="AB272" s="14"/>
      <c r="AC272" s="5" t="s">
        <v>43</v>
      </c>
      <c r="AD272" s="4" t="s">
        <v>380</v>
      </c>
      <c r="AG272" s="59"/>
    </row>
    <row r="273" customFormat="false" ht="24" hidden="false" customHeight="true" outlineLevel="0" collapsed="false">
      <c r="A273" s="29"/>
      <c r="B273" s="11" t="s">
        <v>106</v>
      </c>
      <c r="C273" s="11" t="s">
        <v>38</v>
      </c>
      <c r="D273" s="29" t="n">
        <v>550570</v>
      </c>
      <c r="E273" s="4" t="s">
        <v>350</v>
      </c>
      <c r="F273" s="4" t="s">
        <v>180</v>
      </c>
      <c r="G273" s="5" t="s">
        <v>40</v>
      </c>
      <c r="H273" s="6" t="n">
        <v>3179</v>
      </c>
      <c r="I273" s="6" t="n">
        <f aca="false">H273</f>
        <v>3179</v>
      </c>
      <c r="J273" s="6" t="n">
        <v>3000</v>
      </c>
      <c r="K273" s="4" t="s">
        <v>381</v>
      </c>
      <c r="L273" s="7" t="n">
        <v>45086</v>
      </c>
      <c r="M273" s="8" t="n">
        <v>46912</v>
      </c>
      <c r="P273" s="8" t="n">
        <v>46181</v>
      </c>
      <c r="Q273" s="9" t="n">
        <v>225875</v>
      </c>
      <c r="R273" s="9" t="n">
        <f aca="false">Q273</f>
        <v>225875</v>
      </c>
      <c r="T273" s="9" t="n">
        <v>196883</v>
      </c>
      <c r="U273" s="9" t="n">
        <f aca="false">T273</f>
        <v>196883</v>
      </c>
      <c r="V273" s="9" t="n">
        <v>230500</v>
      </c>
      <c r="W273" s="9" t="n">
        <f aca="false">V273</f>
        <v>230500</v>
      </c>
      <c r="X273" s="45" t="n">
        <f aca="false">V273/H273</f>
        <v>72.5070776973891</v>
      </c>
      <c r="Y273" s="46" t="n">
        <f aca="false">SUM(V273-T273)/T273</f>
        <v>0.170746077619703</v>
      </c>
      <c r="Z273" s="9" t="s">
        <v>60</v>
      </c>
      <c r="AA273" s="42"/>
      <c r="AB273" s="14"/>
      <c r="AC273" s="5" t="s">
        <v>43</v>
      </c>
      <c r="AD273" s="4" t="s">
        <v>382</v>
      </c>
      <c r="AG273" s="59"/>
    </row>
    <row r="274" customFormat="false" ht="24" hidden="false" customHeight="true" outlineLevel="0" collapsed="false">
      <c r="A274" s="29"/>
      <c r="B274" s="11" t="s">
        <v>106</v>
      </c>
      <c r="C274" s="11" t="s">
        <v>38</v>
      </c>
      <c r="D274" s="29" t="n">
        <v>550570</v>
      </c>
      <c r="E274" s="4" t="s">
        <v>350</v>
      </c>
      <c r="F274" s="4" t="s">
        <v>383</v>
      </c>
      <c r="G274" s="5" t="s">
        <v>40</v>
      </c>
      <c r="H274" s="6" t="n">
        <v>2099</v>
      </c>
      <c r="I274" s="6" t="n">
        <f aca="false">H274</f>
        <v>2099</v>
      </c>
      <c r="J274" s="6" t="n">
        <v>2000</v>
      </c>
      <c r="K274" s="4" t="s">
        <v>384</v>
      </c>
      <c r="L274" s="7" t="n">
        <v>45019</v>
      </c>
      <c r="M274" s="8" t="n">
        <v>46845</v>
      </c>
      <c r="P274" s="8" t="n">
        <v>46114</v>
      </c>
      <c r="Q274" s="9" t="n">
        <v>133250</v>
      </c>
      <c r="R274" s="9" t="n">
        <f aca="false">Q274</f>
        <v>133250</v>
      </c>
      <c r="T274" s="9" t="n">
        <v>135167</v>
      </c>
      <c r="U274" s="9" t="n">
        <f aca="false">T274</f>
        <v>135167</v>
      </c>
      <c r="V274" s="9" t="n">
        <v>152200</v>
      </c>
      <c r="W274" s="9" t="n">
        <f aca="false">V274</f>
        <v>152200</v>
      </c>
      <c r="X274" s="45" t="n">
        <f aca="false">V274/H274</f>
        <v>72.5107193901858</v>
      </c>
      <c r="Y274" s="46" t="n">
        <f aca="false">SUM(V274-T274)/T274</f>
        <v>0.126014485784252</v>
      </c>
      <c r="Z274" s="9" t="s">
        <v>60</v>
      </c>
      <c r="AA274" s="42"/>
      <c r="AB274" s="14"/>
      <c r="AC274" s="5" t="s">
        <v>43</v>
      </c>
      <c r="AD274" s="4" t="s">
        <v>385</v>
      </c>
      <c r="AG274" s="59"/>
    </row>
    <row r="275" customFormat="false" ht="24" hidden="false" customHeight="true" outlineLevel="0" collapsed="false">
      <c r="A275" s="29"/>
      <c r="B275" s="11" t="s">
        <v>106</v>
      </c>
      <c r="C275" s="11" t="s">
        <v>38</v>
      </c>
      <c r="D275" s="29" t="n">
        <v>550570</v>
      </c>
      <c r="E275" s="4" t="s">
        <v>350</v>
      </c>
      <c r="F275" s="4" t="s">
        <v>386</v>
      </c>
      <c r="G275" s="5" t="s">
        <v>242</v>
      </c>
      <c r="H275" s="6" t="n">
        <v>580</v>
      </c>
      <c r="I275" s="6" t="n">
        <f aca="false">H275</f>
        <v>580</v>
      </c>
      <c r="J275" s="6" t="n">
        <v>500</v>
      </c>
      <c r="K275" s="4" t="s">
        <v>387</v>
      </c>
      <c r="L275" s="7" t="n">
        <v>45546</v>
      </c>
      <c r="M275" s="8" t="n">
        <v>45910</v>
      </c>
      <c r="Q275" s="9" t="n">
        <v>42016</v>
      </c>
      <c r="R275" s="9" t="n">
        <f aca="false">Q275</f>
        <v>42016</v>
      </c>
      <c r="T275" s="9" t="n">
        <v>26496</v>
      </c>
      <c r="U275" s="9" t="n">
        <f aca="false">T275</f>
        <v>26496</v>
      </c>
      <c r="V275" s="9" t="n">
        <v>26496</v>
      </c>
      <c r="W275" s="9" t="n">
        <f aca="false">V275</f>
        <v>26496</v>
      </c>
      <c r="X275" s="45" t="n">
        <f aca="false">V275/H275</f>
        <v>45.6827586206897</v>
      </c>
      <c r="Y275" s="46" t="n">
        <f aca="false">SUM(V275-T275)/T275</f>
        <v>0</v>
      </c>
      <c r="Z275" s="9" t="s">
        <v>127</v>
      </c>
      <c r="AA275" s="42"/>
      <c r="AB275" s="14"/>
      <c r="AC275" s="5" t="s">
        <v>43</v>
      </c>
      <c r="AF275" s="60"/>
      <c r="AG275" s="62"/>
      <c r="AH275" s="60"/>
    </row>
    <row r="276" customFormat="false" ht="13.5" hidden="false" customHeight="false" outlineLevel="0" collapsed="false">
      <c r="A276" s="29"/>
      <c r="B276" s="11"/>
      <c r="C276" s="11" t="s">
        <v>38</v>
      </c>
      <c r="D276" s="29"/>
      <c r="E276" s="4"/>
      <c r="I276" s="9"/>
      <c r="J276" s="9"/>
      <c r="T276" s="9"/>
      <c r="U276" s="9"/>
      <c r="V276" s="9"/>
      <c r="W276" s="9"/>
      <c r="X276" s="45"/>
      <c r="Y276" s="41"/>
      <c r="Z276" s="9"/>
      <c r="AA276" s="42"/>
      <c r="AB276" s="14"/>
      <c r="AC276" s="5"/>
      <c r="AG276" s="59"/>
    </row>
    <row r="277" customFormat="false" ht="13.5" hidden="false" customHeight="false" outlineLevel="0" collapsed="false">
      <c r="A277" s="29"/>
      <c r="B277" s="11"/>
      <c r="C277" s="11" t="s">
        <v>38</v>
      </c>
      <c r="D277" s="29"/>
      <c r="E277" s="4"/>
      <c r="F277" s="47" t="s">
        <v>388</v>
      </c>
      <c r="H277" s="43" t="n">
        <f aca="false">SUM(H262:H275)</f>
        <v>34064</v>
      </c>
      <c r="I277" s="43"/>
      <c r="J277" s="43"/>
      <c r="Q277" s="44" t="n">
        <f aca="false">SUM(Q262:Q275)</f>
        <v>1714201</v>
      </c>
      <c r="R277" s="44"/>
      <c r="S277" s="44" t="n">
        <f aca="false">SUM(R260:R276)</f>
        <v>1714201</v>
      </c>
      <c r="T277" s="44" t="n">
        <f aca="false">SUM(T262:T275)</f>
        <v>1934246</v>
      </c>
      <c r="U277" s="44"/>
      <c r="V277" s="44" t="n">
        <f aca="false">SUM(V262:V275)</f>
        <v>2079021</v>
      </c>
      <c r="W277" s="44"/>
      <c r="X277" s="45"/>
      <c r="Y277" s="64"/>
      <c r="Z277" s="44"/>
      <c r="AA277" s="67"/>
      <c r="AB277" s="44" t="n">
        <v>35150000</v>
      </c>
      <c r="AC277" s="5"/>
      <c r="AF277" s="60"/>
      <c r="AG277" s="62"/>
      <c r="AH277" s="60"/>
    </row>
    <row r="278" customFormat="false" ht="14.25" hidden="false" customHeight="true" outlineLevel="0" collapsed="false">
      <c r="A278" s="29"/>
      <c r="B278" s="11"/>
      <c r="C278" s="11" t="s">
        <v>38</v>
      </c>
      <c r="D278" s="29"/>
      <c r="E278" s="4"/>
      <c r="H278" s="43"/>
      <c r="I278" s="44"/>
      <c r="J278" s="44"/>
      <c r="Q278" s="44"/>
      <c r="R278" s="44"/>
      <c r="S278" s="44"/>
      <c r="T278" s="44"/>
      <c r="U278" s="44"/>
      <c r="V278" s="44"/>
      <c r="W278" s="44"/>
      <c r="X278" s="45"/>
      <c r="Y278" s="64"/>
      <c r="Z278" s="44"/>
      <c r="AA278" s="67"/>
      <c r="AB278" s="66"/>
      <c r="AC278" s="5"/>
      <c r="AG278" s="59"/>
    </row>
    <row r="279" customFormat="false" ht="14.25" hidden="false" customHeight="true" outlineLevel="0" collapsed="false">
      <c r="A279" s="29"/>
      <c r="B279" s="11"/>
      <c r="C279" s="11" t="s">
        <v>38</v>
      </c>
      <c r="D279" s="29"/>
      <c r="E279" s="4"/>
      <c r="G279" s="39" t="s">
        <v>389</v>
      </c>
      <c r="I279" s="9"/>
      <c r="J279" s="9"/>
      <c r="K279" s="40"/>
      <c r="P279" s="99"/>
      <c r="T279" s="11"/>
      <c r="U279" s="9"/>
      <c r="V279" s="11"/>
      <c r="W279" s="9"/>
      <c r="X279" s="45"/>
      <c r="Y279" s="41"/>
      <c r="Z279" s="9"/>
      <c r="AA279" s="42"/>
      <c r="AB279" s="14"/>
      <c r="AC279" s="5"/>
      <c r="AG279" s="59"/>
    </row>
    <row r="280" customFormat="false" ht="14.25" hidden="false" customHeight="true" outlineLevel="0" collapsed="false">
      <c r="A280" s="29"/>
      <c r="B280" s="11"/>
      <c r="C280" s="11" t="s">
        <v>38</v>
      </c>
      <c r="D280" s="29"/>
      <c r="E280" s="4"/>
      <c r="I280" s="9"/>
      <c r="J280" s="9"/>
      <c r="P280" s="99"/>
      <c r="T280" s="11"/>
      <c r="U280" s="9"/>
      <c r="V280" s="11"/>
      <c r="W280" s="9"/>
      <c r="X280" s="45"/>
      <c r="Y280" s="41"/>
      <c r="Z280" s="9"/>
      <c r="AA280" s="42"/>
      <c r="AB280" s="14"/>
      <c r="AC280" s="5"/>
      <c r="AG280" s="59"/>
    </row>
    <row r="281" customFormat="false" ht="24" hidden="false" customHeight="true" outlineLevel="0" collapsed="false">
      <c r="A281" s="29"/>
      <c r="B281" s="11" t="s">
        <v>189</v>
      </c>
      <c r="C281" s="11" t="s">
        <v>38</v>
      </c>
      <c r="D281" s="29" t="n">
        <v>550430</v>
      </c>
      <c r="E281" s="4" t="s">
        <v>389</v>
      </c>
      <c r="F281" s="4" t="s">
        <v>39</v>
      </c>
      <c r="G281" s="5" t="s">
        <v>49</v>
      </c>
      <c r="H281" s="43" t="n">
        <v>2692</v>
      </c>
      <c r="I281" s="9" t="n">
        <f aca="false">H281</f>
        <v>2692</v>
      </c>
      <c r="J281" s="9" t="n">
        <v>2750</v>
      </c>
      <c r="K281" s="4" t="s">
        <v>390</v>
      </c>
      <c r="L281" s="7" t="n">
        <v>39814</v>
      </c>
      <c r="M281" s="102" t="n">
        <v>45747</v>
      </c>
      <c r="Q281" s="44" t="n">
        <v>104500</v>
      </c>
      <c r="R281" s="9" t="n">
        <f aca="false">Q281</f>
        <v>104500</v>
      </c>
      <c r="S281" s="44" t="n">
        <f aca="false">R281</f>
        <v>104500</v>
      </c>
      <c r="T281" s="44" t="n">
        <v>94400</v>
      </c>
      <c r="U281" s="9" t="n">
        <f aca="false">T281</f>
        <v>94400</v>
      </c>
      <c r="V281" s="44" t="n">
        <v>94400</v>
      </c>
      <c r="W281" s="9" t="n">
        <f aca="false">V281</f>
        <v>94400</v>
      </c>
      <c r="X281" s="45" t="n">
        <f aca="false">V281/H281</f>
        <v>35.0668647845468</v>
      </c>
      <c r="Y281" s="46" t="n">
        <f aca="false">SUM(V281-T281)/T281</f>
        <v>0</v>
      </c>
      <c r="Z281" s="9" t="s">
        <v>55</v>
      </c>
      <c r="AA281" s="42"/>
      <c r="AB281" s="44" t="n">
        <v>1425000</v>
      </c>
      <c r="AC281" s="5" t="s">
        <v>170</v>
      </c>
      <c r="AD281" s="4" t="s">
        <v>391</v>
      </c>
      <c r="AG281" s="59"/>
    </row>
    <row r="282" customFormat="false" ht="14.25" hidden="false" customHeight="true" outlineLevel="0" collapsed="false">
      <c r="A282" s="29"/>
      <c r="B282" s="11"/>
      <c r="C282" s="11" t="s">
        <v>38</v>
      </c>
      <c r="D282" s="29"/>
      <c r="E282" s="4"/>
      <c r="I282" s="9"/>
      <c r="J282" s="9"/>
      <c r="T282" s="9"/>
      <c r="U282" s="9"/>
      <c r="V282" s="9"/>
      <c r="W282" s="9"/>
      <c r="X282" s="45"/>
      <c r="Y282" s="41"/>
      <c r="Z282" s="9"/>
      <c r="AA282" s="42"/>
      <c r="AB282" s="44"/>
      <c r="AC282" s="5"/>
      <c r="AG282" s="59"/>
    </row>
    <row r="283" customFormat="false" ht="14.25" hidden="false" customHeight="true" outlineLevel="0" collapsed="false">
      <c r="A283" s="29"/>
      <c r="B283" s="11"/>
      <c r="C283" s="11" t="s">
        <v>38</v>
      </c>
      <c r="D283" s="29"/>
      <c r="E283" s="4"/>
      <c r="G283" s="39" t="s">
        <v>392</v>
      </c>
      <c r="I283" s="9"/>
      <c r="J283" s="9"/>
      <c r="K283" s="40"/>
      <c r="T283" s="11"/>
      <c r="U283" s="9"/>
      <c r="V283" s="11"/>
      <c r="W283" s="9"/>
      <c r="X283" s="45"/>
      <c r="Y283" s="41"/>
      <c r="Z283" s="9"/>
      <c r="AA283" s="42"/>
      <c r="AB283" s="44"/>
      <c r="AC283" s="5"/>
      <c r="AG283" s="59"/>
    </row>
    <row r="284" customFormat="false" ht="14.25" hidden="false" customHeight="true" outlineLevel="0" collapsed="false">
      <c r="A284" s="29"/>
      <c r="B284" s="11"/>
      <c r="C284" s="11" t="s">
        <v>38</v>
      </c>
      <c r="D284" s="29"/>
      <c r="E284" s="4"/>
      <c r="G284" s="39"/>
      <c r="H284" s="103"/>
      <c r="I284" s="9"/>
      <c r="J284" s="9"/>
      <c r="K284" s="79"/>
      <c r="L284" s="104"/>
      <c r="T284" s="9"/>
      <c r="U284" s="9"/>
      <c r="V284" s="9"/>
      <c r="W284" s="9"/>
      <c r="X284" s="45"/>
      <c r="Y284" s="41"/>
      <c r="Z284" s="9"/>
      <c r="AA284" s="42"/>
      <c r="AB284" s="44"/>
      <c r="AC284" s="5"/>
      <c r="AG284" s="59"/>
    </row>
    <row r="285" customFormat="false" ht="24" hidden="false" customHeight="true" outlineLevel="0" collapsed="false">
      <c r="A285" s="29"/>
      <c r="B285" s="11" t="s">
        <v>189</v>
      </c>
      <c r="C285" s="11" t="s">
        <v>38</v>
      </c>
      <c r="D285" s="29" t="n">
        <v>550440</v>
      </c>
      <c r="E285" s="4" t="s">
        <v>392</v>
      </c>
      <c r="F285" s="4" t="s">
        <v>112</v>
      </c>
      <c r="G285" s="5" t="s">
        <v>49</v>
      </c>
      <c r="H285" s="6" t="n">
        <v>1171</v>
      </c>
      <c r="I285" s="9" t="n">
        <f aca="false">H285</f>
        <v>1171</v>
      </c>
      <c r="J285" s="9" t="n">
        <v>1000</v>
      </c>
      <c r="K285" s="4" t="s">
        <v>390</v>
      </c>
      <c r="L285" s="7" t="n">
        <v>39814</v>
      </c>
      <c r="M285" s="102" t="n">
        <v>45747</v>
      </c>
      <c r="Q285" s="9" t="n">
        <v>50425</v>
      </c>
      <c r="R285" s="9" t="n">
        <f aca="false">Q285</f>
        <v>50425</v>
      </c>
      <c r="T285" s="9" t="n">
        <v>41000</v>
      </c>
      <c r="U285" s="9" t="n">
        <f aca="false">T285</f>
        <v>41000</v>
      </c>
      <c r="V285" s="9" t="n">
        <v>41000</v>
      </c>
      <c r="W285" s="9" t="n">
        <f aca="false">V285</f>
        <v>41000</v>
      </c>
      <c r="X285" s="45" t="n">
        <f aca="false">V285/H285</f>
        <v>35.0128095644748</v>
      </c>
      <c r="Y285" s="46" t="n">
        <f aca="false">SUM(V285-T285)/T285</f>
        <v>0</v>
      </c>
      <c r="Z285" s="9" t="s">
        <v>55</v>
      </c>
      <c r="AA285" s="42"/>
      <c r="AB285" s="44"/>
      <c r="AC285" s="5" t="s">
        <v>170</v>
      </c>
      <c r="AD285" s="4" t="s">
        <v>391</v>
      </c>
      <c r="AG285" s="59"/>
    </row>
    <row r="286" customFormat="false" ht="28.5" hidden="false" customHeight="true" outlineLevel="0" collapsed="false">
      <c r="A286" s="29"/>
      <c r="B286" s="11" t="s">
        <v>189</v>
      </c>
      <c r="C286" s="11" t="s">
        <v>38</v>
      </c>
      <c r="D286" s="29" t="n">
        <v>550440</v>
      </c>
      <c r="E286" s="4" t="s">
        <v>392</v>
      </c>
      <c r="F286" s="4" t="s">
        <v>260</v>
      </c>
      <c r="G286" s="5" t="s">
        <v>393</v>
      </c>
      <c r="H286" s="6" t="n">
        <v>1120</v>
      </c>
      <c r="I286" s="9" t="n">
        <f aca="false">H286</f>
        <v>1120</v>
      </c>
      <c r="J286" s="9" t="n">
        <v>1000</v>
      </c>
      <c r="K286" s="4" t="s">
        <v>390</v>
      </c>
      <c r="L286" s="7" t="n">
        <v>45292</v>
      </c>
      <c r="Q286" s="9" t="n">
        <v>61575</v>
      </c>
      <c r="R286" s="9" t="n">
        <f aca="false">Q286</f>
        <v>61575</v>
      </c>
      <c r="T286" s="9" t="n">
        <v>58800</v>
      </c>
      <c r="U286" s="9" t="n">
        <f aca="false">T286</f>
        <v>58800</v>
      </c>
      <c r="V286" s="9" t="n">
        <v>58800</v>
      </c>
      <c r="W286" s="9" t="n">
        <f aca="false">V286</f>
        <v>58800</v>
      </c>
      <c r="X286" s="45" t="n">
        <f aca="false">V286/H286</f>
        <v>52.5</v>
      </c>
      <c r="Y286" s="41"/>
      <c r="Z286" s="9" t="s">
        <v>127</v>
      </c>
      <c r="AA286" s="42"/>
      <c r="AB286" s="44"/>
      <c r="AC286" s="5" t="s">
        <v>43</v>
      </c>
      <c r="AD286" s="4" t="s">
        <v>280</v>
      </c>
      <c r="AG286" s="59"/>
    </row>
    <row r="287" customFormat="false" ht="14.25" hidden="false" customHeight="true" outlineLevel="0" collapsed="false">
      <c r="A287" s="29"/>
      <c r="B287" s="11"/>
      <c r="C287" s="11" t="s">
        <v>38</v>
      </c>
      <c r="D287" s="29"/>
      <c r="E287" s="4"/>
      <c r="I287" s="9"/>
      <c r="J287" s="9"/>
      <c r="T287" s="9"/>
      <c r="U287" s="9"/>
      <c r="V287" s="9"/>
      <c r="W287" s="9"/>
      <c r="X287" s="9"/>
      <c r="Y287" s="41"/>
      <c r="Z287" s="9"/>
      <c r="AA287" s="42"/>
      <c r="AB287" s="44"/>
      <c r="AC287" s="5"/>
      <c r="AG287" s="59"/>
    </row>
    <row r="288" customFormat="false" ht="14.25" hidden="false" customHeight="true" outlineLevel="0" collapsed="false">
      <c r="A288" s="29"/>
      <c r="B288" s="11"/>
      <c r="C288" s="11" t="s">
        <v>38</v>
      </c>
      <c r="D288" s="29"/>
      <c r="E288" s="4"/>
      <c r="F288" s="47" t="s">
        <v>392</v>
      </c>
      <c r="H288" s="43" t="n">
        <f aca="false">SUM(H285:H286)</f>
        <v>2291</v>
      </c>
      <c r="I288" s="44"/>
      <c r="J288" s="44"/>
      <c r="Q288" s="44" t="n">
        <f aca="false">SUM(Q285:Q286)</f>
        <v>112000</v>
      </c>
      <c r="R288" s="44"/>
      <c r="S288" s="44" t="n">
        <f aca="false">SUM(R284:R287)</f>
        <v>112000</v>
      </c>
      <c r="T288" s="44" t="n">
        <f aca="false">SUM(T285:T286)</f>
        <v>99800</v>
      </c>
      <c r="U288" s="44"/>
      <c r="V288" s="44" t="n">
        <f aca="false">SUM(V285:V286)</f>
        <v>99800</v>
      </c>
      <c r="W288" s="44"/>
      <c r="X288" s="44"/>
      <c r="Y288" s="64"/>
      <c r="Z288" s="44"/>
      <c r="AA288" s="67"/>
      <c r="AB288" s="44" t="n">
        <v>1525000</v>
      </c>
      <c r="AC288" s="5"/>
      <c r="AG288" s="59"/>
    </row>
    <row r="289" customFormat="false" ht="14.25" hidden="false" customHeight="true" outlineLevel="0" collapsed="false">
      <c r="A289" s="29"/>
      <c r="B289" s="11"/>
      <c r="C289" s="11" t="s">
        <v>38</v>
      </c>
      <c r="D289" s="29"/>
      <c r="E289" s="4"/>
      <c r="I289" s="9"/>
      <c r="J289" s="9"/>
      <c r="T289" s="9"/>
      <c r="U289" s="9"/>
      <c r="V289" s="9"/>
      <c r="W289" s="9"/>
      <c r="X289" s="9"/>
      <c r="Y289" s="41"/>
      <c r="Z289" s="9"/>
      <c r="AA289" s="42"/>
      <c r="AB289" s="44"/>
      <c r="AC289" s="5"/>
      <c r="AG289" s="59"/>
    </row>
    <row r="290" customFormat="false" ht="14.25" hidden="false" customHeight="true" outlineLevel="0" collapsed="false">
      <c r="A290" s="29"/>
      <c r="B290" s="11"/>
      <c r="C290" s="11" t="s">
        <v>38</v>
      </c>
      <c r="D290" s="29"/>
      <c r="E290" s="4"/>
      <c r="G290" s="39" t="s">
        <v>394</v>
      </c>
      <c r="I290" s="9"/>
      <c r="J290" s="9"/>
      <c r="K290" s="40"/>
      <c r="T290" s="11"/>
      <c r="U290" s="9"/>
      <c r="V290" s="11"/>
      <c r="W290" s="9"/>
      <c r="X290" s="9"/>
      <c r="Y290" s="41"/>
      <c r="Z290" s="9"/>
      <c r="AA290" s="42"/>
      <c r="AB290" s="44"/>
      <c r="AC290" s="5"/>
      <c r="AG290" s="59"/>
    </row>
    <row r="291" customFormat="false" ht="14.25" hidden="false" customHeight="true" outlineLevel="0" collapsed="false">
      <c r="A291" s="29"/>
      <c r="B291" s="11"/>
      <c r="C291" s="11" t="s">
        <v>38</v>
      </c>
      <c r="D291" s="29"/>
      <c r="E291" s="4"/>
      <c r="I291" s="9"/>
      <c r="J291" s="9"/>
      <c r="T291" s="9"/>
      <c r="U291" s="9"/>
      <c r="V291" s="9"/>
      <c r="W291" s="9"/>
      <c r="X291" s="9"/>
      <c r="Y291" s="41"/>
      <c r="Z291" s="9"/>
      <c r="AA291" s="42"/>
      <c r="AB291" s="44"/>
      <c r="AC291" s="5"/>
      <c r="AG291" s="59"/>
    </row>
    <row r="292" customFormat="false" ht="24" hidden="false" customHeight="true" outlineLevel="0" collapsed="false">
      <c r="A292" s="29"/>
      <c r="B292" s="11" t="s">
        <v>106</v>
      </c>
      <c r="C292" s="11" t="s">
        <v>38</v>
      </c>
      <c r="D292" s="29" t="n">
        <v>550220</v>
      </c>
      <c r="E292" s="4" t="s">
        <v>394</v>
      </c>
      <c r="F292" s="4" t="s">
        <v>395</v>
      </c>
      <c r="G292" s="5" t="s">
        <v>396</v>
      </c>
      <c r="H292" s="43" t="n">
        <v>4284</v>
      </c>
      <c r="I292" s="9" t="n">
        <f aca="false">H292</f>
        <v>4284</v>
      </c>
      <c r="J292" s="9" t="n">
        <v>4250</v>
      </c>
      <c r="K292" s="4" t="s">
        <v>67</v>
      </c>
      <c r="N292" s="8" t="n">
        <v>44387</v>
      </c>
      <c r="Q292" s="44" t="n">
        <v>0</v>
      </c>
      <c r="R292" s="9" t="n">
        <f aca="false">Q292</f>
        <v>0</v>
      </c>
      <c r="S292" s="44" t="n">
        <f aca="false">R292</f>
        <v>0</v>
      </c>
      <c r="T292" s="44" t="n">
        <v>0</v>
      </c>
      <c r="U292" s="9" t="n">
        <f aca="false">T292</f>
        <v>0</v>
      </c>
      <c r="V292" s="44" t="n">
        <v>0</v>
      </c>
      <c r="W292" s="9" t="n">
        <f aca="false">V292</f>
        <v>0</v>
      </c>
      <c r="X292" s="9"/>
      <c r="Y292" s="46"/>
      <c r="Z292" s="9"/>
      <c r="AA292" s="42"/>
      <c r="AB292" s="44" t="n">
        <v>1500000</v>
      </c>
      <c r="AC292" s="5" t="s">
        <v>43</v>
      </c>
      <c r="AD292" s="4" t="s">
        <v>228</v>
      </c>
      <c r="AF292" s="60"/>
      <c r="AG292" s="62"/>
      <c r="AH292" s="60"/>
    </row>
    <row r="293" customFormat="false" ht="14.25" hidden="false" customHeight="true" outlineLevel="0" collapsed="false">
      <c r="A293" s="29"/>
      <c r="B293" s="11"/>
      <c r="C293" s="11" t="s">
        <v>38</v>
      </c>
      <c r="D293" s="29"/>
      <c r="E293" s="4"/>
      <c r="I293" s="9"/>
      <c r="J293" s="9"/>
      <c r="T293" s="9"/>
      <c r="U293" s="9"/>
      <c r="V293" s="9"/>
      <c r="W293" s="9"/>
      <c r="X293" s="9"/>
      <c r="Y293" s="41"/>
      <c r="Z293" s="9"/>
      <c r="AA293" s="42"/>
      <c r="AB293" s="14"/>
      <c r="AC293" s="5"/>
      <c r="AG293" s="59"/>
    </row>
    <row r="294" customFormat="false" ht="14.25" hidden="false" customHeight="true" outlineLevel="0" collapsed="false">
      <c r="A294" s="29"/>
      <c r="B294" s="11"/>
      <c r="C294" s="11" t="s">
        <v>38</v>
      </c>
      <c r="D294" s="29"/>
      <c r="E294" s="4"/>
      <c r="F294" s="47" t="s">
        <v>397</v>
      </c>
      <c r="H294" s="48" t="n">
        <f aca="false">SUM(H292:H293)</f>
        <v>4284</v>
      </c>
      <c r="I294" s="43"/>
      <c r="J294" s="43"/>
      <c r="K294" s="49"/>
      <c r="L294" s="50"/>
      <c r="M294" s="51"/>
      <c r="N294" s="51"/>
      <c r="O294" s="51"/>
      <c r="P294" s="51"/>
      <c r="Q294" s="48"/>
      <c r="R294" s="48"/>
      <c r="S294" s="48"/>
      <c r="T294" s="48" t="n">
        <f aca="false">SUM(T292:T293)</f>
        <v>0</v>
      </c>
      <c r="U294" s="48"/>
      <c r="V294" s="48" t="n">
        <f aca="false">SUM(V292:V293)</f>
        <v>0</v>
      </c>
      <c r="W294" s="48"/>
      <c r="X294" s="48"/>
      <c r="Y294" s="52"/>
      <c r="Z294" s="48"/>
      <c r="AA294" s="53"/>
      <c r="AB294" s="54"/>
      <c r="AC294" s="5"/>
      <c r="AG294" s="59"/>
    </row>
    <row r="295" customFormat="false" ht="14.25" hidden="false" customHeight="true" outlineLevel="0" collapsed="false">
      <c r="A295" s="29"/>
      <c r="B295" s="11"/>
      <c r="C295" s="11" t="s">
        <v>38</v>
      </c>
      <c r="D295" s="29"/>
      <c r="E295" s="4"/>
      <c r="G295" s="39" t="s">
        <v>398</v>
      </c>
      <c r="I295" s="9"/>
      <c r="J295" s="9"/>
      <c r="K295" s="40"/>
      <c r="T295" s="11"/>
      <c r="U295" s="9"/>
      <c r="V295" s="11"/>
      <c r="W295" s="9"/>
      <c r="X295" s="9"/>
      <c r="Y295" s="41"/>
      <c r="Z295" s="9"/>
      <c r="AA295" s="42"/>
      <c r="AB295" s="44"/>
      <c r="AC295" s="5"/>
      <c r="AG295" s="59"/>
    </row>
    <row r="296" customFormat="false" ht="14.25" hidden="false" customHeight="true" outlineLevel="0" collapsed="false">
      <c r="A296" s="29"/>
      <c r="B296" s="11"/>
      <c r="C296" s="11" t="s">
        <v>38</v>
      </c>
      <c r="D296" s="29"/>
      <c r="E296" s="4"/>
      <c r="G296" s="39"/>
      <c r="I296" s="9"/>
      <c r="J296" s="9"/>
      <c r="T296" s="9"/>
      <c r="U296" s="9"/>
      <c r="V296" s="9"/>
      <c r="W296" s="9"/>
      <c r="X296" s="9"/>
      <c r="Y296" s="41"/>
      <c r="Z296" s="9"/>
      <c r="AA296" s="42"/>
      <c r="AB296" s="44"/>
      <c r="AC296" s="5"/>
      <c r="AG296" s="59"/>
    </row>
    <row r="297" customFormat="false" ht="41.25" hidden="false" customHeight="true" outlineLevel="0" collapsed="false">
      <c r="A297" s="29"/>
      <c r="B297" s="11" t="s">
        <v>106</v>
      </c>
      <c r="C297" s="11" t="s">
        <v>38</v>
      </c>
      <c r="D297" s="29" t="n">
        <v>550890</v>
      </c>
      <c r="E297" s="4" t="s">
        <v>398</v>
      </c>
      <c r="F297" s="4" t="s">
        <v>39</v>
      </c>
      <c r="G297" s="5" t="s">
        <v>399</v>
      </c>
      <c r="H297" s="43" t="n">
        <v>23500</v>
      </c>
      <c r="I297" s="9" t="n">
        <f aca="false">H297</f>
        <v>23500</v>
      </c>
      <c r="J297" s="9" t="n">
        <v>23500</v>
      </c>
      <c r="K297" s="4" t="s">
        <v>400</v>
      </c>
      <c r="L297" s="7" t="n">
        <v>45651</v>
      </c>
      <c r="M297" s="8" t="n">
        <v>49302</v>
      </c>
      <c r="O297" s="7" t="n">
        <v>47477</v>
      </c>
      <c r="P297" s="7"/>
      <c r="Q297" s="44" t="n">
        <v>660000</v>
      </c>
      <c r="R297" s="9" t="n">
        <f aca="false">Q297</f>
        <v>660000</v>
      </c>
      <c r="S297" s="44" t="n">
        <f aca="false">R297</f>
        <v>660000</v>
      </c>
      <c r="T297" s="44" t="n">
        <v>0</v>
      </c>
      <c r="U297" s="9" t="n">
        <f aca="false">T297</f>
        <v>0</v>
      </c>
      <c r="V297" s="44" t="n">
        <v>0</v>
      </c>
      <c r="W297" s="9" t="n">
        <f aca="false">V297</f>
        <v>0</v>
      </c>
      <c r="X297" s="9"/>
      <c r="Y297" s="46"/>
      <c r="Z297" s="9" t="s">
        <v>55</v>
      </c>
      <c r="AA297" s="42"/>
      <c r="AB297" s="44" t="n">
        <v>17500000</v>
      </c>
      <c r="AC297" s="5" t="s">
        <v>43</v>
      </c>
      <c r="AD297" s="105" t="s">
        <v>401</v>
      </c>
      <c r="AE297" s="106"/>
      <c r="AF297" s="105"/>
      <c r="AG297" s="107"/>
      <c r="AH297" s="105"/>
    </row>
    <row r="298" customFormat="false" ht="14.25" hidden="false" customHeight="true" outlineLevel="0" collapsed="false">
      <c r="A298" s="29"/>
      <c r="B298" s="11"/>
      <c r="C298" s="11" t="s">
        <v>38</v>
      </c>
      <c r="D298" s="29"/>
      <c r="E298" s="4"/>
      <c r="H298" s="43"/>
      <c r="I298" s="9"/>
      <c r="J298" s="9"/>
      <c r="Q298" s="44"/>
      <c r="R298" s="44"/>
      <c r="S298" s="44"/>
      <c r="T298" s="44"/>
      <c r="U298" s="44"/>
      <c r="V298" s="44"/>
      <c r="W298" s="44"/>
      <c r="X298" s="44"/>
      <c r="Y298" s="64"/>
      <c r="Z298" s="44"/>
      <c r="AA298" s="67"/>
      <c r="AB298" s="44"/>
      <c r="AC298" s="5"/>
      <c r="AG298" s="59"/>
    </row>
    <row r="299" customFormat="false" ht="14.25" hidden="false" customHeight="true" outlineLevel="0" collapsed="false">
      <c r="A299" s="29"/>
      <c r="B299" s="11"/>
      <c r="C299" s="11" t="s">
        <v>38</v>
      </c>
      <c r="D299" s="29"/>
      <c r="E299" s="4"/>
      <c r="G299" s="39" t="s">
        <v>402</v>
      </c>
      <c r="I299" s="9"/>
      <c r="J299" s="9"/>
      <c r="K299" s="40"/>
      <c r="T299" s="11"/>
      <c r="U299" s="9"/>
      <c r="V299" s="11"/>
      <c r="W299" s="9"/>
      <c r="X299" s="9"/>
      <c r="Y299" s="41"/>
      <c r="Z299" s="9"/>
      <c r="AA299" s="42"/>
      <c r="AB299" s="44"/>
      <c r="AC299" s="5"/>
      <c r="AG299" s="59"/>
    </row>
    <row r="300" customFormat="false" ht="14.25" hidden="false" customHeight="true" outlineLevel="0" collapsed="false">
      <c r="A300" s="29"/>
      <c r="B300" s="11"/>
      <c r="C300" s="11" t="s">
        <v>38</v>
      </c>
      <c r="D300" s="29"/>
      <c r="E300" s="4"/>
      <c r="H300" s="43"/>
      <c r="I300" s="44"/>
      <c r="J300" s="44"/>
      <c r="Q300" s="44"/>
      <c r="R300" s="44"/>
      <c r="S300" s="44"/>
      <c r="T300" s="44"/>
      <c r="U300" s="44"/>
      <c r="V300" s="44"/>
      <c r="W300" s="44"/>
      <c r="X300" s="44"/>
      <c r="Y300" s="64"/>
      <c r="Z300" s="44"/>
      <c r="AA300" s="67"/>
      <c r="AB300" s="44"/>
      <c r="AC300" s="5"/>
      <c r="AG300" s="59"/>
    </row>
    <row r="301" customFormat="false" ht="13.5" hidden="false" customHeight="false" outlineLevel="0" collapsed="false">
      <c r="A301" s="29"/>
      <c r="B301" s="11" t="s">
        <v>236</v>
      </c>
      <c r="C301" s="11" t="s">
        <v>38</v>
      </c>
      <c r="D301" s="29" t="n">
        <v>550586</v>
      </c>
      <c r="E301" s="4" t="s">
        <v>402</v>
      </c>
      <c r="F301" s="4" t="s">
        <v>403</v>
      </c>
      <c r="G301" s="5" t="s">
        <v>242</v>
      </c>
      <c r="H301" s="43" t="n">
        <v>420</v>
      </c>
      <c r="I301" s="9" t="n">
        <f aca="false">H301</f>
        <v>420</v>
      </c>
      <c r="J301" s="9" t="n">
        <v>500</v>
      </c>
      <c r="K301" s="4" t="s">
        <v>404</v>
      </c>
      <c r="L301" s="7" t="n">
        <v>45664</v>
      </c>
      <c r="M301" s="8" t="n">
        <v>46028</v>
      </c>
      <c r="Q301" s="44" t="n">
        <v>25220</v>
      </c>
      <c r="R301" s="9" t="n">
        <f aca="false">Q301</f>
        <v>25220</v>
      </c>
      <c r="S301" s="44" t="n">
        <f aca="false">R301</f>
        <v>25220</v>
      </c>
      <c r="T301" s="44" t="n">
        <v>27000</v>
      </c>
      <c r="U301" s="9" t="n">
        <f aca="false">T301</f>
        <v>27000</v>
      </c>
      <c r="V301" s="44" t="n">
        <v>27000</v>
      </c>
      <c r="W301" s="9" t="n">
        <f aca="false">V301</f>
        <v>27000</v>
      </c>
      <c r="X301" s="9"/>
      <c r="Y301" s="46" t="n">
        <f aca="false">SUM(V301-T301)/T301</f>
        <v>0</v>
      </c>
      <c r="Z301" s="9" t="s">
        <v>60</v>
      </c>
      <c r="AA301" s="42"/>
      <c r="AB301" s="44" t="n">
        <v>590000</v>
      </c>
      <c r="AC301" s="5" t="s">
        <v>43</v>
      </c>
      <c r="AD301" s="60" t="s">
        <v>64</v>
      </c>
      <c r="AF301" s="60"/>
      <c r="AG301" s="62"/>
      <c r="AH301" s="60"/>
    </row>
    <row r="302" customFormat="false" ht="14.25" hidden="false" customHeight="true" outlineLevel="0" collapsed="false">
      <c r="A302" s="29"/>
      <c r="B302" s="11"/>
      <c r="C302" s="11" t="s">
        <v>38</v>
      </c>
      <c r="D302" s="29"/>
      <c r="E302" s="4"/>
      <c r="H302" s="43"/>
      <c r="I302" s="44"/>
      <c r="J302" s="44"/>
      <c r="Q302" s="44"/>
      <c r="R302" s="44"/>
      <c r="S302" s="44"/>
      <c r="T302" s="44"/>
      <c r="U302" s="44"/>
      <c r="V302" s="44"/>
      <c r="W302" s="44"/>
      <c r="X302" s="44"/>
      <c r="Y302" s="64"/>
      <c r="Z302" s="44"/>
      <c r="AA302" s="67"/>
      <c r="AB302" s="66"/>
      <c r="AC302" s="5"/>
      <c r="AG302" s="59"/>
    </row>
    <row r="303" customFormat="false" ht="14.25" hidden="false" customHeight="true" outlineLevel="0" collapsed="false">
      <c r="A303" s="29"/>
      <c r="B303" s="11"/>
      <c r="C303" s="11" t="s">
        <v>38</v>
      </c>
      <c r="D303" s="29"/>
      <c r="E303" s="4"/>
      <c r="F303" s="47" t="s">
        <v>405</v>
      </c>
      <c r="H303" s="48" t="n">
        <f aca="false">SUM(H301:H302)</f>
        <v>420</v>
      </c>
      <c r="I303" s="43"/>
      <c r="J303" s="43"/>
      <c r="K303" s="49"/>
      <c r="L303" s="50"/>
      <c r="M303" s="51"/>
      <c r="N303" s="51"/>
      <c r="O303" s="51"/>
      <c r="P303" s="51"/>
      <c r="Q303" s="48"/>
      <c r="R303" s="48"/>
      <c r="S303" s="48"/>
      <c r="T303" s="48" t="n">
        <f aca="false">SUM(T301:T302)</f>
        <v>27000</v>
      </c>
      <c r="U303" s="48"/>
      <c r="V303" s="48" t="n">
        <f aca="false">SUM(V301:V302)</f>
        <v>27000</v>
      </c>
      <c r="W303" s="48"/>
      <c r="X303" s="48"/>
      <c r="Y303" s="52"/>
      <c r="Z303" s="48"/>
      <c r="AA303" s="53"/>
      <c r="AB303" s="54"/>
      <c r="AC303" s="5"/>
      <c r="AG303" s="59"/>
    </row>
    <row r="304" customFormat="false" ht="14.25" hidden="false" customHeight="true" outlineLevel="0" collapsed="false">
      <c r="A304" s="29"/>
      <c r="B304" s="11"/>
      <c r="C304" s="11" t="s">
        <v>38</v>
      </c>
      <c r="D304" s="29"/>
      <c r="E304" s="4"/>
      <c r="G304" s="39" t="s">
        <v>406</v>
      </c>
      <c r="I304" s="9"/>
      <c r="J304" s="9"/>
      <c r="K304" s="40"/>
      <c r="T304" s="11"/>
      <c r="U304" s="9"/>
      <c r="V304" s="11"/>
      <c r="W304" s="9"/>
      <c r="X304" s="9"/>
      <c r="Y304" s="41"/>
      <c r="Z304" s="9"/>
      <c r="AA304" s="42"/>
      <c r="AB304" s="14"/>
      <c r="AC304" s="5"/>
      <c r="AG304" s="59"/>
    </row>
    <row r="305" customFormat="false" ht="14.25" hidden="false" customHeight="true" outlineLevel="0" collapsed="false">
      <c r="A305" s="29"/>
      <c r="B305" s="11"/>
      <c r="C305" s="11" t="s">
        <v>38</v>
      </c>
      <c r="D305" s="29"/>
      <c r="E305" s="4"/>
      <c r="G305" s="39"/>
      <c r="H305" s="108"/>
      <c r="I305" s="9"/>
      <c r="J305" s="9"/>
      <c r="K305" s="69"/>
      <c r="T305" s="9"/>
      <c r="U305" s="9"/>
      <c r="V305" s="9"/>
      <c r="W305" s="9"/>
      <c r="X305" s="9"/>
      <c r="Y305" s="41"/>
      <c r="Z305" s="9"/>
      <c r="AA305" s="42"/>
      <c r="AB305" s="14"/>
      <c r="AC305" s="5"/>
      <c r="AG305" s="59"/>
    </row>
    <row r="306" customFormat="false" ht="24" hidden="false" customHeight="true" outlineLevel="0" collapsed="false">
      <c r="A306" s="29"/>
      <c r="B306" s="11" t="s">
        <v>189</v>
      </c>
      <c r="C306" s="11" t="s">
        <v>38</v>
      </c>
      <c r="D306" s="29" t="n">
        <v>550300</v>
      </c>
      <c r="E306" s="4" t="s">
        <v>406</v>
      </c>
      <c r="F306" s="4" t="s">
        <v>407</v>
      </c>
      <c r="G306" s="5" t="s">
        <v>408</v>
      </c>
      <c r="H306" s="6" t="n">
        <v>1911</v>
      </c>
      <c r="I306" s="6" t="n">
        <f aca="false">H306</f>
        <v>1911</v>
      </c>
      <c r="J306" s="6" t="n">
        <v>2000</v>
      </c>
      <c r="K306" s="4" t="s">
        <v>409</v>
      </c>
      <c r="L306" s="7" t="n">
        <v>44774</v>
      </c>
      <c r="M306" s="8" t="n">
        <v>46599</v>
      </c>
      <c r="P306" s="8" t="n">
        <v>45870</v>
      </c>
      <c r="Q306" s="9" t="n">
        <v>44735</v>
      </c>
      <c r="R306" s="9" t="n">
        <f aca="false">Q306</f>
        <v>44735</v>
      </c>
      <c r="T306" s="9" t="n">
        <v>45700</v>
      </c>
      <c r="U306" s="9" t="n">
        <f aca="false">T306</f>
        <v>45700</v>
      </c>
      <c r="V306" s="9" t="n">
        <v>47800</v>
      </c>
      <c r="W306" s="9" t="n">
        <f aca="false">V306</f>
        <v>47800</v>
      </c>
      <c r="X306" s="45" t="n">
        <f aca="false">V306/H306</f>
        <v>25.0130821559393</v>
      </c>
      <c r="Y306" s="46" t="n">
        <f aca="false">SUM(V306-T306)/T306</f>
        <v>0.0459518599562363</v>
      </c>
      <c r="Z306" s="9" t="s">
        <v>127</v>
      </c>
      <c r="AA306" s="42"/>
      <c r="AB306" s="14"/>
      <c r="AC306" s="5" t="s">
        <v>43</v>
      </c>
      <c r="AD306" s="4" t="s">
        <v>75</v>
      </c>
      <c r="AG306" s="59"/>
    </row>
    <row r="307" customFormat="false" ht="24" hidden="false" customHeight="true" outlineLevel="0" collapsed="false">
      <c r="A307" s="29"/>
      <c r="B307" s="11" t="s">
        <v>189</v>
      </c>
      <c r="C307" s="11" t="s">
        <v>38</v>
      </c>
      <c r="D307" s="29" t="n">
        <v>550300</v>
      </c>
      <c r="E307" s="4" t="s">
        <v>406</v>
      </c>
      <c r="F307" s="4" t="s">
        <v>410</v>
      </c>
      <c r="G307" s="5" t="s">
        <v>411</v>
      </c>
      <c r="H307" s="6" t="n">
        <v>0</v>
      </c>
      <c r="I307" s="6" t="n">
        <f aca="false">H307</f>
        <v>0</v>
      </c>
      <c r="K307" s="4" t="s">
        <v>81</v>
      </c>
      <c r="N307" s="8" t="n">
        <v>45456</v>
      </c>
      <c r="Q307" s="9" t="n">
        <v>0</v>
      </c>
      <c r="R307" s="9" t="n">
        <f aca="false">Q307</f>
        <v>0</v>
      </c>
      <c r="T307" s="9" t="n">
        <v>0</v>
      </c>
      <c r="U307" s="9" t="n">
        <f aca="false">T307</f>
        <v>0</v>
      </c>
      <c r="V307" s="9" t="n">
        <v>0</v>
      </c>
      <c r="W307" s="9" t="n">
        <f aca="false">V307</f>
        <v>0</v>
      </c>
      <c r="X307" s="45"/>
      <c r="Y307" s="46"/>
      <c r="Z307" s="9" t="s">
        <v>127</v>
      </c>
      <c r="AA307" s="42"/>
      <c r="AB307" s="14"/>
      <c r="AC307" s="5" t="s">
        <v>43</v>
      </c>
      <c r="AG307" s="59"/>
    </row>
    <row r="308" customFormat="false" ht="14.25" hidden="false" customHeight="true" outlineLevel="0" collapsed="false">
      <c r="A308" s="29"/>
      <c r="B308" s="11" t="s">
        <v>189</v>
      </c>
      <c r="C308" s="11" t="s">
        <v>38</v>
      </c>
      <c r="D308" s="29" t="n">
        <v>550300</v>
      </c>
      <c r="E308" s="4" t="s">
        <v>406</v>
      </c>
      <c r="F308" s="4" t="s">
        <v>412</v>
      </c>
      <c r="G308" s="5" t="s">
        <v>237</v>
      </c>
      <c r="H308" s="6" t="n">
        <v>495</v>
      </c>
      <c r="I308" s="6" t="n">
        <f aca="false">H308</f>
        <v>495</v>
      </c>
      <c r="J308" s="6" t="n">
        <v>500</v>
      </c>
      <c r="K308" s="4" t="s">
        <v>413</v>
      </c>
      <c r="L308" s="7" t="n">
        <v>45010</v>
      </c>
      <c r="M308" s="8" t="n">
        <v>48662</v>
      </c>
      <c r="O308" s="8" t="n">
        <v>46837</v>
      </c>
      <c r="Q308" s="9" t="n">
        <v>35000</v>
      </c>
      <c r="R308" s="9" t="n">
        <f aca="false">Q308</f>
        <v>35000</v>
      </c>
      <c r="T308" s="9" t="n">
        <v>35400</v>
      </c>
      <c r="U308" s="9" t="n">
        <f aca="false">T308</f>
        <v>35400</v>
      </c>
      <c r="V308" s="9" t="n">
        <v>35000</v>
      </c>
      <c r="W308" s="9" t="n">
        <f aca="false">V308</f>
        <v>35000</v>
      </c>
      <c r="X308" s="45" t="n">
        <f aca="false">V308/H308</f>
        <v>70.7070707070707</v>
      </c>
      <c r="Y308" s="46" t="n">
        <f aca="false">SUM(V308-T308)/T308</f>
        <v>-0.0112994350282486</v>
      </c>
      <c r="Z308" s="9" t="s">
        <v>127</v>
      </c>
      <c r="AA308" s="42"/>
      <c r="AB308" s="14"/>
      <c r="AC308" s="5" t="s">
        <v>43</v>
      </c>
      <c r="AG308" s="59"/>
    </row>
    <row r="309" customFormat="false" ht="24.75" hidden="false" customHeight="true" outlineLevel="0" collapsed="false">
      <c r="A309" s="29"/>
      <c r="B309" s="11" t="s">
        <v>189</v>
      </c>
      <c r="C309" s="11" t="s">
        <v>38</v>
      </c>
      <c r="D309" s="29" t="n">
        <v>550300</v>
      </c>
      <c r="E309" s="4" t="s">
        <v>406</v>
      </c>
      <c r="F309" s="4" t="s">
        <v>414</v>
      </c>
      <c r="G309" s="5" t="s">
        <v>415</v>
      </c>
      <c r="H309" s="6" t="n">
        <v>1051</v>
      </c>
      <c r="I309" s="6" t="n">
        <f aca="false">H309</f>
        <v>1051</v>
      </c>
      <c r="J309" s="6" t="n">
        <v>1000</v>
      </c>
      <c r="K309" s="4" t="s">
        <v>416</v>
      </c>
      <c r="L309" s="7" t="n">
        <v>43549</v>
      </c>
      <c r="M309" s="8" t="n">
        <v>46836</v>
      </c>
      <c r="O309" s="8" t="n">
        <v>45010</v>
      </c>
      <c r="Q309" s="9" t="n">
        <v>28200</v>
      </c>
      <c r="R309" s="9" t="n">
        <f aca="false">Q309</f>
        <v>28200</v>
      </c>
      <c r="T309" s="9" t="n">
        <v>32000</v>
      </c>
      <c r="U309" s="9" t="n">
        <f aca="false">T309</f>
        <v>32000</v>
      </c>
      <c r="V309" s="9" t="n">
        <v>21000</v>
      </c>
      <c r="W309" s="9" t="n">
        <f aca="false">V309</f>
        <v>21000</v>
      </c>
      <c r="X309" s="45" t="n">
        <f aca="false">V309/H309</f>
        <v>19.9809705042816</v>
      </c>
      <c r="Y309" s="46" t="n">
        <f aca="false">SUM(V309-T309)/T309</f>
        <v>-0.34375</v>
      </c>
      <c r="Z309" s="9" t="s">
        <v>127</v>
      </c>
      <c r="AA309" s="42"/>
      <c r="AB309" s="14"/>
      <c r="AC309" s="5" t="s">
        <v>43</v>
      </c>
      <c r="AD309" s="4" t="s">
        <v>417</v>
      </c>
      <c r="AG309" s="59"/>
    </row>
    <row r="310" customFormat="false" ht="24" hidden="false" customHeight="true" outlineLevel="0" collapsed="false">
      <c r="A310" s="29"/>
      <c r="B310" s="11" t="s">
        <v>189</v>
      </c>
      <c r="C310" s="11" t="s">
        <v>38</v>
      </c>
      <c r="D310" s="29" t="n">
        <v>550300</v>
      </c>
      <c r="E310" s="4" t="s">
        <v>406</v>
      </c>
      <c r="F310" s="4" t="s">
        <v>340</v>
      </c>
      <c r="G310" s="5" t="s">
        <v>90</v>
      </c>
      <c r="H310" s="6" t="n">
        <v>2254</v>
      </c>
      <c r="I310" s="6" t="n">
        <f aca="false">H310</f>
        <v>2254</v>
      </c>
      <c r="J310" s="6" t="n">
        <v>2250</v>
      </c>
      <c r="K310" s="4" t="s">
        <v>357</v>
      </c>
      <c r="L310" s="7" t="n">
        <v>45001</v>
      </c>
      <c r="M310" s="8" t="n">
        <v>46827</v>
      </c>
      <c r="P310" s="8" t="n">
        <v>46097</v>
      </c>
      <c r="Q310" s="9" t="n">
        <v>148590</v>
      </c>
      <c r="R310" s="9" t="n">
        <f aca="false">Q310</f>
        <v>148590</v>
      </c>
      <c r="T310" s="9" t="n">
        <v>148600</v>
      </c>
      <c r="U310" s="9" t="n">
        <f aca="false">T310</f>
        <v>148600</v>
      </c>
      <c r="V310" s="9" t="n">
        <v>148590</v>
      </c>
      <c r="W310" s="9" t="n">
        <f aca="false">V310</f>
        <v>148590</v>
      </c>
      <c r="X310" s="45" t="n">
        <f aca="false">V310/H310</f>
        <v>65.9228039041704</v>
      </c>
      <c r="Y310" s="46" t="n">
        <f aca="false">SUM(V310-T310)/T310</f>
        <v>-6.72947510094213E-005</v>
      </c>
      <c r="Z310" s="9" t="s">
        <v>127</v>
      </c>
      <c r="AA310" s="42"/>
      <c r="AB310" s="14"/>
      <c r="AC310" s="5" t="s">
        <v>43</v>
      </c>
      <c r="AD310" s="4" t="s">
        <v>418</v>
      </c>
      <c r="AG310" s="59"/>
    </row>
    <row r="311" customFormat="false" ht="24" hidden="false" customHeight="true" outlineLevel="0" collapsed="false">
      <c r="A311" s="29"/>
      <c r="B311" s="11" t="s">
        <v>189</v>
      </c>
      <c r="C311" s="11" t="s">
        <v>38</v>
      </c>
      <c r="D311" s="29" t="n">
        <v>550300</v>
      </c>
      <c r="E311" s="4" t="s">
        <v>406</v>
      </c>
      <c r="F311" s="4" t="s">
        <v>89</v>
      </c>
      <c r="G311" s="5" t="s">
        <v>40</v>
      </c>
      <c r="H311" s="6" t="n">
        <v>3205</v>
      </c>
      <c r="I311" s="6" t="n">
        <f aca="false">H311</f>
        <v>3205</v>
      </c>
      <c r="J311" s="6" t="n">
        <v>3250</v>
      </c>
      <c r="K311" s="4" t="s">
        <v>357</v>
      </c>
      <c r="L311" s="7" t="n">
        <v>45000</v>
      </c>
      <c r="M311" s="8" t="n">
        <v>46827</v>
      </c>
      <c r="P311" s="8" t="n">
        <v>46097</v>
      </c>
      <c r="Q311" s="9" t="n">
        <v>218325</v>
      </c>
      <c r="R311" s="9" t="n">
        <f aca="false">Q311</f>
        <v>218325</v>
      </c>
      <c r="T311" s="9" t="n">
        <v>218300</v>
      </c>
      <c r="U311" s="9" t="n">
        <f aca="false">T311</f>
        <v>218300</v>
      </c>
      <c r="V311" s="9" t="n">
        <v>218325</v>
      </c>
      <c r="W311" s="9" t="n">
        <f aca="false">V311</f>
        <v>218325</v>
      </c>
      <c r="X311" s="45" t="n">
        <f aca="false">V311/H311</f>
        <v>68.1201248049922</v>
      </c>
      <c r="Y311" s="46" t="n">
        <f aca="false">SUM(V311-T311)/T311</f>
        <v>0.000114521300961979</v>
      </c>
      <c r="Z311" s="9" t="s">
        <v>127</v>
      </c>
      <c r="AA311" s="42"/>
      <c r="AB311" s="14"/>
      <c r="AC311" s="5" t="s">
        <v>43</v>
      </c>
      <c r="AD311" s="4" t="s">
        <v>418</v>
      </c>
      <c r="AG311" s="59"/>
    </row>
    <row r="312" customFormat="false" ht="28.5" hidden="false" customHeight="true" outlineLevel="0" collapsed="false">
      <c r="A312" s="29"/>
      <c r="B312" s="11" t="s">
        <v>189</v>
      </c>
      <c r="C312" s="11" t="s">
        <v>38</v>
      </c>
      <c r="D312" s="29" t="n">
        <v>550300</v>
      </c>
      <c r="E312" s="4" t="s">
        <v>406</v>
      </c>
      <c r="F312" s="4" t="s">
        <v>419</v>
      </c>
      <c r="G312" s="5" t="s">
        <v>40</v>
      </c>
      <c r="H312" s="6" t="n">
        <v>1510</v>
      </c>
      <c r="I312" s="6" t="n">
        <f aca="false">H312</f>
        <v>1510</v>
      </c>
      <c r="J312" s="6" t="n">
        <v>1500</v>
      </c>
      <c r="K312" s="4" t="s">
        <v>357</v>
      </c>
      <c r="L312" s="7" t="n">
        <v>45200</v>
      </c>
      <c r="M312" s="8" t="n">
        <v>46827</v>
      </c>
      <c r="P312" s="8" t="n">
        <v>46097</v>
      </c>
      <c r="Q312" s="9" t="n">
        <v>92250</v>
      </c>
      <c r="R312" s="9" t="n">
        <f aca="false">Q312</f>
        <v>92250</v>
      </c>
      <c r="T312" s="9" t="n">
        <v>92300</v>
      </c>
      <c r="U312" s="9" t="n">
        <f aca="false">T312</f>
        <v>92300</v>
      </c>
      <c r="V312" s="9" t="n">
        <v>92250</v>
      </c>
      <c r="W312" s="9" t="n">
        <f aca="false">V312</f>
        <v>92250</v>
      </c>
      <c r="X312" s="45" t="n">
        <f aca="false">V312/H312</f>
        <v>61.0927152317881</v>
      </c>
      <c r="Y312" s="46" t="n">
        <f aca="false">SUM(V312-T312)/T312</f>
        <v>-0.000541711809317443</v>
      </c>
      <c r="Z312" s="9" t="s">
        <v>127</v>
      </c>
      <c r="AA312" s="42"/>
      <c r="AB312" s="14"/>
      <c r="AC312" s="5" t="s">
        <v>43</v>
      </c>
      <c r="AD312" s="4" t="s">
        <v>420</v>
      </c>
      <c r="AG312" s="59"/>
    </row>
    <row r="313" customFormat="false" ht="28.5" hidden="false" customHeight="true" outlineLevel="0" collapsed="false">
      <c r="A313" s="29"/>
      <c r="B313" s="11" t="s">
        <v>189</v>
      </c>
      <c r="C313" s="11" t="s">
        <v>38</v>
      </c>
      <c r="D313" s="29" t="n">
        <v>550300</v>
      </c>
      <c r="E313" s="4" t="s">
        <v>406</v>
      </c>
      <c r="F313" s="4" t="s">
        <v>421</v>
      </c>
      <c r="G313" s="5" t="s">
        <v>40</v>
      </c>
      <c r="H313" s="6" t="n">
        <v>130</v>
      </c>
      <c r="I313" s="6" t="n">
        <f aca="false">H313</f>
        <v>130</v>
      </c>
      <c r="J313" s="6" t="n">
        <v>250</v>
      </c>
      <c r="K313" s="4" t="s">
        <v>67</v>
      </c>
      <c r="N313" s="8" t="n">
        <v>45173</v>
      </c>
      <c r="Q313" s="9" t="n">
        <v>0</v>
      </c>
      <c r="R313" s="9" t="n">
        <f aca="false">Q313</f>
        <v>0</v>
      </c>
      <c r="T313" s="9" t="n">
        <v>8120</v>
      </c>
      <c r="U313" s="9" t="n">
        <f aca="false">T313</f>
        <v>8120</v>
      </c>
      <c r="V313" s="9" t="n">
        <v>8000</v>
      </c>
      <c r="W313" s="9" t="n">
        <f aca="false">V313</f>
        <v>8000</v>
      </c>
      <c r="X313" s="45" t="n">
        <f aca="false">V313/H313</f>
        <v>61.5384615384615</v>
      </c>
      <c r="Y313" s="46" t="n">
        <f aca="false">SUM(V313-T313)/T313</f>
        <v>-0.0147783251231527</v>
      </c>
      <c r="Z313" s="9" t="s">
        <v>127</v>
      </c>
      <c r="AA313" s="42"/>
      <c r="AB313" s="14"/>
      <c r="AC313" s="5" t="s">
        <v>43</v>
      </c>
      <c r="AD313" s="4" t="s">
        <v>68</v>
      </c>
      <c r="AG313" s="59"/>
    </row>
    <row r="314" customFormat="false" ht="28.5" hidden="false" customHeight="true" outlineLevel="0" collapsed="false">
      <c r="A314" s="29"/>
      <c r="B314" s="11" t="s">
        <v>189</v>
      </c>
      <c r="C314" s="11" t="s">
        <v>38</v>
      </c>
      <c r="D314" s="29" t="n">
        <v>550300</v>
      </c>
      <c r="E314" s="4" t="s">
        <v>406</v>
      </c>
      <c r="F314" s="109" t="s">
        <v>422</v>
      </c>
      <c r="G314" s="5" t="s">
        <v>423</v>
      </c>
      <c r="H314" s="6" t="n">
        <v>1074</v>
      </c>
      <c r="I314" s="6" t="n">
        <f aca="false">H314</f>
        <v>1074</v>
      </c>
      <c r="J314" s="6" t="n">
        <v>1000</v>
      </c>
      <c r="K314" s="4" t="s">
        <v>67</v>
      </c>
      <c r="N314" s="8" t="n">
        <v>45003</v>
      </c>
      <c r="Q314" s="9" t="n">
        <v>0</v>
      </c>
      <c r="R314" s="9" t="n">
        <f aca="false">Q314</f>
        <v>0</v>
      </c>
      <c r="T314" s="9" t="n">
        <v>72100</v>
      </c>
      <c r="U314" s="9" t="n">
        <f aca="false">T314</f>
        <v>72100</v>
      </c>
      <c r="V314" s="9" t="n">
        <v>66100</v>
      </c>
      <c r="W314" s="9" t="n">
        <f aca="false">V314</f>
        <v>66100</v>
      </c>
      <c r="X314" s="45" t="n">
        <f aca="false">V314/H314</f>
        <v>61.5456238361266</v>
      </c>
      <c r="Y314" s="46" t="n">
        <f aca="false">SUM(V314-T314)/T314</f>
        <v>-0.0832177531206658</v>
      </c>
      <c r="Z314" s="9" t="s">
        <v>127</v>
      </c>
      <c r="AA314" s="42" t="s">
        <v>26</v>
      </c>
      <c r="AB314" s="14"/>
      <c r="AC314" s="5" t="s">
        <v>43</v>
      </c>
      <c r="AD314" s="4" t="s">
        <v>68</v>
      </c>
      <c r="AE314" s="15" t="n">
        <v>67.5</v>
      </c>
      <c r="AF314" s="4" t="n">
        <v>2</v>
      </c>
      <c r="AG314" s="59" t="n">
        <v>5</v>
      </c>
    </row>
    <row r="315" customFormat="false" ht="13.5" hidden="false" customHeight="false" outlineLevel="0" collapsed="false">
      <c r="A315" s="29"/>
      <c r="B315" s="11" t="s">
        <v>189</v>
      </c>
      <c r="C315" s="11" t="s">
        <v>38</v>
      </c>
      <c r="D315" s="29" t="n">
        <v>550300</v>
      </c>
      <c r="E315" s="4" t="s">
        <v>406</v>
      </c>
      <c r="F315" s="4" t="s">
        <v>94</v>
      </c>
      <c r="G315" s="5" t="s">
        <v>40</v>
      </c>
      <c r="H315" s="6" t="n">
        <v>2018</v>
      </c>
      <c r="I315" s="6" t="n">
        <f aca="false">H315</f>
        <v>2018</v>
      </c>
      <c r="J315" s="6" t="n">
        <v>2000</v>
      </c>
      <c r="K315" s="4" t="s">
        <v>424</v>
      </c>
      <c r="L315" s="7" t="n">
        <v>45456</v>
      </c>
      <c r="M315" s="8" t="n">
        <v>47281</v>
      </c>
      <c r="P315" s="8" t="n">
        <v>46550</v>
      </c>
      <c r="Q315" s="9" t="n">
        <v>140315</v>
      </c>
      <c r="R315" s="9" t="n">
        <f aca="false">Q315</f>
        <v>140315</v>
      </c>
      <c r="T315" s="9" t="n">
        <v>129800</v>
      </c>
      <c r="U315" s="9" t="n">
        <f aca="false">T315</f>
        <v>129800</v>
      </c>
      <c r="V315" s="9" t="n">
        <v>140315</v>
      </c>
      <c r="W315" s="9" t="n">
        <f aca="false">V315</f>
        <v>140315</v>
      </c>
      <c r="X315" s="45" t="n">
        <f aca="false">V315/H315</f>
        <v>69.5317145688801</v>
      </c>
      <c r="Y315" s="46" t="n">
        <f aca="false">SUM(V315-T315)/T315</f>
        <v>0.0810092449922958</v>
      </c>
      <c r="Z315" s="9" t="s">
        <v>127</v>
      </c>
      <c r="AA315" s="42"/>
      <c r="AB315" s="14"/>
      <c r="AC315" s="5" t="s">
        <v>43</v>
      </c>
      <c r="AD315" s="4" t="s">
        <v>77</v>
      </c>
      <c r="AG315" s="59"/>
    </row>
    <row r="316" customFormat="false" ht="28.5" hidden="false" customHeight="true" outlineLevel="0" collapsed="false">
      <c r="A316" s="29"/>
      <c r="B316" s="11" t="s">
        <v>189</v>
      </c>
      <c r="C316" s="11" t="s">
        <v>38</v>
      </c>
      <c r="D316" s="29" t="n">
        <v>550300</v>
      </c>
      <c r="E316" s="4" t="s">
        <v>406</v>
      </c>
      <c r="F316" s="4" t="s">
        <v>425</v>
      </c>
      <c r="G316" s="5" t="s">
        <v>168</v>
      </c>
      <c r="H316" s="6" t="n">
        <v>0</v>
      </c>
      <c r="I316" s="6" t="n">
        <f aca="false">H316</f>
        <v>0</v>
      </c>
      <c r="K316" s="4" t="s">
        <v>169</v>
      </c>
      <c r="L316" s="7" t="n">
        <v>43866</v>
      </c>
      <c r="M316" s="8" t="n">
        <v>47518</v>
      </c>
      <c r="O316" s="8" t="n">
        <v>45693</v>
      </c>
      <c r="Q316" s="9" t="n">
        <v>1000</v>
      </c>
      <c r="R316" s="9" t="n">
        <f aca="false">Q316</f>
        <v>1000</v>
      </c>
      <c r="T316" s="9" t="n">
        <v>1000</v>
      </c>
      <c r="U316" s="9" t="n">
        <f aca="false">T316</f>
        <v>1000</v>
      </c>
      <c r="V316" s="9" t="n">
        <v>1000</v>
      </c>
      <c r="W316" s="9" t="n">
        <f aca="false">V316</f>
        <v>1000</v>
      </c>
      <c r="X316" s="45"/>
      <c r="Y316" s="41"/>
      <c r="Z316" s="9"/>
      <c r="AA316" s="42"/>
      <c r="AB316" s="14"/>
      <c r="AC316" s="5" t="s">
        <v>170</v>
      </c>
      <c r="AD316" s="4" t="s">
        <v>426</v>
      </c>
      <c r="AG316" s="59"/>
    </row>
    <row r="317" customFormat="false" ht="14.25" hidden="false" customHeight="true" outlineLevel="0" collapsed="false">
      <c r="A317" s="29"/>
      <c r="B317" s="11"/>
      <c r="C317" s="11" t="s">
        <v>38</v>
      </c>
      <c r="D317" s="29"/>
      <c r="E317" s="4"/>
      <c r="I317" s="9"/>
      <c r="J317" s="9"/>
      <c r="T317" s="9"/>
      <c r="U317" s="9"/>
      <c r="V317" s="9"/>
      <c r="W317" s="9"/>
      <c r="X317" s="9"/>
      <c r="Y317" s="41"/>
      <c r="Z317" s="9"/>
      <c r="AA317" s="42"/>
      <c r="AB317" s="14"/>
      <c r="AC317" s="5"/>
      <c r="AG317" s="59"/>
    </row>
    <row r="318" customFormat="false" ht="14.25" hidden="false" customHeight="true" outlineLevel="0" collapsed="false">
      <c r="A318" s="29"/>
      <c r="B318" s="11"/>
      <c r="C318" s="11" t="s">
        <v>38</v>
      </c>
      <c r="D318" s="29"/>
      <c r="E318" s="4"/>
      <c r="F318" s="47" t="s">
        <v>427</v>
      </c>
      <c r="H318" s="44" t="n">
        <f aca="false">SUM(H306:H316)</f>
        <v>13648</v>
      </c>
      <c r="I318" s="44"/>
      <c r="J318" s="44"/>
      <c r="K318" s="71"/>
      <c r="Q318" s="44" t="n">
        <f aca="false">SUM(Q306:Q316)</f>
        <v>708415</v>
      </c>
      <c r="R318" s="44"/>
      <c r="S318" s="44" t="n">
        <f aca="false">SUM(R304:R317)</f>
        <v>708415</v>
      </c>
      <c r="T318" s="44" t="n">
        <f aca="false">SUM(T306:T316)</f>
        <v>783320</v>
      </c>
      <c r="U318" s="44"/>
      <c r="V318" s="44" t="n">
        <f aca="false">SUM(V306:V316)</f>
        <v>778380</v>
      </c>
      <c r="W318" s="44"/>
      <c r="X318" s="44"/>
      <c r="Y318" s="64"/>
      <c r="Z318" s="44"/>
      <c r="AA318" s="67"/>
      <c r="AB318" s="44" t="n">
        <v>11600000</v>
      </c>
      <c r="AC318" s="5"/>
      <c r="AF318" s="60"/>
      <c r="AG318" s="62"/>
      <c r="AH318" s="60"/>
    </row>
    <row r="319" customFormat="false" ht="14.25" hidden="false" customHeight="true" outlineLevel="0" collapsed="false">
      <c r="A319" s="29"/>
      <c r="B319" s="11"/>
      <c r="C319" s="11" t="s">
        <v>38</v>
      </c>
      <c r="D319" s="29"/>
      <c r="E319" s="4"/>
      <c r="H319" s="43"/>
      <c r="I319" s="44"/>
      <c r="J319" s="44"/>
      <c r="Q319" s="44"/>
      <c r="R319" s="44"/>
      <c r="S319" s="44"/>
      <c r="T319" s="44"/>
      <c r="U319" s="44"/>
      <c r="V319" s="44"/>
      <c r="W319" s="44"/>
      <c r="X319" s="44"/>
      <c r="Y319" s="64"/>
      <c r="Z319" s="44"/>
      <c r="AA319" s="67"/>
      <c r="AB319" s="44"/>
      <c r="AC319" s="5"/>
      <c r="AG319" s="59"/>
    </row>
    <row r="320" customFormat="false" ht="14.25" hidden="false" customHeight="true" outlineLevel="0" collapsed="false">
      <c r="A320" s="29"/>
      <c r="B320" s="11"/>
      <c r="C320" s="11" t="s">
        <v>38</v>
      </c>
      <c r="D320" s="29"/>
      <c r="E320" s="4"/>
      <c r="G320" s="39" t="s">
        <v>428</v>
      </c>
      <c r="I320" s="9"/>
      <c r="J320" s="9"/>
      <c r="K320" s="40"/>
      <c r="T320" s="11"/>
      <c r="U320" s="9"/>
      <c r="V320" s="11"/>
      <c r="W320" s="9"/>
      <c r="X320" s="9"/>
      <c r="Y320" s="41"/>
      <c r="Z320" s="9"/>
      <c r="AA320" s="42"/>
      <c r="AB320" s="44"/>
      <c r="AC320" s="5"/>
      <c r="AG320" s="59"/>
    </row>
    <row r="321" customFormat="false" ht="14.25" hidden="false" customHeight="true" outlineLevel="0" collapsed="false">
      <c r="A321" s="29"/>
      <c r="B321" s="11"/>
      <c r="C321" s="11" t="s">
        <v>38</v>
      </c>
      <c r="D321" s="29"/>
      <c r="E321" s="4"/>
      <c r="G321" s="39"/>
      <c r="H321" s="76"/>
      <c r="I321" s="9"/>
      <c r="J321" s="9"/>
      <c r="T321" s="9"/>
      <c r="U321" s="9"/>
      <c r="V321" s="9"/>
      <c r="W321" s="9"/>
      <c r="X321" s="9"/>
      <c r="Y321" s="41"/>
      <c r="Z321" s="9"/>
      <c r="AA321" s="42"/>
      <c r="AB321" s="44"/>
      <c r="AC321" s="5"/>
      <c r="AG321" s="59"/>
    </row>
    <row r="322" customFormat="false" ht="24" hidden="false" customHeight="true" outlineLevel="0" collapsed="false">
      <c r="A322" s="29"/>
      <c r="B322" s="11" t="s">
        <v>189</v>
      </c>
      <c r="C322" s="11" t="s">
        <v>38</v>
      </c>
      <c r="D322" s="29" t="n">
        <v>550500</v>
      </c>
      <c r="E322" s="4" t="s">
        <v>428</v>
      </c>
      <c r="F322" s="4" t="s">
        <v>429</v>
      </c>
      <c r="G322" s="5" t="s">
        <v>430</v>
      </c>
      <c r="H322" s="6" t="n">
        <v>2520</v>
      </c>
      <c r="I322" s="9" t="n">
        <f aca="false">H322</f>
        <v>2520</v>
      </c>
      <c r="J322" s="9" t="n">
        <v>2500</v>
      </c>
      <c r="K322" s="4" t="s">
        <v>431</v>
      </c>
      <c r="L322" s="7" t="n">
        <v>43571</v>
      </c>
      <c r="M322" s="8" t="n">
        <v>47223</v>
      </c>
      <c r="O322" s="8" t="n">
        <v>45398</v>
      </c>
      <c r="Q322" s="9" t="n">
        <v>82500</v>
      </c>
      <c r="R322" s="9" t="n">
        <f aca="false">Q322</f>
        <v>82500</v>
      </c>
      <c r="T322" s="9" t="n">
        <v>70000</v>
      </c>
      <c r="U322" s="9" t="n">
        <f aca="false">T322</f>
        <v>70000</v>
      </c>
      <c r="V322" s="9" t="n">
        <v>70000</v>
      </c>
      <c r="W322" s="9" t="n">
        <f aca="false">V322</f>
        <v>70000</v>
      </c>
      <c r="X322" s="45" t="n">
        <f aca="false">V322/H322</f>
        <v>27.7777777777778</v>
      </c>
      <c r="Y322" s="46" t="n">
        <f aca="false">SUM(V322-T322)/T322</f>
        <v>0</v>
      </c>
      <c r="Z322" s="9" t="s">
        <v>55</v>
      </c>
      <c r="AA322" s="42"/>
      <c r="AB322" s="44"/>
      <c r="AC322" s="5" t="s">
        <v>43</v>
      </c>
      <c r="AG322" s="59"/>
    </row>
    <row r="323" customFormat="false" ht="24" hidden="false" customHeight="true" outlineLevel="0" collapsed="false">
      <c r="A323" s="29"/>
      <c r="B323" s="11" t="s">
        <v>189</v>
      </c>
      <c r="C323" s="11" t="s">
        <v>38</v>
      </c>
      <c r="D323" s="29" t="n">
        <v>550500</v>
      </c>
      <c r="E323" s="4" t="s">
        <v>428</v>
      </c>
      <c r="F323" s="4" t="s">
        <v>432</v>
      </c>
      <c r="G323" s="5" t="s">
        <v>40</v>
      </c>
      <c r="H323" s="6" t="n">
        <v>2186</v>
      </c>
      <c r="I323" s="9" t="n">
        <f aca="false">H323</f>
        <v>2186</v>
      </c>
      <c r="J323" s="9" t="n">
        <v>2000</v>
      </c>
      <c r="K323" s="4" t="s">
        <v>433</v>
      </c>
      <c r="L323" s="7" t="n">
        <v>43398</v>
      </c>
      <c r="M323" s="8" t="n">
        <v>47050</v>
      </c>
      <c r="O323" s="8" t="n">
        <v>45955</v>
      </c>
      <c r="P323" s="8" t="n">
        <v>45954</v>
      </c>
      <c r="Q323" s="9" t="n">
        <v>101200</v>
      </c>
      <c r="R323" s="9" t="n">
        <f aca="false">Q323</f>
        <v>101200</v>
      </c>
      <c r="T323" s="9" t="n">
        <v>117100</v>
      </c>
      <c r="U323" s="9" t="n">
        <f aca="false">T323</f>
        <v>117100</v>
      </c>
      <c r="V323" s="9" t="n">
        <v>117100</v>
      </c>
      <c r="W323" s="9" t="n">
        <f aca="false">V323</f>
        <v>117100</v>
      </c>
      <c r="X323" s="45" t="n">
        <f aca="false">V323/H323</f>
        <v>53.5681610247027</v>
      </c>
      <c r="Y323" s="46" t="n">
        <f aca="false">SUM(V323-T323)/T323</f>
        <v>0</v>
      </c>
      <c r="Z323" s="9" t="s">
        <v>127</v>
      </c>
      <c r="AA323" s="42"/>
      <c r="AB323" s="44"/>
      <c r="AC323" s="5" t="s">
        <v>43</v>
      </c>
      <c r="AD323" s="4" t="s">
        <v>434</v>
      </c>
      <c r="AG323" s="59"/>
    </row>
    <row r="324" customFormat="false" ht="14.25" hidden="false" customHeight="true" outlineLevel="0" collapsed="false">
      <c r="A324" s="29"/>
      <c r="B324" s="11"/>
      <c r="C324" s="11" t="s">
        <v>38</v>
      </c>
      <c r="D324" s="29"/>
      <c r="E324" s="4"/>
      <c r="I324" s="9"/>
      <c r="J324" s="9"/>
      <c r="T324" s="9"/>
      <c r="U324" s="9"/>
      <c r="V324" s="9"/>
      <c r="W324" s="9"/>
      <c r="X324" s="9"/>
      <c r="Y324" s="41"/>
      <c r="Z324" s="9"/>
      <c r="AA324" s="42"/>
      <c r="AB324" s="44"/>
      <c r="AC324" s="5"/>
      <c r="AG324" s="59"/>
    </row>
    <row r="325" customFormat="false" ht="14.25" hidden="false" customHeight="true" outlineLevel="0" collapsed="false">
      <c r="A325" s="29"/>
      <c r="B325" s="11"/>
      <c r="C325" s="11" t="s">
        <v>38</v>
      </c>
      <c r="D325" s="29"/>
      <c r="E325" s="4"/>
      <c r="F325" s="47" t="s">
        <v>428</v>
      </c>
      <c r="H325" s="43" t="n">
        <f aca="false">SUM(H322:H323)</f>
        <v>4706</v>
      </c>
      <c r="I325" s="44"/>
      <c r="J325" s="44"/>
      <c r="Q325" s="44" t="n">
        <f aca="false">SUM(Q322:Q323)</f>
        <v>183700</v>
      </c>
      <c r="R325" s="44"/>
      <c r="S325" s="44" t="n">
        <f aca="false">SUM(R321:R324)</f>
        <v>183700</v>
      </c>
      <c r="T325" s="44" t="n">
        <f aca="false">SUM(T322:T323)</f>
        <v>187100</v>
      </c>
      <c r="U325" s="44"/>
      <c r="V325" s="44" t="n">
        <f aca="false">SUM(V322:V323)</f>
        <v>187100</v>
      </c>
      <c r="W325" s="44"/>
      <c r="X325" s="44"/>
      <c r="Y325" s="64"/>
      <c r="Z325" s="44"/>
      <c r="AA325" s="67"/>
      <c r="AB325" s="44" t="n">
        <v>3075000</v>
      </c>
      <c r="AC325" s="5"/>
      <c r="AF325" s="60"/>
      <c r="AG325" s="62"/>
      <c r="AH325" s="60"/>
    </row>
    <row r="326" customFormat="false" ht="14.25" hidden="false" customHeight="true" outlineLevel="0" collapsed="false">
      <c r="A326" s="29"/>
      <c r="B326" s="11"/>
      <c r="C326" s="11" t="s">
        <v>38</v>
      </c>
      <c r="D326" s="29"/>
      <c r="E326" s="4"/>
      <c r="I326" s="9"/>
      <c r="J326" s="9"/>
      <c r="T326" s="9"/>
      <c r="U326" s="9"/>
      <c r="V326" s="9"/>
      <c r="W326" s="9"/>
      <c r="X326" s="9"/>
      <c r="Y326" s="41"/>
      <c r="Z326" s="9"/>
      <c r="AA326" s="42"/>
      <c r="AB326" s="44"/>
      <c r="AC326" s="5"/>
      <c r="AG326" s="59"/>
    </row>
    <row r="327" customFormat="false" ht="14.25" hidden="false" customHeight="true" outlineLevel="0" collapsed="false">
      <c r="A327" s="29"/>
      <c r="B327" s="11"/>
      <c r="C327" s="11" t="s">
        <v>38</v>
      </c>
      <c r="D327" s="29"/>
      <c r="E327" s="4"/>
      <c r="G327" s="39" t="s">
        <v>435</v>
      </c>
      <c r="I327" s="9"/>
      <c r="J327" s="9"/>
      <c r="K327" s="40"/>
      <c r="T327" s="11"/>
      <c r="U327" s="9"/>
      <c r="V327" s="11"/>
      <c r="W327" s="9"/>
      <c r="X327" s="9"/>
      <c r="Y327" s="41"/>
      <c r="Z327" s="9"/>
      <c r="AA327" s="42"/>
      <c r="AB327" s="44"/>
      <c r="AC327" s="5"/>
      <c r="AG327" s="59"/>
    </row>
    <row r="328" customFormat="false" ht="14.25" hidden="false" customHeight="true" outlineLevel="0" collapsed="false">
      <c r="A328" s="29"/>
      <c r="B328" s="11"/>
      <c r="C328" s="11" t="s">
        <v>38</v>
      </c>
      <c r="D328" s="29"/>
      <c r="E328" s="4"/>
      <c r="G328" s="39"/>
      <c r="H328" s="76"/>
      <c r="I328" s="9"/>
      <c r="J328" s="9"/>
      <c r="K328" s="97"/>
      <c r="L328" s="80"/>
      <c r="M328" s="80"/>
      <c r="N328" s="80"/>
      <c r="T328" s="9"/>
      <c r="U328" s="9"/>
      <c r="V328" s="9"/>
      <c r="W328" s="9"/>
      <c r="X328" s="9"/>
      <c r="Y328" s="41"/>
      <c r="Z328" s="9"/>
      <c r="AA328" s="42"/>
      <c r="AB328" s="44"/>
      <c r="AC328" s="5"/>
      <c r="AG328" s="59"/>
    </row>
    <row r="329" customFormat="false" ht="29.25" hidden="false" customHeight="true" outlineLevel="0" collapsed="false">
      <c r="A329" s="29"/>
      <c r="B329" s="11" t="s">
        <v>189</v>
      </c>
      <c r="C329" s="11" t="s">
        <v>38</v>
      </c>
      <c r="D329" s="29" t="n">
        <v>550310</v>
      </c>
      <c r="E329" s="4" t="s">
        <v>435</v>
      </c>
      <c r="F329" s="4" t="s">
        <v>436</v>
      </c>
      <c r="G329" s="5" t="s">
        <v>134</v>
      </c>
      <c r="H329" s="6" t="n">
        <v>4430</v>
      </c>
      <c r="I329" s="9" t="n">
        <f aca="false">H329</f>
        <v>4430</v>
      </c>
      <c r="J329" s="9" t="n">
        <v>4500</v>
      </c>
      <c r="K329" s="4" t="s">
        <v>437</v>
      </c>
      <c r="L329" s="7" t="n">
        <v>41585</v>
      </c>
      <c r="M329" s="8" t="n">
        <v>47063</v>
      </c>
      <c r="O329" s="8" t="n">
        <v>45237</v>
      </c>
      <c r="Q329" s="9" t="n">
        <v>170000</v>
      </c>
      <c r="R329" s="9" t="n">
        <f aca="false">Q329</f>
        <v>170000</v>
      </c>
      <c r="T329" s="9" t="n">
        <v>146900</v>
      </c>
      <c r="U329" s="9" t="n">
        <f aca="false">T329</f>
        <v>146900</v>
      </c>
      <c r="V329" s="9" t="n">
        <v>152100</v>
      </c>
      <c r="W329" s="9" t="n">
        <f aca="false">V329</f>
        <v>152100</v>
      </c>
      <c r="X329" s="45" t="n">
        <f aca="false">V329/H329</f>
        <v>34.334085778781</v>
      </c>
      <c r="Y329" s="46" t="n">
        <f aca="false">SUM(V329-T329)/T329</f>
        <v>0.0353982300884956</v>
      </c>
      <c r="Z329" s="9" t="s">
        <v>55</v>
      </c>
      <c r="AA329" s="42"/>
      <c r="AB329" s="44"/>
      <c r="AC329" s="5" t="s">
        <v>43</v>
      </c>
      <c r="AD329" s="4" t="s">
        <v>438</v>
      </c>
      <c r="AG329" s="59"/>
    </row>
    <row r="330" customFormat="false" ht="28.5" hidden="false" customHeight="true" outlineLevel="0" collapsed="false">
      <c r="A330" s="29"/>
      <c r="B330" s="11" t="s">
        <v>189</v>
      </c>
      <c r="C330" s="11" t="s">
        <v>38</v>
      </c>
      <c r="D330" s="29" t="n">
        <v>550310</v>
      </c>
      <c r="E330" s="4" t="s">
        <v>435</v>
      </c>
      <c r="F330" s="4" t="s">
        <v>233</v>
      </c>
      <c r="G330" s="5" t="s">
        <v>40</v>
      </c>
      <c r="H330" s="6" t="n">
        <v>10421</v>
      </c>
      <c r="I330" s="9" t="n">
        <f aca="false">H330</f>
        <v>10421</v>
      </c>
      <c r="J330" s="9" t="n">
        <v>10500</v>
      </c>
      <c r="K330" s="4" t="s">
        <v>439</v>
      </c>
      <c r="L330" s="7" t="n">
        <v>44552</v>
      </c>
      <c r="M330" s="8" t="n">
        <v>46377</v>
      </c>
      <c r="Q330" s="9" t="n">
        <v>573565</v>
      </c>
      <c r="R330" s="9" t="n">
        <f aca="false">Q330</f>
        <v>573565</v>
      </c>
      <c r="T330" s="9" t="n">
        <v>572700</v>
      </c>
      <c r="U330" s="9" t="n">
        <f aca="false">T330</f>
        <v>572700</v>
      </c>
      <c r="V330" s="9" t="n">
        <v>589700</v>
      </c>
      <c r="W330" s="9" t="n">
        <f aca="false">V330</f>
        <v>589700</v>
      </c>
      <c r="X330" s="45" t="n">
        <f aca="false">V330/H330</f>
        <v>56.587659533634</v>
      </c>
      <c r="Y330" s="46" t="n">
        <f aca="false">SUM(V330-T330)/T330</f>
        <v>0.0296839532041208</v>
      </c>
      <c r="Z330" s="9" t="s">
        <v>42</v>
      </c>
      <c r="AA330" s="42"/>
      <c r="AB330" s="44"/>
      <c r="AC330" s="5" t="s">
        <v>43</v>
      </c>
      <c r="AD330" s="4" t="s">
        <v>75</v>
      </c>
      <c r="AG330" s="59"/>
    </row>
    <row r="331" customFormat="false" ht="14.25" hidden="false" customHeight="true" outlineLevel="0" collapsed="false">
      <c r="A331" s="29"/>
      <c r="B331" s="11"/>
      <c r="C331" s="11" t="s">
        <v>38</v>
      </c>
      <c r="D331" s="29"/>
      <c r="E331" s="4"/>
      <c r="I331" s="9"/>
      <c r="J331" s="9"/>
      <c r="T331" s="9"/>
      <c r="U331" s="9"/>
      <c r="V331" s="9"/>
      <c r="W331" s="9"/>
      <c r="X331" s="9"/>
      <c r="Y331" s="41"/>
      <c r="Z331" s="9"/>
      <c r="AA331" s="42"/>
      <c r="AB331" s="44"/>
      <c r="AC331" s="5"/>
      <c r="AG331" s="59"/>
    </row>
    <row r="332" customFormat="false" ht="14.25" hidden="false" customHeight="true" outlineLevel="0" collapsed="false">
      <c r="A332" s="29"/>
      <c r="B332" s="11"/>
      <c r="C332" s="11" t="s">
        <v>38</v>
      </c>
      <c r="D332" s="29"/>
      <c r="E332" s="4"/>
      <c r="F332" s="47" t="s">
        <v>440</v>
      </c>
      <c r="H332" s="43" t="n">
        <f aca="false">SUM(H329:H330)</f>
        <v>14851</v>
      </c>
      <c r="I332" s="44"/>
      <c r="J332" s="44"/>
      <c r="Q332" s="44" t="n">
        <f aca="false">SUM(Q329:Q330)</f>
        <v>743565</v>
      </c>
      <c r="R332" s="44"/>
      <c r="S332" s="44" t="n">
        <f aca="false">SUM(R327:R331)</f>
        <v>743565</v>
      </c>
      <c r="T332" s="44" t="n">
        <f aca="false">SUM(T329:T330)</f>
        <v>719600</v>
      </c>
      <c r="U332" s="44"/>
      <c r="V332" s="44" t="n">
        <f aca="false">SUM(V329:V330)</f>
        <v>741800</v>
      </c>
      <c r="W332" s="44"/>
      <c r="X332" s="44"/>
      <c r="Y332" s="64"/>
      <c r="Z332" s="44"/>
      <c r="AA332" s="67"/>
      <c r="AB332" s="44" t="n">
        <v>12075000</v>
      </c>
      <c r="AC332" s="5"/>
      <c r="AF332" s="60"/>
      <c r="AG332" s="62"/>
      <c r="AH332" s="60"/>
    </row>
    <row r="333" customFormat="false" ht="14.25" hidden="false" customHeight="true" outlineLevel="0" collapsed="false">
      <c r="A333" s="29"/>
      <c r="B333" s="11"/>
      <c r="C333" s="11" t="s">
        <v>38</v>
      </c>
      <c r="D333" s="29"/>
      <c r="E333" s="4"/>
      <c r="F333" s="47"/>
      <c r="H333" s="43"/>
      <c r="I333" s="44"/>
      <c r="J333" s="44"/>
      <c r="Q333" s="44"/>
      <c r="R333" s="44"/>
      <c r="S333" s="44"/>
      <c r="T333" s="44"/>
      <c r="U333" s="44"/>
      <c r="V333" s="44"/>
      <c r="W333" s="44"/>
      <c r="X333" s="44"/>
      <c r="Y333" s="64"/>
      <c r="Z333" s="44"/>
      <c r="AA333" s="67"/>
      <c r="AB333" s="66"/>
      <c r="AC333" s="5"/>
      <c r="AG333" s="59"/>
    </row>
    <row r="334" customFormat="false" ht="14.25" hidden="false" customHeight="true" outlineLevel="0" collapsed="false">
      <c r="A334" s="29"/>
      <c r="B334" s="11"/>
      <c r="C334" s="11" t="s">
        <v>38</v>
      </c>
      <c r="D334" s="29"/>
      <c r="E334" s="4"/>
      <c r="F334" s="47"/>
      <c r="G334" s="39" t="s">
        <v>441</v>
      </c>
      <c r="H334" s="43"/>
      <c r="I334" s="44"/>
      <c r="J334" s="44"/>
      <c r="Q334" s="44"/>
      <c r="R334" s="44"/>
      <c r="S334" s="44"/>
      <c r="T334" s="44"/>
      <c r="U334" s="44"/>
      <c r="V334" s="44"/>
      <c r="W334" s="44"/>
      <c r="X334" s="44"/>
      <c r="Y334" s="64"/>
      <c r="Z334" s="44"/>
      <c r="AA334" s="67"/>
      <c r="AB334" s="66"/>
      <c r="AC334" s="5"/>
      <c r="AG334" s="59"/>
    </row>
    <row r="335" customFormat="false" ht="14.25" hidden="false" customHeight="true" outlineLevel="0" collapsed="false">
      <c r="A335" s="29"/>
      <c r="B335" s="11"/>
      <c r="C335" s="11" t="s">
        <v>38</v>
      </c>
      <c r="D335" s="29"/>
      <c r="E335" s="4"/>
      <c r="F335" s="47"/>
      <c r="H335" s="43"/>
      <c r="I335" s="44"/>
      <c r="J335" s="44"/>
      <c r="Q335" s="44"/>
      <c r="R335" s="44"/>
      <c r="S335" s="44"/>
      <c r="T335" s="44"/>
      <c r="U335" s="44"/>
      <c r="V335" s="44"/>
      <c r="W335" s="44"/>
      <c r="X335" s="44"/>
      <c r="Y335" s="64"/>
      <c r="Z335" s="44"/>
      <c r="AA335" s="67"/>
      <c r="AB335" s="66"/>
      <c r="AC335" s="5"/>
      <c r="AG335" s="59"/>
    </row>
    <row r="336" customFormat="false" ht="19.4" hidden="false" customHeight="false" outlineLevel="0" collapsed="false">
      <c r="A336" s="29"/>
      <c r="B336" s="11" t="s">
        <v>189</v>
      </c>
      <c r="C336" s="11" t="s">
        <v>38</v>
      </c>
      <c r="D336" s="29" t="n">
        <v>551010</v>
      </c>
      <c r="E336" s="96" t="s">
        <v>441</v>
      </c>
      <c r="F336" s="4" t="s">
        <v>442</v>
      </c>
      <c r="G336" s="5" t="s">
        <v>443</v>
      </c>
      <c r="H336" s="6" t="n">
        <v>747</v>
      </c>
      <c r="I336" s="9" t="n">
        <f aca="false">H336</f>
        <v>747</v>
      </c>
      <c r="J336" s="9" t="n">
        <v>750</v>
      </c>
      <c r="K336" s="4" t="s">
        <v>444</v>
      </c>
      <c r="L336" s="7" t="n">
        <v>44724</v>
      </c>
      <c r="Q336" s="9" t="n">
        <v>45000</v>
      </c>
      <c r="R336" s="9" t="n">
        <f aca="false">Q336</f>
        <v>45000</v>
      </c>
      <c r="T336" s="9" t="n">
        <v>41700</v>
      </c>
      <c r="U336" s="9" t="n">
        <f aca="false">T336</f>
        <v>41700</v>
      </c>
      <c r="V336" s="9" t="n">
        <v>45000</v>
      </c>
      <c r="W336" s="9" t="n">
        <f aca="false">V336</f>
        <v>45000</v>
      </c>
      <c r="X336" s="45" t="n">
        <f aca="false">V336/H336</f>
        <v>60.2409638554217</v>
      </c>
      <c r="Y336" s="46" t="n">
        <f aca="false">SUM(V336-T336)/T336</f>
        <v>0.079136690647482</v>
      </c>
      <c r="Z336" s="9" t="s">
        <v>127</v>
      </c>
      <c r="AA336" s="42"/>
      <c r="AB336" s="14"/>
      <c r="AC336" s="5" t="s">
        <v>43</v>
      </c>
      <c r="AD336" s="4" t="s">
        <v>445</v>
      </c>
      <c r="AG336" s="59"/>
    </row>
    <row r="337" customFormat="false" ht="14.25" hidden="false" customHeight="true" outlineLevel="0" collapsed="false">
      <c r="A337" s="29"/>
      <c r="B337" s="11" t="s">
        <v>189</v>
      </c>
      <c r="C337" s="11" t="s">
        <v>38</v>
      </c>
      <c r="D337" s="29" t="n">
        <v>551010</v>
      </c>
      <c r="E337" s="96" t="s">
        <v>441</v>
      </c>
      <c r="F337" s="4" t="s">
        <v>89</v>
      </c>
      <c r="G337" s="5" t="s">
        <v>40</v>
      </c>
      <c r="H337" s="6" t="n">
        <v>452</v>
      </c>
      <c r="I337" s="9" t="n">
        <f aca="false">H337</f>
        <v>452</v>
      </c>
      <c r="J337" s="9" t="n">
        <v>500</v>
      </c>
      <c r="K337" s="4" t="s">
        <v>67</v>
      </c>
      <c r="N337" s="8" t="n">
        <v>43466</v>
      </c>
      <c r="Q337" s="9" t="n">
        <v>0</v>
      </c>
      <c r="R337" s="9" t="n">
        <f aca="false">Q337</f>
        <v>0</v>
      </c>
      <c r="T337" s="9" t="n">
        <v>24900</v>
      </c>
      <c r="U337" s="9" t="n">
        <f aca="false">T337</f>
        <v>24900</v>
      </c>
      <c r="V337" s="9" t="n">
        <v>24900</v>
      </c>
      <c r="W337" s="9" t="n">
        <f aca="false">V337</f>
        <v>24900</v>
      </c>
      <c r="X337" s="45" t="n">
        <f aca="false">V337/H337</f>
        <v>55.0884955752212</v>
      </c>
      <c r="Y337" s="46" t="n">
        <f aca="false">SUM(V337-T337)/T337</f>
        <v>0</v>
      </c>
      <c r="Z337" s="9" t="s">
        <v>127</v>
      </c>
      <c r="AA337" s="42"/>
      <c r="AB337" s="14"/>
      <c r="AC337" s="5" t="s">
        <v>43</v>
      </c>
      <c r="AD337" s="4" t="s">
        <v>119</v>
      </c>
      <c r="AG337" s="59"/>
    </row>
    <row r="338" customFormat="false" ht="14.25" hidden="false" customHeight="true" outlineLevel="0" collapsed="false">
      <c r="A338" s="29"/>
      <c r="B338" s="11" t="s">
        <v>189</v>
      </c>
      <c r="C338" s="11" t="s">
        <v>38</v>
      </c>
      <c r="D338" s="29" t="n">
        <v>551010</v>
      </c>
      <c r="E338" s="96" t="s">
        <v>441</v>
      </c>
      <c r="F338" s="4" t="s">
        <v>446</v>
      </c>
      <c r="G338" s="5" t="s">
        <v>40</v>
      </c>
      <c r="H338" s="6" t="n">
        <v>437</v>
      </c>
      <c r="I338" s="9" t="n">
        <f aca="false">H338</f>
        <v>437</v>
      </c>
      <c r="J338" s="9" t="n">
        <v>500</v>
      </c>
      <c r="K338" s="4" t="s">
        <v>67</v>
      </c>
      <c r="N338" s="8" t="n">
        <v>43466</v>
      </c>
      <c r="Q338" s="9" t="n">
        <v>0</v>
      </c>
      <c r="R338" s="9" t="n">
        <f aca="false">Q338</f>
        <v>0</v>
      </c>
      <c r="T338" s="9" t="n">
        <v>24000</v>
      </c>
      <c r="U338" s="9" t="n">
        <f aca="false">T338</f>
        <v>24000</v>
      </c>
      <c r="V338" s="9" t="n">
        <v>24000</v>
      </c>
      <c r="W338" s="9" t="n">
        <f aca="false">V338</f>
        <v>24000</v>
      </c>
      <c r="X338" s="45" t="n">
        <f aca="false">V338/H338</f>
        <v>54.9199084668192</v>
      </c>
      <c r="Y338" s="46" t="n">
        <f aca="false">SUM(V338-T338)/T338</f>
        <v>0</v>
      </c>
      <c r="Z338" s="9" t="s">
        <v>127</v>
      </c>
      <c r="AA338" s="42"/>
      <c r="AB338" s="14"/>
      <c r="AC338" s="5" t="s">
        <v>43</v>
      </c>
      <c r="AD338" s="4" t="s">
        <v>119</v>
      </c>
      <c r="AG338" s="59"/>
    </row>
    <row r="339" customFormat="false" ht="13.5" hidden="false" customHeight="false" outlineLevel="0" collapsed="false">
      <c r="A339" s="29"/>
      <c r="B339" s="11" t="s">
        <v>189</v>
      </c>
      <c r="C339" s="11" t="s">
        <v>38</v>
      </c>
      <c r="D339" s="29" t="n">
        <v>551010</v>
      </c>
      <c r="E339" s="96" t="s">
        <v>441</v>
      </c>
      <c r="F339" s="4" t="s">
        <v>94</v>
      </c>
      <c r="G339" s="5" t="s">
        <v>40</v>
      </c>
      <c r="H339" s="6" t="n">
        <v>350</v>
      </c>
      <c r="I339" s="9" t="n">
        <f aca="false">H339</f>
        <v>350</v>
      </c>
      <c r="J339" s="9" t="n">
        <v>500</v>
      </c>
      <c r="K339" s="4" t="s">
        <v>447</v>
      </c>
      <c r="L339" s="7" t="n">
        <v>44724</v>
      </c>
      <c r="Q339" s="9" t="n">
        <v>21060</v>
      </c>
      <c r="R339" s="9" t="n">
        <f aca="false">Q339</f>
        <v>21060</v>
      </c>
      <c r="T339" s="9" t="n">
        <v>19300</v>
      </c>
      <c r="U339" s="9" t="n">
        <f aca="false">T339</f>
        <v>19300</v>
      </c>
      <c r="V339" s="9" t="n">
        <v>19300</v>
      </c>
      <c r="W339" s="9" t="n">
        <f aca="false">V339</f>
        <v>19300</v>
      </c>
      <c r="X339" s="45" t="n">
        <f aca="false">V339/H339</f>
        <v>55.1428571428571</v>
      </c>
      <c r="Y339" s="46" t="n">
        <f aca="false">SUM(V339-T339)/T339</f>
        <v>0</v>
      </c>
      <c r="Z339" s="9" t="s">
        <v>127</v>
      </c>
      <c r="AA339" s="42"/>
      <c r="AB339" s="14"/>
      <c r="AC339" s="5" t="s">
        <v>43</v>
      </c>
      <c r="AD339" s="4" t="s">
        <v>445</v>
      </c>
      <c r="AG339" s="59"/>
    </row>
    <row r="340" customFormat="false" ht="14.25" hidden="false" customHeight="true" outlineLevel="0" collapsed="false">
      <c r="A340" s="29"/>
      <c r="B340" s="11"/>
      <c r="C340" s="11" t="s">
        <v>38</v>
      </c>
      <c r="D340" s="29"/>
      <c r="E340" s="4"/>
      <c r="F340" s="49"/>
      <c r="I340" s="9"/>
      <c r="J340" s="9"/>
      <c r="T340" s="9"/>
      <c r="U340" s="9"/>
      <c r="V340" s="9"/>
      <c r="W340" s="9"/>
      <c r="X340" s="9"/>
      <c r="Y340" s="41"/>
      <c r="Z340" s="9"/>
      <c r="AA340" s="42"/>
      <c r="AB340" s="14"/>
      <c r="AC340" s="5"/>
      <c r="AG340" s="59"/>
    </row>
    <row r="341" customFormat="false" ht="14.25" hidden="false" customHeight="true" outlineLevel="0" collapsed="false">
      <c r="A341" s="29"/>
      <c r="B341" s="11"/>
      <c r="C341" s="11" t="s">
        <v>38</v>
      </c>
      <c r="D341" s="29"/>
      <c r="E341" s="4"/>
      <c r="F341" s="49"/>
      <c r="H341" s="43" t="n">
        <f aca="false">SUM(H336:H339)</f>
        <v>1986</v>
      </c>
      <c r="I341" s="9"/>
      <c r="J341" s="9"/>
      <c r="Q341" s="44" t="n">
        <f aca="false">SUM(Q336:Q339)</f>
        <v>66060</v>
      </c>
      <c r="R341" s="44"/>
      <c r="S341" s="44" t="n">
        <f aca="false">SUM(R336:R339)</f>
        <v>66060</v>
      </c>
      <c r="T341" s="44" t="n">
        <f aca="false">SUM(T336:T339)</f>
        <v>109900</v>
      </c>
      <c r="U341" s="9"/>
      <c r="V341" s="44" t="n">
        <f aca="false">SUM(V336:V339)</f>
        <v>113200</v>
      </c>
      <c r="W341" s="9"/>
      <c r="X341" s="9"/>
      <c r="Y341" s="41"/>
      <c r="Z341" s="9"/>
      <c r="AA341" s="42"/>
      <c r="AB341" s="43" t="n">
        <v>1425000</v>
      </c>
      <c r="AC341" s="5"/>
      <c r="AG341" s="59"/>
    </row>
    <row r="342" customFormat="false" ht="14.25" hidden="false" customHeight="true" outlineLevel="0" collapsed="false">
      <c r="A342" s="29"/>
      <c r="B342" s="11"/>
      <c r="C342" s="11" t="s">
        <v>38</v>
      </c>
      <c r="D342" s="29"/>
      <c r="E342" s="4"/>
      <c r="F342" s="49"/>
      <c r="G342" s="110"/>
      <c r="I342" s="9"/>
      <c r="J342" s="9"/>
      <c r="T342" s="9"/>
      <c r="U342" s="9"/>
      <c r="V342" s="9"/>
      <c r="W342" s="9"/>
      <c r="X342" s="9"/>
      <c r="Y342" s="41"/>
      <c r="Z342" s="9"/>
      <c r="AA342" s="42"/>
      <c r="AB342" s="43"/>
      <c r="AC342" s="5"/>
      <c r="AG342" s="59"/>
    </row>
    <row r="343" customFormat="false" ht="14.25" hidden="false" customHeight="true" outlineLevel="0" collapsed="false">
      <c r="A343" s="29"/>
      <c r="B343" s="11"/>
      <c r="C343" s="11" t="s">
        <v>38</v>
      </c>
      <c r="D343" s="29"/>
      <c r="E343" s="4"/>
      <c r="F343" s="47"/>
      <c r="H343" s="43"/>
      <c r="I343" s="44"/>
      <c r="J343" s="44"/>
      <c r="Q343" s="44"/>
      <c r="R343" s="44"/>
      <c r="S343" s="44"/>
      <c r="T343" s="44"/>
      <c r="U343" s="44"/>
      <c r="V343" s="44"/>
      <c r="W343" s="44"/>
      <c r="X343" s="44"/>
      <c r="Y343" s="64"/>
      <c r="Z343" s="44"/>
      <c r="AA343" s="67"/>
      <c r="AB343" s="43"/>
      <c r="AC343" s="5"/>
      <c r="AG343" s="59"/>
    </row>
    <row r="344" customFormat="false" ht="14.25" hidden="false" customHeight="true" outlineLevel="0" collapsed="false">
      <c r="A344" s="29"/>
      <c r="B344" s="11"/>
      <c r="C344" s="11" t="s">
        <v>38</v>
      </c>
      <c r="D344" s="29"/>
      <c r="E344" s="4"/>
      <c r="H344" s="43"/>
      <c r="I344" s="44"/>
      <c r="J344" s="44"/>
      <c r="Q344" s="44"/>
      <c r="R344" s="44"/>
      <c r="S344" s="44"/>
      <c r="T344" s="44"/>
      <c r="U344" s="44"/>
      <c r="V344" s="44"/>
      <c r="W344" s="44"/>
      <c r="X344" s="44"/>
      <c r="Y344" s="64"/>
      <c r="Z344" s="44"/>
      <c r="AA344" s="67"/>
      <c r="AB344" s="43"/>
      <c r="AC344" s="5"/>
      <c r="AG344" s="59"/>
    </row>
    <row r="345" customFormat="false" ht="14.25" hidden="false" customHeight="true" outlineLevel="0" collapsed="false">
      <c r="A345" s="29"/>
      <c r="B345" s="11"/>
      <c r="C345" s="11" t="s">
        <v>38</v>
      </c>
      <c r="D345" s="29"/>
      <c r="E345" s="4"/>
      <c r="G345" s="39" t="s">
        <v>448</v>
      </c>
      <c r="I345" s="9"/>
      <c r="J345" s="9"/>
      <c r="K345" s="40"/>
      <c r="T345" s="11"/>
      <c r="U345" s="9"/>
      <c r="V345" s="11"/>
      <c r="W345" s="9"/>
      <c r="X345" s="9"/>
      <c r="Y345" s="41"/>
      <c r="Z345" s="9"/>
      <c r="AA345" s="42"/>
      <c r="AB345" s="43"/>
      <c r="AC345" s="5"/>
      <c r="AG345" s="59"/>
    </row>
    <row r="346" customFormat="false" ht="14.25" hidden="false" customHeight="true" outlineLevel="0" collapsed="false">
      <c r="A346" s="29"/>
      <c r="B346" s="11"/>
      <c r="C346" s="11" t="s">
        <v>38</v>
      </c>
      <c r="D346" s="29"/>
      <c r="E346" s="4"/>
      <c r="G346" s="111"/>
      <c r="H346" s="85"/>
      <c r="I346" s="44"/>
      <c r="J346" s="44"/>
      <c r="K346" s="85"/>
      <c r="Q346" s="44"/>
      <c r="R346" s="44"/>
      <c r="S346" s="44"/>
      <c r="T346" s="44"/>
      <c r="U346" s="44"/>
      <c r="V346" s="44"/>
      <c r="W346" s="44"/>
      <c r="X346" s="44"/>
      <c r="Y346" s="64"/>
      <c r="Z346" s="44"/>
      <c r="AA346" s="67"/>
      <c r="AB346" s="43"/>
      <c r="AC346" s="5"/>
      <c r="AG346" s="59"/>
    </row>
    <row r="347" customFormat="false" ht="24" hidden="false" customHeight="true" outlineLevel="0" collapsed="false">
      <c r="A347" s="29"/>
      <c r="B347" s="11" t="s">
        <v>106</v>
      </c>
      <c r="C347" s="11" t="s">
        <v>38</v>
      </c>
      <c r="D347" s="29" t="n">
        <v>550960</v>
      </c>
      <c r="E347" s="4" t="s">
        <v>448</v>
      </c>
      <c r="F347" s="4" t="s">
        <v>442</v>
      </c>
      <c r="G347" s="5" t="s">
        <v>40</v>
      </c>
      <c r="H347" s="6" t="n">
        <v>2820</v>
      </c>
      <c r="I347" s="9" t="n">
        <f aca="false">H347</f>
        <v>2820</v>
      </c>
      <c r="J347" s="9" t="n">
        <v>3000</v>
      </c>
      <c r="K347" s="4" t="s">
        <v>449</v>
      </c>
      <c r="L347" s="7" t="n">
        <v>43794</v>
      </c>
      <c r="M347" s="8" t="n">
        <v>47446</v>
      </c>
      <c r="O347" s="8" t="n">
        <v>45621</v>
      </c>
      <c r="Q347" s="9" t="n">
        <v>124773</v>
      </c>
      <c r="R347" s="9" t="n">
        <f aca="false">Q347</f>
        <v>124773</v>
      </c>
      <c r="T347" s="9" t="n">
        <v>126900</v>
      </c>
      <c r="U347" s="9" t="n">
        <f aca="false">T347</f>
        <v>126900</v>
      </c>
      <c r="V347" s="9" t="n">
        <v>141000</v>
      </c>
      <c r="W347" s="9" t="n">
        <f aca="false">V347</f>
        <v>141000</v>
      </c>
      <c r="X347" s="45" t="n">
        <f aca="false">V347/H347</f>
        <v>50</v>
      </c>
      <c r="Y347" s="46" t="n">
        <f aca="false">SUM(V347-T347)/T347</f>
        <v>0.111111111111111</v>
      </c>
      <c r="Z347" s="9" t="s">
        <v>60</v>
      </c>
      <c r="AA347" s="42"/>
      <c r="AB347" s="43"/>
      <c r="AC347" s="5" t="s">
        <v>43</v>
      </c>
      <c r="AD347" s="4" t="s">
        <v>450</v>
      </c>
      <c r="AG347" s="59"/>
    </row>
    <row r="348" customFormat="false" ht="13.5" hidden="false" customHeight="false" outlineLevel="0" collapsed="false">
      <c r="A348" s="29"/>
      <c r="B348" s="11" t="s">
        <v>106</v>
      </c>
      <c r="C348" s="11" t="s">
        <v>38</v>
      </c>
      <c r="D348" s="29" t="n">
        <v>550960</v>
      </c>
      <c r="E348" s="4" t="s">
        <v>448</v>
      </c>
      <c r="F348" s="4" t="s">
        <v>89</v>
      </c>
      <c r="G348" s="6" t="s">
        <v>40</v>
      </c>
      <c r="H348" s="6" t="n">
        <v>1282</v>
      </c>
      <c r="I348" s="9" t="n">
        <f aca="false">H348</f>
        <v>1282</v>
      </c>
      <c r="J348" s="9" t="n">
        <v>1250</v>
      </c>
      <c r="K348" s="4" t="s">
        <v>67</v>
      </c>
      <c r="N348" s="8" t="n">
        <v>44747</v>
      </c>
      <c r="Q348" s="9" t="n">
        <v>0</v>
      </c>
      <c r="R348" s="9" t="n">
        <f aca="false">Q348</f>
        <v>0</v>
      </c>
      <c r="T348" s="9" t="n">
        <v>70500</v>
      </c>
      <c r="U348" s="9" t="n">
        <f aca="false">T348</f>
        <v>70500</v>
      </c>
      <c r="V348" s="9" t="n">
        <v>70500</v>
      </c>
      <c r="W348" s="9" t="n">
        <f aca="false">V348</f>
        <v>70500</v>
      </c>
      <c r="X348" s="45" t="n">
        <f aca="false">V348/H348</f>
        <v>54.9921996879875</v>
      </c>
      <c r="Y348" s="46" t="n">
        <f aca="false">SUM(V348-T348)/T348</f>
        <v>0</v>
      </c>
      <c r="Z348" s="9" t="s">
        <v>60</v>
      </c>
      <c r="AA348" s="42"/>
      <c r="AB348" s="43"/>
      <c r="AC348" s="5" t="s">
        <v>43</v>
      </c>
      <c r="AD348" s="4" t="s">
        <v>119</v>
      </c>
      <c r="AE348" s="15" t="n">
        <v>67.5</v>
      </c>
      <c r="AF348" s="4" t="n">
        <v>6</v>
      </c>
      <c r="AG348" s="59" t="n">
        <v>7</v>
      </c>
      <c r="AH348" s="4" t="s">
        <v>57</v>
      </c>
    </row>
    <row r="349" customFormat="false" ht="24" hidden="false" customHeight="true" outlineLevel="0" collapsed="false">
      <c r="A349" s="29"/>
      <c r="B349" s="11" t="s">
        <v>106</v>
      </c>
      <c r="C349" s="11" t="s">
        <v>38</v>
      </c>
      <c r="D349" s="29" t="n">
        <v>550960</v>
      </c>
      <c r="E349" s="4" t="s">
        <v>448</v>
      </c>
      <c r="F349" s="4" t="s">
        <v>93</v>
      </c>
      <c r="G349" s="5" t="s">
        <v>40</v>
      </c>
      <c r="H349" s="6" t="n">
        <v>1214</v>
      </c>
      <c r="I349" s="9" t="n">
        <f aca="false">H349</f>
        <v>1214</v>
      </c>
      <c r="J349" s="9" t="n">
        <v>1250</v>
      </c>
      <c r="K349" s="4" t="s">
        <v>451</v>
      </c>
      <c r="L349" s="7" t="n">
        <v>44733</v>
      </c>
      <c r="M349" s="102" t="n">
        <v>46558</v>
      </c>
      <c r="P349" s="8" t="n">
        <v>45828</v>
      </c>
      <c r="Q349" s="9" t="n">
        <v>71000</v>
      </c>
      <c r="R349" s="9" t="n">
        <f aca="false">Q349</f>
        <v>71000</v>
      </c>
      <c r="T349" s="9" t="n">
        <v>71000</v>
      </c>
      <c r="U349" s="9" t="n">
        <f aca="false">T349</f>
        <v>71000</v>
      </c>
      <c r="V349" s="9" t="n">
        <v>71000</v>
      </c>
      <c r="W349" s="9" t="n">
        <f aca="false">V349</f>
        <v>71000</v>
      </c>
      <c r="X349" s="45" t="n">
        <f aca="false">V349/H349</f>
        <v>58.4843492586491</v>
      </c>
      <c r="Y349" s="46" t="n">
        <f aca="false">SUM(V349-T349)/T349</f>
        <v>0</v>
      </c>
      <c r="Z349" s="9" t="s">
        <v>60</v>
      </c>
      <c r="AA349" s="42"/>
      <c r="AB349" s="43"/>
      <c r="AC349" s="5" t="s">
        <v>43</v>
      </c>
      <c r="AD349" s="4" t="s">
        <v>452</v>
      </c>
      <c r="AG349" s="59"/>
    </row>
    <row r="350" customFormat="false" ht="13.5" hidden="false" customHeight="false" outlineLevel="0" collapsed="false">
      <c r="A350" s="29"/>
      <c r="B350" s="11" t="s">
        <v>106</v>
      </c>
      <c r="C350" s="11" t="s">
        <v>38</v>
      </c>
      <c r="D350" s="29" t="n">
        <v>550960</v>
      </c>
      <c r="E350" s="4" t="s">
        <v>448</v>
      </c>
      <c r="F350" s="4" t="s">
        <v>94</v>
      </c>
      <c r="G350" s="5" t="s">
        <v>40</v>
      </c>
      <c r="H350" s="6" t="n">
        <v>1226</v>
      </c>
      <c r="I350" s="9" t="n">
        <f aca="false">H350</f>
        <v>1226</v>
      </c>
      <c r="J350" s="9" t="n">
        <v>1250</v>
      </c>
      <c r="K350" s="4" t="s">
        <v>453</v>
      </c>
      <c r="L350" s="7" t="n">
        <v>44605</v>
      </c>
      <c r="M350" s="8" t="n">
        <v>46430</v>
      </c>
      <c r="Q350" s="9" t="n">
        <v>63000</v>
      </c>
      <c r="R350" s="9" t="n">
        <f aca="false">Q350</f>
        <v>63000</v>
      </c>
      <c r="T350" s="9" t="n">
        <v>63100</v>
      </c>
      <c r="U350" s="9" t="n">
        <f aca="false">T350</f>
        <v>63100</v>
      </c>
      <c r="V350" s="9" t="n">
        <v>63100</v>
      </c>
      <c r="W350" s="9" t="n">
        <f aca="false">V350</f>
        <v>63100</v>
      </c>
      <c r="X350" s="45" t="n">
        <f aca="false">V350/H350</f>
        <v>51.468189233279</v>
      </c>
      <c r="Y350" s="46" t="n">
        <f aca="false">SUM(V350-T350)/T350</f>
        <v>0</v>
      </c>
      <c r="Z350" s="9" t="s">
        <v>60</v>
      </c>
      <c r="AA350" s="42"/>
      <c r="AB350" s="43"/>
      <c r="AC350" s="5" t="s">
        <v>43</v>
      </c>
      <c r="AG350" s="59"/>
    </row>
    <row r="351" customFormat="false" ht="14.25" hidden="false" customHeight="true" outlineLevel="0" collapsed="false">
      <c r="A351" s="29"/>
      <c r="B351" s="11"/>
      <c r="C351" s="11" t="s">
        <v>38</v>
      </c>
      <c r="D351" s="29"/>
      <c r="E351" s="4"/>
      <c r="I351" s="9"/>
      <c r="J351" s="9"/>
      <c r="T351" s="9"/>
      <c r="U351" s="9"/>
      <c r="V351" s="9"/>
      <c r="W351" s="9"/>
      <c r="X351" s="9"/>
      <c r="Y351" s="41"/>
      <c r="Z351" s="9"/>
      <c r="AA351" s="42"/>
      <c r="AB351" s="43"/>
      <c r="AC351" s="5"/>
      <c r="AG351" s="59"/>
    </row>
    <row r="352" customFormat="false" ht="14.25" hidden="false" customHeight="true" outlineLevel="0" collapsed="false">
      <c r="A352" s="29"/>
      <c r="B352" s="11"/>
      <c r="C352" s="11" t="s">
        <v>38</v>
      </c>
      <c r="D352" s="29"/>
      <c r="E352" s="4"/>
      <c r="F352" s="47" t="s">
        <v>448</v>
      </c>
      <c r="H352" s="43" t="n">
        <f aca="false">SUM(H347:H350)</f>
        <v>6542</v>
      </c>
      <c r="I352" s="43"/>
      <c r="J352" s="43"/>
      <c r="Q352" s="43" t="n">
        <f aca="false">SUM(Q347:Q351)</f>
        <v>258773</v>
      </c>
      <c r="R352" s="43"/>
      <c r="S352" s="44" t="n">
        <f aca="false">SUM(R347:R351)</f>
        <v>258773</v>
      </c>
      <c r="T352" s="43" t="n">
        <f aca="false">SUM(T347:T351)</f>
        <v>331500</v>
      </c>
      <c r="U352" s="43"/>
      <c r="V352" s="43" t="n">
        <f aca="false">SUM(V347:V351)</f>
        <v>345600</v>
      </c>
      <c r="W352" s="43"/>
      <c r="X352" s="43"/>
      <c r="Y352" s="64"/>
      <c r="Z352" s="43"/>
      <c r="AA352" s="65"/>
      <c r="AB352" s="43" t="n">
        <v>5075000</v>
      </c>
      <c r="AC352" s="5"/>
      <c r="AG352" s="59"/>
    </row>
    <row r="353" customFormat="false" ht="14.25" hidden="false" customHeight="true" outlineLevel="0" collapsed="false">
      <c r="A353" s="29"/>
      <c r="B353" s="11"/>
      <c r="C353" s="11" t="s">
        <v>38</v>
      </c>
      <c r="D353" s="29"/>
      <c r="E353" s="4"/>
      <c r="H353" s="43"/>
      <c r="I353" s="44"/>
      <c r="J353" s="44"/>
      <c r="Q353" s="44"/>
      <c r="R353" s="44"/>
      <c r="S353" s="44"/>
      <c r="T353" s="44"/>
      <c r="U353" s="44"/>
      <c r="V353" s="44"/>
      <c r="W353" s="44"/>
      <c r="X353" s="44"/>
      <c r="Y353" s="64"/>
      <c r="Z353" s="44"/>
      <c r="AA353" s="67"/>
      <c r="AB353" s="43"/>
      <c r="AC353" s="5"/>
      <c r="AG353" s="59"/>
    </row>
    <row r="354" customFormat="false" ht="14.25" hidden="false" customHeight="true" outlineLevel="0" collapsed="false">
      <c r="A354" s="29"/>
      <c r="B354" s="11"/>
      <c r="C354" s="11" t="s">
        <v>38</v>
      </c>
      <c r="D354" s="29"/>
      <c r="E354" s="4"/>
      <c r="G354" s="39" t="s">
        <v>454</v>
      </c>
      <c r="I354" s="9"/>
      <c r="J354" s="9"/>
      <c r="K354" s="40"/>
      <c r="T354" s="11"/>
      <c r="U354" s="9"/>
      <c r="V354" s="11"/>
      <c r="W354" s="9"/>
      <c r="X354" s="9"/>
      <c r="Y354" s="41"/>
      <c r="Z354" s="9"/>
      <c r="AA354" s="42"/>
      <c r="AB354" s="43"/>
      <c r="AC354" s="5"/>
      <c r="AG354" s="59"/>
    </row>
    <row r="355" customFormat="false" ht="14.25" hidden="false" customHeight="true" outlineLevel="0" collapsed="false">
      <c r="A355" s="29"/>
      <c r="B355" s="11"/>
      <c r="C355" s="11" t="s">
        <v>38</v>
      </c>
      <c r="D355" s="29"/>
      <c r="E355" s="4"/>
      <c r="G355" s="39"/>
      <c r="H355" s="76"/>
      <c r="I355" s="9"/>
      <c r="J355" s="9"/>
      <c r="K355" s="79"/>
      <c r="L355" s="80"/>
      <c r="T355" s="9"/>
      <c r="U355" s="9"/>
      <c r="V355" s="9"/>
      <c r="W355" s="9"/>
      <c r="X355" s="9"/>
      <c r="Y355" s="41"/>
      <c r="Z355" s="9"/>
      <c r="AA355" s="42"/>
      <c r="AB355" s="43"/>
      <c r="AC355" s="5"/>
      <c r="AG355" s="59"/>
    </row>
    <row r="356" customFormat="false" ht="28.5" hidden="false" customHeight="true" outlineLevel="0" collapsed="false">
      <c r="A356" s="29"/>
      <c r="B356" s="11" t="s">
        <v>106</v>
      </c>
      <c r="C356" s="11" t="s">
        <v>38</v>
      </c>
      <c r="D356" s="29" t="n">
        <v>550320</v>
      </c>
      <c r="E356" s="4" t="s">
        <v>455</v>
      </c>
      <c r="F356" s="4" t="s">
        <v>39</v>
      </c>
      <c r="G356" s="5" t="s">
        <v>456</v>
      </c>
      <c r="H356" s="43" t="n">
        <v>9776</v>
      </c>
      <c r="I356" s="9" t="n">
        <f aca="false">H356</f>
        <v>9776</v>
      </c>
      <c r="J356" s="9" t="n">
        <v>10000</v>
      </c>
      <c r="K356" s="4" t="s">
        <v>457</v>
      </c>
      <c r="L356" s="7" t="n">
        <v>45463</v>
      </c>
      <c r="M356" s="8" t="n">
        <v>49114</v>
      </c>
      <c r="O356" s="8" t="n">
        <v>47289</v>
      </c>
      <c r="P356" s="8" t="n">
        <v>47288</v>
      </c>
      <c r="Q356" s="44" t="n">
        <v>715000</v>
      </c>
      <c r="R356" s="44" t="n">
        <f aca="false">Q356</f>
        <v>715000</v>
      </c>
      <c r="S356" s="44" t="n">
        <f aca="false">R356</f>
        <v>715000</v>
      </c>
      <c r="T356" s="44" t="n">
        <v>715000</v>
      </c>
      <c r="U356" s="9" t="n">
        <f aca="false">T356</f>
        <v>715000</v>
      </c>
      <c r="V356" s="44" t="n">
        <v>715000</v>
      </c>
      <c r="W356" s="9" t="n">
        <f aca="false">V356</f>
        <v>715000</v>
      </c>
      <c r="X356" s="45" t="n">
        <f aca="false">V356/H356</f>
        <v>73.1382978723404</v>
      </c>
      <c r="Y356" s="46" t="n">
        <f aca="false">SUM(V356-T356)/T356</f>
        <v>0</v>
      </c>
      <c r="Z356" s="9" t="s">
        <v>458</v>
      </c>
      <c r="AA356" s="42"/>
      <c r="AB356" s="43" t="n">
        <v>12325000</v>
      </c>
      <c r="AC356" s="5" t="s">
        <v>43</v>
      </c>
      <c r="AD356" s="4" t="s">
        <v>77</v>
      </c>
      <c r="AG356" s="59"/>
    </row>
    <row r="357" customFormat="false" ht="14.25" hidden="false" customHeight="true" outlineLevel="0" collapsed="false">
      <c r="A357" s="29"/>
      <c r="B357" s="11"/>
      <c r="C357" s="11" t="s">
        <v>38</v>
      </c>
      <c r="D357" s="29"/>
      <c r="E357" s="4"/>
      <c r="I357" s="9"/>
      <c r="J357" s="9"/>
      <c r="T357" s="9"/>
      <c r="U357" s="9"/>
      <c r="V357" s="9"/>
      <c r="W357" s="9"/>
      <c r="X357" s="9"/>
      <c r="Y357" s="41"/>
      <c r="Z357" s="9"/>
      <c r="AA357" s="42"/>
      <c r="AB357" s="43"/>
      <c r="AC357" s="5"/>
      <c r="AG357" s="59"/>
    </row>
    <row r="358" customFormat="false" ht="14.25" hidden="false" customHeight="true" outlineLevel="0" collapsed="false">
      <c r="A358" s="29"/>
      <c r="B358" s="11"/>
      <c r="C358" s="11" t="s">
        <v>38</v>
      </c>
      <c r="D358" s="29"/>
      <c r="E358" s="4"/>
      <c r="G358" s="39" t="s">
        <v>459</v>
      </c>
      <c r="I358" s="9"/>
      <c r="J358" s="9"/>
      <c r="K358" s="40"/>
      <c r="T358" s="11"/>
      <c r="U358" s="9"/>
      <c r="V358" s="11"/>
      <c r="W358" s="9"/>
      <c r="X358" s="9"/>
      <c r="Y358" s="41"/>
      <c r="Z358" s="9"/>
      <c r="AA358" s="42"/>
      <c r="AB358" s="43"/>
      <c r="AC358" s="5"/>
      <c r="AG358" s="59"/>
    </row>
    <row r="359" customFormat="false" ht="14.25" hidden="false" customHeight="true" outlineLevel="0" collapsed="false">
      <c r="A359" s="29"/>
      <c r="B359" s="11"/>
      <c r="C359" s="11" t="s">
        <v>38</v>
      </c>
      <c r="D359" s="29"/>
      <c r="E359" s="4"/>
      <c r="G359" s="5" t="s">
        <v>460</v>
      </c>
      <c r="I359" s="9"/>
      <c r="J359" s="9"/>
      <c r="T359" s="9"/>
      <c r="U359" s="9"/>
      <c r="V359" s="9"/>
      <c r="W359" s="9"/>
      <c r="X359" s="9"/>
      <c r="Y359" s="41"/>
      <c r="Z359" s="9"/>
      <c r="AA359" s="42"/>
      <c r="AB359" s="43"/>
      <c r="AC359" s="5"/>
      <c r="AG359" s="59"/>
    </row>
    <row r="360" customFormat="false" ht="26.25" hidden="false" customHeight="true" outlineLevel="0" collapsed="false">
      <c r="A360" s="29"/>
      <c r="B360" s="11" t="s">
        <v>106</v>
      </c>
      <c r="C360" s="11" t="s">
        <v>38</v>
      </c>
      <c r="D360" s="29" t="n">
        <v>550330</v>
      </c>
      <c r="E360" s="4" t="s">
        <v>459</v>
      </c>
      <c r="F360" s="4" t="s">
        <v>461</v>
      </c>
      <c r="G360" s="5" t="s">
        <v>40</v>
      </c>
      <c r="H360" s="43" t="n">
        <v>4969</v>
      </c>
      <c r="I360" s="9" t="n">
        <f aca="false">H360</f>
        <v>4969</v>
      </c>
      <c r="J360" s="9" t="n">
        <v>5000</v>
      </c>
      <c r="K360" s="4" t="s">
        <v>153</v>
      </c>
      <c r="L360" s="7" t="n">
        <v>45198</v>
      </c>
      <c r="M360" s="8" t="n">
        <v>48850</v>
      </c>
      <c r="O360" s="8" t="n">
        <v>47025</v>
      </c>
      <c r="P360" s="8" t="n">
        <v>46293</v>
      </c>
      <c r="Q360" s="44" t="n">
        <v>315000</v>
      </c>
      <c r="R360" s="9" t="n">
        <f aca="false">Q360</f>
        <v>315000</v>
      </c>
      <c r="S360" s="44" t="n">
        <f aca="false">R360</f>
        <v>315000</v>
      </c>
      <c r="T360" s="44" t="n">
        <v>266600</v>
      </c>
      <c r="U360" s="9" t="n">
        <f aca="false">T360</f>
        <v>266600</v>
      </c>
      <c r="V360" s="44" t="n">
        <v>315000</v>
      </c>
      <c r="W360" s="9" t="n">
        <f aca="false">V360</f>
        <v>315000</v>
      </c>
      <c r="X360" s="45" t="n">
        <f aca="false">V360/H360</f>
        <v>63.3930368283357</v>
      </c>
      <c r="Y360" s="46" t="n">
        <f aca="false">SUM(V360-T360)/T360</f>
        <v>0.181545386346587</v>
      </c>
      <c r="Z360" s="9" t="s">
        <v>42</v>
      </c>
      <c r="AA360" s="42"/>
      <c r="AB360" s="43" t="n">
        <v>5575000</v>
      </c>
      <c r="AC360" s="5" t="s">
        <v>43</v>
      </c>
      <c r="AD360" s="4" t="s">
        <v>462</v>
      </c>
      <c r="AG360" s="59"/>
    </row>
    <row r="361" customFormat="false" ht="14.25" hidden="false" customHeight="true" outlineLevel="0" collapsed="false">
      <c r="A361" s="29"/>
      <c r="B361" s="11"/>
      <c r="C361" s="11" t="s">
        <v>38</v>
      </c>
      <c r="D361" s="29"/>
      <c r="E361" s="4"/>
      <c r="H361" s="43"/>
      <c r="I361" s="44"/>
      <c r="J361" s="44"/>
      <c r="Q361" s="44"/>
      <c r="R361" s="44"/>
      <c r="S361" s="44"/>
      <c r="T361" s="44"/>
      <c r="U361" s="44"/>
      <c r="V361" s="44"/>
      <c r="W361" s="44"/>
      <c r="X361" s="44"/>
      <c r="Y361" s="64"/>
      <c r="Z361" s="44"/>
      <c r="AA361" s="67"/>
      <c r="AB361" s="66"/>
      <c r="AC361" s="5"/>
      <c r="AG361" s="59"/>
    </row>
    <row r="362" customFormat="false" ht="14.25" hidden="false" customHeight="true" outlineLevel="0" collapsed="false">
      <c r="A362" s="29"/>
      <c r="B362" s="11"/>
      <c r="C362" s="11" t="s">
        <v>38</v>
      </c>
      <c r="D362" s="29"/>
      <c r="E362" s="4"/>
      <c r="G362" s="39" t="s">
        <v>463</v>
      </c>
      <c r="I362" s="9"/>
      <c r="J362" s="9"/>
      <c r="K362" s="40"/>
      <c r="T362" s="11"/>
      <c r="U362" s="9"/>
      <c r="V362" s="11"/>
      <c r="W362" s="9"/>
      <c r="X362" s="9"/>
      <c r="Y362" s="41"/>
      <c r="Z362" s="9"/>
      <c r="AA362" s="42"/>
      <c r="AB362" s="14"/>
      <c r="AC362" s="5"/>
      <c r="AG362" s="59"/>
    </row>
    <row r="363" customFormat="false" ht="14.25" hidden="false" customHeight="true" outlineLevel="0" collapsed="false">
      <c r="A363" s="29"/>
      <c r="B363" s="11"/>
      <c r="C363" s="11" t="s">
        <v>38</v>
      </c>
      <c r="D363" s="29"/>
      <c r="E363" s="4"/>
      <c r="G363" s="39"/>
      <c r="I363" s="9"/>
      <c r="J363" s="9"/>
      <c r="K363" s="40"/>
      <c r="T363" s="11"/>
      <c r="U363" s="9"/>
      <c r="V363" s="11"/>
      <c r="W363" s="9"/>
      <c r="X363" s="9"/>
      <c r="Y363" s="41"/>
      <c r="Z363" s="9"/>
      <c r="AA363" s="42"/>
      <c r="AB363" s="14"/>
      <c r="AC363" s="5"/>
      <c r="AG363" s="59"/>
    </row>
    <row r="364" customFormat="false" ht="24" hidden="false" customHeight="true" outlineLevel="0" collapsed="false">
      <c r="A364" s="29"/>
      <c r="B364" s="11" t="s">
        <v>236</v>
      </c>
      <c r="C364" s="11" t="s">
        <v>38</v>
      </c>
      <c r="D364" s="29" t="n">
        <v>550340</v>
      </c>
      <c r="E364" s="4" t="s">
        <v>463</v>
      </c>
      <c r="F364" s="4" t="s">
        <v>464</v>
      </c>
      <c r="G364" s="5" t="s">
        <v>165</v>
      </c>
      <c r="H364" s="6" t="n">
        <v>400</v>
      </c>
      <c r="I364" s="6" t="n">
        <f aca="false">H364</f>
        <v>400</v>
      </c>
      <c r="K364" s="4" t="s">
        <v>416</v>
      </c>
      <c r="L364" s="8" t="n">
        <v>43184</v>
      </c>
      <c r="M364" s="8" t="n">
        <v>46836</v>
      </c>
      <c r="O364" s="8" t="n">
        <v>45010</v>
      </c>
      <c r="Q364" s="9" t="n">
        <v>2400</v>
      </c>
      <c r="R364" s="9" t="n">
        <f aca="false">Q364</f>
        <v>2400</v>
      </c>
      <c r="T364" s="9" t="n">
        <v>2000</v>
      </c>
      <c r="U364" s="9" t="n">
        <f aca="false">T364</f>
        <v>2000</v>
      </c>
      <c r="V364" s="9" t="n">
        <v>2000</v>
      </c>
      <c r="W364" s="9" t="n">
        <f aca="false">V364</f>
        <v>2000</v>
      </c>
      <c r="X364" s="45" t="n">
        <f aca="false">V364/H364</f>
        <v>5</v>
      </c>
      <c r="Y364" s="46" t="n">
        <f aca="false">SUM(V364-T364)/T364</f>
        <v>0</v>
      </c>
      <c r="Z364" s="9"/>
      <c r="AA364" s="42"/>
      <c r="AB364" s="14"/>
      <c r="AC364" s="5" t="s">
        <v>43</v>
      </c>
      <c r="AD364" s="4" t="s">
        <v>417</v>
      </c>
      <c r="AG364" s="59"/>
    </row>
    <row r="365" customFormat="false" ht="24" hidden="false" customHeight="true" outlineLevel="0" collapsed="false">
      <c r="A365" s="29"/>
      <c r="B365" s="11" t="s">
        <v>236</v>
      </c>
      <c r="C365" s="11" t="s">
        <v>38</v>
      </c>
      <c r="D365" s="29" t="n">
        <v>550340</v>
      </c>
      <c r="E365" s="4" t="s">
        <v>463</v>
      </c>
      <c r="F365" s="4" t="s">
        <v>465</v>
      </c>
      <c r="G365" s="5" t="s">
        <v>466</v>
      </c>
      <c r="H365" s="6" t="n">
        <v>873</v>
      </c>
      <c r="I365" s="6" t="n">
        <f aca="false">H365</f>
        <v>873</v>
      </c>
      <c r="K365" s="4" t="s">
        <v>416</v>
      </c>
      <c r="L365" s="8" t="n">
        <v>43184</v>
      </c>
      <c r="M365" s="8" t="n">
        <v>46836</v>
      </c>
      <c r="O365" s="8" t="n">
        <v>45010</v>
      </c>
      <c r="Q365" s="9" t="n">
        <v>24500</v>
      </c>
      <c r="R365" s="9" t="n">
        <f aca="false">Q365</f>
        <v>24500</v>
      </c>
      <c r="T365" s="9" t="n">
        <v>17500</v>
      </c>
      <c r="U365" s="9" t="n">
        <f aca="false">T365</f>
        <v>17500</v>
      </c>
      <c r="V365" s="9" t="n">
        <v>26200</v>
      </c>
      <c r="W365" s="9" t="n">
        <f aca="false">V365</f>
        <v>26200</v>
      </c>
      <c r="X365" s="45" t="n">
        <f aca="false">V365/H365</f>
        <v>30.0114547537228</v>
      </c>
      <c r="Y365" s="46" t="n">
        <f aca="false">SUM(V365-T365)/T365</f>
        <v>0.497142857142857</v>
      </c>
      <c r="Z365" s="9" t="s">
        <v>60</v>
      </c>
      <c r="AA365" s="42"/>
      <c r="AB365" s="14"/>
      <c r="AC365" s="5" t="s">
        <v>43</v>
      </c>
      <c r="AD365" s="4" t="s">
        <v>417</v>
      </c>
      <c r="AG365" s="59"/>
    </row>
    <row r="366" customFormat="false" ht="24" hidden="false" customHeight="true" outlineLevel="0" collapsed="false">
      <c r="A366" s="29"/>
      <c r="B366" s="11" t="s">
        <v>236</v>
      </c>
      <c r="C366" s="11" t="s">
        <v>38</v>
      </c>
      <c r="D366" s="29" t="n">
        <v>550340</v>
      </c>
      <c r="E366" s="4" t="s">
        <v>463</v>
      </c>
      <c r="F366" s="4" t="s">
        <v>467</v>
      </c>
      <c r="G366" s="5" t="s">
        <v>40</v>
      </c>
      <c r="H366" s="6" t="n">
        <v>624</v>
      </c>
      <c r="I366" s="6" t="n">
        <f aca="false">H366</f>
        <v>624</v>
      </c>
      <c r="K366" s="4" t="s">
        <v>416</v>
      </c>
      <c r="L366" s="8" t="n">
        <v>43184</v>
      </c>
      <c r="M366" s="8" t="n">
        <v>46836</v>
      </c>
      <c r="O366" s="8" t="n">
        <v>45010</v>
      </c>
      <c r="Q366" s="9" t="n">
        <v>15600</v>
      </c>
      <c r="R366" s="9" t="n">
        <f aca="false">Q366</f>
        <v>15600</v>
      </c>
      <c r="T366" s="9" t="n">
        <v>12500</v>
      </c>
      <c r="U366" s="9" t="n">
        <f aca="false">T366</f>
        <v>12500</v>
      </c>
      <c r="V366" s="9" t="n">
        <v>18700</v>
      </c>
      <c r="W366" s="9" t="n">
        <f aca="false">V366</f>
        <v>18700</v>
      </c>
      <c r="X366" s="45" t="n">
        <f aca="false">V366/H366</f>
        <v>29.9679487179487</v>
      </c>
      <c r="Y366" s="46" t="n">
        <f aca="false">SUM(V366-T366)/T366</f>
        <v>0.496</v>
      </c>
      <c r="Z366" s="9" t="s">
        <v>60</v>
      </c>
      <c r="AA366" s="42"/>
      <c r="AB366" s="14"/>
      <c r="AC366" s="5" t="s">
        <v>43</v>
      </c>
      <c r="AD366" s="4" t="s">
        <v>417</v>
      </c>
      <c r="AG366" s="59"/>
    </row>
    <row r="367" customFormat="false" ht="24" hidden="false" customHeight="true" outlineLevel="0" collapsed="false">
      <c r="A367" s="29"/>
      <c r="B367" s="11" t="s">
        <v>236</v>
      </c>
      <c r="C367" s="11" t="s">
        <v>38</v>
      </c>
      <c r="D367" s="29" t="n">
        <v>550340</v>
      </c>
      <c r="E367" s="4" t="s">
        <v>463</v>
      </c>
      <c r="F367" s="4" t="s">
        <v>412</v>
      </c>
      <c r="G367" s="5" t="s">
        <v>40</v>
      </c>
      <c r="H367" s="6" t="n">
        <v>1497</v>
      </c>
      <c r="I367" s="6" t="n">
        <f aca="false">H367</f>
        <v>1497</v>
      </c>
      <c r="K367" s="4" t="s">
        <v>416</v>
      </c>
      <c r="L367" s="8" t="n">
        <v>45010</v>
      </c>
      <c r="M367" s="8" t="n">
        <v>46836</v>
      </c>
      <c r="Q367" s="9" t="n">
        <v>84600</v>
      </c>
      <c r="R367" s="9" t="n">
        <f aca="false">Q367</f>
        <v>84600</v>
      </c>
      <c r="T367" s="9" t="n">
        <v>86100</v>
      </c>
      <c r="U367" s="9" t="n">
        <f aca="false">T367</f>
        <v>86100</v>
      </c>
      <c r="V367" s="9" t="n">
        <v>89800</v>
      </c>
      <c r="W367" s="9" t="n">
        <f aca="false">V367</f>
        <v>89800</v>
      </c>
      <c r="X367" s="45" t="n">
        <f aca="false">V367/H367</f>
        <v>59.9866399465598</v>
      </c>
      <c r="Y367" s="46" t="n">
        <f aca="false">SUM(V367-T367)/T367</f>
        <v>0.0429732868757259</v>
      </c>
      <c r="Z367" s="9" t="s">
        <v>42</v>
      </c>
      <c r="AA367" s="42"/>
      <c r="AB367" s="14"/>
      <c r="AC367" s="5" t="s">
        <v>43</v>
      </c>
      <c r="AD367" s="4" t="s">
        <v>417</v>
      </c>
      <c r="AG367" s="59"/>
    </row>
    <row r="368" customFormat="false" ht="24" hidden="false" customHeight="true" outlineLevel="0" collapsed="false">
      <c r="A368" s="29"/>
      <c r="B368" s="11" t="s">
        <v>236</v>
      </c>
      <c r="C368" s="11" t="s">
        <v>38</v>
      </c>
      <c r="D368" s="29" t="n">
        <v>550340</v>
      </c>
      <c r="E368" s="4" t="s">
        <v>463</v>
      </c>
      <c r="F368" s="4" t="s">
        <v>340</v>
      </c>
      <c r="G368" s="5" t="s">
        <v>40</v>
      </c>
      <c r="H368" s="6" t="n">
        <v>1553</v>
      </c>
      <c r="I368" s="6" t="n">
        <f aca="false">H368</f>
        <v>1553</v>
      </c>
      <c r="K368" s="4" t="s">
        <v>416</v>
      </c>
      <c r="L368" s="7" t="n">
        <v>45269</v>
      </c>
      <c r="M368" s="8" t="n">
        <v>46836</v>
      </c>
      <c r="Q368" s="9" t="n">
        <v>87750</v>
      </c>
      <c r="R368" s="9" t="n">
        <f aca="false">Q368</f>
        <v>87750</v>
      </c>
      <c r="T368" s="9" t="n">
        <v>89300</v>
      </c>
      <c r="U368" s="9" t="n">
        <f aca="false">T368</f>
        <v>89300</v>
      </c>
      <c r="V368" s="9" t="n">
        <v>93200</v>
      </c>
      <c r="W368" s="9" t="n">
        <f aca="false">V368</f>
        <v>93200</v>
      </c>
      <c r="X368" s="45" t="n">
        <f aca="false">V368/H368</f>
        <v>60.0128783000644</v>
      </c>
      <c r="Y368" s="46" t="n">
        <f aca="false">SUM(V368-T368)/T368</f>
        <v>0.0436730123180291</v>
      </c>
      <c r="Z368" s="9" t="s">
        <v>60</v>
      </c>
      <c r="AA368" s="42"/>
      <c r="AB368" s="14"/>
      <c r="AC368" s="5" t="s">
        <v>43</v>
      </c>
      <c r="AD368" s="4" t="s">
        <v>417</v>
      </c>
      <c r="AG368" s="59"/>
    </row>
    <row r="369" customFormat="false" ht="24" hidden="false" customHeight="true" outlineLevel="0" collapsed="false">
      <c r="A369" s="29"/>
      <c r="B369" s="11" t="s">
        <v>236</v>
      </c>
      <c r="C369" s="11" t="s">
        <v>38</v>
      </c>
      <c r="D369" s="29" t="n">
        <v>550340</v>
      </c>
      <c r="E369" s="4" t="s">
        <v>463</v>
      </c>
      <c r="F369" s="4" t="s">
        <v>140</v>
      </c>
      <c r="G369" s="5" t="s">
        <v>40</v>
      </c>
      <c r="H369" s="6" t="n">
        <v>1445</v>
      </c>
      <c r="I369" s="6" t="n">
        <f aca="false">H369</f>
        <v>1445</v>
      </c>
      <c r="K369" s="4" t="s">
        <v>416</v>
      </c>
      <c r="L369" s="8" t="n">
        <v>43184</v>
      </c>
      <c r="M369" s="8" t="n">
        <v>46836</v>
      </c>
      <c r="O369" s="8" t="n">
        <v>45010</v>
      </c>
      <c r="Q369" s="9" t="n">
        <v>79500</v>
      </c>
      <c r="R369" s="9" t="n">
        <f aca="false">Q369</f>
        <v>79500</v>
      </c>
      <c r="T369" s="9" t="n">
        <v>86700</v>
      </c>
      <c r="U369" s="9" t="n">
        <f aca="false">T369</f>
        <v>86700</v>
      </c>
      <c r="V369" s="9" t="n">
        <v>90300</v>
      </c>
      <c r="W369" s="9" t="n">
        <f aca="false">V369</f>
        <v>90300</v>
      </c>
      <c r="X369" s="45" t="n">
        <f aca="false">V369/H369</f>
        <v>62.4913494809689</v>
      </c>
      <c r="Y369" s="46" t="n">
        <f aca="false">SUM(V369-T369)/T369</f>
        <v>0.041522491349481</v>
      </c>
      <c r="Z369" s="9" t="s">
        <v>60</v>
      </c>
      <c r="AA369" s="42"/>
      <c r="AB369" s="14"/>
      <c r="AC369" s="5" t="s">
        <v>43</v>
      </c>
      <c r="AD369" s="4" t="s">
        <v>417</v>
      </c>
      <c r="AG369" s="59"/>
    </row>
    <row r="370" customFormat="false" ht="24" hidden="false" customHeight="true" outlineLevel="0" collapsed="false">
      <c r="A370" s="29"/>
      <c r="B370" s="11" t="s">
        <v>236</v>
      </c>
      <c r="C370" s="11" t="s">
        <v>38</v>
      </c>
      <c r="D370" s="29" t="n">
        <v>550340</v>
      </c>
      <c r="E370" s="4" t="s">
        <v>463</v>
      </c>
      <c r="F370" s="4" t="s">
        <v>137</v>
      </c>
      <c r="G370" s="5" t="s">
        <v>40</v>
      </c>
      <c r="H370" s="6" t="n">
        <v>1200</v>
      </c>
      <c r="I370" s="6" t="n">
        <f aca="false">H370</f>
        <v>1200</v>
      </c>
      <c r="K370" s="4" t="s">
        <v>416</v>
      </c>
      <c r="L370" s="8" t="n">
        <v>43184</v>
      </c>
      <c r="M370" s="8" t="n">
        <v>46836</v>
      </c>
      <c r="O370" s="8" t="n">
        <v>45010</v>
      </c>
      <c r="Q370" s="9" t="n">
        <v>66000</v>
      </c>
      <c r="R370" s="9" t="n">
        <f aca="false">Q370</f>
        <v>66000</v>
      </c>
      <c r="T370" s="9" t="n">
        <v>72000</v>
      </c>
      <c r="U370" s="9" t="n">
        <f aca="false">T370</f>
        <v>72000</v>
      </c>
      <c r="V370" s="9" t="n">
        <v>75000</v>
      </c>
      <c r="W370" s="9" t="n">
        <f aca="false">V370</f>
        <v>75000</v>
      </c>
      <c r="X370" s="45" t="n">
        <f aca="false">V370/H370</f>
        <v>62.5</v>
      </c>
      <c r="Y370" s="46" t="n">
        <f aca="false">SUM(V370-T370)/T370</f>
        <v>0.0416666666666667</v>
      </c>
      <c r="Z370" s="9" t="s">
        <v>42</v>
      </c>
      <c r="AA370" s="42"/>
      <c r="AB370" s="14"/>
      <c r="AC370" s="5" t="s">
        <v>43</v>
      </c>
      <c r="AD370" s="4" t="s">
        <v>417</v>
      </c>
      <c r="AG370" s="59"/>
    </row>
    <row r="371" customFormat="false" ht="24" hidden="false" customHeight="true" outlineLevel="0" collapsed="false">
      <c r="A371" s="29"/>
      <c r="B371" s="11" t="s">
        <v>236</v>
      </c>
      <c r="C371" s="11" t="s">
        <v>38</v>
      </c>
      <c r="D371" s="29" t="n">
        <v>550340</v>
      </c>
      <c r="E371" s="4" t="s">
        <v>463</v>
      </c>
      <c r="F371" s="4" t="s">
        <v>143</v>
      </c>
      <c r="G371" s="5" t="s">
        <v>40</v>
      </c>
      <c r="H371" s="6" t="n">
        <v>373</v>
      </c>
      <c r="I371" s="6" t="n">
        <f aca="false">H371</f>
        <v>373</v>
      </c>
      <c r="K371" s="4" t="s">
        <v>416</v>
      </c>
      <c r="L371" s="8" t="n">
        <v>43184</v>
      </c>
      <c r="M371" s="8" t="n">
        <v>46836</v>
      </c>
      <c r="O371" s="8" t="n">
        <v>45010</v>
      </c>
      <c r="Q371" s="9" t="n">
        <v>18650</v>
      </c>
      <c r="R371" s="9" t="n">
        <f aca="false">Q371</f>
        <v>18650</v>
      </c>
      <c r="T371" s="9" t="n">
        <v>22400</v>
      </c>
      <c r="U371" s="9" t="n">
        <f aca="false">T371</f>
        <v>22400</v>
      </c>
      <c r="V371" s="9" t="n">
        <v>23300</v>
      </c>
      <c r="W371" s="9" t="n">
        <f aca="false">V371</f>
        <v>23300</v>
      </c>
      <c r="X371" s="45" t="n">
        <f aca="false">V371/H371</f>
        <v>62.4664879356568</v>
      </c>
      <c r="Y371" s="46" t="n">
        <f aca="false">SUM(V371-T371)/T371</f>
        <v>0.0401785714285714</v>
      </c>
      <c r="Z371" s="9" t="s">
        <v>60</v>
      </c>
      <c r="AA371" s="42"/>
      <c r="AB371" s="14"/>
      <c r="AC371" s="5" t="s">
        <v>43</v>
      </c>
      <c r="AD371" s="4" t="s">
        <v>417</v>
      </c>
      <c r="AG371" s="59"/>
    </row>
    <row r="372" customFormat="false" ht="24" hidden="false" customHeight="true" outlineLevel="0" collapsed="false">
      <c r="A372" s="29"/>
      <c r="B372" s="11" t="s">
        <v>236</v>
      </c>
      <c r="C372" s="11" t="s">
        <v>38</v>
      </c>
      <c r="D372" s="29" t="n">
        <v>550340</v>
      </c>
      <c r="E372" s="4" t="s">
        <v>463</v>
      </c>
      <c r="F372" s="4" t="s">
        <v>145</v>
      </c>
      <c r="G372" s="5" t="s">
        <v>40</v>
      </c>
      <c r="H372" s="6" t="n">
        <v>346</v>
      </c>
      <c r="I372" s="6" t="n">
        <f aca="false">H372</f>
        <v>346</v>
      </c>
      <c r="K372" s="4" t="s">
        <v>416</v>
      </c>
      <c r="L372" s="8" t="n">
        <v>43184</v>
      </c>
      <c r="M372" s="8" t="n">
        <v>46836</v>
      </c>
      <c r="O372" s="8" t="n">
        <v>45010</v>
      </c>
      <c r="Q372" s="9" t="n">
        <v>18150</v>
      </c>
      <c r="R372" s="9" t="n">
        <f aca="false">Q372</f>
        <v>18150</v>
      </c>
      <c r="T372" s="9" t="n">
        <v>20800</v>
      </c>
      <c r="U372" s="9" t="n">
        <f aca="false">T372</f>
        <v>20800</v>
      </c>
      <c r="V372" s="9" t="n">
        <v>21600</v>
      </c>
      <c r="W372" s="9" t="n">
        <f aca="false">V372</f>
        <v>21600</v>
      </c>
      <c r="X372" s="45" t="n">
        <f aca="false">V372/H372</f>
        <v>62.4277456647399</v>
      </c>
      <c r="Y372" s="46" t="n">
        <f aca="false">SUM(V372-T372)/T372</f>
        <v>0.0384615384615385</v>
      </c>
      <c r="Z372" s="9" t="s">
        <v>60</v>
      </c>
      <c r="AA372" s="42"/>
      <c r="AB372" s="14"/>
      <c r="AC372" s="5" t="s">
        <v>43</v>
      </c>
      <c r="AD372" s="4" t="s">
        <v>417</v>
      </c>
      <c r="AG372" s="59"/>
    </row>
    <row r="373" customFormat="false" ht="14.25" hidden="false" customHeight="true" outlineLevel="0" collapsed="false">
      <c r="A373" s="29"/>
      <c r="B373" s="11"/>
      <c r="C373" s="11" t="s">
        <v>38</v>
      </c>
      <c r="D373" s="29"/>
      <c r="E373" s="4"/>
      <c r="I373" s="9"/>
      <c r="J373" s="9"/>
      <c r="T373" s="9"/>
      <c r="U373" s="9"/>
      <c r="V373" s="9"/>
      <c r="W373" s="9"/>
      <c r="X373" s="9"/>
      <c r="Y373" s="41"/>
      <c r="Z373" s="9"/>
      <c r="AA373" s="42"/>
      <c r="AB373" s="14"/>
      <c r="AC373" s="5"/>
      <c r="AG373" s="59"/>
    </row>
    <row r="374" customFormat="false" ht="14.25" hidden="false" customHeight="true" outlineLevel="0" collapsed="false">
      <c r="A374" s="29"/>
      <c r="B374" s="11"/>
      <c r="C374" s="11" t="s">
        <v>38</v>
      </c>
      <c r="D374" s="29"/>
      <c r="E374" s="4"/>
      <c r="F374" s="47" t="s">
        <v>468</v>
      </c>
      <c r="H374" s="43" t="n">
        <f aca="false">SUM(H364:H372)</f>
        <v>8311</v>
      </c>
      <c r="I374" s="44"/>
      <c r="J374" s="44"/>
      <c r="Q374" s="44" t="n">
        <f aca="false">SUM(Q364:Q372)</f>
        <v>397150</v>
      </c>
      <c r="R374" s="44"/>
      <c r="S374" s="44" t="n">
        <f aca="false">SUM(R362:R373)</f>
        <v>397150</v>
      </c>
      <c r="T374" s="44" t="n">
        <f aca="false">SUM(T364:T372)</f>
        <v>409300</v>
      </c>
      <c r="U374" s="44"/>
      <c r="V374" s="44" t="n">
        <f aca="false">SUM(V364:V372)</f>
        <v>440100</v>
      </c>
      <c r="W374" s="44"/>
      <c r="X374" s="44"/>
      <c r="Y374" s="64"/>
      <c r="Z374" s="44"/>
      <c r="AA374" s="67"/>
      <c r="AB374" s="44" t="n">
        <v>5350000</v>
      </c>
      <c r="AC374" s="5"/>
      <c r="AG374" s="59"/>
    </row>
    <row r="375" customFormat="false" ht="14.25" hidden="false" customHeight="true" outlineLevel="0" collapsed="false">
      <c r="A375" s="29"/>
      <c r="B375" s="11"/>
      <c r="C375" s="11" t="s">
        <v>38</v>
      </c>
      <c r="D375" s="29"/>
      <c r="E375" s="4"/>
      <c r="H375" s="43"/>
      <c r="I375" s="44"/>
      <c r="J375" s="44"/>
      <c r="Q375" s="44"/>
      <c r="R375" s="44"/>
      <c r="S375" s="44"/>
      <c r="T375" s="44"/>
      <c r="U375" s="44"/>
      <c r="V375" s="44"/>
      <c r="W375" s="44"/>
      <c r="X375" s="44"/>
      <c r="Y375" s="64"/>
      <c r="Z375" s="44"/>
      <c r="AA375" s="67"/>
      <c r="AB375" s="44"/>
      <c r="AC375" s="5"/>
      <c r="AG375" s="59"/>
    </row>
    <row r="376" customFormat="false" ht="14.25" hidden="false" customHeight="true" outlineLevel="0" collapsed="false">
      <c r="A376" s="29"/>
      <c r="B376" s="11"/>
      <c r="C376" s="11" t="s">
        <v>38</v>
      </c>
      <c r="D376" s="29"/>
      <c r="E376" s="4"/>
      <c r="G376" s="39" t="s">
        <v>469</v>
      </c>
      <c r="I376" s="9"/>
      <c r="J376" s="9"/>
      <c r="K376" s="40"/>
      <c r="T376" s="11"/>
      <c r="U376" s="9"/>
      <c r="V376" s="11"/>
      <c r="W376" s="9"/>
      <c r="X376" s="9"/>
      <c r="Y376" s="41"/>
      <c r="Z376" s="9"/>
      <c r="AA376" s="42"/>
      <c r="AB376" s="44"/>
      <c r="AC376" s="5"/>
      <c r="AG376" s="59"/>
    </row>
    <row r="377" customFormat="false" ht="14.25" hidden="false" customHeight="true" outlineLevel="0" collapsed="false">
      <c r="A377" s="29"/>
      <c r="B377" s="11"/>
      <c r="C377" s="11" t="s">
        <v>38</v>
      </c>
      <c r="D377" s="29"/>
      <c r="E377" s="4"/>
      <c r="G377" s="39"/>
      <c r="H377" s="76"/>
      <c r="I377" s="9"/>
      <c r="J377" s="9"/>
      <c r="K377" s="79"/>
      <c r="L377" s="80"/>
      <c r="T377" s="9"/>
      <c r="U377" s="9"/>
      <c r="V377" s="9"/>
      <c r="W377" s="9"/>
      <c r="X377" s="9"/>
      <c r="Y377" s="41"/>
      <c r="Z377" s="9"/>
      <c r="AA377" s="42"/>
      <c r="AB377" s="44"/>
      <c r="AC377" s="5"/>
      <c r="AG377" s="59"/>
    </row>
    <row r="378" customFormat="false" ht="13.5" hidden="false" customHeight="false" outlineLevel="0" collapsed="false">
      <c r="A378" s="29"/>
      <c r="B378" s="11" t="s">
        <v>47</v>
      </c>
      <c r="C378" s="11" t="s">
        <v>38</v>
      </c>
      <c r="D378" s="29" t="n">
        <v>550900</v>
      </c>
      <c r="E378" s="4" t="s">
        <v>469</v>
      </c>
      <c r="F378" s="4" t="s">
        <v>461</v>
      </c>
      <c r="G378" s="5" t="s">
        <v>40</v>
      </c>
      <c r="H378" s="6" t="n">
        <v>8445</v>
      </c>
      <c r="I378" s="9" t="n">
        <f aca="false">H378</f>
        <v>8445</v>
      </c>
      <c r="J378" s="9" t="n">
        <v>8500</v>
      </c>
      <c r="K378" s="4" t="s">
        <v>261</v>
      </c>
      <c r="L378" s="7" t="n">
        <v>44390</v>
      </c>
      <c r="M378" s="8" t="n">
        <v>48041</v>
      </c>
      <c r="O378" s="8" t="n">
        <v>46216</v>
      </c>
      <c r="P378" s="8" t="n">
        <v>46215</v>
      </c>
      <c r="Q378" s="9" t="n">
        <v>450500</v>
      </c>
      <c r="R378" s="9" t="n">
        <f aca="false">Q378</f>
        <v>450500</v>
      </c>
      <c r="T378" s="9" t="n">
        <v>450500</v>
      </c>
      <c r="U378" s="9" t="n">
        <f aca="false">T378</f>
        <v>450500</v>
      </c>
      <c r="V378" s="9" t="n">
        <v>495300</v>
      </c>
      <c r="W378" s="9" t="n">
        <f aca="false">V378</f>
        <v>495300</v>
      </c>
      <c r="X378" s="45" t="n">
        <f aca="false">V378/H378</f>
        <v>58.6500888099467</v>
      </c>
      <c r="Y378" s="46" t="n">
        <f aca="false">SUM(V378-T378)/T378</f>
        <v>0.0994450610432852</v>
      </c>
      <c r="Z378" s="9" t="s">
        <v>42</v>
      </c>
      <c r="AA378" s="42"/>
      <c r="AB378" s="44"/>
      <c r="AC378" s="5" t="s">
        <v>43</v>
      </c>
      <c r="AD378" s="4" t="s">
        <v>470</v>
      </c>
      <c r="AG378" s="59"/>
    </row>
    <row r="379" customFormat="false" ht="28.5" hidden="false" customHeight="true" outlineLevel="0" collapsed="false">
      <c r="A379" s="29"/>
      <c r="B379" s="11" t="s">
        <v>47</v>
      </c>
      <c r="C379" s="11" t="s">
        <v>38</v>
      </c>
      <c r="D379" s="29" t="n">
        <v>550900</v>
      </c>
      <c r="E379" s="4" t="s">
        <v>469</v>
      </c>
      <c r="F379" s="4" t="s">
        <v>471</v>
      </c>
      <c r="G379" s="5" t="s">
        <v>168</v>
      </c>
      <c r="H379" s="6" t="n">
        <v>0</v>
      </c>
      <c r="I379" s="9" t="n">
        <f aca="false">H379</f>
        <v>0</v>
      </c>
      <c r="J379" s="9"/>
      <c r="K379" s="4" t="s">
        <v>169</v>
      </c>
      <c r="L379" s="7" t="n">
        <v>38840</v>
      </c>
      <c r="M379" s="8" t="n">
        <v>46144</v>
      </c>
      <c r="Q379" s="9" t="n">
        <v>1100</v>
      </c>
      <c r="R379" s="9" t="n">
        <f aca="false">Q379</f>
        <v>1100</v>
      </c>
      <c r="T379" s="9" t="n">
        <v>1100</v>
      </c>
      <c r="U379" s="9" t="n">
        <f aca="false">T379</f>
        <v>1100</v>
      </c>
      <c r="V379" s="9" t="n">
        <v>1100</v>
      </c>
      <c r="W379" s="9" t="n">
        <f aca="false">V379</f>
        <v>1100</v>
      </c>
      <c r="X379" s="9"/>
      <c r="Y379" s="41"/>
      <c r="Z379" s="9"/>
      <c r="AA379" s="42"/>
      <c r="AB379" s="44"/>
      <c r="AC379" s="5" t="s">
        <v>43</v>
      </c>
      <c r="AD379" s="4" t="s">
        <v>472</v>
      </c>
      <c r="AG379" s="59"/>
    </row>
    <row r="380" customFormat="false" ht="14.25" hidden="false" customHeight="true" outlineLevel="0" collapsed="false">
      <c r="A380" s="29"/>
      <c r="B380" s="11"/>
      <c r="C380" s="11" t="s">
        <v>38</v>
      </c>
      <c r="D380" s="29"/>
      <c r="E380" s="4"/>
      <c r="I380" s="9"/>
      <c r="J380" s="9"/>
      <c r="T380" s="9"/>
      <c r="U380" s="9"/>
      <c r="V380" s="9"/>
      <c r="W380" s="9"/>
      <c r="X380" s="9"/>
      <c r="Y380" s="41"/>
      <c r="Z380" s="9"/>
      <c r="AA380" s="42"/>
      <c r="AB380" s="44"/>
      <c r="AC380" s="5"/>
      <c r="AG380" s="59"/>
    </row>
    <row r="381" customFormat="false" ht="14.25" hidden="false" customHeight="true" outlineLevel="0" collapsed="false">
      <c r="A381" s="29"/>
      <c r="B381" s="11"/>
      <c r="C381" s="11" t="s">
        <v>38</v>
      </c>
      <c r="D381" s="29"/>
      <c r="E381" s="4"/>
      <c r="F381" s="47" t="s">
        <v>469</v>
      </c>
      <c r="H381" s="43" t="n">
        <f aca="false">SUM(H378:H379)</f>
        <v>8445</v>
      </c>
      <c r="I381" s="44"/>
      <c r="J381" s="44"/>
      <c r="Q381" s="44" t="n">
        <f aca="false">SUM(Q378:Q379)</f>
        <v>451600</v>
      </c>
      <c r="R381" s="44"/>
      <c r="S381" s="44" t="n">
        <f aca="false">SUM(R376:R380)</f>
        <v>451600</v>
      </c>
      <c r="T381" s="44" t="n">
        <f aca="false">SUM(T378:T379)</f>
        <v>451600</v>
      </c>
      <c r="U381" s="44"/>
      <c r="V381" s="44" t="n">
        <f aca="false">SUM(V378:V379)</f>
        <v>496400</v>
      </c>
      <c r="W381" s="44"/>
      <c r="X381" s="44"/>
      <c r="Y381" s="64"/>
      <c r="Z381" s="44"/>
      <c r="AA381" s="67"/>
      <c r="AB381" s="44" t="n">
        <v>7250000</v>
      </c>
      <c r="AC381" s="5"/>
      <c r="AG381" s="59"/>
    </row>
    <row r="382" customFormat="false" ht="14.25" hidden="false" customHeight="true" outlineLevel="0" collapsed="false">
      <c r="A382" s="29"/>
      <c r="B382" s="11"/>
      <c r="C382" s="11" t="s">
        <v>38</v>
      </c>
      <c r="D382" s="29"/>
      <c r="E382" s="4"/>
      <c r="I382" s="9"/>
      <c r="J382" s="9"/>
      <c r="T382" s="9"/>
      <c r="U382" s="9"/>
      <c r="V382" s="9"/>
      <c r="W382" s="9"/>
      <c r="X382" s="9"/>
      <c r="Y382" s="41"/>
      <c r="Z382" s="9"/>
      <c r="AA382" s="42"/>
      <c r="AB382" s="14"/>
      <c r="AC382" s="5"/>
      <c r="AG382" s="59"/>
    </row>
    <row r="383" customFormat="false" ht="14.25" hidden="false" customHeight="true" outlineLevel="0" collapsed="false">
      <c r="A383" s="29"/>
      <c r="B383" s="11"/>
      <c r="C383" s="11" t="s">
        <v>38</v>
      </c>
      <c r="D383" s="29"/>
      <c r="E383" s="4"/>
      <c r="G383" s="39" t="s">
        <v>473</v>
      </c>
      <c r="I383" s="9"/>
      <c r="J383" s="9"/>
      <c r="K383" s="40"/>
      <c r="T383" s="11"/>
      <c r="U383" s="9"/>
      <c r="V383" s="11"/>
      <c r="W383" s="9"/>
      <c r="X383" s="9"/>
      <c r="Y383" s="41"/>
      <c r="Z383" s="9"/>
      <c r="AA383" s="42"/>
      <c r="AB383" s="14"/>
      <c r="AC383" s="5"/>
      <c r="AG383" s="59"/>
    </row>
    <row r="384" customFormat="false" ht="14.25" hidden="false" customHeight="true" outlineLevel="0" collapsed="false">
      <c r="A384" s="29"/>
      <c r="B384" s="11"/>
      <c r="C384" s="11" t="s">
        <v>38</v>
      </c>
      <c r="D384" s="29"/>
      <c r="E384" s="4"/>
      <c r="I384" s="9"/>
      <c r="J384" s="9"/>
      <c r="T384" s="9"/>
      <c r="U384" s="9"/>
      <c r="V384" s="9"/>
      <c r="W384" s="9"/>
      <c r="X384" s="9"/>
      <c r="Y384" s="41"/>
      <c r="Z384" s="9"/>
      <c r="AA384" s="42"/>
      <c r="AB384" s="14"/>
      <c r="AC384" s="5"/>
      <c r="AG384" s="59"/>
    </row>
    <row r="385" customFormat="false" ht="30" hidden="false" customHeight="true" outlineLevel="0" collapsed="false">
      <c r="A385" s="29"/>
      <c r="B385" s="11" t="s">
        <v>47</v>
      </c>
      <c r="C385" s="11" t="s">
        <v>38</v>
      </c>
      <c r="D385" s="29" t="n">
        <v>550350</v>
      </c>
      <c r="E385" s="4" t="s">
        <v>473</v>
      </c>
      <c r="F385" s="4" t="s">
        <v>461</v>
      </c>
      <c r="G385" s="5" t="s">
        <v>40</v>
      </c>
      <c r="H385" s="43" t="n">
        <v>6563</v>
      </c>
      <c r="I385" s="9" t="n">
        <f aca="false">H385</f>
        <v>6563</v>
      </c>
      <c r="J385" s="9" t="n">
        <v>6500</v>
      </c>
      <c r="K385" s="4" t="s">
        <v>474</v>
      </c>
      <c r="L385" s="7" t="n">
        <v>45062</v>
      </c>
      <c r="M385" s="8" t="n">
        <v>48714</v>
      </c>
      <c r="O385" s="8" t="n">
        <v>46889</v>
      </c>
      <c r="Q385" s="44" t="n">
        <v>350000</v>
      </c>
      <c r="R385" s="9" t="n">
        <f aca="false">Q385</f>
        <v>350000</v>
      </c>
      <c r="S385" s="44" t="n">
        <f aca="false">R385</f>
        <v>350000</v>
      </c>
      <c r="T385" s="44" t="n">
        <v>350000</v>
      </c>
      <c r="U385" s="9" t="n">
        <f aca="false">T385</f>
        <v>350000</v>
      </c>
      <c r="V385" s="44" t="n">
        <v>350000</v>
      </c>
      <c r="W385" s="9" t="n">
        <f aca="false">V385</f>
        <v>350000</v>
      </c>
      <c r="X385" s="45" t="n">
        <f aca="false">V385/H385</f>
        <v>53.3292701508457</v>
      </c>
      <c r="Y385" s="46" t="n">
        <f aca="false">SUM(V385-T385)/T385</f>
        <v>0</v>
      </c>
      <c r="Z385" s="9" t="s">
        <v>60</v>
      </c>
      <c r="AA385" s="42"/>
      <c r="AB385" s="112" t="n">
        <v>6575000</v>
      </c>
      <c r="AC385" s="5" t="s">
        <v>43</v>
      </c>
      <c r="AG385" s="59"/>
    </row>
    <row r="386" customFormat="false" ht="14.25" hidden="false" customHeight="true" outlineLevel="0" collapsed="false">
      <c r="A386" s="29"/>
      <c r="B386" s="11"/>
      <c r="C386" s="11" t="s">
        <v>38</v>
      </c>
      <c r="D386" s="29"/>
      <c r="E386" s="4"/>
      <c r="H386" s="43"/>
      <c r="I386" s="44"/>
      <c r="J386" s="44"/>
      <c r="Q386" s="44"/>
      <c r="R386" s="44"/>
      <c r="S386" s="44"/>
      <c r="T386" s="44"/>
      <c r="U386" s="44"/>
      <c r="V386" s="44"/>
      <c r="W386" s="44"/>
      <c r="X386" s="44"/>
      <c r="Y386" s="64"/>
      <c r="Z386" s="44"/>
      <c r="AA386" s="67"/>
      <c r="AB386" s="112"/>
      <c r="AC386" s="5"/>
      <c r="AG386" s="59"/>
    </row>
    <row r="387" customFormat="false" ht="14.25" hidden="false" customHeight="true" outlineLevel="0" collapsed="false">
      <c r="A387" s="29"/>
      <c r="B387" s="11"/>
      <c r="C387" s="11" t="s">
        <v>38</v>
      </c>
      <c r="D387" s="29"/>
      <c r="E387" s="4"/>
      <c r="F387" s="47" t="s">
        <v>475</v>
      </c>
      <c r="H387" s="48" t="n">
        <f aca="false">SUM(H385:H386)</f>
        <v>6563</v>
      </c>
      <c r="I387" s="43"/>
      <c r="J387" s="43"/>
      <c r="K387" s="49"/>
      <c r="L387" s="50"/>
      <c r="M387" s="51"/>
      <c r="N387" s="51"/>
      <c r="O387" s="51"/>
      <c r="P387" s="51"/>
      <c r="Q387" s="43"/>
      <c r="R387" s="43"/>
      <c r="S387" s="43"/>
      <c r="T387" s="48" t="n">
        <f aca="false">SUM(T385:T386)</f>
        <v>350000</v>
      </c>
      <c r="U387" s="48"/>
      <c r="V387" s="48" t="n">
        <f aca="false">SUM(V385:V386)</f>
        <v>350000</v>
      </c>
      <c r="W387" s="48"/>
      <c r="X387" s="48"/>
      <c r="Y387" s="52"/>
      <c r="Z387" s="48"/>
      <c r="AA387" s="53"/>
      <c r="AB387" s="112"/>
      <c r="AC387" s="5"/>
      <c r="AG387" s="59"/>
    </row>
    <row r="388" customFormat="false" ht="14.25" hidden="false" customHeight="true" outlineLevel="0" collapsed="false">
      <c r="A388" s="29"/>
      <c r="B388" s="11"/>
      <c r="C388" s="11" t="s">
        <v>38</v>
      </c>
      <c r="D388" s="29"/>
      <c r="E388" s="4"/>
      <c r="H388" s="43"/>
      <c r="I388" s="44"/>
      <c r="J388" s="44"/>
      <c r="Q388" s="44"/>
      <c r="R388" s="44"/>
      <c r="S388" s="44"/>
      <c r="T388" s="44"/>
      <c r="U388" s="44"/>
      <c r="V388" s="44"/>
      <c r="W388" s="44"/>
      <c r="X388" s="44"/>
      <c r="Y388" s="64"/>
      <c r="Z388" s="44"/>
      <c r="AA388" s="67"/>
      <c r="AB388" s="112"/>
      <c r="AC388" s="5"/>
      <c r="AG388" s="59"/>
    </row>
    <row r="389" customFormat="false" ht="14.25" hidden="false" customHeight="true" outlineLevel="0" collapsed="false">
      <c r="A389" s="29"/>
      <c r="B389" s="11"/>
      <c r="C389" s="11" t="s">
        <v>38</v>
      </c>
      <c r="D389" s="29"/>
      <c r="E389" s="4"/>
      <c r="G389" s="39" t="s">
        <v>476</v>
      </c>
      <c r="I389" s="9"/>
      <c r="J389" s="9"/>
      <c r="K389" s="40"/>
      <c r="T389" s="11"/>
      <c r="U389" s="9"/>
      <c r="V389" s="11"/>
      <c r="W389" s="9"/>
      <c r="X389" s="9"/>
      <c r="Y389" s="41"/>
      <c r="Z389" s="9"/>
      <c r="AA389" s="42"/>
      <c r="AB389" s="112"/>
      <c r="AC389" s="5"/>
      <c r="AG389" s="59"/>
    </row>
    <row r="390" customFormat="false" ht="14.25" hidden="false" customHeight="true" outlineLevel="0" collapsed="false">
      <c r="A390" s="29"/>
      <c r="B390" s="11"/>
      <c r="C390" s="11" t="s">
        <v>38</v>
      </c>
      <c r="D390" s="29"/>
      <c r="E390" s="4"/>
      <c r="I390" s="9"/>
      <c r="J390" s="9"/>
      <c r="T390" s="9"/>
      <c r="U390" s="9"/>
      <c r="V390" s="9"/>
      <c r="W390" s="9"/>
      <c r="X390" s="9"/>
      <c r="Y390" s="41"/>
      <c r="Z390" s="9"/>
      <c r="AA390" s="42"/>
      <c r="AB390" s="112"/>
      <c r="AC390" s="5"/>
      <c r="AG390" s="59"/>
    </row>
    <row r="391" customFormat="false" ht="17.25" hidden="false" customHeight="true" outlineLevel="0" collapsed="false">
      <c r="A391" s="29"/>
      <c r="B391" s="11" t="s">
        <v>106</v>
      </c>
      <c r="C391" s="11" t="s">
        <v>38</v>
      </c>
      <c r="D391" s="29" t="n">
        <v>550360</v>
      </c>
      <c r="E391" s="4" t="s">
        <v>476</v>
      </c>
      <c r="F391" s="4" t="s">
        <v>174</v>
      </c>
      <c r="G391" s="5" t="s">
        <v>49</v>
      </c>
      <c r="H391" s="6" t="n">
        <v>5735</v>
      </c>
      <c r="I391" s="9" t="n">
        <f aca="false">H391</f>
        <v>5735</v>
      </c>
      <c r="J391" s="9" t="n">
        <v>5750</v>
      </c>
      <c r="K391" s="4" t="s">
        <v>326</v>
      </c>
      <c r="L391" s="7" t="n">
        <v>45240</v>
      </c>
      <c r="M391" s="8" t="n">
        <v>48892</v>
      </c>
      <c r="O391" s="8" t="n">
        <v>47067</v>
      </c>
      <c r="P391" s="8" t="n">
        <v>47066</v>
      </c>
      <c r="Q391" s="9" t="n">
        <v>282288</v>
      </c>
      <c r="R391" s="9" t="n">
        <f aca="false">Q391</f>
        <v>282288</v>
      </c>
      <c r="S391" s="44"/>
      <c r="T391" s="9" t="n">
        <v>258600</v>
      </c>
      <c r="U391" s="9" t="n">
        <f aca="false">T391</f>
        <v>258600</v>
      </c>
      <c r="V391" s="9" t="n">
        <v>282288</v>
      </c>
      <c r="W391" s="9" t="n">
        <f aca="false">V391</f>
        <v>282288</v>
      </c>
      <c r="X391" s="45" t="n">
        <f aca="false">V391/H391</f>
        <v>49.2219703574542</v>
      </c>
      <c r="Y391" s="46" t="n">
        <f aca="false">SUM(V391-T391)/T391</f>
        <v>0.0916009280742459</v>
      </c>
      <c r="Z391" s="9" t="s">
        <v>42</v>
      </c>
      <c r="AA391" s="42"/>
      <c r="AB391" s="112"/>
      <c r="AC391" s="5" t="s">
        <v>43</v>
      </c>
      <c r="AD391" s="4" t="s">
        <v>477</v>
      </c>
      <c r="AG391" s="59"/>
    </row>
    <row r="392" customFormat="false" ht="13.5" hidden="false" customHeight="false" outlineLevel="0" collapsed="false">
      <c r="A392" s="29"/>
      <c r="B392" s="11" t="s">
        <v>106</v>
      </c>
      <c r="C392" s="11" t="s">
        <v>38</v>
      </c>
      <c r="D392" s="29" t="n">
        <v>550360</v>
      </c>
      <c r="E392" s="4" t="s">
        <v>476</v>
      </c>
      <c r="F392" s="4" t="s">
        <v>89</v>
      </c>
      <c r="G392" s="5" t="s">
        <v>40</v>
      </c>
      <c r="H392" s="6" t="n">
        <v>2400</v>
      </c>
      <c r="I392" s="9" t="n">
        <f aca="false">H392</f>
        <v>2400</v>
      </c>
      <c r="J392" s="9" t="n">
        <v>2500</v>
      </c>
      <c r="K392" s="4" t="s">
        <v>332</v>
      </c>
      <c r="L392" s="7" t="n">
        <v>44665</v>
      </c>
      <c r="M392" s="8" t="n">
        <v>48852</v>
      </c>
      <c r="O392" s="8" t="n">
        <v>46491</v>
      </c>
      <c r="P392" s="8" t="n">
        <v>47026</v>
      </c>
      <c r="Q392" s="9" t="n">
        <v>152500</v>
      </c>
      <c r="R392" s="9" t="n">
        <f aca="false">Q392</f>
        <v>152500</v>
      </c>
      <c r="S392" s="44"/>
      <c r="T392" s="9" t="n">
        <v>152400</v>
      </c>
      <c r="U392" s="9" t="n">
        <f aca="false">T392</f>
        <v>152400</v>
      </c>
      <c r="V392" s="9" t="n">
        <v>152400</v>
      </c>
      <c r="W392" s="9" t="n">
        <f aca="false">V392</f>
        <v>152400</v>
      </c>
      <c r="X392" s="45" t="n">
        <f aca="false">V392/H392</f>
        <v>63.5</v>
      </c>
      <c r="Y392" s="46" t="n">
        <f aca="false">SUM(V392-T392)/T392</f>
        <v>0</v>
      </c>
      <c r="Z392" s="9" t="s">
        <v>127</v>
      </c>
      <c r="AA392" s="42"/>
      <c r="AB392" s="112"/>
      <c r="AC392" s="5" t="s">
        <v>43</v>
      </c>
      <c r="AD392" s="4" t="s">
        <v>286</v>
      </c>
      <c r="AG392" s="59"/>
    </row>
    <row r="393" customFormat="false" ht="13.5" hidden="false" customHeight="false" outlineLevel="0" collapsed="false">
      <c r="A393" s="29"/>
      <c r="B393" s="11" t="s">
        <v>106</v>
      </c>
      <c r="C393" s="11" t="s">
        <v>38</v>
      </c>
      <c r="D393" s="29" t="n">
        <v>550360</v>
      </c>
      <c r="E393" s="4" t="s">
        <v>476</v>
      </c>
      <c r="F393" s="4" t="s">
        <v>93</v>
      </c>
      <c r="G393" s="5" t="s">
        <v>40</v>
      </c>
      <c r="H393" s="6" t="n">
        <v>2516</v>
      </c>
      <c r="I393" s="9" t="n">
        <f aca="false">H393</f>
        <v>2516</v>
      </c>
      <c r="J393" s="9" t="n">
        <v>2500</v>
      </c>
      <c r="K393" s="4" t="s">
        <v>332</v>
      </c>
      <c r="L393" s="7" t="n">
        <v>44445</v>
      </c>
      <c r="M393" s="8" t="n">
        <v>47026</v>
      </c>
      <c r="O393" s="8" t="n">
        <v>46271</v>
      </c>
      <c r="Q393" s="9" t="n">
        <v>150000</v>
      </c>
      <c r="R393" s="9" t="n">
        <f aca="false">Q393</f>
        <v>150000</v>
      </c>
      <c r="S393" s="44"/>
      <c r="T393" s="9" t="n">
        <v>158800</v>
      </c>
      <c r="U393" s="9" t="n">
        <f aca="false">T393</f>
        <v>158800</v>
      </c>
      <c r="V393" s="9" t="n">
        <v>159800</v>
      </c>
      <c r="W393" s="9" t="n">
        <f aca="false">V393</f>
        <v>159800</v>
      </c>
      <c r="X393" s="45" t="n">
        <f aca="false">V393/H393</f>
        <v>63.5135135135135</v>
      </c>
      <c r="Y393" s="46" t="n">
        <f aca="false">SUM(V393-T393)/T393</f>
        <v>0.00629722921914358</v>
      </c>
      <c r="Z393" s="9" t="s">
        <v>127</v>
      </c>
      <c r="AA393" s="42"/>
      <c r="AB393" s="112"/>
      <c r="AC393" s="5" t="s">
        <v>43</v>
      </c>
      <c r="AG393" s="59"/>
    </row>
    <row r="394" customFormat="false" ht="13.5" hidden="false" customHeight="false" outlineLevel="0" collapsed="false">
      <c r="A394" s="29"/>
      <c r="B394" s="11" t="s">
        <v>106</v>
      </c>
      <c r="C394" s="11" t="s">
        <v>38</v>
      </c>
      <c r="D394" s="29" t="n">
        <v>550360</v>
      </c>
      <c r="E394" s="4" t="s">
        <v>476</v>
      </c>
      <c r="F394" s="4" t="s">
        <v>478</v>
      </c>
      <c r="G394" s="5" t="s">
        <v>40</v>
      </c>
      <c r="H394" s="6" t="n">
        <v>4902</v>
      </c>
      <c r="I394" s="9" t="n">
        <f aca="false">H394</f>
        <v>4902</v>
      </c>
      <c r="J394" s="9" t="n">
        <v>5000</v>
      </c>
      <c r="K394" s="4" t="s">
        <v>332</v>
      </c>
      <c r="L394" s="7" t="n">
        <v>45259</v>
      </c>
      <c r="M394" s="8" t="n">
        <v>47026</v>
      </c>
      <c r="Q394" s="9" t="n">
        <v>307687</v>
      </c>
      <c r="R394" s="9" t="n">
        <f aca="false">Q394</f>
        <v>307687</v>
      </c>
      <c r="S394" s="44"/>
      <c r="T394" s="9" t="n">
        <v>314300</v>
      </c>
      <c r="U394" s="9" t="n">
        <f aca="false">T394</f>
        <v>314300</v>
      </c>
      <c r="V394" s="9" t="n">
        <v>311300</v>
      </c>
      <c r="W394" s="9" t="n">
        <f aca="false">V394</f>
        <v>311300</v>
      </c>
      <c r="X394" s="45" t="n">
        <f aca="false">V394/H394</f>
        <v>63.5046919624643</v>
      </c>
      <c r="Y394" s="46" t="n">
        <f aca="false">SUM(V394-T394)/T394</f>
        <v>-0.00954502068087814</v>
      </c>
      <c r="Z394" s="9" t="s">
        <v>127</v>
      </c>
      <c r="AA394" s="42"/>
      <c r="AB394" s="112"/>
      <c r="AC394" s="5" t="s">
        <v>43</v>
      </c>
      <c r="AG394" s="59"/>
    </row>
    <row r="395" customFormat="false" ht="24.75" hidden="false" customHeight="true" outlineLevel="0" collapsed="false">
      <c r="A395" s="29"/>
      <c r="B395" s="11" t="s">
        <v>106</v>
      </c>
      <c r="C395" s="11" t="s">
        <v>38</v>
      </c>
      <c r="D395" s="29" t="n">
        <v>550360</v>
      </c>
      <c r="E395" s="4" t="s">
        <v>476</v>
      </c>
      <c r="F395" s="4" t="s">
        <v>180</v>
      </c>
      <c r="G395" s="5" t="s">
        <v>40</v>
      </c>
      <c r="H395" s="6" t="n">
        <v>2251</v>
      </c>
      <c r="I395" s="9" t="n">
        <f aca="false">H395</f>
        <v>2251</v>
      </c>
      <c r="J395" s="9" t="n">
        <v>2250</v>
      </c>
      <c r="K395" s="4" t="s">
        <v>332</v>
      </c>
      <c r="L395" s="7" t="n">
        <v>45259</v>
      </c>
      <c r="M395" s="8" t="n">
        <v>47026</v>
      </c>
      <c r="Q395" s="9" t="n">
        <v>138500</v>
      </c>
      <c r="R395" s="9" t="n">
        <f aca="false">Q395</f>
        <v>138500</v>
      </c>
      <c r="S395" s="44"/>
      <c r="T395" s="9" t="n">
        <v>138500</v>
      </c>
      <c r="U395" s="9" t="n">
        <f aca="false">T395</f>
        <v>138500</v>
      </c>
      <c r="V395" s="9" t="n">
        <v>140700</v>
      </c>
      <c r="W395" s="9" t="n">
        <f aca="false">V395</f>
        <v>140700</v>
      </c>
      <c r="X395" s="45" t="n">
        <f aca="false">V395/H395</f>
        <v>62.5055530875167</v>
      </c>
      <c r="Y395" s="46" t="n">
        <f aca="false">SUM(V395-T395)/T395</f>
        <v>0.015884476534296</v>
      </c>
      <c r="Z395" s="9" t="s">
        <v>127</v>
      </c>
      <c r="AA395" s="42"/>
      <c r="AB395" s="112"/>
      <c r="AC395" s="5" t="s">
        <v>43</v>
      </c>
      <c r="AG395" s="59"/>
    </row>
    <row r="396" customFormat="false" ht="14.25" hidden="false" customHeight="true" outlineLevel="0" collapsed="false">
      <c r="A396" s="29"/>
      <c r="B396" s="11"/>
      <c r="C396" s="11" t="s">
        <v>38</v>
      </c>
      <c r="D396" s="29"/>
      <c r="E396" s="4"/>
      <c r="F396" s="47" t="s">
        <v>479</v>
      </c>
      <c r="H396" s="48"/>
      <c r="I396" s="43"/>
      <c r="J396" s="43"/>
      <c r="K396" s="49"/>
      <c r="L396" s="50"/>
      <c r="M396" s="51"/>
      <c r="N396" s="51"/>
      <c r="O396" s="51"/>
      <c r="P396" s="51"/>
      <c r="Q396" s="48"/>
      <c r="R396" s="48"/>
      <c r="S396" s="48"/>
      <c r="T396" s="48"/>
      <c r="U396" s="48"/>
      <c r="V396" s="48"/>
      <c r="W396" s="48"/>
      <c r="X396" s="48"/>
      <c r="Y396" s="52"/>
      <c r="Z396" s="48"/>
      <c r="AA396" s="53"/>
      <c r="AB396" s="112"/>
      <c r="AC396" s="5"/>
      <c r="AG396" s="59"/>
    </row>
    <row r="397" customFormat="false" ht="14.25" hidden="false" customHeight="true" outlineLevel="0" collapsed="false">
      <c r="A397" s="29"/>
      <c r="B397" s="11"/>
      <c r="C397" s="11" t="s">
        <v>38</v>
      </c>
      <c r="D397" s="29"/>
      <c r="E397" s="4"/>
      <c r="F397" s="47"/>
      <c r="H397" s="112" t="n">
        <f aca="false">SUM(H391:H395)</f>
        <v>17804</v>
      </c>
      <c r="I397" s="43"/>
      <c r="J397" s="43"/>
      <c r="K397" s="49"/>
      <c r="L397" s="50"/>
      <c r="M397" s="51"/>
      <c r="N397" s="51"/>
      <c r="O397" s="51"/>
      <c r="P397" s="51"/>
      <c r="Q397" s="112" t="n">
        <f aca="false">SUM(Q391:Q395)</f>
        <v>1030975</v>
      </c>
      <c r="R397" s="112"/>
      <c r="S397" s="44" t="n">
        <f aca="false">SUM(R391:R396)</f>
        <v>1030975</v>
      </c>
      <c r="T397" s="112" t="n">
        <f aca="false">SUM(T391:T395)</f>
        <v>1022600</v>
      </c>
      <c r="U397" s="112"/>
      <c r="V397" s="112" t="n">
        <f aca="false">SUM(V391:V395)</f>
        <v>1046488</v>
      </c>
      <c r="W397" s="112"/>
      <c r="X397" s="112"/>
      <c r="Y397" s="113"/>
      <c r="Z397" s="112"/>
      <c r="AA397" s="114"/>
      <c r="AB397" s="112" t="n">
        <v>14250000</v>
      </c>
      <c r="AC397" s="5"/>
      <c r="AF397" s="60"/>
      <c r="AG397" s="62"/>
      <c r="AH397" s="60"/>
    </row>
    <row r="398" customFormat="false" ht="14.25" hidden="false" customHeight="true" outlineLevel="0" collapsed="false">
      <c r="A398" s="29"/>
      <c r="B398" s="11"/>
      <c r="C398" s="11" t="s">
        <v>38</v>
      </c>
      <c r="D398" s="29"/>
      <c r="E398" s="4"/>
      <c r="F398" s="47"/>
      <c r="H398" s="48"/>
      <c r="I398" s="43"/>
      <c r="J398" s="43"/>
      <c r="K398" s="49"/>
      <c r="L398" s="50"/>
      <c r="M398" s="51"/>
      <c r="N398" s="51"/>
      <c r="O398" s="51"/>
      <c r="P398" s="51"/>
      <c r="Q398" s="48"/>
      <c r="R398" s="48"/>
      <c r="S398" s="48"/>
      <c r="T398" s="48"/>
      <c r="U398" s="48"/>
      <c r="V398" s="48"/>
      <c r="W398" s="48"/>
      <c r="X398" s="48"/>
      <c r="Y398" s="52"/>
      <c r="Z398" s="48"/>
      <c r="AA398" s="53"/>
      <c r="AB398" s="112"/>
      <c r="AC398" s="5"/>
      <c r="AG398" s="59"/>
    </row>
    <row r="399" customFormat="false" ht="14.25" hidden="false" customHeight="true" outlineLevel="0" collapsed="false">
      <c r="A399" s="29"/>
      <c r="B399" s="11"/>
      <c r="C399" s="11" t="s">
        <v>38</v>
      </c>
      <c r="D399" s="29"/>
      <c r="E399" s="4"/>
      <c r="G399" s="39" t="s">
        <v>480</v>
      </c>
      <c r="I399" s="9"/>
      <c r="J399" s="9"/>
      <c r="K399" s="40"/>
      <c r="T399" s="11"/>
      <c r="U399" s="9"/>
      <c r="V399" s="11"/>
      <c r="W399" s="9"/>
      <c r="X399" s="9"/>
      <c r="Y399" s="41"/>
      <c r="Z399" s="9"/>
      <c r="AA399" s="42"/>
      <c r="AB399" s="112"/>
      <c r="AC399" s="5"/>
      <c r="AG399" s="59"/>
    </row>
    <row r="400" customFormat="false" ht="14.25" hidden="false" customHeight="true" outlineLevel="0" collapsed="false">
      <c r="A400" s="29"/>
      <c r="B400" s="11"/>
      <c r="C400" s="11" t="s">
        <v>38</v>
      </c>
      <c r="D400" s="29"/>
      <c r="E400" s="4"/>
      <c r="I400" s="9"/>
      <c r="J400" s="9"/>
      <c r="T400" s="9"/>
      <c r="U400" s="9"/>
      <c r="V400" s="9"/>
      <c r="W400" s="9"/>
      <c r="X400" s="9"/>
      <c r="Y400" s="41"/>
      <c r="Z400" s="9"/>
      <c r="AA400" s="42"/>
      <c r="AB400" s="112"/>
      <c r="AC400" s="5"/>
      <c r="AG400" s="59"/>
    </row>
    <row r="401" customFormat="false" ht="13.5" hidden="false" customHeight="false" outlineLevel="0" collapsed="false">
      <c r="A401" s="29"/>
      <c r="B401" s="11" t="s">
        <v>106</v>
      </c>
      <c r="C401" s="11" t="s">
        <v>38</v>
      </c>
      <c r="D401" s="29" t="n">
        <v>550370</v>
      </c>
      <c r="E401" s="4" t="s">
        <v>480</v>
      </c>
      <c r="F401" s="4" t="s">
        <v>481</v>
      </c>
      <c r="G401" s="5" t="s">
        <v>40</v>
      </c>
      <c r="H401" s="6" t="n">
        <v>2161</v>
      </c>
      <c r="I401" s="6" t="n">
        <f aca="false">H401</f>
        <v>2161</v>
      </c>
      <c r="J401" s="6" t="n">
        <v>2000</v>
      </c>
      <c r="K401" s="4" t="s">
        <v>67</v>
      </c>
      <c r="N401" s="8" t="n">
        <v>44063</v>
      </c>
      <c r="Q401" s="9" t="n">
        <v>0</v>
      </c>
      <c r="R401" s="9" t="n">
        <f aca="false">Q401</f>
        <v>0</v>
      </c>
      <c r="T401" s="9" t="n">
        <v>53800</v>
      </c>
      <c r="U401" s="9" t="n">
        <f aca="false">T401</f>
        <v>53800</v>
      </c>
      <c r="V401" s="9" t="n">
        <v>54000</v>
      </c>
      <c r="W401" s="9" t="n">
        <f aca="false">V401</f>
        <v>54000</v>
      </c>
      <c r="X401" s="45" t="n">
        <f aca="false">V401/H401</f>
        <v>24.988431281814</v>
      </c>
      <c r="Y401" s="46" t="n">
        <f aca="false">SUM(V401-T401)/T401</f>
        <v>0.00371747211895911</v>
      </c>
      <c r="Z401" s="9" t="s">
        <v>127</v>
      </c>
      <c r="AA401" s="42"/>
      <c r="AB401" s="112"/>
      <c r="AC401" s="5" t="s">
        <v>43</v>
      </c>
      <c r="AD401" s="4" t="s">
        <v>482</v>
      </c>
      <c r="AF401" s="4" t="n">
        <v>3</v>
      </c>
      <c r="AG401" s="59" t="n">
        <v>9</v>
      </c>
      <c r="AH401" s="4" t="s">
        <v>57</v>
      </c>
    </row>
    <row r="402" customFormat="false" ht="13.5" hidden="false" customHeight="false" outlineLevel="0" collapsed="false">
      <c r="A402" s="29"/>
      <c r="B402" s="11" t="s">
        <v>106</v>
      </c>
      <c r="C402" s="11" t="s">
        <v>38</v>
      </c>
      <c r="D402" s="29" t="n">
        <v>550370</v>
      </c>
      <c r="E402" s="4" t="s">
        <v>480</v>
      </c>
      <c r="F402" s="4" t="s">
        <v>129</v>
      </c>
      <c r="G402" s="5" t="s">
        <v>40</v>
      </c>
      <c r="H402" s="6" t="n">
        <v>2185</v>
      </c>
      <c r="I402" s="6" t="n">
        <f aca="false">H402</f>
        <v>2185</v>
      </c>
      <c r="J402" s="6" t="n">
        <v>2000</v>
      </c>
      <c r="K402" s="4" t="s">
        <v>326</v>
      </c>
      <c r="L402" s="7" t="n">
        <v>45240</v>
      </c>
      <c r="M402" s="8" t="n">
        <v>48892</v>
      </c>
      <c r="O402" s="8" t="n">
        <v>47067</v>
      </c>
      <c r="P402" s="8" t="n">
        <v>47066</v>
      </c>
      <c r="Q402" s="9" t="n">
        <v>132000</v>
      </c>
      <c r="R402" s="9" t="n">
        <f aca="false">Q402</f>
        <v>132000</v>
      </c>
      <c r="T402" s="9" t="n">
        <v>130000</v>
      </c>
      <c r="U402" s="9" t="n">
        <f aca="false">T402</f>
        <v>130000</v>
      </c>
      <c r="V402" s="9" t="n">
        <v>132000</v>
      </c>
      <c r="W402" s="9" t="n">
        <f aca="false">V402</f>
        <v>132000</v>
      </c>
      <c r="X402" s="45" t="n">
        <f aca="false">V402/H402</f>
        <v>60.4118993135011</v>
      </c>
      <c r="Y402" s="46" t="n">
        <f aca="false">SUM(V402-T402)/T402</f>
        <v>0.0153846153846154</v>
      </c>
      <c r="Z402" s="9" t="s">
        <v>42</v>
      </c>
      <c r="AA402" s="42"/>
      <c r="AB402" s="112"/>
      <c r="AC402" s="5" t="s">
        <v>43</v>
      </c>
      <c r="AD402" s="4" t="s">
        <v>483</v>
      </c>
      <c r="AG402" s="59"/>
    </row>
    <row r="403" customFormat="false" ht="14.25" hidden="false" customHeight="true" outlineLevel="0" collapsed="false">
      <c r="A403" s="29"/>
      <c r="B403" s="11" t="s">
        <v>106</v>
      </c>
      <c r="C403" s="11" t="s">
        <v>38</v>
      </c>
      <c r="D403" s="29" t="n">
        <v>550370</v>
      </c>
      <c r="E403" s="4" t="s">
        <v>480</v>
      </c>
      <c r="F403" s="4" t="s">
        <v>89</v>
      </c>
      <c r="G403" s="5" t="s">
        <v>40</v>
      </c>
      <c r="H403" s="6" t="n">
        <v>1606</v>
      </c>
      <c r="I403" s="6" t="n">
        <f aca="false">H403</f>
        <v>1606</v>
      </c>
      <c r="J403" s="6" t="n">
        <v>1500</v>
      </c>
      <c r="K403" s="4" t="s">
        <v>67</v>
      </c>
      <c r="N403" s="8" t="n">
        <v>44403</v>
      </c>
      <c r="Q403" s="9" t="n">
        <v>0</v>
      </c>
      <c r="R403" s="9" t="n">
        <f aca="false">Q403</f>
        <v>0</v>
      </c>
      <c r="T403" s="9" t="n">
        <v>85800</v>
      </c>
      <c r="U403" s="9" t="n">
        <f aca="false">T403</f>
        <v>85800</v>
      </c>
      <c r="V403" s="9" t="n">
        <v>100400</v>
      </c>
      <c r="W403" s="9" t="n">
        <f aca="false">V403</f>
        <v>100400</v>
      </c>
      <c r="X403" s="45" t="n">
        <f aca="false">V403/H403</f>
        <v>62.5155666251557</v>
      </c>
      <c r="Y403" s="46" t="n">
        <f aca="false">SUM(V403-T403)/T403</f>
        <v>0.17016317016317</v>
      </c>
      <c r="Z403" s="9" t="s">
        <v>60</v>
      </c>
      <c r="AA403" s="42"/>
      <c r="AB403" s="112"/>
      <c r="AC403" s="5" t="s">
        <v>43</v>
      </c>
      <c r="AD403" s="4" t="s">
        <v>119</v>
      </c>
      <c r="AE403" s="15" t="n">
        <v>65</v>
      </c>
      <c r="AF403" s="4" t="n">
        <v>5</v>
      </c>
      <c r="AG403" s="59" t="n">
        <v>6</v>
      </c>
      <c r="AH403" s="4" t="s">
        <v>57</v>
      </c>
    </row>
    <row r="404" customFormat="false" ht="13.5" hidden="false" customHeight="false" outlineLevel="0" collapsed="false">
      <c r="A404" s="29"/>
      <c r="B404" s="11" t="s">
        <v>106</v>
      </c>
      <c r="C404" s="11" t="s">
        <v>38</v>
      </c>
      <c r="D404" s="29" t="n">
        <v>550370</v>
      </c>
      <c r="E404" s="4" t="s">
        <v>480</v>
      </c>
      <c r="F404" s="4" t="s">
        <v>93</v>
      </c>
      <c r="G404" s="5" t="s">
        <v>40</v>
      </c>
      <c r="H404" s="6" t="n">
        <v>1296</v>
      </c>
      <c r="I404" s="6" t="n">
        <f aca="false">H404</f>
        <v>1296</v>
      </c>
      <c r="J404" s="6" t="n">
        <v>1250</v>
      </c>
      <c r="K404" s="4" t="s">
        <v>484</v>
      </c>
      <c r="L404" s="7" t="n">
        <v>44798</v>
      </c>
      <c r="M404" s="8" t="n">
        <v>46623</v>
      </c>
      <c r="Q404" s="9" t="n">
        <v>73700</v>
      </c>
      <c r="R404" s="9" t="n">
        <f aca="false">Q404</f>
        <v>73700</v>
      </c>
      <c r="T404" s="9" t="n">
        <v>73500</v>
      </c>
      <c r="U404" s="9" t="n">
        <f aca="false">T404</f>
        <v>73500</v>
      </c>
      <c r="V404" s="9" t="n">
        <v>81000</v>
      </c>
      <c r="W404" s="9" t="n">
        <f aca="false">V404</f>
        <v>81000</v>
      </c>
      <c r="X404" s="45" t="n">
        <f aca="false">V404/H404</f>
        <v>62.5</v>
      </c>
      <c r="Y404" s="46" t="n">
        <f aca="false">SUM(V404-T404)/T404</f>
        <v>0.102040816326531</v>
      </c>
      <c r="Z404" s="9" t="s">
        <v>60</v>
      </c>
      <c r="AA404" s="42"/>
      <c r="AB404" s="112"/>
      <c r="AC404" s="5" t="s">
        <v>43</v>
      </c>
      <c r="AG404" s="59"/>
    </row>
    <row r="405" customFormat="false" ht="14.25" hidden="false" customHeight="true" outlineLevel="0" collapsed="false">
      <c r="A405" s="29"/>
      <c r="B405" s="11" t="s">
        <v>106</v>
      </c>
      <c r="C405" s="11" t="s">
        <v>38</v>
      </c>
      <c r="D405" s="29" t="n">
        <v>550370</v>
      </c>
      <c r="E405" s="4" t="s">
        <v>480</v>
      </c>
      <c r="F405" s="4" t="s">
        <v>94</v>
      </c>
      <c r="G405" s="5" t="s">
        <v>40</v>
      </c>
      <c r="H405" s="6" t="n">
        <v>1129</v>
      </c>
      <c r="I405" s="6" t="n">
        <f aca="false">H405</f>
        <v>1129</v>
      </c>
      <c r="J405" s="6" t="n">
        <v>1000</v>
      </c>
      <c r="K405" s="4" t="s">
        <v>67</v>
      </c>
      <c r="N405" s="8" t="n">
        <v>44097</v>
      </c>
      <c r="Q405" s="9" t="n">
        <v>0</v>
      </c>
      <c r="R405" s="9" t="n">
        <f aca="false">Q405</f>
        <v>0</v>
      </c>
      <c r="T405" s="9" t="n">
        <v>65600</v>
      </c>
      <c r="U405" s="9" t="n">
        <f aca="false">T405</f>
        <v>65600</v>
      </c>
      <c r="V405" s="9" t="n">
        <v>70600</v>
      </c>
      <c r="W405" s="9" t="n">
        <f aca="false">V405</f>
        <v>70600</v>
      </c>
      <c r="X405" s="45" t="n">
        <f aca="false">V405/H405</f>
        <v>62.533215234721</v>
      </c>
      <c r="Y405" s="46" t="n">
        <f aca="false">SUM(V405-T405)/T405</f>
        <v>0.076219512195122</v>
      </c>
      <c r="Z405" s="9" t="s">
        <v>60</v>
      </c>
      <c r="AA405" s="42"/>
      <c r="AB405" s="112"/>
      <c r="AC405" s="5" t="s">
        <v>43</v>
      </c>
      <c r="AD405" s="4" t="s">
        <v>119</v>
      </c>
      <c r="AE405" s="15" t="n">
        <v>65</v>
      </c>
      <c r="AF405" s="4" t="n">
        <v>8</v>
      </c>
      <c r="AG405" s="59" t="n">
        <v>10</v>
      </c>
    </row>
    <row r="406" customFormat="false" ht="13.5" hidden="false" customHeight="false" outlineLevel="0" collapsed="false">
      <c r="A406" s="29"/>
      <c r="B406" s="11" t="s">
        <v>106</v>
      </c>
      <c r="C406" s="11" t="s">
        <v>38</v>
      </c>
      <c r="D406" s="29" t="n">
        <v>550370</v>
      </c>
      <c r="E406" s="4" t="s">
        <v>480</v>
      </c>
      <c r="F406" s="4" t="s">
        <v>118</v>
      </c>
      <c r="G406" s="5" t="s">
        <v>40</v>
      </c>
      <c r="H406" s="6" t="n">
        <v>856</v>
      </c>
      <c r="I406" s="6" t="n">
        <f aca="false">H406</f>
        <v>856</v>
      </c>
      <c r="J406" s="6" t="n">
        <v>1000</v>
      </c>
      <c r="K406" s="4" t="s">
        <v>67</v>
      </c>
      <c r="N406" s="8" t="n">
        <v>44814</v>
      </c>
      <c r="Q406" s="9" t="n">
        <v>0</v>
      </c>
      <c r="R406" s="9" t="n">
        <f aca="false">Q406</f>
        <v>0</v>
      </c>
      <c r="T406" s="9" t="n">
        <v>45000</v>
      </c>
      <c r="U406" s="9" t="n">
        <f aca="false">T406</f>
        <v>45000</v>
      </c>
      <c r="V406" s="9" t="n">
        <v>53500</v>
      </c>
      <c r="W406" s="9" t="n">
        <f aca="false">V406</f>
        <v>53500</v>
      </c>
      <c r="X406" s="45" t="n">
        <f aca="false">V406/H406</f>
        <v>62.5</v>
      </c>
      <c r="Y406" s="46" t="n">
        <f aca="false">SUM(V406-T406)/T406</f>
        <v>0.188888888888889</v>
      </c>
      <c r="Z406" s="9" t="s">
        <v>127</v>
      </c>
      <c r="AA406" s="42"/>
      <c r="AB406" s="112"/>
      <c r="AC406" s="5" t="s">
        <v>43</v>
      </c>
      <c r="AD406" s="4" t="s">
        <v>119</v>
      </c>
      <c r="AE406" s="15" t="n">
        <v>65</v>
      </c>
      <c r="AF406" s="4" t="n">
        <v>4</v>
      </c>
      <c r="AG406" s="59" t="n">
        <v>4</v>
      </c>
    </row>
    <row r="407" customFormat="false" ht="13.5" hidden="false" customHeight="false" outlineLevel="0" collapsed="false">
      <c r="A407" s="29"/>
      <c r="B407" s="11" t="s">
        <v>106</v>
      </c>
      <c r="C407" s="11" t="s">
        <v>38</v>
      </c>
      <c r="D407" s="29" t="n">
        <v>550370</v>
      </c>
      <c r="E407" s="4" t="s">
        <v>480</v>
      </c>
      <c r="F407" s="4" t="s">
        <v>180</v>
      </c>
      <c r="G407" s="5" t="s">
        <v>40</v>
      </c>
      <c r="H407" s="6" t="n">
        <v>766</v>
      </c>
      <c r="I407" s="6" t="n">
        <f aca="false">H407</f>
        <v>766</v>
      </c>
      <c r="J407" s="6" t="n">
        <v>750</v>
      </c>
      <c r="K407" s="4" t="s">
        <v>67</v>
      </c>
      <c r="N407" s="8" t="n">
        <v>44063</v>
      </c>
      <c r="Q407" s="9" t="n">
        <v>0</v>
      </c>
      <c r="R407" s="9" t="n">
        <f aca="false">Q407</f>
        <v>0</v>
      </c>
      <c r="T407" s="9" t="n">
        <v>39300</v>
      </c>
      <c r="U407" s="9" t="n">
        <f aca="false">T407</f>
        <v>39300</v>
      </c>
      <c r="V407" s="9" t="n">
        <v>43100</v>
      </c>
      <c r="W407" s="9" t="n">
        <f aca="false">V407</f>
        <v>43100</v>
      </c>
      <c r="X407" s="45" t="n">
        <f aca="false">V407/H407</f>
        <v>56.266318537859</v>
      </c>
      <c r="Y407" s="46" t="n">
        <f aca="false">SUM(V407-T407)/T407</f>
        <v>0.0966921119592875</v>
      </c>
      <c r="Z407" s="9" t="s">
        <v>127</v>
      </c>
      <c r="AA407" s="42"/>
      <c r="AB407" s="112"/>
      <c r="AC407" s="5" t="s">
        <v>43</v>
      </c>
      <c r="AD407" s="4" t="s">
        <v>119</v>
      </c>
      <c r="AE407" s="15" t="n">
        <v>65</v>
      </c>
      <c r="AF407" s="4" t="n">
        <v>3</v>
      </c>
      <c r="AG407" s="59" t="n">
        <v>5</v>
      </c>
    </row>
    <row r="408" customFormat="false" ht="14.25" hidden="false" customHeight="true" outlineLevel="0" collapsed="false">
      <c r="A408" s="29"/>
      <c r="B408" s="11"/>
      <c r="C408" s="11" t="s">
        <v>38</v>
      </c>
      <c r="D408" s="29"/>
      <c r="E408" s="4"/>
      <c r="I408" s="9"/>
      <c r="J408" s="9"/>
      <c r="T408" s="9"/>
      <c r="U408" s="9"/>
      <c r="V408" s="9"/>
      <c r="W408" s="9"/>
      <c r="X408" s="9"/>
      <c r="Y408" s="41"/>
      <c r="Z408" s="9"/>
      <c r="AA408" s="42"/>
      <c r="AB408" s="112"/>
      <c r="AC408" s="5"/>
      <c r="AG408" s="59"/>
    </row>
    <row r="409" customFormat="false" ht="14.25" hidden="false" customHeight="true" outlineLevel="0" collapsed="false">
      <c r="A409" s="29"/>
      <c r="B409" s="11"/>
      <c r="C409" s="11" t="s">
        <v>38</v>
      </c>
      <c r="D409" s="29"/>
      <c r="E409" s="4"/>
      <c r="F409" s="47" t="s">
        <v>485</v>
      </c>
      <c r="H409" s="43" t="n">
        <f aca="false">SUM(H401:H407)</f>
        <v>9999</v>
      </c>
      <c r="I409" s="44"/>
      <c r="J409" s="44"/>
      <c r="Q409" s="44" t="n">
        <f aca="false">SUM(Q401:Q408)</f>
        <v>205700</v>
      </c>
      <c r="R409" s="44"/>
      <c r="S409" s="44" t="n">
        <f aca="false">SUM(R399:R408)</f>
        <v>205700</v>
      </c>
      <c r="T409" s="44" t="n">
        <f aca="false">SUM(T401:T407)</f>
        <v>493000</v>
      </c>
      <c r="U409" s="44"/>
      <c r="V409" s="44" t="n">
        <f aca="false">SUM(V401:V407)</f>
        <v>534600</v>
      </c>
      <c r="W409" s="44"/>
      <c r="X409" s="44"/>
      <c r="Y409" s="64"/>
      <c r="Z409" s="44"/>
      <c r="AA409" s="67"/>
      <c r="AB409" s="112" t="n">
        <v>6525000</v>
      </c>
      <c r="AC409" s="5"/>
      <c r="AF409" s="60"/>
      <c r="AG409" s="62"/>
      <c r="AH409" s="60"/>
    </row>
    <row r="410" customFormat="false" ht="14.25" hidden="false" customHeight="true" outlineLevel="0" collapsed="false">
      <c r="A410" s="29"/>
      <c r="B410" s="11"/>
      <c r="C410" s="11" t="s">
        <v>38</v>
      </c>
      <c r="D410" s="29"/>
      <c r="E410" s="4"/>
      <c r="H410" s="43"/>
      <c r="I410" s="44"/>
      <c r="J410" s="44"/>
      <c r="Q410" s="44"/>
      <c r="R410" s="44"/>
      <c r="S410" s="44"/>
      <c r="T410" s="44"/>
      <c r="U410" s="44"/>
      <c r="V410" s="44"/>
      <c r="W410" s="44"/>
      <c r="X410" s="44"/>
      <c r="Y410" s="64"/>
      <c r="Z410" s="44"/>
      <c r="AA410" s="67"/>
      <c r="AB410" s="66"/>
      <c r="AC410" s="5"/>
      <c r="AG410" s="59"/>
    </row>
    <row r="411" customFormat="false" ht="14.25" hidden="false" customHeight="true" outlineLevel="0" collapsed="false">
      <c r="A411" s="29"/>
      <c r="B411" s="11"/>
      <c r="C411" s="11" t="s">
        <v>38</v>
      </c>
      <c r="D411" s="29"/>
      <c r="E411" s="4"/>
      <c r="G411" s="39" t="s">
        <v>486</v>
      </c>
      <c r="I411" s="9"/>
      <c r="J411" s="9"/>
      <c r="K411" s="40"/>
      <c r="T411" s="11"/>
      <c r="U411" s="9"/>
      <c r="V411" s="11"/>
      <c r="W411" s="9"/>
      <c r="X411" s="9"/>
      <c r="Y411" s="41"/>
      <c r="Z411" s="9"/>
      <c r="AA411" s="42"/>
      <c r="AB411" s="14"/>
      <c r="AC411" s="5"/>
      <c r="AG411" s="59"/>
    </row>
    <row r="412" customFormat="false" ht="14.25" hidden="false" customHeight="true" outlineLevel="0" collapsed="false">
      <c r="A412" s="29"/>
      <c r="B412" s="11"/>
      <c r="C412" s="11" t="s">
        <v>38</v>
      </c>
      <c r="D412" s="29"/>
      <c r="E412" s="4"/>
      <c r="G412" s="39"/>
      <c r="H412" s="76"/>
      <c r="I412" s="9"/>
      <c r="J412" s="9"/>
      <c r="T412" s="9"/>
      <c r="U412" s="9"/>
      <c r="V412" s="9"/>
      <c r="W412" s="9"/>
      <c r="X412" s="9"/>
      <c r="Y412" s="41"/>
      <c r="Z412" s="9"/>
      <c r="AA412" s="42"/>
      <c r="AB412" s="14"/>
      <c r="AC412" s="5"/>
      <c r="AG412" s="59"/>
    </row>
    <row r="413" customFormat="false" ht="13.5" hidden="false" customHeight="false" outlineLevel="0" collapsed="false">
      <c r="A413" s="29"/>
      <c r="B413" s="11" t="s">
        <v>106</v>
      </c>
      <c r="C413" s="11" t="s">
        <v>38</v>
      </c>
      <c r="D413" s="29" t="n">
        <v>550380</v>
      </c>
      <c r="E413" s="4" t="s">
        <v>486</v>
      </c>
      <c r="F413" s="4" t="s">
        <v>181</v>
      </c>
      <c r="G413" s="5" t="s">
        <v>359</v>
      </c>
      <c r="H413" s="6" t="n">
        <v>2481</v>
      </c>
      <c r="I413" s="6" t="n">
        <f aca="false">H413</f>
        <v>2481</v>
      </c>
      <c r="J413" s="6" t="n">
        <v>2500</v>
      </c>
      <c r="K413" s="115" t="s">
        <v>487</v>
      </c>
      <c r="L413" s="7" t="n">
        <v>44758</v>
      </c>
      <c r="M413" s="8" t="n">
        <v>46583</v>
      </c>
      <c r="Q413" s="9" t="n">
        <v>69440</v>
      </c>
      <c r="R413" s="9" t="n">
        <f aca="false">Q413</f>
        <v>69440</v>
      </c>
      <c r="T413" s="9" t="n">
        <v>69500</v>
      </c>
      <c r="U413" s="9" t="n">
        <f aca="false">T413</f>
        <v>69500</v>
      </c>
      <c r="V413" s="9" t="n">
        <v>69500</v>
      </c>
      <c r="W413" s="9" t="n">
        <f aca="false">V413</f>
        <v>69500</v>
      </c>
      <c r="X413" s="45" t="n">
        <f aca="false">V413/H413</f>
        <v>28.0128980249899</v>
      </c>
      <c r="Y413" s="46" t="n">
        <f aca="false">SUM(V413-T413)/T413</f>
        <v>0</v>
      </c>
      <c r="Z413" s="9" t="s">
        <v>127</v>
      </c>
      <c r="AA413" s="42"/>
      <c r="AB413" s="14"/>
      <c r="AC413" s="5" t="s">
        <v>43</v>
      </c>
      <c r="AG413" s="59"/>
    </row>
    <row r="414" customFormat="false" ht="13.5" hidden="false" customHeight="false" outlineLevel="0" collapsed="false">
      <c r="A414" s="29"/>
      <c r="B414" s="11" t="s">
        <v>106</v>
      </c>
      <c r="C414" s="11" t="s">
        <v>38</v>
      </c>
      <c r="D414" s="29" t="n">
        <v>550380</v>
      </c>
      <c r="E414" s="4" t="s">
        <v>486</v>
      </c>
      <c r="F414" s="4" t="s">
        <v>488</v>
      </c>
      <c r="G414" s="5" t="s">
        <v>237</v>
      </c>
      <c r="H414" s="6" t="n">
        <v>1616</v>
      </c>
      <c r="I414" s="6" t="n">
        <f aca="false">H414</f>
        <v>1616</v>
      </c>
      <c r="J414" s="6" t="n">
        <v>1500</v>
      </c>
      <c r="K414" s="4" t="s">
        <v>326</v>
      </c>
      <c r="L414" s="7" t="n">
        <v>45240</v>
      </c>
      <c r="M414" s="8" t="n">
        <v>48892</v>
      </c>
      <c r="O414" s="8" t="n">
        <v>47067</v>
      </c>
      <c r="P414" s="8" t="n">
        <v>47066</v>
      </c>
      <c r="Q414" s="9" t="n">
        <v>85500</v>
      </c>
      <c r="R414" s="9" t="n">
        <f aca="false">Q414</f>
        <v>85500</v>
      </c>
      <c r="T414" s="9" t="n">
        <v>84800</v>
      </c>
      <c r="U414" s="9" t="n">
        <f aca="false">T414</f>
        <v>84800</v>
      </c>
      <c r="V414" s="9" t="n">
        <v>85000</v>
      </c>
      <c r="W414" s="9" t="n">
        <f aca="false">V414</f>
        <v>85000</v>
      </c>
      <c r="X414" s="45" t="n">
        <f aca="false">V414/H414</f>
        <v>52.5990099009901</v>
      </c>
      <c r="Y414" s="46" t="n">
        <f aca="false">SUM(V414-T414)/T414</f>
        <v>0.00235849056603774</v>
      </c>
      <c r="Z414" s="9" t="s">
        <v>60</v>
      </c>
      <c r="AA414" s="42"/>
      <c r="AB414" s="14"/>
      <c r="AC414" s="5" t="s">
        <v>43</v>
      </c>
      <c r="AD414" s="4" t="s">
        <v>483</v>
      </c>
      <c r="AG414" s="59"/>
    </row>
    <row r="415" customFormat="false" ht="22.5" hidden="false" customHeight="true" outlineLevel="0" collapsed="false">
      <c r="A415" s="29"/>
      <c r="B415" s="11" t="s">
        <v>106</v>
      </c>
      <c r="C415" s="11" t="s">
        <v>38</v>
      </c>
      <c r="D415" s="29" t="n">
        <v>550380</v>
      </c>
      <c r="E415" s="4" t="s">
        <v>486</v>
      </c>
      <c r="F415" s="4" t="s">
        <v>489</v>
      </c>
      <c r="G415" s="5" t="s">
        <v>359</v>
      </c>
      <c r="H415" s="6" t="n">
        <v>1485</v>
      </c>
      <c r="I415" s="6" t="n">
        <f aca="false">H415</f>
        <v>1485</v>
      </c>
      <c r="J415" s="6" t="n">
        <v>1500</v>
      </c>
      <c r="K415" s="4" t="s">
        <v>490</v>
      </c>
      <c r="L415" s="7" t="n">
        <v>45525</v>
      </c>
      <c r="M415" s="8" t="n">
        <v>47350</v>
      </c>
      <c r="P415" s="8" t="n">
        <v>46620</v>
      </c>
      <c r="Q415" s="9" t="n">
        <v>90000</v>
      </c>
      <c r="R415" s="9" t="n">
        <f aca="false">Q415</f>
        <v>90000</v>
      </c>
      <c r="T415" s="9" t="n">
        <v>78000</v>
      </c>
      <c r="U415" s="9" t="n">
        <f aca="false">T415</f>
        <v>78000</v>
      </c>
      <c r="V415" s="9" t="n">
        <v>90000</v>
      </c>
      <c r="W415" s="9" t="n">
        <f aca="false">V415</f>
        <v>90000</v>
      </c>
      <c r="X415" s="45" t="n">
        <f aca="false">V415/H415</f>
        <v>60.6060606060606</v>
      </c>
      <c r="Y415" s="46" t="n">
        <f aca="false">SUM(V415-T415)/T415</f>
        <v>0.153846153846154</v>
      </c>
      <c r="Z415" s="9" t="s">
        <v>127</v>
      </c>
      <c r="AA415" s="42"/>
      <c r="AB415" s="14"/>
      <c r="AC415" s="5" t="s">
        <v>43</v>
      </c>
      <c r="AD415" s="4" t="s">
        <v>286</v>
      </c>
      <c r="AG415" s="59"/>
    </row>
    <row r="416" customFormat="false" ht="13.5" hidden="false" customHeight="false" outlineLevel="0" collapsed="false">
      <c r="A416" s="29"/>
      <c r="B416" s="11" t="s">
        <v>106</v>
      </c>
      <c r="C416" s="11" t="s">
        <v>38</v>
      </c>
      <c r="D416" s="29" t="n">
        <v>550380</v>
      </c>
      <c r="E416" s="4" t="s">
        <v>486</v>
      </c>
      <c r="F416" s="4" t="s">
        <v>89</v>
      </c>
      <c r="G416" s="5" t="s">
        <v>40</v>
      </c>
      <c r="H416" s="6" t="n">
        <v>1855</v>
      </c>
      <c r="I416" s="6" t="n">
        <f aca="false">H416</f>
        <v>1855</v>
      </c>
      <c r="J416" s="6" t="n">
        <v>2000</v>
      </c>
      <c r="K416" s="4" t="s">
        <v>487</v>
      </c>
      <c r="L416" s="7" t="n">
        <v>44758</v>
      </c>
      <c r="M416" s="8" t="n">
        <v>46583</v>
      </c>
      <c r="Q416" s="9" t="n">
        <v>106663</v>
      </c>
      <c r="R416" s="9" t="n">
        <f aca="false">Q416</f>
        <v>106663</v>
      </c>
      <c r="T416" s="9" t="n">
        <v>106700</v>
      </c>
      <c r="U416" s="9" t="n">
        <f aca="false">T416</f>
        <v>106700</v>
      </c>
      <c r="V416" s="9" t="n">
        <v>106700</v>
      </c>
      <c r="W416" s="9" t="n">
        <f aca="false">V416</f>
        <v>106700</v>
      </c>
      <c r="X416" s="45" t="n">
        <f aca="false">V416/H416</f>
        <v>57.5202156334232</v>
      </c>
      <c r="Y416" s="46" t="n">
        <f aca="false">SUM(V416-T416)/T416</f>
        <v>0</v>
      </c>
      <c r="Z416" s="9" t="s">
        <v>127</v>
      </c>
      <c r="AA416" s="42"/>
      <c r="AB416" s="14"/>
      <c r="AC416" s="5" t="s">
        <v>43</v>
      </c>
      <c r="AG416" s="59"/>
    </row>
    <row r="417" customFormat="false" ht="24" hidden="false" customHeight="true" outlineLevel="0" collapsed="false">
      <c r="A417" s="29"/>
      <c r="B417" s="11" t="s">
        <v>106</v>
      </c>
      <c r="C417" s="11" t="s">
        <v>38</v>
      </c>
      <c r="D417" s="29" t="n">
        <v>550380</v>
      </c>
      <c r="E417" s="4" t="s">
        <v>486</v>
      </c>
      <c r="F417" s="4" t="s">
        <v>491</v>
      </c>
      <c r="G417" s="5" t="s">
        <v>40</v>
      </c>
      <c r="H417" s="6" t="n">
        <v>726</v>
      </c>
      <c r="I417" s="6" t="n">
        <f aca="false">H417</f>
        <v>726</v>
      </c>
      <c r="J417" s="6" t="n">
        <v>750</v>
      </c>
      <c r="K417" s="4" t="s">
        <v>487</v>
      </c>
      <c r="L417" s="7" t="n">
        <v>44758</v>
      </c>
      <c r="M417" s="8" t="n">
        <v>46583</v>
      </c>
      <c r="Q417" s="9" t="n">
        <v>41975</v>
      </c>
      <c r="R417" s="9" t="n">
        <f aca="false">Q417</f>
        <v>41975</v>
      </c>
      <c r="T417" s="9" t="n">
        <v>41700</v>
      </c>
      <c r="U417" s="9" t="n">
        <f aca="false">T417</f>
        <v>41700</v>
      </c>
      <c r="V417" s="9" t="n">
        <v>41700</v>
      </c>
      <c r="W417" s="9" t="n">
        <f aca="false">V417</f>
        <v>41700</v>
      </c>
      <c r="X417" s="45" t="n">
        <f aca="false">V417/H417</f>
        <v>57.4380165289256</v>
      </c>
      <c r="Y417" s="46" t="n">
        <f aca="false">SUM(V417-T417)/T417</f>
        <v>0</v>
      </c>
      <c r="Z417" s="9" t="s">
        <v>127</v>
      </c>
      <c r="AA417" s="42"/>
      <c r="AB417" s="14"/>
      <c r="AC417" s="5" t="s">
        <v>43</v>
      </c>
      <c r="AG417" s="59"/>
    </row>
    <row r="418" customFormat="false" ht="23.25" hidden="false" customHeight="true" outlineLevel="0" collapsed="false">
      <c r="A418" s="29"/>
      <c r="B418" s="11" t="s">
        <v>106</v>
      </c>
      <c r="C418" s="11" t="s">
        <v>38</v>
      </c>
      <c r="D418" s="29" t="n">
        <v>550380</v>
      </c>
      <c r="E418" s="4" t="s">
        <v>486</v>
      </c>
      <c r="F418" s="4" t="s">
        <v>492</v>
      </c>
      <c r="G418" s="11" t="s">
        <v>40</v>
      </c>
      <c r="H418" s="6" t="n">
        <v>1220</v>
      </c>
      <c r="I418" s="6" t="n">
        <f aca="false">H418</f>
        <v>1220</v>
      </c>
      <c r="J418" s="6" t="n">
        <v>1250</v>
      </c>
      <c r="K418" s="4" t="s">
        <v>493</v>
      </c>
      <c r="L418" s="7" t="n">
        <v>45438</v>
      </c>
      <c r="M418" s="8" t="n">
        <v>47263</v>
      </c>
      <c r="P418" s="8" t="n">
        <v>46532</v>
      </c>
      <c r="Q418" s="9" t="n">
        <v>70200</v>
      </c>
      <c r="R418" s="9" t="n">
        <f aca="false">Q418</f>
        <v>70200</v>
      </c>
      <c r="T418" s="9" t="n">
        <v>70200</v>
      </c>
      <c r="U418" s="9" t="n">
        <f aca="false">T418</f>
        <v>70200</v>
      </c>
      <c r="V418" s="9" t="n">
        <v>70200</v>
      </c>
      <c r="W418" s="9" t="n">
        <f aca="false">V418</f>
        <v>70200</v>
      </c>
      <c r="X418" s="45" t="n">
        <f aca="false">V418/H418</f>
        <v>57.5409836065574</v>
      </c>
      <c r="Y418" s="46" t="n">
        <f aca="false">SUM(V418-T418)/T418</f>
        <v>0</v>
      </c>
      <c r="Z418" s="9" t="s">
        <v>60</v>
      </c>
      <c r="AA418" s="42"/>
      <c r="AB418" s="14"/>
      <c r="AC418" s="5" t="s">
        <v>43</v>
      </c>
      <c r="AD418" s="4" t="s">
        <v>494</v>
      </c>
      <c r="AG418" s="59"/>
    </row>
    <row r="419" customFormat="false" ht="13.5" hidden="false" customHeight="false" outlineLevel="0" collapsed="false">
      <c r="A419" s="29"/>
      <c r="B419" s="11" t="s">
        <v>106</v>
      </c>
      <c r="C419" s="11" t="s">
        <v>38</v>
      </c>
      <c r="D419" s="29" t="n">
        <v>550380</v>
      </c>
      <c r="E419" s="4" t="s">
        <v>486</v>
      </c>
      <c r="F419" s="4" t="s">
        <v>94</v>
      </c>
      <c r="G419" s="5" t="s">
        <v>40</v>
      </c>
      <c r="H419" s="6" t="n">
        <v>1963</v>
      </c>
      <c r="I419" s="6" t="n">
        <f aca="false">H419</f>
        <v>1963</v>
      </c>
      <c r="J419" s="6" t="n">
        <v>2000</v>
      </c>
      <c r="K419" s="4" t="s">
        <v>487</v>
      </c>
      <c r="L419" s="7" t="n">
        <v>44758</v>
      </c>
      <c r="M419" s="8" t="n">
        <v>46583</v>
      </c>
      <c r="Q419" s="9" t="n">
        <v>107965</v>
      </c>
      <c r="R419" s="9" t="n">
        <f aca="false">Q419</f>
        <v>107965</v>
      </c>
      <c r="T419" s="9" t="n">
        <v>108000</v>
      </c>
      <c r="U419" s="9" t="n">
        <f aca="false">T419</f>
        <v>108000</v>
      </c>
      <c r="V419" s="9" t="n">
        <v>108000</v>
      </c>
      <c r="W419" s="9" t="n">
        <f aca="false">V419</f>
        <v>108000</v>
      </c>
      <c r="X419" s="45" t="n">
        <f aca="false">V419/H419</f>
        <v>55.0178298522669</v>
      </c>
      <c r="Y419" s="46" t="n">
        <f aca="false">SUM(V419-T419)/T419</f>
        <v>0</v>
      </c>
      <c r="Z419" s="9" t="s">
        <v>127</v>
      </c>
      <c r="AA419" s="42"/>
      <c r="AB419" s="14"/>
      <c r="AC419" s="5" t="s">
        <v>43</v>
      </c>
      <c r="AG419" s="59"/>
    </row>
    <row r="420" customFormat="false" ht="28.5" hidden="false" customHeight="true" outlineLevel="0" collapsed="false">
      <c r="A420" s="29"/>
      <c r="B420" s="11" t="s">
        <v>106</v>
      </c>
      <c r="C420" s="11" t="s">
        <v>38</v>
      </c>
      <c r="D420" s="29" t="n">
        <v>550380</v>
      </c>
      <c r="E420" s="4" t="s">
        <v>486</v>
      </c>
      <c r="F420" s="4" t="s">
        <v>495</v>
      </c>
      <c r="G420" s="5" t="s">
        <v>40</v>
      </c>
      <c r="H420" s="6" t="n">
        <v>94</v>
      </c>
      <c r="I420" s="6" t="n">
        <f aca="false">H420</f>
        <v>94</v>
      </c>
      <c r="J420" s="6" t="n">
        <v>100</v>
      </c>
      <c r="K420" s="4" t="s">
        <v>496</v>
      </c>
      <c r="L420" s="7" t="n">
        <v>45735</v>
      </c>
      <c r="M420" s="8" t="n">
        <v>47560</v>
      </c>
      <c r="Q420" s="9" t="n">
        <v>7200</v>
      </c>
      <c r="R420" s="9" t="n">
        <f aca="false">Q420</f>
        <v>7200</v>
      </c>
      <c r="T420" s="9" t="n">
        <v>5410</v>
      </c>
      <c r="U420" s="9" t="n">
        <f aca="false">T420</f>
        <v>5410</v>
      </c>
      <c r="V420" s="9" t="n">
        <v>5410</v>
      </c>
      <c r="W420" s="9" t="n">
        <f aca="false">V420</f>
        <v>5410</v>
      </c>
      <c r="X420" s="45" t="n">
        <f aca="false">V420/H420</f>
        <v>57.5531914893617</v>
      </c>
      <c r="Y420" s="46" t="n">
        <f aca="false">SUM(V420-T420)/T420</f>
        <v>0</v>
      </c>
      <c r="Z420" s="9" t="s">
        <v>127</v>
      </c>
      <c r="AA420" s="42" t="s">
        <v>26</v>
      </c>
      <c r="AB420" s="14"/>
      <c r="AC420" s="5" t="s">
        <v>43</v>
      </c>
      <c r="AD420" s="4" t="s">
        <v>497</v>
      </c>
      <c r="AG420" s="59"/>
    </row>
    <row r="421" customFormat="false" ht="13.5" hidden="false" customHeight="false" outlineLevel="0" collapsed="false">
      <c r="A421" s="29"/>
      <c r="B421" s="11" t="s">
        <v>106</v>
      </c>
      <c r="C421" s="11" t="s">
        <v>38</v>
      </c>
      <c r="D421" s="29" t="n">
        <v>550380</v>
      </c>
      <c r="E421" s="4" t="s">
        <v>486</v>
      </c>
      <c r="F421" s="4" t="s">
        <v>498</v>
      </c>
      <c r="G421" s="5" t="s">
        <v>40</v>
      </c>
      <c r="H421" s="6" t="n">
        <v>284</v>
      </c>
      <c r="I421" s="6" t="n">
        <f aca="false">H421</f>
        <v>284</v>
      </c>
      <c r="J421" s="6" t="n">
        <v>250</v>
      </c>
      <c r="K421" s="4" t="s">
        <v>67</v>
      </c>
      <c r="N421" s="8" t="n">
        <v>43909</v>
      </c>
      <c r="Q421" s="9" t="n">
        <v>0</v>
      </c>
      <c r="R421" s="9" t="n">
        <f aca="false">Q421</f>
        <v>0</v>
      </c>
      <c r="T421" s="9" t="n">
        <v>16300</v>
      </c>
      <c r="U421" s="9" t="n">
        <f aca="false">T421</f>
        <v>16300</v>
      </c>
      <c r="V421" s="9" t="n">
        <v>16300</v>
      </c>
      <c r="W421" s="9" t="n">
        <f aca="false">V421</f>
        <v>16300</v>
      </c>
      <c r="X421" s="45" t="n">
        <f aca="false">V421/H421</f>
        <v>57.3943661971831</v>
      </c>
      <c r="Y421" s="46" t="n">
        <f aca="false">SUM(V421-T421)/T421</f>
        <v>0</v>
      </c>
      <c r="Z421" s="9" t="s">
        <v>127</v>
      </c>
      <c r="AA421" s="42" t="s">
        <v>26</v>
      </c>
      <c r="AB421" s="14"/>
      <c r="AC421" s="5"/>
      <c r="AD421" s="4" t="s">
        <v>119</v>
      </c>
      <c r="AF421" s="4" t="n">
        <v>1</v>
      </c>
      <c r="AG421" s="59" t="n">
        <v>2</v>
      </c>
    </row>
    <row r="422" customFormat="false" ht="13.5" hidden="false" customHeight="false" outlineLevel="0" collapsed="false">
      <c r="A422" s="29"/>
      <c r="B422" s="11" t="s">
        <v>106</v>
      </c>
      <c r="C422" s="11" t="s">
        <v>38</v>
      </c>
      <c r="D422" s="29" t="n">
        <v>550380</v>
      </c>
      <c r="E422" s="4" t="s">
        <v>486</v>
      </c>
      <c r="F422" s="4" t="s">
        <v>499</v>
      </c>
      <c r="G422" s="5" t="s">
        <v>40</v>
      </c>
      <c r="H422" s="6" t="n">
        <v>619</v>
      </c>
      <c r="I422" s="6" t="n">
        <f aca="false">H422</f>
        <v>619</v>
      </c>
      <c r="J422" s="6" t="n">
        <v>500</v>
      </c>
      <c r="K422" s="4" t="s">
        <v>67</v>
      </c>
      <c r="N422" s="8" t="n">
        <v>45678</v>
      </c>
      <c r="Q422" s="9" t="n">
        <v>0</v>
      </c>
      <c r="R422" s="9" t="n">
        <f aca="false">Q422</f>
        <v>0</v>
      </c>
      <c r="T422" s="9" t="n">
        <v>35600</v>
      </c>
      <c r="U422" s="9" t="n">
        <f aca="false">T422</f>
        <v>35600</v>
      </c>
      <c r="V422" s="9" t="n">
        <v>35600</v>
      </c>
      <c r="W422" s="9" t="n">
        <f aca="false">V422</f>
        <v>35600</v>
      </c>
      <c r="X422" s="45" t="n">
        <f aca="false">V422/H422</f>
        <v>57.5121163166397</v>
      </c>
      <c r="Y422" s="46" t="n">
        <f aca="false">SUM(V422-T422)/T422</f>
        <v>0</v>
      </c>
      <c r="Z422" s="9" t="s">
        <v>127</v>
      </c>
      <c r="AA422" s="42"/>
      <c r="AB422" s="14"/>
      <c r="AC422" s="5" t="s">
        <v>43</v>
      </c>
      <c r="AD422" s="4" t="s">
        <v>68</v>
      </c>
      <c r="AG422" s="59"/>
    </row>
    <row r="423" customFormat="false" ht="17.25" hidden="false" customHeight="true" outlineLevel="0" collapsed="false">
      <c r="A423" s="29"/>
      <c r="B423" s="11" t="s">
        <v>106</v>
      </c>
      <c r="C423" s="11" t="s">
        <v>38</v>
      </c>
      <c r="D423" s="29" t="n">
        <v>550380</v>
      </c>
      <c r="E423" s="4" t="s">
        <v>486</v>
      </c>
      <c r="F423" s="4" t="s">
        <v>500</v>
      </c>
      <c r="G423" s="5" t="s">
        <v>40</v>
      </c>
      <c r="H423" s="6" t="n">
        <v>653</v>
      </c>
      <c r="I423" s="6" t="n">
        <f aca="false">H423</f>
        <v>653</v>
      </c>
      <c r="J423" s="6" t="n">
        <v>750</v>
      </c>
      <c r="K423" s="4" t="s">
        <v>67</v>
      </c>
      <c r="N423" s="8" t="n">
        <v>44555</v>
      </c>
      <c r="Q423" s="9" t="n">
        <v>0</v>
      </c>
      <c r="R423" s="9" t="n">
        <f aca="false">Q423</f>
        <v>0</v>
      </c>
      <c r="T423" s="9" t="n">
        <v>37500</v>
      </c>
      <c r="U423" s="9" t="n">
        <f aca="false">T423</f>
        <v>37500</v>
      </c>
      <c r="V423" s="9" t="n">
        <v>37500</v>
      </c>
      <c r="W423" s="9" t="n">
        <f aca="false">V423</f>
        <v>37500</v>
      </c>
      <c r="X423" s="45" t="n">
        <f aca="false">V423/H423</f>
        <v>57.427258805513</v>
      </c>
      <c r="Y423" s="46" t="n">
        <f aca="false">SUM(V423-T423)/T423</f>
        <v>0</v>
      </c>
      <c r="Z423" s="9" t="s">
        <v>127</v>
      </c>
      <c r="AA423" s="42"/>
      <c r="AB423" s="14"/>
      <c r="AC423" s="5" t="s">
        <v>43</v>
      </c>
      <c r="AD423" s="4" t="s">
        <v>119</v>
      </c>
      <c r="AE423" s="15" t="n">
        <v>62.5</v>
      </c>
      <c r="AF423" s="4" t="n">
        <v>2</v>
      </c>
      <c r="AG423" s="59" t="n">
        <v>3</v>
      </c>
      <c r="AH423" s="4" t="s">
        <v>57</v>
      </c>
    </row>
    <row r="424" customFormat="false" ht="14.25" hidden="false" customHeight="true" outlineLevel="0" collapsed="false">
      <c r="A424" s="29"/>
      <c r="B424" s="11"/>
      <c r="C424" s="11" t="s">
        <v>38</v>
      </c>
      <c r="D424" s="29"/>
      <c r="E424" s="4"/>
      <c r="I424" s="9"/>
      <c r="J424" s="9"/>
      <c r="T424" s="9"/>
      <c r="U424" s="9"/>
      <c r="V424" s="9"/>
      <c r="W424" s="9"/>
      <c r="X424" s="9"/>
      <c r="Y424" s="41"/>
      <c r="Z424" s="9"/>
      <c r="AA424" s="42"/>
      <c r="AB424" s="14"/>
      <c r="AC424" s="5"/>
      <c r="AG424" s="59"/>
    </row>
    <row r="425" customFormat="false" ht="14.25" hidden="false" customHeight="true" outlineLevel="0" collapsed="false">
      <c r="A425" s="29"/>
      <c r="B425" s="11"/>
      <c r="C425" s="11" t="s">
        <v>38</v>
      </c>
      <c r="D425" s="29"/>
      <c r="E425" s="4"/>
      <c r="F425" s="47" t="s">
        <v>501</v>
      </c>
      <c r="H425" s="43" t="n">
        <f aca="false">SUM(H413:H423)</f>
        <v>12996</v>
      </c>
      <c r="I425" s="44"/>
      <c r="J425" s="44"/>
      <c r="Q425" s="44" t="n">
        <f aca="false">SUM(Q413:Q423)</f>
        <v>578943</v>
      </c>
      <c r="R425" s="44"/>
      <c r="S425" s="44" t="n">
        <f aca="false">SUM(R413:R423)</f>
        <v>578943</v>
      </c>
      <c r="T425" s="44" t="n">
        <f aca="false">SUM(T413:T423)</f>
        <v>653710</v>
      </c>
      <c r="U425" s="44"/>
      <c r="V425" s="44" t="n">
        <f aca="false">SUM(V413:V423)</f>
        <v>665910</v>
      </c>
      <c r="W425" s="44"/>
      <c r="X425" s="44"/>
      <c r="Y425" s="64"/>
      <c r="Z425" s="44"/>
      <c r="AA425" s="67"/>
      <c r="AB425" s="44" t="n">
        <v>10100000</v>
      </c>
      <c r="AC425" s="5"/>
      <c r="AG425" s="59"/>
    </row>
    <row r="426" customFormat="false" ht="14.25" hidden="false" customHeight="true" outlineLevel="0" collapsed="false">
      <c r="A426" s="29"/>
      <c r="B426" s="11"/>
      <c r="C426" s="11" t="s">
        <v>38</v>
      </c>
      <c r="D426" s="29"/>
      <c r="E426" s="4"/>
      <c r="H426" s="43"/>
      <c r="I426" s="44"/>
      <c r="J426" s="44"/>
      <c r="Q426" s="44"/>
      <c r="R426" s="44"/>
      <c r="S426" s="44"/>
      <c r="T426" s="44"/>
      <c r="U426" s="44"/>
      <c r="V426" s="44"/>
      <c r="W426" s="44"/>
      <c r="X426" s="44"/>
      <c r="Y426" s="64"/>
      <c r="Z426" s="44"/>
      <c r="AA426" s="67"/>
      <c r="AB426" s="44"/>
      <c r="AC426" s="5"/>
      <c r="AG426" s="59"/>
    </row>
    <row r="427" customFormat="false" ht="14.25" hidden="false" customHeight="true" outlineLevel="0" collapsed="false">
      <c r="A427" s="29"/>
      <c r="B427" s="11"/>
      <c r="C427" s="11" t="s">
        <v>38</v>
      </c>
      <c r="D427" s="29"/>
      <c r="E427" s="4"/>
      <c r="G427" s="39" t="s">
        <v>502</v>
      </c>
      <c r="I427" s="9"/>
      <c r="J427" s="9"/>
      <c r="K427" s="40"/>
      <c r="T427" s="11"/>
      <c r="U427" s="9"/>
      <c r="V427" s="11"/>
      <c r="W427" s="9"/>
      <c r="X427" s="9"/>
      <c r="Y427" s="41"/>
      <c r="Z427" s="9"/>
      <c r="AA427" s="42"/>
      <c r="AB427" s="44"/>
      <c r="AC427" s="5"/>
      <c r="AG427" s="59"/>
    </row>
    <row r="428" customFormat="false" ht="14.25" hidden="false" customHeight="true" outlineLevel="0" collapsed="false">
      <c r="A428" s="29"/>
      <c r="B428" s="11"/>
      <c r="C428" s="11" t="s">
        <v>38</v>
      </c>
      <c r="D428" s="29"/>
      <c r="E428" s="4"/>
      <c r="G428" s="79"/>
      <c r="H428" s="85"/>
      <c r="I428" s="44"/>
      <c r="J428" s="44"/>
      <c r="K428" s="85"/>
      <c r="Q428" s="44"/>
      <c r="R428" s="44"/>
      <c r="S428" s="44"/>
      <c r="T428" s="44"/>
      <c r="U428" s="44"/>
      <c r="V428" s="44"/>
      <c r="W428" s="44"/>
      <c r="X428" s="44"/>
      <c r="Y428" s="64"/>
      <c r="Z428" s="44"/>
      <c r="AA428" s="67"/>
      <c r="AB428" s="44"/>
      <c r="AC428" s="5"/>
      <c r="AG428" s="59"/>
    </row>
    <row r="429" customFormat="false" ht="24" hidden="false" customHeight="true" outlineLevel="0" collapsed="false">
      <c r="A429" s="29"/>
      <c r="B429" s="11" t="s">
        <v>106</v>
      </c>
      <c r="C429" s="11" t="s">
        <v>38</v>
      </c>
      <c r="D429" s="29" t="n">
        <v>550950</v>
      </c>
      <c r="E429" s="4" t="s">
        <v>502</v>
      </c>
      <c r="F429" s="4" t="s">
        <v>442</v>
      </c>
      <c r="G429" s="5" t="s">
        <v>40</v>
      </c>
      <c r="H429" s="6" t="n">
        <v>2370</v>
      </c>
      <c r="I429" s="6" t="n">
        <f aca="false">H429</f>
        <v>2370</v>
      </c>
      <c r="K429" s="4" t="s">
        <v>449</v>
      </c>
      <c r="L429" s="7" t="n">
        <v>43794</v>
      </c>
      <c r="M429" s="8" t="n">
        <v>47446</v>
      </c>
      <c r="O429" s="8" t="n">
        <v>45621</v>
      </c>
      <c r="Q429" s="9" t="n">
        <v>104885</v>
      </c>
      <c r="R429" s="9" t="n">
        <f aca="false">Q429</f>
        <v>104885</v>
      </c>
      <c r="T429" s="9" t="n">
        <v>100700</v>
      </c>
      <c r="U429" s="9" t="n">
        <f aca="false">T429</f>
        <v>100700</v>
      </c>
      <c r="V429" s="9" t="n">
        <v>100700</v>
      </c>
      <c r="W429" s="9" t="n">
        <f aca="false">V429</f>
        <v>100700</v>
      </c>
      <c r="X429" s="45" t="n">
        <f aca="false">V429/H429</f>
        <v>42.4894514767933</v>
      </c>
      <c r="Y429" s="46" t="n">
        <f aca="false">SUM(V429-T429)/T429</f>
        <v>0</v>
      </c>
      <c r="Z429" s="9" t="s">
        <v>60</v>
      </c>
      <c r="AA429" s="42"/>
      <c r="AB429" s="44"/>
      <c r="AC429" s="5" t="s">
        <v>43</v>
      </c>
      <c r="AD429" s="4" t="s">
        <v>503</v>
      </c>
      <c r="AG429" s="59"/>
    </row>
    <row r="430" customFormat="false" ht="13.5" hidden="false" customHeight="false" outlineLevel="0" collapsed="false">
      <c r="A430" s="29"/>
      <c r="B430" s="11" t="s">
        <v>106</v>
      </c>
      <c r="C430" s="11" t="s">
        <v>38</v>
      </c>
      <c r="D430" s="29" t="n">
        <v>550950</v>
      </c>
      <c r="E430" s="4" t="s">
        <v>502</v>
      </c>
      <c r="F430" s="4" t="s">
        <v>89</v>
      </c>
      <c r="G430" s="5" t="s">
        <v>40</v>
      </c>
      <c r="H430" s="6" t="n">
        <v>980</v>
      </c>
      <c r="I430" s="6" t="n">
        <f aca="false">H430</f>
        <v>980</v>
      </c>
      <c r="J430" s="6" t="n">
        <v>1000</v>
      </c>
      <c r="K430" s="4" t="s">
        <v>67</v>
      </c>
      <c r="N430" s="8" t="n">
        <v>43323</v>
      </c>
      <c r="Q430" s="9" t="n">
        <v>0</v>
      </c>
      <c r="R430" s="9" t="n">
        <f aca="false">Q430</f>
        <v>0</v>
      </c>
      <c r="T430" s="9" t="n">
        <v>53900</v>
      </c>
      <c r="U430" s="9" t="n">
        <f aca="false">T430</f>
        <v>53900</v>
      </c>
      <c r="V430" s="9" t="n">
        <v>56400</v>
      </c>
      <c r="W430" s="9" t="n">
        <f aca="false">V430</f>
        <v>56400</v>
      </c>
      <c r="X430" s="45" t="n">
        <f aca="false">V430/H430</f>
        <v>57.5510204081633</v>
      </c>
      <c r="Y430" s="46" t="n">
        <f aca="false">SUM(V430-T430)/T430</f>
        <v>0.0463821892393321</v>
      </c>
      <c r="Z430" s="9" t="s">
        <v>60</v>
      </c>
      <c r="AA430" s="42"/>
      <c r="AB430" s="44"/>
      <c r="AC430" s="5" t="s">
        <v>43</v>
      </c>
      <c r="AD430" s="4" t="s">
        <v>114</v>
      </c>
      <c r="AE430" s="15" t="n">
        <v>61.5</v>
      </c>
      <c r="AF430" s="4" t="n">
        <v>4</v>
      </c>
      <c r="AG430" s="59" t="n">
        <v>6</v>
      </c>
    </row>
    <row r="431" customFormat="false" ht="13.5" hidden="false" customHeight="false" outlineLevel="0" collapsed="false">
      <c r="A431" s="29"/>
      <c r="B431" s="11" t="s">
        <v>106</v>
      </c>
      <c r="C431" s="11" t="s">
        <v>38</v>
      </c>
      <c r="D431" s="29" t="n">
        <v>550950</v>
      </c>
      <c r="E431" s="4" t="s">
        <v>502</v>
      </c>
      <c r="F431" s="4" t="s">
        <v>93</v>
      </c>
      <c r="G431" s="5" t="s">
        <v>40</v>
      </c>
      <c r="H431" s="6" t="n">
        <v>980</v>
      </c>
      <c r="I431" s="6" t="n">
        <f aca="false">H431</f>
        <v>980</v>
      </c>
      <c r="J431" s="6" t="n">
        <v>1000</v>
      </c>
      <c r="K431" s="4" t="s">
        <v>504</v>
      </c>
      <c r="L431" s="7" t="n">
        <v>45210</v>
      </c>
      <c r="M431" s="8" t="n">
        <v>46305</v>
      </c>
      <c r="Q431" s="9" t="n">
        <v>52800</v>
      </c>
      <c r="R431" s="9" t="n">
        <f aca="false">Q431</f>
        <v>52800</v>
      </c>
      <c r="T431" s="9" t="n">
        <v>53900</v>
      </c>
      <c r="U431" s="9" t="n">
        <f aca="false">T431</f>
        <v>53900</v>
      </c>
      <c r="V431" s="9" t="n">
        <v>56400</v>
      </c>
      <c r="W431" s="9" t="n">
        <f aca="false">V431</f>
        <v>56400</v>
      </c>
      <c r="X431" s="45" t="n">
        <f aca="false">V431/H431</f>
        <v>57.5510204081633</v>
      </c>
      <c r="Y431" s="46" t="n">
        <f aca="false">SUM(V431-T431)/T431</f>
        <v>0.0463821892393321</v>
      </c>
      <c r="Z431" s="9" t="s">
        <v>127</v>
      </c>
      <c r="AA431" s="42"/>
      <c r="AB431" s="44"/>
      <c r="AC431" s="5" t="s">
        <v>43</v>
      </c>
      <c r="AG431" s="59"/>
    </row>
    <row r="432" customFormat="false" ht="13.5" hidden="false" customHeight="false" outlineLevel="0" collapsed="false">
      <c r="A432" s="29"/>
      <c r="B432" s="11" t="s">
        <v>106</v>
      </c>
      <c r="C432" s="11" t="s">
        <v>38</v>
      </c>
      <c r="D432" s="29" t="n">
        <v>550950</v>
      </c>
      <c r="E432" s="4" t="s">
        <v>502</v>
      </c>
      <c r="F432" s="4" t="s">
        <v>94</v>
      </c>
      <c r="G432" s="5" t="s">
        <v>40</v>
      </c>
      <c r="H432" s="6" t="n">
        <v>836</v>
      </c>
      <c r="I432" s="6" t="n">
        <f aca="false">H432</f>
        <v>836</v>
      </c>
      <c r="J432" s="6" t="n">
        <v>1000</v>
      </c>
      <c r="K432" s="4" t="s">
        <v>505</v>
      </c>
      <c r="L432" s="7" t="n">
        <v>44869</v>
      </c>
      <c r="M432" s="8" t="n">
        <v>46694</v>
      </c>
      <c r="P432" s="8" t="n">
        <v>45964</v>
      </c>
      <c r="Q432" s="9" t="n">
        <v>48300</v>
      </c>
      <c r="R432" s="9" t="n">
        <f aca="false">Q432</f>
        <v>48300</v>
      </c>
      <c r="T432" s="9" t="n">
        <v>46000</v>
      </c>
      <c r="U432" s="9" t="n">
        <f aca="false">T432</f>
        <v>46000</v>
      </c>
      <c r="V432" s="9" t="n">
        <v>48100</v>
      </c>
      <c r="W432" s="9" t="n">
        <f aca="false">V432</f>
        <v>48100</v>
      </c>
      <c r="X432" s="45" t="n">
        <f aca="false">V432/H432</f>
        <v>57.5358851674641</v>
      </c>
      <c r="Y432" s="46" t="n">
        <f aca="false">SUM(V432-T432)/T432</f>
        <v>0.0456521739130435</v>
      </c>
      <c r="Z432" s="9" t="s">
        <v>127</v>
      </c>
      <c r="AA432" s="42"/>
      <c r="AB432" s="44"/>
      <c r="AC432" s="5" t="s">
        <v>43</v>
      </c>
      <c r="AD432" s="4" t="s">
        <v>77</v>
      </c>
      <c r="AG432" s="59"/>
    </row>
    <row r="433" customFormat="false" ht="13.5" hidden="false" customHeight="false" outlineLevel="0" collapsed="false">
      <c r="A433" s="29"/>
      <c r="B433" s="11" t="s">
        <v>106</v>
      </c>
      <c r="C433" s="11" t="s">
        <v>38</v>
      </c>
      <c r="D433" s="29" t="n">
        <v>550950</v>
      </c>
      <c r="E433" s="4" t="s">
        <v>502</v>
      </c>
      <c r="F433" s="4" t="s">
        <v>118</v>
      </c>
      <c r="G433" s="5" t="s">
        <v>40</v>
      </c>
      <c r="H433" s="6" t="n">
        <v>830</v>
      </c>
      <c r="I433" s="6" t="n">
        <f aca="false">H433</f>
        <v>830</v>
      </c>
      <c r="J433" s="6" t="n">
        <v>1000</v>
      </c>
      <c r="K433" s="4" t="s">
        <v>505</v>
      </c>
      <c r="L433" s="7" t="n">
        <v>45436</v>
      </c>
      <c r="M433" s="8" t="n">
        <v>46694</v>
      </c>
      <c r="P433" s="8" t="n">
        <v>45964</v>
      </c>
      <c r="Q433" s="9" t="n">
        <v>47725</v>
      </c>
      <c r="R433" s="9" t="n">
        <f aca="false">Q433</f>
        <v>47725</v>
      </c>
      <c r="T433" s="9" t="n">
        <v>45700</v>
      </c>
      <c r="U433" s="9" t="n">
        <f aca="false">T433</f>
        <v>45700</v>
      </c>
      <c r="V433" s="9" t="n">
        <v>47700</v>
      </c>
      <c r="W433" s="9" t="n">
        <f aca="false">V433</f>
        <v>47700</v>
      </c>
      <c r="X433" s="45" t="n">
        <f aca="false">V433/H433</f>
        <v>57.4698795180723</v>
      </c>
      <c r="Y433" s="46" t="n">
        <f aca="false">SUM(V433-T433)/T433</f>
        <v>0.0437636761487965</v>
      </c>
      <c r="Z433" s="9" t="s">
        <v>60</v>
      </c>
      <c r="AA433" s="42"/>
      <c r="AB433" s="44"/>
      <c r="AC433" s="5" t="s">
        <v>43</v>
      </c>
      <c r="AD433" s="4" t="s">
        <v>77</v>
      </c>
      <c r="AG433" s="59"/>
    </row>
    <row r="434" customFormat="false" ht="13.5" hidden="false" customHeight="false" outlineLevel="0" collapsed="false">
      <c r="A434" s="29"/>
      <c r="B434" s="11" t="s">
        <v>106</v>
      </c>
      <c r="C434" s="11" t="s">
        <v>38</v>
      </c>
      <c r="D434" s="29" t="n">
        <v>550950</v>
      </c>
      <c r="E434" s="4" t="s">
        <v>502</v>
      </c>
      <c r="F434" s="4" t="s">
        <v>180</v>
      </c>
      <c r="G434" s="5" t="s">
        <v>40</v>
      </c>
      <c r="H434" s="6" t="n">
        <v>685</v>
      </c>
      <c r="I434" s="6" t="n">
        <f aca="false">H434</f>
        <v>685</v>
      </c>
      <c r="J434" s="6" t="n">
        <v>750</v>
      </c>
      <c r="K434" s="4" t="s">
        <v>67</v>
      </c>
      <c r="N434" s="8" t="n">
        <v>45627</v>
      </c>
      <c r="Q434" s="9" t="n">
        <v>0</v>
      </c>
      <c r="R434" s="9" t="n">
        <f aca="false">Q434</f>
        <v>0</v>
      </c>
      <c r="T434" s="9" t="n">
        <v>37700</v>
      </c>
      <c r="U434" s="9" t="n">
        <f aca="false">T434</f>
        <v>37700</v>
      </c>
      <c r="V434" s="9" t="n">
        <v>39400</v>
      </c>
      <c r="W434" s="9" t="n">
        <f aca="false">V434</f>
        <v>39400</v>
      </c>
      <c r="X434" s="45" t="n">
        <f aca="false">V434/H434</f>
        <v>57.5182481751825</v>
      </c>
      <c r="Y434" s="46" t="n">
        <f aca="false">SUM(V434-T434)/T434</f>
        <v>0.0450928381962865</v>
      </c>
      <c r="Z434" s="9" t="s">
        <v>127</v>
      </c>
      <c r="AA434" s="42"/>
      <c r="AB434" s="44"/>
      <c r="AC434" s="5" t="s">
        <v>43</v>
      </c>
      <c r="AD434" s="4" t="s">
        <v>68</v>
      </c>
      <c r="AG434" s="59"/>
    </row>
    <row r="435" customFormat="false" ht="14.25" hidden="false" customHeight="true" outlineLevel="0" collapsed="false">
      <c r="A435" s="29"/>
      <c r="B435" s="11"/>
      <c r="C435" s="11" t="s">
        <v>38</v>
      </c>
      <c r="D435" s="29"/>
      <c r="E435" s="4"/>
      <c r="I435" s="9"/>
      <c r="J435" s="9"/>
      <c r="T435" s="9"/>
      <c r="U435" s="9"/>
      <c r="V435" s="9"/>
      <c r="W435" s="9"/>
      <c r="X435" s="9"/>
      <c r="Y435" s="41"/>
      <c r="Z435" s="9"/>
      <c r="AA435" s="42"/>
      <c r="AB435" s="44"/>
      <c r="AC435" s="5"/>
      <c r="AG435" s="59"/>
    </row>
    <row r="436" customFormat="false" ht="14.25" hidden="false" customHeight="true" outlineLevel="0" collapsed="false">
      <c r="A436" s="29"/>
      <c r="B436" s="11"/>
      <c r="C436" s="11" t="s">
        <v>38</v>
      </c>
      <c r="D436" s="29"/>
      <c r="E436" s="4"/>
      <c r="F436" s="47" t="s">
        <v>502</v>
      </c>
      <c r="H436" s="43" t="n">
        <f aca="false">SUM(H429:H434)</f>
        <v>6681</v>
      </c>
      <c r="I436" s="44"/>
      <c r="J436" s="44"/>
      <c r="Q436" s="44" t="n">
        <f aca="false">SUM(Q429:Q434)</f>
        <v>253710</v>
      </c>
      <c r="R436" s="44"/>
      <c r="S436" s="44" t="n">
        <f aca="false">SUM(R428:R435)</f>
        <v>253710</v>
      </c>
      <c r="T436" s="44" t="n">
        <f aca="false">SUM(T429:T434)</f>
        <v>337900</v>
      </c>
      <c r="U436" s="44"/>
      <c r="V436" s="44" t="n">
        <f aca="false">SUM(V429:V434)</f>
        <v>348700</v>
      </c>
      <c r="W436" s="44"/>
      <c r="X436" s="44"/>
      <c r="Y436" s="64"/>
      <c r="Z436" s="44"/>
      <c r="AA436" s="67"/>
      <c r="AB436" s="44" t="n">
        <v>5050000</v>
      </c>
      <c r="AC436" s="5"/>
      <c r="AG436" s="59"/>
    </row>
    <row r="437" customFormat="false" ht="14.25" hidden="false" customHeight="true" outlineLevel="0" collapsed="false">
      <c r="A437" s="29"/>
      <c r="B437" s="11"/>
      <c r="C437" s="11" t="s">
        <v>38</v>
      </c>
      <c r="D437" s="29"/>
      <c r="E437" s="4"/>
      <c r="I437" s="44"/>
      <c r="J437" s="44"/>
      <c r="Q437" s="44"/>
      <c r="R437" s="44"/>
      <c r="S437" s="44"/>
      <c r="T437" s="44"/>
      <c r="U437" s="44"/>
      <c r="V437" s="44"/>
      <c r="W437" s="44"/>
      <c r="X437" s="44"/>
      <c r="Y437" s="64"/>
      <c r="Z437" s="44"/>
      <c r="AA437" s="67"/>
      <c r="AB437" s="66"/>
      <c r="AC437" s="5"/>
      <c r="AG437" s="59"/>
    </row>
    <row r="438" customFormat="false" ht="14.25" hidden="false" customHeight="true" outlineLevel="0" collapsed="false">
      <c r="A438" s="29"/>
      <c r="B438" s="11"/>
      <c r="C438" s="11" t="s">
        <v>38</v>
      </c>
      <c r="D438" s="29"/>
      <c r="E438" s="4"/>
      <c r="G438" s="39" t="s">
        <v>506</v>
      </c>
      <c r="I438" s="9"/>
      <c r="J438" s="9"/>
      <c r="K438" s="40"/>
      <c r="T438" s="11"/>
      <c r="U438" s="9"/>
      <c r="V438" s="11"/>
      <c r="W438" s="9"/>
      <c r="X438" s="9"/>
      <c r="Y438" s="41"/>
      <c r="Z438" s="9"/>
      <c r="AA438" s="42"/>
      <c r="AB438" s="14"/>
      <c r="AC438" s="5"/>
      <c r="AG438" s="59"/>
    </row>
    <row r="439" customFormat="false" ht="14.25" hidden="false" customHeight="true" outlineLevel="0" collapsed="false">
      <c r="A439" s="29"/>
      <c r="B439" s="11"/>
      <c r="C439" s="11" t="s">
        <v>38</v>
      </c>
      <c r="D439" s="29"/>
      <c r="E439" s="4"/>
      <c r="I439" s="9"/>
      <c r="J439" s="9"/>
      <c r="T439" s="11"/>
      <c r="U439" s="9"/>
      <c r="V439" s="11"/>
      <c r="W439" s="9"/>
      <c r="X439" s="9"/>
      <c r="Y439" s="41"/>
      <c r="Z439" s="9"/>
      <c r="AA439" s="42"/>
      <c r="AB439" s="14"/>
      <c r="AC439" s="5"/>
      <c r="AG439" s="59"/>
    </row>
    <row r="440" customFormat="false" ht="39" hidden="false" customHeight="true" outlineLevel="0" collapsed="false">
      <c r="A440" s="29"/>
      <c r="B440" s="11" t="s">
        <v>106</v>
      </c>
      <c r="C440" s="11" t="s">
        <v>38</v>
      </c>
      <c r="D440" s="29" t="n">
        <v>550730</v>
      </c>
      <c r="E440" s="4" t="s">
        <v>506</v>
      </c>
      <c r="F440" s="4" t="s">
        <v>112</v>
      </c>
      <c r="G440" s="5" t="s">
        <v>237</v>
      </c>
      <c r="H440" s="6" t="n">
        <v>1946</v>
      </c>
      <c r="I440" s="6" t="n">
        <f aca="false">H440</f>
        <v>1946</v>
      </c>
      <c r="J440" s="6" t="n">
        <v>2000</v>
      </c>
      <c r="K440" s="4" t="s">
        <v>507</v>
      </c>
      <c r="L440" s="7" t="n">
        <v>45457</v>
      </c>
      <c r="M440" s="8" t="n">
        <v>47282</v>
      </c>
      <c r="P440" s="8" t="n">
        <v>46186</v>
      </c>
      <c r="Q440" s="9" t="n">
        <v>94417</v>
      </c>
      <c r="R440" s="9" t="n">
        <f aca="false">Q440</f>
        <v>94417</v>
      </c>
      <c r="T440" s="9" t="n">
        <v>86800</v>
      </c>
      <c r="U440" s="9" t="n">
        <f aca="false">T440</f>
        <v>86800</v>
      </c>
      <c r="V440" s="9" t="n">
        <v>94417</v>
      </c>
      <c r="W440" s="9" t="n">
        <f aca="false">V440</f>
        <v>94417</v>
      </c>
      <c r="X440" s="45" t="n">
        <f aca="false">V440/H440</f>
        <v>48.5184994861254</v>
      </c>
      <c r="Y440" s="46" t="n">
        <f aca="false">SUM(V440-T440)/T440</f>
        <v>0.0877534562211982</v>
      </c>
      <c r="Z440" s="9" t="s">
        <v>127</v>
      </c>
      <c r="AA440" s="42"/>
      <c r="AB440" s="14"/>
      <c r="AC440" s="5" t="s">
        <v>43</v>
      </c>
      <c r="AD440" s="4" t="s">
        <v>508</v>
      </c>
      <c r="AG440" s="59"/>
    </row>
    <row r="441" customFormat="false" ht="14.25" hidden="false" customHeight="true" outlineLevel="0" collapsed="false">
      <c r="A441" s="29"/>
      <c r="B441" s="11" t="s">
        <v>106</v>
      </c>
      <c r="C441" s="11" t="s">
        <v>38</v>
      </c>
      <c r="D441" s="29" t="n">
        <v>550730</v>
      </c>
      <c r="E441" s="4" t="s">
        <v>506</v>
      </c>
      <c r="F441" s="4" t="s">
        <v>89</v>
      </c>
      <c r="G441" s="5" t="s">
        <v>40</v>
      </c>
      <c r="H441" s="6" t="n">
        <v>804</v>
      </c>
      <c r="I441" s="6" t="n">
        <f aca="false">H441</f>
        <v>804</v>
      </c>
      <c r="J441" s="6" t="n">
        <v>750</v>
      </c>
      <c r="K441" s="4" t="s">
        <v>67</v>
      </c>
      <c r="N441" s="8" t="n">
        <v>43132</v>
      </c>
      <c r="Q441" s="9" t="n">
        <v>0</v>
      </c>
      <c r="R441" s="9" t="n">
        <f aca="false">Q441</f>
        <v>0</v>
      </c>
      <c r="T441" s="9" t="n">
        <v>44200</v>
      </c>
      <c r="U441" s="9" t="n">
        <f aca="false">T441</f>
        <v>44200</v>
      </c>
      <c r="V441" s="9" t="n">
        <v>46200</v>
      </c>
      <c r="W441" s="9" t="n">
        <f aca="false">V441</f>
        <v>46200</v>
      </c>
      <c r="X441" s="45" t="n">
        <f aca="false">V441/H441</f>
        <v>57.4626865671642</v>
      </c>
      <c r="Y441" s="46" t="n">
        <f aca="false">SUM(V441-T441)/T441</f>
        <v>0.0452488687782805</v>
      </c>
      <c r="Z441" s="9" t="s">
        <v>127</v>
      </c>
      <c r="AA441" s="42"/>
      <c r="AB441" s="14"/>
      <c r="AC441" s="5" t="s">
        <v>43</v>
      </c>
      <c r="AD441" s="4" t="s">
        <v>119</v>
      </c>
      <c r="AE441" s="15" t="n">
        <v>62.5</v>
      </c>
      <c r="AF441" s="4" t="n">
        <v>1</v>
      </c>
      <c r="AG441" s="59" t="n">
        <v>3</v>
      </c>
      <c r="AH441" s="4" t="s">
        <v>57</v>
      </c>
    </row>
    <row r="442" customFormat="false" ht="14.25" hidden="false" customHeight="true" outlineLevel="0" collapsed="false">
      <c r="A442" s="29"/>
      <c r="B442" s="11" t="s">
        <v>106</v>
      </c>
      <c r="C442" s="11" t="s">
        <v>38</v>
      </c>
      <c r="D442" s="29" t="n">
        <v>550730</v>
      </c>
      <c r="E442" s="4" t="s">
        <v>506</v>
      </c>
      <c r="F442" s="4" t="s">
        <v>93</v>
      </c>
      <c r="G442" s="5" t="s">
        <v>40</v>
      </c>
      <c r="H442" s="6" t="n">
        <v>813</v>
      </c>
      <c r="I442" s="6" t="n">
        <f aca="false">H442</f>
        <v>813</v>
      </c>
      <c r="J442" s="6" t="n">
        <v>750</v>
      </c>
      <c r="K442" s="4" t="s">
        <v>67</v>
      </c>
      <c r="N442" s="8" t="n">
        <v>42819</v>
      </c>
      <c r="Q442" s="9" t="n">
        <v>0</v>
      </c>
      <c r="R442" s="9" t="n">
        <f aca="false">Q442</f>
        <v>0</v>
      </c>
      <c r="S442" s="96"/>
      <c r="T442" s="9" t="n">
        <v>44700</v>
      </c>
      <c r="U442" s="9" t="n">
        <f aca="false">T442</f>
        <v>44700</v>
      </c>
      <c r="V442" s="9" t="n">
        <v>46700</v>
      </c>
      <c r="W442" s="9" t="n">
        <f aca="false">V442</f>
        <v>46700</v>
      </c>
      <c r="X442" s="45" t="n">
        <f aca="false">V442/H442</f>
        <v>57.4415744157442</v>
      </c>
      <c r="Y442" s="46" t="n">
        <f aca="false">SUM(V442-T442)/T442</f>
        <v>0.0447427293064877</v>
      </c>
      <c r="Z442" s="9" t="s">
        <v>127</v>
      </c>
      <c r="AA442" s="42"/>
      <c r="AB442" s="14"/>
      <c r="AC442" s="5" t="s">
        <v>43</v>
      </c>
      <c r="AD442" s="4" t="s">
        <v>119</v>
      </c>
      <c r="AE442" s="15" t="n">
        <v>62.5</v>
      </c>
      <c r="AG442" s="59" t="n">
        <v>2</v>
      </c>
      <c r="AH442" s="4" t="s">
        <v>57</v>
      </c>
    </row>
    <row r="443" customFormat="false" ht="13.5" hidden="false" customHeight="false" outlineLevel="0" collapsed="false">
      <c r="A443" s="29"/>
      <c r="B443" s="11" t="s">
        <v>106</v>
      </c>
      <c r="C443" s="11" t="s">
        <v>38</v>
      </c>
      <c r="D443" s="29" t="n">
        <v>550730</v>
      </c>
      <c r="E443" s="4" t="s">
        <v>506</v>
      </c>
      <c r="F443" s="4" t="s">
        <v>94</v>
      </c>
      <c r="G443" s="5" t="s">
        <v>40</v>
      </c>
      <c r="H443" s="6" t="n">
        <v>791</v>
      </c>
      <c r="I443" s="6" t="n">
        <f aca="false">H443</f>
        <v>791</v>
      </c>
      <c r="J443" s="6" t="n">
        <v>750</v>
      </c>
      <c r="K443" s="4" t="s">
        <v>509</v>
      </c>
      <c r="L443" s="7" t="n">
        <v>45533</v>
      </c>
      <c r="M443" s="8" t="n">
        <v>47358</v>
      </c>
      <c r="Q443" s="9" t="n">
        <v>46273</v>
      </c>
      <c r="R443" s="9" t="n">
        <f aca="false">Q443</f>
        <v>46273</v>
      </c>
      <c r="T443" s="9" t="n">
        <v>43500</v>
      </c>
      <c r="U443" s="9" t="n">
        <f aca="false">T443</f>
        <v>43500</v>
      </c>
      <c r="V443" s="9" t="n">
        <v>45500</v>
      </c>
      <c r="W443" s="9" t="n">
        <f aca="false">V443</f>
        <v>45500</v>
      </c>
      <c r="X443" s="45" t="n">
        <f aca="false">V443/H443</f>
        <v>57.5221238938053</v>
      </c>
      <c r="Y443" s="46" t="n">
        <f aca="false">SUM(V443-T443)/T443</f>
        <v>0.0459770114942529</v>
      </c>
      <c r="Z443" s="9" t="s">
        <v>127</v>
      </c>
      <c r="AA443" s="42"/>
      <c r="AB443" s="14"/>
      <c r="AC443" s="5" t="s">
        <v>43</v>
      </c>
      <c r="AF443" s="60"/>
      <c r="AG443" s="62"/>
      <c r="AH443" s="60"/>
    </row>
    <row r="444" customFormat="false" ht="13.5" hidden="false" customHeight="false" outlineLevel="0" collapsed="false">
      <c r="A444" s="29"/>
      <c r="B444" s="11" t="s">
        <v>106</v>
      </c>
      <c r="C444" s="11" t="s">
        <v>38</v>
      </c>
      <c r="D444" s="29" t="n">
        <v>550730</v>
      </c>
      <c r="E444" s="4" t="s">
        <v>506</v>
      </c>
      <c r="F444" s="4" t="s">
        <v>118</v>
      </c>
      <c r="G444" s="5" t="s">
        <v>40</v>
      </c>
      <c r="H444" s="6" t="n">
        <v>797</v>
      </c>
      <c r="I444" s="6" t="n">
        <f aca="false">H444</f>
        <v>797</v>
      </c>
      <c r="J444" s="6" t="n">
        <v>750</v>
      </c>
      <c r="K444" s="4" t="s">
        <v>67</v>
      </c>
      <c r="N444" s="8" t="n">
        <v>44439</v>
      </c>
      <c r="Q444" s="9" t="n">
        <v>0</v>
      </c>
      <c r="R444" s="9" t="n">
        <f aca="false">Q444</f>
        <v>0</v>
      </c>
      <c r="T444" s="9" t="n">
        <v>43800</v>
      </c>
      <c r="U444" s="9" t="n">
        <f aca="false">T444</f>
        <v>43800</v>
      </c>
      <c r="V444" s="9" t="n">
        <v>45800</v>
      </c>
      <c r="W444" s="9" t="n">
        <f aca="false">V444</f>
        <v>45800</v>
      </c>
      <c r="X444" s="45" t="n">
        <f aca="false">V444/H444</f>
        <v>57.465495608532</v>
      </c>
      <c r="Y444" s="46" t="n">
        <f aca="false">SUM(V444-T444)/T444</f>
        <v>0.045662100456621</v>
      </c>
      <c r="Z444" s="9" t="s">
        <v>127</v>
      </c>
      <c r="AA444" s="42"/>
      <c r="AB444" s="14"/>
      <c r="AC444" s="5" t="s">
        <v>43</v>
      </c>
      <c r="AD444" s="4" t="s">
        <v>119</v>
      </c>
      <c r="AE444" s="15" t="n">
        <v>62.5</v>
      </c>
      <c r="AG444" s="59" t="n">
        <v>2</v>
      </c>
      <c r="AH444" s="4" t="s">
        <v>57</v>
      </c>
    </row>
    <row r="445" customFormat="false" ht="13.5" hidden="false" customHeight="false" outlineLevel="0" collapsed="false">
      <c r="A445" s="29"/>
      <c r="B445" s="11" t="s">
        <v>106</v>
      </c>
      <c r="C445" s="11" t="s">
        <v>38</v>
      </c>
      <c r="D445" s="29" t="n">
        <v>550730</v>
      </c>
      <c r="E445" s="4" t="s">
        <v>506</v>
      </c>
      <c r="F445" s="4" t="s">
        <v>180</v>
      </c>
      <c r="G445" s="5" t="s">
        <v>40</v>
      </c>
      <c r="H445" s="6" t="n">
        <v>747</v>
      </c>
      <c r="I445" s="6" t="n">
        <f aca="false">H445</f>
        <v>747</v>
      </c>
      <c r="J445" s="6" t="n">
        <v>750</v>
      </c>
      <c r="K445" s="4" t="s">
        <v>510</v>
      </c>
      <c r="L445" s="7" t="n">
        <v>45553</v>
      </c>
      <c r="M445" s="8" t="n">
        <v>46282</v>
      </c>
      <c r="Q445" s="9" t="n">
        <v>41250</v>
      </c>
      <c r="R445" s="9" t="n">
        <f aca="false">Q445</f>
        <v>41250</v>
      </c>
      <c r="T445" s="9" t="n">
        <v>39200</v>
      </c>
      <c r="U445" s="9" t="n">
        <f aca="false">T445</f>
        <v>39200</v>
      </c>
      <c r="V445" s="9" t="n">
        <v>41100</v>
      </c>
      <c r="W445" s="9" t="n">
        <f aca="false">V445</f>
        <v>41100</v>
      </c>
      <c r="X445" s="45" t="n">
        <f aca="false">V445/H445</f>
        <v>55.0200803212851</v>
      </c>
      <c r="Y445" s="46" t="n">
        <f aca="false">SUM(V445-T445)/T445</f>
        <v>0.048469387755102</v>
      </c>
      <c r="Z445" s="9" t="s">
        <v>127</v>
      </c>
      <c r="AA445" s="42"/>
      <c r="AB445" s="14"/>
      <c r="AC445" s="5" t="s">
        <v>43</v>
      </c>
      <c r="AG445" s="59"/>
    </row>
    <row r="446" customFormat="false" ht="14.25" hidden="false" customHeight="true" outlineLevel="0" collapsed="false">
      <c r="A446" s="29"/>
      <c r="B446" s="11"/>
      <c r="C446" s="11" t="s">
        <v>38</v>
      </c>
      <c r="D446" s="29"/>
      <c r="E446" s="4"/>
      <c r="I446" s="9"/>
      <c r="J446" s="9"/>
      <c r="T446" s="9"/>
      <c r="U446" s="9" t="n">
        <f aca="false">T446</f>
        <v>0</v>
      </c>
      <c r="V446" s="9"/>
      <c r="W446" s="9" t="n">
        <f aca="false">V446</f>
        <v>0</v>
      </c>
      <c r="X446" s="9"/>
      <c r="Y446" s="41"/>
      <c r="Z446" s="9"/>
      <c r="AA446" s="42"/>
      <c r="AB446" s="14"/>
      <c r="AC446" s="5"/>
      <c r="AG446" s="59"/>
    </row>
    <row r="447" customFormat="false" ht="14.25" hidden="false" customHeight="true" outlineLevel="0" collapsed="false">
      <c r="A447" s="29"/>
      <c r="B447" s="11"/>
      <c r="C447" s="11" t="s">
        <v>38</v>
      </c>
      <c r="D447" s="29"/>
      <c r="E447" s="4"/>
      <c r="F447" s="47" t="s">
        <v>506</v>
      </c>
      <c r="H447" s="43" t="n">
        <f aca="false">SUM(H440:H445)</f>
        <v>5898</v>
      </c>
      <c r="I447" s="44"/>
      <c r="J447" s="44"/>
      <c r="Q447" s="44" t="n">
        <f aca="false">SUM(Q440:Q445)</f>
        <v>181940</v>
      </c>
      <c r="R447" s="44"/>
      <c r="S447" s="44" t="n">
        <f aca="false">SUM(R438:R446)</f>
        <v>181940</v>
      </c>
      <c r="T447" s="44" t="n">
        <f aca="false">SUM(T440:T446)</f>
        <v>302200</v>
      </c>
      <c r="U447" s="44"/>
      <c r="V447" s="44" t="n">
        <f aca="false">SUM(V440:V446)</f>
        <v>319717</v>
      </c>
      <c r="W447" s="44"/>
      <c r="X447" s="44"/>
      <c r="Y447" s="64"/>
      <c r="Z447" s="44"/>
      <c r="AA447" s="67"/>
      <c r="AB447" s="44" t="n">
        <v>4050000</v>
      </c>
      <c r="AC447" s="5"/>
      <c r="AF447" s="60"/>
      <c r="AG447" s="62"/>
      <c r="AH447" s="60"/>
    </row>
    <row r="448" customFormat="false" ht="14.25" hidden="false" customHeight="true" outlineLevel="0" collapsed="false">
      <c r="A448" s="29"/>
      <c r="B448" s="11"/>
      <c r="C448" s="11" t="s">
        <v>38</v>
      </c>
      <c r="D448" s="29"/>
      <c r="E448" s="4"/>
      <c r="H448" s="43"/>
      <c r="I448" s="44"/>
      <c r="J448" s="44"/>
      <c r="Q448" s="44"/>
      <c r="R448" s="44"/>
      <c r="S448" s="44"/>
      <c r="T448" s="44"/>
      <c r="U448" s="44"/>
      <c r="V448" s="44"/>
      <c r="W448" s="44"/>
      <c r="X448" s="44"/>
      <c r="Y448" s="64"/>
      <c r="Z448" s="44"/>
      <c r="AA448" s="67"/>
      <c r="AB448" s="44"/>
      <c r="AC448" s="5"/>
      <c r="AG448" s="59"/>
    </row>
    <row r="449" customFormat="false" ht="14.25" hidden="false" customHeight="true" outlineLevel="0" collapsed="false">
      <c r="A449" s="29"/>
      <c r="B449" s="11"/>
      <c r="C449" s="11" t="s">
        <v>38</v>
      </c>
      <c r="D449" s="29"/>
      <c r="E449" s="4"/>
      <c r="G449" s="39" t="s">
        <v>511</v>
      </c>
      <c r="I449" s="9"/>
      <c r="J449" s="9"/>
      <c r="K449" s="40"/>
      <c r="T449" s="11"/>
      <c r="U449" s="9"/>
      <c r="V449" s="11"/>
      <c r="W449" s="9"/>
      <c r="X449" s="9"/>
      <c r="Y449" s="41"/>
      <c r="Z449" s="9"/>
      <c r="AA449" s="42"/>
      <c r="AB449" s="44"/>
      <c r="AC449" s="5"/>
      <c r="AG449" s="59"/>
    </row>
    <row r="450" customFormat="false" ht="14.25" hidden="false" customHeight="true" outlineLevel="0" collapsed="false">
      <c r="A450" s="29"/>
      <c r="B450" s="11"/>
      <c r="C450" s="11" t="s">
        <v>38</v>
      </c>
      <c r="D450" s="29"/>
      <c r="E450" s="4"/>
      <c r="G450" s="81"/>
      <c r="H450" s="76"/>
      <c r="I450" s="9"/>
      <c r="J450" s="9"/>
      <c r="L450" s="8"/>
      <c r="T450" s="9"/>
      <c r="U450" s="9"/>
      <c r="V450" s="9"/>
      <c r="W450" s="9"/>
      <c r="X450" s="9"/>
      <c r="Y450" s="41"/>
      <c r="Z450" s="9"/>
      <c r="AA450" s="42"/>
      <c r="AB450" s="44"/>
      <c r="AC450" s="5"/>
      <c r="AG450" s="59"/>
    </row>
    <row r="451" customFormat="false" ht="14.25" hidden="false" customHeight="true" outlineLevel="0" collapsed="false">
      <c r="A451" s="29"/>
      <c r="B451" s="11" t="s">
        <v>236</v>
      </c>
      <c r="C451" s="11" t="s">
        <v>38</v>
      </c>
      <c r="D451" s="29" t="n">
        <v>550800</v>
      </c>
      <c r="E451" s="4" t="s">
        <v>511</v>
      </c>
      <c r="F451" s="4" t="s">
        <v>181</v>
      </c>
      <c r="G451" s="5" t="s">
        <v>237</v>
      </c>
      <c r="H451" s="6" t="n">
        <v>424</v>
      </c>
      <c r="I451" s="6" t="n">
        <f aca="false">H451</f>
        <v>424</v>
      </c>
      <c r="J451" s="6" t="n">
        <v>500</v>
      </c>
      <c r="K451" s="4" t="s">
        <v>512</v>
      </c>
      <c r="L451" s="7" t="n">
        <v>45262</v>
      </c>
      <c r="M451" s="8" t="n">
        <v>47088</v>
      </c>
      <c r="Q451" s="9" t="n">
        <v>11872</v>
      </c>
      <c r="R451" s="9" t="n">
        <f aca="false">Q451</f>
        <v>11872</v>
      </c>
      <c r="T451" s="9" t="n">
        <v>11660</v>
      </c>
      <c r="U451" s="9" t="n">
        <f aca="false">T451</f>
        <v>11660</v>
      </c>
      <c r="V451" s="9" t="n">
        <v>11660</v>
      </c>
      <c r="W451" s="9" t="n">
        <f aca="false">V451</f>
        <v>11660</v>
      </c>
      <c r="X451" s="45" t="n">
        <f aca="false">V451/H451</f>
        <v>27.5</v>
      </c>
      <c r="Y451" s="46" t="n">
        <f aca="false">SUM(V451-T451)/T451</f>
        <v>0</v>
      </c>
      <c r="Z451" s="9" t="s">
        <v>127</v>
      </c>
      <c r="AA451" s="42"/>
      <c r="AB451" s="44"/>
      <c r="AC451" s="5" t="s">
        <v>43</v>
      </c>
      <c r="AE451" s="58"/>
      <c r="AG451" s="59"/>
    </row>
    <row r="452" customFormat="false" ht="25.5" hidden="false" customHeight="true" outlineLevel="0" collapsed="false">
      <c r="A452" s="29"/>
      <c r="B452" s="11" t="s">
        <v>236</v>
      </c>
      <c r="C452" s="11" t="s">
        <v>38</v>
      </c>
      <c r="D452" s="29" t="n">
        <v>550800</v>
      </c>
      <c r="E452" s="4" t="s">
        <v>511</v>
      </c>
      <c r="F452" s="4" t="s">
        <v>513</v>
      </c>
      <c r="G452" s="5" t="s">
        <v>49</v>
      </c>
      <c r="H452" s="6" t="n">
        <v>515</v>
      </c>
      <c r="I452" s="6" t="n">
        <f aca="false">H452</f>
        <v>515</v>
      </c>
      <c r="J452" s="6" t="n">
        <v>500</v>
      </c>
      <c r="K452" s="4" t="s">
        <v>514</v>
      </c>
      <c r="L452" s="7" t="n">
        <v>44756</v>
      </c>
      <c r="M452" s="8" t="n">
        <v>47154</v>
      </c>
      <c r="O452" s="8" t="n">
        <v>45328</v>
      </c>
      <c r="Q452" s="9" t="n">
        <v>37500</v>
      </c>
      <c r="R452" s="9" t="n">
        <f aca="false">Q452</f>
        <v>37500</v>
      </c>
      <c r="T452" s="9" t="n">
        <v>37502</v>
      </c>
      <c r="U452" s="9" t="n">
        <f aca="false">T452</f>
        <v>37502</v>
      </c>
      <c r="V452" s="9" t="n">
        <v>37500</v>
      </c>
      <c r="W452" s="9" t="n">
        <f aca="false">V452</f>
        <v>37500</v>
      </c>
      <c r="X452" s="45" t="n">
        <f aca="false">V452/H452</f>
        <v>72.8155339805825</v>
      </c>
      <c r="Y452" s="46" t="n">
        <f aca="false">SUM(V452-T452)/T452</f>
        <v>-5.33304890405845E-005</v>
      </c>
      <c r="Z452" s="9" t="s">
        <v>55</v>
      </c>
      <c r="AA452" s="42"/>
      <c r="AB452" s="44"/>
      <c r="AC452" s="5" t="s">
        <v>43</v>
      </c>
      <c r="AG452" s="59"/>
    </row>
    <row r="453" customFormat="false" ht="13.5" hidden="false" customHeight="false" outlineLevel="0" collapsed="false">
      <c r="A453" s="29"/>
      <c r="B453" s="11" t="s">
        <v>236</v>
      </c>
      <c r="C453" s="11" t="s">
        <v>38</v>
      </c>
      <c r="D453" s="29" t="n">
        <v>550800</v>
      </c>
      <c r="E453" s="4" t="s">
        <v>511</v>
      </c>
      <c r="F453" s="4" t="s">
        <v>515</v>
      </c>
      <c r="G453" s="5" t="s">
        <v>40</v>
      </c>
      <c r="H453" s="6" t="n">
        <v>172</v>
      </c>
      <c r="I453" s="6" t="n">
        <f aca="false">H453</f>
        <v>172</v>
      </c>
      <c r="J453" s="6" t="n">
        <v>250</v>
      </c>
      <c r="K453" s="4" t="s">
        <v>516</v>
      </c>
      <c r="L453" s="7" t="n">
        <v>44750</v>
      </c>
      <c r="M453" s="8" t="n">
        <v>46575</v>
      </c>
      <c r="Q453" s="9" t="n">
        <v>9400</v>
      </c>
      <c r="R453" s="9" t="n">
        <f aca="false">Q453</f>
        <v>9400</v>
      </c>
      <c r="T453" s="9" t="n">
        <v>9460</v>
      </c>
      <c r="U453" s="9" t="n">
        <f aca="false">T453</f>
        <v>9460</v>
      </c>
      <c r="V453" s="9" t="n">
        <v>11180</v>
      </c>
      <c r="W453" s="9" t="n">
        <f aca="false">V453</f>
        <v>11180</v>
      </c>
      <c r="X453" s="45" t="n">
        <f aca="false">V453/H453</f>
        <v>65</v>
      </c>
      <c r="Y453" s="46" t="n">
        <f aca="false">SUM(V453-T453)/T453</f>
        <v>0.181818181818182</v>
      </c>
      <c r="Z453" s="9" t="s">
        <v>127</v>
      </c>
      <c r="AA453" s="42"/>
      <c r="AB453" s="44"/>
      <c r="AC453" s="5" t="s">
        <v>43</v>
      </c>
      <c r="AG453" s="59"/>
    </row>
    <row r="454" customFormat="false" ht="13.5" hidden="false" customHeight="false" outlineLevel="0" collapsed="false">
      <c r="A454" s="29"/>
      <c r="B454" s="11" t="s">
        <v>236</v>
      </c>
      <c r="C454" s="11" t="s">
        <v>38</v>
      </c>
      <c r="D454" s="29" t="n">
        <v>550800</v>
      </c>
      <c r="E454" s="4" t="s">
        <v>511</v>
      </c>
      <c r="F454" s="4" t="s">
        <v>517</v>
      </c>
      <c r="G454" s="5" t="s">
        <v>40</v>
      </c>
      <c r="H454" s="6" t="n">
        <v>117</v>
      </c>
      <c r="I454" s="6" t="n">
        <f aca="false">H454</f>
        <v>117</v>
      </c>
      <c r="J454" s="6" t="n">
        <v>250</v>
      </c>
      <c r="K454" s="4" t="s">
        <v>518</v>
      </c>
      <c r="L454" s="7" t="n">
        <v>45194</v>
      </c>
      <c r="M454" s="8" t="n">
        <v>47020</v>
      </c>
      <c r="P454" s="8" t="n">
        <v>46289</v>
      </c>
      <c r="Q454" s="9" t="n">
        <v>7100</v>
      </c>
      <c r="R454" s="9" t="n">
        <f aca="false">Q454</f>
        <v>7100</v>
      </c>
      <c r="T454" s="9" t="n">
        <v>7000</v>
      </c>
      <c r="U454" s="9" t="n">
        <f aca="false">T454</f>
        <v>7000</v>
      </c>
      <c r="V454" s="9" t="n">
        <v>7605</v>
      </c>
      <c r="W454" s="9" t="n">
        <f aca="false">V454</f>
        <v>7605</v>
      </c>
      <c r="X454" s="45" t="n">
        <f aca="false">V454/H454</f>
        <v>65</v>
      </c>
      <c r="Y454" s="46" t="n">
        <f aca="false">SUM(V454-T454)/T454</f>
        <v>0.0864285714285714</v>
      </c>
      <c r="Z454" s="9" t="s">
        <v>127</v>
      </c>
      <c r="AA454" s="42"/>
      <c r="AB454" s="44"/>
      <c r="AC454" s="5" t="s">
        <v>43</v>
      </c>
      <c r="AD454" s="4" t="s">
        <v>77</v>
      </c>
      <c r="AG454" s="59"/>
    </row>
    <row r="455" customFormat="false" ht="13.5" hidden="false" customHeight="false" outlineLevel="0" collapsed="false">
      <c r="A455" s="29"/>
      <c r="B455" s="11" t="s">
        <v>236</v>
      </c>
      <c r="C455" s="11" t="s">
        <v>38</v>
      </c>
      <c r="D455" s="29" t="n">
        <v>550800</v>
      </c>
      <c r="E455" s="4" t="s">
        <v>511</v>
      </c>
      <c r="F455" s="4" t="s">
        <v>519</v>
      </c>
      <c r="G455" s="5" t="s">
        <v>40</v>
      </c>
      <c r="H455" s="6" t="n">
        <v>170</v>
      </c>
      <c r="I455" s="6" t="n">
        <f aca="false">H455</f>
        <v>170</v>
      </c>
      <c r="J455" s="6" t="n">
        <v>250</v>
      </c>
      <c r="K455" s="4" t="s">
        <v>520</v>
      </c>
      <c r="L455" s="7" t="n">
        <v>45632</v>
      </c>
      <c r="M455" s="8" t="n">
        <v>47457</v>
      </c>
      <c r="P455" s="8" t="n">
        <v>46519</v>
      </c>
      <c r="Q455" s="9" t="n">
        <v>9400</v>
      </c>
      <c r="R455" s="9" t="n">
        <f aca="false">Q455</f>
        <v>9400</v>
      </c>
      <c r="T455" s="9" t="n">
        <v>8925</v>
      </c>
      <c r="U455" s="9" t="n">
        <f aca="false">T455</f>
        <v>8925</v>
      </c>
      <c r="V455" s="9" t="n">
        <v>11050</v>
      </c>
      <c r="W455" s="9" t="n">
        <f aca="false">V455</f>
        <v>11050</v>
      </c>
      <c r="X455" s="45" t="n">
        <f aca="false">V455/H455</f>
        <v>65</v>
      </c>
      <c r="Y455" s="46" t="n">
        <f aca="false">SUM(V455-T455)/T455</f>
        <v>0.238095238095238</v>
      </c>
      <c r="Z455" s="9" t="s">
        <v>127</v>
      </c>
      <c r="AA455" s="42"/>
      <c r="AB455" s="44"/>
      <c r="AC455" s="5" t="s">
        <v>43</v>
      </c>
      <c r="AD455" s="4" t="s">
        <v>521</v>
      </c>
      <c r="AG455" s="59"/>
    </row>
    <row r="456" customFormat="false" ht="13.5" hidden="false" customHeight="false" outlineLevel="0" collapsed="false">
      <c r="A456" s="29"/>
      <c r="B456" s="11" t="s">
        <v>236</v>
      </c>
      <c r="C456" s="11" t="s">
        <v>38</v>
      </c>
      <c r="D456" s="29" t="n">
        <v>550800</v>
      </c>
      <c r="E456" s="4" t="s">
        <v>511</v>
      </c>
      <c r="F456" s="4" t="s">
        <v>522</v>
      </c>
      <c r="G456" s="5" t="s">
        <v>40</v>
      </c>
      <c r="H456" s="6" t="n">
        <v>130</v>
      </c>
      <c r="I456" s="6" t="n">
        <f aca="false">H456</f>
        <v>130</v>
      </c>
      <c r="J456" s="6" t="n">
        <v>250</v>
      </c>
      <c r="K456" s="4" t="s">
        <v>523</v>
      </c>
      <c r="L456" s="7" t="n">
        <v>44762</v>
      </c>
      <c r="M456" s="8" t="n">
        <v>46587</v>
      </c>
      <c r="P456" s="8" t="n">
        <v>45857</v>
      </c>
      <c r="Q456" s="9" t="n">
        <v>7605</v>
      </c>
      <c r="R456" s="9" t="n">
        <f aca="false">Q456</f>
        <v>7605</v>
      </c>
      <c r="T456" s="9" t="n">
        <v>7605</v>
      </c>
      <c r="U456" s="9" t="n">
        <f aca="false">T456</f>
        <v>7605</v>
      </c>
      <c r="V456" s="9" t="n">
        <v>8450</v>
      </c>
      <c r="W456" s="9" t="n">
        <f aca="false">V456</f>
        <v>8450</v>
      </c>
      <c r="X456" s="45" t="n">
        <f aca="false">V456/H456</f>
        <v>65</v>
      </c>
      <c r="Y456" s="46" t="n">
        <f aca="false">SUM(V456-T456)/T456</f>
        <v>0.111111111111111</v>
      </c>
      <c r="Z456" s="9" t="s">
        <v>127</v>
      </c>
      <c r="AA456" s="42"/>
      <c r="AB456" s="44"/>
      <c r="AC456" s="5" t="s">
        <v>43</v>
      </c>
      <c r="AG456" s="59"/>
    </row>
    <row r="457" customFormat="false" ht="13.5" hidden="false" customHeight="false" outlineLevel="0" collapsed="false">
      <c r="A457" s="29"/>
      <c r="B457" s="11" t="s">
        <v>236</v>
      </c>
      <c r="C457" s="11" t="s">
        <v>38</v>
      </c>
      <c r="D457" s="29" t="n">
        <v>550800</v>
      </c>
      <c r="E457" s="4" t="s">
        <v>511</v>
      </c>
      <c r="F457" s="4" t="s">
        <v>524</v>
      </c>
      <c r="G457" s="5" t="s">
        <v>242</v>
      </c>
      <c r="H457" s="6" t="n">
        <v>600</v>
      </c>
      <c r="I457" s="6" t="n">
        <f aca="false">H457</f>
        <v>600</v>
      </c>
      <c r="J457" s="6" t="n">
        <v>500</v>
      </c>
      <c r="K457" s="4" t="s">
        <v>525</v>
      </c>
      <c r="L457" s="7" t="n">
        <v>45135</v>
      </c>
      <c r="M457" s="8" t="n">
        <v>45865</v>
      </c>
      <c r="Q457" s="98" t="n">
        <v>40950</v>
      </c>
      <c r="R457" s="9" t="n">
        <f aca="false">Q457</f>
        <v>40950</v>
      </c>
      <c r="T457" s="9" t="n">
        <v>36140</v>
      </c>
      <c r="U457" s="9" t="n">
        <f aca="false">T457</f>
        <v>36140</v>
      </c>
      <c r="V457" s="9" t="n">
        <v>39000</v>
      </c>
      <c r="W457" s="9" t="n">
        <f aca="false">V457</f>
        <v>39000</v>
      </c>
      <c r="X457" s="45" t="n">
        <f aca="false">V457/H457</f>
        <v>65</v>
      </c>
      <c r="Y457" s="46" t="n">
        <f aca="false">SUM(V457-T457)/T457</f>
        <v>0.079136690647482</v>
      </c>
      <c r="Z457" s="9" t="s">
        <v>127</v>
      </c>
      <c r="AA457" s="42"/>
      <c r="AB457" s="44"/>
      <c r="AC457" s="5" t="s">
        <v>43</v>
      </c>
      <c r="AD457" s="60" t="s">
        <v>526</v>
      </c>
      <c r="AG457" s="59"/>
    </row>
    <row r="458" customFormat="false" ht="14.25" hidden="false" customHeight="true" outlineLevel="0" collapsed="false">
      <c r="A458" s="29"/>
      <c r="B458" s="11"/>
      <c r="C458" s="11" t="s">
        <v>38</v>
      </c>
      <c r="D458" s="29"/>
      <c r="E458" s="4"/>
      <c r="I458" s="9"/>
      <c r="J458" s="9"/>
      <c r="T458" s="9"/>
      <c r="U458" s="9"/>
      <c r="V458" s="9"/>
      <c r="W458" s="9"/>
      <c r="X458" s="9"/>
      <c r="Y458" s="41"/>
      <c r="Z458" s="9"/>
      <c r="AA458" s="42"/>
      <c r="AB458" s="44"/>
      <c r="AC458" s="5"/>
      <c r="AG458" s="59"/>
    </row>
    <row r="459" customFormat="false" ht="14.25" hidden="false" customHeight="true" outlineLevel="0" collapsed="false">
      <c r="A459" s="29"/>
      <c r="B459" s="11"/>
      <c r="C459" s="11" t="s">
        <v>38</v>
      </c>
      <c r="D459" s="29"/>
      <c r="E459" s="4"/>
      <c r="F459" s="47" t="s">
        <v>511</v>
      </c>
      <c r="H459" s="43" t="n">
        <f aca="false">SUM(H451:H457)</f>
        <v>2128</v>
      </c>
      <c r="I459" s="44"/>
      <c r="J459" s="44"/>
      <c r="Q459" s="116" t="n">
        <f aca="false">SUM(Q451:Q457)</f>
        <v>123827</v>
      </c>
      <c r="R459" s="44"/>
      <c r="S459" s="44" t="n">
        <f aca="false">SUM(R449:R458)</f>
        <v>123827</v>
      </c>
      <c r="T459" s="44" t="n">
        <f aca="false">SUM(T451:T457)</f>
        <v>118292</v>
      </c>
      <c r="U459" s="44"/>
      <c r="V459" s="44" t="n">
        <f aca="false">SUM(V451:V457)</f>
        <v>126445</v>
      </c>
      <c r="W459" s="44"/>
      <c r="X459" s="44"/>
      <c r="Y459" s="64"/>
      <c r="Z459" s="44"/>
      <c r="AA459" s="67"/>
      <c r="AB459" s="44" t="n">
        <v>2175000</v>
      </c>
      <c r="AC459" s="5"/>
      <c r="AG459" s="59"/>
    </row>
    <row r="460" customFormat="false" ht="14.25" hidden="false" customHeight="true" outlineLevel="0" collapsed="false">
      <c r="A460" s="29"/>
      <c r="B460" s="11"/>
      <c r="C460" s="11" t="s">
        <v>38</v>
      </c>
      <c r="D460" s="29"/>
      <c r="E460" s="4"/>
      <c r="H460" s="43"/>
      <c r="I460" s="44"/>
      <c r="J460" s="44"/>
      <c r="Q460" s="44"/>
      <c r="R460" s="44"/>
      <c r="S460" s="44"/>
      <c r="T460" s="44"/>
      <c r="U460" s="44"/>
      <c r="V460" s="44"/>
      <c r="W460" s="44"/>
      <c r="X460" s="44"/>
      <c r="Y460" s="64"/>
      <c r="Z460" s="44"/>
      <c r="AA460" s="67"/>
      <c r="AB460" s="66"/>
      <c r="AC460" s="5"/>
      <c r="AG460" s="59"/>
    </row>
    <row r="461" customFormat="false" ht="14.25" hidden="false" customHeight="true" outlineLevel="0" collapsed="false">
      <c r="A461" s="29"/>
      <c r="B461" s="11"/>
      <c r="C461" s="11" t="s">
        <v>38</v>
      </c>
      <c r="D461" s="29"/>
      <c r="E461" s="4"/>
      <c r="G461" s="39" t="s">
        <v>527</v>
      </c>
      <c r="I461" s="9"/>
      <c r="J461" s="9"/>
      <c r="K461" s="40"/>
      <c r="T461" s="11"/>
      <c r="U461" s="9"/>
      <c r="V461" s="11"/>
      <c r="W461" s="9"/>
      <c r="X461" s="9"/>
      <c r="Y461" s="41"/>
      <c r="Z461" s="9"/>
      <c r="AA461" s="42"/>
      <c r="AB461" s="14"/>
      <c r="AC461" s="5"/>
      <c r="AG461" s="59"/>
    </row>
    <row r="462" customFormat="false" ht="14.25" hidden="false" customHeight="true" outlineLevel="0" collapsed="false">
      <c r="A462" s="29"/>
      <c r="B462" s="11"/>
      <c r="C462" s="11" t="s">
        <v>38</v>
      </c>
      <c r="D462" s="29"/>
      <c r="E462" s="4"/>
      <c r="G462" s="39"/>
      <c r="H462" s="103"/>
      <c r="I462" s="9"/>
      <c r="J462" s="9"/>
      <c r="T462" s="9"/>
      <c r="U462" s="9"/>
      <c r="V462" s="9"/>
      <c r="W462" s="9"/>
      <c r="X462" s="9"/>
      <c r="Y462" s="41"/>
      <c r="Z462" s="9"/>
      <c r="AA462" s="42"/>
      <c r="AB462" s="14"/>
      <c r="AC462" s="5"/>
      <c r="AG462" s="59"/>
    </row>
    <row r="463" customFormat="false" ht="13.5" hidden="false" customHeight="false" outlineLevel="0" collapsed="false">
      <c r="A463" s="29"/>
      <c r="B463" s="11" t="s">
        <v>47</v>
      </c>
      <c r="C463" s="11" t="s">
        <v>38</v>
      </c>
      <c r="D463" s="29" t="n">
        <v>550550</v>
      </c>
      <c r="E463" s="4" t="s">
        <v>527</v>
      </c>
      <c r="F463" s="4" t="s">
        <v>528</v>
      </c>
      <c r="G463" s="5" t="s">
        <v>529</v>
      </c>
      <c r="H463" s="6" t="n">
        <v>3664</v>
      </c>
      <c r="I463" s="6" t="n">
        <f aca="false">H463</f>
        <v>3664</v>
      </c>
      <c r="J463" s="6" t="n">
        <v>3500</v>
      </c>
      <c r="K463" s="4" t="s">
        <v>530</v>
      </c>
      <c r="L463" s="7" t="n">
        <v>40946</v>
      </c>
      <c r="M463" s="7" t="n">
        <v>46424</v>
      </c>
      <c r="N463" s="7"/>
      <c r="Q463" s="9" t="n">
        <v>230000</v>
      </c>
      <c r="R463" s="9" t="n">
        <f aca="false">Q463</f>
        <v>230000</v>
      </c>
      <c r="T463" s="9" t="n">
        <v>225000</v>
      </c>
      <c r="U463" s="9" t="n">
        <f aca="false">T463</f>
        <v>225000</v>
      </c>
      <c r="V463" s="9" t="n">
        <v>200000</v>
      </c>
      <c r="W463" s="9" t="n">
        <f aca="false">V463</f>
        <v>200000</v>
      </c>
      <c r="X463" s="45" t="n">
        <f aca="false">V463/H463</f>
        <v>54.5851528384279</v>
      </c>
      <c r="Y463" s="46" t="n">
        <f aca="false">SUM(V463-T463)/T463</f>
        <v>-0.111111111111111</v>
      </c>
      <c r="Z463" s="9" t="s">
        <v>55</v>
      </c>
      <c r="AA463" s="42"/>
      <c r="AB463" s="14"/>
      <c r="AC463" s="5" t="s">
        <v>43</v>
      </c>
      <c r="AD463" s="4" t="s">
        <v>531</v>
      </c>
      <c r="AG463" s="59"/>
    </row>
    <row r="464" customFormat="false" ht="13.5" hidden="false" customHeight="false" outlineLevel="0" collapsed="false">
      <c r="A464" s="29"/>
      <c r="B464" s="11" t="s">
        <v>47</v>
      </c>
      <c r="C464" s="11" t="s">
        <v>38</v>
      </c>
      <c r="D464" s="29" t="n">
        <v>550550</v>
      </c>
      <c r="E464" s="4" t="s">
        <v>527</v>
      </c>
      <c r="F464" s="4" t="s">
        <v>532</v>
      </c>
      <c r="G464" s="5" t="s">
        <v>49</v>
      </c>
      <c r="H464" s="6" t="n">
        <v>1496</v>
      </c>
      <c r="I464" s="6" t="n">
        <f aca="false">H464</f>
        <v>1496</v>
      </c>
      <c r="J464" s="6" t="n">
        <v>1500</v>
      </c>
      <c r="K464" s="4" t="s">
        <v>533</v>
      </c>
      <c r="L464" s="7" t="n">
        <v>45178</v>
      </c>
      <c r="M464" s="8" t="n">
        <v>47004</v>
      </c>
      <c r="Q464" s="9" t="n">
        <v>53200</v>
      </c>
      <c r="R464" s="9" t="n">
        <f aca="false">Q464</f>
        <v>53200</v>
      </c>
      <c r="T464" s="9" t="n">
        <v>53200</v>
      </c>
      <c r="U464" s="9" t="n">
        <f aca="false">T464</f>
        <v>53200</v>
      </c>
      <c r="V464" s="9" t="n">
        <v>58000</v>
      </c>
      <c r="W464" s="9" t="n">
        <f aca="false">V464</f>
        <v>58000</v>
      </c>
      <c r="X464" s="45" t="n">
        <f aca="false">V464/H464</f>
        <v>38.7700534759358</v>
      </c>
      <c r="Y464" s="46" t="n">
        <f aca="false">SUM(V464-T464)/T464</f>
        <v>0.0902255639097744</v>
      </c>
      <c r="Z464" s="9" t="s">
        <v>55</v>
      </c>
      <c r="AA464" s="42"/>
      <c r="AB464" s="14"/>
      <c r="AC464" s="5" t="s">
        <v>43</v>
      </c>
      <c r="AD464" s="4" t="s">
        <v>534</v>
      </c>
      <c r="AG464" s="59"/>
    </row>
    <row r="465" customFormat="false" ht="13.5" hidden="false" customHeight="false" outlineLevel="0" collapsed="false">
      <c r="A465" s="29"/>
      <c r="B465" s="11" t="s">
        <v>47</v>
      </c>
      <c r="C465" s="11" t="s">
        <v>38</v>
      </c>
      <c r="D465" s="29" t="n">
        <v>550550</v>
      </c>
      <c r="E465" s="4" t="s">
        <v>527</v>
      </c>
      <c r="F465" s="4" t="s">
        <v>535</v>
      </c>
      <c r="G465" s="5" t="s">
        <v>134</v>
      </c>
      <c r="H465" s="6" t="n">
        <v>1592</v>
      </c>
      <c r="I465" s="6" t="n">
        <f aca="false">H465</f>
        <v>1592</v>
      </c>
      <c r="J465" s="6" t="n">
        <v>1500</v>
      </c>
      <c r="K465" s="4" t="s">
        <v>536</v>
      </c>
      <c r="L465" s="7" t="n">
        <v>44663</v>
      </c>
      <c r="M465" s="8" t="n">
        <v>50141</v>
      </c>
      <c r="O465" s="8" t="n">
        <v>46489</v>
      </c>
      <c r="P465" s="8" t="n">
        <v>48315</v>
      </c>
      <c r="Q465" s="9" t="n">
        <v>95000</v>
      </c>
      <c r="R465" s="9" t="n">
        <f aca="false">Q465</f>
        <v>95000</v>
      </c>
      <c r="T465" s="9" t="n">
        <v>100500</v>
      </c>
      <c r="U465" s="9" t="n">
        <f aca="false">T465</f>
        <v>100500</v>
      </c>
      <c r="V465" s="9" t="n">
        <v>100000</v>
      </c>
      <c r="W465" s="9" t="n">
        <f aca="false">V465</f>
        <v>100000</v>
      </c>
      <c r="X465" s="45" t="n">
        <f aca="false">V465/H465</f>
        <v>62.8140703517588</v>
      </c>
      <c r="Y465" s="46" t="n">
        <f aca="false">SUM(V465-T465)/T465</f>
        <v>-0.00497512437810945</v>
      </c>
      <c r="Z465" s="98" t="s">
        <v>55</v>
      </c>
      <c r="AA465" s="42"/>
      <c r="AB465" s="14"/>
      <c r="AC465" s="5" t="s">
        <v>43</v>
      </c>
      <c r="AD465" s="4" t="s">
        <v>537</v>
      </c>
      <c r="AG465" s="59"/>
    </row>
    <row r="466" customFormat="false" ht="13.5" hidden="false" customHeight="false" outlineLevel="0" collapsed="false">
      <c r="A466" s="29"/>
      <c r="B466" s="11" t="s">
        <v>47</v>
      </c>
      <c r="C466" s="11" t="s">
        <v>38</v>
      </c>
      <c r="D466" s="29" t="n">
        <v>550550</v>
      </c>
      <c r="E466" s="4" t="s">
        <v>527</v>
      </c>
      <c r="F466" s="4" t="s">
        <v>538</v>
      </c>
      <c r="G466" s="5" t="s">
        <v>49</v>
      </c>
      <c r="H466" s="6" t="n">
        <v>1704</v>
      </c>
      <c r="I466" s="6" t="n">
        <f aca="false">H466</f>
        <v>1704</v>
      </c>
      <c r="J466" s="6" t="n">
        <v>1750</v>
      </c>
      <c r="K466" s="4" t="s">
        <v>539</v>
      </c>
      <c r="L466" s="7" t="n">
        <v>45111</v>
      </c>
      <c r="M466" s="8" t="n">
        <v>48763</v>
      </c>
      <c r="O466" s="8" t="n">
        <v>46938</v>
      </c>
      <c r="Q466" s="9" t="n">
        <v>105000</v>
      </c>
      <c r="R466" s="9" t="n">
        <f aca="false">Q466</f>
        <v>105000</v>
      </c>
      <c r="T466" s="9" t="n">
        <v>96300</v>
      </c>
      <c r="U466" s="9" t="n">
        <f aca="false">T466</f>
        <v>96300</v>
      </c>
      <c r="V466" s="9" t="n">
        <v>105000</v>
      </c>
      <c r="W466" s="9" t="n">
        <f aca="false">V466</f>
        <v>105000</v>
      </c>
      <c r="X466" s="45" t="n">
        <f aca="false">V466/H466</f>
        <v>61.6197183098592</v>
      </c>
      <c r="Y466" s="46" t="n">
        <f aca="false">SUM(V466-T466)/T466</f>
        <v>0.0903426791277259</v>
      </c>
      <c r="Z466" s="9" t="s">
        <v>55</v>
      </c>
      <c r="AA466" s="42"/>
      <c r="AB466" s="14"/>
      <c r="AC466" s="5" t="s">
        <v>43</v>
      </c>
      <c r="AG466" s="59"/>
    </row>
    <row r="467" customFormat="false" ht="13.5" hidden="false" customHeight="false" outlineLevel="0" collapsed="false">
      <c r="A467" s="29"/>
      <c r="B467" s="11" t="s">
        <v>47</v>
      </c>
      <c r="C467" s="11" t="s">
        <v>38</v>
      </c>
      <c r="D467" s="29" t="n">
        <v>550550</v>
      </c>
      <c r="E467" s="4" t="s">
        <v>527</v>
      </c>
      <c r="F467" s="4" t="s">
        <v>140</v>
      </c>
      <c r="G467" s="5" t="s">
        <v>540</v>
      </c>
      <c r="H467" s="6" t="n">
        <v>2955</v>
      </c>
      <c r="I467" s="6" t="n">
        <f aca="false">H467</f>
        <v>2955</v>
      </c>
      <c r="J467" s="6" t="n">
        <v>3000</v>
      </c>
      <c r="K467" s="4" t="s">
        <v>541</v>
      </c>
      <c r="L467" s="7" t="n">
        <v>45329</v>
      </c>
      <c r="M467" s="8" t="n">
        <v>46059</v>
      </c>
      <c r="Q467" s="9" t="n">
        <v>150000</v>
      </c>
      <c r="R467" s="9" t="n">
        <f aca="false">Q467</f>
        <v>150000</v>
      </c>
      <c r="T467" s="9" t="n">
        <v>180000</v>
      </c>
      <c r="U467" s="9" t="n">
        <f aca="false">T467</f>
        <v>180000</v>
      </c>
      <c r="V467" s="9" t="n">
        <v>177300</v>
      </c>
      <c r="W467" s="9" t="n">
        <f aca="false">V467</f>
        <v>177300</v>
      </c>
      <c r="X467" s="45" t="n">
        <f aca="false">V467/H467</f>
        <v>60</v>
      </c>
      <c r="Y467" s="46" t="n">
        <f aca="false">SUM(V467-T467)/T467</f>
        <v>-0.015</v>
      </c>
      <c r="Z467" s="9" t="s">
        <v>42</v>
      </c>
      <c r="AA467" s="42"/>
      <c r="AB467" s="14"/>
      <c r="AC467" s="5" t="s">
        <v>43</v>
      </c>
      <c r="AG467" s="59"/>
    </row>
    <row r="468" customFormat="false" ht="13.5" hidden="false" customHeight="false" outlineLevel="0" collapsed="false">
      <c r="A468" s="29"/>
      <c r="B468" s="11" t="s">
        <v>47</v>
      </c>
      <c r="C468" s="11" t="s">
        <v>38</v>
      </c>
      <c r="D468" s="29" t="n">
        <v>550550</v>
      </c>
      <c r="E468" s="4" t="s">
        <v>527</v>
      </c>
      <c r="F468" s="4" t="s">
        <v>137</v>
      </c>
      <c r="G468" s="5" t="s">
        <v>40</v>
      </c>
      <c r="H468" s="6" t="n">
        <v>388</v>
      </c>
      <c r="I468" s="6" t="n">
        <f aca="false">H468</f>
        <v>388</v>
      </c>
      <c r="J468" s="6" t="n">
        <v>500</v>
      </c>
      <c r="K468" s="4" t="s">
        <v>542</v>
      </c>
      <c r="L468" s="7" t="n">
        <v>45429</v>
      </c>
      <c r="M468" s="8" t="n">
        <v>47254</v>
      </c>
      <c r="P468" s="8" t="n">
        <v>46158</v>
      </c>
      <c r="Q468" s="9" t="n">
        <v>20520</v>
      </c>
      <c r="R468" s="9" t="n">
        <f aca="false">Q468</f>
        <v>20520</v>
      </c>
      <c r="T468" s="9" t="n">
        <v>19000</v>
      </c>
      <c r="U468" s="9" t="n">
        <f aca="false">T468</f>
        <v>19000</v>
      </c>
      <c r="V468" s="9" t="n">
        <v>21000</v>
      </c>
      <c r="W468" s="9" t="n">
        <f aca="false">V468</f>
        <v>21000</v>
      </c>
      <c r="X468" s="45" t="n">
        <f aca="false">V468/H468</f>
        <v>54.1237113402062</v>
      </c>
      <c r="Y468" s="46" t="n">
        <f aca="false">SUM(V468-T468)/T468</f>
        <v>0.105263157894737</v>
      </c>
      <c r="Z468" s="9" t="s">
        <v>42</v>
      </c>
      <c r="AA468" s="42"/>
      <c r="AB468" s="14"/>
      <c r="AC468" s="5" t="s">
        <v>43</v>
      </c>
      <c r="AD468" s="4" t="s">
        <v>77</v>
      </c>
      <c r="AG468" s="59"/>
    </row>
    <row r="469" customFormat="false" ht="24" hidden="false" customHeight="true" outlineLevel="0" collapsed="false">
      <c r="A469" s="29"/>
      <c r="B469" s="11" t="s">
        <v>47</v>
      </c>
      <c r="C469" s="11" t="s">
        <v>38</v>
      </c>
      <c r="D469" s="29" t="n">
        <v>550550</v>
      </c>
      <c r="E469" s="4" t="s">
        <v>527</v>
      </c>
      <c r="F469" s="4" t="s">
        <v>543</v>
      </c>
      <c r="G469" s="5" t="s">
        <v>40</v>
      </c>
      <c r="H469" s="6" t="n">
        <v>395</v>
      </c>
      <c r="I469" s="6" t="n">
        <f aca="false">H469</f>
        <v>395</v>
      </c>
      <c r="J469" s="6" t="n">
        <v>500</v>
      </c>
      <c r="K469" s="4" t="s">
        <v>544</v>
      </c>
      <c r="L469" s="7" t="n">
        <v>45450</v>
      </c>
      <c r="M469" s="8" t="n">
        <v>47275</v>
      </c>
      <c r="P469" s="8" t="n">
        <v>46574</v>
      </c>
      <c r="Q469" s="9" t="n">
        <v>21850</v>
      </c>
      <c r="R469" s="9" t="n">
        <f aca="false">Q469</f>
        <v>21850</v>
      </c>
      <c r="T469" s="9" t="n">
        <v>18900</v>
      </c>
      <c r="U469" s="9" t="n">
        <f aca="false">T469</f>
        <v>18900</v>
      </c>
      <c r="V469" s="9" t="n">
        <v>21850</v>
      </c>
      <c r="W469" s="9" t="n">
        <f aca="false">V469</f>
        <v>21850</v>
      </c>
      <c r="X469" s="45" t="n">
        <f aca="false">V469/H469</f>
        <v>55.3164556962025</v>
      </c>
      <c r="Y469" s="46" t="n">
        <f aca="false">SUM(V469-T469)/T469</f>
        <v>0.156084656084656</v>
      </c>
      <c r="Z469" s="9" t="s">
        <v>42</v>
      </c>
      <c r="AA469" s="42"/>
      <c r="AB469" s="14"/>
      <c r="AC469" s="5" t="s">
        <v>43</v>
      </c>
      <c r="AD469" s="4" t="s">
        <v>545</v>
      </c>
      <c r="AG469" s="59"/>
    </row>
    <row r="470" customFormat="false" ht="24.75" hidden="false" customHeight="true" outlineLevel="0" collapsed="false">
      <c r="A470" s="29"/>
      <c r="B470" s="11" t="s">
        <v>47</v>
      </c>
      <c r="C470" s="11" t="s">
        <v>38</v>
      </c>
      <c r="D470" s="29" t="n">
        <v>550550</v>
      </c>
      <c r="E470" s="4" t="s">
        <v>527</v>
      </c>
      <c r="F470" s="4" t="s">
        <v>143</v>
      </c>
      <c r="G470" s="5" t="s">
        <v>40</v>
      </c>
      <c r="H470" s="6" t="n">
        <v>2610</v>
      </c>
      <c r="I470" s="6" t="n">
        <f aca="false">H470</f>
        <v>2610</v>
      </c>
      <c r="J470" s="6" t="n">
        <v>2500</v>
      </c>
      <c r="K470" s="4" t="s">
        <v>67</v>
      </c>
      <c r="N470" s="8" t="n">
        <v>43783</v>
      </c>
      <c r="Q470" s="9" t="n">
        <v>0</v>
      </c>
      <c r="R470" s="9" t="n">
        <f aca="false">Q470</f>
        <v>0</v>
      </c>
      <c r="T470" s="9" t="n">
        <v>182500</v>
      </c>
      <c r="U470" s="9" t="n">
        <f aca="false">T470</f>
        <v>182500</v>
      </c>
      <c r="V470" s="9" t="n">
        <v>169700</v>
      </c>
      <c r="W470" s="9" t="n">
        <f aca="false">V470</f>
        <v>169700</v>
      </c>
      <c r="X470" s="45" t="n">
        <f aca="false">V470/H470</f>
        <v>65.0191570881226</v>
      </c>
      <c r="Y470" s="46" t="n">
        <f aca="false">SUM(V470-T470)/T470</f>
        <v>-0.0701369863013699</v>
      </c>
      <c r="Z470" s="9" t="s">
        <v>42</v>
      </c>
      <c r="AA470" s="42"/>
      <c r="AB470" s="14"/>
      <c r="AC470" s="5" t="s">
        <v>43</v>
      </c>
      <c r="AD470" s="4" t="s">
        <v>482</v>
      </c>
      <c r="AE470" s="15" t="n">
        <v>72.5</v>
      </c>
      <c r="AF470" s="4" t="n">
        <v>3</v>
      </c>
      <c r="AG470" s="59" t="n">
        <v>6</v>
      </c>
    </row>
    <row r="471" customFormat="false" ht="13.5" hidden="false" customHeight="false" outlineLevel="0" collapsed="false">
      <c r="A471" s="29"/>
      <c r="B471" s="11" t="s">
        <v>47</v>
      </c>
      <c r="C471" s="11" t="s">
        <v>38</v>
      </c>
      <c r="D471" s="29" t="n">
        <v>550550</v>
      </c>
      <c r="E471" s="4" t="s">
        <v>527</v>
      </c>
      <c r="F471" s="4" t="s">
        <v>546</v>
      </c>
      <c r="G471" s="5" t="s">
        <v>40</v>
      </c>
      <c r="H471" s="6" t="n">
        <v>2508</v>
      </c>
      <c r="I471" s="6" t="n">
        <f aca="false">H471</f>
        <v>2508</v>
      </c>
      <c r="J471" s="6" t="n">
        <v>2500</v>
      </c>
      <c r="K471" s="4" t="s">
        <v>67</v>
      </c>
      <c r="N471" s="8" t="n">
        <v>45504</v>
      </c>
      <c r="Q471" s="9" t="n">
        <v>0</v>
      </c>
      <c r="R471" s="9" t="n">
        <f aca="false">Q471</f>
        <v>0</v>
      </c>
      <c r="T471" s="9" t="n">
        <v>138800</v>
      </c>
      <c r="U471" s="9" t="n">
        <f aca="false">T471</f>
        <v>138800</v>
      </c>
      <c r="V471" s="9" t="n">
        <v>141700</v>
      </c>
      <c r="W471" s="9" t="n">
        <f aca="false">V471</f>
        <v>141700</v>
      </c>
      <c r="X471" s="45" t="n">
        <f aca="false">V471/H471</f>
        <v>56.4992025518341</v>
      </c>
      <c r="Y471" s="46" t="n">
        <f aca="false">SUM(V471-T471)/T471</f>
        <v>0.0208933717579251</v>
      </c>
      <c r="Z471" s="9" t="s">
        <v>42</v>
      </c>
      <c r="AA471" s="42"/>
      <c r="AB471" s="14"/>
      <c r="AC471" s="5" t="s">
        <v>43</v>
      </c>
      <c r="AD471" s="4" t="s">
        <v>119</v>
      </c>
      <c r="AE471" s="15" t="n">
        <v>72.5</v>
      </c>
      <c r="AF471" s="4" t="n">
        <v>3</v>
      </c>
      <c r="AG471" s="59" t="n">
        <v>7</v>
      </c>
      <c r="AH471" s="60" t="s">
        <v>547</v>
      </c>
    </row>
    <row r="472" customFormat="false" ht="13.5" hidden="false" customHeight="false" outlineLevel="0" collapsed="false">
      <c r="A472" s="29"/>
      <c r="B472" s="11" t="s">
        <v>47</v>
      </c>
      <c r="C472" s="11" t="s">
        <v>38</v>
      </c>
      <c r="D472" s="29" t="n">
        <v>550550</v>
      </c>
      <c r="E472" s="4" t="s">
        <v>527</v>
      </c>
      <c r="F472" s="4" t="s">
        <v>147</v>
      </c>
      <c r="G472" s="5" t="s">
        <v>40</v>
      </c>
      <c r="H472" s="6" t="n">
        <v>389</v>
      </c>
      <c r="I472" s="6" t="n">
        <f aca="false">H472</f>
        <v>389</v>
      </c>
      <c r="J472" s="6" t="n">
        <v>500</v>
      </c>
      <c r="K472" s="4" t="s">
        <v>67</v>
      </c>
      <c r="N472" s="8" t="n">
        <v>45635</v>
      </c>
      <c r="Q472" s="9" t="n">
        <v>0</v>
      </c>
      <c r="R472" s="9" t="n">
        <f aca="false">Q472</f>
        <v>0</v>
      </c>
      <c r="T472" s="9" t="n">
        <v>19500</v>
      </c>
      <c r="U472" s="9" t="n">
        <f aca="false">T472</f>
        <v>19500</v>
      </c>
      <c r="V472" s="9" t="n">
        <v>19500</v>
      </c>
      <c r="W472" s="9" t="n">
        <f aca="false">V472</f>
        <v>19500</v>
      </c>
      <c r="X472" s="45" t="n">
        <f aca="false">V472/H472</f>
        <v>50.1285347043702</v>
      </c>
      <c r="Y472" s="46" t="n">
        <f aca="false">SUM(V472-T472)/T472</f>
        <v>0</v>
      </c>
      <c r="Z472" s="9" t="s">
        <v>42</v>
      </c>
      <c r="AA472" s="42"/>
      <c r="AB472" s="14"/>
      <c r="AC472" s="5" t="s">
        <v>43</v>
      </c>
      <c r="AD472" s="4" t="s">
        <v>68</v>
      </c>
      <c r="AE472" s="58"/>
      <c r="AG472" s="59"/>
    </row>
    <row r="473" s="72" customFormat="true" ht="25.5" hidden="false" customHeight="true" outlineLevel="0" collapsed="false">
      <c r="A473" s="29"/>
      <c r="B473" s="11" t="s">
        <v>47</v>
      </c>
      <c r="C473" s="11" t="s">
        <v>38</v>
      </c>
      <c r="D473" s="29" t="n">
        <v>550550</v>
      </c>
      <c r="E473" s="4" t="s">
        <v>527</v>
      </c>
      <c r="F473" s="4" t="s">
        <v>152</v>
      </c>
      <c r="G473" s="5" t="s">
        <v>40</v>
      </c>
      <c r="H473" s="6" t="n">
        <v>390</v>
      </c>
      <c r="I473" s="6" t="n">
        <f aca="false">H473</f>
        <v>390</v>
      </c>
      <c r="J473" s="6" t="n">
        <v>500</v>
      </c>
      <c r="K473" s="4" t="s">
        <v>548</v>
      </c>
      <c r="L473" s="7" t="n">
        <v>45680</v>
      </c>
      <c r="M473" s="8" t="n">
        <v>47505</v>
      </c>
      <c r="N473" s="8"/>
      <c r="O473" s="8"/>
      <c r="P473" s="8" t="n">
        <v>46774</v>
      </c>
      <c r="Q473" s="9" t="n">
        <v>21060</v>
      </c>
      <c r="R473" s="9" t="n">
        <f aca="false">Q473</f>
        <v>21060</v>
      </c>
      <c r="S473" s="9"/>
      <c r="T473" s="9" t="n">
        <v>0</v>
      </c>
      <c r="U473" s="9" t="n">
        <f aca="false">T473</f>
        <v>0</v>
      </c>
      <c r="V473" s="9" t="n">
        <v>19500</v>
      </c>
      <c r="W473" s="9" t="n">
        <f aca="false">V473</f>
        <v>19500</v>
      </c>
      <c r="X473" s="45" t="n">
        <f aca="false">V473/H473</f>
        <v>50</v>
      </c>
      <c r="Y473" s="46"/>
      <c r="Z473" s="9" t="s">
        <v>42</v>
      </c>
      <c r="AA473" s="42"/>
      <c r="AB473" s="14"/>
      <c r="AC473" s="5" t="s">
        <v>43</v>
      </c>
      <c r="AD473" s="4" t="s">
        <v>77</v>
      </c>
      <c r="AE473" s="15"/>
      <c r="AF473" s="4"/>
      <c r="AG473" s="59"/>
      <c r="AH473" s="4"/>
      <c r="AJ473" s="73"/>
    </row>
    <row r="474" s="72" customFormat="true" ht="13.5" hidden="false" customHeight="false" outlineLevel="0" collapsed="false">
      <c r="A474" s="29"/>
      <c r="B474" s="11" t="s">
        <v>47</v>
      </c>
      <c r="C474" s="11" t="s">
        <v>38</v>
      </c>
      <c r="D474" s="29" t="n">
        <v>550550</v>
      </c>
      <c r="E474" s="4" t="s">
        <v>527</v>
      </c>
      <c r="F474" s="4" t="s">
        <v>155</v>
      </c>
      <c r="G474" s="5" t="s">
        <v>540</v>
      </c>
      <c r="H474" s="6" t="n">
        <v>691</v>
      </c>
      <c r="I474" s="6" t="n">
        <f aca="false">H474</f>
        <v>691</v>
      </c>
      <c r="J474" s="6" t="n">
        <v>750</v>
      </c>
      <c r="K474" s="4" t="s">
        <v>67</v>
      </c>
      <c r="L474" s="7"/>
      <c r="M474" s="8"/>
      <c r="N474" s="8" t="n">
        <v>45434</v>
      </c>
      <c r="O474" s="8"/>
      <c r="P474" s="8"/>
      <c r="Q474" s="9" t="n">
        <v>0</v>
      </c>
      <c r="R474" s="9" t="n">
        <f aca="false">Q474</f>
        <v>0</v>
      </c>
      <c r="S474" s="9"/>
      <c r="T474" s="9" t="n">
        <v>42000</v>
      </c>
      <c r="U474" s="9" t="n">
        <f aca="false">T474</f>
        <v>42000</v>
      </c>
      <c r="V474" s="9" t="n">
        <v>41500</v>
      </c>
      <c r="W474" s="9" t="n">
        <f aca="false">V474</f>
        <v>41500</v>
      </c>
      <c r="X474" s="45" t="n">
        <f aca="false">V474/H474</f>
        <v>60.0578871201158</v>
      </c>
      <c r="Y474" s="46" t="n">
        <f aca="false">SUM(V474-T474)/T474</f>
        <v>-0.0119047619047619</v>
      </c>
      <c r="Z474" s="9" t="s">
        <v>42</v>
      </c>
      <c r="AA474" s="42"/>
      <c r="AB474" s="14"/>
      <c r="AC474" s="5" t="s">
        <v>43</v>
      </c>
      <c r="AD474" s="4" t="s">
        <v>482</v>
      </c>
      <c r="AE474" s="15" t="n">
        <v>62.5</v>
      </c>
      <c r="AF474" s="4" t="n">
        <v>1</v>
      </c>
      <c r="AG474" s="59" t="n">
        <v>5</v>
      </c>
      <c r="AH474" s="4"/>
      <c r="AJ474" s="73"/>
    </row>
    <row r="475" customFormat="false" ht="14.25" hidden="false" customHeight="true" outlineLevel="0" collapsed="false">
      <c r="A475" s="29"/>
      <c r="B475" s="11"/>
      <c r="C475" s="11" t="s">
        <v>38</v>
      </c>
      <c r="D475" s="29"/>
      <c r="E475" s="4"/>
      <c r="I475" s="9"/>
      <c r="J475" s="9"/>
      <c r="T475" s="9"/>
      <c r="U475" s="9"/>
      <c r="V475" s="9"/>
      <c r="W475" s="9"/>
      <c r="X475" s="9"/>
      <c r="Y475" s="41"/>
      <c r="Z475" s="9"/>
      <c r="AA475" s="42"/>
      <c r="AB475" s="14"/>
      <c r="AC475" s="5"/>
      <c r="AG475" s="59"/>
    </row>
    <row r="476" customFormat="false" ht="14.25" hidden="false" customHeight="true" outlineLevel="0" collapsed="false">
      <c r="A476" s="29"/>
      <c r="B476" s="11"/>
      <c r="C476" s="11" t="s">
        <v>38</v>
      </c>
      <c r="D476" s="29"/>
      <c r="E476" s="4"/>
      <c r="F476" s="47" t="s">
        <v>527</v>
      </c>
      <c r="H476" s="43" t="n">
        <f aca="false">SUM(H463:H474)</f>
        <v>18782</v>
      </c>
      <c r="I476" s="44"/>
      <c r="J476" s="44"/>
      <c r="Q476" s="44" t="n">
        <f aca="false">SUM(Q463:Q474)</f>
        <v>696630</v>
      </c>
      <c r="R476" s="44"/>
      <c r="S476" s="44" t="n">
        <f aca="false">SUM(R461:R475)</f>
        <v>696630</v>
      </c>
      <c r="T476" s="44" t="n">
        <f aca="false">SUM(T463:T474)</f>
        <v>1075700</v>
      </c>
      <c r="U476" s="44"/>
      <c r="V476" s="44" t="n">
        <f aca="false">SUM(V463:V474)</f>
        <v>1075050</v>
      </c>
      <c r="W476" s="44"/>
      <c r="X476" s="44"/>
      <c r="Y476" s="64"/>
      <c r="Z476" s="44"/>
      <c r="AA476" s="67"/>
      <c r="AB476" s="44" t="n">
        <v>16275000</v>
      </c>
      <c r="AC476" s="5"/>
      <c r="AF476" s="60"/>
      <c r="AG476" s="62"/>
      <c r="AH476" s="60"/>
    </row>
    <row r="477" customFormat="false" ht="14.25" hidden="false" customHeight="true" outlineLevel="0" collapsed="false">
      <c r="A477" s="29"/>
      <c r="B477" s="11"/>
      <c r="C477" s="11" t="s">
        <v>38</v>
      </c>
      <c r="D477" s="29"/>
      <c r="E477" s="4"/>
      <c r="H477" s="29"/>
      <c r="I477" s="11"/>
      <c r="J477" s="11"/>
      <c r="Q477" s="11"/>
      <c r="R477" s="11"/>
      <c r="S477" s="11"/>
      <c r="T477" s="11"/>
      <c r="V477" s="11"/>
      <c r="Y477" s="41"/>
      <c r="AB477" s="14"/>
      <c r="AC477" s="5"/>
      <c r="AG477" s="59"/>
    </row>
    <row r="478" customFormat="false" ht="14.25" hidden="false" customHeight="true" outlineLevel="0" collapsed="false">
      <c r="A478" s="29"/>
      <c r="B478" s="11"/>
      <c r="C478" s="11" t="s">
        <v>38</v>
      </c>
      <c r="D478" s="29"/>
      <c r="E478" s="4"/>
      <c r="G478" s="39" t="s">
        <v>549</v>
      </c>
      <c r="I478" s="9"/>
      <c r="J478" s="9"/>
      <c r="K478" s="40"/>
      <c r="T478" s="11"/>
      <c r="U478" s="9"/>
      <c r="V478" s="11"/>
      <c r="W478" s="9"/>
      <c r="X478" s="9"/>
      <c r="Y478" s="41"/>
      <c r="Z478" s="9"/>
      <c r="AA478" s="42"/>
      <c r="AB478" s="14"/>
      <c r="AC478" s="5"/>
      <c r="AG478" s="59"/>
    </row>
    <row r="479" customFormat="false" ht="13.5" hidden="false" customHeight="false" outlineLevel="0" collapsed="false">
      <c r="A479" s="29"/>
      <c r="B479" s="11"/>
      <c r="C479" s="11" t="s">
        <v>38</v>
      </c>
      <c r="D479" s="29"/>
      <c r="E479" s="4"/>
      <c r="I479" s="9"/>
      <c r="J479" s="9"/>
      <c r="T479" s="9"/>
      <c r="U479" s="9"/>
      <c r="V479" s="9"/>
      <c r="W479" s="9"/>
      <c r="X479" s="9"/>
      <c r="Y479" s="41"/>
      <c r="Z479" s="9"/>
      <c r="AA479" s="42"/>
      <c r="AB479" s="14"/>
      <c r="AC479" s="5"/>
      <c r="AG479" s="59"/>
    </row>
    <row r="480" customFormat="false" ht="13.5" hidden="false" customHeight="false" outlineLevel="0" collapsed="false">
      <c r="A480" s="29"/>
      <c r="B480" s="11" t="s">
        <v>47</v>
      </c>
      <c r="C480" s="11" t="s">
        <v>38</v>
      </c>
      <c r="D480" s="29" t="n">
        <v>550510</v>
      </c>
      <c r="E480" s="4" t="s">
        <v>549</v>
      </c>
      <c r="F480" s="4" t="s">
        <v>550</v>
      </c>
      <c r="G480" s="5" t="s">
        <v>165</v>
      </c>
      <c r="H480" s="6" t="n">
        <v>120</v>
      </c>
      <c r="I480" s="6" t="n">
        <f aca="false">H480</f>
        <v>120</v>
      </c>
      <c r="J480" s="6" t="n">
        <v>250</v>
      </c>
      <c r="K480" s="4" t="s">
        <v>551</v>
      </c>
      <c r="L480" s="7" t="n">
        <v>43881</v>
      </c>
      <c r="M480" s="7" t="n">
        <v>47240</v>
      </c>
      <c r="N480" s="7"/>
      <c r="Q480" s="9" t="n">
        <v>0</v>
      </c>
      <c r="R480" s="9" t="n">
        <f aca="false">Q480</f>
        <v>0</v>
      </c>
      <c r="T480" s="9" t="n">
        <v>0</v>
      </c>
      <c r="U480" s="9" t="n">
        <f aca="false">T480</f>
        <v>0</v>
      </c>
      <c r="V480" s="9" t="n">
        <v>0</v>
      </c>
      <c r="W480" s="9" t="n">
        <f aca="false">V480</f>
        <v>0</v>
      </c>
      <c r="X480" s="45" t="n">
        <f aca="false">V480/H480</f>
        <v>0</v>
      </c>
      <c r="Y480" s="46"/>
      <c r="Z480" s="9"/>
      <c r="AA480" s="42" t="s">
        <v>26</v>
      </c>
      <c r="AB480" s="14"/>
      <c r="AC480" s="5" t="s">
        <v>43</v>
      </c>
      <c r="AD480" s="4" t="s">
        <v>552</v>
      </c>
      <c r="AG480" s="59"/>
    </row>
    <row r="481" customFormat="false" ht="19.4" hidden="false" customHeight="false" outlineLevel="0" collapsed="false">
      <c r="A481" s="29"/>
      <c r="B481" s="11" t="s">
        <v>47</v>
      </c>
      <c r="C481" s="11" t="s">
        <v>38</v>
      </c>
      <c r="D481" s="29" t="n">
        <v>550510</v>
      </c>
      <c r="E481" s="4" t="s">
        <v>549</v>
      </c>
      <c r="F481" s="4" t="s">
        <v>553</v>
      </c>
      <c r="G481" s="5" t="s">
        <v>251</v>
      </c>
      <c r="H481" s="6" t="n">
        <v>1032</v>
      </c>
      <c r="I481" s="6" t="n">
        <f aca="false">H481</f>
        <v>1032</v>
      </c>
      <c r="J481" s="6" t="n">
        <v>1000</v>
      </c>
      <c r="K481" s="4" t="s">
        <v>551</v>
      </c>
      <c r="L481" s="7" t="n">
        <v>43588</v>
      </c>
      <c r="M481" s="7" t="n">
        <v>47240</v>
      </c>
      <c r="N481" s="7"/>
      <c r="Q481" s="98" t="n">
        <v>70000</v>
      </c>
      <c r="R481" s="9" t="n">
        <f aca="false">Q481</f>
        <v>70000</v>
      </c>
      <c r="T481" s="9" t="n">
        <v>57500</v>
      </c>
      <c r="U481" s="9" t="n">
        <f aca="false">T481</f>
        <v>57500</v>
      </c>
      <c r="V481" s="9" t="n">
        <v>57500</v>
      </c>
      <c r="W481" s="9" t="n">
        <f aca="false">V481</f>
        <v>57500</v>
      </c>
      <c r="X481" s="45" t="n">
        <f aca="false">V481/H481</f>
        <v>55.7170542635659</v>
      </c>
      <c r="Y481" s="46" t="n">
        <f aca="false">SUM(V481-T481)/T481</f>
        <v>0</v>
      </c>
      <c r="Z481" s="9" t="s">
        <v>458</v>
      </c>
      <c r="AA481" s="42"/>
      <c r="AB481" s="14"/>
      <c r="AC481" s="5" t="s">
        <v>43</v>
      </c>
      <c r="AD481" s="60" t="s">
        <v>554</v>
      </c>
      <c r="AG481" s="59"/>
    </row>
    <row r="482" customFormat="false" ht="13.5" hidden="false" customHeight="false" outlineLevel="0" collapsed="false">
      <c r="A482" s="29"/>
      <c r="B482" s="11" t="s">
        <v>47</v>
      </c>
      <c r="C482" s="11" t="s">
        <v>38</v>
      </c>
      <c r="D482" s="29" t="n">
        <v>550510</v>
      </c>
      <c r="E482" s="4" t="s">
        <v>549</v>
      </c>
      <c r="F482" s="4" t="s">
        <v>555</v>
      </c>
      <c r="G482" s="5" t="s">
        <v>237</v>
      </c>
      <c r="H482" s="6" t="n">
        <v>1028</v>
      </c>
      <c r="I482" s="6" t="n">
        <f aca="false">H482</f>
        <v>1028</v>
      </c>
      <c r="J482" s="6" t="n">
        <v>1000</v>
      </c>
      <c r="K482" s="4" t="s">
        <v>556</v>
      </c>
      <c r="L482" s="7" t="n">
        <v>44966</v>
      </c>
      <c r="M482" s="8" t="n">
        <v>46791</v>
      </c>
      <c r="Q482" s="9" t="n">
        <v>35000</v>
      </c>
      <c r="R482" s="9" t="n">
        <f aca="false">Q482</f>
        <v>35000</v>
      </c>
      <c r="T482" s="9" t="n">
        <v>36000</v>
      </c>
      <c r="U482" s="9" t="n">
        <f aca="false">T482</f>
        <v>36000</v>
      </c>
      <c r="V482" s="9" t="n">
        <v>35000</v>
      </c>
      <c r="W482" s="9" t="n">
        <f aca="false">V482</f>
        <v>35000</v>
      </c>
      <c r="X482" s="45" t="n">
        <f aca="false">V482/H482</f>
        <v>34.0466926070039</v>
      </c>
      <c r="Y482" s="46" t="n">
        <f aca="false">SUM(V482-T482)/T482</f>
        <v>-0.0277777777777778</v>
      </c>
      <c r="Z482" s="9" t="s">
        <v>60</v>
      </c>
      <c r="AA482" s="42"/>
      <c r="AB482" s="14"/>
      <c r="AC482" s="5" t="s">
        <v>43</v>
      </c>
      <c r="AD482" s="4" t="s">
        <v>557</v>
      </c>
      <c r="AG482" s="59" t="n">
        <v>2</v>
      </c>
      <c r="AH482" s="4" t="s">
        <v>57</v>
      </c>
    </row>
    <row r="483" customFormat="false" ht="13.5" hidden="false" customHeight="false" outlineLevel="0" collapsed="false">
      <c r="A483" s="29"/>
      <c r="B483" s="11" t="s">
        <v>47</v>
      </c>
      <c r="C483" s="11" t="s">
        <v>38</v>
      </c>
      <c r="D483" s="29" t="n">
        <v>550510</v>
      </c>
      <c r="E483" s="4" t="s">
        <v>549</v>
      </c>
      <c r="F483" s="4" t="s">
        <v>550</v>
      </c>
      <c r="G483" s="5" t="s">
        <v>165</v>
      </c>
      <c r="H483" s="6" t="n">
        <v>90</v>
      </c>
      <c r="I483" s="6" t="n">
        <f aca="false">H483</f>
        <v>90</v>
      </c>
      <c r="K483" s="4" t="s">
        <v>81</v>
      </c>
      <c r="N483" s="8" t="n">
        <v>44681</v>
      </c>
      <c r="Q483" s="9" t="n">
        <v>0</v>
      </c>
      <c r="R483" s="9" t="n">
        <f aca="false">Q483</f>
        <v>0</v>
      </c>
      <c r="T483" s="9" t="n">
        <v>5665</v>
      </c>
      <c r="U483" s="9" t="n">
        <f aca="false">T483</f>
        <v>5665</v>
      </c>
      <c r="V483" s="9" t="n">
        <v>900</v>
      </c>
      <c r="W483" s="9" t="n">
        <f aca="false">V483</f>
        <v>900</v>
      </c>
      <c r="X483" s="45" t="n">
        <f aca="false">V483/H483</f>
        <v>10</v>
      </c>
      <c r="Y483" s="46" t="n">
        <f aca="false">SUM(V483-T483)/T483</f>
        <v>-0.841129744042365</v>
      </c>
      <c r="Z483" s="9"/>
      <c r="AA483" s="42"/>
      <c r="AB483" s="14"/>
      <c r="AC483" s="5" t="s">
        <v>43</v>
      </c>
      <c r="AG483" s="59"/>
    </row>
    <row r="484" customFormat="false" ht="24" hidden="false" customHeight="true" outlineLevel="0" collapsed="false">
      <c r="A484" s="29"/>
      <c r="B484" s="11" t="s">
        <v>47</v>
      </c>
      <c r="C484" s="11" t="s">
        <v>38</v>
      </c>
      <c r="D484" s="29" t="n">
        <v>550510</v>
      </c>
      <c r="E484" s="4" t="s">
        <v>549</v>
      </c>
      <c r="F484" s="4" t="s">
        <v>412</v>
      </c>
      <c r="G484" s="117" t="s">
        <v>251</v>
      </c>
      <c r="H484" s="6" t="n">
        <v>894</v>
      </c>
      <c r="I484" s="6" t="n">
        <f aca="false">H484</f>
        <v>894</v>
      </c>
      <c r="J484" s="6" t="n">
        <v>1000</v>
      </c>
      <c r="K484" s="4" t="s">
        <v>558</v>
      </c>
      <c r="L484" s="7" t="n">
        <v>45413</v>
      </c>
      <c r="M484" s="8" t="n">
        <v>49064</v>
      </c>
      <c r="O484" s="8" t="n">
        <v>47239</v>
      </c>
      <c r="P484" s="8" t="n">
        <v>46507</v>
      </c>
      <c r="Q484" s="9" t="n">
        <v>100000</v>
      </c>
      <c r="R484" s="9" t="n">
        <f aca="false">Q484</f>
        <v>100000</v>
      </c>
      <c r="T484" s="9" t="n">
        <v>90000</v>
      </c>
      <c r="U484" s="9" t="n">
        <f aca="false">T484</f>
        <v>90000</v>
      </c>
      <c r="V484" s="9" t="n">
        <v>100000</v>
      </c>
      <c r="W484" s="9" t="n">
        <f aca="false">V484</f>
        <v>100000</v>
      </c>
      <c r="X484" s="45" t="n">
        <f aca="false">V484/H484</f>
        <v>111.856823266219</v>
      </c>
      <c r="Y484" s="46" t="n">
        <f aca="false">SUM(V484-T484)/T484</f>
        <v>0.111111111111111</v>
      </c>
      <c r="Z484" s="9" t="s">
        <v>60</v>
      </c>
      <c r="AA484" s="42"/>
      <c r="AB484" s="14"/>
      <c r="AC484" s="5" t="s">
        <v>43</v>
      </c>
      <c r="AD484" s="4" t="s">
        <v>559</v>
      </c>
      <c r="AG484" s="59"/>
    </row>
    <row r="485" customFormat="false" ht="13.5" hidden="false" customHeight="false" outlineLevel="0" collapsed="false">
      <c r="A485" s="29"/>
      <c r="B485" s="11" t="s">
        <v>47</v>
      </c>
      <c r="C485" s="11" t="s">
        <v>38</v>
      </c>
      <c r="D485" s="29" t="n">
        <v>550510</v>
      </c>
      <c r="E485" s="4" t="s">
        <v>549</v>
      </c>
      <c r="F485" s="4" t="s">
        <v>140</v>
      </c>
      <c r="G485" s="117" t="s">
        <v>40</v>
      </c>
      <c r="H485" s="6" t="n">
        <v>635</v>
      </c>
      <c r="I485" s="6" t="n">
        <f aca="false">H485</f>
        <v>635</v>
      </c>
      <c r="J485" s="6" t="n">
        <v>750</v>
      </c>
      <c r="K485" s="4" t="s">
        <v>560</v>
      </c>
      <c r="L485" s="7" t="n">
        <v>45431</v>
      </c>
      <c r="M485" s="8" t="n">
        <v>46525</v>
      </c>
      <c r="Q485" s="9" t="n">
        <v>36500</v>
      </c>
      <c r="R485" s="9" t="n">
        <f aca="false">Q485</f>
        <v>36500</v>
      </c>
      <c r="T485" s="9" t="n">
        <v>36500</v>
      </c>
      <c r="U485" s="9" t="n">
        <f aca="false">T485</f>
        <v>36500</v>
      </c>
      <c r="V485" s="9" t="n">
        <v>36500</v>
      </c>
      <c r="W485" s="9" t="n">
        <f aca="false">V485</f>
        <v>36500</v>
      </c>
      <c r="X485" s="45" t="n">
        <f aca="false">V485/H485</f>
        <v>57.4803149606299</v>
      </c>
      <c r="Y485" s="46" t="n">
        <f aca="false">SUM(V485-T485)/T485</f>
        <v>0</v>
      </c>
      <c r="Z485" s="9" t="s">
        <v>127</v>
      </c>
      <c r="AA485" s="42"/>
      <c r="AB485" s="14"/>
      <c r="AC485" s="5" t="s">
        <v>43</v>
      </c>
      <c r="AD485" s="60" t="s">
        <v>64</v>
      </c>
      <c r="AG485" s="59"/>
    </row>
    <row r="486" customFormat="false" ht="18" hidden="false" customHeight="true" outlineLevel="0" collapsed="false">
      <c r="A486" s="29"/>
      <c r="B486" s="11" t="s">
        <v>47</v>
      </c>
      <c r="C486" s="11" t="s">
        <v>38</v>
      </c>
      <c r="D486" s="29" t="n">
        <v>550510</v>
      </c>
      <c r="E486" s="4" t="s">
        <v>549</v>
      </c>
      <c r="F486" s="4" t="s">
        <v>137</v>
      </c>
      <c r="G486" s="5" t="s">
        <v>40</v>
      </c>
      <c r="H486" s="95" t="n">
        <v>450</v>
      </c>
      <c r="I486" s="6" t="n">
        <f aca="false">H486</f>
        <v>450</v>
      </c>
      <c r="J486" s="6" t="n">
        <v>500</v>
      </c>
      <c r="K486" s="4" t="s">
        <v>67</v>
      </c>
      <c r="N486" s="8" t="n">
        <v>42943</v>
      </c>
      <c r="Q486" s="9" t="n">
        <v>0</v>
      </c>
      <c r="R486" s="9" t="n">
        <f aca="false">Q486</f>
        <v>0</v>
      </c>
      <c r="T486" s="9" t="n">
        <v>23600</v>
      </c>
      <c r="U486" s="9" t="n">
        <f aca="false">T486</f>
        <v>23600</v>
      </c>
      <c r="V486" s="9" t="n">
        <v>24800</v>
      </c>
      <c r="W486" s="9" t="n">
        <f aca="false">V486</f>
        <v>24800</v>
      </c>
      <c r="X486" s="45" t="n">
        <f aca="false">V486/H486</f>
        <v>55.1111111111111</v>
      </c>
      <c r="Y486" s="46" t="n">
        <f aca="false">SUM(V486-T486)/T486</f>
        <v>0.0508474576271187</v>
      </c>
      <c r="Z486" s="9" t="s">
        <v>55</v>
      </c>
      <c r="AA486" s="42"/>
      <c r="AB486" s="14"/>
      <c r="AC486" s="5" t="s">
        <v>43</v>
      </c>
      <c r="AD486" s="4" t="s">
        <v>119</v>
      </c>
      <c r="AF486" s="4" t="n">
        <v>1</v>
      </c>
      <c r="AG486" s="59" t="n">
        <v>3</v>
      </c>
      <c r="AH486" s="4" t="s">
        <v>204</v>
      </c>
    </row>
    <row r="487" customFormat="false" ht="24.75" hidden="false" customHeight="true" outlineLevel="0" collapsed="false">
      <c r="A487" s="29"/>
      <c r="B487" s="11" t="s">
        <v>47</v>
      </c>
      <c r="C487" s="11" t="s">
        <v>38</v>
      </c>
      <c r="D487" s="29" t="n">
        <v>550510</v>
      </c>
      <c r="E487" s="4" t="s">
        <v>549</v>
      </c>
      <c r="F487" s="4" t="s">
        <v>143</v>
      </c>
      <c r="G487" s="5" t="s">
        <v>40</v>
      </c>
      <c r="H487" s="6" t="n">
        <v>615</v>
      </c>
      <c r="I487" s="6" t="n">
        <f aca="false">H487</f>
        <v>615</v>
      </c>
      <c r="J487" s="6" t="n">
        <v>500</v>
      </c>
      <c r="K487" s="4" t="s">
        <v>561</v>
      </c>
      <c r="L487" s="7" t="n">
        <v>45092</v>
      </c>
      <c r="M487" s="8" t="n">
        <v>46918</v>
      </c>
      <c r="P487" s="8" t="n">
        <v>46187</v>
      </c>
      <c r="Q487" s="9" t="n">
        <v>35363</v>
      </c>
      <c r="R487" s="9" t="n">
        <f aca="false">Q487</f>
        <v>35363</v>
      </c>
      <c r="T487" s="9" t="n">
        <v>32300</v>
      </c>
      <c r="U487" s="9" t="n">
        <f aca="false">T487</f>
        <v>32300</v>
      </c>
      <c r="V487" s="9" t="n">
        <v>35363</v>
      </c>
      <c r="W487" s="9" t="n">
        <f aca="false">V487</f>
        <v>35363</v>
      </c>
      <c r="X487" s="45" t="n">
        <f aca="false">V487/H487</f>
        <v>57.5008130081301</v>
      </c>
      <c r="Y487" s="46" t="n">
        <f aca="false">SUM(V487-T487)/T487</f>
        <v>0.0948297213622291</v>
      </c>
      <c r="Z487" s="9"/>
      <c r="AA487" s="42"/>
      <c r="AB487" s="14"/>
      <c r="AC487" s="5" t="s">
        <v>43</v>
      </c>
      <c r="AD487" s="4" t="s">
        <v>562</v>
      </c>
      <c r="AG487" s="59"/>
    </row>
    <row r="488" customFormat="false" ht="13.5" hidden="false" customHeight="false" outlineLevel="0" collapsed="false">
      <c r="A488" s="29"/>
      <c r="B488" s="11" t="s">
        <v>47</v>
      </c>
      <c r="C488" s="11" t="s">
        <v>38</v>
      </c>
      <c r="D488" s="29" t="n">
        <v>550510</v>
      </c>
      <c r="E488" s="4" t="s">
        <v>549</v>
      </c>
      <c r="F488" s="4" t="s">
        <v>145</v>
      </c>
      <c r="G488" s="5" t="s">
        <v>40</v>
      </c>
      <c r="H488" s="6" t="n">
        <v>500</v>
      </c>
      <c r="I488" s="6" t="n">
        <f aca="false">H488</f>
        <v>500</v>
      </c>
      <c r="J488" s="6" t="n">
        <v>500</v>
      </c>
      <c r="K488" s="4" t="s">
        <v>67</v>
      </c>
      <c r="N488" s="8" t="n">
        <v>43820</v>
      </c>
      <c r="Q488" s="9" t="n">
        <v>0</v>
      </c>
      <c r="R488" s="9" t="n">
        <f aca="false">Q488</f>
        <v>0</v>
      </c>
      <c r="T488" s="9" t="n">
        <v>26300</v>
      </c>
      <c r="U488" s="9" t="n">
        <f aca="false">T488</f>
        <v>26300</v>
      </c>
      <c r="V488" s="9" t="n">
        <v>27500</v>
      </c>
      <c r="W488" s="9" t="n">
        <f aca="false">V488</f>
        <v>27500</v>
      </c>
      <c r="X488" s="45" t="n">
        <f aca="false">V488/H488</f>
        <v>55</v>
      </c>
      <c r="Y488" s="46" t="n">
        <f aca="false">SUM(V488-T488)/T488</f>
        <v>0.0456273764258555</v>
      </c>
      <c r="Z488" s="9" t="s">
        <v>127</v>
      </c>
      <c r="AA488" s="42"/>
      <c r="AB488" s="14"/>
      <c r="AC488" s="5" t="s">
        <v>43</v>
      </c>
      <c r="AD488" s="4" t="s">
        <v>68</v>
      </c>
      <c r="AE488" s="15" t="n">
        <v>58.5</v>
      </c>
      <c r="AF488" s="4" t="n">
        <v>1</v>
      </c>
      <c r="AG488" s="59" t="n">
        <v>4</v>
      </c>
      <c r="AH488" s="4" t="s">
        <v>204</v>
      </c>
    </row>
    <row r="489" customFormat="false" ht="13.5" hidden="false" customHeight="false" outlineLevel="0" collapsed="false">
      <c r="A489" s="29"/>
      <c r="B489" s="11" t="s">
        <v>47</v>
      </c>
      <c r="C489" s="11" t="s">
        <v>38</v>
      </c>
      <c r="D489" s="29" t="n">
        <v>550510</v>
      </c>
      <c r="E489" s="4" t="s">
        <v>549</v>
      </c>
      <c r="F489" s="4" t="s">
        <v>147</v>
      </c>
      <c r="G489" s="5" t="s">
        <v>40</v>
      </c>
      <c r="H489" s="6" t="n">
        <v>504</v>
      </c>
      <c r="I489" s="6" t="n">
        <f aca="false">H489</f>
        <v>504</v>
      </c>
      <c r="J489" s="6" t="n">
        <v>500</v>
      </c>
      <c r="K489" s="4" t="s">
        <v>563</v>
      </c>
      <c r="L489" s="7" t="n">
        <v>45601</v>
      </c>
      <c r="M489" s="8" t="n">
        <v>47426</v>
      </c>
      <c r="P489" s="8" t="n">
        <v>46330</v>
      </c>
      <c r="Q489" s="9" t="n">
        <v>28050</v>
      </c>
      <c r="R489" s="9" t="n">
        <f aca="false">Q489</f>
        <v>28050</v>
      </c>
      <c r="T489" s="9" t="n">
        <v>26500</v>
      </c>
      <c r="U489" s="9" t="n">
        <f aca="false">T489</f>
        <v>26500</v>
      </c>
      <c r="V489" s="9" t="n">
        <v>27700</v>
      </c>
      <c r="W489" s="9" t="n">
        <f aca="false">V489</f>
        <v>27700</v>
      </c>
      <c r="X489" s="45" t="n">
        <f aca="false">V489/H489</f>
        <v>54.9603174603175</v>
      </c>
      <c r="Y489" s="46" t="n">
        <f aca="false">SUM(V489-T489)/T489</f>
        <v>0.0452830188679245</v>
      </c>
      <c r="Z489" s="9" t="s">
        <v>127</v>
      </c>
      <c r="AA489" s="42"/>
      <c r="AB489" s="14"/>
      <c r="AC489" s="5" t="s">
        <v>43</v>
      </c>
      <c r="AD489" s="4" t="s">
        <v>77</v>
      </c>
      <c r="AE489" s="58"/>
      <c r="AG489" s="59"/>
    </row>
    <row r="490" customFormat="false" ht="13.5" hidden="false" customHeight="false" outlineLevel="0" collapsed="false">
      <c r="A490" s="29"/>
      <c r="B490" s="11" t="s">
        <v>47</v>
      </c>
      <c r="C490" s="11" t="s">
        <v>38</v>
      </c>
      <c r="D490" s="29" t="n">
        <v>550510</v>
      </c>
      <c r="E490" s="4" t="s">
        <v>549</v>
      </c>
      <c r="F490" s="4" t="s">
        <v>546</v>
      </c>
      <c r="G490" s="5" t="s">
        <v>40</v>
      </c>
      <c r="H490" s="6" t="n">
        <v>591</v>
      </c>
      <c r="I490" s="6" t="n">
        <f aca="false">H490</f>
        <v>591</v>
      </c>
      <c r="J490" s="6" t="n">
        <v>500</v>
      </c>
      <c r="K490" s="4" t="s">
        <v>67</v>
      </c>
      <c r="N490" s="8" t="n">
        <v>44119</v>
      </c>
      <c r="Q490" s="9" t="n">
        <v>0</v>
      </c>
      <c r="R490" s="9" t="n">
        <f aca="false">Q490</f>
        <v>0</v>
      </c>
      <c r="T490" s="9" t="n">
        <v>31000</v>
      </c>
      <c r="U490" s="9" t="n">
        <f aca="false">T490</f>
        <v>31000</v>
      </c>
      <c r="V490" s="9" t="n">
        <v>32500</v>
      </c>
      <c r="W490" s="9" t="n">
        <f aca="false">V490</f>
        <v>32500</v>
      </c>
      <c r="X490" s="45" t="n">
        <f aca="false">V490/H490</f>
        <v>54.9915397631134</v>
      </c>
      <c r="Y490" s="46" t="n">
        <f aca="false">SUM(V490-T490)/T490</f>
        <v>0.0483870967741936</v>
      </c>
      <c r="Z490" s="9" t="s">
        <v>127</v>
      </c>
      <c r="AA490" s="42"/>
      <c r="AB490" s="14"/>
      <c r="AC490" s="5" t="s">
        <v>43</v>
      </c>
      <c r="AD490" s="4" t="s">
        <v>68</v>
      </c>
      <c r="AE490" s="15" t="n">
        <v>58.5</v>
      </c>
      <c r="AF490" s="4" t="n">
        <v>2</v>
      </c>
      <c r="AG490" s="59" t="n">
        <v>2</v>
      </c>
      <c r="AH490" s="4" t="s">
        <v>146</v>
      </c>
    </row>
    <row r="491" customFormat="false" ht="13.5" hidden="false" customHeight="false" outlineLevel="0" collapsed="false">
      <c r="A491" s="29"/>
      <c r="B491" s="11" t="s">
        <v>47</v>
      </c>
      <c r="C491" s="11" t="s">
        <v>38</v>
      </c>
      <c r="D491" s="29" t="n">
        <v>550510</v>
      </c>
      <c r="E491" s="4" t="s">
        <v>549</v>
      </c>
      <c r="F491" s="4" t="s">
        <v>152</v>
      </c>
      <c r="G491" s="5" t="s">
        <v>40</v>
      </c>
      <c r="H491" s="6" t="n">
        <v>450</v>
      </c>
      <c r="I491" s="6" t="n">
        <f aca="false">H491</f>
        <v>450</v>
      </c>
      <c r="J491" s="6" t="n">
        <v>500</v>
      </c>
      <c r="K491" s="4" t="s">
        <v>67</v>
      </c>
      <c r="N491" s="8" t="n">
        <v>43389</v>
      </c>
      <c r="Q491" s="9" t="n">
        <v>0</v>
      </c>
      <c r="R491" s="9" t="n">
        <f aca="false">Q491</f>
        <v>0</v>
      </c>
      <c r="T491" s="9" t="n">
        <v>23600</v>
      </c>
      <c r="U491" s="9" t="n">
        <f aca="false">T491</f>
        <v>23600</v>
      </c>
      <c r="V491" s="9" t="n">
        <v>24800</v>
      </c>
      <c r="W491" s="9" t="n">
        <f aca="false">V491</f>
        <v>24800</v>
      </c>
      <c r="X491" s="45" t="n">
        <f aca="false">V491/H491</f>
        <v>55.1111111111111</v>
      </c>
      <c r="Y491" s="46" t="n">
        <f aca="false">SUM(V491-T491)/T491</f>
        <v>0.0508474576271187</v>
      </c>
      <c r="Z491" s="9" t="s">
        <v>127</v>
      </c>
      <c r="AA491" s="42"/>
      <c r="AB491" s="14"/>
      <c r="AC491" s="5" t="s">
        <v>43</v>
      </c>
      <c r="AD491" s="4" t="s">
        <v>68</v>
      </c>
      <c r="AE491" s="15" t="n">
        <v>58.5</v>
      </c>
      <c r="AF491" s="4" t="n">
        <v>1</v>
      </c>
      <c r="AG491" s="59" t="n">
        <v>1</v>
      </c>
    </row>
    <row r="492" customFormat="false" ht="13.5" hidden="false" customHeight="false" outlineLevel="0" collapsed="false">
      <c r="A492" s="29"/>
      <c r="B492" s="11" t="s">
        <v>47</v>
      </c>
      <c r="C492" s="11" t="s">
        <v>38</v>
      </c>
      <c r="D492" s="29" t="n">
        <v>550510</v>
      </c>
      <c r="E492" s="4" t="s">
        <v>549</v>
      </c>
      <c r="F492" s="4" t="s">
        <v>155</v>
      </c>
      <c r="G492" s="5" t="s">
        <v>40</v>
      </c>
      <c r="H492" s="6" t="n">
        <v>582</v>
      </c>
      <c r="I492" s="6" t="n">
        <f aca="false">H492</f>
        <v>582</v>
      </c>
      <c r="J492" s="6" t="n">
        <v>500</v>
      </c>
      <c r="K492" s="4" t="s">
        <v>564</v>
      </c>
      <c r="L492" s="7" t="n">
        <v>45614</v>
      </c>
      <c r="M492" s="8" t="n">
        <v>46343</v>
      </c>
      <c r="Q492" s="9" t="n">
        <v>42282</v>
      </c>
      <c r="R492" s="9" t="n">
        <f aca="false">Q492</f>
        <v>42282</v>
      </c>
      <c r="T492" s="9" t="n">
        <v>34000</v>
      </c>
      <c r="U492" s="9" t="n">
        <f aca="false">T492</f>
        <v>34000</v>
      </c>
      <c r="V492" s="9" t="n">
        <v>34000</v>
      </c>
      <c r="W492" s="9" t="n">
        <f aca="false">V492</f>
        <v>34000</v>
      </c>
      <c r="X492" s="45" t="n">
        <f aca="false">V492/H492</f>
        <v>58.4192439862543</v>
      </c>
      <c r="Y492" s="46" t="n">
        <f aca="false">SUM(V492-T492)/T492</f>
        <v>0</v>
      </c>
      <c r="Z492" s="9" t="s">
        <v>127</v>
      </c>
      <c r="AA492" s="42"/>
      <c r="AB492" s="14"/>
      <c r="AC492" s="5" t="s">
        <v>43</v>
      </c>
      <c r="AD492" s="4" t="s">
        <v>565</v>
      </c>
      <c r="AE492" s="58"/>
      <c r="AG492" s="59"/>
    </row>
    <row r="493" customFormat="false" ht="14.25" hidden="false" customHeight="true" outlineLevel="0" collapsed="false">
      <c r="A493" s="29"/>
      <c r="B493" s="11"/>
      <c r="C493" s="11" t="s">
        <v>38</v>
      </c>
      <c r="D493" s="29"/>
      <c r="E493" s="4"/>
      <c r="T493" s="9"/>
      <c r="U493" s="9"/>
      <c r="V493" s="9"/>
      <c r="W493" s="9"/>
      <c r="X493" s="9"/>
      <c r="Y493" s="41"/>
      <c r="Z493" s="9"/>
      <c r="AA493" s="42"/>
      <c r="AB493" s="14"/>
      <c r="AC493" s="5"/>
      <c r="AG493" s="59"/>
    </row>
    <row r="494" customFormat="false" ht="14.25" hidden="false" customHeight="true" outlineLevel="0" collapsed="false">
      <c r="A494" s="29"/>
      <c r="B494" s="11"/>
      <c r="C494" s="11" t="s">
        <v>38</v>
      </c>
      <c r="D494" s="29"/>
      <c r="E494" s="4"/>
      <c r="F494" s="47" t="s">
        <v>566</v>
      </c>
      <c r="H494" s="43" t="n">
        <f aca="false">SUM(H480:H492)</f>
        <v>7491</v>
      </c>
      <c r="I494" s="44"/>
      <c r="J494" s="44"/>
      <c r="Q494" s="116" t="n">
        <f aca="false">SUM(Q480:Q492)</f>
        <v>347195</v>
      </c>
      <c r="R494" s="44"/>
      <c r="S494" s="44" t="n">
        <f aca="false">SUM(R478:R492)</f>
        <v>347195</v>
      </c>
      <c r="T494" s="44" t="n">
        <f aca="false">SUM(T480:T492)</f>
        <v>422965</v>
      </c>
      <c r="U494" s="44"/>
      <c r="V494" s="44" t="n">
        <f aca="false">SUM(V480:V492)</f>
        <v>436563</v>
      </c>
      <c r="W494" s="44"/>
      <c r="X494" s="44"/>
      <c r="Y494" s="64"/>
      <c r="Z494" s="44"/>
      <c r="AA494" s="67"/>
      <c r="AB494" s="44" t="n">
        <v>6350000</v>
      </c>
      <c r="AC494" s="5"/>
      <c r="AF494" s="60"/>
      <c r="AG494" s="62"/>
      <c r="AH494" s="60"/>
    </row>
    <row r="495" customFormat="false" ht="14.25" hidden="false" customHeight="true" outlineLevel="0" collapsed="false">
      <c r="A495" s="29"/>
      <c r="B495" s="11"/>
      <c r="C495" s="11" t="s">
        <v>38</v>
      </c>
      <c r="D495" s="29"/>
      <c r="E495" s="4"/>
      <c r="H495" s="43"/>
      <c r="I495" s="44"/>
      <c r="J495" s="44"/>
      <c r="Q495" s="44"/>
      <c r="R495" s="44"/>
      <c r="S495" s="44"/>
      <c r="T495" s="44"/>
      <c r="U495" s="44"/>
      <c r="V495" s="44"/>
      <c r="W495" s="44"/>
      <c r="X495" s="44"/>
      <c r="Y495" s="64"/>
      <c r="Z495" s="44"/>
      <c r="AA495" s="67"/>
      <c r="AB495" s="66"/>
      <c r="AC495" s="5"/>
      <c r="AG495" s="59"/>
    </row>
    <row r="496" customFormat="false" ht="14.25" hidden="false" customHeight="true" outlineLevel="0" collapsed="false">
      <c r="A496" s="29"/>
      <c r="B496" s="11"/>
      <c r="C496" s="11" t="s">
        <v>38</v>
      </c>
      <c r="D496" s="29"/>
      <c r="E496" s="4"/>
      <c r="G496" s="39" t="s">
        <v>567</v>
      </c>
      <c r="I496" s="9"/>
      <c r="J496" s="9"/>
      <c r="K496" s="40"/>
      <c r="T496" s="11"/>
      <c r="U496" s="9"/>
      <c r="V496" s="11"/>
      <c r="W496" s="9"/>
      <c r="X496" s="9"/>
      <c r="Y496" s="41"/>
      <c r="Z496" s="9"/>
      <c r="AA496" s="42"/>
      <c r="AB496" s="14"/>
      <c r="AC496" s="5"/>
      <c r="AG496" s="59"/>
    </row>
    <row r="497" customFormat="false" ht="14.25" hidden="false" customHeight="true" outlineLevel="0" collapsed="false">
      <c r="A497" s="29"/>
      <c r="B497" s="11"/>
      <c r="C497" s="11" t="s">
        <v>38</v>
      </c>
      <c r="D497" s="29"/>
      <c r="E497" s="4"/>
      <c r="G497" s="85"/>
      <c r="I497" s="9"/>
      <c r="J497" s="9"/>
      <c r="K497" s="40"/>
      <c r="T497" s="11"/>
      <c r="U497" s="9"/>
      <c r="V497" s="11"/>
      <c r="W497" s="9"/>
      <c r="X497" s="9"/>
      <c r="Y497" s="41"/>
      <c r="Z497" s="9"/>
      <c r="AA497" s="42"/>
      <c r="AB497" s="14"/>
      <c r="AC497" s="5"/>
      <c r="AG497" s="59"/>
    </row>
    <row r="498" customFormat="false" ht="24" hidden="false" customHeight="true" outlineLevel="0" collapsed="false">
      <c r="A498" s="29"/>
      <c r="B498" s="11" t="s">
        <v>236</v>
      </c>
      <c r="C498" s="11" t="s">
        <v>38</v>
      </c>
      <c r="D498" s="29" t="n">
        <v>550610</v>
      </c>
      <c r="E498" s="4" t="s">
        <v>567</v>
      </c>
      <c r="F498" s="4" t="s">
        <v>568</v>
      </c>
      <c r="G498" s="5" t="s">
        <v>569</v>
      </c>
      <c r="H498" s="6" t="n">
        <v>2047</v>
      </c>
      <c r="I498" s="6" t="n">
        <f aca="false">H498</f>
        <v>2047</v>
      </c>
      <c r="J498" s="6" t="n">
        <v>2000</v>
      </c>
      <c r="K498" s="4" t="s">
        <v>570</v>
      </c>
      <c r="L498" s="7" t="n">
        <v>45100</v>
      </c>
      <c r="M498" s="8" t="n">
        <v>48752</v>
      </c>
      <c r="O498" s="8" t="n">
        <v>46926</v>
      </c>
      <c r="P498" s="8" t="n">
        <v>46195</v>
      </c>
      <c r="Q498" s="9" t="n">
        <v>105000</v>
      </c>
      <c r="R498" s="9" t="n">
        <f aca="false">Q498</f>
        <v>105000</v>
      </c>
      <c r="T498" s="9" t="n">
        <v>100000</v>
      </c>
      <c r="U498" s="9" t="n">
        <f aca="false">T498</f>
        <v>100000</v>
      </c>
      <c r="V498" s="9" t="n">
        <v>105000</v>
      </c>
      <c r="W498" s="9" t="n">
        <f aca="false">V498</f>
        <v>105000</v>
      </c>
      <c r="X498" s="45" t="n">
        <f aca="false">V498/H498</f>
        <v>51.2945774303859</v>
      </c>
      <c r="Y498" s="46" t="n">
        <f aca="false">SUM(V498-T498)/T498</f>
        <v>0.05</v>
      </c>
      <c r="Z498" s="9" t="s">
        <v>127</v>
      </c>
      <c r="AA498" s="42"/>
      <c r="AB498" s="14"/>
      <c r="AC498" s="5" t="s">
        <v>43</v>
      </c>
      <c r="AD498" s="4" t="s">
        <v>77</v>
      </c>
      <c r="AG498" s="59"/>
    </row>
    <row r="499" customFormat="false" ht="24" hidden="false" customHeight="true" outlineLevel="0" collapsed="false">
      <c r="A499" s="29"/>
      <c r="B499" s="11" t="s">
        <v>236</v>
      </c>
      <c r="C499" s="11" t="s">
        <v>38</v>
      </c>
      <c r="D499" s="29" t="n">
        <v>550610</v>
      </c>
      <c r="E499" s="4" t="s">
        <v>567</v>
      </c>
      <c r="F499" s="4" t="s">
        <v>571</v>
      </c>
      <c r="G499" s="5" t="s">
        <v>49</v>
      </c>
      <c r="H499" s="6" t="n">
        <v>2185</v>
      </c>
      <c r="I499" s="6" t="n">
        <f aca="false">H499</f>
        <v>2185</v>
      </c>
      <c r="J499" s="6" t="n">
        <v>2000</v>
      </c>
      <c r="K499" s="4" t="s">
        <v>572</v>
      </c>
      <c r="L499" s="7" t="n">
        <v>42655</v>
      </c>
      <c r="M499" s="8" t="n">
        <v>46306</v>
      </c>
      <c r="Q499" s="9" t="n">
        <v>100000</v>
      </c>
      <c r="R499" s="9" t="n">
        <f aca="false">Q499</f>
        <v>100000</v>
      </c>
      <c r="T499" s="9" t="n">
        <v>90000</v>
      </c>
      <c r="U499" s="9" t="n">
        <f aca="false">T499</f>
        <v>90000</v>
      </c>
      <c r="V499" s="9" t="n">
        <v>100000</v>
      </c>
      <c r="W499" s="9" t="n">
        <f aca="false">V499</f>
        <v>100000</v>
      </c>
      <c r="X499" s="45" t="n">
        <f aca="false">V499/H499</f>
        <v>45.766590389016</v>
      </c>
      <c r="Y499" s="46" t="n">
        <f aca="false">SUM(V499-T499)/T499</f>
        <v>0.111111111111111</v>
      </c>
      <c r="Z499" s="9" t="s">
        <v>42</v>
      </c>
      <c r="AA499" s="42"/>
      <c r="AB499" s="14"/>
      <c r="AC499" s="5" t="s">
        <v>43</v>
      </c>
      <c r="AD499" s="4" t="s">
        <v>573</v>
      </c>
      <c r="AG499" s="59"/>
    </row>
    <row r="500" customFormat="false" ht="24.75" hidden="false" customHeight="true" outlineLevel="0" collapsed="false">
      <c r="A500" s="29"/>
      <c r="B500" s="11" t="s">
        <v>236</v>
      </c>
      <c r="C500" s="11" t="s">
        <v>38</v>
      </c>
      <c r="D500" s="29" t="n">
        <v>550610</v>
      </c>
      <c r="E500" s="4" t="s">
        <v>567</v>
      </c>
      <c r="F500" s="4" t="s">
        <v>140</v>
      </c>
      <c r="G500" s="5" t="s">
        <v>40</v>
      </c>
      <c r="H500" s="6" t="n">
        <v>727</v>
      </c>
      <c r="I500" s="6" t="n">
        <f aca="false">H500</f>
        <v>727</v>
      </c>
      <c r="J500" s="6" t="n">
        <v>250</v>
      </c>
      <c r="K500" s="4" t="s">
        <v>574</v>
      </c>
      <c r="L500" s="7" t="n">
        <v>44703</v>
      </c>
      <c r="M500" s="8" t="n">
        <v>46528</v>
      </c>
      <c r="Q500" s="9" t="n">
        <v>42350</v>
      </c>
      <c r="R500" s="9" t="n">
        <f aca="false">Q500</f>
        <v>42350</v>
      </c>
      <c r="T500" s="9" t="n">
        <v>40000</v>
      </c>
      <c r="U500" s="9" t="n">
        <f aca="false">T500</f>
        <v>40000</v>
      </c>
      <c r="V500" s="9" t="n">
        <v>41800</v>
      </c>
      <c r="W500" s="9" t="n">
        <f aca="false">V500</f>
        <v>41800</v>
      </c>
      <c r="X500" s="45" t="n">
        <f aca="false">V500/H500</f>
        <v>57.4965612104539</v>
      </c>
      <c r="Y500" s="46" t="n">
        <f aca="false">SUM(V500-T500)/T500</f>
        <v>0.045</v>
      </c>
      <c r="Z500" s="9" t="s">
        <v>60</v>
      </c>
      <c r="AA500" s="42"/>
      <c r="AB500" s="14"/>
      <c r="AC500" s="5" t="s">
        <v>43</v>
      </c>
      <c r="AD500" s="60" t="s">
        <v>64</v>
      </c>
      <c r="AG500" s="59"/>
    </row>
    <row r="501" customFormat="false" ht="13.5" hidden="false" customHeight="false" outlineLevel="0" collapsed="false">
      <c r="A501" s="29"/>
      <c r="B501" s="11" t="s">
        <v>236</v>
      </c>
      <c r="C501" s="11" t="s">
        <v>38</v>
      </c>
      <c r="D501" s="29" t="n">
        <v>550610</v>
      </c>
      <c r="E501" s="4" t="s">
        <v>567</v>
      </c>
      <c r="F501" s="4" t="s">
        <v>575</v>
      </c>
      <c r="G501" s="5" t="s">
        <v>40</v>
      </c>
      <c r="H501" s="6" t="n">
        <v>710</v>
      </c>
      <c r="I501" s="6" t="n">
        <f aca="false">H501</f>
        <v>710</v>
      </c>
      <c r="J501" s="6" t="n">
        <v>750</v>
      </c>
      <c r="K501" s="4" t="s">
        <v>576</v>
      </c>
      <c r="L501" s="7" t="n">
        <v>45551</v>
      </c>
      <c r="M501" s="8" t="n">
        <v>46645</v>
      </c>
      <c r="P501" s="8" t="n">
        <v>46280</v>
      </c>
      <c r="Q501" s="9" t="n">
        <v>47250</v>
      </c>
      <c r="R501" s="9" t="n">
        <f aca="false">Q501</f>
        <v>47250</v>
      </c>
      <c r="T501" s="9" t="n">
        <v>35000</v>
      </c>
      <c r="U501" s="9" t="n">
        <f aca="false">T501</f>
        <v>35000</v>
      </c>
      <c r="V501" s="9" t="n">
        <v>40800</v>
      </c>
      <c r="W501" s="9" t="n">
        <f aca="false">V501</f>
        <v>40800</v>
      </c>
      <c r="X501" s="45" t="n">
        <f aca="false">V501/H501</f>
        <v>57.4647887323944</v>
      </c>
      <c r="Y501" s="46" t="n">
        <f aca="false">SUM(V501-T501)/T501</f>
        <v>0.165714285714286</v>
      </c>
      <c r="Z501" s="9" t="s">
        <v>60</v>
      </c>
      <c r="AA501" s="42"/>
      <c r="AB501" s="14"/>
      <c r="AC501" s="5" t="s">
        <v>43</v>
      </c>
      <c r="AD501" s="4" t="s">
        <v>577</v>
      </c>
      <c r="AF501" s="60"/>
      <c r="AG501" s="62"/>
      <c r="AH501" s="60"/>
    </row>
    <row r="502" customFormat="false" ht="23.25" hidden="false" customHeight="true" outlineLevel="0" collapsed="false">
      <c r="A502" s="29"/>
      <c r="B502" s="11" t="s">
        <v>236</v>
      </c>
      <c r="C502" s="11" t="s">
        <v>38</v>
      </c>
      <c r="D502" s="29" t="n">
        <v>550610</v>
      </c>
      <c r="E502" s="4" t="s">
        <v>567</v>
      </c>
      <c r="F502" s="4" t="s">
        <v>578</v>
      </c>
      <c r="G502" s="5" t="s">
        <v>40</v>
      </c>
      <c r="H502" s="6" t="n">
        <v>130</v>
      </c>
      <c r="I502" s="6" t="n">
        <f aca="false">H502</f>
        <v>130</v>
      </c>
      <c r="J502" s="6" t="n">
        <v>250</v>
      </c>
      <c r="K502" s="4" t="s">
        <v>210</v>
      </c>
      <c r="L502" s="7" t="n">
        <v>45456</v>
      </c>
      <c r="M502" s="8" t="n">
        <v>47085</v>
      </c>
      <c r="P502" s="8" t="n">
        <v>46354</v>
      </c>
      <c r="Q502" s="9" t="n">
        <v>7320</v>
      </c>
      <c r="R502" s="9" t="n">
        <f aca="false">Q502</f>
        <v>7320</v>
      </c>
      <c r="T502" s="9" t="n">
        <v>7000</v>
      </c>
      <c r="U502" s="9" t="n">
        <f aca="false">T502</f>
        <v>7000</v>
      </c>
      <c r="V502" s="9" t="n">
        <v>7360</v>
      </c>
      <c r="W502" s="9" t="n">
        <f aca="false">V502</f>
        <v>7360</v>
      </c>
      <c r="X502" s="45" t="n">
        <f aca="false">V502/H502</f>
        <v>56.6153846153846</v>
      </c>
      <c r="Y502" s="46" t="n">
        <f aca="false">SUM(V502-T502)/T502</f>
        <v>0.0514285714285714</v>
      </c>
      <c r="Z502" s="9" t="s">
        <v>60</v>
      </c>
      <c r="AA502" s="42"/>
      <c r="AB502" s="14"/>
      <c r="AC502" s="5" t="s">
        <v>43</v>
      </c>
      <c r="AD502" s="4" t="s">
        <v>77</v>
      </c>
      <c r="AG502" s="59"/>
    </row>
    <row r="503" customFormat="false" ht="23.25" hidden="false" customHeight="true" outlineLevel="0" collapsed="false">
      <c r="A503" s="29"/>
      <c r="B503" s="11" t="s">
        <v>236</v>
      </c>
      <c r="C503" s="11" t="s">
        <v>38</v>
      </c>
      <c r="D503" s="29" t="n">
        <v>550610</v>
      </c>
      <c r="E503" s="4" t="s">
        <v>567</v>
      </c>
      <c r="F503" s="4" t="s">
        <v>143</v>
      </c>
      <c r="G503" s="110" t="s">
        <v>40</v>
      </c>
      <c r="H503" s="6" t="n">
        <v>710</v>
      </c>
      <c r="I503" s="6" t="n">
        <f aca="false">H503</f>
        <v>710</v>
      </c>
      <c r="J503" s="6" t="n">
        <v>750</v>
      </c>
      <c r="K503" s="4" t="s">
        <v>579</v>
      </c>
      <c r="L503" s="7" t="n">
        <v>45253</v>
      </c>
      <c r="M503" s="8" t="n">
        <v>46348</v>
      </c>
      <c r="Q503" s="9" t="n">
        <v>42350</v>
      </c>
      <c r="R503" s="9" t="n">
        <f aca="false">Q503</f>
        <v>42350</v>
      </c>
      <c r="T503" s="9" t="n">
        <v>38700</v>
      </c>
      <c r="U503" s="9" t="n">
        <f aca="false">T503</f>
        <v>38700</v>
      </c>
      <c r="V503" s="9" t="n">
        <v>40800</v>
      </c>
      <c r="W503" s="9" t="n">
        <f aca="false">V503</f>
        <v>40800</v>
      </c>
      <c r="X503" s="45" t="n">
        <f aca="false">V503/H503</f>
        <v>57.4647887323944</v>
      </c>
      <c r="Y503" s="46" t="n">
        <f aca="false">SUM(V503-T503)/T503</f>
        <v>0.0542635658914729</v>
      </c>
      <c r="Z503" s="9" t="s">
        <v>60</v>
      </c>
      <c r="AA503" s="42"/>
      <c r="AB503" s="14"/>
      <c r="AC503" s="5" t="s">
        <v>43</v>
      </c>
      <c r="AF503" s="4" t="n">
        <v>1</v>
      </c>
      <c r="AG503" s="59" t="n">
        <v>1</v>
      </c>
    </row>
    <row r="504" customFormat="false" ht="13.5" hidden="false" customHeight="false" outlineLevel="0" collapsed="false">
      <c r="A504" s="29"/>
      <c r="B504" s="11" t="s">
        <v>236</v>
      </c>
      <c r="C504" s="11" t="s">
        <v>38</v>
      </c>
      <c r="D504" s="29" t="n">
        <v>550610</v>
      </c>
      <c r="E504" s="4" t="s">
        <v>567</v>
      </c>
      <c r="F504" s="4" t="s">
        <v>580</v>
      </c>
      <c r="G504" s="110" t="s">
        <v>40</v>
      </c>
      <c r="H504" s="6" t="n">
        <v>130</v>
      </c>
      <c r="I504" s="6" t="n">
        <f aca="false">H504</f>
        <v>130</v>
      </c>
      <c r="J504" s="6" t="n">
        <v>250</v>
      </c>
      <c r="K504" s="4" t="s">
        <v>210</v>
      </c>
      <c r="L504" s="7" t="n">
        <v>45259</v>
      </c>
      <c r="M504" s="8" t="n">
        <v>47085</v>
      </c>
      <c r="P504" s="8" t="n">
        <v>46354</v>
      </c>
      <c r="Q504" s="9" t="n">
        <v>7320</v>
      </c>
      <c r="R504" s="9" t="n">
        <f aca="false">Q504</f>
        <v>7320</v>
      </c>
      <c r="T504" s="9" t="n">
        <v>6300</v>
      </c>
      <c r="U504" s="9" t="n">
        <f aca="false">T504</f>
        <v>6300</v>
      </c>
      <c r="V504" s="9" t="n">
        <v>7500</v>
      </c>
      <c r="W504" s="9" t="n">
        <f aca="false">V504</f>
        <v>7500</v>
      </c>
      <c r="X504" s="45" t="n">
        <f aca="false">V504/H504</f>
        <v>57.6923076923077</v>
      </c>
      <c r="Y504" s="46" t="n">
        <f aca="false">SUM(V504-T504)/T504</f>
        <v>0.19047619047619</v>
      </c>
      <c r="Z504" s="9" t="s">
        <v>60</v>
      </c>
      <c r="AA504" s="42"/>
      <c r="AB504" s="14"/>
      <c r="AC504" s="5" t="s">
        <v>43</v>
      </c>
      <c r="AD504" s="4" t="s">
        <v>77</v>
      </c>
      <c r="AG504" s="59"/>
    </row>
    <row r="505" customFormat="false" ht="13.5" hidden="false" customHeight="false" outlineLevel="0" collapsed="false">
      <c r="A505" s="29"/>
      <c r="B505" s="11" t="s">
        <v>236</v>
      </c>
      <c r="C505" s="11" t="s">
        <v>38</v>
      </c>
      <c r="D505" s="29" t="n">
        <v>550610</v>
      </c>
      <c r="E505" s="4" t="s">
        <v>567</v>
      </c>
      <c r="F505" s="4" t="s">
        <v>145</v>
      </c>
      <c r="G505" s="5" t="s">
        <v>40</v>
      </c>
      <c r="H505" s="6" t="n">
        <v>727</v>
      </c>
      <c r="I505" s="6" t="n">
        <f aca="false">H505</f>
        <v>727</v>
      </c>
      <c r="J505" s="6" t="n">
        <v>750</v>
      </c>
      <c r="K505" s="4" t="s">
        <v>67</v>
      </c>
      <c r="N505" s="8" t="n">
        <v>43080</v>
      </c>
      <c r="Q505" s="9" t="n">
        <v>0</v>
      </c>
      <c r="R505" s="9" t="n">
        <f aca="false">Q505</f>
        <v>0</v>
      </c>
      <c r="T505" s="9" t="n">
        <v>35000</v>
      </c>
      <c r="U505" s="9" t="n">
        <f aca="false">T505</f>
        <v>35000</v>
      </c>
      <c r="V505" s="9" t="n">
        <v>41800</v>
      </c>
      <c r="W505" s="9" t="n">
        <f aca="false">V505</f>
        <v>41800</v>
      </c>
      <c r="X505" s="45" t="n">
        <f aca="false">V505/H505</f>
        <v>57.4965612104539</v>
      </c>
      <c r="Y505" s="46" t="n">
        <f aca="false">SUM(V505-T505)/T505</f>
        <v>0.194285714285714</v>
      </c>
      <c r="Z505" s="9" t="s">
        <v>60</v>
      </c>
      <c r="AA505" s="42"/>
      <c r="AB505" s="14"/>
      <c r="AC505" s="5" t="s">
        <v>43</v>
      </c>
      <c r="AD505" s="4" t="s">
        <v>119</v>
      </c>
      <c r="AE505" s="15" t="n">
        <v>62.5</v>
      </c>
      <c r="AF505" s="4" t="n">
        <v>1</v>
      </c>
      <c r="AG505" s="59" t="n">
        <v>1</v>
      </c>
    </row>
    <row r="506" customFormat="false" ht="13.5" hidden="false" customHeight="false" outlineLevel="0" collapsed="false">
      <c r="A506" s="29"/>
      <c r="B506" s="11" t="s">
        <v>236</v>
      </c>
      <c r="C506" s="11" t="s">
        <v>38</v>
      </c>
      <c r="D506" s="29" t="n">
        <v>550610</v>
      </c>
      <c r="E506" s="4" t="s">
        <v>567</v>
      </c>
      <c r="F506" s="4" t="s">
        <v>546</v>
      </c>
      <c r="G506" s="5" t="s">
        <v>40</v>
      </c>
      <c r="H506" s="6" t="n">
        <v>760</v>
      </c>
      <c r="I506" s="6" t="n">
        <f aca="false">H506</f>
        <v>760</v>
      </c>
      <c r="J506" s="6" t="n">
        <v>750</v>
      </c>
      <c r="K506" s="4" t="s">
        <v>67</v>
      </c>
      <c r="N506" s="8" t="n">
        <v>43593</v>
      </c>
      <c r="Q506" s="9" t="n">
        <v>0</v>
      </c>
      <c r="R506" s="9" t="n">
        <f aca="false">Q506</f>
        <v>0</v>
      </c>
      <c r="T506" s="9" t="n">
        <v>40000</v>
      </c>
      <c r="U506" s="9" t="n">
        <f aca="false">T506</f>
        <v>40000</v>
      </c>
      <c r="V506" s="9" t="n">
        <v>43700</v>
      </c>
      <c r="W506" s="9" t="n">
        <f aca="false">V506</f>
        <v>43700</v>
      </c>
      <c r="X506" s="45" t="n">
        <f aca="false">V506/H506</f>
        <v>57.5</v>
      </c>
      <c r="Y506" s="46" t="n">
        <f aca="false">SUM(V506-T506)/T506</f>
        <v>0.0925</v>
      </c>
      <c r="Z506" s="9" t="s">
        <v>60</v>
      </c>
      <c r="AA506" s="42"/>
      <c r="AB506" s="14"/>
      <c r="AC506" s="5" t="s">
        <v>43</v>
      </c>
      <c r="AD506" s="4" t="s">
        <v>119</v>
      </c>
      <c r="AE506" s="15" t="n">
        <v>62.5</v>
      </c>
      <c r="AF506" s="4" t="n">
        <v>4</v>
      </c>
      <c r="AG506" s="59" t="n">
        <v>5</v>
      </c>
      <c r="AH506" s="4" t="s">
        <v>57</v>
      </c>
    </row>
    <row r="507" customFormat="false" ht="14.25" hidden="false" customHeight="true" outlineLevel="0" collapsed="false">
      <c r="A507" s="29"/>
      <c r="B507" s="11" t="s">
        <v>236</v>
      </c>
      <c r="C507" s="11" t="s">
        <v>38</v>
      </c>
      <c r="D507" s="29" t="n">
        <v>550610</v>
      </c>
      <c r="E507" s="4" t="s">
        <v>567</v>
      </c>
      <c r="F507" s="4" t="s">
        <v>147</v>
      </c>
      <c r="G507" s="5" t="s">
        <v>40</v>
      </c>
      <c r="H507" s="6" t="n">
        <v>666</v>
      </c>
      <c r="I507" s="6" t="n">
        <f aca="false">H507</f>
        <v>666</v>
      </c>
      <c r="J507" s="6" t="n">
        <v>750</v>
      </c>
      <c r="K507" s="4" t="s">
        <v>67</v>
      </c>
      <c r="N507" s="8" t="n">
        <v>42905</v>
      </c>
      <c r="Q507" s="9" t="n">
        <v>0</v>
      </c>
      <c r="R507" s="9" t="n">
        <f aca="false">Q507</f>
        <v>0</v>
      </c>
      <c r="T507" s="9" t="n">
        <v>35000</v>
      </c>
      <c r="U507" s="9" t="n">
        <f aca="false">T507</f>
        <v>35000</v>
      </c>
      <c r="V507" s="9" t="n">
        <v>38300</v>
      </c>
      <c r="W507" s="9" t="n">
        <f aca="false">V507</f>
        <v>38300</v>
      </c>
      <c r="X507" s="45" t="n">
        <f aca="false">V507/H507</f>
        <v>57.5075075075075</v>
      </c>
      <c r="Y507" s="46" t="n">
        <f aca="false">SUM(V507-T507)/T507</f>
        <v>0.0942857142857143</v>
      </c>
      <c r="Z507" s="9" t="s">
        <v>60</v>
      </c>
      <c r="AA507" s="42"/>
      <c r="AB507" s="14"/>
      <c r="AC507" s="5" t="s">
        <v>43</v>
      </c>
      <c r="AD507" s="4" t="s">
        <v>119</v>
      </c>
      <c r="AE507" s="15" t="n">
        <v>62.5</v>
      </c>
      <c r="AF507" s="4" t="n">
        <v>0</v>
      </c>
      <c r="AG507" s="59" t="n">
        <v>1</v>
      </c>
      <c r="AH507" s="4" t="s">
        <v>57</v>
      </c>
    </row>
    <row r="508" customFormat="false" ht="13.5" hidden="false" customHeight="false" outlineLevel="0" collapsed="false">
      <c r="A508" s="29"/>
      <c r="B508" s="11" t="s">
        <v>236</v>
      </c>
      <c r="C508" s="11" t="s">
        <v>38</v>
      </c>
      <c r="D508" s="29" t="n">
        <v>550610</v>
      </c>
      <c r="E508" s="4" t="s">
        <v>567</v>
      </c>
      <c r="F508" s="4" t="s">
        <v>155</v>
      </c>
      <c r="G508" s="5" t="s">
        <v>40</v>
      </c>
      <c r="H508" s="6" t="n">
        <v>767</v>
      </c>
      <c r="I508" s="6" t="n">
        <f aca="false">H508</f>
        <v>767</v>
      </c>
      <c r="J508" s="6" t="n">
        <v>750</v>
      </c>
      <c r="K508" s="4" t="s">
        <v>67</v>
      </c>
      <c r="N508" s="8" t="n">
        <v>45719</v>
      </c>
      <c r="Q508" s="9" t="n">
        <v>0</v>
      </c>
      <c r="R508" s="9" t="n">
        <f aca="false">Q508</f>
        <v>0</v>
      </c>
      <c r="T508" s="9" t="n">
        <v>40000</v>
      </c>
      <c r="U508" s="9" t="n">
        <f aca="false">T508</f>
        <v>40000</v>
      </c>
      <c r="V508" s="9" t="n">
        <v>44100</v>
      </c>
      <c r="W508" s="9" t="n">
        <f aca="false">V508</f>
        <v>44100</v>
      </c>
      <c r="X508" s="45" t="n">
        <f aca="false">V508/H508</f>
        <v>57.496740547588</v>
      </c>
      <c r="Y508" s="46" t="n">
        <f aca="false">SUM(V508-T508)/T508</f>
        <v>0.1025</v>
      </c>
      <c r="Z508" s="9" t="s">
        <v>60</v>
      </c>
      <c r="AA508" s="42"/>
      <c r="AB508" s="14"/>
      <c r="AC508" s="5" t="s">
        <v>43</v>
      </c>
      <c r="AD508" s="4" t="s">
        <v>119</v>
      </c>
      <c r="AF508" s="60"/>
      <c r="AG508" s="62" t="n">
        <v>1</v>
      </c>
      <c r="AH508" s="60"/>
    </row>
    <row r="509" customFormat="false" ht="13.5" hidden="false" customHeight="false" outlineLevel="0" collapsed="false">
      <c r="A509" s="29"/>
      <c r="B509" s="11" t="s">
        <v>236</v>
      </c>
      <c r="C509" s="11" t="s">
        <v>38</v>
      </c>
      <c r="D509" s="29" t="n">
        <v>550610</v>
      </c>
      <c r="E509" s="4" t="s">
        <v>567</v>
      </c>
      <c r="F509" s="4" t="s">
        <v>152</v>
      </c>
      <c r="G509" s="5" t="s">
        <v>40</v>
      </c>
      <c r="H509" s="6" t="n">
        <v>645</v>
      </c>
      <c r="I509" s="6" t="n">
        <f aca="false">H509</f>
        <v>645</v>
      </c>
      <c r="J509" s="6" t="n">
        <v>750</v>
      </c>
      <c r="K509" s="4" t="s">
        <v>67</v>
      </c>
      <c r="N509" s="8" t="n">
        <v>44263</v>
      </c>
      <c r="Q509" s="9" t="n">
        <v>0</v>
      </c>
      <c r="R509" s="9" t="n">
        <f aca="false">Q509</f>
        <v>0</v>
      </c>
      <c r="T509" s="9" t="n">
        <v>35000</v>
      </c>
      <c r="U509" s="9" t="n">
        <f aca="false">T509</f>
        <v>35000</v>
      </c>
      <c r="V509" s="9" t="n">
        <v>37100</v>
      </c>
      <c r="W509" s="9" t="n">
        <f aca="false">V509</f>
        <v>37100</v>
      </c>
      <c r="X509" s="45" t="n">
        <f aca="false">V509/H509</f>
        <v>57.5193798449612</v>
      </c>
      <c r="Y509" s="46" t="n">
        <f aca="false">SUM(V509-T509)/T509</f>
        <v>0.06</v>
      </c>
      <c r="Z509" s="9" t="s">
        <v>60</v>
      </c>
      <c r="AA509" s="42"/>
      <c r="AB509" s="14"/>
      <c r="AC509" s="5" t="s">
        <v>43</v>
      </c>
      <c r="AD509" s="4" t="s">
        <v>119</v>
      </c>
      <c r="AE509" s="15" t="n">
        <v>60</v>
      </c>
      <c r="AG509" s="59"/>
    </row>
    <row r="510" customFormat="false" ht="13.5" hidden="false" customHeight="false" outlineLevel="0" collapsed="false">
      <c r="A510" s="29"/>
      <c r="B510" s="11" t="s">
        <v>236</v>
      </c>
      <c r="C510" s="11" t="s">
        <v>38</v>
      </c>
      <c r="D510" s="29" t="n">
        <v>550610</v>
      </c>
      <c r="E510" s="4" t="s">
        <v>567</v>
      </c>
      <c r="F510" s="4" t="s">
        <v>156</v>
      </c>
      <c r="G510" s="5" t="s">
        <v>40</v>
      </c>
      <c r="H510" s="6" t="n">
        <v>767</v>
      </c>
      <c r="I510" s="6" t="n">
        <f aca="false">H510</f>
        <v>767</v>
      </c>
      <c r="J510" s="6" t="n">
        <v>750</v>
      </c>
      <c r="K510" s="4" t="s">
        <v>67</v>
      </c>
      <c r="N510" s="8" t="n">
        <v>44263</v>
      </c>
      <c r="Q510" s="9" t="n">
        <v>0</v>
      </c>
      <c r="R510" s="9" t="n">
        <f aca="false">Q510</f>
        <v>0</v>
      </c>
      <c r="T510" s="9" t="n">
        <v>40000</v>
      </c>
      <c r="U510" s="9" t="n">
        <f aca="false">T510</f>
        <v>40000</v>
      </c>
      <c r="V510" s="9" t="n">
        <v>44100</v>
      </c>
      <c r="W510" s="9" t="n">
        <f aca="false">V510</f>
        <v>44100</v>
      </c>
      <c r="X510" s="45" t="n">
        <f aca="false">V510/H510</f>
        <v>57.496740547588</v>
      </c>
      <c r="Y510" s="46" t="n">
        <f aca="false">SUM(V510-T510)/T510</f>
        <v>0.1025</v>
      </c>
      <c r="Z510" s="9" t="s">
        <v>60</v>
      </c>
      <c r="AA510" s="42"/>
      <c r="AB510" s="14"/>
      <c r="AC510" s="5" t="s">
        <v>43</v>
      </c>
      <c r="AD510" s="4" t="s">
        <v>119</v>
      </c>
      <c r="AE510" s="15" t="n">
        <v>60</v>
      </c>
      <c r="AG510" s="59"/>
    </row>
    <row r="511" customFormat="false" ht="14.25" hidden="false" customHeight="true" outlineLevel="0" collapsed="false">
      <c r="A511" s="29"/>
      <c r="B511" s="11" t="s">
        <v>236</v>
      </c>
      <c r="C511" s="11" t="s">
        <v>38</v>
      </c>
      <c r="D511" s="29" t="n">
        <v>550610</v>
      </c>
      <c r="E511" s="4" t="s">
        <v>567</v>
      </c>
      <c r="F511" s="4" t="s">
        <v>158</v>
      </c>
      <c r="G511" s="5" t="s">
        <v>40</v>
      </c>
      <c r="H511" s="6" t="n">
        <v>534</v>
      </c>
      <c r="I511" s="6" t="n">
        <f aca="false">H511</f>
        <v>534</v>
      </c>
      <c r="J511" s="6" t="n">
        <v>500</v>
      </c>
      <c r="K511" s="4" t="s">
        <v>67</v>
      </c>
      <c r="N511" s="8" t="n">
        <v>43061</v>
      </c>
      <c r="Q511" s="9" t="n">
        <v>0</v>
      </c>
      <c r="R511" s="9" t="n">
        <f aca="false">Q511</f>
        <v>0</v>
      </c>
      <c r="T511" s="9" t="n">
        <v>30500</v>
      </c>
      <c r="U511" s="9" t="n">
        <f aca="false">T511</f>
        <v>30500</v>
      </c>
      <c r="V511" s="9" t="n">
        <v>30700</v>
      </c>
      <c r="W511" s="9" t="n">
        <f aca="false">V511</f>
        <v>30700</v>
      </c>
      <c r="X511" s="45" t="n">
        <f aca="false">V511/H511</f>
        <v>57.4906367041199</v>
      </c>
      <c r="Y511" s="46" t="n">
        <f aca="false">SUM(V511-T511)/T511</f>
        <v>0.00655737704918033</v>
      </c>
      <c r="Z511" s="9" t="s">
        <v>60</v>
      </c>
      <c r="AA511" s="42"/>
      <c r="AB511" s="14"/>
      <c r="AC511" s="5" t="s">
        <v>43</v>
      </c>
      <c r="AD511" s="4" t="s">
        <v>119</v>
      </c>
      <c r="AE511" s="15" t="n">
        <v>60</v>
      </c>
      <c r="AG511" s="59"/>
    </row>
    <row r="512" customFormat="false" ht="14.25" hidden="false" customHeight="true" outlineLevel="0" collapsed="false">
      <c r="A512" s="29"/>
      <c r="B512" s="11"/>
      <c r="C512" s="11" t="s">
        <v>38</v>
      </c>
      <c r="D512" s="29"/>
      <c r="E512" s="4"/>
      <c r="T512" s="9"/>
      <c r="U512" s="9" t="n">
        <f aca="false">T512</f>
        <v>0</v>
      </c>
      <c r="V512" s="9"/>
      <c r="W512" s="9" t="n">
        <f aca="false">V512</f>
        <v>0</v>
      </c>
      <c r="X512" s="9"/>
      <c r="Y512" s="41"/>
      <c r="Z512" s="9"/>
      <c r="AA512" s="42"/>
      <c r="AB512" s="14"/>
      <c r="AC512" s="5"/>
      <c r="AG512" s="59"/>
    </row>
    <row r="513" customFormat="false" ht="14.25" hidden="false" customHeight="true" outlineLevel="0" collapsed="false">
      <c r="A513" s="29"/>
      <c r="B513" s="11"/>
      <c r="C513" s="11" t="s">
        <v>38</v>
      </c>
      <c r="D513" s="29"/>
      <c r="E513" s="4"/>
      <c r="F513" s="47" t="s">
        <v>581</v>
      </c>
      <c r="H513" s="43" t="n">
        <f aca="false">SUM(H498:H511)</f>
        <v>11505</v>
      </c>
      <c r="I513" s="44"/>
      <c r="J513" s="44"/>
      <c r="Q513" s="43" t="n">
        <f aca="false">SUM(Q498:Q511)</f>
        <v>351590</v>
      </c>
      <c r="R513" s="43"/>
      <c r="S513" s="43" t="n">
        <f aca="false">SUM(R497:R511)</f>
        <v>351590</v>
      </c>
      <c r="T513" s="43" t="n">
        <f aca="false">SUM(T498:T511)</f>
        <v>572500</v>
      </c>
      <c r="U513" s="9"/>
      <c r="V513" s="43" t="n">
        <f aca="false">SUM(V498:V511)</f>
        <v>623060</v>
      </c>
      <c r="W513" s="9"/>
      <c r="X513" s="9"/>
      <c r="Y513" s="41"/>
      <c r="Z513" s="9"/>
      <c r="AA513" s="42"/>
      <c r="AB513" s="44" t="n">
        <v>7950000</v>
      </c>
      <c r="AC513" s="5"/>
      <c r="AF513" s="60"/>
      <c r="AG513" s="62"/>
      <c r="AH513" s="60"/>
    </row>
    <row r="514" customFormat="false" ht="14.25" hidden="false" customHeight="true" outlineLevel="0" collapsed="false">
      <c r="A514" s="29"/>
      <c r="B514" s="11"/>
      <c r="C514" s="11" t="s">
        <v>38</v>
      </c>
      <c r="D514" s="29"/>
      <c r="E514" s="4"/>
      <c r="H514" s="43"/>
      <c r="I514" s="44"/>
      <c r="J514" s="44"/>
      <c r="Q514" s="44"/>
      <c r="R514" s="44"/>
      <c r="S514" s="44"/>
      <c r="T514" s="43"/>
      <c r="U514" s="44"/>
      <c r="V514" s="43"/>
      <c r="W514" s="44"/>
      <c r="X514" s="44"/>
      <c r="Y514" s="64"/>
      <c r="Z514" s="44"/>
      <c r="AA514" s="67"/>
      <c r="AB514" s="44"/>
      <c r="AC514" s="5"/>
      <c r="AG514" s="59"/>
    </row>
    <row r="515" customFormat="false" ht="14.25" hidden="false" customHeight="true" outlineLevel="0" collapsed="false">
      <c r="A515" s="29"/>
      <c r="B515" s="11"/>
      <c r="C515" s="11" t="s">
        <v>38</v>
      </c>
      <c r="D515" s="29"/>
      <c r="E515" s="4"/>
      <c r="G515" s="39" t="s">
        <v>582</v>
      </c>
      <c r="I515" s="9"/>
      <c r="J515" s="9"/>
      <c r="K515" s="40"/>
      <c r="T515" s="44"/>
      <c r="U515" s="44"/>
      <c r="V515" s="44"/>
      <c r="W515" s="44"/>
      <c r="X515" s="44"/>
      <c r="Y515" s="64"/>
      <c r="Z515" s="44"/>
      <c r="AA515" s="67"/>
      <c r="AB515" s="44"/>
      <c r="AC515" s="5"/>
      <c r="AG515" s="59"/>
    </row>
    <row r="516" customFormat="false" ht="14.25" hidden="false" customHeight="true" outlineLevel="0" collapsed="false">
      <c r="A516" s="29"/>
      <c r="B516" s="11"/>
      <c r="C516" s="11" t="s">
        <v>38</v>
      </c>
      <c r="D516" s="29"/>
      <c r="E516" s="4"/>
      <c r="G516" s="85"/>
      <c r="H516" s="76"/>
      <c r="I516" s="9"/>
      <c r="J516" s="9"/>
      <c r="K516" s="79"/>
      <c r="L516" s="80"/>
      <c r="T516" s="11"/>
      <c r="U516" s="9"/>
      <c r="V516" s="11"/>
      <c r="W516" s="9"/>
      <c r="X516" s="9"/>
      <c r="Y516" s="41"/>
      <c r="Z516" s="9"/>
      <c r="AA516" s="42"/>
      <c r="AB516" s="44"/>
      <c r="AC516" s="5"/>
      <c r="AG516" s="59"/>
    </row>
    <row r="517" customFormat="false" ht="23.25" hidden="false" customHeight="true" outlineLevel="0" collapsed="false">
      <c r="A517" s="29"/>
      <c r="B517" s="11" t="s">
        <v>236</v>
      </c>
      <c r="C517" s="11" t="s">
        <v>38</v>
      </c>
      <c r="D517" s="29" t="n">
        <v>550620</v>
      </c>
      <c r="E517" s="4" t="s">
        <v>582</v>
      </c>
      <c r="F517" s="4" t="s">
        <v>264</v>
      </c>
      <c r="G517" s="5" t="s">
        <v>258</v>
      </c>
      <c r="H517" s="6" t="n">
        <v>930</v>
      </c>
      <c r="I517" s="6" t="n">
        <f aca="false">H517</f>
        <v>930</v>
      </c>
      <c r="J517" s="6" t="n">
        <v>1000</v>
      </c>
      <c r="K517" s="4" t="s">
        <v>583</v>
      </c>
      <c r="L517" s="7" t="n">
        <v>45588</v>
      </c>
      <c r="M517" s="8" t="n">
        <v>46132</v>
      </c>
      <c r="Q517" s="9" t="n">
        <v>46500</v>
      </c>
      <c r="R517" s="9" t="n">
        <f aca="false">Q517</f>
        <v>46500</v>
      </c>
      <c r="T517" s="9" t="n">
        <v>45350</v>
      </c>
      <c r="U517" s="9" t="n">
        <f aca="false">T517</f>
        <v>45350</v>
      </c>
      <c r="V517" s="9" t="n">
        <v>45350</v>
      </c>
      <c r="W517" s="9" t="n">
        <f aca="false">V517</f>
        <v>45350</v>
      </c>
      <c r="X517" s="45" t="n">
        <f aca="false">V517/H517</f>
        <v>48.7634408602151</v>
      </c>
      <c r="Y517" s="46" t="n">
        <f aca="false">SUM(V517-T517)/T517</f>
        <v>0</v>
      </c>
      <c r="Z517" s="98" t="s">
        <v>55</v>
      </c>
      <c r="AA517" s="42"/>
      <c r="AB517" s="44"/>
      <c r="AC517" s="5" t="s">
        <v>43</v>
      </c>
      <c r="AG517" s="59"/>
    </row>
    <row r="518" customFormat="false" ht="13.5" hidden="false" customHeight="false" outlineLevel="0" collapsed="false">
      <c r="A518" s="29"/>
      <c r="B518" s="11" t="s">
        <v>236</v>
      </c>
      <c r="C518" s="11" t="s">
        <v>38</v>
      </c>
      <c r="D518" s="29" t="n">
        <v>550620</v>
      </c>
      <c r="E518" s="4" t="s">
        <v>582</v>
      </c>
      <c r="F518" s="4" t="s">
        <v>89</v>
      </c>
      <c r="G518" s="5" t="s">
        <v>40</v>
      </c>
      <c r="H518" s="6" t="n">
        <v>360</v>
      </c>
      <c r="I518" s="6" t="n">
        <f aca="false">H518</f>
        <v>360</v>
      </c>
      <c r="J518" s="6" t="n">
        <v>250</v>
      </c>
      <c r="K518" s="4" t="s">
        <v>583</v>
      </c>
      <c r="L518" s="7" t="n">
        <v>44307</v>
      </c>
      <c r="M518" s="8" t="n">
        <v>46132</v>
      </c>
      <c r="Q518" s="9" t="n">
        <v>18500</v>
      </c>
      <c r="R518" s="9" t="n">
        <f aca="false">Q518</f>
        <v>18500</v>
      </c>
      <c r="T518" s="9" t="n">
        <v>20200</v>
      </c>
      <c r="U518" s="9" t="n">
        <f aca="false">T518</f>
        <v>20200</v>
      </c>
      <c r="V518" s="9" t="n">
        <v>20700</v>
      </c>
      <c r="W518" s="9" t="n">
        <f aca="false">V518</f>
        <v>20700</v>
      </c>
      <c r="X518" s="45" t="n">
        <f aca="false">V518/H518</f>
        <v>57.5</v>
      </c>
      <c r="Y518" s="46" t="n">
        <f aca="false">SUM(V518-T518)/T518</f>
        <v>0.0247524752475248</v>
      </c>
      <c r="Z518" s="9" t="s">
        <v>60</v>
      </c>
      <c r="AA518" s="42"/>
      <c r="AB518" s="44"/>
      <c r="AC518" s="5" t="s">
        <v>43</v>
      </c>
      <c r="AG518" s="59"/>
    </row>
    <row r="519" customFormat="false" ht="13.5" hidden="false" customHeight="false" outlineLevel="0" collapsed="false">
      <c r="A519" s="29"/>
      <c r="B519" s="11" t="s">
        <v>236</v>
      </c>
      <c r="C519" s="11" t="s">
        <v>38</v>
      </c>
      <c r="D519" s="29" t="n">
        <v>550620</v>
      </c>
      <c r="E519" s="4" t="s">
        <v>582</v>
      </c>
      <c r="F519" s="4" t="s">
        <v>93</v>
      </c>
      <c r="G519" s="5" t="s">
        <v>40</v>
      </c>
      <c r="H519" s="6" t="n">
        <v>375</v>
      </c>
      <c r="I519" s="6" t="n">
        <f aca="false">H519</f>
        <v>375</v>
      </c>
      <c r="J519" s="6" t="n">
        <v>500</v>
      </c>
      <c r="K519" s="4" t="s">
        <v>67</v>
      </c>
      <c r="N519" s="8" t="n">
        <v>45407</v>
      </c>
      <c r="Q519" s="9" t="n">
        <v>0</v>
      </c>
      <c r="R519" s="9" t="n">
        <f aca="false">Q519</f>
        <v>0</v>
      </c>
      <c r="T519" s="9" t="n">
        <v>21000</v>
      </c>
      <c r="U519" s="9" t="n">
        <f aca="false">T519</f>
        <v>21000</v>
      </c>
      <c r="V519" s="9" t="n">
        <v>21600</v>
      </c>
      <c r="W519" s="9" t="n">
        <f aca="false">V519</f>
        <v>21600</v>
      </c>
      <c r="X519" s="45" t="n">
        <f aca="false">V519/H519</f>
        <v>57.6</v>
      </c>
      <c r="Y519" s="46" t="n">
        <f aca="false">SUM(V519-T519)/T519</f>
        <v>0.0285714285714286</v>
      </c>
      <c r="Z519" s="9" t="s">
        <v>60</v>
      </c>
      <c r="AA519" s="42"/>
      <c r="AB519" s="44"/>
      <c r="AC519" s="5" t="s">
        <v>43</v>
      </c>
      <c r="AD519" s="4" t="s">
        <v>119</v>
      </c>
      <c r="AF519" s="4" t="n">
        <v>4</v>
      </c>
      <c r="AG519" s="59" t="n">
        <v>8</v>
      </c>
    </row>
    <row r="520" customFormat="false" ht="23.25" hidden="false" customHeight="true" outlineLevel="0" collapsed="false">
      <c r="A520" s="29"/>
      <c r="B520" s="11" t="s">
        <v>236</v>
      </c>
      <c r="C520" s="11" t="s">
        <v>38</v>
      </c>
      <c r="D520" s="29" t="n">
        <v>550620</v>
      </c>
      <c r="E520" s="4" t="s">
        <v>582</v>
      </c>
      <c r="F520" s="4" t="s">
        <v>94</v>
      </c>
      <c r="G520" s="5" t="s">
        <v>40</v>
      </c>
      <c r="H520" s="6" t="n">
        <v>350</v>
      </c>
      <c r="I520" s="6" t="n">
        <f aca="false">H520</f>
        <v>350</v>
      </c>
      <c r="J520" s="6" t="n">
        <v>500</v>
      </c>
      <c r="K520" s="4" t="s">
        <v>584</v>
      </c>
      <c r="L520" s="7" t="n">
        <v>44974</v>
      </c>
      <c r="M520" s="8" t="n">
        <v>46799</v>
      </c>
      <c r="P520" s="8" t="n">
        <v>46069</v>
      </c>
      <c r="Q520" s="9" t="n">
        <v>19600</v>
      </c>
      <c r="R520" s="9" t="n">
        <f aca="false">Q520</f>
        <v>19600</v>
      </c>
      <c r="T520" s="9" t="n">
        <v>19600</v>
      </c>
      <c r="U520" s="9" t="n">
        <f aca="false">T520</f>
        <v>19600</v>
      </c>
      <c r="V520" s="9" t="n">
        <v>20100</v>
      </c>
      <c r="W520" s="9" t="n">
        <f aca="false">V520</f>
        <v>20100</v>
      </c>
      <c r="X520" s="45" t="n">
        <f aca="false">V520/H520</f>
        <v>57.4285714285714</v>
      </c>
      <c r="Y520" s="46" t="n">
        <f aca="false">SUM(V520-T520)/T520</f>
        <v>0.0255102040816327</v>
      </c>
      <c r="Z520" s="9" t="s">
        <v>60</v>
      </c>
      <c r="AA520" s="42"/>
      <c r="AB520" s="44"/>
      <c r="AC520" s="5" t="s">
        <v>43</v>
      </c>
      <c r="AD520" s="4" t="s">
        <v>77</v>
      </c>
      <c r="AG520" s="59"/>
    </row>
    <row r="521" customFormat="false" ht="19.4" hidden="false" customHeight="false" outlineLevel="0" collapsed="false">
      <c r="A521" s="29"/>
      <c r="B521" s="11" t="s">
        <v>236</v>
      </c>
      <c r="C521" s="11" t="s">
        <v>38</v>
      </c>
      <c r="D521" s="29" t="n">
        <v>550620</v>
      </c>
      <c r="E521" s="4" t="s">
        <v>582</v>
      </c>
      <c r="F521" s="4" t="s">
        <v>118</v>
      </c>
      <c r="G521" s="5" t="s">
        <v>40</v>
      </c>
      <c r="H521" s="6" t="n">
        <v>350</v>
      </c>
      <c r="I521" s="6" t="n">
        <f aca="false">H521</f>
        <v>350</v>
      </c>
      <c r="J521" s="6" t="n">
        <v>500</v>
      </c>
      <c r="K521" s="4" t="s">
        <v>585</v>
      </c>
      <c r="L521" s="7" t="n">
        <v>45359</v>
      </c>
      <c r="M521" s="8" t="n">
        <v>46453</v>
      </c>
      <c r="P521" s="8" t="n">
        <v>45907</v>
      </c>
      <c r="Q521" s="9" t="n">
        <v>19600</v>
      </c>
      <c r="R521" s="9" t="n">
        <f aca="false">Q521</f>
        <v>19600</v>
      </c>
      <c r="T521" s="9" t="n">
        <v>17500</v>
      </c>
      <c r="U521" s="9" t="n">
        <f aca="false">T521</f>
        <v>17500</v>
      </c>
      <c r="V521" s="9" t="n">
        <v>19600</v>
      </c>
      <c r="W521" s="9" t="n">
        <f aca="false">V521</f>
        <v>19600</v>
      </c>
      <c r="X521" s="45" t="n">
        <f aca="false">V521/H521</f>
        <v>56</v>
      </c>
      <c r="Y521" s="46" t="n">
        <f aca="false">SUM(V521-T521)/T521</f>
        <v>0.12</v>
      </c>
      <c r="Z521" s="9" t="s">
        <v>60</v>
      </c>
      <c r="AA521" s="42"/>
      <c r="AB521" s="44"/>
      <c r="AC521" s="5" t="s">
        <v>43</v>
      </c>
      <c r="AD521" s="4" t="s">
        <v>586</v>
      </c>
      <c r="AG521" s="59"/>
    </row>
    <row r="522" customFormat="false" ht="22.5" hidden="false" customHeight="true" outlineLevel="0" collapsed="false">
      <c r="A522" s="29"/>
      <c r="B522" s="11" t="s">
        <v>236</v>
      </c>
      <c r="C522" s="11" t="s">
        <v>38</v>
      </c>
      <c r="D522" s="29" t="n">
        <v>550620</v>
      </c>
      <c r="E522" s="4" t="s">
        <v>582</v>
      </c>
      <c r="F522" s="4" t="s">
        <v>180</v>
      </c>
      <c r="G522" s="5" t="s">
        <v>40</v>
      </c>
      <c r="H522" s="6" t="n">
        <v>350</v>
      </c>
      <c r="I522" s="6" t="n">
        <f aca="false">H522</f>
        <v>350</v>
      </c>
      <c r="J522" s="6" t="n">
        <v>500</v>
      </c>
      <c r="K522" s="4" t="s">
        <v>587</v>
      </c>
      <c r="L522" s="7" t="n">
        <v>45744</v>
      </c>
      <c r="M522" s="8" t="n">
        <v>47569</v>
      </c>
      <c r="P522" s="8" t="n">
        <v>46839</v>
      </c>
      <c r="Q522" s="9" t="n">
        <v>0</v>
      </c>
      <c r="R522" s="9" t="n">
        <f aca="false">Q522</f>
        <v>0</v>
      </c>
      <c r="T522" s="9" t="n">
        <v>17500</v>
      </c>
      <c r="U522" s="9" t="n">
        <f aca="false">T522</f>
        <v>17500</v>
      </c>
      <c r="V522" s="9" t="n">
        <v>19600</v>
      </c>
      <c r="W522" s="9" t="n">
        <f aca="false">V522</f>
        <v>19600</v>
      </c>
      <c r="X522" s="45" t="n">
        <f aca="false">V522/H522</f>
        <v>56</v>
      </c>
      <c r="Y522" s="46" t="n">
        <f aca="false">SUM(V522-T522)/T522</f>
        <v>0.12</v>
      </c>
      <c r="Z522" s="9" t="s">
        <v>60</v>
      </c>
      <c r="AA522" s="42"/>
      <c r="AB522" s="44"/>
      <c r="AC522" s="5" t="s">
        <v>43</v>
      </c>
      <c r="AD522" s="4" t="s">
        <v>588</v>
      </c>
      <c r="AF522" s="4" t="n">
        <v>1</v>
      </c>
      <c r="AG522" s="59" t="n">
        <v>3</v>
      </c>
      <c r="AH522" s="4" t="s">
        <v>57</v>
      </c>
    </row>
    <row r="523" customFormat="false" ht="14.25" hidden="false" customHeight="true" outlineLevel="0" collapsed="false">
      <c r="A523" s="29"/>
      <c r="B523" s="11"/>
      <c r="C523" s="11" t="s">
        <v>38</v>
      </c>
      <c r="D523" s="29"/>
      <c r="E523" s="4"/>
      <c r="I523" s="9"/>
      <c r="J523" s="9"/>
      <c r="T523" s="9"/>
      <c r="U523" s="9" t="n">
        <f aca="false">T523</f>
        <v>0</v>
      </c>
      <c r="V523" s="9"/>
      <c r="W523" s="9" t="n">
        <f aca="false">V523</f>
        <v>0</v>
      </c>
      <c r="X523" s="9"/>
      <c r="Y523" s="41"/>
      <c r="Z523" s="9"/>
      <c r="AA523" s="42"/>
      <c r="AB523" s="44"/>
      <c r="AC523" s="5"/>
      <c r="AG523" s="59"/>
    </row>
    <row r="524" customFormat="false" ht="14.25" hidden="false" customHeight="true" outlineLevel="0" collapsed="false">
      <c r="A524" s="29"/>
      <c r="B524" s="11"/>
      <c r="C524" s="11" t="s">
        <v>38</v>
      </c>
      <c r="D524" s="29"/>
      <c r="E524" s="4"/>
      <c r="F524" s="47" t="s">
        <v>582</v>
      </c>
      <c r="H524" s="43" t="n">
        <f aca="false">SUM(H517:H522)</f>
        <v>2715</v>
      </c>
      <c r="I524" s="44"/>
      <c r="J524" s="44"/>
      <c r="Q524" s="44" t="n">
        <f aca="false">SUM(Q517:Q522)</f>
        <v>104200</v>
      </c>
      <c r="R524" s="44"/>
      <c r="S524" s="44" t="n">
        <f aca="false">SUM(R517:R522)</f>
        <v>104200</v>
      </c>
      <c r="T524" s="44" t="n">
        <f aca="false">SUM(T517:T522)</f>
        <v>141150</v>
      </c>
      <c r="U524" s="9"/>
      <c r="V524" s="44" t="n">
        <f aca="false">SUM(V517:V522)</f>
        <v>146950</v>
      </c>
      <c r="W524" s="9"/>
      <c r="X524" s="9"/>
      <c r="Y524" s="41"/>
      <c r="Z524" s="9"/>
      <c r="AA524" s="42"/>
      <c r="AB524" s="44" t="n">
        <v>2075000</v>
      </c>
      <c r="AC524" s="5"/>
      <c r="AF524" s="60"/>
      <c r="AG524" s="62"/>
      <c r="AH524" s="60"/>
    </row>
    <row r="525" customFormat="false" ht="14.25" hidden="false" customHeight="true" outlineLevel="0" collapsed="false">
      <c r="A525" s="29"/>
      <c r="B525" s="11"/>
      <c r="C525" s="11" t="s">
        <v>38</v>
      </c>
      <c r="D525" s="29"/>
      <c r="E525" s="4"/>
      <c r="I525" s="9"/>
      <c r="J525" s="9"/>
      <c r="T525" s="9"/>
      <c r="U525" s="9"/>
      <c r="V525" s="9"/>
      <c r="W525" s="9"/>
      <c r="X525" s="9"/>
      <c r="Y525" s="41"/>
      <c r="Z525" s="9"/>
      <c r="AA525" s="42"/>
      <c r="AB525" s="14"/>
      <c r="AC525" s="5"/>
      <c r="AG525" s="59"/>
    </row>
    <row r="526" customFormat="false" ht="14.25" hidden="false" customHeight="true" outlineLevel="0" collapsed="false">
      <c r="A526" s="29"/>
      <c r="B526" s="11"/>
      <c r="C526" s="11" t="s">
        <v>38</v>
      </c>
      <c r="D526" s="29"/>
      <c r="E526" s="4"/>
      <c r="G526" s="39" t="s">
        <v>589</v>
      </c>
      <c r="I526" s="9"/>
      <c r="J526" s="9"/>
      <c r="K526" s="40"/>
      <c r="T526" s="11"/>
      <c r="U526" s="9"/>
      <c r="V526" s="11"/>
      <c r="W526" s="9"/>
      <c r="X526" s="9"/>
      <c r="Y526" s="41"/>
      <c r="Z526" s="9"/>
      <c r="AA526" s="42"/>
      <c r="AB526" s="14"/>
      <c r="AC526" s="5"/>
      <c r="AG526" s="59"/>
    </row>
    <row r="527" customFormat="false" ht="14.25" hidden="false" customHeight="true" outlineLevel="0" collapsed="false">
      <c r="A527" s="29"/>
      <c r="B527" s="11"/>
      <c r="C527" s="11" t="s">
        <v>38</v>
      </c>
      <c r="D527" s="29"/>
      <c r="E527" s="4"/>
      <c r="I527" s="9"/>
      <c r="J527" s="9"/>
      <c r="T527" s="9"/>
      <c r="U527" s="9"/>
      <c r="V527" s="9"/>
      <c r="W527" s="9"/>
      <c r="X527" s="9"/>
      <c r="Y527" s="41"/>
      <c r="Z527" s="9"/>
      <c r="AA527" s="42"/>
      <c r="AB527" s="14"/>
      <c r="AC527" s="5"/>
      <c r="AG527" s="59"/>
    </row>
    <row r="528" customFormat="false" ht="23.25" hidden="false" customHeight="true" outlineLevel="0" collapsed="false">
      <c r="A528" s="29"/>
      <c r="B528" s="11" t="s">
        <v>189</v>
      </c>
      <c r="C528" s="11" t="s">
        <v>38</v>
      </c>
      <c r="D528" s="29" t="n">
        <v>550640</v>
      </c>
      <c r="E528" s="4" t="s">
        <v>589</v>
      </c>
      <c r="F528" s="4" t="s">
        <v>590</v>
      </c>
      <c r="G528" s="5" t="s">
        <v>40</v>
      </c>
      <c r="H528" s="6" t="n">
        <v>3760</v>
      </c>
      <c r="I528" s="6" t="n">
        <f aca="false">H528</f>
        <v>3760</v>
      </c>
      <c r="J528" s="6" t="n">
        <v>2750</v>
      </c>
      <c r="K528" s="4" t="s">
        <v>591</v>
      </c>
      <c r="L528" s="7" t="n">
        <v>44769</v>
      </c>
      <c r="M528" s="8" t="n">
        <v>46594</v>
      </c>
      <c r="P528" s="8" t="n">
        <v>45864</v>
      </c>
      <c r="Q528" s="9" t="n">
        <v>95000</v>
      </c>
      <c r="R528" s="9" t="n">
        <f aca="false">Q528</f>
        <v>95000</v>
      </c>
      <c r="T528" s="9" t="n">
        <v>95000</v>
      </c>
      <c r="U528" s="9" t="n">
        <f aca="false">T528</f>
        <v>95000</v>
      </c>
      <c r="V528" s="9" t="n">
        <v>95000</v>
      </c>
      <c r="W528" s="9" t="n">
        <f aca="false">V528</f>
        <v>95000</v>
      </c>
      <c r="X528" s="45" t="n">
        <f aca="false">V528/H528</f>
        <v>25.2659574468085</v>
      </c>
      <c r="Y528" s="46" t="n">
        <f aca="false">SUM(V528-T528)/T528</f>
        <v>0</v>
      </c>
      <c r="Z528" s="9" t="s">
        <v>127</v>
      </c>
      <c r="AA528" s="42"/>
      <c r="AB528" s="14"/>
      <c r="AC528" s="5" t="s">
        <v>43</v>
      </c>
      <c r="AD528" s="4" t="s">
        <v>77</v>
      </c>
      <c r="AG528" s="59"/>
    </row>
    <row r="529" customFormat="false" ht="24" hidden="false" customHeight="true" outlineLevel="0" collapsed="false">
      <c r="A529" s="29"/>
      <c r="B529" s="11" t="s">
        <v>189</v>
      </c>
      <c r="C529" s="11" t="s">
        <v>38</v>
      </c>
      <c r="D529" s="29" t="n">
        <v>550640</v>
      </c>
      <c r="E529" s="4" t="s">
        <v>589</v>
      </c>
      <c r="F529" s="4" t="s">
        <v>592</v>
      </c>
      <c r="G529" s="5" t="s">
        <v>593</v>
      </c>
      <c r="H529" s="6" t="n">
        <v>7994</v>
      </c>
      <c r="I529" s="6" t="n">
        <f aca="false">H529</f>
        <v>7994</v>
      </c>
      <c r="J529" s="6" t="n">
        <v>8000</v>
      </c>
      <c r="K529" s="4" t="s">
        <v>594</v>
      </c>
      <c r="L529" s="7" t="n">
        <v>45417</v>
      </c>
      <c r="M529" s="8" t="n">
        <v>49068</v>
      </c>
      <c r="O529" s="8" t="n">
        <v>47243</v>
      </c>
      <c r="P529" s="8" t="n">
        <v>47242</v>
      </c>
      <c r="Q529" s="9" t="n">
        <v>424275</v>
      </c>
      <c r="R529" s="9" t="n">
        <f aca="false">Q529</f>
        <v>424275</v>
      </c>
      <c r="T529" s="9" t="n">
        <v>379100</v>
      </c>
      <c r="U529" s="9" t="n">
        <f aca="false">T529</f>
        <v>379100</v>
      </c>
      <c r="V529" s="9" t="n">
        <v>424275</v>
      </c>
      <c r="W529" s="9" t="n">
        <f aca="false">V529</f>
        <v>424275</v>
      </c>
      <c r="X529" s="45" t="n">
        <f aca="false">V529/H529</f>
        <v>53.0741806354766</v>
      </c>
      <c r="Y529" s="46" t="n">
        <f aca="false">SUM(V529-T529)/T529</f>
        <v>0.119163809021366</v>
      </c>
      <c r="Z529" s="9" t="s">
        <v>55</v>
      </c>
      <c r="AA529" s="42"/>
      <c r="AB529" s="14"/>
      <c r="AC529" s="5" t="s">
        <v>43</v>
      </c>
      <c r="AD529" s="4" t="s">
        <v>595</v>
      </c>
      <c r="AG529" s="59"/>
    </row>
    <row r="530" customFormat="false" ht="13.5" hidden="false" customHeight="false" outlineLevel="0" collapsed="false">
      <c r="A530" s="29"/>
      <c r="B530" s="11" t="s">
        <v>189</v>
      </c>
      <c r="C530" s="11" t="s">
        <v>38</v>
      </c>
      <c r="D530" s="29" t="n">
        <v>550640</v>
      </c>
      <c r="E530" s="4" t="s">
        <v>589</v>
      </c>
      <c r="F530" s="4" t="s">
        <v>328</v>
      </c>
      <c r="G530" s="5" t="s">
        <v>40</v>
      </c>
      <c r="H530" s="6" t="n">
        <v>2106</v>
      </c>
      <c r="I530" s="6" t="n">
        <f aca="false">H530</f>
        <v>2106</v>
      </c>
      <c r="J530" s="6" t="n">
        <v>2000</v>
      </c>
      <c r="K530" s="4" t="s">
        <v>596</v>
      </c>
      <c r="L530" s="7" t="n">
        <v>44317</v>
      </c>
      <c r="M530" s="8" t="n">
        <v>46142</v>
      </c>
      <c r="Q530" s="9" t="n">
        <v>115500</v>
      </c>
      <c r="R530" s="9" t="n">
        <f aca="false">Q530</f>
        <v>115500</v>
      </c>
      <c r="T530" s="9" t="n">
        <v>120700</v>
      </c>
      <c r="U530" s="9" t="n">
        <f aca="false">T530</f>
        <v>120700</v>
      </c>
      <c r="V530" s="9" t="n">
        <v>121100</v>
      </c>
      <c r="W530" s="9" t="n">
        <f aca="false">V530</f>
        <v>121100</v>
      </c>
      <c r="X530" s="45" t="n">
        <f aca="false">V530/H530</f>
        <v>57.5023741690408</v>
      </c>
      <c r="Y530" s="46" t="n">
        <f aca="false">SUM(V530-T530)/T530</f>
        <v>0.00331400165700083</v>
      </c>
      <c r="Z530" s="9" t="s">
        <v>60</v>
      </c>
      <c r="AA530" s="42"/>
      <c r="AB530" s="14"/>
      <c r="AC530" s="5" t="s">
        <v>43</v>
      </c>
      <c r="AG530" s="59"/>
    </row>
    <row r="531" customFormat="false" ht="14.25" hidden="false" customHeight="true" outlineLevel="0" collapsed="false">
      <c r="A531" s="29"/>
      <c r="B531" s="11" t="s">
        <v>189</v>
      </c>
      <c r="C531" s="11" t="s">
        <v>38</v>
      </c>
      <c r="D531" s="29" t="n">
        <v>550640</v>
      </c>
      <c r="E531" s="4" t="s">
        <v>589</v>
      </c>
      <c r="F531" s="4" t="s">
        <v>331</v>
      </c>
      <c r="G531" s="5" t="s">
        <v>40</v>
      </c>
      <c r="H531" s="6" t="n">
        <v>1218</v>
      </c>
      <c r="I531" s="6" t="n">
        <f aca="false">H531</f>
        <v>1218</v>
      </c>
      <c r="J531" s="6" t="n">
        <v>1250</v>
      </c>
      <c r="K531" s="4" t="s">
        <v>67</v>
      </c>
      <c r="N531" s="8" t="n">
        <v>42705</v>
      </c>
      <c r="Q531" s="9" t="n">
        <v>0</v>
      </c>
      <c r="R531" s="9" t="n">
        <f aca="false">Q531</f>
        <v>0</v>
      </c>
      <c r="T531" s="9" t="n">
        <v>61500</v>
      </c>
      <c r="U531" s="9" t="n">
        <f aca="false">T531</f>
        <v>61500</v>
      </c>
      <c r="V531" s="9" t="n">
        <v>63900</v>
      </c>
      <c r="W531" s="9" t="n">
        <f aca="false">V531</f>
        <v>63900</v>
      </c>
      <c r="X531" s="45" t="n">
        <f aca="false">V531/H531</f>
        <v>52.4630541871921</v>
      </c>
      <c r="Y531" s="46" t="n">
        <f aca="false">SUM(V531-T531)/T531</f>
        <v>0.0390243902439024</v>
      </c>
      <c r="Z531" s="9" t="s">
        <v>60</v>
      </c>
      <c r="AA531" s="42"/>
      <c r="AB531" s="14"/>
      <c r="AC531" s="5" t="s">
        <v>43</v>
      </c>
      <c r="AD531" s="4" t="s">
        <v>119</v>
      </c>
      <c r="AE531" s="15" t="n">
        <v>62.5</v>
      </c>
      <c r="AG531" s="59"/>
    </row>
    <row r="532" customFormat="false" ht="13.5" hidden="false" customHeight="false" outlineLevel="0" collapsed="false">
      <c r="A532" s="29"/>
      <c r="B532" s="11" t="s">
        <v>189</v>
      </c>
      <c r="C532" s="11" t="s">
        <v>38</v>
      </c>
      <c r="D532" s="29" t="n">
        <v>550640</v>
      </c>
      <c r="E532" s="4" t="s">
        <v>589</v>
      </c>
      <c r="F532" s="4" t="s">
        <v>597</v>
      </c>
      <c r="G532" s="5" t="s">
        <v>40</v>
      </c>
      <c r="H532" s="6" t="n">
        <v>2256</v>
      </c>
      <c r="I532" s="6" t="n">
        <f aca="false">H532</f>
        <v>2256</v>
      </c>
      <c r="J532" s="6" t="n">
        <v>2250</v>
      </c>
      <c r="K532" s="4" t="s">
        <v>67</v>
      </c>
      <c r="N532" s="8" t="n">
        <v>44782</v>
      </c>
      <c r="Q532" s="9" t="n">
        <v>0</v>
      </c>
      <c r="R532" s="9" t="n">
        <f aca="false">Q532</f>
        <v>0</v>
      </c>
      <c r="T532" s="9" t="n">
        <v>129200</v>
      </c>
      <c r="U532" s="9" t="n">
        <f aca="false">T532</f>
        <v>129200</v>
      </c>
      <c r="V532" s="9" t="n">
        <v>129700</v>
      </c>
      <c r="W532" s="9" t="n">
        <f aca="false">V532</f>
        <v>129700</v>
      </c>
      <c r="X532" s="45" t="n">
        <f aca="false">V532/H532</f>
        <v>57.491134751773</v>
      </c>
      <c r="Y532" s="46" t="n">
        <f aca="false">SUM(V532-T532)/T532</f>
        <v>0.00386996904024768</v>
      </c>
      <c r="Z532" s="9" t="s">
        <v>60</v>
      </c>
      <c r="AA532" s="42"/>
      <c r="AB532" s="14"/>
      <c r="AC532" s="5" t="s">
        <v>43</v>
      </c>
      <c r="AD532" s="4" t="s">
        <v>119</v>
      </c>
      <c r="AE532" s="15" t="n">
        <v>62.5</v>
      </c>
      <c r="AF532" s="4" t="n">
        <v>1</v>
      </c>
      <c r="AG532" s="59" t="n">
        <v>1</v>
      </c>
    </row>
    <row r="533" customFormat="false" ht="13.5" hidden="false" customHeight="false" outlineLevel="0" collapsed="false">
      <c r="A533" s="29"/>
      <c r="B533" s="11" t="s">
        <v>189</v>
      </c>
      <c r="C533" s="11" t="s">
        <v>38</v>
      </c>
      <c r="D533" s="29" t="n">
        <v>550640</v>
      </c>
      <c r="E533" s="4" t="s">
        <v>589</v>
      </c>
      <c r="F533" s="4" t="s">
        <v>580</v>
      </c>
      <c r="G533" s="5" t="s">
        <v>40</v>
      </c>
      <c r="H533" s="6" t="n">
        <v>1218</v>
      </c>
      <c r="I533" s="6" t="n">
        <f aca="false">H533</f>
        <v>1218</v>
      </c>
      <c r="J533" s="6" t="n">
        <v>1250</v>
      </c>
      <c r="K533" s="4" t="s">
        <v>67</v>
      </c>
      <c r="N533" s="8" t="n">
        <v>42513</v>
      </c>
      <c r="Q533" s="9" t="n">
        <v>0</v>
      </c>
      <c r="R533" s="9" t="n">
        <f aca="false">Q533</f>
        <v>0</v>
      </c>
      <c r="T533" s="9" t="n">
        <v>59700</v>
      </c>
      <c r="U533" s="9" t="n">
        <f aca="false">T533</f>
        <v>59700</v>
      </c>
      <c r="V533" s="9" t="n">
        <v>63900</v>
      </c>
      <c r="W533" s="9" t="n">
        <f aca="false">V533</f>
        <v>63900</v>
      </c>
      <c r="X533" s="45" t="n">
        <f aca="false">V533/H533</f>
        <v>52.4630541871921</v>
      </c>
      <c r="Y533" s="46" t="n">
        <f aca="false">SUM(V533-T533)/T533</f>
        <v>0.0703517587939699</v>
      </c>
      <c r="Z533" s="9" t="s">
        <v>127</v>
      </c>
      <c r="AA533" s="42"/>
      <c r="AB533" s="14"/>
      <c r="AC533" s="5" t="s">
        <v>43</v>
      </c>
      <c r="AD533" s="4" t="s">
        <v>119</v>
      </c>
      <c r="AE533" s="15" t="n">
        <v>62.5</v>
      </c>
      <c r="AG533" s="59"/>
    </row>
    <row r="534" customFormat="false" ht="13.5" hidden="false" customHeight="false" outlineLevel="0" collapsed="false">
      <c r="A534" s="29"/>
      <c r="B534" s="11" t="s">
        <v>189</v>
      </c>
      <c r="C534" s="11" t="s">
        <v>38</v>
      </c>
      <c r="D534" s="29" t="n">
        <v>550640</v>
      </c>
      <c r="E534" s="4" t="s">
        <v>589</v>
      </c>
      <c r="F534" s="4" t="s">
        <v>94</v>
      </c>
      <c r="G534" s="5" t="s">
        <v>40</v>
      </c>
      <c r="H534" s="6" t="n">
        <v>2194</v>
      </c>
      <c r="I534" s="6" t="n">
        <f aca="false">H534</f>
        <v>2194</v>
      </c>
      <c r="J534" s="6" t="n">
        <v>2000</v>
      </c>
      <c r="K534" s="4" t="s">
        <v>598</v>
      </c>
      <c r="L534" s="7" t="n">
        <v>45082</v>
      </c>
      <c r="M534" s="8" t="n">
        <v>46908</v>
      </c>
      <c r="P534" s="8" t="n">
        <v>46177</v>
      </c>
      <c r="Q534" s="9" t="n">
        <v>130980</v>
      </c>
      <c r="R534" s="9" t="n">
        <f aca="false">Q534</f>
        <v>130980</v>
      </c>
      <c r="T534" s="9" t="n">
        <v>122200</v>
      </c>
      <c r="U534" s="9" t="n">
        <f aca="false">T534</f>
        <v>122200</v>
      </c>
      <c r="V534" s="9" t="n">
        <v>126200</v>
      </c>
      <c r="W534" s="9" t="n">
        <f aca="false">V534</f>
        <v>126200</v>
      </c>
      <c r="X534" s="45" t="n">
        <f aca="false">V534/H534</f>
        <v>57.5205104831358</v>
      </c>
      <c r="Y534" s="46" t="n">
        <f aca="false">SUM(V534-T534)/T534</f>
        <v>0.0327332242225859</v>
      </c>
      <c r="Z534" s="9" t="s">
        <v>42</v>
      </c>
      <c r="AA534" s="42"/>
      <c r="AB534" s="14"/>
      <c r="AC534" s="5" t="s">
        <v>43</v>
      </c>
      <c r="AD534" s="4" t="s">
        <v>77</v>
      </c>
      <c r="AF534" s="60"/>
      <c r="AG534" s="62"/>
      <c r="AH534" s="60"/>
    </row>
    <row r="535" customFormat="false" ht="21" hidden="false" customHeight="true" outlineLevel="0" collapsed="false">
      <c r="A535" s="29"/>
      <c r="B535" s="11" t="s">
        <v>189</v>
      </c>
      <c r="C535" s="11" t="s">
        <v>38</v>
      </c>
      <c r="D535" s="29" t="n">
        <v>550640</v>
      </c>
      <c r="E535" s="4" t="s">
        <v>589</v>
      </c>
      <c r="F535" s="4" t="s">
        <v>118</v>
      </c>
      <c r="G535" s="5" t="s">
        <v>40</v>
      </c>
      <c r="H535" s="6" t="n">
        <v>2080</v>
      </c>
      <c r="I535" s="6" t="n">
        <f aca="false">H535</f>
        <v>2080</v>
      </c>
      <c r="J535" s="6" t="n">
        <v>2000</v>
      </c>
      <c r="K535" s="4" t="s">
        <v>67</v>
      </c>
      <c r="N535" s="8" t="n">
        <v>44647</v>
      </c>
      <c r="Q535" s="9" t="n">
        <v>0</v>
      </c>
      <c r="R535" s="9" t="n">
        <f aca="false">Q535</f>
        <v>0</v>
      </c>
      <c r="T535" s="9" t="n">
        <v>117900</v>
      </c>
      <c r="U535" s="9" t="n">
        <f aca="false">T535</f>
        <v>117900</v>
      </c>
      <c r="V535" s="9" t="n">
        <v>119600</v>
      </c>
      <c r="W535" s="9" t="n">
        <f aca="false">V535</f>
        <v>119600</v>
      </c>
      <c r="X535" s="45" t="n">
        <f aca="false">V535/H535</f>
        <v>57.5</v>
      </c>
      <c r="Y535" s="46" t="n">
        <f aca="false">SUM(V535-T535)/T535</f>
        <v>0.0144189991518236</v>
      </c>
      <c r="Z535" s="9" t="s">
        <v>60</v>
      </c>
      <c r="AA535" s="42"/>
      <c r="AB535" s="14"/>
      <c r="AC535" s="5" t="s">
        <v>43</v>
      </c>
      <c r="AD535" s="4" t="s">
        <v>119</v>
      </c>
      <c r="AE535" s="15" t="n">
        <v>63</v>
      </c>
      <c r="AF535" s="4" t="n">
        <v>1</v>
      </c>
      <c r="AG535" s="59" t="n">
        <v>4</v>
      </c>
      <c r="AH535" s="4" t="s">
        <v>599</v>
      </c>
    </row>
    <row r="536" customFormat="false" ht="13.5" hidden="false" customHeight="false" outlineLevel="0" collapsed="false">
      <c r="A536" s="29"/>
      <c r="B536" s="11" t="s">
        <v>189</v>
      </c>
      <c r="C536" s="11" t="s">
        <v>38</v>
      </c>
      <c r="D536" s="29" t="n">
        <v>550640</v>
      </c>
      <c r="E536" s="4" t="s">
        <v>589</v>
      </c>
      <c r="F536" s="4" t="s">
        <v>180</v>
      </c>
      <c r="G536" s="5" t="s">
        <v>40</v>
      </c>
      <c r="H536" s="6" t="n">
        <v>1713</v>
      </c>
      <c r="I536" s="6" t="n">
        <f aca="false">H536</f>
        <v>1713</v>
      </c>
      <c r="J536" s="6" t="n">
        <v>1750</v>
      </c>
      <c r="K536" s="4" t="s">
        <v>67</v>
      </c>
      <c r="N536" s="8" t="n">
        <v>45195</v>
      </c>
      <c r="Q536" s="9" t="n">
        <v>0</v>
      </c>
      <c r="R536" s="9" t="n">
        <f aca="false">Q536</f>
        <v>0</v>
      </c>
      <c r="T536" s="9" t="n">
        <v>94300</v>
      </c>
      <c r="U536" s="9" t="n">
        <f aca="false">T536</f>
        <v>94300</v>
      </c>
      <c r="V536" s="9" t="n">
        <v>98500</v>
      </c>
      <c r="W536" s="9" t="n">
        <f aca="false">V536</f>
        <v>98500</v>
      </c>
      <c r="X536" s="45" t="n">
        <f aca="false">V536/H536</f>
        <v>57.5014594279043</v>
      </c>
      <c r="Y536" s="46" t="n">
        <f aca="false">SUM(V536-T536)/T536</f>
        <v>0.0445387062566278</v>
      </c>
      <c r="Z536" s="9" t="s">
        <v>127</v>
      </c>
      <c r="AA536" s="42"/>
      <c r="AB536" s="14"/>
      <c r="AC536" s="5" t="s">
        <v>43</v>
      </c>
      <c r="AD536" s="4" t="s">
        <v>119</v>
      </c>
      <c r="AE536" s="15" t="n">
        <v>65</v>
      </c>
      <c r="AF536" s="4" t="n">
        <v>1</v>
      </c>
      <c r="AG536" s="59" t="n">
        <v>1</v>
      </c>
    </row>
    <row r="537" customFormat="false" ht="14.25" hidden="false" customHeight="true" outlineLevel="0" collapsed="false">
      <c r="A537" s="29"/>
      <c r="B537" s="11"/>
      <c r="C537" s="11" t="s">
        <v>38</v>
      </c>
      <c r="D537" s="29"/>
      <c r="E537" s="4"/>
      <c r="I537" s="9"/>
      <c r="J537" s="9"/>
      <c r="T537" s="9"/>
      <c r="U537" s="9"/>
      <c r="V537" s="9"/>
      <c r="W537" s="9"/>
      <c r="X537" s="9"/>
      <c r="Y537" s="41"/>
      <c r="Z537" s="9"/>
      <c r="AA537" s="42"/>
      <c r="AB537" s="14"/>
      <c r="AC537" s="5"/>
      <c r="AG537" s="59"/>
    </row>
    <row r="538" customFormat="false" ht="14.25" hidden="false" customHeight="true" outlineLevel="0" collapsed="false">
      <c r="A538" s="29"/>
      <c r="B538" s="11"/>
      <c r="C538" s="11" t="s">
        <v>38</v>
      </c>
      <c r="D538" s="29"/>
      <c r="E538" s="4"/>
      <c r="F538" s="47" t="s">
        <v>600</v>
      </c>
      <c r="H538" s="43" t="n">
        <f aca="false">SUM(H528:H536)</f>
        <v>24539</v>
      </c>
      <c r="I538" s="44"/>
      <c r="J538" s="44"/>
      <c r="Q538" s="44" t="n">
        <f aca="false">SUM(Q528:Q536)</f>
        <v>765755</v>
      </c>
      <c r="R538" s="44"/>
      <c r="S538" s="44" t="n">
        <f aca="false">SUM(R526:R537)</f>
        <v>765755</v>
      </c>
      <c r="T538" s="44" t="n">
        <f aca="false">SUM(T528:T536)</f>
        <v>1179600</v>
      </c>
      <c r="U538" s="44"/>
      <c r="V538" s="44" t="n">
        <f aca="false">SUM(V528:V536)</f>
        <v>1242175</v>
      </c>
      <c r="W538" s="44"/>
      <c r="X538" s="44"/>
      <c r="Y538" s="64"/>
      <c r="Z538" s="44"/>
      <c r="AA538" s="67"/>
      <c r="AB538" s="44" t="n">
        <v>16825000</v>
      </c>
      <c r="AC538" s="5"/>
      <c r="AF538" s="60"/>
      <c r="AG538" s="62"/>
      <c r="AH538" s="60"/>
    </row>
    <row r="539" customFormat="false" ht="14.25" hidden="false" customHeight="true" outlineLevel="0" collapsed="false">
      <c r="A539" s="29"/>
      <c r="B539" s="11"/>
      <c r="C539" s="11" t="s">
        <v>38</v>
      </c>
      <c r="D539" s="29"/>
      <c r="E539" s="4"/>
      <c r="I539" s="9"/>
      <c r="J539" s="9"/>
      <c r="T539" s="9"/>
      <c r="U539" s="9"/>
      <c r="V539" s="9"/>
      <c r="W539" s="9"/>
      <c r="X539" s="9"/>
      <c r="Y539" s="41"/>
      <c r="Z539" s="9"/>
      <c r="AA539" s="42"/>
      <c r="AB539" s="44"/>
      <c r="AC539" s="5"/>
      <c r="AG539" s="59"/>
    </row>
    <row r="540" customFormat="false" ht="14.25" hidden="false" customHeight="true" outlineLevel="0" collapsed="false">
      <c r="A540" s="29"/>
      <c r="B540" s="11"/>
      <c r="C540" s="11" t="s">
        <v>38</v>
      </c>
      <c r="D540" s="29"/>
      <c r="E540" s="4"/>
      <c r="G540" s="39" t="s">
        <v>601</v>
      </c>
      <c r="I540" s="9"/>
      <c r="J540" s="9"/>
      <c r="K540" s="40"/>
      <c r="T540" s="11"/>
      <c r="U540" s="9"/>
      <c r="V540" s="11"/>
      <c r="W540" s="9"/>
      <c r="X540" s="9"/>
      <c r="Y540" s="41"/>
      <c r="Z540" s="9"/>
      <c r="AA540" s="42"/>
      <c r="AB540" s="44"/>
      <c r="AC540" s="5"/>
      <c r="AG540" s="59"/>
    </row>
    <row r="541" customFormat="false" ht="14.25" hidden="false" customHeight="true" outlineLevel="0" collapsed="false">
      <c r="A541" s="29"/>
      <c r="B541" s="11"/>
      <c r="C541" s="11" t="s">
        <v>38</v>
      </c>
      <c r="D541" s="29"/>
      <c r="E541" s="4"/>
      <c r="G541" s="39"/>
      <c r="H541" s="76"/>
      <c r="I541" s="9"/>
      <c r="J541" s="9"/>
      <c r="T541" s="9"/>
      <c r="U541" s="9"/>
      <c r="V541" s="9"/>
      <c r="W541" s="9"/>
      <c r="X541" s="9"/>
      <c r="Y541" s="41"/>
      <c r="Z541" s="9"/>
      <c r="AA541" s="42"/>
      <c r="AB541" s="44"/>
      <c r="AC541" s="5"/>
      <c r="AG541" s="59"/>
    </row>
    <row r="542" customFormat="false" ht="13.5" hidden="false" customHeight="false" outlineLevel="0" collapsed="false">
      <c r="A542" s="29"/>
      <c r="B542" s="11" t="s">
        <v>37</v>
      </c>
      <c r="C542" s="11" t="s">
        <v>38</v>
      </c>
      <c r="D542" s="29" t="n">
        <v>550630</v>
      </c>
      <c r="E542" s="4" t="s">
        <v>601</v>
      </c>
      <c r="F542" s="4" t="s">
        <v>181</v>
      </c>
      <c r="G542" s="5" t="s">
        <v>165</v>
      </c>
      <c r="H542" s="6" t="n">
        <v>927</v>
      </c>
      <c r="I542" s="6" t="n">
        <f aca="false">H542</f>
        <v>927</v>
      </c>
      <c r="J542" s="6" t="n">
        <v>1000</v>
      </c>
      <c r="K542" s="4" t="s">
        <v>416</v>
      </c>
      <c r="L542" s="8" t="n">
        <v>43184</v>
      </c>
      <c r="M542" s="8" t="n">
        <v>46836</v>
      </c>
      <c r="O542" s="8" t="n">
        <v>45010</v>
      </c>
      <c r="Q542" s="9" t="n">
        <v>13900</v>
      </c>
      <c r="R542" s="9" t="n">
        <f aca="false">Q542</f>
        <v>13900</v>
      </c>
      <c r="T542" s="9" t="n">
        <v>13900</v>
      </c>
      <c r="U542" s="9" t="n">
        <f aca="false">T542</f>
        <v>13900</v>
      </c>
      <c r="V542" s="9" t="n">
        <v>13900</v>
      </c>
      <c r="W542" s="9" t="n">
        <f aca="false">V542</f>
        <v>13900</v>
      </c>
      <c r="X542" s="45" t="n">
        <f aca="false">V542/H542</f>
        <v>14.9946062567422</v>
      </c>
      <c r="Y542" s="46" t="n">
        <f aca="false">SUM(V542-T542)/T542</f>
        <v>0</v>
      </c>
      <c r="Z542" s="9" t="s">
        <v>60</v>
      </c>
      <c r="AA542" s="42"/>
      <c r="AB542" s="44"/>
      <c r="AC542" s="5" t="s">
        <v>43</v>
      </c>
      <c r="AD542" s="4" t="s">
        <v>228</v>
      </c>
      <c r="AF542" s="60"/>
      <c r="AG542" s="62"/>
      <c r="AH542" s="60"/>
    </row>
    <row r="543" customFormat="false" ht="14.25" hidden="false" customHeight="true" outlineLevel="0" collapsed="false">
      <c r="A543" s="29"/>
      <c r="B543" s="11" t="s">
        <v>37</v>
      </c>
      <c r="C543" s="11" t="s">
        <v>38</v>
      </c>
      <c r="D543" s="29" t="n">
        <v>550630</v>
      </c>
      <c r="E543" s="4" t="s">
        <v>601</v>
      </c>
      <c r="F543" s="4" t="s">
        <v>602</v>
      </c>
      <c r="G543" s="5" t="s">
        <v>40</v>
      </c>
      <c r="H543" s="6" t="n">
        <v>1010</v>
      </c>
      <c r="I543" s="6" t="n">
        <f aca="false">H543</f>
        <v>1010</v>
      </c>
      <c r="J543" s="6" t="n">
        <v>1000</v>
      </c>
      <c r="K543" s="4" t="s">
        <v>67</v>
      </c>
      <c r="N543" s="8" t="n">
        <v>42794</v>
      </c>
      <c r="Q543" s="9" t="n">
        <v>0</v>
      </c>
      <c r="R543" s="9" t="n">
        <f aca="false">Q543</f>
        <v>0</v>
      </c>
      <c r="T543" s="9" t="n">
        <v>55600</v>
      </c>
      <c r="U543" s="9" t="n">
        <f aca="false">T543</f>
        <v>55600</v>
      </c>
      <c r="V543" s="9" t="n">
        <v>58100</v>
      </c>
      <c r="W543" s="9" t="n">
        <f aca="false">V543</f>
        <v>58100</v>
      </c>
      <c r="X543" s="45" t="n">
        <f aca="false">V543/H543</f>
        <v>57.5247524752475</v>
      </c>
      <c r="Y543" s="46" t="n">
        <f aca="false">SUM(V543-T543)/T543</f>
        <v>0.0449640287769784</v>
      </c>
      <c r="Z543" s="9" t="s">
        <v>60</v>
      </c>
      <c r="AA543" s="42"/>
      <c r="AB543" s="44"/>
      <c r="AC543" s="5" t="s">
        <v>43</v>
      </c>
      <c r="AD543" s="4" t="s">
        <v>228</v>
      </c>
      <c r="AF543" s="60"/>
      <c r="AG543" s="62"/>
      <c r="AH543" s="60"/>
    </row>
    <row r="544" customFormat="false" ht="13.5" hidden="false" customHeight="false" outlineLevel="0" collapsed="false">
      <c r="A544" s="29"/>
      <c r="B544" s="11" t="s">
        <v>37</v>
      </c>
      <c r="C544" s="11" t="s">
        <v>38</v>
      </c>
      <c r="D544" s="29" t="n">
        <v>550630</v>
      </c>
      <c r="E544" s="4" t="s">
        <v>601</v>
      </c>
      <c r="F544" s="4" t="s">
        <v>89</v>
      </c>
      <c r="G544" s="5" t="s">
        <v>40</v>
      </c>
      <c r="H544" s="6" t="n">
        <v>971</v>
      </c>
      <c r="I544" s="6" t="n">
        <f aca="false">H544</f>
        <v>971</v>
      </c>
      <c r="J544" s="6" t="n">
        <v>1000</v>
      </c>
      <c r="K544" s="4" t="s">
        <v>67</v>
      </c>
      <c r="N544" s="8" t="n">
        <v>44071</v>
      </c>
      <c r="Q544" s="9" t="n">
        <v>0</v>
      </c>
      <c r="R544" s="9" t="n">
        <f aca="false">Q544</f>
        <v>0</v>
      </c>
      <c r="T544" s="9" t="n">
        <v>53400</v>
      </c>
      <c r="U544" s="9" t="n">
        <f aca="false">T544</f>
        <v>53400</v>
      </c>
      <c r="V544" s="9" t="n">
        <v>55800</v>
      </c>
      <c r="W544" s="9" t="n">
        <f aca="false">V544</f>
        <v>55800</v>
      </c>
      <c r="X544" s="45" t="n">
        <f aca="false">V544/H544</f>
        <v>57.4665293511844</v>
      </c>
      <c r="Y544" s="46" t="n">
        <f aca="false">SUM(V544-T544)/T544</f>
        <v>0.0449438202247191</v>
      </c>
      <c r="Z544" s="9" t="s">
        <v>60</v>
      </c>
      <c r="AA544" s="42"/>
      <c r="AB544" s="44"/>
      <c r="AC544" s="5" t="s">
        <v>43</v>
      </c>
      <c r="AD544" s="4" t="s">
        <v>228</v>
      </c>
      <c r="AF544" s="60"/>
      <c r="AG544" s="62"/>
      <c r="AH544" s="60"/>
    </row>
    <row r="545" customFormat="false" ht="14.25" hidden="false" customHeight="true" outlineLevel="0" collapsed="false">
      <c r="A545" s="29"/>
      <c r="B545" s="11" t="s">
        <v>37</v>
      </c>
      <c r="C545" s="11" t="s">
        <v>38</v>
      </c>
      <c r="D545" s="29" t="n">
        <v>550630</v>
      </c>
      <c r="E545" s="4" t="s">
        <v>601</v>
      </c>
      <c r="F545" s="4" t="s">
        <v>93</v>
      </c>
      <c r="G545" s="5" t="s">
        <v>40</v>
      </c>
      <c r="H545" s="6" t="n">
        <v>1000</v>
      </c>
      <c r="I545" s="6" t="n">
        <f aca="false">H545</f>
        <v>1000</v>
      </c>
      <c r="J545" s="6" t="n">
        <v>1000</v>
      </c>
      <c r="K545" s="4" t="s">
        <v>67</v>
      </c>
      <c r="N545" s="8" t="n">
        <v>43261</v>
      </c>
      <c r="Q545" s="9" t="n">
        <v>0</v>
      </c>
      <c r="R545" s="9" t="n">
        <f aca="false">Q545</f>
        <v>0</v>
      </c>
      <c r="T545" s="9" t="n">
        <v>52500</v>
      </c>
      <c r="U545" s="9" t="n">
        <f aca="false">T545</f>
        <v>52500</v>
      </c>
      <c r="V545" s="9" t="n">
        <v>55000</v>
      </c>
      <c r="W545" s="9" t="n">
        <f aca="false">V545</f>
        <v>55000</v>
      </c>
      <c r="X545" s="45" t="n">
        <f aca="false">V545/H545</f>
        <v>55</v>
      </c>
      <c r="Y545" s="46" t="n">
        <f aca="false">SUM(V545-T545)/T545</f>
        <v>0.0476190476190476</v>
      </c>
      <c r="Z545" s="9" t="s">
        <v>60</v>
      </c>
      <c r="AA545" s="42"/>
      <c r="AB545" s="44"/>
      <c r="AC545" s="5" t="s">
        <v>43</v>
      </c>
      <c r="AD545" s="4" t="s">
        <v>228</v>
      </c>
      <c r="AF545" s="60"/>
      <c r="AG545" s="62"/>
      <c r="AH545" s="60"/>
    </row>
    <row r="546" customFormat="false" ht="14.25" hidden="false" customHeight="true" outlineLevel="0" collapsed="false">
      <c r="A546" s="29"/>
      <c r="B546" s="11"/>
      <c r="C546" s="11" t="s">
        <v>38</v>
      </c>
      <c r="D546" s="29"/>
      <c r="E546" s="4"/>
      <c r="I546" s="9"/>
      <c r="J546" s="9"/>
      <c r="T546" s="9"/>
      <c r="U546" s="9"/>
      <c r="V546" s="9"/>
      <c r="W546" s="9"/>
      <c r="X546" s="9"/>
      <c r="Y546" s="41"/>
      <c r="Z546" s="9"/>
      <c r="AA546" s="42"/>
      <c r="AB546" s="44"/>
      <c r="AC546" s="5"/>
      <c r="AG546" s="59"/>
    </row>
    <row r="547" customFormat="false" ht="14.25" hidden="false" customHeight="true" outlineLevel="0" collapsed="false">
      <c r="A547" s="29"/>
      <c r="B547" s="11"/>
      <c r="C547" s="11" t="s">
        <v>38</v>
      </c>
      <c r="D547" s="29"/>
      <c r="E547" s="4"/>
      <c r="F547" s="47" t="s">
        <v>603</v>
      </c>
      <c r="H547" s="43" t="n">
        <f aca="false">SUM(H542:H545)</f>
        <v>3908</v>
      </c>
      <c r="I547" s="44"/>
      <c r="J547" s="44"/>
      <c r="Q547" s="44" t="n">
        <f aca="false">SUM(Q542:Q545)</f>
        <v>13900</v>
      </c>
      <c r="R547" s="44"/>
      <c r="S547" s="44" t="n">
        <f aca="false">SUM(R541:R546)</f>
        <v>13900</v>
      </c>
      <c r="T547" s="44" t="n">
        <f aca="false">SUM(T542:T545)</f>
        <v>175400</v>
      </c>
      <c r="U547" s="44"/>
      <c r="V547" s="44" t="n">
        <f aca="false">SUM(V542:V545)</f>
        <v>182800</v>
      </c>
      <c r="W547" s="44"/>
      <c r="X547" s="44"/>
      <c r="Y547" s="64"/>
      <c r="Z547" s="44"/>
      <c r="AA547" s="67"/>
      <c r="AB547" s="44" t="n">
        <v>1975000</v>
      </c>
      <c r="AC547" s="5"/>
      <c r="AG547" s="59"/>
    </row>
    <row r="548" customFormat="false" ht="14.25" hidden="false" customHeight="true" outlineLevel="0" collapsed="false">
      <c r="A548" s="29"/>
      <c r="B548" s="11"/>
      <c r="C548" s="11" t="s">
        <v>38</v>
      </c>
      <c r="D548" s="29"/>
      <c r="E548" s="4"/>
      <c r="H548" s="43"/>
      <c r="I548" s="44"/>
      <c r="J548" s="44"/>
      <c r="Q548" s="44"/>
      <c r="R548" s="44"/>
      <c r="S548" s="44"/>
      <c r="T548" s="44"/>
      <c r="U548" s="44"/>
      <c r="V548" s="44"/>
      <c r="W548" s="44"/>
      <c r="X548" s="44"/>
      <c r="Y548" s="64"/>
      <c r="Z548" s="44"/>
      <c r="AA548" s="67"/>
      <c r="AB548" s="66"/>
      <c r="AC548" s="5"/>
      <c r="AG548" s="59"/>
    </row>
    <row r="549" customFormat="false" ht="14.25" hidden="false" customHeight="true" outlineLevel="0" collapsed="false">
      <c r="A549" s="29"/>
      <c r="B549" s="11"/>
      <c r="C549" s="11" t="s">
        <v>38</v>
      </c>
      <c r="D549" s="29"/>
      <c r="E549" s="4"/>
      <c r="G549" s="39" t="s">
        <v>604</v>
      </c>
      <c r="I549" s="9"/>
      <c r="J549" s="9"/>
      <c r="K549" s="40"/>
      <c r="T549" s="11"/>
      <c r="U549" s="9"/>
      <c r="V549" s="11"/>
      <c r="W549" s="9"/>
      <c r="X549" s="9"/>
      <c r="Y549" s="41"/>
      <c r="Z549" s="9"/>
      <c r="AA549" s="42"/>
      <c r="AB549" s="14"/>
      <c r="AC549" s="5"/>
      <c r="AG549" s="59"/>
    </row>
    <row r="550" customFormat="false" ht="14.25" hidden="false" customHeight="true" outlineLevel="0" collapsed="false">
      <c r="A550" s="29"/>
      <c r="B550" s="11"/>
      <c r="C550" s="11" t="s">
        <v>38</v>
      </c>
      <c r="D550" s="29"/>
      <c r="E550" s="4"/>
      <c r="G550" s="39"/>
      <c r="I550" s="9"/>
      <c r="J550" s="9"/>
      <c r="K550" s="40"/>
      <c r="T550" s="11"/>
      <c r="U550" s="9"/>
      <c r="V550" s="11"/>
      <c r="W550" s="9"/>
      <c r="X550" s="9"/>
      <c r="Y550" s="41"/>
      <c r="Z550" s="9"/>
      <c r="AA550" s="42"/>
      <c r="AB550" s="14"/>
      <c r="AC550" s="5"/>
    </row>
    <row r="551" customFormat="false" ht="23.25" hidden="false" customHeight="true" outlineLevel="0" collapsed="false">
      <c r="A551" s="29"/>
      <c r="B551" s="11" t="s">
        <v>37</v>
      </c>
      <c r="C551" s="11" t="s">
        <v>38</v>
      </c>
      <c r="D551" s="29" t="n">
        <v>550690</v>
      </c>
      <c r="E551" s="4" t="s">
        <v>604</v>
      </c>
      <c r="F551" s="4" t="s">
        <v>605</v>
      </c>
      <c r="G551" s="5" t="s">
        <v>606</v>
      </c>
      <c r="H551" s="6" t="n">
        <v>1519</v>
      </c>
      <c r="I551" s="6" t="n">
        <f aca="false">H551</f>
        <v>1519</v>
      </c>
      <c r="J551" s="6" t="n">
        <v>1500</v>
      </c>
      <c r="K551" s="60" t="s">
        <v>607</v>
      </c>
      <c r="L551" s="118" t="n">
        <v>45824</v>
      </c>
      <c r="M551" s="102" t="n">
        <v>46188</v>
      </c>
      <c r="Q551" s="98" t="n">
        <v>61812</v>
      </c>
      <c r="R551" s="9" t="n">
        <f aca="false">Q551</f>
        <v>61812</v>
      </c>
      <c r="T551" s="9" t="n">
        <v>53600</v>
      </c>
      <c r="U551" s="9" t="n">
        <f aca="false">T551</f>
        <v>53600</v>
      </c>
      <c r="V551" s="9" t="n">
        <v>54700</v>
      </c>
      <c r="W551" s="9" t="n">
        <f aca="false">V551</f>
        <v>54700</v>
      </c>
      <c r="X551" s="45" t="n">
        <f aca="false">V551/H551</f>
        <v>36.0105332455563</v>
      </c>
      <c r="Y551" s="46" t="n">
        <f aca="false">SUM(V551-T551)/T551</f>
        <v>0.0205223880597015</v>
      </c>
      <c r="Z551" s="9" t="s">
        <v>127</v>
      </c>
      <c r="AA551" s="42" t="s">
        <v>26</v>
      </c>
      <c r="AB551" s="14"/>
      <c r="AC551" s="5" t="s">
        <v>43</v>
      </c>
      <c r="AD551" s="60" t="s">
        <v>608</v>
      </c>
      <c r="AF551" s="4" t="n">
        <v>1</v>
      </c>
      <c r="AG551" s="59" t="n">
        <v>4</v>
      </c>
      <c r="AH551" s="4" t="s">
        <v>57</v>
      </c>
    </row>
    <row r="552" customFormat="false" ht="36" hidden="false" customHeight="true" outlineLevel="0" collapsed="false">
      <c r="A552" s="29"/>
      <c r="B552" s="11" t="s">
        <v>37</v>
      </c>
      <c r="C552" s="11" t="s">
        <v>38</v>
      </c>
      <c r="D552" s="29" t="n">
        <v>550690</v>
      </c>
      <c r="E552" s="4" t="s">
        <v>604</v>
      </c>
      <c r="F552" s="4" t="s">
        <v>609</v>
      </c>
      <c r="G552" s="5" t="s">
        <v>40</v>
      </c>
      <c r="H552" s="6" t="n">
        <v>1525</v>
      </c>
      <c r="I552" s="6" t="n">
        <f aca="false">H552</f>
        <v>1525</v>
      </c>
      <c r="J552" s="6" t="n">
        <v>1500</v>
      </c>
      <c r="K552" s="60" t="s">
        <v>610</v>
      </c>
      <c r="L552" s="118" t="n">
        <v>45834</v>
      </c>
      <c r="M552" s="102" t="n">
        <v>47659</v>
      </c>
      <c r="Q552" s="98" t="n">
        <v>0</v>
      </c>
      <c r="R552" s="9" t="n">
        <f aca="false">Q552</f>
        <v>0</v>
      </c>
      <c r="T552" s="9" t="n">
        <v>90600</v>
      </c>
      <c r="U552" s="9" t="n">
        <f aca="false">T552</f>
        <v>90600</v>
      </c>
      <c r="V552" s="9" t="n">
        <v>91500</v>
      </c>
      <c r="W552" s="9" t="n">
        <f aca="false">V552</f>
        <v>91500</v>
      </c>
      <c r="X552" s="45" t="n">
        <f aca="false">V552/H552</f>
        <v>60</v>
      </c>
      <c r="Y552" s="46" t="n">
        <f aca="false">SUM(V552-T552)/T552</f>
        <v>0.00993377483443709</v>
      </c>
      <c r="Z552" s="9" t="s">
        <v>127</v>
      </c>
      <c r="AA552" s="42"/>
      <c r="AB552" s="14"/>
      <c r="AC552" s="5" t="s">
        <v>43</v>
      </c>
      <c r="AD552" s="60" t="s">
        <v>611</v>
      </c>
      <c r="AG552" s="59" t="n">
        <v>3</v>
      </c>
    </row>
    <row r="553" customFormat="false" ht="28.5" hidden="false" customHeight="true" outlineLevel="0" collapsed="false">
      <c r="A553" s="29"/>
      <c r="B553" s="11" t="s">
        <v>37</v>
      </c>
      <c r="C553" s="11" t="s">
        <v>38</v>
      </c>
      <c r="D553" s="29" t="n">
        <v>550690</v>
      </c>
      <c r="E553" s="4" t="s">
        <v>604</v>
      </c>
      <c r="F553" s="4" t="s">
        <v>612</v>
      </c>
      <c r="G553" s="5" t="s">
        <v>237</v>
      </c>
      <c r="H553" s="6" t="n">
        <v>1989</v>
      </c>
      <c r="I553" s="6" t="n">
        <f aca="false">H553</f>
        <v>1989</v>
      </c>
      <c r="J553" s="6" t="n">
        <v>2000</v>
      </c>
      <c r="K553" s="4" t="s">
        <v>613</v>
      </c>
      <c r="L553" s="7" t="n">
        <v>42874</v>
      </c>
      <c r="M553" s="8" t="n">
        <v>46525</v>
      </c>
      <c r="O553" s="8" t="n">
        <v>44700</v>
      </c>
      <c r="Q553" s="9" t="n">
        <v>82575</v>
      </c>
      <c r="R553" s="9" t="n">
        <f aca="false">Q553</f>
        <v>82575</v>
      </c>
      <c r="T553" s="9" t="n">
        <v>75000</v>
      </c>
      <c r="U553" s="9" t="n">
        <f aca="false">T553</f>
        <v>75000</v>
      </c>
      <c r="V553" s="9" t="n">
        <v>87300</v>
      </c>
      <c r="W553" s="9" t="n">
        <f aca="false">V553</f>
        <v>87300</v>
      </c>
      <c r="X553" s="45" t="n">
        <f aca="false">V553/H553</f>
        <v>43.8914027149321</v>
      </c>
      <c r="Y553" s="46" t="n">
        <f aca="false">SUM(V553-T553)/T553</f>
        <v>0.164</v>
      </c>
      <c r="Z553" s="9" t="s">
        <v>42</v>
      </c>
      <c r="AA553" s="42"/>
      <c r="AB553" s="14"/>
      <c r="AC553" s="5" t="s">
        <v>43</v>
      </c>
      <c r="AG553" s="59"/>
    </row>
    <row r="554" customFormat="false" ht="22.5" hidden="false" customHeight="true" outlineLevel="0" collapsed="false">
      <c r="A554" s="29"/>
      <c r="B554" s="11" t="s">
        <v>37</v>
      </c>
      <c r="C554" s="11" t="s">
        <v>38</v>
      </c>
      <c r="D554" s="29" t="n">
        <v>550690</v>
      </c>
      <c r="E554" s="4" t="s">
        <v>604</v>
      </c>
      <c r="F554" s="4" t="s">
        <v>140</v>
      </c>
      <c r="G554" s="5" t="s">
        <v>309</v>
      </c>
      <c r="H554" s="6" t="n">
        <v>1143</v>
      </c>
      <c r="I554" s="6" t="n">
        <f aca="false">H554</f>
        <v>1143</v>
      </c>
      <c r="J554" s="6" t="n">
        <v>1000</v>
      </c>
      <c r="K554" s="4" t="s">
        <v>67</v>
      </c>
      <c r="N554" s="8" t="n">
        <v>44293</v>
      </c>
      <c r="Q554" s="9" t="n">
        <v>0</v>
      </c>
      <c r="R554" s="9" t="n">
        <f aca="false">Q554</f>
        <v>0</v>
      </c>
      <c r="T554" s="9" t="n">
        <v>73600</v>
      </c>
      <c r="U554" s="9" t="n">
        <f aca="false">T554</f>
        <v>73600</v>
      </c>
      <c r="V554" s="9" t="n">
        <v>74300</v>
      </c>
      <c r="W554" s="9" t="n">
        <f aca="false">V554</f>
        <v>74300</v>
      </c>
      <c r="X554" s="45" t="n">
        <f aca="false">V554/H554</f>
        <v>65.0043744531934</v>
      </c>
      <c r="Y554" s="46" t="n">
        <f aca="false">SUM(V554-T554)/T554</f>
        <v>0.00951086956521739</v>
      </c>
      <c r="Z554" s="9" t="s">
        <v>60</v>
      </c>
      <c r="AA554" s="42"/>
      <c r="AB554" s="14"/>
      <c r="AC554" s="5" t="s">
        <v>43</v>
      </c>
      <c r="AD554" s="4" t="s">
        <v>228</v>
      </c>
      <c r="AF554" s="60"/>
      <c r="AG554" s="62" t="n">
        <v>3</v>
      </c>
      <c r="AH554" s="60"/>
    </row>
    <row r="555" customFormat="false" ht="19.4" hidden="false" customHeight="false" outlineLevel="0" collapsed="false">
      <c r="A555" s="29"/>
      <c r="B555" s="11" t="s">
        <v>37</v>
      </c>
      <c r="C555" s="11" t="s">
        <v>38</v>
      </c>
      <c r="D555" s="29" t="n">
        <v>550690</v>
      </c>
      <c r="E555" s="4" t="s">
        <v>604</v>
      </c>
      <c r="F555" s="4" t="s">
        <v>137</v>
      </c>
      <c r="G555" s="5" t="s">
        <v>40</v>
      </c>
      <c r="H555" s="6" t="n">
        <v>805</v>
      </c>
      <c r="I555" s="6" t="n">
        <f aca="false">H555</f>
        <v>805</v>
      </c>
      <c r="J555" s="6" t="n">
        <v>1000</v>
      </c>
      <c r="K555" s="4" t="s">
        <v>67</v>
      </c>
      <c r="N555" s="8" t="n">
        <v>44336</v>
      </c>
      <c r="Q555" s="9" t="n">
        <v>0</v>
      </c>
      <c r="R555" s="9" t="n">
        <f aca="false">Q555</f>
        <v>0</v>
      </c>
      <c r="T555" s="9" t="n">
        <v>45600</v>
      </c>
      <c r="U555" s="9" t="n">
        <f aca="false">T555</f>
        <v>45600</v>
      </c>
      <c r="V555" s="9" t="n">
        <v>52300</v>
      </c>
      <c r="W555" s="9" t="n">
        <f aca="false">V555</f>
        <v>52300</v>
      </c>
      <c r="X555" s="45" t="n">
        <f aca="false">V555/H555</f>
        <v>64.9689440993789</v>
      </c>
      <c r="Y555" s="46" t="n">
        <f aca="false">SUM(V555-T555)/T555</f>
        <v>0.146929824561404</v>
      </c>
      <c r="Z555" s="9" t="s">
        <v>60</v>
      </c>
      <c r="AA555" s="42"/>
      <c r="AB555" s="14"/>
      <c r="AC555" s="5" t="s">
        <v>43</v>
      </c>
      <c r="AD555" s="4" t="s">
        <v>228</v>
      </c>
      <c r="AF555" s="60"/>
      <c r="AG555" s="62"/>
      <c r="AH555" s="60"/>
    </row>
    <row r="556" customFormat="false" ht="28.5" hidden="false" customHeight="true" outlineLevel="0" collapsed="false">
      <c r="A556" s="29"/>
      <c r="B556" s="11" t="s">
        <v>37</v>
      </c>
      <c r="C556" s="11" t="s">
        <v>38</v>
      </c>
      <c r="D556" s="29" t="n">
        <v>550690</v>
      </c>
      <c r="E556" s="4" t="s">
        <v>604</v>
      </c>
      <c r="F556" s="4" t="s">
        <v>143</v>
      </c>
      <c r="G556" s="5" t="s">
        <v>40</v>
      </c>
      <c r="H556" s="6" t="n">
        <v>1171</v>
      </c>
      <c r="I556" s="6" t="n">
        <f aca="false">H556</f>
        <v>1171</v>
      </c>
      <c r="J556" s="6" t="n">
        <v>1000</v>
      </c>
      <c r="K556" s="4" t="s">
        <v>67</v>
      </c>
      <c r="N556" s="8" t="n">
        <v>44049</v>
      </c>
      <c r="Q556" s="9" t="n">
        <v>0</v>
      </c>
      <c r="R556" s="9" t="n">
        <f aca="false">Q556</f>
        <v>0</v>
      </c>
      <c r="T556" s="9" t="n">
        <v>72300</v>
      </c>
      <c r="U556" s="9" t="n">
        <f aca="false">T556</f>
        <v>72300</v>
      </c>
      <c r="V556" s="9" t="n">
        <v>76100</v>
      </c>
      <c r="W556" s="9" t="n">
        <f aca="false">V556</f>
        <v>76100</v>
      </c>
      <c r="X556" s="45" t="n">
        <f aca="false">V556/H556</f>
        <v>64.9871904355252</v>
      </c>
      <c r="Y556" s="46" t="n">
        <f aca="false">SUM(V556-T556)/T556</f>
        <v>0.0525587828492393</v>
      </c>
      <c r="Z556" s="9" t="s">
        <v>60</v>
      </c>
      <c r="AA556" s="42"/>
      <c r="AB556" s="14"/>
      <c r="AC556" s="5" t="s">
        <v>43</v>
      </c>
      <c r="AD556" s="4" t="s">
        <v>228</v>
      </c>
      <c r="AF556" s="60"/>
      <c r="AG556" s="62"/>
      <c r="AH556" s="60"/>
    </row>
    <row r="557" customFormat="false" ht="25.5" hidden="false" customHeight="true" outlineLevel="0" collapsed="false">
      <c r="A557" s="29"/>
      <c r="B557" s="11" t="s">
        <v>37</v>
      </c>
      <c r="C557" s="11" t="s">
        <v>38</v>
      </c>
      <c r="D557" s="29" t="n">
        <v>550690</v>
      </c>
      <c r="E557" s="4" t="s">
        <v>604</v>
      </c>
      <c r="F557" s="4" t="s">
        <v>145</v>
      </c>
      <c r="G557" s="5" t="s">
        <v>40</v>
      </c>
      <c r="H557" s="6" t="n">
        <v>793</v>
      </c>
      <c r="I557" s="6" t="n">
        <f aca="false">H557</f>
        <v>793</v>
      </c>
      <c r="J557" s="6" t="n">
        <v>750</v>
      </c>
      <c r="K557" s="4" t="s">
        <v>67</v>
      </c>
      <c r="N557" s="8" t="n">
        <v>44805</v>
      </c>
      <c r="Q557" s="9" t="n">
        <v>0</v>
      </c>
      <c r="R557" s="9" t="n">
        <f aca="false">Q557</f>
        <v>0</v>
      </c>
      <c r="T557" s="9" t="n">
        <v>46300</v>
      </c>
      <c r="U557" s="9" t="n">
        <f aca="false">T557</f>
        <v>46300</v>
      </c>
      <c r="V557" s="9" t="n">
        <v>51500</v>
      </c>
      <c r="W557" s="9" t="n">
        <f aca="false">V557</f>
        <v>51500</v>
      </c>
      <c r="X557" s="45" t="n">
        <f aca="false">V557/H557</f>
        <v>64.9432534678436</v>
      </c>
      <c r="Y557" s="46" t="n">
        <f aca="false">SUM(V557-T557)/T557</f>
        <v>0.11231101511879</v>
      </c>
      <c r="Z557" s="9" t="s">
        <v>60</v>
      </c>
      <c r="AA557" s="42"/>
      <c r="AB557" s="14"/>
      <c r="AC557" s="5" t="s">
        <v>43</v>
      </c>
      <c r="AD557" s="4" t="s">
        <v>228</v>
      </c>
      <c r="AF557" s="60"/>
      <c r="AG557" s="62"/>
      <c r="AH557" s="60"/>
    </row>
    <row r="558" customFormat="false" ht="16.5" hidden="false" customHeight="true" outlineLevel="0" collapsed="false">
      <c r="A558" s="29"/>
      <c r="B558" s="11" t="s">
        <v>37</v>
      </c>
      <c r="C558" s="11" t="s">
        <v>38</v>
      </c>
      <c r="D558" s="29" t="n">
        <v>550690</v>
      </c>
      <c r="E558" s="4" t="s">
        <v>604</v>
      </c>
      <c r="F558" s="4" t="s">
        <v>546</v>
      </c>
      <c r="G558" s="5" t="s">
        <v>40</v>
      </c>
      <c r="H558" s="6" t="n">
        <v>1030</v>
      </c>
      <c r="I558" s="6" t="n">
        <f aca="false">H558</f>
        <v>1030</v>
      </c>
      <c r="J558" s="6" t="n">
        <v>1000</v>
      </c>
      <c r="K558" s="4" t="s">
        <v>67</v>
      </c>
      <c r="N558" s="8" t="n">
        <v>43914</v>
      </c>
      <c r="Q558" s="9" t="n">
        <v>0</v>
      </c>
      <c r="R558" s="9" t="n">
        <f aca="false">Q558</f>
        <v>0</v>
      </c>
      <c r="T558" s="9" t="n">
        <v>63800</v>
      </c>
      <c r="U558" s="9" t="n">
        <f aca="false">T558</f>
        <v>63800</v>
      </c>
      <c r="V558" s="9" t="n">
        <v>67000</v>
      </c>
      <c r="W558" s="9" t="n">
        <f aca="false">V558</f>
        <v>67000</v>
      </c>
      <c r="X558" s="45" t="n">
        <f aca="false">V558/H558</f>
        <v>65.0485436893204</v>
      </c>
      <c r="Y558" s="46" t="n">
        <f aca="false">SUM(V558-T558)/T558</f>
        <v>0.0501567398119122</v>
      </c>
      <c r="Z558" s="9" t="s">
        <v>60</v>
      </c>
      <c r="AA558" s="42"/>
      <c r="AB558" s="14"/>
      <c r="AC558" s="5" t="s">
        <v>43</v>
      </c>
      <c r="AD558" s="4" t="s">
        <v>228</v>
      </c>
      <c r="AF558" s="60"/>
      <c r="AG558" s="62"/>
      <c r="AH558" s="60"/>
    </row>
    <row r="559" customFormat="false" ht="19.4" hidden="false" customHeight="false" outlineLevel="0" collapsed="false">
      <c r="A559" s="29"/>
      <c r="B559" s="11" t="s">
        <v>37</v>
      </c>
      <c r="C559" s="11" t="s">
        <v>38</v>
      </c>
      <c r="D559" s="29" t="n">
        <v>550690</v>
      </c>
      <c r="E559" s="4" t="s">
        <v>604</v>
      </c>
      <c r="F559" s="4" t="s">
        <v>147</v>
      </c>
      <c r="G559" s="5" t="s">
        <v>40</v>
      </c>
      <c r="H559" s="6" t="n">
        <v>731</v>
      </c>
      <c r="I559" s="6" t="n">
        <f aca="false">H559</f>
        <v>731</v>
      </c>
      <c r="J559" s="6" t="n">
        <v>750</v>
      </c>
      <c r="K559" s="4" t="s">
        <v>67</v>
      </c>
      <c r="N559" s="8" t="n">
        <v>44321</v>
      </c>
      <c r="Q559" s="9" t="n">
        <v>0</v>
      </c>
      <c r="R559" s="9" t="n">
        <f aca="false">Q559</f>
        <v>0</v>
      </c>
      <c r="T559" s="9" t="n">
        <v>46100</v>
      </c>
      <c r="U559" s="9" t="n">
        <f aca="false">T559</f>
        <v>46100</v>
      </c>
      <c r="V559" s="9" t="n">
        <v>47500</v>
      </c>
      <c r="W559" s="9" t="n">
        <f aca="false">V559</f>
        <v>47500</v>
      </c>
      <c r="X559" s="45" t="n">
        <f aca="false">V559/H559</f>
        <v>64.9794801641587</v>
      </c>
      <c r="Y559" s="46" t="n">
        <f aca="false">SUM(V559-T559)/T559</f>
        <v>0.0303687635574837</v>
      </c>
      <c r="Z559" s="9" t="s">
        <v>60</v>
      </c>
      <c r="AA559" s="42"/>
      <c r="AB559" s="14"/>
      <c r="AC559" s="5" t="s">
        <v>43</v>
      </c>
      <c r="AD559" s="4" t="s">
        <v>228</v>
      </c>
      <c r="AF559" s="60"/>
      <c r="AG559" s="62"/>
      <c r="AH559" s="60"/>
    </row>
    <row r="560" customFormat="false" ht="14.25" hidden="false" customHeight="true" outlineLevel="0" collapsed="false">
      <c r="A560" s="29"/>
      <c r="B560" s="11" t="s">
        <v>37</v>
      </c>
      <c r="C560" s="11" t="s">
        <v>38</v>
      </c>
      <c r="D560" s="29" t="n">
        <v>550690</v>
      </c>
      <c r="E560" s="4" t="s">
        <v>604</v>
      </c>
      <c r="F560" s="4" t="s">
        <v>155</v>
      </c>
      <c r="G560" s="5" t="s">
        <v>40</v>
      </c>
      <c r="H560" s="6" t="n">
        <v>949</v>
      </c>
      <c r="I560" s="6" t="n">
        <f aca="false">H560</f>
        <v>949</v>
      </c>
      <c r="J560" s="6" t="n">
        <v>1000</v>
      </c>
      <c r="K560" s="4" t="s">
        <v>67</v>
      </c>
      <c r="N560" s="8" t="n">
        <v>42550</v>
      </c>
      <c r="Q560" s="9" t="n">
        <v>0</v>
      </c>
      <c r="R560" s="9" t="n">
        <f aca="false">Q560</f>
        <v>0</v>
      </c>
      <c r="T560" s="9" t="n">
        <v>55600</v>
      </c>
      <c r="U560" s="9" t="n">
        <f aca="false">T560</f>
        <v>55600</v>
      </c>
      <c r="V560" s="9" t="n">
        <v>59300</v>
      </c>
      <c r="W560" s="9" t="n">
        <f aca="false">V560</f>
        <v>59300</v>
      </c>
      <c r="X560" s="45" t="n">
        <f aca="false">V560/H560</f>
        <v>62.4868282402529</v>
      </c>
      <c r="Y560" s="46" t="n">
        <f aca="false">SUM(V560-T560)/T560</f>
        <v>0.0665467625899281</v>
      </c>
      <c r="Z560" s="9" t="s">
        <v>60</v>
      </c>
      <c r="AA560" s="42"/>
      <c r="AB560" s="14"/>
      <c r="AC560" s="5" t="s">
        <v>43</v>
      </c>
      <c r="AD560" s="4" t="s">
        <v>228</v>
      </c>
      <c r="AF560" s="60"/>
      <c r="AG560" s="62"/>
      <c r="AH560" s="60"/>
    </row>
    <row r="561" customFormat="false" ht="28.5" hidden="false" customHeight="true" outlineLevel="0" collapsed="false">
      <c r="A561" s="29"/>
      <c r="B561" s="11" t="s">
        <v>37</v>
      </c>
      <c r="C561" s="11" t="s">
        <v>38</v>
      </c>
      <c r="D561" s="29" t="n">
        <v>550690</v>
      </c>
      <c r="E561" s="4" t="s">
        <v>604</v>
      </c>
      <c r="F561" s="4" t="s">
        <v>152</v>
      </c>
      <c r="G561" s="5" t="s">
        <v>40</v>
      </c>
      <c r="H561" s="6" t="n">
        <v>601</v>
      </c>
      <c r="I561" s="6" t="n">
        <f aca="false">H561</f>
        <v>601</v>
      </c>
      <c r="J561" s="6" t="n">
        <v>500</v>
      </c>
      <c r="K561" s="4" t="s">
        <v>67</v>
      </c>
      <c r="N561" s="8" t="n">
        <v>44027</v>
      </c>
      <c r="Q561" s="9" t="n">
        <v>0</v>
      </c>
      <c r="R561" s="9" t="n">
        <f aca="false">Q561</f>
        <v>0</v>
      </c>
      <c r="T561" s="9" t="n">
        <v>36800</v>
      </c>
      <c r="U561" s="9" t="n">
        <f aca="false">T561</f>
        <v>36800</v>
      </c>
      <c r="V561" s="9" t="n">
        <v>37600</v>
      </c>
      <c r="W561" s="9" t="n">
        <f aca="false">V561</f>
        <v>37600</v>
      </c>
      <c r="X561" s="45" t="n">
        <f aca="false">V561/H561</f>
        <v>62.5623960066556</v>
      </c>
      <c r="Y561" s="46" t="n">
        <f aca="false">SUM(V561-T561)/T561</f>
        <v>0.0217391304347826</v>
      </c>
      <c r="Z561" s="9" t="s">
        <v>60</v>
      </c>
      <c r="AA561" s="42"/>
      <c r="AB561" s="14"/>
      <c r="AC561" s="5" t="s">
        <v>43</v>
      </c>
      <c r="AD561" s="4" t="s">
        <v>228</v>
      </c>
      <c r="AF561" s="60"/>
      <c r="AG561" s="62"/>
      <c r="AH561" s="60"/>
    </row>
    <row r="562" customFormat="false" ht="14.25" hidden="false" customHeight="true" outlineLevel="0" collapsed="false">
      <c r="A562" s="29"/>
      <c r="B562" s="11" t="s">
        <v>37</v>
      </c>
      <c r="C562" s="11" t="s">
        <v>38</v>
      </c>
      <c r="D562" s="29" t="n">
        <v>550690</v>
      </c>
      <c r="E562" s="4" t="s">
        <v>604</v>
      </c>
      <c r="F562" s="4" t="s">
        <v>156</v>
      </c>
      <c r="G562" s="5" t="s">
        <v>40</v>
      </c>
      <c r="H562" s="6" t="n">
        <v>730</v>
      </c>
      <c r="I562" s="6" t="n">
        <f aca="false">H562</f>
        <v>730</v>
      </c>
      <c r="J562" s="6" t="n">
        <v>750</v>
      </c>
      <c r="K562" s="4" t="s">
        <v>67</v>
      </c>
      <c r="N562" s="8" t="n">
        <v>42723</v>
      </c>
      <c r="Q562" s="9" t="n">
        <v>0</v>
      </c>
      <c r="R562" s="9" t="n">
        <f aca="false">Q562</f>
        <v>0</v>
      </c>
      <c r="T562" s="9" t="n">
        <v>44700</v>
      </c>
      <c r="U562" s="9" t="n">
        <f aca="false">T562</f>
        <v>44700</v>
      </c>
      <c r="V562" s="9" t="n">
        <v>45600</v>
      </c>
      <c r="W562" s="9" t="n">
        <f aca="false">V562</f>
        <v>45600</v>
      </c>
      <c r="X562" s="45" t="n">
        <f aca="false">V562/H562</f>
        <v>62.4657534246575</v>
      </c>
      <c r="Y562" s="46" t="n">
        <f aca="false">SUM(V562-T562)/T562</f>
        <v>0.0201342281879195</v>
      </c>
      <c r="Z562" s="9" t="s">
        <v>60</v>
      </c>
      <c r="AA562" s="42"/>
      <c r="AB562" s="14"/>
      <c r="AC562" s="5" t="s">
        <v>43</v>
      </c>
      <c r="AD562" s="4" t="s">
        <v>228</v>
      </c>
      <c r="AF562" s="60"/>
      <c r="AG562" s="62"/>
      <c r="AH562" s="60"/>
    </row>
    <row r="563" customFormat="false" ht="14.25" hidden="false" customHeight="true" outlineLevel="0" collapsed="false">
      <c r="A563" s="29"/>
      <c r="B563" s="11" t="s">
        <v>37</v>
      </c>
      <c r="C563" s="11" t="s">
        <v>38</v>
      </c>
      <c r="D563" s="29" t="n">
        <v>550690</v>
      </c>
      <c r="E563" s="4" t="s">
        <v>604</v>
      </c>
      <c r="F563" s="4" t="s">
        <v>158</v>
      </c>
      <c r="G563" s="5" t="s">
        <v>40</v>
      </c>
      <c r="H563" s="6" t="n">
        <v>462</v>
      </c>
      <c r="I563" s="6" t="n">
        <f aca="false">H563</f>
        <v>462</v>
      </c>
      <c r="J563" s="6" t="n">
        <v>500</v>
      </c>
      <c r="K563" s="4" t="s">
        <v>67</v>
      </c>
      <c r="N563" s="8" t="n">
        <v>43824</v>
      </c>
      <c r="Q563" s="9" t="n">
        <v>0</v>
      </c>
      <c r="R563" s="9" t="n">
        <f aca="false">Q563</f>
        <v>0</v>
      </c>
      <c r="T563" s="9" t="n">
        <v>27300</v>
      </c>
      <c r="U563" s="9" t="n">
        <f aca="false">T563</f>
        <v>27300</v>
      </c>
      <c r="V563" s="9" t="n">
        <v>28900</v>
      </c>
      <c r="W563" s="9" t="n">
        <f aca="false">V563</f>
        <v>28900</v>
      </c>
      <c r="X563" s="45" t="n">
        <f aca="false">V563/H563</f>
        <v>62.5541125541126</v>
      </c>
      <c r="Y563" s="46" t="n">
        <f aca="false">SUM(V563-T563)/T563</f>
        <v>0.0586080586080586</v>
      </c>
      <c r="Z563" s="9" t="s">
        <v>60</v>
      </c>
      <c r="AA563" s="42"/>
      <c r="AB563" s="14"/>
      <c r="AC563" s="5" t="s">
        <v>43</v>
      </c>
      <c r="AD563" s="4" t="s">
        <v>228</v>
      </c>
      <c r="AF563" s="60"/>
      <c r="AG563" s="62"/>
      <c r="AH563" s="60"/>
    </row>
    <row r="564" customFormat="false" ht="14.25" hidden="false" customHeight="true" outlineLevel="0" collapsed="false">
      <c r="A564" s="29"/>
      <c r="B564" s="11"/>
      <c r="C564" s="11" t="s">
        <v>38</v>
      </c>
      <c r="D564" s="29"/>
      <c r="E564" s="4"/>
      <c r="I564" s="9"/>
      <c r="J564" s="9"/>
      <c r="T564" s="9"/>
      <c r="U564" s="9"/>
      <c r="V564" s="9"/>
      <c r="W564" s="9"/>
      <c r="X564" s="9"/>
      <c r="Y564" s="41"/>
      <c r="Z564" s="9"/>
      <c r="AA564" s="42"/>
      <c r="AB564" s="14"/>
      <c r="AC564" s="5"/>
      <c r="AG564" s="59"/>
    </row>
    <row r="565" customFormat="false" ht="14.25" hidden="false" customHeight="true" outlineLevel="0" collapsed="false">
      <c r="A565" s="29"/>
      <c r="B565" s="11"/>
      <c r="C565" s="11" t="s">
        <v>38</v>
      </c>
      <c r="D565" s="29"/>
      <c r="E565" s="4"/>
      <c r="F565" s="47" t="s">
        <v>614</v>
      </c>
      <c r="H565" s="43" t="n">
        <f aca="false">SUM(H551:H563)</f>
        <v>13448</v>
      </c>
      <c r="I565" s="44"/>
      <c r="J565" s="44"/>
      <c r="Q565" s="116" t="n">
        <f aca="false">SUM(Q551:Q564)</f>
        <v>144387</v>
      </c>
      <c r="R565" s="44"/>
      <c r="S565" s="44" t="n">
        <f aca="false">SUM(R549:R564)</f>
        <v>144387</v>
      </c>
      <c r="T565" s="44" t="n">
        <f aca="false">SUM(T551:T563)</f>
        <v>731300</v>
      </c>
      <c r="U565" s="44"/>
      <c r="V565" s="44" t="n">
        <f aca="false">SUM(V551:V563)</f>
        <v>773600</v>
      </c>
      <c r="W565" s="44"/>
      <c r="X565" s="44"/>
      <c r="Y565" s="64"/>
      <c r="Z565" s="44"/>
      <c r="AA565" s="67"/>
      <c r="AB565" s="44" t="n">
        <v>8950000</v>
      </c>
      <c r="AC565" s="5"/>
      <c r="AF565" s="60"/>
      <c r="AG565" s="62"/>
      <c r="AH565" s="60"/>
    </row>
    <row r="566" customFormat="false" ht="14.25" hidden="false" customHeight="true" outlineLevel="0" collapsed="false">
      <c r="A566" s="29"/>
      <c r="B566" s="11"/>
      <c r="C566" s="11" t="s">
        <v>38</v>
      </c>
      <c r="D566" s="29"/>
      <c r="E566" s="4"/>
      <c r="H566" s="43"/>
      <c r="I566" s="44"/>
      <c r="J566" s="44"/>
      <c r="Q566" s="44"/>
      <c r="R566" s="44"/>
      <c r="S566" s="44"/>
      <c r="T566" s="44"/>
      <c r="U566" s="44"/>
      <c r="V566" s="44"/>
      <c r="W566" s="44"/>
      <c r="X566" s="44"/>
      <c r="Y566" s="64"/>
      <c r="Z566" s="44"/>
      <c r="AA566" s="67"/>
      <c r="AB566" s="44"/>
      <c r="AC566" s="5"/>
      <c r="AG566" s="59"/>
    </row>
    <row r="567" customFormat="false" ht="14.25" hidden="false" customHeight="true" outlineLevel="0" collapsed="false">
      <c r="A567" s="29"/>
      <c r="B567" s="11"/>
      <c r="C567" s="11" t="s">
        <v>38</v>
      </c>
      <c r="D567" s="29"/>
      <c r="E567" s="4"/>
      <c r="G567" s="39" t="s">
        <v>615</v>
      </c>
      <c r="I567" s="9"/>
      <c r="J567" s="9"/>
      <c r="K567" s="40"/>
      <c r="T567" s="11"/>
      <c r="U567" s="9"/>
      <c r="V567" s="11"/>
      <c r="W567" s="9"/>
      <c r="X567" s="9"/>
      <c r="Y567" s="41"/>
      <c r="Z567" s="9"/>
      <c r="AA567" s="42"/>
      <c r="AB567" s="44"/>
      <c r="AC567" s="5"/>
      <c r="AG567" s="59"/>
    </row>
    <row r="568" customFormat="false" ht="14.25" hidden="false" customHeight="true" outlineLevel="0" collapsed="false">
      <c r="A568" s="29"/>
      <c r="B568" s="11"/>
      <c r="C568" s="11" t="s">
        <v>38</v>
      </c>
      <c r="D568" s="29"/>
      <c r="E568" s="4"/>
      <c r="G568" s="39"/>
      <c r="H568" s="76"/>
      <c r="I568" s="9"/>
      <c r="J568" s="9"/>
      <c r="T568" s="9"/>
      <c r="U568" s="9"/>
      <c r="V568" s="9"/>
      <c r="W568" s="9"/>
      <c r="X568" s="9"/>
      <c r="Y568" s="41"/>
      <c r="Z568" s="9"/>
      <c r="AA568" s="42"/>
      <c r="AB568" s="44"/>
      <c r="AC568" s="5"/>
      <c r="AG568" s="59"/>
    </row>
    <row r="569" customFormat="false" ht="13.5" hidden="false" customHeight="false" outlineLevel="0" collapsed="false">
      <c r="A569" s="29"/>
      <c r="B569" s="11" t="s">
        <v>106</v>
      </c>
      <c r="C569" s="11" t="s">
        <v>38</v>
      </c>
      <c r="D569" s="29" t="n">
        <v>550810</v>
      </c>
      <c r="E569" s="4" t="s">
        <v>615</v>
      </c>
      <c r="F569" s="4" t="s">
        <v>616</v>
      </c>
      <c r="G569" s="5" t="s">
        <v>134</v>
      </c>
      <c r="H569" s="6" t="n">
        <v>1190</v>
      </c>
      <c r="I569" s="6" t="n">
        <f aca="false">H569</f>
        <v>1190</v>
      </c>
      <c r="J569" s="6" t="n">
        <v>1000</v>
      </c>
      <c r="K569" s="4" t="s">
        <v>617</v>
      </c>
      <c r="L569" s="7" t="n">
        <v>41673</v>
      </c>
      <c r="M569" s="8" t="n">
        <v>47151</v>
      </c>
      <c r="Q569" s="9" t="n">
        <v>115000</v>
      </c>
      <c r="R569" s="9" t="n">
        <f aca="false">Q569</f>
        <v>115000</v>
      </c>
      <c r="T569" s="9" t="n">
        <v>106000</v>
      </c>
      <c r="U569" s="9" t="n">
        <f aca="false">T569</f>
        <v>106000</v>
      </c>
      <c r="V569" s="9" t="n">
        <v>106000</v>
      </c>
      <c r="W569" s="9" t="n">
        <f aca="false">V569</f>
        <v>106000</v>
      </c>
      <c r="X569" s="45" t="n">
        <f aca="false">V569/H569</f>
        <v>89.0756302521008</v>
      </c>
      <c r="Y569" s="46" t="n">
        <f aca="false">SUM(V569-T569)/T569</f>
        <v>0</v>
      </c>
      <c r="Z569" s="9" t="s">
        <v>60</v>
      </c>
      <c r="AA569" s="42"/>
      <c r="AB569" s="44"/>
      <c r="AC569" s="5" t="s">
        <v>43</v>
      </c>
      <c r="AD569" s="4" t="s">
        <v>618</v>
      </c>
      <c r="AG569" s="59"/>
    </row>
    <row r="570" customFormat="false" ht="13.5" hidden="false" customHeight="false" outlineLevel="0" collapsed="false">
      <c r="A570" s="29"/>
      <c r="B570" s="11" t="s">
        <v>106</v>
      </c>
      <c r="C570" s="11" t="s">
        <v>38</v>
      </c>
      <c r="D570" s="29" t="n">
        <v>550810</v>
      </c>
      <c r="E570" s="4" t="s">
        <v>615</v>
      </c>
      <c r="F570" s="4" t="s">
        <v>432</v>
      </c>
      <c r="G570" s="5" t="s">
        <v>40</v>
      </c>
      <c r="H570" s="6" t="n">
        <v>1044</v>
      </c>
      <c r="I570" s="6" t="n">
        <f aca="false">H570</f>
        <v>1044</v>
      </c>
      <c r="J570" s="6" t="n">
        <v>1000</v>
      </c>
      <c r="K570" s="4" t="s">
        <v>619</v>
      </c>
      <c r="L570" s="7" t="n">
        <v>45413</v>
      </c>
      <c r="M570" s="8" t="n">
        <v>47238</v>
      </c>
      <c r="P570" s="8" t="n">
        <v>46326</v>
      </c>
      <c r="Q570" s="9" t="n">
        <v>52500</v>
      </c>
      <c r="R570" s="9" t="n">
        <f aca="false">Q570</f>
        <v>52500</v>
      </c>
      <c r="T570" s="9" t="n">
        <v>53800</v>
      </c>
      <c r="U570" s="9" t="n">
        <f aca="false">T570</f>
        <v>53800</v>
      </c>
      <c r="V570" s="9" t="n">
        <v>53800</v>
      </c>
      <c r="W570" s="9" t="n">
        <f aca="false">V570</f>
        <v>53800</v>
      </c>
      <c r="X570" s="45" t="n">
        <f aca="false">V570/H570</f>
        <v>51.5325670498084</v>
      </c>
      <c r="Y570" s="46" t="n">
        <f aca="false">SUM(V570-T570)/T570</f>
        <v>0</v>
      </c>
      <c r="Z570" s="9" t="s">
        <v>60</v>
      </c>
      <c r="AA570" s="42"/>
      <c r="AB570" s="44"/>
      <c r="AC570" s="5" t="s">
        <v>43</v>
      </c>
      <c r="AD570" s="4" t="s">
        <v>77</v>
      </c>
      <c r="AG570" s="59"/>
    </row>
    <row r="571" customFormat="false" ht="14.25" hidden="false" customHeight="true" outlineLevel="0" collapsed="false">
      <c r="A571" s="29"/>
      <c r="B571" s="11"/>
      <c r="C571" s="11" t="s">
        <v>38</v>
      </c>
      <c r="D571" s="29"/>
      <c r="E571" s="4"/>
      <c r="I571" s="9"/>
      <c r="J571" s="9"/>
      <c r="T571" s="9"/>
      <c r="U571" s="9"/>
      <c r="V571" s="9"/>
      <c r="W571" s="9"/>
      <c r="X571" s="9"/>
      <c r="Y571" s="41"/>
      <c r="Z571" s="9"/>
      <c r="AA571" s="42"/>
      <c r="AB571" s="44"/>
      <c r="AC571" s="5"/>
      <c r="AG571" s="59"/>
    </row>
    <row r="572" customFormat="false" ht="14.25" hidden="false" customHeight="true" outlineLevel="0" collapsed="false">
      <c r="A572" s="29"/>
      <c r="B572" s="11"/>
      <c r="C572" s="11" t="s">
        <v>38</v>
      </c>
      <c r="D572" s="29"/>
      <c r="E572" s="4"/>
      <c r="F572" s="47" t="s">
        <v>615</v>
      </c>
      <c r="H572" s="43" t="n">
        <f aca="false">SUM(H569:H570)</f>
        <v>2234</v>
      </c>
      <c r="I572" s="44"/>
      <c r="J572" s="44"/>
      <c r="Q572" s="44" t="n">
        <f aca="false">SUM(Q569:Q570)</f>
        <v>167500</v>
      </c>
      <c r="R572" s="44"/>
      <c r="S572" s="44" t="n">
        <f aca="false">SUM(R567:R571)</f>
        <v>167500</v>
      </c>
      <c r="T572" s="44" t="n">
        <f aca="false">SUM(T569:T570)</f>
        <v>159800</v>
      </c>
      <c r="U572" s="44"/>
      <c r="V572" s="44" t="n">
        <f aca="false">SUM(V569:V570)</f>
        <v>159800</v>
      </c>
      <c r="W572" s="44"/>
      <c r="X572" s="44"/>
      <c r="Y572" s="64"/>
      <c r="Z572" s="44"/>
      <c r="AA572" s="67"/>
      <c r="AB572" s="44" t="n">
        <v>3000000</v>
      </c>
      <c r="AC572" s="5"/>
      <c r="AF572" s="60"/>
      <c r="AG572" s="62"/>
      <c r="AH572" s="60"/>
    </row>
    <row r="573" customFormat="false" ht="14.25" hidden="false" customHeight="true" outlineLevel="0" collapsed="false">
      <c r="A573" s="29"/>
      <c r="B573" s="11"/>
      <c r="C573" s="11" t="s">
        <v>38</v>
      </c>
      <c r="D573" s="29"/>
      <c r="E573" s="4"/>
      <c r="I573" s="9"/>
      <c r="J573" s="9"/>
      <c r="T573" s="9"/>
      <c r="U573" s="9"/>
      <c r="V573" s="9"/>
      <c r="W573" s="9"/>
      <c r="X573" s="9"/>
      <c r="Y573" s="41"/>
      <c r="Z573" s="9"/>
      <c r="AA573" s="42"/>
      <c r="AB573" s="44"/>
      <c r="AC573" s="5"/>
      <c r="AG573" s="59"/>
    </row>
    <row r="574" customFormat="false" ht="14.25" hidden="false" customHeight="true" outlineLevel="0" collapsed="false">
      <c r="A574" s="29"/>
      <c r="B574" s="11"/>
      <c r="C574" s="11" t="s">
        <v>38</v>
      </c>
      <c r="D574" s="29"/>
      <c r="E574" s="4"/>
      <c r="G574" s="39" t="s">
        <v>620</v>
      </c>
      <c r="I574" s="9"/>
      <c r="J574" s="9"/>
      <c r="K574" s="40"/>
      <c r="T574" s="11"/>
      <c r="U574" s="9"/>
      <c r="V574" s="11"/>
      <c r="W574" s="9"/>
      <c r="X574" s="9"/>
      <c r="Y574" s="41"/>
      <c r="Z574" s="9"/>
      <c r="AA574" s="42"/>
      <c r="AB574" s="44"/>
      <c r="AC574" s="5"/>
      <c r="AG574" s="59"/>
    </row>
    <row r="575" customFormat="false" ht="14.25" hidden="false" customHeight="true" outlineLevel="0" collapsed="false">
      <c r="A575" s="29"/>
      <c r="B575" s="11"/>
      <c r="C575" s="11" t="s">
        <v>38</v>
      </c>
      <c r="D575" s="29"/>
      <c r="E575" s="4"/>
      <c r="I575" s="9"/>
      <c r="J575" s="9"/>
      <c r="T575" s="9"/>
      <c r="U575" s="9"/>
      <c r="V575" s="9"/>
      <c r="W575" s="9"/>
      <c r="X575" s="9"/>
      <c r="Y575" s="41"/>
      <c r="Z575" s="9"/>
      <c r="AA575" s="42"/>
      <c r="AB575" s="44"/>
      <c r="AC575" s="5"/>
      <c r="AG575" s="59"/>
    </row>
    <row r="576" customFormat="false" ht="28.5" hidden="false" customHeight="true" outlineLevel="0" collapsed="false">
      <c r="A576" s="29"/>
      <c r="B576" s="11" t="s">
        <v>106</v>
      </c>
      <c r="C576" s="11" t="s">
        <v>38</v>
      </c>
      <c r="D576" s="29" t="n">
        <v>550490</v>
      </c>
      <c r="E576" s="4" t="s">
        <v>620</v>
      </c>
      <c r="F576" s="4" t="s">
        <v>39</v>
      </c>
      <c r="G576" s="5" t="s">
        <v>621</v>
      </c>
      <c r="H576" s="43" t="n">
        <v>6979</v>
      </c>
      <c r="I576" s="9" t="n">
        <f aca="false">H576</f>
        <v>6979</v>
      </c>
      <c r="J576" s="9" t="n">
        <v>7000</v>
      </c>
      <c r="K576" s="4" t="s">
        <v>622</v>
      </c>
      <c r="L576" s="7" t="n">
        <v>44185</v>
      </c>
      <c r="M576" s="8" t="n">
        <v>47836</v>
      </c>
      <c r="O576" s="8" t="n">
        <v>46011</v>
      </c>
      <c r="Q576" s="44" t="n">
        <v>420000</v>
      </c>
      <c r="R576" s="9" t="n">
        <f aca="false">Q576</f>
        <v>420000</v>
      </c>
      <c r="S576" s="44" t="n">
        <f aca="false">R576</f>
        <v>420000</v>
      </c>
      <c r="T576" s="44" t="n">
        <v>364600</v>
      </c>
      <c r="U576" s="9" t="n">
        <f aca="false">T576</f>
        <v>364600</v>
      </c>
      <c r="V576" s="44" t="n">
        <v>414100</v>
      </c>
      <c r="W576" s="9" t="n">
        <f aca="false">V576</f>
        <v>414100</v>
      </c>
      <c r="X576" s="45" t="n">
        <f aca="false">V576/H576</f>
        <v>59.335148302049</v>
      </c>
      <c r="Y576" s="46" t="n">
        <f aca="false">SUM(V576-T576)/T576</f>
        <v>0.135765222161273</v>
      </c>
      <c r="Z576" s="9" t="s">
        <v>127</v>
      </c>
      <c r="AA576" s="42"/>
      <c r="AB576" s="44" t="n">
        <v>7475000</v>
      </c>
      <c r="AC576" s="5" t="s">
        <v>43</v>
      </c>
      <c r="AD576" s="4" t="s">
        <v>623</v>
      </c>
      <c r="AG576" s="59"/>
    </row>
    <row r="577" customFormat="false" ht="14.25" hidden="false" customHeight="true" outlineLevel="0" collapsed="false">
      <c r="A577" s="29"/>
      <c r="B577" s="11"/>
      <c r="C577" s="11" t="s">
        <v>38</v>
      </c>
      <c r="D577" s="29"/>
      <c r="E577" s="4"/>
      <c r="G577" s="119"/>
      <c r="H577" s="43"/>
      <c r="I577" s="44"/>
      <c r="J577" s="44"/>
      <c r="Q577" s="44"/>
      <c r="R577" s="44"/>
      <c r="S577" s="44"/>
      <c r="T577" s="44"/>
      <c r="U577" s="44"/>
      <c r="V577" s="44"/>
      <c r="W577" s="44"/>
      <c r="X577" s="44"/>
      <c r="Y577" s="64"/>
      <c r="Z577" s="44"/>
      <c r="AA577" s="67"/>
      <c r="AB577" s="66"/>
      <c r="AC577" s="5"/>
      <c r="AG577" s="59"/>
    </row>
    <row r="578" customFormat="false" ht="14.25" hidden="false" customHeight="true" outlineLevel="0" collapsed="false">
      <c r="A578" s="29"/>
      <c r="B578" s="11"/>
      <c r="C578" s="11" t="s">
        <v>38</v>
      </c>
      <c r="D578" s="29"/>
      <c r="E578" s="4"/>
      <c r="G578" s="39" t="s">
        <v>624</v>
      </c>
      <c r="I578" s="9"/>
      <c r="J578" s="9"/>
      <c r="K578" s="40"/>
      <c r="T578" s="11"/>
      <c r="U578" s="9"/>
      <c r="V578" s="11"/>
      <c r="W578" s="9"/>
      <c r="X578" s="9"/>
      <c r="Y578" s="41"/>
      <c r="Z578" s="9"/>
      <c r="AA578" s="42"/>
      <c r="AB578" s="14"/>
      <c r="AC578" s="5"/>
      <c r="AG578" s="59"/>
    </row>
    <row r="579" customFormat="false" ht="14.25" hidden="false" customHeight="true" outlineLevel="0" collapsed="false">
      <c r="A579" s="29"/>
      <c r="B579" s="11"/>
      <c r="C579" s="11" t="s">
        <v>38</v>
      </c>
      <c r="D579" s="29"/>
      <c r="E579" s="4"/>
      <c r="F579" s="94"/>
      <c r="G579" s="111"/>
      <c r="H579" s="69"/>
      <c r="I579" s="120"/>
      <c r="J579" s="120"/>
      <c r="K579" s="69"/>
      <c r="L579" s="70"/>
      <c r="M579" s="121"/>
      <c r="N579" s="121"/>
      <c r="O579" s="121"/>
      <c r="Q579" s="120"/>
      <c r="R579" s="120"/>
      <c r="S579" s="120"/>
      <c r="T579" s="120"/>
      <c r="U579" s="120"/>
      <c r="V579" s="120"/>
      <c r="W579" s="120"/>
      <c r="X579" s="120"/>
      <c r="Y579" s="122"/>
      <c r="Z579" s="120"/>
      <c r="AA579" s="123"/>
      <c r="AB579" s="124"/>
      <c r="AC579" s="5"/>
      <c r="AG579" s="59"/>
    </row>
    <row r="580" customFormat="false" ht="28.5" hidden="false" customHeight="true" outlineLevel="0" collapsed="false">
      <c r="A580" s="29"/>
      <c r="B580" s="11" t="s">
        <v>37</v>
      </c>
      <c r="C580" s="11" t="s">
        <v>38</v>
      </c>
      <c r="D580" s="29" t="n">
        <v>550940</v>
      </c>
      <c r="E580" s="4" t="s">
        <v>624</v>
      </c>
      <c r="F580" s="4" t="s">
        <v>625</v>
      </c>
      <c r="G580" s="5" t="s">
        <v>626</v>
      </c>
      <c r="H580" s="125" t="n">
        <v>2662</v>
      </c>
      <c r="I580" s="6" t="n">
        <f aca="false">H580</f>
        <v>2662</v>
      </c>
      <c r="J580" s="6" t="n">
        <v>2500</v>
      </c>
      <c r="K580" s="4" t="s">
        <v>627</v>
      </c>
      <c r="L580" s="7" t="n">
        <v>44942</v>
      </c>
      <c r="M580" s="8" t="n">
        <v>46767</v>
      </c>
      <c r="P580" s="8" t="n">
        <v>46037</v>
      </c>
      <c r="Q580" s="9" t="n">
        <v>100000</v>
      </c>
      <c r="R580" s="9" t="n">
        <f aca="false">Q580</f>
        <v>100000</v>
      </c>
      <c r="T580" s="125" t="n">
        <v>100000</v>
      </c>
      <c r="U580" s="9" t="n">
        <f aca="false">T580</f>
        <v>100000</v>
      </c>
      <c r="V580" s="125" t="n">
        <v>100000</v>
      </c>
      <c r="W580" s="9" t="n">
        <f aca="false">V580</f>
        <v>100000</v>
      </c>
      <c r="X580" s="45" t="n">
        <f aca="false">V580/H580</f>
        <v>37.5657400450789</v>
      </c>
      <c r="Y580" s="46" t="n">
        <f aca="false">SUM(V580-T580)/T580</f>
        <v>0</v>
      </c>
      <c r="Z580" s="9" t="s">
        <v>127</v>
      </c>
      <c r="AA580" s="42"/>
      <c r="AB580" s="14"/>
      <c r="AC580" s="5" t="s">
        <v>43</v>
      </c>
      <c r="AD580" s="4" t="s">
        <v>75</v>
      </c>
      <c r="AG580" s="59"/>
    </row>
    <row r="581" customFormat="false" ht="24" hidden="false" customHeight="true" outlineLevel="0" collapsed="false">
      <c r="A581" s="29"/>
      <c r="B581" s="11" t="s">
        <v>37</v>
      </c>
      <c r="C581" s="11" t="s">
        <v>38</v>
      </c>
      <c r="D581" s="29" t="n">
        <v>550940</v>
      </c>
      <c r="E581" s="4" t="s">
        <v>624</v>
      </c>
      <c r="F581" s="4" t="s">
        <v>628</v>
      </c>
      <c r="G581" s="5" t="s">
        <v>40</v>
      </c>
      <c r="H581" s="125" t="n">
        <v>3452</v>
      </c>
      <c r="I581" s="6" t="n">
        <f aca="false">H581</f>
        <v>3452</v>
      </c>
      <c r="J581" s="6" t="n">
        <v>3500</v>
      </c>
      <c r="K581" s="4" t="s">
        <v>629</v>
      </c>
      <c r="L581" s="7" t="n">
        <v>45707</v>
      </c>
      <c r="M581" s="8" t="n">
        <v>46071</v>
      </c>
      <c r="P581" s="8" t="n">
        <v>45887</v>
      </c>
      <c r="Q581" s="125" t="n">
        <v>138440</v>
      </c>
      <c r="R581" s="9" t="n">
        <f aca="false">Q581</f>
        <v>138440</v>
      </c>
      <c r="T581" s="125" t="n">
        <v>109600</v>
      </c>
      <c r="U581" s="9" t="n">
        <f aca="false">T581</f>
        <v>109600</v>
      </c>
      <c r="V581" s="125" t="n">
        <v>112000</v>
      </c>
      <c r="W581" s="9" t="n">
        <f aca="false">V581</f>
        <v>112000</v>
      </c>
      <c r="X581" s="45" t="n">
        <f aca="false">V581/H581</f>
        <v>32.4449594438007</v>
      </c>
      <c r="Y581" s="46" t="n">
        <f aca="false">SUM(V581-T581)/T581</f>
        <v>0.0218978102189781</v>
      </c>
      <c r="Z581" s="9" t="s">
        <v>127</v>
      </c>
      <c r="AA581" s="42"/>
      <c r="AB581" s="14"/>
      <c r="AC581" s="5" t="s">
        <v>43</v>
      </c>
      <c r="AD581" s="4" t="s">
        <v>77</v>
      </c>
      <c r="AG581" s="59"/>
    </row>
    <row r="582" customFormat="false" ht="28.5" hidden="false" customHeight="true" outlineLevel="0" collapsed="false">
      <c r="A582" s="29"/>
      <c r="B582" s="11" t="s">
        <v>37</v>
      </c>
      <c r="C582" s="11" t="s">
        <v>38</v>
      </c>
      <c r="D582" s="29" t="n">
        <v>550940</v>
      </c>
      <c r="E582" s="4" t="s">
        <v>624</v>
      </c>
      <c r="F582" s="4" t="s">
        <v>630</v>
      </c>
      <c r="G582" s="5" t="s">
        <v>40</v>
      </c>
      <c r="H582" s="125" t="n">
        <v>2274</v>
      </c>
      <c r="I582" s="6" t="n">
        <f aca="false">H582</f>
        <v>2274</v>
      </c>
      <c r="J582" s="6" t="n">
        <v>2250</v>
      </c>
      <c r="K582" s="4" t="s">
        <v>67</v>
      </c>
      <c r="N582" s="8" t="n">
        <v>44280</v>
      </c>
      <c r="Q582" s="9" t="n">
        <v>0</v>
      </c>
      <c r="R582" s="9" t="n">
        <f aca="false">Q582</f>
        <v>0</v>
      </c>
      <c r="T582" s="125" t="n">
        <v>124700</v>
      </c>
      <c r="U582" s="9" t="n">
        <f aca="false">T582</f>
        <v>124700</v>
      </c>
      <c r="V582" s="125" t="n">
        <v>125100</v>
      </c>
      <c r="W582" s="9" t="n">
        <f aca="false">V582</f>
        <v>125100</v>
      </c>
      <c r="X582" s="45" t="n">
        <f aca="false">V582/H582</f>
        <v>55.0131926121372</v>
      </c>
      <c r="Y582" s="46" t="n">
        <f aca="false">SUM(V582-T582)/T582</f>
        <v>0.00320769847634322</v>
      </c>
      <c r="Z582" s="9" t="s">
        <v>127</v>
      </c>
      <c r="AA582" s="42"/>
      <c r="AB582" s="14"/>
      <c r="AC582" s="5" t="s">
        <v>170</v>
      </c>
      <c r="AD582" s="4" t="s">
        <v>68</v>
      </c>
      <c r="AE582" s="58"/>
      <c r="AG582" s="59"/>
    </row>
    <row r="583" customFormat="false" ht="24" hidden="false" customHeight="true" outlineLevel="0" collapsed="false">
      <c r="A583" s="29"/>
      <c r="B583" s="11" t="s">
        <v>37</v>
      </c>
      <c r="C583" s="11" t="s">
        <v>38</v>
      </c>
      <c r="D583" s="29" t="n">
        <v>550940</v>
      </c>
      <c r="E583" s="4" t="s">
        <v>624</v>
      </c>
      <c r="F583" s="4" t="s">
        <v>631</v>
      </c>
      <c r="G583" s="5" t="s">
        <v>40</v>
      </c>
      <c r="H583" s="125" t="n">
        <v>1201</v>
      </c>
      <c r="I583" s="6" t="n">
        <f aca="false">H583</f>
        <v>1201</v>
      </c>
      <c r="J583" s="6" t="n">
        <v>1250</v>
      </c>
      <c r="K583" s="4" t="s">
        <v>67</v>
      </c>
      <c r="N583" s="8" t="n">
        <v>45521</v>
      </c>
      <c r="Q583" s="9" t="n">
        <v>0</v>
      </c>
      <c r="R583" s="9" t="n">
        <f aca="false">Q583</f>
        <v>0</v>
      </c>
      <c r="T583" s="125" t="n">
        <v>64100</v>
      </c>
      <c r="U583" s="9" t="n">
        <f aca="false">T583</f>
        <v>64100</v>
      </c>
      <c r="V583" s="125" t="n">
        <v>63100</v>
      </c>
      <c r="W583" s="9" t="n">
        <f aca="false">V583</f>
        <v>63100</v>
      </c>
      <c r="X583" s="45" t="n">
        <f aca="false">V583/H583</f>
        <v>52.5395503746878</v>
      </c>
      <c r="Y583" s="46" t="n">
        <f aca="false">SUM(V583-T583)/T583</f>
        <v>-0.015600624024961</v>
      </c>
      <c r="Z583" s="9" t="s">
        <v>60</v>
      </c>
      <c r="AA583" s="42"/>
      <c r="AB583" s="14"/>
      <c r="AC583" s="5" t="s">
        <v>43</v>
      </c>
      <c r="AD583" s="4" t="s">
        <v>68</v>
      </c>
      <c r="AF583" s="60"/>
      <c r="AG583" s="62" t="n">
        <v>2</v>
      </c>
      <c r="AH583" s="60"/>
    </row>
    <row r="584" customFormat="false" ht="24" hidden="false" customHeight="true" outlineLevel="0" collapsed="false">
      <c r="A584" s="29"/>
      <c r="B584" s="11" t="s">
        <v>37</v>
      </c>
      <c r="C584" s="11" t="s">
        <v>38</v>
      </c>
      <c r="D584" s="29" t="n">
        <v>550940</v>
      </c>
      <c r="E584" s="4" t="s">
        <v>624</v>
      </c>
      <c r="F584" s="4" t="s">
        <v>632</v>
      </c>
      <c r="G584" s="5" t="s">
        <v>40</v>
      </c>
      <c r="H584" s="125" t="n">
        <v>1255</v>
      </c>
      <c r="I584" s="6" t="n">
        <f aca="false">H584</f>
        <v>1255</v>
      </c>
      <c r="J584" s="6" t="n">
        <v>1250</v>
      </c>
      <c r="K584" s="4" t="s">
        <v>67</v>
      </c>
      <c r="N584" s="8" t="n">
        <v>44320</v>
      </c>
      <c r="Q584" s="9" t="n">
        <v>0</v>
      </c>
      <c r="R584" s="9" t="n">
        <f aca="false">Q584</f>
        <v>0</v>
      </c>
      <c r="T584" s="125" t="n">
        <v>67300</v>
      </c>
      <c r="U584" s="9" t="n">
        <f aca="false">T584</f>
        <v>67300</v>
      </c>
      <c r="V584" s="125" t="n">
        <v>69000</v>
      </c>
      <c r="W584" s="9" t="n">
        <f aca="false">V584</f>
        <v>69000</v>
      </c>
      <c r="X584" s="45" t="n">
        <f aca="false">V584/H584</f>
        <v>54.9800796812749</v>
      </c>
      <c r="Y584" s="46" t="n">
        <f aca="false">SUM(V584-T584)/T584</f>
        <v>0.025260029717682</v>
      </c>
      <c r="Z584" s="9" t="s">
        <v>60</v>
      </c>
      <c r="AA584" s="42"/>
      <c r="AB584" s="14"/>
      <c r="AC584" s="5" t="s">
        <v>43</v>
      </c>
      <c r="AD584" s="4" t="s">
        <v>119</v>
      </c>
      <c r="AG584" s="59" t="n">
        <v>2</v>
      </c>
    </row>
    <row r="585" customFormat="false" ht="24" hidden="false" customHeight="true" outlineLevel="0" collapsed="false">
      <c r="A585" s="29"/>
      <c r="B585" s="11" t="s">
        <v>37</v>
      </c>
      <c r="C585" s="11" t="s">
        <v>38</v>
      </c>
      <c r="D585" s="29" t="n">
        <v>550940</v>
      </c>
      <c r="E585" s="4" t="s">
        <v>624</v>
      </c>
      <c r="F585" s="4" t="s">
        <v>633</v>
      </c>
      <c r="G585" s="5" t="s">
        <v>40</v>
      </c>
      <c r="H585" s="125" t="n">
        <v>1252</v>
      </c>
      <c r="I585" s="6" t="n">
        <f aca="false">H585</f>
        <v>1252</v>
      </c>
      <c r="J585" s="6" t="n">
        <v>1250</v>
      </c>
      <c r="K585" s="4" t="s">
        <v>67</v>
      </c>
      <c r="N585" s="8" t="n">
        <v>44622</v>
      </c>
      <c r="Q585" s="9" t="n">
        <v>0</v>
      </c>
      <c r="R585" s="9" t="n">
        <f aca="false">Q585</f>
        <v>0</v>
      </c>
      <c r="T585" s="125" t="n">
        <v>67600</v>
      </c>
      <c r="U585" s="9" t="n">
        <f aca="false">T585</f>
        <v>67600</v>
      </c>
      <c r="V585" s="125" t="n">
        <v>68900</v>
      </c>
      <c r="W585" s="9" t="n">
        <f aca="false">V585</f>
        <v>68900</v>
      </c>
      <c r="X585" s="45" t="n">
        <f aca="false">V585/H585</f>
        <v>55.0319488817891</v>
      </c>
      <c r="Y585" s="46" t="n">
        <f aca="false">SUM(V585-T585)/T585</f>
        <v>0.0192307692307692</v>
      </c>
      <c r="Z585" s="9" t="s">
        <v>127</v>
      </c>
      <c r="AA585" s="42"/>
      <c r="AB585" s="14"/>
      <c r="AC585" s="5" t="s">
        <v>43</v>
      </c>
      <c r="AD585" s="4" t="s">
        <v>119</v>
      </c>
      <c r="AG585" s="59" t="n">
        <v>2</v>
      </c>
    </row>
    <row r="586" customFormat="false" ht="16.5" hidden="false" customHeight="true" outlineLevel="0" collapsed="false">
      <c r="A586" s="29"/>
      <c r="B586" s="11" t="s">
        <v>37</v>
      </c>
      <c r="C586" s="11" t="s">
        <v>38</v>
      </c>
      <c r="D586" s="29" t="n">
        <v>550940</v>
      </c>
      <c r="E586" s="4" t="s">
        <v>624</v>
      </c>
      <c r="F586" s="4" t="s">
        <v>634</v>
      </c>
      <c r="G586" s="5" t="s">
        <v>40</v>
      </c>
      <c r="H586" s="125" t="n">
        <v>1055</v>
      </c>
      <c r="I586" s="6" t="n">
        <f aca="false">H586</f>
        <v>1055</v>
      </c>
      <c r="J586" s="6" t="n">
        <v>1000</v>
      </c>
      <c r="K586" s="4" t="s">
        <v>635</v>
      </c>
      <c r="L586" s="7" t="n">
        <v>44887</v>
      </c>
      <c r="M586" s="8" t="n">
        <v>46712</v>
      </c>
      <c r="O586" s="8" t="n">
        <v>45983</v>
      </c>
      <c r="P586" s="8" t="n">
        <v>45982</v>
      </c>
      <c r="Q586" s="125" t="n">
        <v>63070</v>
      </c>
      <c r="R586" s="9" t="n">
        <f aca="false">Q586</f>
        <v>63070</v>
      </c>
      <c r="T586" s="125" t="n">
        <v>61000</v>
      </c>
      <c r="U586" s="9" t="n">
        <f aca="false">T586</f>
        <v>61000</v>
      </c>
      <c r="V586" s="125" t="n">
        <v>60700</v>
      </c>
      <c r="W586" s="9" t="n">
        <f aca="false">V586</f>
        <v>60700</v>
      </c>
      <c r="X586" s="45" t="n">
        <f aca="false">V586/H586</f>
        <v>57.5355450236967</v>
      </c>
      <c r="Y586" s="46" t="n">
        <f aca="false">SUM(V586-T586)/T586</f>
        <v>-0.00491803278688525</v>
      </c>
      <c r="Z586" s="9" t="s">
        <v>60</v>
      </c>
      <c r="AA586" s="42"/>
      <c r="AB586" s="14"/>
      <c r="AC586" s="5" t="s">
        <v>43</v>
      </c>
      <c r="AD586" s="4" t="s">
        <v>636</v>
      </c>
      <c r="AG586" s="59"/>
    </row>
    <row r="587" customFormat="false" ht="23.25" hidden="false" customHeight="true" outlineLevel="0" collapsed="false">
      <c r="A587" s="29"/>
      <c r="B587" s="11" t="s">
        <v>37</v>
      </c>
      <c r="C587" s="11" t="s">
        <v>38</v>
      </c>
      <c r="D587" s="29" t="n">
        <v>550940</v>
      </c>
      <c r="E587" s="4" t="s">
        <v>624</v>
      </c>
      <c r="F587" s="4" t="s">
        <v>637</v>
      </c>
      <c r="G587" s="11" t="s">
        <v>40</v>
      </c>
      <c r="H587" s="125" t="n">
        <v>1167</v>
      </c>
      <c r="I587" s="6" t="n">
        <f aca="false">H587</f>
        <v>1167</v>
      </c>
      <c r="J587" s="6" t="n">
        <v>1000</v>
      </c>
      <c r="K587" s="4" t="s">
        <v>638</v>
      </c>
      <c r="L587" s="7" t="n">
        <v>45573</v>
      </c>
      <c r="M587" s="8" t="n">
        <v>47398</v>
      </c>
      <c r="Q587" s="9" t="n">
        <v>46800</v>
      </c>
      <c r="R587" s="9" t="n">
        <f aca="false">Q587</f>
        <v>46800</v>
      </c>
      <c r="T587" s="125" t="n">
        <v>37700</v>
      </c>
      <c r="U587" s="9" t="n">
        <f aca="false">T587</f>
        <v>37700</v>
      </c>
      <c r="V587" s="125" t="n">
        <v>46800</v>
      </c>
      <c r="W587" s="9" t="n">
        <f aca="false">V587</f>
        <v>46800</v>
      </c>
      <c r="X587" s="45" t="n">
        <f aca="false">V587/H587</f>
        <v>40.1028277634961</v>
      </c>
      <c r="Y587" s="46" t="n">
        <f aca="false">SUM(V587-T587)/T587</f>
        <v>0.241379310344828</v>
      </c>
      <c r="Z587" s="9" t="s">
        <v>55</v>
      </c>
      <c r="AA587" s="42" t="s">
        <v>26</v>
      </c>
      <c r="AB587" s="14"/>
      <c r="AC587" s="5" t="s">
        <v>43</v>
      </c>
      <c r="AG587" s="59"/>
    </row>
    <row r="588" customFormat="false" ht="24" hidden="false" customHeight="true" outlineLevel="0" collapsed="false">
      <c r="A588" s="29"/>
      <c r="B588" s="11" t="s">
        <v>37</v>
      </c>
      <c r="C588" s="11" t="s">
        <v>38</v>
      </c>
      <c r="D588" s="29" t="n">
        <v>550940</v>
      </c>
      <c r="E588" s="4" t="s">
        <v>624</v>
      </c>
      <c r="F588" s="4" t="s">
        <v>639</v>
      </c>
      <c r="G588" s="11" t="s">
        <v>40</v>
      </c>
      <c r="H588" s="125" t="n">
        <v>922</v>
      </c>
      <c r="I588" s="6" t="n">
        <f aca="false">H588</f>
        <v>922</v>
      </c>
      <c r="J588" s="6" t="n">
        <v>1000</v>
      </c>
      <c r="K588" s="4" t="s">
        <v>640</v>
      </c>
      <c r="L588" s="7" t="n">
        <v>45204</v>
      </c>
      <c r="M588" s="8" t="n">
        <v>46299</v>
      </c>
      <c r="Q588" s="125" t="n">
        <v>45800</v>
      </c>
      <c r="R588" s="9" t="n">
        <f aca="false">Q588</f>
        <v>45800</v>
      </c>
      <c r="T588" s="125" t="n">
        <v>39100</v>
      </c>
      <c r="U588" s="9" t="n">
        <f aca="false">T588</f>
        <v>39100</v>
      </c>
      <c r="V588" s="125" t="n">
        <v>39200</v>
      </c>
      <c r="W588" s="9" t="n">
        <f aca="false">V588</f>
        <v>39200</v>
      </c>
      <c r="X588" s="45" t="n">
        <f aca="false">V588/H588</f>
        <v>42.5162689804772</v>
      </c>
      <c r="Y588" s="46" t="n">
        <f aca="false">SUM(V588-T588)/T588</f>
        <v>0.00255754475703325</v>
      </c>
      <c r="Z588" s="9" t="s">
        <v>55</v>
      </c>
      <c r="AA588" s="42" t="s">
        <v>26</v>
      </c>
      <c r="AB588" s="14"/>
      <c r="AC588" s="5" t="s">
        <v>43</v>
      </c>
      <c r="AG588" s="59"/>
    </row>
    <row r="589" customFormat="false" ht="24" hidden="false" customHeight="true" outlineLevel="0" collapsed="false">
      <c r="A589" s="29"/>
      <c r="B589" s="11" t="s">
        <v>37</v>
      </c>
      <c r="C589" s="11" t="s">
        <v>38</v>
      </c>
      <c r="D589" s="29" t="n">
        <v>550940</v>
      </c>
      <c r="E589" s="4" t="s">
        <v>624</v>
      </c>
      <c r="F589" s="4" t="s">
        <v>641</v>
      </c>
      <c r="G589" s="11" t="s">
        <v>40</v>
      </c>
      <c r="H589" s="125" t="n">
        <v>781</v>
      </c>
      <c r="I589" s="6" t="n">
        <f aca="false">H589</f>
        <v>781</v>
      </c>
      <c r="J589" s="6" t="n">
        <v>750</v>
      </c>
      <c r="K589" s="4" t="s">
        <v>67</v>
      </c>
      <c r="N589" s="8" t="n">
        <v>45383</v>
      </c>
      <c r="Q589" s="9" t="n">
        <v>0</v>
      </c>
      <c r="R589" s="9" t="n">
        <f aca="false">Q589</f>
        <v>0</v>
      </c>
      <c r="T589" s="125" t="n">
        <v>37300</v>
      </c>
      <c r="U589" s="9" t="n">
        <f aca="false">T589</f>
        <v>37300</v>
      </c>
      <c r="V589" s="125" t="n">
        <v>33200</v>
      </c>
      <c r="W589" s="9" t="n">
        <f aca="false">V589</f>
        <v>33200</v>
      </c>
      <c r="X589" s="45" t="n">
        <f aca="false">V589/H589</f>
        <v>42.5096030729834</v>
      </c>
      <c r="Y589" s="46" t="n">
        <f aca="false">SUM(V589-T589)/T589</f>
        <v>-0.109919571045576</v>
      </c>
      <c r="Z589" s="9" t="s">
        <v>55</v>
      </c>
      <c r="AA589" s="42" t="s">
        <v>26</v>
      </c>
      <c r="AB589" s="14"/>
      <c r="AC589" s="5" t="s">
        <v>43</v>
      </c>
      <c r="AD589" s="4" t="s">
        <v>68</v>
      </c>
      <c r="AG589" s="59"/>
    </row>
    <row r="590" customFormat="false" ht="14.25" hidden="false" customHeight="true" outlineLevel="0" collapsed="false">
      <c r="A590" s="29"/>
      <c r="B590" s="11"/>
      <c r="C590" s="11" t="s">
        <v>38</v>
      </c>
      <c r="D590" s="29"/>
      <c r="E590" s="4"/>
      <c r="G590" s="11"/>
      <c r="H590" s="125"/>
      <c r="I590" s="125"/>
      <c r="J590" s="125"/>
      <c r="Q590" s="125"/>
      <c r="R590" s="125"/>
      <c r="S590" s="125"/>
      <c r="T590" s="125"/>
      <c r="U590" s="125"/>
      <c r="V590" s="125"/>
      <c r="W590" s="125"/>
      <c r="X590" s="125"/>
      <c r="Y590" s="126"/>
      <c r="Z590" s="125"/>
      <c r="AA590" s="127"/>
      <c r="AB590" s="14"/>
      <c r="AC590" s="5"/>
      <c r="AG590" s="59"/>
    </row>
    <row r="591" customFormat="false" ht="14.25" hidden="false" customHeight="true" outlineLevel="0" collapsed="false">
      <c r="A591" s="29"/>
      <c r="B591" s="11"/>
      <c r="C591" s="11" t="s">
        <v>38</v>
      </c>
      <c r="D591" s="29"/>
      <c r="E591" s="4"/>
      <c r="F591" s="47" t="s">
        <v>642</v>
      </c>
      <c r="H591" s="128" t="n">
        <f aca="false">SUM(H580:H589)</f>
        <v>16021</v>
      </c>
      <c r="I591" s="128"/>
      <c r="J591" s="128"/>
      <c r="Q591" s="128" t="n">
        <f aca="false">SUM(Q580:Q589)</f>
        <v>394110</v>
      </c>
      <c r="R591" s="128"/>
      <c r="S591" s="44" t="n">
        <f aca="false">SUM(R579:R590)</f>
        <v>394110</v>
      </c>
      <c r="T591" s="128" t="n">
        <f aca="false">SUM(T580:T589)</f>
        <v>708400</v>
      </c>
      <c r="U591" s="128"/>
      <c r="V591" s="128" t="n">
        <f aca="false">SUM(V580:V589)</f>
        <v>718000</v>
      </c>
      <c r="W591" s="128"/>
      <c r="X591" s="128"/>
      <c r="Y591" s="129"/>
      <c r="Z591" s="128"/>
      <c r="AA591" s="130"/>
      <c r="AB591" s="128" t="n">
        <v>9475000</v>
      </c>
      <c r="AC591" s="5"/>
      <c r="AF591" s="60"/>
      <c r="AG591" s="62"/>
      <c r="AH591" s="60"/>
    </row>
    <row r="592" customFormat="false" ht="14.25" hidden="false" customHeight="true" outlineLevel="0" collapsed="false">
      <c r="A592" s="29"/>
      <c r="B592" s="11"/>
      <c r="C592" s="11" t="s">
        <v>38</v>
      </c>
      <c r="D592" s="29"/>
      <c r="E592" s="4"/>
      <c r="H592" s="128"/>
      <c r="I592" s="128"/>
      <c r="J592" s="128"/>
      <c r="Q592" s="128"/>
      <c r="R592" s="128"/>
      <c r="S592" s="128"/>
      <c r="T592" s="128"/>
      <c r="U592" s="128"/>
      <c r="V592" s="128"/>
      <c r="W592" s="128"/>
      <c r="X592" s="128"/>
      <c r="Y592" s="129"/>
      <c r="Z592" s="128"/>
      <c r="AA592" s="130"/>
      <c r="AB592" s="128"/>
      <c r="AC592" s="5"/>
      <c r="AG592" s="59"/>
    </row>
    <row r="593" customFormat="false" ht="14.25" hidden="false" customHeight="true" outlineLevel="0" collapsed="false">
      <c r="A593" s="29"/>
      <c r="B593" s="11"/>
      <c r="C593" s="11" t="s">
        <v>38</v>
      </c>
      <c r="D593" s="29"/>
      <c r="E593" s="4"/>
      <c r="G593" s="39" t="s">
        <v>643</v>
      </c>
      <c r="I593" s="9"/>
      <c r="J593" s="9"/>
      <c r="K593" s="40"/>
      <c r="T593" s="11"/>
      <c r="U593" s="9"/>
      <c r="V593" s="11"/>
      <c r="W593" s="9"/>
      <c r="X593" s="9"/>
      <c r="Y593" s="41"/>
      <c r="Z593" s="9"/>
      <c r="AA593" s="42"/>
      <c r="AB593" s="128"/>
      <c r="AC593" s="5"/>
      <c r="AG593" s="59"/>
    </row>
    <row r="594" customFormat="false" ht="14.25" hidden="false" customHeight="true" outlineLevel="0" collapsed="false">
      <c r="A594" s="29"/>
      <c r="B594" s="11"/>
      <c r="C594" s="11" t="s">
        <v>38</v>
      </c>
      <c r="D594" s="29"/>
      <c r="E594" s="4"/>
      <c r="G594" s="39"/>
      <c r="H594" s="103"/>
      <c r="I594" s="9"/>
      <c r="J594" s="9"/>
      <c r="K594" s="71"/>
      <c r="L594" s="8"/>
      <c r="M594" s="7"/>
      <c r="N594" s="7"/>
      <c r="T594" s="9"/>
      <c r="U594" s="9"/>
      <c r="V594" s="9"/>
      <c r="W594" s="9"/>
      <c r="X594" s="9"/>
      <c r="Y594" s="41"/>
      <c r="Z594" s="9"/>
      <c r="AA594" s="42"/>
      <c r="AB594" s="128"/>
      <c r="AC594" s="5"/>
      <c r="AG594" s="59"/>
    </row>
    <row r="595" customFormat="false" ht="24" hidden="false" customHeight="true" outlineLevel="0" collapsed="false">
      <c r="A595" s="29"/>
      <c r="B595" s="11" t="s">
        <v>236</v>
      </c>
      <c r="C595" s="11" t="s">
        <v>38</v>
      </c>
      <c r="D595" s="29" t="n">
        <v>550390</v>
      </c>
      <c r="E595" s="4" t="s">
        <v>643</v>
      </c>
      <c r="F595" s="4" t="s">
        <v>644</v>
      </c>
      <c r="G595" s="5" t="s">
        <v>645</v>
      </c>
      <c r="H595" s="6" t="n">
        <v>6542</v>
      </c>
      <c r="I595" s="9" t="n">
        <f aca="false">H595</f>
        <v>6542</v>
      </c>
      <c r="J595" s="9" t="n">
        <v>6500</v>
      </c>
      <c r="K595" s="4" t="s">
        <v>646</v>
      </c>
      <c r="L595" s="7" t="n">
        <v>44609</v>
      </c>
      <c r="M595" s="8" t="n">
        <v>50087</v>
      </c>
      <c r="O595" s="7" t="n">
        <v>46435</v>
      </c>
      <c r="P595" s="7" t="n">
        <v>48260</v>
      </c>
      <c r="Q595" s="9" t="n">
        <v>210000</v>
      </c>
      <c r="R595" s="9" t="n">
        <f aca="false">Q595</f>
        <v>210000</v>
      </c>
      <c r="T595" s="131" t="n">
        <v>210000</v>
      </c>
      <c r="U595" s="9" t="n">
        <f aca="false">T595</f>
        <v>210000</v>
      </c>
      <c r="V595" s="131" t="n">
        <v>232000</v>
      </c>
      <c r="W595" s="9" t="n">
        <f aca="false">V595</f>
        <v>232000</v>
      </c>
      <c r="X595" s="45" t="n">
        <f aca="false">V595/H595</f>
        <v>35.4631611128095</v>
      </c>
      <c r="Y595" s="46" t="n">
        <f aca="false">SUM(V595-T595)/T595</f>
        <v>0.104761904761905</v>
      </c>
      <c r="Z595" s="9" t="s">
        <v>458</v>
      </c>
      <c r="AA595" s="42"/>
      <c r="AB595" s="128"/>
      <c r="AC595" s="5" t="s">
        <v>43</v>
      </c>
      <c r="AD595" s="4" t="s">
        <v>132</v>
      </c>
      <c r="AG595" s="59"/>
    </row>
    <row r="596" customFormat="false" ht="28.5" hidden="false" customHeight="true" outlineLevel="0" collapsed="false">
      <c r="A596" s="29"/>
      <c r="B596" s="11" t="s">
        <v>236</v>
      </c>
      <c r="C596" s="11" t="s">
        <v>38</v>
      </c>
      <c r="D596" s="29" t="n">
        <v>550390</v>
      </c>
      <c r="E596" s="4" t="s">
        <v>643</v>
      </c>
      <c r="F596" s="4" t="s">
        <v>647</v>
      </c>
      <c r="G596" s="5" t="s">
        <v>40</v>
      </c>
      <c r="H596" s="6" t="n">
        <v>20993</v>
      </c>
      <c r="I596" s="9" t="n">
        <f aca="false">H596</f>
        <v>20993</v>
      </c>
      <c r="J596" s="9" t="n">
        <v>21000</v>
      </c>
      <c r="K596" s="4" t="s">
        <v>648</v>
      </c>
      <c r="L596" s="7" t="n">
        <v>45564</v>
      </c>
      <c r="M596" s="8" t="n">
        <v>47389</v>
      </c>
      <c r="Q596" s="9" t="n">
        <v>1000000</v>
      </c>
      <c r="R596" s="9" t="n">
        <f aca="false">Q596</f>
        <v>1000000</v>
      </c>
      <c r="T596" s="9" t="n">
        <v>1688000</v>
      </c>
      <c r="U596" s="9" t="n">
        <f aca="false">T596</f>
        <v>1688000</v>
      </c>
      <c r="V596" s="9" t="n">
        <v>1953000</v>
      </c>
      <c r="W596" s="9" t="n">
        <f aca="false">V596</f>
        <v>1953000</v>
      </c>
      <c r="X596" s="45" t="n">
        <f aca="false">V596/H596</f>
        <v>93.0310103367789</v>
      </c>
      <c r="Y596" s="46" t="n">
        <f aca="false">SUM(V596-T596)/T596</f>
        <v>0.156990521327014</v>
      </c>
      <c r="Z596" s="9" t="s">
        <v>127</v>
      </c>
      <c r="AA596" s="42"/>
      <c r="AB596" s="128"/>
      <c r="AC596" s="5" t="s">
        <v>43</v>
      </c>
      <c r="AD596" s="4" t="s">
        <v>649</v>
      </c>
      <c r="AG596" s="59"/>
    </row>
    <row r="597" customFormat="false" ht="14.25" hidden="false" customHeight="true" outlineLevel="0" collapsed="false">
      <c r="A597" s="29"/>
      <c r="B597" s="11"/>
      <c r="C597" s="11" t="s">
        <v>38</v>
      </c>
      <c r="D597" s="29"/>
      <c r="E597" s="4"/>
      <c r="I597" s="9"/>
      <c r="J597" s="9"/>
      <c r="T597" s="9"/>
      <c r="U597" s="9"/>
      <c r="V597" s="9"/>
      <c r="W597" s="9"/>
      <c r="X597" s="9"/>
      <c r="Y597" s="41"/>
      <c r="Z597" s="9"/>
      <c r="AA597" s="42"/>
      <c r="AB597" s="128"/>
      <c r="AC597" s="5"/>
      <c r="AG597" s="59"/>
    </row>
    <row r="598" customFormat="false" ht="14.25" hidden="false" customHeight="true" outlineLevel="0" collapsed="false">
      <c r="A598" s="29"/>
      <c r="B598" s="11"/>
      <c r="C598" s="11" t="s">
        <v>38</v>
      </c>
      <c r="D598" s="29"/>
      <c r="E598" s="4"/>
      <c r="F598" s="47" t="s">
        <v>650</v>
      </c>
      <c r="H598" s="43" t="n">
        <f aca="false">SUM(H595:H596)</f>
        <v>27535</v>
      </c>
      <c r="I598" s="44"/>
      <c r="J598" s="44"/>
      <c r="Q598" s="44" t="n">
        <f aca="false">SUM(Q595:Q596)</f>
        <v>1210000</v>
      </c>
      <c r="R598" s="44"/>
      <c r="S598" s="44" t="n">
        <f aca="false">SUM(R594:R597)</f>
        <v>1210000</v>
      </c>
      <c r="T598" s="128" t="n">
        <f aca="false">SUM(T595:T596)</f>
        <v>1898000</v>
      </c>
      <c r="U598" s="44"/>
      <c r="V598" s="128" t="n">
        <f aca="false">SUM(V595:V596)</f>
        <v>2185000</v>
      </c>
      <c r="W598" s="44"/>
      <c r="X598" s="44"/>
      <c r="Y598" s="64"/>
      <c r="Z598" s="44"/>
      <c r="AA598" s="67"/>
      <c r="AB598" s="128" t="n">
        <v>23850000</v>
      </c>
      <c r="AC598" s="5"/>
      <c r="AF598" s="60"/>
      <c r="AG598" s="62"/>
      <c r="AH598" s="60"/>
    </row>
    <row r="599" customFormat="false" ht="14.25" hidden="false" customHeight="true" outlineLevel="0" collapsed="false">
      <c r="A599" s="29"/>
      <c r="B599" s="11"/>
      <c r="C599" s="11" t="s">
        <v>38</v>
      </c>
      <c r="D599" s="29"/>
      <c r="E599" s="4"/>
      <c r="H599" s="43"/>
      <c r="I599" s="44"/>
      <c r="J599" s="44"/>
      <c r="Q599" s="44"/>
      <c r="R599" s="44"/>
      <c r="S599" s="44"/>
      <c r="T599" s="44"/>
      <c r="U599" s="44"/>
      <c r="V599" s="44"/>
      <c r="W599" s="44"/>
      <c r="X599" s="44"/>
      <c r="Y599" s="64"/>
      <c r="Z599" s="44"/>
      <c r="AA599" s="67"/>
      <c r="AB599" s="128"/>
      <c r="AC599" s="5"/>
      <c r="AG599" s="59"/>
    </row>
    <row r="600" customFormat="false" ht="14.25" hidden="false" customHeight="true" outlineLevel="0" collapsed="false">
      <c r="A600" s="29"/>
      <c r="B600" s="11"/>
      <c r="C600" s="11" t="s">
        <v>38</v>
      </c>
      <c r="D600" s="29"/>
      <c r="E600" s="4"/>
      <c r="H600" s="43"/>
      <c r="I600" s="44"/>
      <c r="J600" s="44"/>
      <c r="Q600" s="44"/>
      <c r="R600" s="44"/>
      <c r="S600" s="44"/>
      <c r="T600" s="44"/>
      <c r="U600" s="44"/>
      <c r="V600" s="44"/>
      <c r="W600" s="44"/>
      <c r="X600" s="44"/>
      <c r="Y600" s="64"/>
      <c r="Z600" s="44"/>
      <c r="AA600" s="67"/>
      <c r="AB600" s="66"/>
      <c r="AC600" s="5"/>
      <c r="AG600" s="59"/>
    </row>
    <row r="601" customFormat="false" ht="14.25" hidden="false" customHeight="true" outlineLevel="0" collapsed="false">
      <c r="A601" s="29"/>
      <c r="B601" s="11"/>
      <c r="C601" s="11" t="s">
        <v>38</v>
      </c>
      <c r="D601" s="29"/>
      <c r="E601" s="4"/>
      <c r="G601" s="39" t="s">
        <v>651</v>
      </c>
      <c r="I601" s="9"/>
      <c r="J601" s="9"/>
      <c r="K601" s="40"/>
      <c r="T601" s="11"/>
      <c r="U601" s="9"/>
      <c r="V601" s="11"/>
      <c r="W601" s="9"/>
      <c r="X601" s="9"/>
      <c r="Y601" s="41"/>
      <c r="Z601" s="9"/>
      <c r="AA601" s="42"/>
      <c r="AB601" s="14"/>
      <c r="AC601" s="5"/>
      <c r="AG601" s="59"/>
    </row>
    <row r="602" customFormat="false" ht="14.25" hidden="false" customHeight="true" outlineLevel="0" collapsed="false">
      <c r="A602" s="29"/>
      <c r="B602" s="11"/>
      <c r="C602" s="11" t="s">
        <v>38</v>
      </c>
      <c r="D602" s="29"/>
      <c r="E602" s="4"/>
      <c r="G602" s="39"/>
      <c r="I602" s="9"/>
      <c r="J602" s="9"/>
      <c r="K602" s="71"/>
      <c r="L602" s="8"/>
      <c r="T602" s="9"/>
      <c r="U602" s="9"/>
      <c r="V602" s="9"/>
      <c r="W602" s="9"/>
      <c r="X602" s="9"/>
      <c r="Y602" s="41"/>
      <c r="Z602" s="9"/>
      <c r="AA602" s="42"/>
      <c r="AB602" s="14"/>
      <c r="AC602" s="5"/>
      <c r="AG602" s="59"/>
    </row>
    <row r="603" customFormat="false" ht="19.4" hidden="false" customHeight="false" outlineLevel="0" collapsed="false">
      <c r="A603" s="29"/>
      <c r="B603" s="11" t="s">
        <v>106</v>
      </c>
      <c r="C603" s="11" t="s">
        <v>38</v>
      </c>
      <c r="D603" s="29" t="n">
        <v>550870</v>
      </c>
      <c r="E603" s="4" t="s">
        <v>651</v>
      </c>
      <c r="F603" s="4" t="s">
        <v>652</v>
      </c>
      <c r="G603" s="5" t="s">
        <v>251</v>
      </c>
      <c r="H603" s="6" t="n">
        <v>1330</v>
      </c>
      <c r="I603" s="6" t="n">
        <f aca="false">H603</f>
        <v>1330</v>
      </c>
      <c r="J603" s="6" t="n">
        <v>1250</v>
      </c>
      <c r="K603" s="4" t="s">
        <v>653</v>
      </c>
      <c r="L603" s="7" t="n">
        <v>44936</v>
      </c>
      <c r="M603" s="8" t="n">
        <v>46761</v>
      </c>
      <c r="P603" s="8" t="n">
        <v>46031</v>
      </c>
      <c r="Q603" s="9" t="n">
        <v>70000</v>
      </c>
      <c r="R603" s="9" t="n">
        <f aca="false">Q603</f>
        <v>70000</v>
      </c>
      <c r="T603" s="9" t="n">
        <v>69900</v>
      </c>
      <c r="U603" s="9" t="n">
        <f aca="false">T603</f>
        <v>69900</v>
      </c>
      <c r="V603" s="9" t="n">
        <v>69900</v>
      </c>
      <c r="W603" s="9" t="n">
        <f aca="false">V603</f>
        <v>69900</v>
      </c>
      <c r="X603" s="45" t="n">
        <f aca="false">V603/H603</f>
        <v>52.5563909774436</v>
      </c>
      <c r="Y603" s="46" t="n">
        <f aca="false">SUM(V603-T603)/T603</f>
        <v>0</v>
      </c>
      <c r="Z603" s="9" t="s">
        <v>60</v>
      </c>
      <c r="AA603" s="42"/>
      <c r="AB603" s="14"/>
      <c r="AC603" s="5" t="s">
        <v>43</v>
      </c>
      <c r="AD603" s="4" t="s">
        <v>654</v>
      </c>
      <c r="AG603" s="59"/>
    </row>
    <row r="604" customFormat="false" ht="13.5" hidden="false" customHeight="false" outlineLevel="0" collapsed="false">
      <c r="A604" s="29"/>
      <c r="B604" s="11" t="s">
        <v>106</v>
      </c>
      <c r="C604" s="11" t="s">
        <v>38</v>
      </c>
      <c r="D604" s="29" t="n">
        <v>550870</v>
      </c>
      <c r="E604" s="4" t="s">
        <v>651</v>
      </c>
      <c r="F604" s="4" t="s">
        <v>655</v>
      </c>
      <c r="G604" s="5" t="s">
        <v>656</v>
      </c>
      <c r="H604" s="6" t="n">
        <v>1486</v>
      </c>
      <c r="I604" s="6" t="n">
        <f aca="false">H604</f>
        <v>1486</v>
      </c>
      <c r="J604" s="6" t="n">
        <v>1500</v>
      </c>
      <c r="K604" s="4" t="s">
        <v>657</v>
      </c>
      <c r="L604" s="7" t="n">
        <v>44314</v>
      </c>
      <c r="M604" s="8" t="n">
        <v>47965</v>
      </c>
      <c r="P604" s="8" t="n">
        <v>46139</v>
      </c>
      <c r="Q604" s="9" t="n">
        <v>59500</v>
      </c>
      <c r="R604" s="9" t="n">
        <f aca="false">Q604</f>
        <v>59500</v>
      </c>
      <c r="T604" s="9" t="n">
        <v>64900</v>
      </c>
      <c r="U604" s="9" t="n">
        <f aca="false">T604</f>
        <v>64900</v>
      </c>
      <c r="V604" s="9" t="n">
        <v>64900</v>
      </c>
      <c r="W604" s="9" t="n">
        <f aca="false">V604</f>
        <v>64900</v>
      </c>
      <c r="X604" s="45" t="n">
        <f aca="false">V604/H604</f>
        <v>43.6742934051144</v>
      </c>
      <c r="Y604" s="46" t="n">
        <f aca="false">SUM(V604-T604)/T604</f>
        <v>0</v>
      </c>
      <c r="Z604" s="9" t="s">
        <v>42</v>
      </c>
      <c r="AA604" s="42"/>
      <c r="AB604" s="14"/>
      <c r="AC604" s="5" t="s">
        <v>43</v>
      </c>
      <c r="AD604" s="4" t="s">
        <v>658</v>
      </c>
      <c r="AG604" s="59"/>
    </row>
    <row r="605" customFormat="false" ht="30" hidden="false" customHeight="true" outlineLevel="0" collapsed="false">
      <c r="A605" s="29"/>
      <c r="B605" s="11" t="s">
        <v>106</v>
      </c>
      <c r="C605" s="11" t="s">
        <v>38</v>
      </c>
      <c r="D605" s="29" t="n">
        <v>550870</v>
      </c>
      <c r="E605" s="4" t="s">
        <v>651</v>
      </c>
      <c r="F605" s="4" t="s">
        <v>659</v>
      </c>
      <c r="G605" s="5" t="s">
        <v>656</v>
      </c>
      <c r="H605" s="6" t="n">
        <v>1204</v>
      </c>
      <c r="I605" s="6" t="n">
        <f aca="false">H605</f>
        <v>1204</v>
      </c>
      <c r="J605" s="6" t="n">
        <v>1250</v>
      </c>
      <c r="K605" s="4" t="s">
        <v>660</v>
      </c>
      <c r="L605" s="7" t="n">
        <v>45741</v>
      </c>
      <c r="M605" s="8" t="n">
        <v>46836</v>
      </c>
      <c r="P605" s="8" t="n">
        <v>46106</v>
      </c>
      <c r="Q605" s="9" t="n">
        <v>0</v>
      </c>
      <c r="R605" s="9" t="n">
        <f aca="false">Q605</f>
        <v>0</v>
      </c>
      <c r="T605" s="9" t="n">
        <v>53100</v>
      </c>
      <c r="U605" s="9" t="n">
        <f aca="false">T605</f>
        <v>53100</v>
      </c>
      <c r="V605" s="9" t="n">
        <v>53100</v>
      </c>
      <c r="W605" s="9" t="n">
        <f aca="false">V605</f>
        <v>53100</v>
      </c>
      <c r="X605" s="45" t="n">
        <f aca="false">V605/H605</f>
        <v>44.1029900332226</v>
      </c>
      <c r="Y605" s="46" t="n">
        <f aca="false">SUM(V605-T605)/T605</f>
        <v>0</v>
      </c>
      <c r="Z605" s="9" t="s">
        <v>42</v>
      </c>
      <c r="AA605" s="42"/>
      <c r="AB605" s="14"/>
      <c r="AC605" s="5" t="s">
        <v>43</v>
      </c>
      <c r="AD605" s="4" t="s">
        <v>661</v>
      </c>
      <c r="AG605" s="59"/>
    </row>
    <row r="606" customFormat="false" ht="27" hidden="false" customHeight="true" outlineLevel="0" collapsed="false">
      <c r="A606" s="29"/>
      <c r="B606" s="11" t="s">
        <v>106</v>
      </c>
      <c r="C606" s="11" t="s">
        <v>38</v>
      </c>
      <c r="D606" s="29" t="n">
        <v>550870</v>
      </c>
      <c r="E606" s="4" t="s">
        <v>651</v>
      </c>
      <c r="F606" s="4" t="s">
        <v>662</v>
      </c>
      <c r="G606" s="5" t="s">
        <v>656</v>
      </c>
      <c r="H606" s="6" t="n">
        <v>1119</v>
      </c>
      <c r="I606" s="6" t="n">
        <f aca="false">H606</f>
        <v>1119</v>
      </c>
      <c r="J606" s="6" t="n">
        <v>1250</v>
      </c>
      <c r="K606" s="4" t="s">
        <v>660</v>
      </c>
      <c r="L606" s="7" t="n">
        <v>45741</v>
      </c>
      <c r="M606" s="8" t="n">
        <v>46836</v>
      </c>
      <c r="Q606" s="9" t="n">
        <v>55000</v>
      </c>
      <c r="R606" s="9" t="n">
        <f aca="false">Q606</f>
        <v>55000</v>
      </c>
      <c r="T606" s="9" t="n">
        <v>51200</v>
      </c>
      <c r="U606" s="9" t="n">
        <f aca="false">T606</f>
        <v>51200</v>
      </c>
      <c r="V606" s="9" t="n">
        <v>51200</v>
      </c>
      <c r="W606" s="9" t="n">
        <f aca="false">V606</f>
        <v>51200</v>
      </c>
      <c r="X606" s="45" t="n">
        <f aca="false">V606/H606</f>
        <v>45.7551385165326</v>
      </c>
      <c r="Y606" s="46" t="n">
        <f aca="false">SUM(V606-T606)/T606</f>
        <v>0</v>
      </c>
      <c r="Z606" s="9" t="s">
        <v>60</v>
      </c>
      <c r="AA606" s="42"/>
      <c r="AB606" s="14"/>
      <c r="AC606" s="5" t="s">
        <v>43</v>
      </c>
      <c r="AG606" s="59"/>
    </row>
    <row r="607" customFormat="false" ht="28.5" hidden="false" customHeight="true" outlineLevel="0" collapsed="false">
      <c r="A607" s="29"/>
      <c r="B607" s="11" t="s">
        <v>106</v>
      </c>
      <c r="C607" s="11" t="s">
        <v>38</v>
      </c>
      <c r="D607" s="29" t="n">
        <v>550870</v>
      </c>
      <c r="E607" s="4" t="s">
        <v>651</v>
      </c>
      <c r="F607" s="4" t="s">
        <v>663</v>
      </c>
      <c r="G607" s="5" t="s">
        <v>134</v>
      </c>
      <c r="H607" s="6" t="n">
        <v>3114</v>
      </c>
      <c r="I607" s="6" t="n">
        <f aca="false">H607</f>
        <v>3114</v>
      </c>
      <c r="J607" s="6" t="n">
        <v>3000</v>
      </c>
      <c r="K607" s="4" t="s">
        <v>664</v>
      </c>
      <c r="L607" s="7" t="n">
        <v>44143</v>
      </c>
      <c r="M607" s="8" t="n">
        <v>49620</v>
      </c>
      <c r="O607" s="8" t="n">
        <v>45969</v>
      </c>
      <c r="Q607" s="9" t="n">
        <v>175000</v>
      </c>
      <c r="R607" s="9" t="n">
        <f aca="false">Q607</f>
        <v>175000</v>
      </c>
      <c r="T607" s="9" t="n">
        <v>146200</v>
      </c>
      <c r="U607" s="9" t="n">
        <f aca="false">T607</f>
        <v>146200</v>
      </c>
      <c r="V607" s="9" t="n">
        <v>146200</v>
      </c>
      <c r="W607" s="9" t="n">
        <f aca="false">V607</f>
        <v>146200</v>
      </c>
      <c r="X607" s="45" t="n">
        <f aca="false">V607/H607</f>
        <v>46.9492614001285</v>
      </c>
      <c r="Y607" s="46" t="n">
        <f aca="false">SUM(V607-T607)/T607</f>
        <v>0</v>
      </c>
      <c r="Z607" s="9" t="s">
        <v>60</v>
      </c>
      <c r="AA607" s="42"/>
      <c r="AB607" s="14"/>
      <c r="AC607" s="5" t="s">
        <v>170</v>
      </c>
      <c r="AD607" s="4" t="s">
        <v>665</v>
      </c>
      <c r="AG607" s="59"/>
    </row>
    <row r="608" customFormat="false" ht="24" hidden="false" customHeight="true" outlineLevel="0" collapsed="false">
      <c r="A608" s="29"/>
      <c r="B608" s="11" t="s">
        <v>106</v>
      </c>
      <c r="C608" s="11" t="s">
        <v>38</v>
      </c>
      <c r="D608" s="29" t="n">
        <v>550870</v>
      </c>
      <c r="E608" s="4" t="s">
        <v>651</v>
      </c>
      <c r="F608" s="4" t="s">
        <v>140</v>
      </c>
      <c r="G608" s="5" t="s">
        <v>40</v>
      </c>
      <c r="H608" s="6" t="n">
        <v>1560</v>
      </c>
      <c r="I608" s="6" t="n">
        <f aca="false">H608</f>
        <v>1560</v>
      </c>
      <c r="J608" s="6" t="n">
        <v>1500</v>
      </c>
      <c r="K608" s="4" t="s">
        <v>619</v>
      </c>
      <c r="L608" s="7" t="n">
        <v>44732</v>
      </c>
      <c r="M608" s="8" t="n">
        <v>46557</v>
      </c>
      <c r="O608" s="7"/>
      <c r="P608" s="7" t="n">
        <v>45827</v>
      </c>
      <c r="Q608" s="98" t="n">
        <v>67146</v>
      </c>
      <c r="R608" s="9" t="n">
        <f aca="false">Q608</f>
        <v>67146</v>
      </c>
      <c r="T608" s="9" t="n">
        <v>85800</v>
      </c>
      <c r="U608" s="9" t="n">
        <f aca="false">T608</f>
        <v>85800</v>
      </c>
      <c r="V608" s="9" t="n">
        <v>85800</v>
      </c>
      <c r="W608" s="9" t="n">
        <f aca="false">V608</f>
        <v>85800</v>
      </c>
      <c r="X608" s="45" t="n">
        <f aca="false">V608/H608</f>
        <v>55</v>
      </c>
      <c r="Y608" s="46" t="n">
        <f aca="false">SUM(V608-T608)/T608</f>
        <v>0</v>
      </c>
      <c r="Z608" s="9" t="s">
        <v>42</v>
      </c>
      <c r="AA608" s="42"/>
      <c r="AB608" s="14"/>
      <c r="AC608" s="5" t="s">
        <v>43</v>
      </c>
      <c r="AD608" s="4" t="s">
        <v>666</v>
      </c>
      <c r="AG608" s="59"/>
    </row>
    <row r="609" customFormat="false" ht="13.5" hidden="false" customHeight="false" outlineLevel="0" collapsed="false">
      <c r="A609" s="29"/>
      <c r="B609" s="11" t="s">
        <v>106</v>
      </c>
      <c r="C609" s="11" t="s">
        <v>38</v>
      </c>
      <c r="D609" s="29" t="n">
        <v>550870</v>
      </c>
      <c r="E609" s="4" t="s">
        <v>651</v>
      </c>
      <c r="F609" s="4" t="s">
        <v>137</v>
      </c>
      <c r="G609" s="5" t="s">
        <v>40</v>
      </c>
      <c r="H609" s="6" t="n">
        <v>1454</v>
      </c>
      <c r="I609" s="6" t="n">
        <f aca="false">H609</f>
        <v>1454</v>
      </c>
      <c r="J609" s="6" t="n">
        <v>1500</v>
      </c>
      <c r="K609" s="4" t="s">
        <v>619</v>
      </c>
      <c r="L609" s="7" t="n">
        <v>44419</v>
      </c>
      <c r="M609" s="8" t="n">
        <v>46244</v>
      </c>
      <c r="O609" s="7"/>
      <c r="P609" s="7"/>
      <c r="Q609" s="9" t="n">
        <v>62963</v>
      </c>
      <c r="R609" s="9" t="n">
        <f aca="false">Q609</f>
        <v>62963</v>
      </c>
      <c r="T609" s="9" t="n">
        <v>80000</v>
      </c>
      <c r="U609" s="9" t="n">
        <f aca="false">T609</f>
        <v>80000</v>
      </c>
      <c r="V609" s="9" t="n">
        <v>80000</v>
      </c>
      <c r="W609" s="9" t="n">
        <f aca="false">V609</f>
        <v>80000</v>
      </c>
      <c r="X609" s="45" t="n">
        <f aca="false">V609/H609</f>
        <v>55.0206327372765</v>
      </c>
      <c r="Y609" s="46" t="n">
        <f aca="false">SUM(V609-T609)/T609</f>
        <v>0</v>
      </c>
      <c r="Z609" s="9" t="s">
        <v>60</v>
      </c>
      <c r="AA609" s="42"/>
      <c r="AB609" s="14"/>
      <c r="AC609" s="5" t="s">
        <v>43</v>
      </c>
      <c r="AD609" s="4" t="s">
        <v>667</v>
      </c>
      <c r="AG609" s="59"/>
    </row>
    <row r="610" customFormat="false" ht="13.5" hidden="false" customHeight="false" outlineLevel="0" collapsed="false">
      <c r="A610" s="29"/>
      <c r="B610" s="11" t="s">
        <v>106</v>
      </c>
      <c r="C610" s="11" t="s">
        <v>38</v>
      </c>
      <c r="D610" s="29" t="n">
        <v>550870</v>
      </c>
      <c r="E610" s="4" t="s">
        <v>651</v>
      </c>
      <c r="F610" s="4" t="s">
        <v>145</v>
      </c>
      <c r="G610" s="5" t="s">
        <v>40</v>
      </c>
      <c r="H610" s="6" t="n">
        <v>1395</v>
      </c>
      <c r="I610" s="6" t="n">
        <f aca="false">H610</f>
        <v>1395</v>
      </c>
      <c r="J610" s="6" t="n">
        <v>1500</v>
      </c>
      <c r="K610" s="60" t="s">
        <v>67</v>
      </c>
      <c r="L610" s="118"/>
      <c r="M610" s="102"/>
      <c r="N610" s="102" t="n">
        <v>45837</v>
      </c>
      <c r="O610" s="118"/>
      <c r="P610" s="118"/>
      <c r="Q610" s="98" t="n">
        <v>0</v>
      </c>
      <c r="R610" s="9" t="n">
        <f aca="false">Q610</f>
        <v>0</v>
      </c>
      <c r="T610" s="9" t="n">
        <v>76700</v>
      </c>
      <c r="U610" s="9" t="n">
        <f aca="false">T610</f>
        <v>76700</v>
      </c>
      <c r="V610" s="9" t="n">
        <v>76700</v>
      </c>
      <c r="W610" s="9" t="n">
        <f aca="false">V610</f>
        <v>76700</v>
      </c>
      <c r="X610" s="45" t="n">
        <f aca="false">V610/H610</f>
        <v>54.9820788530466</v>
      </c>
      <c r="Y610" s="46" t="n">
        <f aca="false">SUM(V610-T610)/T610</f>
        <v>0</v>
      </c>
      <c r="Z610" s="9" t="s">
        <v>127</v>
      </c>
      <c r="AA610" s="42"/>
      <c r="AB610" s="14"/>
      <c r="AC610" s="5" t="s">
        <v>43</v>
      </c>
      <c r="AD610" s="60" t="s">
        <v>668</v>
      </c>
      <c r="AG610" s="59"/>
    </row>
    <row r="611" customFormat="false" ht="13.5" hidden="false" customHeight="false" outlineLevel="0" collapsed="false">
      <c r="A611" s="29"/>
      <c r="B611" s="11" t="s">
        <v>106</v>
      </c>
      <c r="C611" s="11" t="s">
        <v>38</v>
      </c>
      <c r="D611" s="29" t="n">
        <v>550870</v>
      </c>
      <c r="E611" s="4" t="s">
        <v>651</v>
      </c>
      <c r="F611" s="4" t="s">
        <v>143</v>
      </c>
      <c r="G611" s="5" t="s">
        <v>40</v>
      </c>
      <c r="H611" s="6" t="n">
        <v>1281</v>
      </c>
      <c r="I611" s="6" t="n">
        <f aca="false">H611</f>
        <v>1281</v>
      </c>
      <c r="J611" s="6" t="n">
        <v>1250</v>
      </c>
      <c r="K611" s="4" t="s">
        <v>619</v>
      </c>
      <c r="L611" s="7" t="n">
        <v>45393</v>
      </c>
      <c r="M611" s="8" t="n">
        <v>47218</v>
      </c>
      <c r="P611" s="8" t="n">
        <v>46488</v>
      </c>
      <c r="Q611" s="9" t="n">
        <v>72800</v>
      </c>
      <c r="R611" s="9" t="n">
        <f aca="false">Q611</f>
        <v>72800</v>
      </c>
      <c r="T611" s="9" t="n">
        <v>70500</v>
      </c>
      <c r="U611" s="9" t="n">
        <f aca="false">T611</f>
        <v>70500</v>
      </c>
      <c r="V611" s="9" t="n">
        <v>70500</v>
      </c>
      <c r="W611" s="9" t="n">
        <f aca="false">V611</f>
        <v>70500</v>
      </c>
      <c r="X611" s="45" t="n">
        <f aca="false">V611/H611</f>
        <v>55.0351288056206</v>
      </c>
      <c r="Y611" s="46" t="n">
        <f aca="false">SUM(V611-T611)/T611</f>
        <v>0</v>
      </c>
      <c r="Z611" s="9" t="s">
        <v>60</v>
      </c>
      <c r="AA611" s="42"/>
      <c r="AB611" s="14"/>
      <c r="AC611" s="5" t="s">
        <v>43</v>
      </c>
      <c r="AD611" s="4" t="s">
        <v>669</v>
      </c>
      <c r="AG611" s="59"/>
    </row>
    <row r="612" customFormat="false" ht="13.5" hidden="false" customHeight="false" outlineLevel="0" collapsed="false">
      <c r="A612" s="29"/>
      <c r="B612" s="11" t="s">
        <v>106</v>
      </c>
      <c r="C612" s="11" t="s">
        <v>38</v>
      </c>
      <c r="D612" s="29" t="n">
        <v>550870</v>
      </c>
      <c r="E612" s="4" t="s">
        <v>651</v>
      </c>
      <c r="F612" s="4" t="s">
        <v>546</v>
      </c>
      <c r="G612" s="5" t="s">
        <v>40</v>
      </c>
      <c r="H612" s="6" t="n">
        <v>1371</v>
      </c>
      <c r="I612" s="6" t="n">
        <f aca="false">H612</f>
        <v>1371</v>
      </c>
      <c r="J612" s="6" t="n">
        <v>1250</v>
      </c>
      <c r="K612" s="4" t="s">
        <v>67</v>
      </c>
      <c r="N612" s="8" t="n">
        <v>44647</v>
      </c>
      <c r="O612" s="7"/>
      <c r="P612" s="7"/>
      <c r="Q612" s="9" t="n">
        <v>0</v>
      </c>
      <c r="R612" s="9" t="n">
        <f aca="false">Q612</f>
        <v>0</v>
      </c>
      <c r="T612" s="9" t="n">
        <v>75400</v>
      </c>
      <c r="U612" s="9" t="n">
        <f aca="false">T612</f>
        <v>75400</v>
      </c>
      <c r="V612" s="9" t="n">
        <v>75400</v>
      </c>
      <c r="W612" s="9" t="n">
        <f aca="false">V612</f>
        <v>75400</v>
      </c>
      <c r="X612" s="45" t="n">
        <f aca="false">V612/H612</f>
        <v>54.9963530269876</v>
      </c>
      <c r="Y612" s="46" t="n">
        <f aca="false">SUM(V612-T612)/T612</f>
        <v>0</v>
      </c>
      <c r="Z612" s="98" t="s">
        <v>55</v>
      </c>
      <c r="AA612" s="42"/>
      <c r="AB612" s="14"/>
      <c r="AC612" s="5" t="s">
        <v>43</v>
      </c>
      <c r="AD612" s="4" t="s">
        <v>482</v>
      </c>
      <c r="AE612" s="15" t="n">
        <v>62</v>
      </c>
      <c r="AG612" s="59" t="n">
        <v>2</v>
      </c>
    </row>
    <row r="613" customFormat="false" ht="16.5" hidden="false" customHeight="true" outlineLevel="0" collapsed="false">
      <c r="A613" s="29"/>
      <c r="B613" s="11" t="s">
        <v>106</v>
      </c>
      <c r="C613" s="11" t="s">
        <v>38</v>
      </c>
      <c r="D613" s="29" t="n">
        <v>550870</v>
      </c>
      <c r="E613" s="4" t="s">
        <v>651</v>
      </c>
      <c r="F613" s="4" t="s">
        <v>147</v>
      </c>
      <c r="G613" s="5" t="s">
        <v>40</v>
      </c>
      <c r="H613" s="6" t="n">
        <v>1204</v>
      </c>
      <c r="I613" s="6" t="n">
        <f aca="false">H613</f>
        <v>1204</v>
      </c>
      <c r="J613" s="6" t="n">
        <v>1250</v>
      </c>
      <c r="K613" s="4" t="s">
        <v>67</v>
      </c>
      <c r="N613" s="8" t="n">
        <v>42983</v>
      </c>
      <c r="O613" s="7"/>
      <c r="P613" s="7"/>
      <c r="Q613" s="9" t="n">
        <v>0</v>
      </c>
      <c r="R613" s="9" t="n">
        <f aca="false">Q613</f>
        <v>0</v>
      </c>
      <c r="T613" s="9" t="n">
        <v>66200</v>
      </c>
      <c r="U613" s="9" t="n">
        <f aca="false">T613</f>
        <v>66200</v>
      </c>
      <c r="V613" s="9" t="n">
        <v>66200</v>
      </c>
      <c r="W613" s="9" t="n">
        <f aca="false">V613</f>
        <v>66200</v>
      </c>
      <c r="X613" s="45" t="n">
        <f aca="false">V613/H613</f>
        <v>54.9833887043189</v>
      </c>
      <c r="Y613" s="46" t="n">
        <f aca="false">SUM(V613-T613)/T613</f>
        <v>0</v>
      </c>
      <c r="Z613" s="98" t="s">
        <v>55</v>
      </c>
      <c r="AA613" s="42"/>
      <c r="AB613" s="14"/>
      <c r="AC613" s="5" t="s">
        <v>43</v>
      </c>
      <c r="AD613" s="4" t="s">
        <v>482</v>
      </c>
      <c r="AE613" s="15" t="n">
        <v>62</v>
      </c>
      <c r="AG613" s="59" t="n">
        <v>2</v>
      </c>
    </row>
    <row r="614" customFormat="false" ht="14.25" hidden="false" customHeight="true" outlineLevel="0" collapsed="false">
      <c r="A614" s="29"/>
      <c r="B614" s="11"/>
      <c r="C614" s="11" t="s">
        <v>38</v>
      </c>
      <c r="D614" s="29"/>
      <c r="E614" s="4"/>
      <c r="I614" s="9"/>
      <c r="J614" s="9"/>
      <c r="T614" s="9"/>
      <c r="U614" s="9"/>
      <c r="V614" s="9"/>
      <c r="W614" s="9"/>
      <c r="X614" s="9"/>
      <c r="Y614" s="41"/>
      <c r="Z614" s="9"/>
      <c r="AA614" s="42"/>
      <c r="AB614" s="14"/>
      <c r="AC614" s="5"/>
      <c r="AG614" s="59"/>
    </row>
    <row r="615" customFormat="false" ht="14.25" hidden="false" customHeight="true" outlineLevel="0" collapsed="false">
      <c r="A615" s="29"/>
      <c r="B615" s="11"/>
      <c r="C615" s="11" t="s">
        <v>38</v>
      </c>
      <c r="D615" s="29"/>
      <c r="E615" s="4"/>
      <c r="F615" s="47" t="s">
        <v>670</v>
      </c>
      <c r="H615" s="43" t="n">
        <f aca="false">SUM(H603:H613)</f>
        <v>16518</v>
      </c>
      <c r="I615" s="44"/>
      <c r="J615" s="44"/>
      <c r="Q615" s="44" t="n">
        <f aca="false">SUM(Q603:Q613)</f>
        <v>562409</v>
      </c>
      <c r="R615" s="44"/>
      <c r="S615" s="44" t="n">
        <f aca="false">SUM(R601:R614)</f>
        <v>562409</v>
      </c>
      <c r="T615" s="44" t="n">
        <f aca="false">SUM(T603:T613)</f>
        <v>839900</v>
      </c>
      <c r="U615" s="44"/>
      <c r="V615" s="44" t="n">
        <f aca="false">SUM(V603:V613)</f>
        <v>839900</v>
      </c>
      <c r="W615" s="44"/>
      <c r="X615" s="44"/>
      <c r="Y615" s="64"/>
      <c r="Z615" s="44"/>
      <c r="AA615" s="67"/>
      <c r="AB615" s="44" t="n">
        <v>12075000</v>
      </c>
      <c r="AC615" s="5"/>
      <c r="AF615" s="60"/>
      <c r="AG615" s="62"/>
      <c r="AH615" s="60"/>
    </row>
    <row r="616" customFormat="false" ht="14.25" hidden="false" customHeight="true" outlineLevel="0" collapsed="false">
      <c r="A616" s="29"/>
      <c r="B616" s="11"/>
      <c r="C616" s="11" t="s">
        <v>38</v>
      </c>
      <c r="D616" s="29"/>
      <c r="E616" s="4"/>
      <c r="G616" s="110"/>
      <c r="H616" s="43"/>
      <c r="I616" s="44"/>
      <c r="J616" s="44"/>
      <c r="Q616" s="44"/>
      <c r="R616" s="44"/>
      <c r="S616" s="44"/>
      <c r="T616" s="44"/>
      <c r="U616" s="44"/>
      <c r="V616" s="44"/>
      <c r="W616" s="44"/>
      <c r="X616" s="44"/>
      <c r="Y616" s="64"/>
      <c r="Z616" s="44"/>
      <c r="AA616" s="67"/>
      <c r="AB616" s="66"/>
      <c r="AC616" s="5"/>
      <c r="AG616" s="59"/>
    </row>
    <row r="617" customFormat="false" ht="14.25" hidden="false" customHeight="true" outlineLevel="0" collapsed="false">
      <c r="A617" s="29"/>
      <c r="B617" s="11"/>
      <c r="C617" s="11" t="s">
        <v>38</v>
      </c>
      <c r="D617" s="29"/>
      <c r="E617" s="4"/>
      <c r="G617" s="39" t="s">
        <v>671</v>
      </c>
      <c r="I617" s="9"/>
      <c r="J617" s="9"/>
      <c r="K617" s="40"/>
      <c r="T617" s="11"/>
      <c r="U617" s="9"/>
      <c r="V617" s="11"/>
      <c r="W617" s="9"/>
      <c r="X617" s="9"/>
      <c r="Y617" s="41"/>
      <c r="Z617" s="9"/>
      <c r="AA617" s="42"/>
      <c r="AB617" s="14"/>
      <c r="AC617" s="5"/>
      <c r="AG617" s="59"/>
    </row>
    <row r="618" customFormat="false" ht="14.25" hidden="false" customHeight="true" outlineLevel="0" collapsed="false">
      <c r="A618" s="29"/>
      <c r="B618" s="11"/>
      <c r="C618" s="11" t="s">
        <v>38</v>
      </c>
      <c r="D618" s="29"/>
      <c r="E618" s="4"/>
      <c r="G618" s="110"/>
      <c r="H618" s="43"/>
      <c r="I618" s="44"/>
      <c r="J618" s="44"/>
      <c r="Q618" s="44"/>
      <c r="R618" s="44"/>
      <c r="S618" s="44"/>
      <c r="T618" s="44"/>
      <c r="U618" s="44"/>
      <c r="V618" s="44"/>
      <c r="W618" s="44"/>
      <c r="X618" s="44"/>
      <c r="Y618" s="64"/>
      <c r="Z618" s="44"/>
      <c r="AA618" s="67"/>
      <c r="AB618" s="66"/>
      <c r="AC618" s="5"/>
      <c r="AG618" s="59"/>
    </row>
    <row r="619" customFormat="false" ht="19.4" hidden="false" customHeight="false" outlineLevel="0" collapsed="false">
      <c r="A619" s="29"/>
      <c r="B619" s="11" t="s">
        <v>106</v>
      </c>
      <c r="C619" s="11" t="s">
        <v>38</v>
      </c>
      <c r="D619" s="29" t="n">
        <v>550980</v>
      </c>
      <c r="E619" s="4" t="s">
        <v>671</v>
      </c>
      <c r="F619" s="4" t="s">
        <v>461</v>
      </c>
      <c r="G619" s="5" t="s">
        <v>53</v>
      </c>
      <c r="H619" s="43" t="n">
        <v>10112</v>
      </c>
      <c r="I619" s="44" t="n">
        <f aca="false">H619</f>
        <v>10112</v>
      </c>
      <c r="J619" s="44"/>
      <c r="K619" s="4" t="s">
        <v>672</v>
      </c>
      <c r="L619" s="7" t="n">
        <v>45708</v>
      </c>
      <c r="M619" s="8" t="n">
        <v>51185</v>
      </c>
      <c r="O619" s="8" t="n">
        <v>47534</v>
      </c>
      <c r="P619" s="8" t="n">
        <v>47898</v>
      </c>
      <c r="Q619" s="44" t="n">
        <v>550000</v>
      </c>
      <c r="R619" s="44" t="n">
        <f aca="false">Q619</f>
        <v>550000</v>
      </c>
      <c r="S619" s="44" t="n">
        <f aca="false">R619</f>
        <v>550000</v>
      </c>
      <c r="T619" s="44" t="n">
        <v>750000</v>
      </c>
      <c r="U619" s="44" t="n">
        <f aca="false">T619</f>
        <v>750000</v>
      </c>
      <c r="V619" s="44" t="n">
        <v>685000</v>
      </c>
      <c r="W619" s="44" t="n">
        <f aca="false">V619</f>
        <v>685000</v>
      </c>
      <c r="X619" s="45" t="n">
        <f aca="false">V619/H619</f>
        <v>67.7412974683544</v>
      </c>
      <c r="Y619" s="46" t="n">
        <f aca="false">SUM(V619-T619)/T619</f>
        <v>-0.0866666666666667</v>
      </c>
      <c r="Z619" s="44" t="s">
        <v>458</v>
      </c>
      <c r="AA619" s="67"/>
      <c r="AB619" s="44" t="n">
        <v>11800000</v>
      </c>
      <c r="AC619" s="5" t="s">
        <v>43</v>
      </c>
      <c r="AD619" s="4" t="s">
        <v>673</v>
      </c>
      <c r="AF619" s="4" t="n">
        <v>1</v>
      </c>
      <c r="AG619" s="59" t="n">
        <v>3</v>
      </c>
    </row>
    <row r="620" customFormat="false" ht="14.25" hidden="false" customHeight="true" outlineLevel="0" collapsed="false">
      <c r="A620" s="29"/>
      <c r="B620" s="11"/>
      <c r="C620" s="11" t="s">
        <v>38</v>
      </c>
      <c r="D620" s="29"/>
      <c r="E620" s="4"/>
      <c r="H620" s="43"/>
      <c r="I620" s="44"/>
      <c r="J620" s="44"/>
      <c r="Q620" s="44"/>
      <c r="R620" s="44"/>
      <c r="S620" s="44"/>
      <c r="T620" s="44"/>
      <c r="U620" s="44"/>
      <c r="V620" s="44"/>
      <c r="W620" s="44"/>
      <c r="X620" s="44"/>
      <c r="Y620" s="64"/>
      <c r="Z620" s="44"/>
      <c r="AA620" s="67"/>
      <c r="AB620" s="44"/>
      <c r="AC620" s="5"/>
      <c r="AG620" s="59"/>
    </row>
    <row r="621" customFormat="false" ht="14.25" hidden="false" customHeight="true" outlineLevel="0" collapsed="false">
      <c r="A621" s="29"/>
      <c r="B621" s="11"/>
      <c r="C621" s="11" t="s">
        <v>38</v>
      </c>
      <c r="D621" s="29"/>
      <c r="E621" s="4"/>
      <c r="F621" s="47" t="s">
        <v>674</v>
      </c>
      <c r="H621" s="48" t="n">
        <f aca="false">SUM(H619:H620)</f>
        <v>10112</v>
      </c>
      <c r="I621" s="43"/>
      <c r="J621" s="43"/>
      <c r="K621" s="49"/>
      <c r="L621" s="50"/>
      <c r="M621" s="51"/>
      <c r="N621" s="51"/>
      <c r="O621" s="51"/>
      <c r="P621" s="51"/>
      <c r="Q621" s="48" t="n">
        <f aca="false">SUM(Q619:Q620)</f>
        <v>550000</v>
      </c>
      <c r="R621" s="48"/>
      <c r="S621" s="48"/>
      <c r="T621" s="48" t="n">
        <f aca="false">SUM(T619:T620)</f>
        <v>750000</v>
      </c>
      <c r="U621" s="48"/>
      <c r="V621" s="48" t="n">
        <f aca="false">SUM(V619:V620)</f>
        <v>685000</v>
      </c>
      <c r="W621" s="48"/>
      <c r="X621" s="48"/>
      <c r="Y621" s="52"/>
      <c r="Z621" s="48"/>
      <c r="AA621" s="53"/>
      <c r="AB621" s="44"/>
      <c r="AC621" s="5"/>
      <c r="AG621" s="59"/>
    </row>
    <row r="622" customFormat="false" ht="14.25" hidden="false" customHeight="true" outlineLevel="0" collapsed="false">
      <c r="A622" s="29"/>
      <c r="B622" s="11"/>
      <c r="C622" s="11" t="s">
        <v>38</v>
      </c>
      <c r="D622" s="29"/>
      <c r="E622" s="4"/>
      <c r="G622" s="39" t="s">
        <v>675</v>
      </c>
      <c r="I622" s="9"/>
      <c r="J622" s="9"/>
      <c r="K622" s="40"/>
      <c r="T622" s="11"/>
      <c r="U622" s="9"/>
      <c r="V622" s="11"/>
      <c r="W622" s="9"/>
      <c r="X622" s="9"/>
      <c r="Y622" s="41"/>
      <c r="Z622" s="9"/>
      <c r="AA622" s="42"/>
      <c r="AB622" s="44"/>
      <c r="AC622" s="5"/>
      <c r="AG622" s="59"/>
    </row>
    <row r="623" customFormat="false" ht="14.25" hidden="false" customHeight="true" outlineLevel="0" collapsed="false">
      <c r="A623" s="29"/>
      <c r="B623" s="11"/>
      <c r="C623" s="11" t="s">
        <v>38</v>
      </c>
      <c r="D623" s="29"/>
      <c r="E623" s="4"/>
      <c r="G623" s="39"/>
      <c r="H623" s="85"/>
      <c r="I623" s="9"/>
      <c r="J623" s="9"/>
      <c r="K623" s="85"/>
      <c r="L623" s="132"/>
      <c r="M623" s="132"/>
      <c r="N623" s="132"/>
      <c r="O623" s="77"/>
      <c r="P623" s="77"/>
      <c r="T623" s="125"/>
      <c r="U623" s="9"/>
      <c r="V623" s="125"/>
      <c r="W623" s="9"/>
      <c r="X623" s="9"/>
      <c r="Y623" s="41"/>
      <c r="Z623" s="9"/>
      <c r="AA623" s="42"/>
      <c r="AB623" s="44"/>
      <c r="AC623" s="5"/>
      <c r="AD623" s="40"/>
      <c r="AF623" s="40"/>
      <c r="AG623" s="133"/>
      <c r="AH623" s="40"/>
    </row>
    <row r="624" customFormat="false" ht="24" hidden="false" customHeight="true" outlineLevel="0" collapsed="false">
      <c r="A624" s="29"/>
      <c r="B624" s="11" t="s">
        <v>37</v>
      </c>
      <c r="C624" s="11" t="s">
        <v>38</v>
      </c>
      <c r="D624" s="29" t="n">
        <v>100850</v>
      </c>
      <c r="E624" s="4" t="s">
        <v>675</v>
      </c>
      <c r="F624" s="4" t="s">
        <v>191</v>
      </c>
      <c r="G624" s="5" t="s">
        <v>676</v>
      </c>
      <c r="H624" s="6" t="n">
        <v>5200</v>
      </c>
      <c r="I624" s="6" t="n">
        <f aca="false">H624</f>
        <v>5200</v>
      </c>
      <c r="J624" s="6" t="n">
        <v>5000</v>
      </c>
      <c r="K624" s="4" t="s">
        <v>677</v>
      </c>
      <c r="L624" s="7" t="n">
        <v>45776</v>
      </c>
      <c r="M624" s="8" t="n">
        <v>49427</v>
      </c>
      <c r="O624" s="8" t="n">
        <v>47602</v>
      </c>
      <c r="P624" s="8" t="n">
        <v>47601</v>
      </c>
      <c r="Q624" s="9" t="n">
        <v>0</v>
      </c>
      <c r="R624" s="9" t="n">
        <f aca="false">Q624</f>
        <v>0</v>
      </c>
      <c r="T624" s="125" t="n">
        <v>616000</v>
      </c>
      <c r="U624" s="9" t="n">
        <f aca="false">T624</f>
        <v>616000</v>
      </c>
      <c r="V624" s="125" t="n">
        <v>617000</v>
      </c>
      <c r="W624" s="9" t="n">
        <f aca="false">V624</f>
        <v>617000</v>
      </c>
      <c r="X624" s="45" t="n">
        <f aca="false">V624/H624</f>
        <v>118.653846153846</v>
      </c>
      <c r="Y624" s="46" t="n">
        <f aca="false">SUM(V624-T624)/T624</f>
        <v>0.00162337662337662</v>
      </c>
      <c r="Z624" s="9" t="s">
        <v>55</v>
      </c>
      <c r="AA624" s="42"/>
      <c r="AB624" s="44"/>
      <c r="AC624" s="5" t="s">
        <v>43</v>
      </c>
      <c r="AD624" s="4" t="s">
        <v>678</v>
      </c>
      <c r="AF624" s="4" t="n">
        <v>1</v>
      </c>
      <c r="AG624" s="59" t="n">
        <v>3</v>
      </c>
      <c r="AH624" s="4" t="s">
        <v>57</v>
      </c>
    </row>
    <row r="625" customFormat="false" ht="24" hidden="false" customHeight="true" outlineLevel="0" collapsed="false">
      <c r="A625" s="29"/>
      <c r="B625" s="11" t="s">
        <v>37</v>
      </c>
      <c r="C625" s="11" t="s">
        <v>38</v>
      </c>
      <c r="D625" s="29" t="n">
        <v>100850</v>
      </c>
      <c r="E625" s="4" t="s">
        <v>675</v>
      </c>
      <c r="F625" s="4" t="s">
        <v>679</v>
      </c>
      <c r="G625" s="5" t="s">
        <v>281</v>
      </c>
      <c r="H625" s="95" t="n">
        <v>85</v>
      </c>
      <c r="I625" s="6" t="n">
        <f aca="false">H625</f>
        <v>85</v>
      </c>
      <c r="K625" s="134" t="s">
        <v>680</v>
      </c>
      <c r="L625" s="7" t="n">
        <v>45589</v>
      </c>
      <c r="M625" s="7" t="n">
        <v>45953</v>
      </c>
      <c r="N625" s="7"/>
      <c r="Q625" s="9" t="n">
        <v>68250</v>
      </c>
      <c r="R625" s="9" t="n">
        <f aca="false">Q625</f>
        <v>68250</v>
      </c>
      <c r="T625" s="125" t="n">
        <v>65000</v>
      </c>
      <c r="U625" s="9" t="n">
        <f aca="false">T625</f>
        <v>65000</v>
      </c>
      <c r="V625" s="125" t="n">
        <v>0</v>
      </c>
      <c r="W625" s="9" t="n">
        <f aca="false">V625</f>
        <v>0</v>
      </c>
      <c r="X625" s="45" t="n">
        <f aca="false">V625/H625</f>
        <v>0</v>
      </c>
      <c r="Y625" s="46" t="n">
        <f aca="false">SUM(V625-T625)/T625</f>
        <v>-1</v>
      </c>
      <c r="Z625" s="9"/>
      <c r="AA625" s="42"/>
      <c r="AB625" s="44"/>
      <c r="AC625" s="5" t="s">
        <v>43</v>
      </c>
      <c r="AD625" s="40" t="s">
        <v>681</v>
      </c>
      <c r="AF625" s="40"/>
      <c r="AG625" s="133"/>
      <c r="AH625" s="40"/>
    </row>
    <row r="626" customFormat="false" ht="13.5" hidden="false" customHeight="false" outlineLevel="0" collapsed="false">
      <c r="A626" s="29"/>
      <c r="B626" s="11" t="s">
        <v>37</v>
      </c>
      <c r="C626" s="11" t="s">
        <v>38</v>
      </c>
      <c r="D626" s="29" t="n">
        <v>100850</v>
      </c>
      <c r="E626" s="4" t="s">
        <v>675</v>
      </c>
      <c r="F626" s="4" t="s">
        <v>682</v>
      </c>
      <c r="G626" s="5" t="s">
        <v>242</v>
      </c>
      <c r="H626" s="95" t="n">
        <v>4011</v>
      </c>
      <c r="I626" s="6" t="n">
        <f aca="false">H626</f>
        <v>4011</v>
      </c>
      <c r="J626" s="6" t="n">
        <v>4000</v>
      </c>
      <c r="K626" s="4" t="s">
        <v>683</v>
      </c>
      <c r="L626" s="7" t="n">
        <v>44204</v>
      </c>
      <c r="M626" s="8" t="n">
        <v>47855</v>
      </c>
      <c r="O626" s="8" t="n">
        <v>46030</v>
      </c>
      <c r="Q626" s="9" t="n">
        <v>130000</v>
      </c>
      <c r="R626" s="9" t="n">
        <f aca="false">Q626</f>
        <v>130000</v>
      </c>
      <c r="T626" s="125" t="n">
        <v>130000</v>
      </c>
      <c r="U626" s="9" t="n">
        <f aca="false">T626</f>
        <v>130000</v>
      </c>
      <c r="V626" s="125" t="n">
        <v>130000</v>
      </c>
      <c r="W626" s="9" t="n">
        <f aca="false">V626</f>
        <v>130000</v>
      </c>
      <c r="X626" s="45" t="n">
        <f aca="false">V626/H626</f>
        <v>32.4108701072052</v>
      </c>
      <c r="Y626" s="46" t="n">
        <f aca="false">SUM(V626-T626)/T626</f>
        <v>0</v>
      </c>
      <c r="Z626" s="9" t="s">
        <v>55</v>
      </c>
      <c r="AA626" s="42"/>
      <c r="AB626" s="44"/>
      <c r="AC626" s="5" t="s">
        <v>43</v>
      </c>
      <c r="AD626" s="40"/>
      <c r="AF626" s="40"/>
      <c r="AG626" s="133"/>
      <c r="AH626" s="40"/>
    </row>
    <row r="627" customFormat="false" ht="14.25" hidden="false" customHeight="true" outlineLevel="0" collapsed="false">
      <c r="A627" s="29"/>
      <c r="B627" s="11"/>
      <c r="C627" s="11" t="s">
        <v>38</v>
      </c>
      <c r="D627" s="29"/>
      <c r="E627" s="4"/>
      <c r="G627" s="4"/>
      <c r="H627" s="95"/>
      <c r="I627" s="9"/>
      <c r="J627" s="9"/>
      <c r="K627" s="134"/>
      <c r="M627" s="7"/>
      <c r="N627" s="7"/>
      <c r="T627" s="125"/>
      <c r="U627" s="9"/>
      <c r="V627" s="125"/>
      <c r="W627" s="9"/>
      <c r="X627" s="9"/>
      <c r="Y627" s="41"/>
      <c r="Z627" s="9"/>
      <c r="AA627" s="42"/>
      <c r="AB627" s="44"/>
      <c r="AC627" s="5"/>
      <c r="AD627" s="40"/>
      <c r="AF627" s="40"/>
      <c r="AG627" s="133"/>
      <c r="AH627" s="40"/>
    </row>
    <row r="628" customFormat="false" ht="14.25" hidden="false" customHeight="true" outlineLevel="0" collapsed="false">
      <c r="A628" s="29"/>
      <c r="B628" s="11"/>
      <c r="C628" s="11" t="s">
        <v>38</v>
      </c>
      <c r="D628" s="29"/>
      <c r="E628" s="4"/>
      <c r="F628" s="47" t="s">
        <v>675</v>
      </c>
      <c r="G628" s="4"/>
      <c r="H628" s="78" t="n">
        <f aca="false">SUM(H624:H626)</f>
        <v>9296</v>
      </c>
      <c r="I628" s="44"/>
      <c r="J628" s="44"/>
      <c r="K628" s="134"/>
      <c r="M628" s="7"/>
      <c r="N628" s="7"/>
      <c r="Q628" s="44" t="n">
        <f aca="false">SUM(Q624:Q626)</f>
        <v>198250</v>
      </c>
      <c r="R628" s="44"/>
      <c r="S628" s="44" t="n">
        <f aca="false">SUM(R622:R627)</f>
        <v>198250</v>
      </c>
      <c r="T628" s="128" t="n">
        <f aca="false">SUM(T624:T626)</f>
        <v>811000</v>
      </c>
      <c r="U628" s="44"/>
      <c r="V628" s="128" t="n">
        <f aca="false">SUM(V624:V626)</f>
        <v>747000</v>
      </c>
      <c r="W628" s="44"/>
      <c r="X628" s="44"/>
      <c r="Y628" s="64"/>
      <c r="Z628" s="44"/>
      <c r="AA628" s="67"/>
      <c r="AB628" s="44" t="n">
        <v>12075000</v>
      </c>
      <c r="AC628" s="5"/>
      <c r="AF628" s="60"/>
      <c r="AG628" s="62"/>
      <c r="AH628" s="60"/>
    </row>
    <row r="629" customFormat="false" ht="14.25" hidden="false" customHeight="true" outlineLevel="0" collapsed="false">
      <c r="A629" s="29"/>
      <c r="B629" s="11"/>
      <c r="C629" s="11" t="s">
        <v>38</v>
      </c>
      <c r="D629" s="29"/>
      <c r="E629" s="4"/>
      <c r="F629" s="49"/>
      <c r="G629" s="4"/>
      <c r="H629" s="78"/>
      <c r="I629" s="44"/>
      <c r="J629" s="44"/>
      <c r="K629" s="134"/>
      <c r="M629" s="7"/>
      <c r="N629" s="7"/>
      <c r="Q629" s="44"/>
      <c r="R629" s="44"/>
      <c r="S629" s="44"/>
      <c r="T629" s="128"/>
      <c r="U629" s="44"/>
      <c r="V629" s="128"/>
      <c r="W629" s="44"/>
      <c r="X629" s="44"/>
      <c r="Y629" s="64"/>
      <c r="Z629" s="44"/>
      <c r="AA629" s="67"/>
      <c r="AB629" s="66"/>
      <c r="AC629" s="5"/>
      <c r="AD629" s="40"/>
      <c r="AF629" s="40"/>
      <c r="AG629" s="133"/>
      <c r="AH629" s="40"/>
    </row>
    <row r="630" customFormat="false" ht="14.25" hidden="false" customHeight="true" outlineLevel="0" collapsed="false">
      <c r="A630" s="29"/>
      <c r="B630" s="11"/>
      <c r="C630" s="11" t="s">
        <v>38</v>
      </c>
      <c r="D630" s="29"/>
      <c r="E630" s="4"/>
      <c r="G630" s="4"/>
      <c r="H630" s="78"/>
      <c r="I630" s="44"/>
      <c r="J630" s="44"/>
      <c r="K630" s="134"/>
      <c r="M630" s="7"/>
      <c r="N630" s="7"/>
      <c r="Q630" s="44"/>
      <c r="R630" s="44"/>
      <c r="S630" s="44"/>
      <c r="T630" s="128"/>
      <c r="U630" s="44"/>
      <c r="V630" s="128"/>
      <c r="W630" s="44"/>
      <c r="X630" s="44"/>
      <c r="Y630" s="64"/>
      <c r="Z630" s="44"/>
      <c r="AA630" s="67"/>
      <c r="AB630" s="66"/>
      <c r="AC630" s="5"/>
      <c r="AD630" s="40"/>
      <c r="AF630" s="40"/>
      <c r="AG630" s="133"/>
      <c r="AH630" s="40"/>
    </row>
    <row r="631" customFormat="false" ht="14.25" hidden="false" customHeight="true" outlineLevel="0" collapsed="false">
      <c r="A631" s="29"/>
      <c r="B631" s="11"/>
      <c r="C631" s="11" t="s">
        <v>38</v>
      </c>
      <c r="D631" s="29"/>
      <c r="E631" s="4"/>
      <c r="G631" s="39" t="s">
        <v>684</v>
      </c>
      <c r="I631" s="9"/>
      <c r="J631" s="9"/>
      <c r="K631" s="40"/>
      <c r="T631" s="11"/>
      <c r="U631" s="9"/>
      <c r="V631" s="11"/>
      <c r="W631" s="9"/>
      <c r="X631" s="9"/>
      <c r="Y631" s="41"/>
      <c r="Z631" s="9"/>
      <c r="AA631" s="42"/>
      <c r="AB631" s="14"/>
      <c r="AC631" s="5"/>
      <c r="AG631" s="59"/>
    </row>
    <row r="632" customFormat="false" ht="14.25" hidden="false" customHeight="true" outlineLevel="0" collapsed="false">
      <c r="A632" s="29"/>
      <c r="B632" s="11"/>
      <c r="C632" s="11" t="s">
        <v>38</v>
      </c>
      <c r="D632" s="29"/>
      <c r="E632" s="4"/>
      <c r="G632" s="111"/>
      <c r="H632" s="85"/>
      <c r="I632" s="44"/>
      <c r="J632" s="44"/>
      <c r="K632" s="135"/>
      <c r="Q632" s="44"/>
      <c r="R632" s="44"/>
      <c r="S632" s="44"/>
      <c r="T632" s="44"/>
      <c r="U632" s="44"/>
      <c r="V632" s="44"/>
      <c r="W632" s="44"/>
      <c r="X632" s="44"/>
      <c r="Y632" s="64"/>
      <c r="Z632" s="44"/>
      <c r="AA632" s="67"/>
      <c r="AB632" s="66"/>
      <c r="AC632" s="5"/>
      <c r="AG632" s="59"/>
    </row>
    <row r="633" customFormat="false" ht="28.5" hidden="false" customHeight="true" outlineLevel="0" collapsed="false">
      <c r="A633" s="29"/>
      <c r="B633" s="11" t="s">
        <v>37</v>
      </c>
      <c r="C633" s="11" t="s">
        <v>38</v>
      </c>
      <c r="D633" s="29" t="n">
        <v>100670</v>
      </c>
      <c r="E633" s="4" t="s">
        <v>684</v>
      </c>
      <c r="F633" s="4" t="s">
        <v>685</v>
      </c>
      <c r="G633" s="5" t="s">
        <v>49</v>
      </c>
      <c r="H633" s="6" t="n">
        <v>3348</v>
      </c>
      <c r="I633" s="9" t="n">
        <f aca="false">H633</f>
        <v>3348</v>
      </c>
      <c r="J633" s="9" t="n">
        <v>3250</v>
      </c>
      <c r="K633" s="4" t="s">
        <v>686</v>
      </c>
      <c r="L633" s="7" t="n">
        <v>45600</v>
      </c>
      <c r="M633" s="8" t="n">
        <v>49251</v>
      </c>
      <c r="O633" s="8" t="n">
        <v>47426</v>
      </c>
      <c r="P633" s="8" t="n">
        <v>47790</v>
      </c>
      <c r="Q633" s="9" t="n">
        <v>260000</v>
      </c>
      <c r="R633" s="9" t="n">
        <f aca="false">Q633</f>
        <v>260000</v>
      </c>
      <c r="T633" s="9" t="n">
        <v>522500</v>
      </c>
      <c r="U633" s="9" t="n">
        <f aca="false">T633</f>
        <v>522500</v>
      </c>
      <c r="V633" s="9" t="n">
        <v>522500</v>
      </c>
      <c r="W633" s="9" t="n">
        <f aca="false">V633</f>
        <v>522500</v>
      </c>
      <c r="X633" s="45" t="n">
        <f aca="false">V633/H633</f>
        <v>156.063321385902</v>
      </c>
      <c r="Y633" s="46" t="n">
        <f aca="false">SUM(V633-T633)/T633</f>
        <v>0</v>
      </c>
      <c r="Z633" s="9" t="s">
        <v>55</v>
      </c>
      <c r="AA633" s="42"/>
      <c r="AB633" s="66"/>
      <c r="AC633" s="5" t="s">
        <v>43</v>
      </c>
      <c r="AD633" s="4" t="s">
        <v>687</v>
      </c>
      <c r="AE633" s="58"/>
      <c r="AF633" s="60"/>
      <c r="AG633" s="62"/>
      <c r="AH633" s="60"/>
    </row>
    <row r="634" customFormat="false" ht="13.5" hidden="false" customHeight="false" outlineLevel="0" collapsed="false">
      <c r="A634" s="29"/>
      <c r="B634" s="11" t="s">
        <v>37</v>
      </c>
      <c r="C634" s="11" t="s">
        <v>38</v>
      </c>
      <c r="D634" s="29" t="n">
        <v>100670</v>
      </c>
      <c r="E634" s="4" t="s">
        <v>684</v>
      </c>
      <c r="F634" s="4" t="s">
        <v>233</v>
      </c>
      <c r="G634" s="5" t="s">
        <v>606</v>
      </c>
      <c r="H634" s="6" t="n">
        <v>2964</v>
      </c>
      <c r="I634" s="9" t="n">
        <f aca="false">H634</f>
        <v>2964</v>
      </c>
      <c r="J634" s="9" t="n">
        <v>3000</v>
      </c>
      <c r="K634" s="4" t="s">
        <v>67</v>
      </c>
      <c r="N634" s="8" t="n">
        <v>42593</v>
      </c>
      <c r="Q634" s="9" t="n">
        <v>0</v>
      </c>
      <c r="R634" s="9" t="n">
        <f aca="false">Q634</f>
        <v>0</v>
      </c>
      <c r="T634" s="9" t="n">
        <v>115000</v>
      </c>
      <c r="U634" s="9" t="n">
        <f aca="false">T634</f>
        <v>115000</v>
      </c>
      <c r="V634" s="9" t="n">
        <v>115000</v>
      </c>
      <c r="W634" s="9" t="n">
        <f aca="false">V634</f>
        <v>115000</v>
      </c>
      <c r="X634" s="45" t="n">
        <f aca="false">V634/H634</f>
        <v>38.7989203778677</v>
      </c>
      <c r="Y634" s="46" t="n">
        <f aca="false">SUM(V634-T634)/T634</f>
        <v>0</v>
      </c>
      <c r="Z634" s="9" t="s">
        <v>127</v>
      </c>
      <c r="AA634" s="42"/>
      <c r="AB634" s="66"/>
      <c r="AC634" s="5" t="s">
        <v>43</v>
      </c>
      <c r="AD634" s="4" t="s">
        <v>119</v>
      </c>
      <c r="AG634" s="59"/>
    </row>
    <row r="635" customFormat="false" ht="14.25" hidden="false" customHeight="true" outlineLevel="0" collapsed="false">
      <c r="A635" s="29"/>
      <c r="B635" s="11"/>
      <c r="C635" s="11" t="s">
        <v>38</v>
      </c>
      <c r="D635" s="29"/>
      <c r="E635" s="4"/>
      <c r="I635" s="9"/>
      <c r="J635" s="9"/>
      <c r="T635" s="9"/>
      <c r="U635" s="9"/>
      <c r="V635" s="9"/>
      <c r="W635" s="9"/>
      <c r="X635" s="45"/>
      <c r="Y635" s="41"/>
      <c r="Z635" s="9"/>
      <c r="AA635" s="42"/>
      <c r="AB635" s="66"/>
      <c r="AC635" s="5"/>
      <c r="AG635" s="59"/>
    </row>
    <row r="636" customFormat="false" ht="14.25" hidden="false" customHeight="true" outlineLevel="0" collapsed="false">
      <c r="A636" s="29"/>
      <c r="B636" s="11"/>
      <c r="C636" s="11" t="s">
        <v>38</v>
      </c>
      <c r="D636" s="29"/>
      <c r="E636" s="4"/>
      <c r="F636" s="47" t="s">
        <v>688</v>
      </c>
      <c r="G636" s="110"/>
      <c r="H636" s="43" t="n">
        <f aca="false">SUM(H633:H634)</f>
        <v>6312</v>
      </c>
      <c r="I636" s="44"/>
      <c r="J636" s="44"/>
      <c r="Q636" s="44" t="n">
        <f aca="false">SUM(Q633:Q634)</f>
        <v>260000</v>
      </c>
      <c r="R636" s="44"/>
      <c r="S636" s="44" t="n">
        <f aca="false">SUM(R632:R635)</f>
        <v>260000</v>
      </c>
      <c r="T636" s="44" t="n">
        <f aca="false">SUM(T633:T634)</f>
        <v>637500</v>
      </c>
      <c r="U636" s="44"/>
      <c r="V636" s="44" t="n">
        <f aca="false">SUM(V633:V634)</f>
        <v>637500</v>
      </c>
      <c r="W636" s="44"/>
      <c r="X636" s="44"/>
      <c r="Y636" s="64"/>
      <c r="Z636" s="44"/>
      <c r="AA636" s="67"/>
      <c r="AB636" s="44" t="n">
        <v>9725000</v>
      </c>
      <c r="AC636" s="5"/>
      <c r="AF636" s="60"/>
      <c r="AG636" s="62"/>
      <c r="AH636" s="60"/>
    </row>
    <row r="637" customFormat="false" ht="14.25" hidden="false" customHeight="true" outlineLevel="0" collapsed="false">
      <c r="A637" s="29"/>
      <c r="B637" s="11"/>
      <c r="C637" s="11" t="s">
        <v>38</v>
      </c>
      <c r="D637" s="29"/>
      <c r="E637" s="4"/>
      <c r="G637" s="110"/>
      <c r="H637" s="43"/>
      <c r="I637" s="44"/>
      <c r="J637" s="44"/>
      <c r="Q637" s="44"/>
      <c r="R637" s="44"/>
      <c r="S637" s="44"/>
      <c r="T637" s="44"/>
      <c r="U637" s="44"/>
      <c r="V637" s="44"/>
      <c r="W637" s="44"/>
      <c r="X637" s="44"/>
      <c r="Y637" s="64"/>
      <c r="Z637" s="44"/>
      <c r="AA637" s="67"/>
      <c r="AB637" s="44"/>
      <c r="AC637" s="5"/>
      <c r="AG637" s="59"/>
    </row>
    <row r="638" customFormat="false" ht="14.25" hidden="false" customHeight="true" outlineLevel="0" collapsed="false">
      <c r="A638" s="29"/>
      <c r="B638" s="11"/>
      <c r="C638" s="11" t="s">
        <v>38</v>
      </c>
      <c r="D638" s="29"/>
      <c r="E638" s="4"/>
      <c r="G638" s="39" t="s">
        <v>689</v>
      </c>
      <c r="I638" s="9"/>
      <c r="J638" s="9"/>
      <c r="K638" s="40"/>
      <c r="T638" s="11"/>
      <c r="U638" s="9"/>
      <c r="V638" s="11"/>
      <c r="W638" s="9"/>
      <c r="X638" s="9"/>
      <c r="Y638" s="41"/>
      <c r="Z638" s="9"/>
      <c r="AA638" s="42"/>
      <c r="AB638" s="44"/>
      <c r="AC638" s="5"/>
      <c r="AG638" s="59"/>
    </row>
    <row r="639" customFormat="false" ht="14.25" hidden="false" customHeight="true" outlineLevel="0" collapsed="false">
      <c r="A639" s="29"/>
      <c r="B639" s="11"/>
      <c r="C639" s="11" t="s">
        <v>38</v>
      </c>
      <c r="D639" s="29"/>
      <c r="E639" s="4"/>
      <c r="G639" s="111"/>
      <c r="H639" s="85"/>
      <c r="I639" s="44"/>
      <c r="J639" s="44"/>
      <c r="K639" s="135"/>
      <c r="Q639" s="44"/>
      <c r="R639" s="44"/>
      <c r="S639" s="44"/>
      <c r="T639" s="44"/>
      <c r="U639" s="44"/>
      <c r="V639" s="44"/>
      <c r="W639" s="44"/>
      <c r="X639" s="44"/>
      <c r="Y639" s="64"/>
      <c r="Z639" s="44"/>
      <c r="AA639" s="67"/>
      <c r="AB639" s="44"/>
      <c r="AC639" s="5"/>
      <c r="AG639" s="59"/>
    </row>
    <row r="640" customFormat="false" ht="24" hidden="false" customHeight="true" outlineLevel="0" collapsed="false">
      <c r="A640" s="29"/>
      <c r="B640" s="11" t="s">
        <v>37</v>
      </c>
      <c r="C640" s="11" t="s">
        <v>38</v>
      </c>
      <c r="D640" s="29" t="n">
        <v>100650</v>
      </c>
      <c r="E640" s="4" t="s">
        <v>689</v>
      </c>
      <c r="F640" s="4" t="s">
        <v>690</v>
      </c>
      <c r="G640" s="5" t="s">
        <v>49</v>
      </c>
      <c r="H640" s="43" t="n">
        <v>61433</v>
      </c>
      <c r="I640" s="9" t="n">
        <f aca="false">H640</f>
        <v>61433</v>
      </c>
      <c r="J640" s="9" t="n">
        <v>60000</v>
      </c>
      <c r="K640" s="4" t="s">
        <v>691</v>
      </c>
      <c r="L640" s="7" t="n">
        <v>40925</v>
      </c>
      <c r="M640" s="8" t="n">
        <v>46403</v>
      </c>
      <c r="O640" s="8" t="n">
        <v>44578</v>
      </c>
      <c r="Q640" s="44" t="n">
        <v>4275000</v>
      </c>
      <c r="R640" s="9" t="n">
        <f aca="false">Q640</f>
        <v>4275000</v>
      </c>
      <c r="S640" s="44" t="n">
        <f aca="false">R640</f>
        <v>4275000</v>
      </c>
      <c r="T640" s="44" t="n">
        <v>2569000</v>
      </c>
      <c r="U640" s="9" t="n">
        <f aca="false">T640</f>
        <v>2569000</v>
      </c>
      <c r="V640" s="44" t="n">
        <v>3039000</v>
      </c>
      <c r="W640" s="9" t="n">
        <f aca="false">V640</f>
        <v>3039000</v>
      </c>
      <c r="X640" s="45" t="n">
        <f aca="false">V640/H640</f>
        <v>49.4685266876109</v>
      </c>
      <c r="Y640" s="46" t="n">
        <f aca="false">SUM(V640-T640)/T640</f>
        <v>0.182950564421954</v>
      </c>
      <c r="Z640" s="9" t="s">
        <v>55</v>
      </c>
      <c r="AA640" s="42"/>
      <c r="AB640" s="44" t="n">
        <v>66775000</v>
      </c>
      <c r="AC640" s="5" t="s">
        <v>170</v>
      </c>
      <c r="AD640" s="4" t="s">
        <v>692</v>
      </c>
      <c r="AG640" s="59"/>
    </row>
    <row r="641" customFormat="false" ht="14.25" hidden="false" customHeight="true" outlineLevel="0" collapsed="false">
      <c r="A641" s="29"/>
      <c r="B641" s="11"/>
      <c r="C641" s="11" t="s">
        <v>38</v>
      </c>
      <c r="D641" s="29"/>
      <c r="E641" s="4"/>
      <c r="H641" s="43"/>
      <c r="I641" s="44"/>
      <c r="J641" s="44"/>
      <c r="Q641" s="44"/>
      <c r="R641" s="44"/>
      <c r="S641" s="44"/>
      <c r="T641" s="44"/>
      <c r="U641" s="44"/>
      <c r="V641" s="44"/>
      <c r="W641" s="44"/>
      <c r="X641" s="44"/>
      <c r="Y641" s="64"/>
      <c r="Z641" s="44"/>
      <c r="AA641" s="67"/>
      <c r="AB641" s="66"/>
      <c r="AC641" s="5"/>
      <c r="AG641" s="59"/>
    </row>
    <row r="642" customFormat="false" ht="14.25" hidden="false" customHeight="true" outlineLevel="0" collapsed="false">
      <c r="A642" s="29"/>
      <c r="B642" s="11"/>
      <c r="C642" s="11" t="s">
        <v>38</v>
      </c>
      <c r="D642" s="29"/>
      <c r="E642" s="4"/>
      <c r="F642" s="94"/>
      <c r="H642" s="48"/>
      <c r="I642" s="43"/>
      <c r="J642" s="43"/>
      <c r="K642" s="49"/>
      <c r="L642" s="50"/>
      <c r="M642" s="51"/>
      <c r="N642" s="51"/>
      <c r="O642" s="51"/>
      <c r="P642" s="51"/>
      <c r="Q642" s="48" t="n">
        <f aca="false">SUM(Q640:Q641)</f>
        <v>4275000</v>
      </c>
      <c r="R642" s="48"/>
      <c r="S642" s="48"/>
      <c r="T642" s="48" t="n">
        <f aca="false">SUM(T640:T641)</f>
        <v>2569000</v>
      </c>
      <c r="U642" s="48"/>
      <c r="V642" s="48" t="n">
        <f aca="false">SUM(V640:V641)</f>
        <v>3039000</v>
      </c>
      <c r="W642" s="48"/>
      <c r="X642" s="48"/>
      <c r="Y642" s="52"/>
      <c r="Z642" s="48"/>
      <c r="AA642" s="53"/>
      <c r="AB642" s="54"/>
      <c r="AC642" s="5"/>
      <c r="AG642" s="59"/>
    </row>
    <row r="643" customFormat="false" ht="14.25" hidden="false" customHeight="true" outlineLevel="0" collapsed="false">
      <c r="A643" s="29"/>
      <c r="B643" s="11"/>
      <c r="C643" s="11" t="s">
        <v>38</v>
      </c>
      <c r="D643" s="29"/>
      <c r="E643" s="4"/>
      <c r="G643" s="39" t="s">
        <v>693</v>
      </c>
      <c r="I643" s="9"/>
      <c r="J643" s="9"/>
      <c r="K643" s="40"/>
      <c r="L643" s="136"/>
      <c r="T643" s="11"/>
      <c r="U643" s="9"/>
      <c r="V643" s="11"/>
      <c r="W643" s="9"/>
      <c r="X643" s="9"/>
      <c r="Y643" s="41"/>
      <c r="Z643" s="9"/>
      <c r="AA643" s="42"/>
      <c r="AB643" s="14"/>
      <c r="AC643" s="5"/>
      <c r="AG643" s="59"/>
    </row>
    <row r="644" customFormat="false" ht="14.25" hidden="false" customHeight="true" outlineLevel="0" collapsed="false">
      <c r="A644" s="29"/>
      <c r="B644" s="11"/>
      <c r="C644" s="11" t="s">
        <v>38</v>
      </c>
      <c r="D644" s="29"/>
      <c r="E644" s="4"/>
      <c r="F644" s="79"/>
      <c r="G644" s="111"/>
      <c r="H644" s="85"/>
      <c r="I644" s="137"/>
      <c r="J644" s="137"/>
      <c r="K644" s="85"/>
      <c r="L644" s="80"/>
      <c r="M644" s="80"/>
      <c r="N644" s="80"/>
      <c r="O644" s="80"/>
      <c r="P644" s="80"/>
      <c r="Q644" s="137"/>
      <c r="R644" s="137"/>
      <c r="S644" s="137"/>
      <c r="T644" s="137"/>
      <c r="U644" s="137"/>
      <c r="V644" s="137"/>
      <c r="W644" s="137"/>
      <c r="X644" s="137"/>
      <c r="Y644" s="138"/>
      <c r="Z644" s="137"/>
      <c r="AA644" s="67"/>
      <c r="AB644" s="139"/>
      <c r="AC644" s="5"/>
      <c r="AD644" s="79"/>
      <c r="AE644" s="140"/>
      <c r="AF644" s="79"/>
      <c r="AG644" s="141"/>
      <c r="AH644" s="79"/>
    </row>
    <row r="645" customFormat="false" ht="28.5" hidden="false" customHeight="true" outlineLevel="0" collapsed="false">
      <c r="A645" s="29"/>
      <c r="B645" s="11" t="s">
        <v>37</v>
      </c>
      <c r="C645" s="11" t="s">
        <v>38</v>
      </c>
      <c r="D645" s="29" t="n">
        <v>100650</v>
      </c>
      <c r="E645" s="4" t="s">
        <v>694</v>
      </c>
      <c r="F645" s="4" t="s">
        <v>695</v>
      </c>
      <c r="G645" s="5" t="s">
        <v>165</v>
      </c>
      <c r="H645" s="6" t="n">
        <v>114</v>
      </c>
      <c r="I645" s="6" t="n">
        <f aca="false">H645</f>
        <v>114</v>
      </c>
      <c r="K645" s="4" t="s">
        <v>696</v>
      </c>
      <c r="Q645" s="9" t="n">
        <v>0</v>
      </c>
      <c r="R645" s="9" t="n">
        <f aca="false">Q645</f>
        <v>0</v>
      </c>
      <c r="T645" s="9" t="n">
        <v>2007</v>
      </c>
      <c r="U645" s="9" t="n">
        <f aca="false">T645</f>
        <v>2007</v>
      </c>
      <c r="V645" s="9" t="n">
        <v>2007</v>
      </c>
      <c r="W645" s="9" t="n">
        <f aca="false">V645</f>
        <v>2007</v>
      </c>
      <c r="X645" s="45" t="n">
        <f aca="false">V645/H645</f>
        <v>17.6052631578947</v>
      </c>
      <c r="Y645" s="46" t="n">
        <f aca="false">SUM(V645-T645)/T645</f>
        <v>0</v>
      </c>
      <c r="Z645" s="9"/>
      <c r="AA645" s="42"/>
      <c r="AB645" s="14"/>
      <c r="AC645" s="5" t="s">
        <v>43</v>
      </c>
      <c r="AG645" s="59"/>
    </row>
    <row r="646" customFormat="false" ht="28.5" hidden="false" customHeight="true" outlineLevel="0" collapsed="false">
      <c r="A646" s="29"/>
      <c r="B646" s="11" t="s">
        <v>37</v>
      </c>
      <c r="C646" s="11" t="s">
        <v>38</v>
      </c>
      <c r="D646" s="29" t="n">
        <v>100650</v>
      </c>
      <c r="E646" s="4" t="s">
        <v>694</v>
      </c>
      <c r="F646" s="4" t="s">
        <v>697</v>
      </c>
      <c r="G646" s="5" t="s">
        <v>165</v>
      </c>
      <c r="H646" s="6" t="n">
        <v>454</v>
      </c>
      <c r="I646" s="6" t="n">
        <f aca="false">H646</f>
        <v>454</v>
      </c>
      <c r="K646" s="4" t="s">
        <v>698</v>
      </c>
      <c r="L646" s="7" t="n">
        <v>45685</v>
      </c>
      <c r="M646" s="8" t="n">
        <v>47358</v>
      </c>
      <c r="P646" s="8" t="n">
        <v>46627</v>
      </c>
      <c r="Q646" s="9" t="n">
        <v>18000</v>
      </c>
      <c r="R646" s="9" t="n">
        <f aca="false">Q646</f>
        <v>18000</v>
      </c>
      <c r="T646" s="9" t="n">
        <v>7993</v>
      </c>
      <c r="U646" s="9"/>
      <c r="V646" s="9" t="n">
        <v>7993</v>
      </c>
      <c r="W646" s="9"/>
      <c r="X646" s="45" t="n">
        <f aca="false">V646/H646</f>
        <v>17.6057268722467</v>
      </c>
      <c r="Y646" s="46" t="n">
        <f aca="false">SUM(V646-T646)/T646</f>
        <v>0</v>
      </c>
      <c r="Z646" s="9"/>
      <c r="AA646" s="42"/>
      <c r="AB646" s="14"/>
      <c r="AC646" s="5"/>
      <c r="AD646" s="4" t="s">
        <v>77</v>
      </c>
      <c r="AG646" s="59"/>
    </row>
    <row r="647" customFormat="false" ht="24" hidden="false" customHeight="true" outlineLevel="0" collapsed="false">
      <c r="A647" s="29"/>
      <c r="B647" s="11" t="s">
        <v>37</v>
      </c>
      <c r="C647" s="11" t="s">
        <v>38</v>
      </c>
      <c r="D647" s="29" t="n">
        <v>100650</v>
      </c>
      <c r="E647" s="4" t="s">
        <v>694</v>
      </c>
      <c r="F647" s="4" t="s">
        <v>124</v>
      </c>
      <c r="G647" s="5" t="s">
        <v>699</v>
      </c>
      <c r="H647" s="6" t="n">
        <v>780</v>
      </c>
      <c r="I647" s="6" t="n">
        <f aca="false">H647</f>
        <v>780</v>
      </c>
      <c r="J647" s="6" t="n">
        <v>750</v>
      </c>
      <c r="K647" s="4" t="s">
        <v>416</v>
      </c>
      <c r="L647" s="7" t="n">
        <v>44562</v>
      </c>
      <c r="M647" s="8" t="n">
        <v>46752</v>
      </c>
      <c r="O647" s="8" t="n">
        <v>45292</v>
      </c>
      <c r="Q647" s="9" t="n">
        <v>17100</v>
      </c>
      <c r="R647" s="9" t="n">
        <f aca="false">Q647</f>
        <v>17100</v>
      </c>
      <c r="T647" s="9" t="n">
        <v>12500</v>
      </c>
      <c r="U647" s="9" t="n">
        <f aca="false">T647</f>
        <v>12500</v>
      </c>
      <c r="V647" s="9" t="n">
        <v>12500</v>
      </c>
      <c r="W647" s="9" t="n">
        <f aca="false">V647</f>
        <v>12500</v>
      </c>
      <c r="X647" s="45" t="n">
        <f aca="false">V647/H647</f>
        <v>16.025641025641</v>
      </c>
      <c r="Y647" s="46" t="n">
        <f aca="false">SUM(V647-T647)/T647</f>
        <v>0</v>
      </c>
      <c r="Z647" s="9" t="s">
        <v>60</v>
      </c>
      <c r="AA647" s="42"/>
      <c r="AB647" s="14"/>
      <c r="AC647" s="5" t="s">
        <v>43</v>
      </c>
      <c r="AD647" s="4" t="s">
        <v>700</v>
      </c>
      <c r="AG647" s="59"/>
    </row>
    <row r="648" customFormat="false" ht="28.5" hidden="false" customHeight="true" outlineLevel="0" collapsed="false">
      <c r="A648" s="29"/>
      <c r="B648" s="11" t="s">
        <v>37</v>
      </c>
      <c r="C648" s="11" t="s">
        <v>38</v>
      </c>
      <c r="D648" s="29" t="n">
        <v>100650</v>
      </c>
      <c r="E648" s="4" t="s">
        <v>694</v>
      </c>
      <c r="F648" s="4" t="s">
        <v>701</v>
      </c>
      <c r="G648" s="5" t="s">
        <v>134</v>
      </c>
      <c r="H648" s="6" t="n">
        <v>3661</v>
      </c>
      <c r="I648" s="6" t="n">
        <f aca="false">H648</f>
        <v>3661</v>
      </c>
      <c r="J648" s="6" t="n">
        <v>3500</v>
      </c>
      <c r="K648" s="4" t="s">
        <v>702</v>
      </c>
      <c r="L648" s="7" t="n">
        <v>44115</v>
      </c>
      <c r="M648" s="8" t="n">
        <v>46670</v>
      </c>
      <c r="Q648" s="9" t="n">
        <v>170000</v>
      </c>
      <c r="R648" s="9" t="n">
        <f aca="false">Q648</f>
        <v>170000</v>
      </c>
      <c r="T648" s="9" t="n">
        <v>216700</v>
      </c>
      <c r="U648" s="9" t="n">
        <f aca="false">T648</f>
        <v>216700</v>
      </c>
      <c r="V648" s="9" t="n">
        <v>216700</v>
      </c>
      <c r="W648" s="9" t="n">
        <f aca="false">V648</f>
        <v>216700</v>
      </c>
      <c r="X648" s="45" t="n">
        <f aca="false">V648/H648</f>
        <v>59.1914777383229</v>
      </c>
      <c r="Y648" s="46" t="n">
        <f aca="false">SUM(V648-T648)/T648</f>
        <v>0</v>
      </c>
      <c r="Z648" s="9" t="s">
        <v>60</v>
      </c>
      <c r="AA648" s="42"/>
      <c r="AB648" s="14"/>
      <c r="AC648" s="5" t="s">
        <v>43</v>
      </c>
      <c r="AG648" s="59"/>
    </row>
    <row r="649" customFormat="false" ht="13.5" hidden="false" customHeight="false" outlineLevel="0" collapsed="false">
      <c r="A649" s="29"/>
      <c r="B649" s="11" t="s">
        <v>37</v>
      </c>
      <c r="C649" s="11" t="s">
        <v>38</v>
      </c>
      <c r="D649" s="29" t="n">
        <v>100650</v>
      </c>
      <c r="E649" s="4" t="s">
        <v>694</v>
      </c>
      <c r="F649" s="4" t="s">
        <v>703</v>
      </c>
      <c r="G649" s="5" t="s">
        <v>237</v>
      </c>
      <c r="H649" s="6" t="n">
        <v>1716</v>
      </c>
      <c r="I649" s="6" t="n">
        <f aca="false">H649</f>
        <v>1716</v>
      </c>
      <c r="J649" s="6" t="n">
        <v>1750</v>
      </c>
      <c r="K649" s="4" t="s">
        <v>67</v>
      </c>
      <c r="Q649" s="9" t="n">
        <v>0</v>
      </c>
      <c r="R649" s="9" t="n">
        <f aca="false">Q649</f>
        <v>0</v>
      </c>
      <c r="T649" s="9" t="n">
        <v>107600</v>
      </c>
      <c r="U649" s="9" t="n">
        <f aca="false">T649</f>
        <v>107600</v>
      </c>
      <c r="V649" s="9" t="n">
        <v>107600</v>
      </c>
      <c r="W649" s="9" t="n">
        <f aca="false">V649</f>
        <v>107600</v>
      </c>
      <c r="X649" s="45" t="n">
        <f aca="false">V649/H649</f>
        <v>62.7039627039627</v>
      </c>
      <c r="Y649" s="46" t="n">
        <f aca="false">SUM(V649-T649)/T649</f>
        <v>0</v>
      </c>
      <c r="Z649" s="9" t="s">
        <v>60</v>
      </c>
      <c r="AA649" s="42"/>
      <c r="AB649" s="14"/>
      <c r="AC649" s="5" t="s">
        <v>43</v>
      </c>
      <c r="AD649" s="4" t="s">
        <v>228</v>
      </c>
      <c r="AG649" s="59"/>
    </row>
    <row r="650" customFormat="false" ht="24" hidden="false" customHeight="true" outlineLevel="0" collapsed="false">
      <c r="A650" s="29"/>
      <c r="B650" s="11" t="s">
        <v>37</v>
      </c>
      <c r="C650" s="11" t="s">
        <v>38</v>
      </c>
      <c r="D650" s="29" t="n">
        <v>100650</v>
      </c>
      <c r="E650" s="4" t="s">
        <v>694</v>
      </c>
      <c r="F650" s="4" t="s">
        <v>704</v>
      </c>
      <c r="G650" s="5" t="s">
        <v>237</v>
      </c>
      <c r="H650" s="6" t="n">
        <v>1952</v>
      </c>
      <c r="I650" s="6" t="n">
        <f aca="false">H650</f>
        <v>1952</v>
      </c>
      <c r="J650" s="6" t="n">
        <v>2000</v>
      </c>
      <c r="K650" s="4" t="s">
        <v>705</v>
      </c>
      <c r="L650" s="7" t="n">
        <v>45450</v>
      </c>
      <c r="M650" s="8" t="n">
        <v>49101</v>
      </c>
      <c r="O650" s="8" t="n">
        <v>47276</v>
      </c>
      <c r="P650" s="8" t="n">
        <v>47275</v>
      </c>
      <c r="Q650" s="98" t="n">
        <v>159500</v>
      </c>
      <c r="R650" s="9" t="n">
        <f aca="false">Q650</f>
        <v>159500</v>
      </c>
      <c r="T650" s="9" t="n">
        <v>122400</v>
      </c>
      <c r="U650" s="9" t="n">
        <f aca="false">T650</f>
        <v>122400</v>
      </c>
      <c r="V650" s="9" t="n">
        <v>122400</v>
      </c>
      <c r="W650" s="9" t="n">
        <f aca="false">V650</f>
        <v>122400</v>
      </c>
      <c r="X650" s="45" t="n">
        <f aca="false">V650/H650</f>
        <v>62.7049180327869</v>
      </c>
      <c r="Y650" s="46" t="n">
        <f aca="false">SUM(V650-T650)/T650</f>
        <v>0</v>
      </c>
      <c r="Z650" s="9" t="s">
        <v>42</v>
      </c>
      <c r="AA650" s="42"/>
      <c r="AB650" s="14"/>
      <c r="AC650" s="5" t="s">
        <v>43</v>
      </c>
      <c r="AD650" s="4" t="s">
        <v>706</v>
      </c>
      <c r="AG650" s="59"/>
    </row>
    <row r="651" customFormat="false" ht="28.5" hidden="false" customHeight="true" outlineLevel="0" collapsed="false">
      <c r="A651" s="29"/>
      <c r="B651" s="11" t="s">
        <v>37</v>
      </c>
      <c r="C651" s="11" t="s">
        <v>38</v>
      </c>
      <c r="D651" s="29" t="n">
        <v>100650</v>
      </c>
      <c r="E651" s="4" t="s">
        <v>694</v>
      </c>
      <c r="F651" s="4" t="s">
        <v>707</v>
      </c>
      <c r="G651" s="5" t="s">
        <v>708</v>
      </c>
      <c r="H651" s="6" t="n">
        <v>1710</v>
      </c>
      <c r="I651" s="6" t="n">
        <f aca="false">H651</f>
        <v>1710</v>
      </c>
      <c r="J651" s="6" t="n">
        <v>1750</v>
      </c>
      <c r="K651" s="4" t="s">
        <v>709</v>
      </c>
      <c r="L651" s="7" t="n">
        <v>45143</v>
      </c>
      <c r="M651" s="8" t="n">
        <v>45873</v>
      </c>
      <c r="Q651" s="9" t="n">
        <v>100000</v>
      </c>
      <c r="R651" s="9" t="n">
        <f aca="false">Q651</f>
        <v>100000</v>
      </c>
      <c r="T651" s="9" t="n">
        <v>85500</v>
      </c>
      <c r="U651" s="9" t="n">
        <f aca="false">T651</f>
        <v>85500</v>
      </c>
      <c r="V651" s="9" t="n">
        <v>100000</v>
      </c>
      <c r="W651" s="9" t="n">
        <f aca="false">V651</f>
        <v>100000</v>
      </c>
      <c r="X651" s="45" t="n">
        <f aca="false">V651/H651</f>
        <v>58.4795321637427</v>
      </c>
      <c r="Y651" s="46" t="n">
        <f aca="false">SUM(V651-T651)/T651</f>
        <v>0.169590643274854</v>
      </c>
      <c r="Z651" s="9" t="s">
        <v>60</v>
      </c>
      <c r="AA651" s="42"/>
      <c r="AB651" s="14"/>
      <c r="AC651" s="5" t="s">
        <v>43</v>
      </c>
      <c r="AD651" s="4" t="s">
        <v>710</v>
      </c>
      <c r="AG651" s="59"/>
    </row>
    <row r="652" customFormat="false" ht="37.5" hidden="false" customHeight="true" outlineLevel="0" collapsed="false">
      <c r="A652" s="29"/>
      <c r="B652" s="11" t="s">
        <v>37</v>
      </c>
      <c r="C652" s="11" t="s">
        <v>38</v>
      </c>
      <c r="D652" s="29" t="n">
        <v>100650</v>
      </c>
      <c r="E652" s="4" t="s">
        <v>694</v>
      </c>
      <c r="F652" s="4" t="s">
        <v>711</v>
      </c>
      <c r="G652" s="5" t="s">
        <v>708</v>
      </c>
      <c r="H652" s="6" t="n">
        <v>3601</v>
      </c>
      <c r="I652" s="6" t="n">
        <f aca="false">H652</f>
        <v>3601</v>
      </c>
      <c r="J652" s="6" t="n">
        <v>3500</v>
      </c>
      <c r="K652" s="4" t="s">
        <v>698</v>
      </c>
      <c r="L652" s="7" t="n">
        <v>45533</v>
      </c>
      <c r="M652" s="8" t="n">
        <v>49184</v>
      </c>
      <c r="O652" s="8" t="n">
        <v>47359</v>
      </c>
      <c r="P652" s="8" t="n">
        <v>46627</v>
      </c>
      <c r="Q652" s="9" t="n">
        <v>83500</v>
      </c>
      <c r="R652" s="9" t="n">
        <f aca="false">Q652</f>
        <v>83500</v>
      </c>
      <c r="T652" s="9" t="n">
        <v>144000</v>
      </c>
      <c r="U652" s="9" t="n">
        <f aca="false">T652</f>
        <v>144000</v>
      </c>
      <c r="V652" s="9" t="n">
        <v>167400</v>
      </c>
      <c r="W652" s="9" t="n">
        <f aca="false">V652</f>
        <v>167400</v>
      </c>
      <c r="X652" s="45" t="n">
        <f aca="false">V652/H652</f>
        <v>46.4870869202999</v>
      </c>
      <c r="Y652" s="46" t="n">
        <f aca="false">SUM(V652-T652)/T652</f>
        <v>0.1625</v>
      </c>
      <c r="Z652" s="9" t="s">
        <v>60</v>
      </c>
      <c r="AA652" s="42"/>
      <c r="AB652" s="66"/>
      <c r="AC652" s="5" t="s">
        <v>43</v>
      </c>
      <c r="AD652" s="4" t="s">
        <v>712</v>
      </c>
      <c r="AF652" s="60"/>
      <c r="AG652" s="62"/>
      <c r="AH652" s="60"/>
    </row>
    <row r="653" customFormat="false" ht="24" hidden="false" customHeight="true" outlineLevel="0" collapsed="false">
      <c r="A653" s="29"/>
      <c r="B653" s="11" t="s">
        <v>37</v>
      </c>
      <c r="C653" s="11" t="s">
        <v>38</v>
      </c>
      <c r="D653" s="29" t="n">
        <v>100650</v>
      </c>
      <c r="E653" s="4" t="s">
        <v>694</v>
      </c>
      <c r="F653" s="4" t="s">
        <v>713</v>
      </c>
      <c r="G653" s="5" t="s">
        <v>134</v>
      </c>
      <c r="H653" s="6" t="n">
        <v>6889</v>
      </c>
      <c r="I653" s="6" t="n">
        <f aca="false">H653</f>
        <v>6889</v>
      </c>
      <c r="J653" s="6" t="n">
        <v>7000</v>
      </c>
      <c r="K653" s="4" t="s">
        <v>714</v>
      </c>
      <c r="L653" s="7" t="n">
        <v>44630</v>
      </c>
      <c r="M653" s="8" t="n">
        <v>48282</v>
      </c>
      <c r="O653" s="8" t="n">
        <v>46456</v>
      </c>
      <c r="Q653" s="9" t="n">
        <v>385000</v>
      </c>
      <c r="R653" s="9" t="n">
        <f aca="false">Q653</f>
        <v>385000</v>
      </c>
      <c r="T653" s="9" t="n">
        <v>390000</v>
      </c>
      <c r="U653" s="9" t="n">
        <f aca="false">T653</f>
        <v>390000</v>
      </c>
      <c r="V653" s="9" t="n">
        <v>390000</v>
      </c>
      <c r="W653" s="9" t="n">
        <f aca="false">V653</f>
        <v>390000</v>
      </c>
      <c r="X653" s="45" t="n">
        <f aca="false">V653/H653</f>
        <v>56.6119901291915</v>
      </c>
      <c r="Y653" s="46" t="n">
        <f aca="false">SUM(V653-T653)/T653</f>
        <v>0</v>
      </c>
      <c r="Z653" s="9" t="s">
        <v>458</v>
      </c>
      <c r="AA653" s="42"/>
      <c r="AB653" s="66"/>
      <c r="AC653" s="5" t="s">
        <v>43</v>
      </c>
      <c r="AD653" s="4" t="s">
        <v>715</v>
      </c>
      <c r="AG653" s="59"/>
    </row>
    <row r="654" customFormat="false" ht="18" hidden="false" customHeight="true" outlineLevel="0" collapsed="false">
      <c r="A654" s="29"/>
      <c r="B654" s="11" t="s">
        <v>37</v>
      </c>
      <c r="C654" s="11" t="s">
        <v>38</v>
      </c>
      <c r="D654" s="29" t="n">
        <v>100650</v>
      </c>
      <c r="E654" s="4" t="s">
        <v>694</v>
      </c>
      <c r="F654" s="4" t="s">
        <v>716</v>
      </c>
      <c r="G654" s="5" t="s">
        <v>40</v>
      </c>
      <c r="H654" s="6" t="n">
        <v>1200</v>
      </c>
      <c r="I654" s="6" t="n">
        <f aca="false">H654</f>
        <v>1200</v>
      </c>
      <c r="J654" s="6" t="n">
        <v>1250</v>
      </c>
      <c r="K654" s="60" t="s">
        <v>67</v>
      </c>
      <c r="N654" s="102" t="n">
        <v>45793</v>
      </c>
      <c r="Q654" s="98" t="n">
        <v>0</v>
      </c>
      <c r="R654" s="9" t="n">
        <f aca="false">Q654</f>
        <v>0</v>
      </c>
      <c r="T654" s="9" t="n">
        <v>72000</v>
      </c>
      <c r="U654" s="9" t="n">
        <f aca="false">T654</f>
        <v>72000</v>
      </c>
      <c r="V654" s="9" t="n">
        <v>69000</v>
      </c>
      <c r="W654" s="9" t="n">
        <f aca="false">V654</f>
        <v>69000</v>
      </c>
      <c r="X654" s="45" t="n">
        <f aca="false">V654/H654</f>
        <v>57.5</v>
      </c>
      <c r="Y654" s="46" t="n">
        <f aca="false">SUM(V654-T654)/T654</f>
        <v>-0.0416666666666667</v>
      </c>
      <c r="Z654" s="9" t="s">
        <v>60</v>
      </c>
      <c r="AA654" s="42"/>
      <c r="AB654" s="66"/>
      <c r="AC654" s="5" t="s">
        <v>43</v>
      </c>
      <c r="AD654" s="60" t="s">
        <v>68</v>
      </c>
      <c r="AG654" s="59" t="n">
        <v>8</v>
      </c>
    </row>
    <row r="655" customFormat="false" ht="22.5" hidden="false" customHeight="true" outlineLevel="0" collapsed="false">
      <c r="A655" s="29"/>
      <c r="B655" s="11" t="s">
        <v>37</v>
      </c>
      <c r="C655" s="11" t="s">
        <v>38</v>
      </c>
      <c r="D655" s="29" t="n">
        <v>100650</v>
      </c>
      <c r="E655" s="4" t="s">
        <v>694</v>
      </c>
      <c r="F655" s="4" t="s">
        <v>717</v>
      </c>
      <c r="G655" s="5" t="s">
        <v>309</v>
      </c>
      <c r="H655" s="6" t="n">
        <v>1372</v>
      </c>
      <c r="I655" s="6" t="n">
        <f aca="false">H655</f>
        <v>1372</v>
      </c>
      <c r="J655" s="6" t="n">
        <v>1250</v>
      </c>
      <c r="K655" s="4" t="s">
        <v>67</v>
      </c>
      <c r="N655" s="8" t="n">
        <v>45672</v>
      </c>
      <c r="Q655" s="9" t="n">
        <v>0</v>
      </c>
      <c r="R655" s="9" t="n">
        <f aca="false">Q655</f>
        <v>0</v>
      </c>
      <c r="T655" s="9" t="n">
        <v>82300</v>
      </c>
      <c r="U655" s="9" t="n">
        <f aca="false">T655</f>
        <v>82300</v>
      </c>
      <c r="V655" s="9" t="n">
        <v>78900</v>
      </c>
      <c r="W655" s="9" t="n">
        <f aca="false">V655</f>
        <v>78900</v>
      </c>
      <c r="X655" s="45" t="n">
        <f aca="false">V655/H655</f>
        <v>57.5072886297376</v>
      </c>
      <c r="Y655" s="46" t="n">
        <f aca="false">SUM(V655-T655)/T655</f>
        <v>-0.0413122721749696</v>
      </c>
      <c r="Z655" s="9" t="s">
        <v>60</v>
      </c>
      <c r="AA655" s="42"/>
      <c r="AB655" s="66"/>
      <c r="AC655" s="5" t="s">
        <v>43</v>
      </c>
      <c r="AD655" s="4" t="s">
        <v>68</v>
      </c>
      <c r="AG655" s="59"/>
    </row>
    <row r="656" customFormat="false" ht="22.5" hidden="false" customHeight="true" outlineLevel="0" collapsed="false">
      <c r="A656" s="29"/>
      <c r="B656" s="11" t="s">
        <v>37</v>
      </c>
      <c r="C656" s="11" t="s">
        <v>38</v>
      </c>
      <c r="D656" s="29" t="n">
        <v>100650</v>
      </c>
      <c r="E656" s="4" t="s">
        <v>694</v>
      </c>
      <c r="F656" s="4" t="s">
        <v>718</v>
      </c>
      <c r="G656" s="5" t="s">
        <v>309</v>
      </c>
      <c r="H656" s="6" t="n">
        <v>1020</v>
      </c>
      <c r="I656" s="6" t="n">
        <f aca="false">H656</f>
        <v>1020</v>
      </c>
      <c r="J656" s="6" t="n">
        <v>1000</v>
      </c>
      <c r="K656" s="4" t="s">
        <v>67</v>
      </c>
      <c r="N656" s="8" t="n">
        <v>44576</v>
      </c>
      <c r="Q656" s="9" t="n">
        <v>0</v>
      </c>
      <c r="R656" s="9" t="n">
        <f aca="false">Q656</f>
        <v>0</v>
      </c>
      <c r="T656" s="9" t="n">
        <v>61200</v>
      </c>
      <c r="U656" s="9" t="n">
        <f aca="false">T656</f>
        <v>61200</v>
      </c>
      <c r="V656" s="9" t="n">
        <v>58700</v>
      </c>
      <c r="W656" s="9" t="n">
        <f aca="false">V656</f>
        <v>58700</v>
      </c>
      <c r="X656" s="45" t="n">
        <f aca="false">V656/H656</f>
        <v>57.5490196078431</v>
      </c>
      <c r="Y656" s="46" t="n">
        <f aca="false">SUM(V656-T656)/T656</f>
        <v>-0.0408496732026144</v>
      </c>
      <c r="Z656" s="9" t="s">
        <v>60</v>
      </c>
      <c r="AA656" s="42"/>
      <c r="AB656" s="66"/>
      <c r="AC656" s="5" t="s">
        <v>43</v>
      </c>
      <c r="AD656" s="4" t="s">
        <v>119</v>
      </c>
      <c r="AG656" s="59"/>
    </row>
    <row r="657" customFormat="false" ht="28.5" hidden="false" customHeight="true" outlineLevel="0" collapsed="false">
      <c r="A657" s="29"/>
      <c r="B657" s="11" t="s">
        <v>37</v>
      </c>
      <c r="C657" s="11" t="s">
        <v>38</v>
      </c>
      <c r="D657" s="29" t="n">
        <v>100650</v>
      </c>
      <c r="E657" s="4" t="s">
        <v>694</v>
      </c>
      <c r="F657" s="4" t="s">
        <v>719</v>
      </c>
      <c r="G657" s="5" t="s">
        <v>40</v>
      </c>
      <c r="H657" s="6" t="n">
        <v>6636</v>
      </c>
      <c r="I657" s="6" t="n">
        <f aca="false">H657</f>
        <v>6636</v>
      </c>
      <c r="J657" s="6" t="n">
        <v>6500</v>
      </c>
      <c r="K657" s="4" t="s">
        <v>67</v>
      </c>
      <c r="N657" s="8" t="n">
        <v>44172</v>
      </c>
      <c r="Q657" s="9" t="n">
        <v>0</v>
      </c>
      <c r="R657" s="9" t="n">
        <f aca="false">Q657</f>
        <v>0</v>
      </c>
      <c r="T657" s="9" t="n">
        <v>398200</v>
      </c>
      <c r="U657" s="9" t="n">
        <f aca="false">T657</f>
        <v>398200</v>
      </c>
      <c r="V657" s="9" t="n">
        <v>381600</v>
      </c>
      <c r="W657" s="9" t="n">
        <f aca="false">V657</f>
        <v>381600</v>
      </c>
      <c r="X657" s="45" t="n">
        <f aca="false">V657/H657</f>
        <v>57.50452079566</v>
      </c>
      <c r="Y657" s="46" t="n">
        <f aca="false">SUM(V657-T657)/T657</f>
        <v>-0.041687594173782</v>
      </c>
      <c r="Z657" s="9" t="s">
        <v>127</v>
      </c>
      <c r="AA657" s="42"/>
      <c r="AB657" s="66"/>
      <c r="AC657" s="5" t="s">
        <v>43</v>
      </c>
      <c r="AD657" s="4" t="s">
        <v>119</v>
      </c>
      <c r="AG657" s="59"/>
    </row>
    <row r="658" customFormat="false" ht="28.5" hidden="false" customHeight="true" outlineLevel="0" collapsed="false">
      <c r="A658" s="29"/>
      <c r="B658" s="11" t="s">
        <v>37</v>
      </c>
      <c r="C658" s="11" t="s">
        <v>38</v>
      </c>
      <c r="D658" s="29" t="n">
        <v>100650</v>
      </c>
      <c r="E658" s="4" t="s">
        <v>694</v>
      </c>
      <c r="F658" s="4" t="s">
        <v>720</v>
      </c>
      <c r="G658" s="5" t="s">
        <v>309</v>
      </c>
      <c r="H658" s="6" t="n">
        <v>950</v>
      </c>
      <c r="I658" s="6" t="n">
        <f aca="false">H658</f>
        <v>950</v>
      </c>
      <c r="J658" s="6" t="n">
        <v>1000</v>
      </c>
      <c r="K658" s="4" t="s">
        <v>67</v>
      </c>
      <c r="N658" s="8" t="n">
        <v>44682</v>
      </c>
      <c r="Q658" s="9" t="n">
        <v>0</v>
      </c>
      <c r="R658" s="9" t="n">
        <f aca="false">Q658</f>
        <v>0</v>
      </c>
      <c r="T658" s="9" t="n">
        <v>57000</v>
      </c>
      <c r="U658" s="9" t="n">
        <f aca="false">T658</f>
        <v>57000</v>
      </c>
      <c r="V658" s="9" t="n">
        <v>54600</v>
      </c>
      <c r="W658" s="9" t="n">
        <f aca="false">V658</f>
        <v>54600</v>
      </c>
      <c r="X658" s="45" t="n">
        <f aca="false">V658/H658</f>
        <v>57.4736842105263</v>
      </c>
      <c r="Y658" s="46" t="n">
        <f aca="false">SUM(V658-T658)/T658</f>
        <v>-0.0421052631578947</v>
      </c>
      <c r="Z658" s="9" t="s">
        <v>60</v>
      </c>
      <c r="AA658" s="42"/>
      <c r="AB658" s="66"/>
      <c r="AC658" s="5" t="s">
        <v>43</v>
      </c>
      <c r="AD658" s="4" t="s">
        <v>119</v>
      </c>
      <c r="AG658" s="59"/>
    </row>
    <row r="659" customFormat="false" ht="28.5" hidden="false" customHeight="true" outlineLevel="0" collapsed="false">
      <c r="A659" s="29"/>
      <c r="B659" s="11" t="s">
        <v>37</v>
      </c>
      <c r="C659" s="11" t="s">
        <v>38</v>
      </c>
      <c r="D659" s="29" t="n">
        <v>100650</v>
      </c>
      <c r="E659" s="4" t="s">
        <v>694</v>
      </c>
      <c r="F659" s="4" t="s">
        <v>721</v>
      </c>
      <c r="G659" s="5" t="s">
        <v>40</v>
      </c>
      <c r="H659" s="6" t="n">
        <v>15445</v>
      </c>
      <c r="I659" s="6" t="n">
        <f aca="false">H659</f>
        <v>15445</v>
      </c>
      <c r="J659" s="6" t="n">
        <v>15500</v>
      </c>
      <c r="K659" s="4" t="s">
        <v>67</v>
      </c>
      <c r="N659" s="8" t="n">
        <v>45358</v>
      </c>
      <c r="Q659" s="9" t="n">
        <v>0</v>
      </c>
      <c r="R659" s="9" t="n">
        <f aca="false">Q659</f>
        <v>0</v>
      </c>
      <c r="T659" s="9" t="n">
        <v>926700</v>
      </c>
      <c r="U659" s="9" t="n">
        <f aca="false">T659</f>
        <v>926700</v>
      </c>
      <c r="V659" s="9" t="n">
        <v>810900</v>
      </c>
      <c r="W659" s="9" t="n">
        <f aca="false">V659</f>
        <v>810900</v>
      </c>
      <c r="X659" s="45" t="n">
        <f aca="false">V659/H659</f>
        <v>52.5024279702169</v>
      </c>
      <c r="Y659" s="46" t="n">
        <f aca="false">SUM(V659-T659)/T659</f>
        <v>-0.124959533829718</v>
      </c>
      <c r="Z659" s="9" t="s">
        <v>60</v>
      </c>
      <c r="AA659" s="42"/>
      <c r="AB659" s="66"/>
      <c r="AC659" s="5" t="s">
        <v>43</v>
      </c>
      <c r="AD659" s="4" t="s">
        <v>119</v>
      </c>
      <c r="AF659" s="4" t="n">
        <v>3</v>
      </c>
      <c r="AG659" s="59" t="n">
        <v>3</v>
      </c>
      <c r="AH659" s="4" t="s">
        <v>57</v>
      </c>
    </row>
    <row r="660" customFormat="false" ht="28.5" hidden="false" customHeight="true" outlineLevel="0" collapsed="false">
      <c r="A660" s="29"/>
      <c r="B660" s="11" t="s">
        <v>37</v>
      </c>
      <c r="C660" s="11" t="s">
        <v>38</v>
      </c>
      <c r="D660" s="29" t="n">
        <v>100650</v>
      </c>
      <c r="E660" s="4" t="s">
        <v>694</v>
      </c>
      <c r="F660" s="4" t="s">
        <v>722</v>
      </c>
      <c r="G660" s="5" t="s">
        <v>40</v>
      </c>
      <c r="H660" s="6" t="n">
        <v>5350</v>
      </c>
      <c r="I660" s="6" t="n">
        <f aca="false">H660</f>
        <v>5350</v>
      </c>
      <c r="J660" s="6" t="n">
        <v>5250</v>
      </c>
      <c r="K660" s="4" t="s">
        <v>723</v>
      </c>
      <c r="L660" s="7" t="n">
        <v>44986</v>
      </c>
      <c r="M660" s="8" t="n">
        <v>46081</v>
      </c>
      <c r="Q660" s="9" t="n">
        <v>320000</v>
      </c>
      <c r="R660" s="9" t="n">
        <f aca="false">Q660</f>
        <v>320000</v>
      </c>
      <c r="T660" s="9" t="n">
        <v>321000</v>
      </c>
      <c r="U660" s="9" t="n">
        <f aca="false">T660</f>
        <v>321000</v>
      </c>
      <c r="V660" s="9" t="n">
        <v>307600</v>
      </c>
      <c r="W660" s="9" t="n">
        <f aca="false">V660</f>
        <v>307600</v>
      </c>
      <c r="X660" s="45" t="n">
        <f aca="false">V660/H660</f>
        <v>57.4953271028037</v>
      </c>
      <c r="Y660" s="46" t="n">
        <f aca="false">SUM(V660-T660)/T660</f>
        <v>-0.0417445482866044</v>
      </c>
      <c r="Z660" s="9" t="s">
        <v>60</v>
      </c>
      <c r="AA660" s="42"/>
      <c r="AB660" s="66"/>
      <c r="AC660" s="5" t="s">
        <v>43</v>
      </c>
      <c r="AF660" s="4" t="n">
        <v>1</v>
      </c>
      <c r="AG660" s="59" t="n">
        <v>1</v>
      </c>
    </row>
    <row r="661" customFormat="false" ht="19.4" hidden="false" customHeight="false" outlineLevel="0" collapsed="false">
      <c r="A661" s="29"/>
      <c r="B661" s="11" t="s">
        <v>37</v>
      </c>
      <c r="C661" s="11" t="s">
        <v>38</v>
      </c>
      <c r="D661" s="29" t="n">
        <v>100650</v>
      </c>
      <c r="E661" s="4" t="s">
        <v>694</v>
      </c>
      <c r="F661" s="4" t="s">
        <v>724</v>
      </c>
      <c r="G661" s="5" t="s">
        <v>40</v>
      </c>
      <c r="H661" s="6" t="n">
        <v>3461</v>
      </c>
      <c r="I661" s="6" t="n">
        <f aca="false">H661</f>
        <v>3461</v>
      </c>
      <c r="J661" s="6" t="n">
        <v>3500</v>
      </c>
      <c r="K661" s="4" t="s">
        <v>67</v>
      </c>
      <c r="N661" s="8" t="n">
        <v>44958</v>
      </c>
      <c r="Q661" s="9" t="n">
        <v>0</v>
      </c>
      <c r="R661" s="9" t="n">
        <f aca="false">Q661</f>
        <v>0</v>
      </c>
      <c r="T661" s="9" t="n">
        <v>207700</v>
      </c>
      <c r="U661" s="9" t="n">
        <f aca="false">T661</f>
        <v>207700</v>
      </c>
      <c r="V661" s="9" t="n">
        <v>199000</v>
      </c>
      <c r="W661" s="9" t="n">
        <f aca="false">V661</f>
        <v>199000</v>
      </c>
      <c r="X661" s="45" t="n">
        <f aca="false">V661/H661</f>
        <v>57.4978329962439</v>
      </c>
      <c r="Y661" s="46" t="n">
        <f aca="false">SUM(V661-T661)/T661</f>
        <v>-0.0418873375060183</v>
      </c>
      <c r="Z661" s="9" t="s">
        <v>60</v>
      </c>
      <c r="AA661" s="42"/>
      <c r="AB661" s="66"/>
      <c r="AC661" s="5" t="s">
        <v>43</v>
      </c>
      <c r="AD661" s="4" t="s">
        <v>119</v>
      </c>
      <c r="AF661" s="4" t="n">
        <v>1</v>
      </c>
      <c r="AG661" s="59" t="n">
        <v>1</v>
      </c>
    </row>
    <row r="662" s="72" customFormat="true" ht="13.5" hidden="false" customHeight="false" outlineLevel="0" collapsed="false">
      <c r="A662" s="29"/>
      <c r="B662" s="11" t="s">
        <v>37</v>
      </c>
      <c r="C662" s="11" t="s">
        <v>38</v>
      </c>
      <c r="D662" s="29" t="n">
        <v>100650</v>
      </c>
      <c r="E662" s="4" t="s">
        <v>694</v>
      </c>
      <c r="F662" s="4" t="s">
        <v>725</v>
      </c>
      <c r="G662" s="5" t="s">
        <v>40</v>
      </c>
      <c r="H662" s="6" t="n">
        <v>445</v>
      </c>
      <c r="I662" s="6" t="n">
        <f aca="false">H662</f>
        <v>445</v>
      </c>
      <c r="J662" s="6" t="n">
        <v>500</v>
      </c>
      <c r="K662" s="4" t="s">
        <v>67</v>
      </c>
      <c r="L662" s="7"/>
      <c r="M662" s="8"/>
      <c r="N662" s="8" t="n">
        <v>44849</v>
      </c>
      <c r="O662" s="8"/>
      <c r="P662" s="8"/>
      <c r="Q662" s="9" t="n">
        <v>0</v>
      </c>
      <c r="R662" s="9" t="n">
        <f aca="false">Q662</f>
        <v>0</v>
      </c>
      <c r="S662" s="9"/>
      <c r="T662" s="9" t="n">
        <v>26700</v>
      </c>
      <c r="U662" s="9" t="n">
        <f aca="false">T662</f>
        <v>26700</v>
      </c>
      <c r="V662" s="9" t="n">
        <v>25600</v>
      </c>
      <c r="W662" s="9" t="n">
        <f aca="false">V662</f>
        <v>25600</v>
      </c>
      <c r="X662" s="45" t="n">
        <f aca="false">V662/H662</f>
        <v>57.5280898876405</v>
      </c>
      <c r="Y662" s="46" t="n">
        <f aca="false">SUM(V662-T662)/T662</f>
        <v>-0.0411985018726592</v>
      </c>
      <c r="Z662" s="9" t="s">
        <v>60</v>
      </c>
      <c r="AA662" s="42"/>
      <c r="AB662" s="66"/>
      <c r="AC662" s="5" t="s">
        <v>43</v>
      </c>
      <c r="AD662" s="4" t="s">
        <v>119</v>
      </c>
      <c r="AE662" s="15"/>
      <c r="AF662" s="4" t="n">
        <v>1</v>
      </c>
      <c r="AG662" s="59" t="n">
        <v>2</v>
      </c>
      <c r="AH662" s="4" t="s">
        <v>57</v>
      </c>
      <c r="AJ662" s="73"/>
    </row>
    <row r="663" customFormat="false" ht="13.5" hidden="false" customHeight="false" outlineLevel="0" collapsed="false">
      <c r="A663" s="29"/>
      <c r="B663" s="11" t="s">
        <v>37</v>
      </c>
      <c r="C663" s="11" t="s">
        <v>38</v>
      </c>
      <c r="D663" s="29" t="n">
        <v>100650</v>
      </c>
      <c r="E663" s="4" t="s">
        <v>694</v>
      </c>
      <c r="F663" s="4" t="s">
        <v>726</v>
      </c>
      <c r="G663" s="5" t="s">
        <v>40</v>
      </c>
      <c r="H663" s="6" t="n">
        <v>783</v>
      </c>
      <c r="I663" s="6" t="n">
        <f aca="false">H663</f>
        <v>783</v>
      </c>
      <c r="J663" s="6" t="n">
        <v>750</v>
      </c>
      <c r="K663" s="4" t="s">
        <v>67</v>
      </c>
      <c r="N663" s="8" t="n">
        <v>45406</v>
      </c>
      <c r="Q663" s="9" t="n">
        <v>0</v>
      </c>
      <c r="R663" s="9" t="n">
        <f aca="false">Q663</f>
        <v>0</v>
      </c>
      <c r="T663" s="9" t="n">
        <v>45000</v>
      </c>
      <c r="U663" s="9" t="n">
        <f aca="false">T663</f>
        <v>45000</v>
      </c>
      <c r="V663" s="9" t="n">
        <v>45000</v>
      </c>
      <c r="W663" s="9" t="n">
        <f aca="false">V663</f>
        <v>45000</v>
      </c>
      <c r="X663" s="45" t="n">
        <f aca="false">V663/H663</f>
        <v>57.4712643678161</v>
      </c>
      <c r="Y663" s="46" t="n">
        <f aca="false">SUM(V663-T663)/T663</f>
        <v>0</v>
      </c>
      <c r="Z663" s="9" t="s">
        <v>60</v>
      </c>
      <c r="AA663" s="42"/>
      <c r="AB663" s="66"/>
      <c r="AC663" s="5" t="s">
        <v>43</v>
      </c>
      <c r="AD663" s="4" t="s">
        <v>119</v>
      </c>
      <c r="AG663" s="59" t="n">
        <v>1</v>
      </c>
      <c r="AH663" s="4" t="s">
        <v>57</v>
      </c>
    </row>
    <row r="664" customFormat="false" ht="13.5" hidden="false" customHeight="false" outlineLevel="0" collapsed="false">
      <c r="A664" s="29"/>
      <c r="B664" s="11" t="s">
        <v>37</v>
      </c>
      <c r="C664" s="11" t="s">
        <v>38</v>
      </c>
      <c r="D664" s="29" t="n">
        <v>100650</v>
      </c>
      <c r="E664" s="4" t="s">
        <v>694</v>
      </c>
      <c r="F664" s="4" t="s">
        <v>727</v>
      </c>
      <c r="G664" s="5" t="s">
        <v>40</v>
      </c>
      <c r="H664" s="6" t="n">
        <v>1929</v>
      </c>
      <c r="I664" s="6" t="n">
        <f aca="false">H664</f>
        <v>1929</v>
      </c>
      <c r="J664" s="6" t="n">
        <v>2000</v>
      </c>
      <c r="K664" s="115" t="s">
        <v>728</v>
      </c>
      <c r="L664" s="7" t="n">
        <v>45096</v>
      </c>
      <c r="M664" s="8" t="n">
        <v>46191</v>
      </c>
      <c r="Q664" s="9" t="n">
        <v>111825</v>
      </c>
      <c r="R664" s="9" t="n">
        <f aca="false">Q664</f>
        <v>111825</v>
      </c>
      <c r="T664" s="9" t="n">
        <v>110900</v>
      </c>
      <c r="U664" s="9" t="n">
        <f aca="false">T664</f>
        <v>110900</v>
      </c>
      <c r="V664" s="9" t="n">
        <v>110900</v>
      </c>
      <c r="W664" s="9" t="n">
        <f aca="false">V664</f>
        <v>110900</v>
      </c>
      <c r="X664" s="45" t="n">
        <f aca="false">V664/H664</f>
        <v>57.4909279419388</v>
      </c>
      <c r="Y664" s="46" t="n">
        <f aca="false">SUM(V664-T664)/T664</f>
        <v>0</v>
      </c>
      <c r="Z664" s="9" t="s">
        <v>127</v>
      </c>
      <c r="AA664" s="42"/>
      <c r="AB664" s="66"/>
      <c r="AC664" s="5" t="s">
        <v>43</v>
      </c>
      <c r="AD664" s="4" t="s">
        <v>119</v>
      </c>
      <c r="AG664" s="59"/>
    </row>
    <row r="665" customFormat="false" ht="28.5" hidden="false" customHeight="true" outlineLevel="0" collapsed="false">
      <c r="A665" s="29"/>
      <c r="B665" s="11" t="s">
        <v>37</v>
      </c>
      <c r="C665" s="11" t="s">
        <v>38</v>
      </c>
      <c r="D665" s="29" t="n">
        <v>100650</v>
      </c>
      <c r="E665" s="4" t="s">
        <v>694</v>
      </c>
      <c r="F665" s="4" t="s">
        <v>729</v>
      </c>
      <c r="G665" s="5" t="s">
        <v>90</v>
      </c>
      <c r="H665" s="6" t="n">
        <v>6893</v>
      </c>
      <c r="I665" s="6" t="n">
        <f aca="false">H665</f>
        <v>6893</v>
      </c>
      <c r="J665" s="6" t="n">
        <v>7000</v>
      </c>
      <c r="K665" s="4" t="s">
        <v>67</v>
      </c>
      <c r="N665" s="8" t="n">
        <v>44340</v>
      </c>
      <c r="Q665" s="9" t="n">
        <v>0</v>
      </c>
      <c r="R665" s="9" t="n">
        <f aca="false">Q665</f>
        <v>0</v>
      </c>
      <c r="T665" s="9" t="n">
        <v>396300</v>
      </c>
      <c r="U665" s="9" t="n">
        <f aca="false">T665</f>
        <v>396300</v>
      </c>
      <c r="V665" s="9" t="n">
        <v>396300</v>
      </c>
      <c r="W665" s="9" t="n">
        <f aca="false">V665</f>
        <v>396300</v>
      </c>
      <c r="X665" s="45" t="n">
        <f aca="false">V665/H665</f>
        <v>57.4931089511098</v>
      </c>
      <c r="Y665" s="46" t="n">
        <f aca="false">SUM(V665-T665)/T665</f>
        <v>0</v>
      </c>
      <c r="Z665" s="9" t="s">
        <v>127</v>
      </c>
      <c r="AA665" s="42"/>
      <c r="AB665" s="66"/>
      <c r="AC665" s="5" t="s">
        <v>43</v>
      </c>
      <c r="AD665" s="4" t="s">
        <v>119</v>
      </c>
      <c r="AF665" s="4" t="n">
        <v>2</v>
      </c>
      <c r="AG665" s="59" t="n">
        <v>6</v>
      </c>
      <c r="AH665" s="4" t="s">
        <v>57</v>
      </c>
    </row>
    <row r="666" customFormat="false" ht="22.5" hidden="false" customHeight="true" outlineLevel="0" collapsed="false">
      <c r="A666" s="29"/>
      <c r="B666" s="11" t="s">
        <v>37</v>
      </c>
      <c r="C666" s="11" t="s">
        <v>38</v>
      </c>
      <c r="D666" s="29" t="n">
        <v>100650</v>
      </c>
      <c r="E666" s="4" t="s">
        <v>694</v>
      </c>
      <c r="F666" s="4" t="s">
        <v>730</v>
      </c>
      <c r="G666" s="5" t="s">
        <v>309</v>
      </c>
      <c r="H666" s="6" t="n">
        <v>363</v>
      </c>
      <c r="I666" s="6" t="n">
        <f aca="false">H666</f>
        <v>363</v>
      </c>
      <c r="J666" s="6" t="n">
        <v>500</v>
      </c>
      <c r="K666" s="4" t="s">
        <v>67</v>
      </c>
      <c r="N666" s="8" t="n">
        <v>45139</v>
      </c>
      <c r="Q666" s="9" t="n">
        <v>0</v>
      </c>
      <c r="R666" s="9" t="n">
        <f aca="false">Q666</f>
        <v>0</v>
      </c>
      <c r="T666" s="9" t="n">
        <v>20900</v>
      </c>
      <c r="U666" s="9" t="n">
        <f aca="false">T666</f>
        <v>20900</v>
      </c>
      <c r="V666" s="9" t="n">
        <v>20900</v>
      </c>
      <c r="W666" s="9" t="n">
        <f aca="false">V666</f>
        <v>20900</v>
      </c>
      <c r="X666" s="45" t="n">
        <f aca="false">V666/H666</f>
        <v>57.5757575757576</v>
      </c>
      <c r="Y666" s="46" t="n">
        <f aca="false">SUM(V666-T666)/T666</f>
        <v>0</v>
      </c>
      <c r="Z666" s="9" t="s">
        <v>60</v>
      </c>
      <c r="AA666" s="42"/>
      <c r="AB666" s="66"/>
      <c r="AC666" s="5" t="s">
        <v>43</v>
      </c>
      <c r="AD666" s="4" t="s">
        <v>119</v>
      </c>
      <c r="AG666" s="59"/>
    </row>
    <row r="667" customFormat="false" ht="13.5" hidden="false" customHeight="false" outlineLevel="0" collapsed="false">
      <c r="A667" s="29"/>
      <c r="B667" s="11" t="s">
        <v>37</v>
      </c>
      <c r="C667" s="11" t="s">
        <v>38</v>
      </c>
      <c r="D667" s="29" t="n">
        <v>100650</v>
      </c>
      <c r="E667" s="4" t="s">
        <v>694</v>
      </c>
      <c r="F667" s="4" t="s">
        <v>731</v>
      </c>
      <c r="G667" s="5" t="s">
        <v>309</v>
      </c>
      <c r="H667" s="6" t="n">
        <v>933</v>
      </c>
      <c r="I667" s="6" t="n">
        <f aca="false">H667</f>
        <v>933</v>
      </c>
      <c r="J667" s="6" t="n">
        <v>1000</v>
      </c>
      <c r="K667" s="4" t="s">
        <v>67</v>
      </c>
      <c r="N667" s="8" t="n">
        <v>44340</v>
      </c>
      <c r="Q667" s="9" t="n">
        <v>0</v>
      </c>
      <c r="R667" s="9" t="n">
        <f aca="false">Q667</f>
        <v>0</v>
      </c>
      <c r="T667" s="9" t="n">
        <v>53600</v>
      </c>
      <c r="U667" s="9" t="n">
        <f aca="false">T667</f>
        <v>53600</v>
      </c>
      <c r="V667" s="9" t="n">
        <v>53600</v>
      </c>
      <c r="W667" s="9" t="n">
        <f aca="false">V667</f>
        <v>53600</v>
      </c>
      <c r="X667" s="45" t="n">
        <f aca="false">V667/H667</f>
        <v>57.449088960343</v>
      </c>
      <c r="Y667" s="46" t="n">
        <f aca="false">SUM(V667-T667)/T667</f>
        <v>0</v>
      </c>
      <c r="Z667" s="9" t="s">
        <v>127</v>
      </c>
      <c r="AA667" s="42"/>
      <c r="AB667" s="66"/>
      <c r="AC667" s="5" t="s">
        <v>43</v>
      </c>
      <c r="AD667" s="4" t="s">
        <v>119</v>
      </c>
      <c r="AG667" s="59" t="n">
        <v>1</v>
      </c>
      <c r="AH667" s="4" t="s">
        <v>57</v>
      </c>
    </row>
    <row r="668" customFormat="false" ht="13.5" hidden="false" customHeight="false" outlineLevel="0" collapsed="false">
      <c r="A668" s="29"/>
      <c r="B668" s="11" t="s">
        <v>37</v>
      </c>
      <c r="C668" s="11" t="s">
        <v>38</v>
      </c>
      <c r="D668" s="29" t="n">
        <v>100650</v>
      </c>
      <c r="E668" s="4" t="s">
        <v>694</v>
      </c>
      <c r="F668" s="4" t="s">
        <v>732</v>
      </c>
      <c r="G668" s="5" t="s">
        <v>309</v>
      </c>
      <c r="H668" s="6" t="n">
        <v>1350</v>
      </c>
      <c r="I668" s="6" t="n">
        <f aca="false">H668</f>
        <v>1350</v>
      </c>
      <c r="J668" s="6" t="n">
        <v>1350</v>
      </c>
      <c r="K668" s="4" t="s">
        <v>733</v>
      </c>
      <c r="L668" s="7" t="n">
        <v>44501</v>
      </c>
      <c r="M668" s="8" t="n">
        <v>46326</v>
      </c>
      <c r="Q668" s="9" t="n">
        <v>74250</v>
      </c>
      <c r="R668" s="9" t="n">
        <f aca="false">Q668</f>
        <v>74250</v>
      </c>
      <c r="T668" s="6" t="n">
        <v>77600</v>
      </c>
      <c r="U668" s="9" t="n">
        <f aca="false">T668</f>
        <v>77600</v>
      </c>
      <c r="V668" s="9" t="n">
        <v>77600</v>
      </c>
      <c r="W668" s="9" t="n">
        <f aca="false">V668</f>
        <v>77600</v>
      </c>
      <c r="X668" s="45" t="n">
        <f aca="false">V668/H668</f>
        <v>57.4814814814815</v>
      </c>
      <c r="Y668" s="46" t="n">
        <f aca="false">SUM(V668-T668)/T668</f>
        <v>0</v>
      </c>
      <c r="Z668" s="9" t="s">
        <v>127</v>
      </c>
      <c r="AA668" s="42"/>
      <c r="AB668" s="66"/>
      <c r="AC668" s="5" t="s">
        <v>43</v>
      </c>
      <c r="AG668" s="59"/>
    </row>
    <row r="669" customFormat="false" ht="13.5" hidden="false" customHeight="false" outlineLevel="0" collapsed="false">
      <c r="A669" s="29"/>
      <c r="B669" s="11" t="s">
        <v>37</v>
      </c>
      <c r="C669" s="11" t="s">
        <v>38</v>
      </c>
      <c r="D669" s="29" t="n">
        <v>100650</v>
      </c>
      <c r="E669" s="4" t="s">
        <v>694</v>
      </c>
      <c r="F669" s="4" t="s">
        <v>734</v>
      </c>
      <c r="G669" s="5" t="s">
        <v>40</v>
      </c>
      <c r="H669" s="6" t="n">
        <v>688</v>
      </c>
      <c r="I669" s="6" t="n">
        <f aca="false">H669</f>
        <v>688</v>
      </c>
      <c r="J669" s="6" t="n">
        <v>750</v>
      </c>
      <c r="K669" s="4" t="s">
        <v>67</v>
      </c>
      <c r="N669" s="8" t="n">
        <v>45139</v>
      </c>
      <c r="Q669" s="9" t="n">
        <v>0</v>
      </c>
      <c r="R669" s="9" t="n">
        <f aca="false">Q669</f>
        <v>0</v>
      </c>
      <c r="T669" s="9" t="n">
        <v>39600</v>
      </c>
      <c r="U669" s="9" t="n">
        <f aca="false">T669</f>
        <v>39600</v>
      </c>
      <c r="V669" s="9" t="n">
        <v>39600</v>
      </c>
      <c r="W669" s="9" t="n">
        <f aca="false">V669</f>
        <v>39600</v>
      </c>
      <c r="X669" s="45" t="n">
        <f aca="false">V669/H669</f>
        <v>57.5581395348837</v>
      </c>
      <c r="Y669" s="46" t="n">
        <f aca="false">SUM(V669-T669)/T669</f>
        <v>0</v>
      </c>
      <c r="Z669" s="9" t="s">
        <v>127</v>
      </c>
      <c r="AA669" s="42"/>
      <c r="AB669" s="66"/>
      <c r="AC669" s="5" t="s">
        <v>43</v>
      </c>
      <c r="AD669" s="4" t="s">
        <v>119</v>
      </c>
      <c r="AG669" s="59"/>
    </row>
    <row r="670" customFormat="false" ht="13.5" hidden="false" customHeight="false" outlineLevel="0" collapsed="false">
      <c r="A670" s="29"/>
      <c r="B670" s="11" t="s">
        <v>37</v>
      </c>
      <c r="C670" s="11" t="s">
        <v>38</v>
      </c>
      <c r="D670" s="29" t="n">
        <v>100650</v>
      </c>
      <c r="E670" s="4" t="s">
        <v>694</v>
      </c>
      <c r="F670" s="4" t="s">
        <v>735</v>
      </c>
      <c r="G670" s="5" t="s">
        <v>40</v>
      </c>
      <c r="H670" s="6" t="n">
        <v>325</v>
      </c>
      <c r="I670" s="6" t="n">
        <f aca="false">H670</f>
        <v>325</v>
      </c>
      <c r="J670" s="6" t="n">
        <v>500</v>
      </c>
      <c r="K670" s="4" t="s">
        <v>67</v>
      </c>
      <c r="N670" s="8" t="n">
        <v>44340</v>
      </c>
      <c r="Q670" s="9" t="n">
        <v>0</v>
      </c>
      <c r="R670" s="9" t="n">
        <f aca="false">Q670</f>
        <v>0</v>
      </c>
      <c r="T670" s="9" t="n">
        <v>18700</v>
      </c>
      <c r="U670" s="9" t="n">
        <f aca="false">T670</f>
        <v>18700</v>
      </c>
      <c r="V670" s="9" t="n">
        <v>18700</v>
      </c>
      <c r="W670" s="9" t="n">
        <f aca="false">V670</f>
        <v>18700</v>
      </c>
      <c r="X670" s="45" t="n">
        <f aca="false">V670/H670</f>
        <v>57.5384615384615</v>
      </c>
      <c r="Y670" s="46" t="n">
        <f aca="false">SUM(V670-T670)/T670</f>
        <v>0</v>
      </c>
      <c r="Z670" s="9" t="s">
        <v>127</v>
      </c>
      <c r="AA670" s="42"/>
      <c r="AB670" s="66"/>
      <c r="AC670" s="5" t="s">
        <v>43</v>
      </c>
      <c r="AD670" s="4" t="s">
        <v>119</v>
      </c>
      <c r="AG670" s="59"/>
    </row>
    <row r="671" customFormat="false" ht="21.75" hidden="false" customHeight="true" outlineLevel="0" collapsed="false">
      <c r="A671" s="29"/>
      <c r="B671" s="11" t="s">
        <v>37</v>
      </c>
      <c r="C671" s="11" t="s">
        <v>38</v>
      </c>
      <c r="D671" s="29" t="n">
        <v>100650</v>
      </c>
      <c r="E671" s="4" t="s">
        <v>694</v>
      </c>
      <c r="F671" s="4" t="s">
        <v>736</v>
      </c>
      <c r="G671" s="5" t="s">
        <v>40</v>
      </c>
      <c r="H671" s="6" t="n">
        <v>489</v>
      </c>
      <c r="I671" s="6" t="n">
        <f aca="false">H671</f>
        <v>489</v>
      </c>
      <c r="J671" s="6" t="n">
        <v>500</v>
      </c>
      <c r="K671" s="4" t="s">
        <v>607</v>
      </c>
      <c r="L671" s="142" t="n">
        <v>45770</v>
      </c>
      <c r="M671" s="143" t="n">
        <v>46088</v>
      </c>
      <c r="N671" s="143"/>
      <c r="Q671" s="144" t="n">
        <v>36529</v>
      </c>
      <c r="R671" s="9" t="n">
        <f aca="false">Q671</f>
        <v>36529</v>
      </c>
      <c r="T671" s="9" t="n">
        <v>28100</v>
      </c>
      <c r="U671" s="9" t="n">
        <f aca="false">T671</f>
        <v>28100</v>
      </c>
      <c r="V671" s="9" t="n">
        <v>28100</v>
      </c>
      <c r="W671" s="9" t="n">
        <f aca="false">V671</f>
        <v>28100</v>
      </c>
      <c r="X671" s="45" t="n">
        <f aca="false">V671/H671</f>
        <v>57.4642126789366</v>
      </c>
      <c r="Y671" s="46" t="n">
        <f aca="false">SUM(V671-T671)/T671</f>
        <v>0</v>
      </c>
      <c r="Z671" s="9" t="s">
        <v>127</v>
      </c>
      <c r="AA671" s="42"/>
      <c r="AB671" s="66"/>
      <c r="AC671" s="5" t="s">
        <v>43</v>
      </c>
      <c r="AD671" s="145" t="s">
        <v>737</v>
      </c>
      <c r="AG671" s="59"/>
    </row>
    <row r="672" customFormat="false" ht="23.25" hidden="false" customHeight="true" outlineLevel="0" collapsed="false">
      <c r="A672" s="29"/>
      <c r="B672" s="11" t="s">
        <v>37</v>
      </c>
      <c r="C672" s="11" t="s">
        <v>38</v>
      </c>
      <c r="D672" s="29" t="n">
        <v>100650</v>
      </c>
      <c r="E672" s="4" t="s">
        <v>694</v>
      </c>
      <c r="F672" s="4" t="s">
        <v>738</v>
      </c>
      <c r="G672" s="5" t="s">
        <v>40</v>
      </c>
      <c r="H672" s="6" t="n">
        <v>3558</v>
      </c>
      <c r="I672" s="6" t="n">
        <f aca="false">H672</f>
        <v>3558</v>
      </c>
      <c r="J672" s="6" t="n">
        <v>3500</v>
      </c>
      <c r="K672" s="4" t="s">
        <v>739</v>
      </c>
      <c r="L672" s="7" t="n">
        <v>45072</v>
      </c>
      <c r="M672" s="8" t="n">
        <v>46898</v>
      </c>
      <c r="P672" s="8" t="n">
        <v>46167</v>
      </c>
      <c r="Q672" s="9" t="n">
        <v>202920</v>
      </c>
      <c r="R672" s="9" t="n">
        <f aca="false">Q672</f>
        <v>202920</v>
      </c>
      <c r="T672" s="9" t="n">
        <v>204600</v>
      </c>
      <c r="U672" s="9" t="n">
        <f aca="false">T672</f>
        <v>204600</v>
      </c>
      <c r="V672" s="9" t="n">
        <v>204600</v>
      </c>
      <c r="W672" s="9" t="n">
        <f aca="false">V672</f>
        <v>204600</v>
      </c>
      <c r="X672" s="45" t="n">
        <f aca="false">V672/H672</f>
        <v>57.504215851602</v>
      </c>
      <c r="Y672" s="46" t="n">
        <f aca="false">SUM(V672-T672)/T672</f>
        <v>0</v>
      </c>
      <c r="Z672" s="9" t="s">
        <v>60</v>
      </c>
      <c r="AA672" s="42"/>
      <c r="AB672" s="66"/>
      <c r="AC672" s="5" t="s">
        <v>43</v>
      </c>
      <c r="AD672" s="4" t="s">
        <v>562</v>
      </c>
      <c r="AG672" s="59"/>
    </row>
    <row r="673" customFormat="false" ht="13.5" hidden="false" customHeight="false" outlineLevel="0" collapsed="false">
      <c r="A673" s="29"/>
      <c r="B673" s="11" t="s">
        <v>37</v>
      </c>
      <c r="C673" s="11" t="s">
        <v>38</v>
      </c>
      <c r="D673" s="29" t="n">
        <v>100650</v>
      </c>
      <c r="E673" s="4" t="s">
        <v>694</v>
      </c>
      <c r="F673" s="4" t="s">
        <v>740</v>
      </c>
      <c r="G673" s="5" t="s">
        <v>40</v>
      </c>
      <c r="H673" s="6" t="n">
        <v>3500</v>
      </c>
      <c r="I673" s="6" t="n">
        <f aca="false">H673</f>
        <v>3500</v>
      </c>
      <c r="J673" s="6" t="n">
        <v>3500</v>
      </c>
      <c r="K673" s="4" t="s">
        <v>741</v>
      </c>
      <c r="L673" s="7" t="n">
        <v>44879</v>
      </c>
      <c r="M673" s="8" t="n">
        <v>46704</v>
      </c>
      <c r="Q673" s="9" t="n">
        <v>200000</v>
      </c>
      <c r="R673" s="9" t="n">
        <f aca="false">Q673</f>
        <v>200000</v>
      </c>
      <c r="T673" s="9" t="n">
        <v>201300</v>
      </c>
      <c r="U673" s="9" t="n">
        <f aca="false">T673</f>
        <v>201300</v>
      </c>
      <c r="V673" s="9" t="n">
        <v>201300</v>
      </c>
      <c r="W673" s="9" t="n">
        <f aca="false">V673</f>
        <v>201300</v>
      </c>
      <c r="X673" s="45" t="n">
        <f aca="false">V673/H673</f>
        <v>57.5142857142857</v>
      </c>
      <c r="Y673" s="46" t="n">
        <f aca="false">SUM(V673-T673)/T673</f>
        <v>0</v>
      </c>
      <c r="Z673" s="9" t="s">
        <v>60</v>
      </c>
      <c r="AA673" s="42"/>
      <c r="AB673" s="66"/>
      <c r="AC673" s="5" t="s">
        <v>43</v>
      </c>
      <c r="AG673" s="59"/>
    </row>
    <row r="674" customFormat="false" ht="18" hidden="false" customHeight="true" outlineLevel="0" collapsed="false">
      <c r="A674" s="29"/>
      <c r="B674" s="11" t="s">
        <v>37</v>
      </c>
      <c r="C674" s="11" t="s">
        <v>38</v>
      </c>
      <c r="D674" s="29" t="n">
        <v>100650</v>
      </c>
      <c r="E674" s="4" t="s">
        <v>694</v>
      </c>
      <c r="F674" s="4" t="s">
        <v>742</v>
      </c>
      <c r="G674" s="5" t="s">
        <v>40</v>
      </c>
      <c r="H674" s="6" t="n">
        <v>416</v>
      </c>
      <c r="I674" s="6" t="n">
        <f aca="false">H674</f>
        <v>416</v>
      </c>
      <c r="J674" s="6" t="n">
        <v>500</v>
      </c>
      <c r="K674" s="4" t="s">
        <v>741</v>
      </c>
      <c r="L674" s="7" t="n">
        <v>45701</v>
      </c>
      <c r="M674" s="8" t="n">
        <v>46704</v>
      </c>
      <c r="Q674" s="9" t="n">
        <v>15000</v>
      </c>
      <c r="R674" s="9" t="n">
        <f aca="false">Q674</f>
        <v>15000</v>
      </c>
      <c r="T674" s="9" t="n">
        <v>23900</v>
      </c>
      <c r="U674" s="9" t="n">
        <f aca="false">T674</f>
        <v>23900</v>
      </c>
      <c r="V674" s="9" t="n">
        <v>23900</v>
      </c>
      <c r="W674" s="9" t="n">
        <f aca="false">V674</f>
        <v>23900</v>
      </c>
      <c r="X674" s="45" t="n">
        <f aca="false">V674/H674</f>
        <v>57.4519230769231</v>
      </c>
      <c r="Y674" s="46" t="n">
        <f aca="false">SUM(V674-T674)/T674</f>
        <v>0</v>
      </c>
      <c r="Z674" s="9" t="s">
        <v>127</v>
      </c>
      <c r="AA674" s="42"/>
      <c r="AB674" s="66"/>
      <c r="AC674" s="5" t="s">
        <v>43</v>
      </c>
      <c r="AD674" s="4" t="s">
        <v>743</v>
      </c>
      <c r="AG674" s="59"/>
    </row>
    <row r="675" customFormat="false" ht="22.5" hidden="false" customHeight="true" outlineLevel="0" collapsed="false">
      <c r="A675" s="29"/>
      <c r="B675" s="11" t="s">
        <v>37</v>
      </c>
      <c r="C675" s="11" t="s">
        <v>38</v>
      </c>
      <c r="D675" s="29" t="n">
        <v>100650</v>
      </c>
      <c r="E675" s="4" t="s">
        <v>694</v>
      </c>
      <c r="F675" s="4" t="s">
        <v>744</v>
      </c>
      <c r="G675" s="5" t="s">
        <v>309</v>
      </c>
      <c r="H675" s="6" t="n">
        <v>1400</v>
      </c>
      <c r="I675" s="6" t="n">
        <f aca="false">H675</f>
        <v>1400</v>
      </c>
      <c r="J675" s="6" t="n">
        <v>1500</v>
      </c>
      <c r="K675" s="4" t="s">
        <v>745</v>
      </c>
      <c r="L675" s="7" t="n">
        <v>45359</v>
      </c>
      <c r="M675" s="8" t="n">
        <v>46088</v>
      </c>
      <c r="Q675" s="9" t="n">
        <v>81900</v>
      </c>
      <c r="R675" s="9" t="n">
        <f aca="false">Q675</f>
        <v>81900</v>
      </c>
      <c r="T675" s="9" t="n">
        <v>80500</v>
      </c>
      <c r="U675" s="9" t="n">
        <f aca="false">T675</f>
        <v>80500</v>
      </c>
      <c r="V675" s="9" t="n">
        <v>80500</v>
      </c>
      <c r="W675" s="9" t="n">
        <f aca="false">V675</f>
        <v>80500</v>
      </c>
      <c r="X675" s="45" t="n">
        <f aca="false">V675/H675</f>
        <v>57.5</v>
      </c>
      <c r="Y675" s="46" t="n">
        <f aca="false">SUM(V675-T675)/T675</f>
        <v>0</v>
      </c>
      <c r="Z675" s="9" t="s">
        <v>127</v>
      </c>
      <c r="AA675" s="42"/>
      <c r="AB675" s="66"/>
      <c r="AC675" s="5" t="s">
        <v>43</v>
      </c>
      <c r="AG675" s="59"/>
    </row>
    <row r="676" customFormat="false" ht="22.5" hidden="false" customHeight="true" outlineLevel="0" collapsed="false">
      <c r="A676" s="29"/>
      <c r="B676" s="11" t="s">
        <v>37</v>
      </c>
      <c r="C676" s="11" t="s">
        <v>38</v>
      </c>
      <c r="D676" s="29" t="n">
        <v>100650</v>
      </c>
      <c r="E676" s="4" t="s">
        <v>694</v>
      </c>
      <c r="F676" s="4" t="s">
        <v>746</v>
      </c>
      <c r="G676" s="5" t="s">
        <v>309</v>
      </c>
      <c r="H676" s="6" t="n">
        <v>1277</v>
      </c>
      <c r="I676" s="6" t="n">
        <f aca="false">H676</f>
        <v>1277</v>
      </c>
      <c r="J676" s="6" t="n">
        <v>750</v>
      </c>
      <c r="K676" s="4" t="s">
        <v>607</v>
      </c>
      <c r="L676" s="7" t="n">
        <v>45714</v>
      </c>
      <c r="M676" s="8" t="n">
        <v>46088</v>
      </c>
      <c r="Q676" s="9" t="n">
        <v>95395</v>
      </c>
      <c r="R676" s="9" t="n">
        <f aca="false">Q676</f>
        <v>95395</v>
      </c>
      <c r="T676" s="9" t="n">
        <v>73400</v>
      </c>
      <c r="U676" s="9" t="n">
        <f aca="false">T676</f>
        <v>73400</v>
      </c>
      <c r="V676" s="9" t="n">
        <v>73400</v>
      </c>
      <c r="W676" s="9" t="n">
        <f aca="false">V676</f>
        <v>73400</v>
      </c>
      <c r="X676" s="45" t="n">
        <f aca="false">V676/H676</f>
        <v>57.4784651527016</v>
      </c>
      <c r="Y676" s="46" t="n">
        <f aca="false">SUM(V676-T676)/T676</f>
        <v>0</v>
      </c>
      <c r="Z676" s="9" t="s">
        <v>127</v>
      </c>
      <c r="AA676" s="42"/>
      <c r="AB676" s="66"/>
      <c r="AC676" s="5" t="s">
        <v>43</v>
      </c>
      <c r="AD676" s="4" t="s">
        <v>747</v>
      </c>
      <c r="AF676" s="4" t="n">
        <v>1</v>
      </c>
      <c r="AG676" s="59" t="n">
        <v>3</v>
      </c>
      <c r="AH676" s="4" t="s">
        <v>57</v>
      </c>
    </row>
    <row r="677" customFormat="false" ht="28.5" hidden="false" customHeight="true" outlineLevel="0" collapsed="false">
      <c r="A677" s="29"/>
      <c r="B677" s="11" t="s">
        <v>37</v>
      </c>
      <c r="C677" s="11" t="s">
        <v>38</v>
      </c>
      <c r="D677" s="29" t="n">
        <v>100650</v>
      </c>
      <c r="E677" s="4" t="s">
        <v>694</v>
      </c>
      <c r="F677" s="4" t="s">
        <v>748</v>
      </c>
      <c r="G677" s="5" t="s">
        <v>749</v>
      </c>
      <c r="H677" s="6" t="n">
        <v>0</v>
      </c>
      <c r="I677" s="6" t="n">
        <f aca="false">H677</f>
        <v>0</v>
      </c>
      <c r="K677" s="4" t="s">
        <v>169</v>
      </c>
      <c r="L677" s="7" t="n">
        <v>39295</v>
      </c>
      <c r="M677" s="8" t="n">
        <v>46599</v>
      </c>
      <c r="O677" s="8" t="n">
        <v>44409</v>
      </c>
      <c r="Q677" s="9" t="n">
        <v>681</v>
      </c>
      <c r="R677" s="9" t="n">
        <f aca="false">Q677</f>
        <v>681</v>
      </c>
      <c r="T677" s="9" t="n">
        <v>700</v>
      </c>
      <c r="U677" s="9" t="n">
        <f aca="false">T677</f>
        <v>700</v>
      </c>
      <c r="V677" s="9" t="n">
        <v>700</v>
      </c>
      <c r="W677" s="9" t="n">
        <f aca="false">V677</f>
        <v>700</v>
      </c>
      <c r="X677" s="45"/>
      <c r="Y677" s="41"/>
      <c r="Z677" s="9"/>
      <c r="AA677" s="42"/>
      <c r="AB677" s="66"/>
      <c r="AC677" s="5" t="s">
        <v>43</v>
      </c>
      <c r="AD677" s="4" t="s">
        <v>750</v>
      </c>
      <c r="AG677" s="59"/>
    </row>
    <row r="678" customFormat="false" ht="28.5" hidden="false" customHeight="true" outlineLevel="0" collapsed="false">
      <c r="A678" s="29"/>
      <c r="B678" s="11" t="s">
        <v>37</v>
      </c>
      <c r="C678" s="11" t="s">
        <v>38</v>
      </c>
      <c r="D678" s="29" t="n">
        <v>100650</v>
      </c>
      <c r="E678" s="4" t="s">
        <v>694</v>
      </c>
      <c r="F678" s="4" t="s">
        <v>751</v>
      </c>
      <c r="G678" s="5" t="s">
        <v>749</v>
      </c>
      <c r="H678" s="6" t="n">
        <v>0</v>
      </c>
      <c r="I678" s="6" t="n">
        <f aca="false">H678</f>
        <v>0</v>
      </c>
      <c r="K678" s="4" t="s">
        <v>169</v>
      </c>
      <c r="L678" s="7" t="n">
        <v>39295</v>
      </c>
      <c r="M678" s="8" t="n">
        <v>46599</v>
      </c>
      <c r="O678" s="8" t="n">
        <v>44409</v>
      </c>
      <c r="Q678" s="9" t="n">
        <v>681</v>
      </c>
      <c r="R678" s="9" t="n">
        <f aca="false">Q678</f>
        <v>681</v>
      </c>
      <c r="T678" s="9" t="n">
        <v>700</v>
      </c>
      <c r="U678" s="9" t="n">
        <f aca="false">T678</f>
        <v>700</v>
      </c>
      <c r="V678" s="9" t="n">
        <v>700</v>
      </c>
      <c r="W678" s="9" t="n">
        <f aca="false">V678</f>
        <v>700</v>
      </c>
      <c r="X678" s="45"/>
      <c r="Y678" s="41"/>
      <c r="Z678" s="9"/>
      <c r="AA678" s="42"/>
      <c r="AB678" s="66"/>
      <c r="AC678" s="5" t="s">
        <v>43</v>
      </c>
      <c r="AD678" s="4" t="s">
        <v>750</v>
      </c>
      <c r="AG678" s="59"/>
    </row>
    <row r="679" customFormat="false" ht="13.5" hidden="false" customHeight="false" outlineLevel="0" collapsed="false">
      <c r="A679" s="29"/>
      <c r="B679" s="11"/>
      <c r="C679" s="11"/>
      <c r="D679" s="29"/>
      <c r="E679" s="4"/>
      <c r="T679" s="9"/>
      <c r="U679" s="9"/>
      <c r="V679" s="9"/>
      <c r="W679" s="9"/>
      <c r="X679" s="9"/>
      <c r="Y679" s="41"/>
      <c r="Z679" s="9"/>
      <c r="AA679" s="42"/>
      <c r="AB679" s="66"/>
      <c r="AC679" s="5"/>
      <c r="AG679" s="59"/>
    </row>
    <row r="680" customFormat="false" ht="14.25" hidden="false" customHeight="true" outlineLevel="0" collapsed="false">
      <c r="A680" s="29"/>
      <c r="B680" s="11"/>
      <c r="C680" s="11" t="s">
        <v>38</v>
      </c>
      <c r="D680" s="29"/>
      <c r="E680" s="4"/>
      <c r="F680" s="47" t="s">
        <v>752</v>
      </c>
      <c r="H680" s="43" t="n">
        <f aca="false">SUM(H645:H678)</f>
        <v>80660</v>
      </c>
      <c r="I680" s="44"/>
      <c r="J680" s="44"/>
      <c r="Q680" s="116" t="n">
        <f aca="false">SUM(Q645:Q678)</f>
        <v>2072281</v>
      </c>
      <c r="R680" s="44"/>
      <c r="S680" s="44" t="n">
        <f aca="false">SUM(R643:R678)</f>
        <v>2072281</v>
      </c>
      <c r="T680" s="44" t="n">
        <f aca="false">SUM(T645:T678)</f>
        <v>4617300</v>
      </c>
      <c r="U680" s="44"/>
      <c r="V680" s="44" t="n">
        <f aca="false">SUM(V645:V678)</f>
        <v>4488300</v>
      </c>
      <c r="W680" s="44"/>
      <c r="X680" s="44"/>
      <c r="Y680" s="64"/>
      <c r="Z680" s="44"/>
      <c r="AA680" s="67"/>
      <c r="AB680" s="44" t="n">
        <v>61800000</v>
      </c>
      <c r="AC680" s="5"/>
      <c r="AF680" s="60"/>
      <c r="AG680" s="62"/>
      <c r="AH680" s="60"/>
    </row>
    <row r="681" customFormat="false" ht="14.25" hidden="false" customHeight="true" outlineLevel="0" collapsed="false">
      <c r="A681" s="29"/>
      <c r="B681" s="11"/>
      <c r="C681" s="11" t="s">
        <v>38</v>
      </c>
      <c r="D681" s="29"/>
      <c r="E681" s="4"/>
      <c r="H681" s="43"/>
      <c r="I681" s="44"/>
      <c r="J681" s="44"/>
      <c r="Q681" s="44"/>
      <c r="R681" s="44"/>
      <c r="S681" s="44"/>
      <c r="T681" s="44"/>
      <c r="U681" s="44"/>
      <c r="V681" s="44"/>
      <c r="W681" s="44"/>
      <c r="X681" s="44"/>
      <c r="Y681" s="64"/>
      <c r="Z681" s="44"/>
      <c r="AA681" s="67"/>
      <c r="AB681" s="66"/>
      <c r="AC681" s="5"/>
      <c r="AG681" s="59"/>
    </row>
    <row r="682" customFormat="false" ht="14.25" hidden="false" customHeight="true" outlineLevel="0" collapsed="false">
      <c r="A682" s="29"/>
      <c r="B682" s="11"/>
      <c r="C682" s="11" t="s">
        <v>38</v>
      </c>
      <c r="D682" s="29"/>
      <c r="E682" s="4"/>
      <c r="G682" s="39" t="s">
        <v>753</v>
      </c>
      <c r="I682" s="9"/>
      <c r="J682" s="9"/>
      <c r="K682" s="40"/>
      <c r="T682" s="11"/>
      <c r="U682" s="9"/>
      <c r="V682" s="11"/>
      <c r="W682" s="9"/>
      <c r="X682" s="9"/>
      <c r="Y682" s="41"/>
      <c r="Z682" s="9"/>
      <c r="AA682" s="42"/>
      <c r="AB682" s="14"/>
      <c r="AC682" s="5"/>
      <c r="AG682" s="59"/>
    </row>
    <row r="683" customFormat="false" ht="14.25" hidden="false" customHeight="true" outlineLevel="0" collapsed="false">
      <c r="A683" s="29"/>
      <c r="B683" s="11"/>
      <c r="C683" s="11" t="s">
        <v>38</v>
      </c>
      <c r="D683" s="29"/>
      <c r="E683" s="4"/>
      <c r="G683" s="85"/>
      <c r="I683" s="9"/>
      <c r="J683" s="9"/>
      <c r="K683" s="40"/>
      <c r="T683" s="11"/>
      <c r="U683" s="9"/>
      <c r="V683" s="11"/>
      <c r="W683" s="9"/>
      <c r="X683" s="9"/>
      <c r="Y683" s="41"/>
      <c r="Z683" s="9"/>
      <c r="AA683" s="42"/>
      <c r="AB683" s="14"/>
      <c r="AC683" s="5"/>
      <c r="AG683" s="59"/>
    </row>
    <row r="684" customFormat="false" ht="14.25" hidden="false" customHeight="true" outlineLevel="0" collapsed="false">
      <c r="A684" s="29"/>
      <c r="B684" s="11" t="s">
        <v>37</v>
      </c>
      <c r="C684" s="11" t="s">
        <v>38</v>
      </c>
      <c r="D684" s="29" t="n">
        <v>100680</v>
      </c>
      <c r="E684" s="4" t="s">
        <v>753</v>
      </c>
      <c r="F684" s="4" t="s">
        <v>754</v>
      </c>
      <c r="G684" s="5" t="s">
        <v>165</v>
      </c>
      <c r="H684" s="11" t="n">
        <v>0</v>
      </c>
      <c r="I684" s="6" t="n">
        <f aca="false">H684</f>
        <v>0</v>
      </c>
      <c r="K684" s="4" t="s">
        <v>755</v>
      </c>
      <c r="L684" s="7" t="n">
        <v>44736</v>
      </c>
      <c r="M684" s="8" t="n">
        <v>46657</v>
      </c>
      <c r="Q684" s="9" t="n">
        <v>1000</v>
      </c>
      <c r="R684" s="9" t="n">
        <f aca="false">Q684</f>
        <v>1000</v>
      </c>
      <c r="T684" s="9" t="n">
        <v>1000</v>
      </c>
      <c r="U684" s="9" t="n">
        <f aca="false">T684</f>
        <v>1000</v>
      </c>
      <c r="V684" s="9" t="n">
        <v>0</v>
      </c>
      <c r="W684" s="9" t="n">
        <f aca="false">V684</f>
        <v>0</v>
      </c>
      <c r="X684" s="45"/>
      <c r="Y684" s="41"/>
      <c r="Z684" s="9"/>
      <c r="AA684" s="42"/>
      <c r="AB684" s="14"/>
      <c r="AC684" s="5" t="s">
        <v>43</v>
      </c>
      <c r="AD684" s="4" t="s">
        <v>756</v>
      </c>
      <c r="AG684" s="59"/>
    </row>
    <row r="685" customFormat="false" ht="24" hidden="false" customHeight="true" outlineLevel="0" collapsed="false">
      <c r="A685" s="29"/>
      <c r="B685" s="11" t="s">
        <v>37</v>
      </c>
      <c r="C685" s="11" t="s">
        <v>38</v>
      </c>
      <c r="D685" s="29" t="n">
        <v>100680</v>
      </c>
      <c r="E685" s="4" t="s">
        <v>753</v>
      </c>
      <c r="F685" s="4" t="s">
        <v>757</v>
      </c>
      <c r="G685" s="5" t="s">
        <v>529</v>
      </c>
      <c r="H685" s="6" t="n">
        <v>7079</v>
      </c>
      <c r="I685" s="6" t="n">
        <f aca="false">H685</f>
        <v>7079</v>
      </c>
      <c r="J685" s="6" t="n">
        <v>7000</v>
      </c>
      <c r="K685" s="4" t="s">
        <v>755</v>
      </c>
      <c r="L685" s="7" t="n">
        <v>41180</v>
      </c>
      <c r="M685" s="8" t="n">
        <v>46657</v>
      </c>
      <c r="Q685" s="9" t="n">
        <v>425033</v>
      </c>
      <c r="R685" s="9" t="n">
        <f aca="false">Q685</f>
        <v>425033</v>
      </c>
      <c r="T685" s="9" t="n">
        <v>447350</v>
      </c>
      <c r="U685" s="9" t="n">
        <f aca="false">T685</f>
        <v>447350</v>
      </c>
      <c r="V685" s="9" t="n">
        <v>360100</v>
      </c>
      <c r="W685" s="9" t="n">
        <f aca="false">V685</f>
        <v>360100</v>
      </c>
      <c r="X685" s="45" t="n">
        <f aca="false">V685/H685</f>
        <v>50.8687667749682</v>
      </c>
      <c r="Y685" s="46" t="n">
        <f aca="false">SUM(V685-T685)/T685</f>
        <v>-0.19503744271823</v>
      </c>
      <c r="Z685" s="9" t="s">
        <v>55</v>
      </c>
      <c r="AA685" s="42"/>
      <c r="AB685" s="66"/>
      <c r="AC685" s="5" t="s">
        <v>170</v>
      </c>
      <c r="AG685" s="59"/>
    </row>
    <row r="686" customFormat="false" ht="13.5" hidden="false" customHeight="false" outlineLevel="0" collapsed="false">
      <c r="A686" s="29"/>
      <c r="B686" s="11" t="s">
        <v>37</v>
      </c>
      <c r="C686" s="11" t="s">
        <v>38</v>
      </c>
      <c r="D686" s="29" t="n">
        <v>100680</v>
      </c>
      <c r="E686" s="4" t="s">
        <v>753</v>
      </c>
      <c r="F686" s="4" t="s">
        <v>758</v>
      </c>
      <c r="G686" s="5" t="s">
        <v>165</v>
      </c>
      <c r="H686" s="6" t="n">
        <v>0</v>
      </c>
      <c r="I686" s="6" t="n">
        <f aca="false">H686</f>
        <v>0</v>
      </c>
      <c r="K686" s="4" t="s">
        <v>755</v>
      </c>
      <c r="L686" s="7" t="n">
        <v>42114</v>
      </c>
      <c r="M686" s="8" t="n">
        <v>46657</v>
      </c>
      <c r="Q686" s="9" t="n">
        <v>22317</v>
      </c>
      <c r="R686" s="9" t="n">
        <f aca="false">Q686</f>
        <v>22317</v>
      </c>
      <c r="T686" s="9" t="n">
        <v>21000</v>
      </c>
      <c r="U686" s="9" t="n">
        <f aca="false">T686</f>
        <v>21000</v>
      </c>
      <c r="V686" s="9" t="n">
        <v>0</v>
      </c>
      <c r="W686" s="9" t="n">
        <f aca="false">V686</f>
        <v>0</v>
      </c>
      <c r="X686" s="45"/>
      <c r="Y686" s="46"/>
      <c r="Z686" s="9"/>
      <c r="AA686" s="42"/>
      <c r="AB686" s="66"/>
      <c r="AC686" s="5" t="s">
        <v>43</v>
      </c>
      <c r="AG686" s="59"/>
    </row>
    <row r="687" customFormat="false" ht="30" hidden="false" customHeight="true" outlineLevel="0" collapsed="false">
      <c r="A687" s="29"/>
      <c r="B687" s="11" t="s">
        <v>37</v>
      </c>
      <c r="C687" s="11" t="s">
        <v>38</v>
      </c>
      <c r="D687" s="29" t="n">
        <v>100680</v>
      </c>
      <c r="E687" s="4" t="s">
        <v>753</v>
      </c>
      <c r="F687" s="4" t="s">
        <v>759</v>
      </c>
      <c r="G687" s="11" t="s">
        <v>49</v>
      </c>
      <c r="H687" s="6" t="n">
        <v>3030</v>
      </c>
      <c r="I687" s="6" t="n">
        <f aca="false">H687</f>
        <v>3030</v>
      </c>
      <c r="J687" s="6" t="n">
        <v>3000</v>
      </c>
      <c r="K687" s="4" t="s">
        <v>760</v>
      </c>
      <c r="L687" s="7" t="n">
        <v>45711</v>
      </c>
      <c r="M687" s="8" t="n">
        <v>49362</v>
      </c>
      <c r="Q687" s="98" t="n">
        <v>500000</v>
      </c>
      <c r="R687" s="9" t="n">
        <f aca="false">Q687</f>
        <v>500000</v>
      </c>
      <c r="T687" s="9" t="n">
        <v>393300</v>
      </c>
      <c r="U687" s="9" t="n">
        <f aca="false">T687</f>
        <v>393300</v>
      </c>
      <c r="V687" s="9" t="n">
        <v>500000</v>
      </c>
      <c r="W687" s="9" t="n">
        <f aca="false">V687</f>
        <v>500000</v>
      </c>
      <c r="X687" s="45" t="n">
        <f aca="false">V687/H687</f>
        <v>165.016501650165</v>
      </c>
      <c r="Y687" s="46" t="n">
        <f aca="false">SUM(V687-T687)/T687</f>
        <v>0.271294177472667</v>
      </c>
      <c r="Z687" s="9" t="s">
        <v>42</v>
      </c>
      <c r="AA687" s="42"/>
      <c r="AB687" s="66"/>
      <c r="AC687" s="5" t="s">
        <v>43</v>
      </c>
      <c r="AD687" s="4" t="s">
        <v>77</v>
      </c>
      <c r="AG687" s="59"/>
    </row>
    <row r="688" customFormat="false" ht="28.5" hidden="false" customHeight="true" outlineLevel="0" collapsed="false">
      <c r="A688" s="29"/>
      <c r="B688" s="11" t="s">
        <v>37</v>
      </c>
      <c r="C688" s="11" t="s">
        <v>38</v>
      </c>
      <c r="D688" s="29" t="n">
        <v>100680</v>
      </c>
      <c r="E688" s="4" t="s">
        <v>753</v>
      </c>
      <c r="F688" s="4" t="s">
        <v>761</v>
      </c>
      <c r="G688" s="5" t="s">
        <v>49</v>
      </c>
      <c r="H688" s="6" t="n">
        <v>1296</v>
      </c>
      <c r="I688" s="6" t="n">
        <f aca="false">H688</f>
        <v>1296</v>
      </c>
      <c r="J688" s="6" t="n">
        <v>1250</v>
      </c>
      <c r="K688" s="4" t="s">
        <v>762</v>
      </c>
      <c r="L688" s="7" t="n">
        <v>44908</v>
      </c>
      <c r="M688" s="8" t="n">
        <v>46003</v>
      </c>
      <c r="Q688" s="9" t="n">
        <v>295000</v>
      </c>
      <c r="R688" s="9" t="n">
        <f aca="false">Q688</f>
        <v>295000</v>
      </c>
      <c r="T688" s="9" t="n">
        <v>275300</v>
      </c>
      <c r="U688" s="9" t="n">
        <f aca="false">T688</f>
        <v>275300</v>
      </c>
      <c r="V688" s="9" t="n">
        <v>333100</v>
      </c>
      <c r="W688" s="9" t="n">
        <f aca="false">V688</f>
        <v>333100</v>
      </c>
      <c r="X688" s="45" t="n">
        <f aca="false">V688/H688</f>
        <v>257.021604938272</v>
      </c>
      <c r="Y688" s="46" t="n">
        <f aca="false">SUM(V688-T688)/T688</f>
        <v>0.209952778786778</v>
      </c>
      <c r="Z688" s="9" t="s">
        <v>55</v>
      </c>
      <c r="AA688" s="42"/>
      <c r="AB688" s="66"/>
      <c r="AC688" s="5" t="s">
        <v>43</v>
      </c>
      <c r="AG688" s="59"/>
    </row>
    <row r="689" customFormat="false" ht="19.4" hidden="false" customHeight="false" outlineLevel="0" collapsed="false">
      <c r="A689" s="29"/>
      <c r="B689" s="11" t="s">
        <v>37</v>
      </c>
      <c r="C689" s="11" t="s">
        <v>38</v>
      </c>
      <c r="D689" s="29" t="n">
        <v>100680</v>
      </c>
      <c r="E689" s="4" t="s">
        <v>753</v>
      </c>
      <c r="F689" s="4" t="s">
        <v>763</v>
      </c>
      <c r="G689" s="5" t="s">
        <v>49</v>
      </c>
      <c r="H689" s="6" t="n">
        <v>1690</v>
      </c>
      <c r="I689" s="6" t="n">
        <f aca="false">H689</f>
        <v>1690</v>
      </c>
      <c r="J689" s="6" t="n">
        <v>1500</v>
      </c>
      <c r="K689" s="4" t="s">
        <v>764</v>
      </c>
      <c r="L689" s="7" t="n">
        <v>42388</v>
      </c>
      <c r="M689" s="8" t="n">
        <v>46040</v>
      </c>
      <c r="Q689" s="9" t="n">
        <v>500000</v>
      </c>
      <c r="R689" s="9" t="n">
        <f aca="false">Q689</f>
        <v>500000</v>
      </c>
      <c r="T689" s="9" t="n">
        <v>337700</v>
      </c>
      <c r="U689" s="9" t="n">
        <f aca="false">T689</f>
        <v>337700</v>
      </c>
      <c r="V689" s="9" t="n">
        <v>415900</v>
      </c>
      <c r="W689" s="9" t="n">
        <f aca="false">V689</f>
        <v>415900</v>
      </c>
      <c r="X689" s="45" t="n">
        <f aca="false">V689/H689</f>
        <v>246.094674556213</v>
      </c>
      <c r="Y689" s="46" t="n">
        <f aca="false">SUM(V689-T689)/T689</f>
        <v>0.231566479123482</v>
      </c>
      <c r="Z689" s="9" t="s">
        <v>55</v>
      </c>
      <c r="AA689" s="42"/>
      <c r="AB689" s="66"/>
      <c r="AC689" s="5" t="s">
        <v>43</v>
      </c>
      <c r="AG689" s="59"/>
    </row>
    <row r="690" customFormat="false" ht="19.4" hidden="false" customHeight="false" outlineLevel="0" collapsed="false">
      <c r="A690" s="29"/>
      <c r="B690" s="11" t="s">
        <v>37</v>
      </c>
      <c r="C690" s="11" t="s">
        <v>38</v>
      </c>
      <c r="D690" s="29" t="n">
        <v>100680</v>
      </c>
      <c r="E690" s="4" t="s">
        <v>753</v>
      </c>
      <c r="F690" s="4" t="s">
        <v>765</v>
      </c>
      <c r="G690" s="5" t="s">
        <v>49</v>
      </c>
      <c r="H690" s="6" t="n">
        <v>2304</v>
      </c>
      <c r="I690" s="6" t="n">
        <f aca="false">H690</f>
        <v>2304</v>
      </c>
      <c r="J690" s="6" t="n">
        <v>2250</v>
      </c>
      <c r="K690" s="4" t="s">
        <v>766</v>
      </c>
      <c r="L690" s="118" t="n">
        <v>45748</v>
      </c>
      <c r="Q690" s="98" t="n">
        <v>255000</v>
      </c>
      <c r="R690" s="9" t="n">
        <f aca="false">Q690</f>
        <v>255000</v>
      </c>
      <c r="T690" s="9" t="n">
        <v>371300</v>
      </c>
      <c r="U690" s="9" t="n">
        <f aca="false">T690</f>
        <v>371300</v>
      </c>
      <c r="V690" s="9" t="n">
        <v>426800</v>
      </c>
      <c r="W690" s="9" t="n">
        <f aca="false">V690</f>
        <v>426800</v>
      </c>
      <c r="X690" s="45" t="n">
        <f aca="false">V690/H690</f>
        <v>185.243055555556</v>
      </c>
      <c r="Y690" s="46" t="n">
        <f aca="false">SUM(V690-T690)/T690</f>
        <v>0.149474818206302</v>
      </c>
      <c r="Z690" s="9" t="s">
        <v>42</v>
      </c>
      <c r="AA690" s="42"/>
      <c r="AB690" s="66"/>
      <c r="AC690" s="5" t="s">
        <v>43</v>
      </c>
      <c r="AD690" s="60" t="s">
        <v>767</v>
      </c>
      <c r="AG690" s="59"/>
    </row>
    <row r="691" customFormat="false" ht="24.75" hidden="false" customHeight="true" outlineLevel="0" collapsed="false">
      <c r="A691" s="29"/>
      <c r="B691" s="11" t="s">
        <v>37</v>
      </c>
      <c r="C691" s="11" t="s">
        <v>38</v>
      </c>
      <c r="D691" s="29" t="n">
        <v>100680</v>
      </c>
      <c r="E691" s="4" t="s">
        <v>753</v>
      </c>
      <c r="F691" s="4" t="s">
        <v>768</v>
      </c>
      <c r="G691" s="5" t="s">
        <v>40</v>
      </c>
      <c r="H691" s="6" t="n">
        <v>7519</v>
      </c>
      <c r="I691" s="6" t="n">
        <f aca="false">H691</f>
        <v>7519</v>
      </c>
      <c r="J691" s="6" t="n">
        <v>7500</v>
      </c>
      <c r="K691" s="4" t="s">
        <v>769</v>
      </c>
      <c r="L691" s="7" t="n">
        <v>45231</v>
      </c>
      <c r="M691" s="8" t="n">
        <v>45961</v>
      </c>
      <c r="Q691" s="9" t="n">
        <v>450600</v>
      </c>
      <c r="R691" s="9" t="n">
        <f aca="false">Q691</f>
        <v>450600</v>
      </c>
      <c r="S691" s="146"/>
      <c r="T691" s="9" t="n">
        <v>489500</v>
      </c>
      <c r="U691" s="9" t="n">
        <f aca="false">T691</f>
        <v>489500</v>
      </c>
      <c r="V691" s="9" t="n">
        <v>469900</v>
      </c>
      <c r="W691" s="9" t="n">
        <f aca="false">V691</f>
        <v>469900</v>
      </c>
      <c r="X691" s="45" t="n">
        <f aca="false">V691/H691</f>
        <v>62.4950126346589</v>
      </c>
      <c r="Y691" s="46" t="n">
        <f aca="false">SUM(V691-T691)/T691</f>
        <v>-0.0400408580183861</v>
      </c>
      <c r="Z691" s="9" t="s">
        <v>60</v>
      </c>
      <c r="AA691" s="42"/>
      <c r="AB691" s="66"/>
      <c r="AC691" s="5" t="s">
        <v>43</v>
      </c>
      <c r="AG691" s="59"/>
    </row>
    <row r="692" customFormat="false" ht="37.5" hidden="false" customHeight="true" outlineLevel="0" collapsed="false">
      <c r="A692" s="29"/>
      <c r="B692" s="11" t="s">
        <v>37</v>
      </c>
      <c r="C692" s="11" t="s">
        <v>38</v>
      </c>
      <c r="D692" s="29" t="n">
        <v>100680</v>
      </c>
      <c r="E692" s="4" t="s">
        <v>753</v>
      </c>
      <c r="F692" s="4" t="s">
        <v>89</v>
      </c>
      <c r="G692" s="5" t="s">
        <v>40</v>
      </c>
      <c r="H692" s="6" t="n">
        <v>6890</v>
      </c>
      <c r="I692" s="6" t="n">
        <f aca="false">H692</f>
        <v>6890</v>
      </c>
      <c r="J692" s="6" t="n">
        <v>7000</v>
      </c>
      <c r="K692" s="4" t="s">
        <v>770</v>
      </c>
      <c r="L692" s="7" t="n">
        <v>45672</v>
      </c>
      <c r="M692" s="8" t="n">
        <v>46766</v>
      </c>
      <c r="P692" s="8" t="n">
        <v>46218</v>
      </c>
      <c r="Q692" s="9" t="n">
        <v>241776</v>
      </c>
      <c r="R692" s="9" t="n">
        <f aca="false">Q692</f>
        <v>241776</v>
      </c>
      <c r="S692" s="75"/>
      <c r="T692" s="9" t="n">
        <v>438000</v>
      </c>
      <c r="U692" s="9" t="n">
        <f aca="false">T692</f>
        <v>438000</v>
      </c>
      <c r="V692" s="9" t="n">
        <v>430600</v>
      </c>
      <c r="W692" s="9" t="n">
        <f aca="false">V692</f>
        <v>430600</v>
      </c>
      <c r="X692" s="45" t="n">
        <f aca="false">V692/H692</f>
        <v>62.4963715529753</v>
      </c>
      <c r="Y692" s="46" t="n">
        <f aca="false">SUM(V692-T692)/T692</f>
        <v>-0.0168949771689498</v>
      </c>
      <c r="Z692" s="9" t="s">
        <v>55</v>
      </c>
      <c r="AA692" s="42"/>
      <c r="AB692" s="66"/>
      <c r="AC692" s="5" t="s">
        <v>43</v>
      </c>
      <c r="AD692" s="4" t="s">
        <v>771</v>
      </c>
      <c r="AG692" s="59"/>
    </row>
    <row r="693" customFormat="false" ht="37.5" hidden="false" customHeight="true" outlineLevel="0" collapsed="false">
      <c r="A693" s="29"/>
      <c r="B693" s="11" t="s">
        <v>37</v>
      </c>
      <c r="C693" s="11" t="s">
        <v>38</v>
      </c>
      <c r="D693" s="29" t="n">
        <v>100680</v>
      </c>
      <c r="E693" s="4" t="s">
        <v>753</v>
      </c>
      <c r="F693" s="4" t="s">
        <v>93</v>
      </c>
      <c r="G693" s="5" t="s">
        <v>40</v>
      </c>
      <c r="H693" s="6" t="n">
        <v>6973</v>
      </c>
      <c r="I693" s="6" t="n">
        <f aca="false">H693</f>
        <v>6973</v>
      </c>
      <c r="J693" s="6" t="n">
        <v>7000</v>
      </c>
      <c r="K693" s="4" t="s">
        <v>770</v>
      </c>
      <c r="L693" s="7" t="n">
        <v>45672</v>
      </c>
      <c r="M693" s="8" t="n">
        <v>46766</v>
      </c>
      <c r="P693" s="8" t="n">
        <v>46218</v>
      </c>
      <c r="Q693" s="9" t="n">
        <v>242259</v>
      </c>
      <c r="R693" s="9" t="n">
        <f aca="false">Q693</f>
        <v>242259</v>
      </c>
      <c r="S693" s="75"/>
      <c r="T693" s="9" t="n">
        <v>438900</v>
      </c>
      <c r="U693" s="9" t="n">
        <f aca="false">T693</f>
        <v>438900</v>
      </c>
      <c r="V693" s="9" t="n">
        <v>435800</v>
      </c>
      <c r="W693" s="9" t="n">
        <f aca="false">V693</f>
        <v>435800</v>
      </c>
      <c r="X693" s="45" t="n">
        <f aca="false">V693/H693</f>
        <v>62.4982073712893</v>
      </c>
      <c r="Y693" s="46" t="n">
        <f aca="false">SUM(V693-T693)/T693</f>
        <v>-0.00706311232627022</v>
      </c>
      <c r="Z693" s="9" t="s">
        <v>55</v>
      </c>
      <c r="AA693" s="42"/>
      <c r="AB693" s="66"/>
      <c r="AC693" s="5" t="s">
        <v>43</v>
      </c>
      <c r="AD693" s="4" t="s">
        <v>772</v>
      </c>
      <c r="AG693" s="59"/>
    </row>
    <row r="694" customFormat="false" ht="22.5" hidden="false" customHeight="true" outlineLevel="0" collapsed="false">
      <c r="A694" s="29"/>
      <c r="B694" s="11" t="s">
        <v>37</v>
      </c>
      <c r="C694" s="11" t="s">
        <v>38</v>
      </c>
      <c r="D694" s="29" t="n">
        <v>100680</v>
      </c>
      <c r="E694" s="4" t="s">
        <v>753</v>
      </c>
      <c r="F694" s="4" t="s">
        <v>94</v>
      </c>
      <c r="G694" s="5" t="s">
        <v>40</v>
      </c>
      <c r="H694" s="6" t="n">
        <v>6999</v>
      </c>
      <c r="I694" s="6" t="n">
        <f aca="false">H694</f>
        <v>6999</v>
      </c>
      <c r="J694" s="6" t="n">
        <v>7000</v>
      </c>
      <c r="K694" s="4" t="s">
        <v>67</v>
      </c>
      <c r="N694" s="8" t="n">
        <v>45673</v>
      </c>
      <c r="Q694" s="9" t="n">
        <v>0</v>
      </c>
      <c r="R694" s="9" t="n">
        <f aca="false">Q694</f>
        <v>0</v>
      </c>
      <c r="S694" s="75"/>
      <c r="T694" s="9" t="n">
        <v>448100</v>
      </c>
      <c r="U694" s="9" t="n">
        <f aca="false">T694</f>
        <v>448100</v>
      </c>
      <c r="V694" s="9" t="n">
        <v>437400</v>
      </c>
      <c r="W694" s="9" t="n">
        <f aca="false">V694</f>
        <v>437400</v>
      </c>
      <c r="X694" s="45" t="n">
        <f aca="false">V694/H694</f>
        <v>62.4946420917274</v>
      </c>
      <c r="Y694" s="46" t="n">
        <f aca="false">SUM(V694-T694)/T694</f>
        <v>-0.0238785985271145</v>
      </c>
      <c r="Z694" s="9" t="s">
        <v>60</v>
      </c>
      <c r="AA694" s="42"/>
      <c r="AB694" s="66"/>
      <c r="AC694" s="5" t="s">
        <v>43</v>
      </c>
      <c r="AD694" s="4" t="s">
        <v>773</v>
      </c>
      <c r="AF694" s="4" t="n">
        <v>2</v>
      </c>
      <c r="AG694" s="59" t="n">
        <v>9</v>
      </c>
      <c r="AH694" s="4" t="s">
        <v>57</v>
      </c>
    </row>
    <row r="695" customFormat="false" ht="24" hidden="false" customHeight="true" outlineLevel="0" collapsed="false">
      <c r="A695" s="29"/>
      <c r="B695" s="11" t="s">
        <v>37</v>
      </c>
      <c r="C695" s="11" t="s">
        <v>38</v>
      </c>
      <c r="D695" s="29" t="n">
        <v>100680</v>
      </c>
      <c r="E695" s="4" t="s">
        <v>753</v>
      </c>
      <c r="F695" s="4" t="s">
        <v>118</v>
      </c>
      <c r="G695" s="5" t="s">
        <v>40</v>
      </c>
      <c r="H695" s="6" t="n">
        <v>7007</v>
      </c>
      <c r="I695" s="6" t="n">
        <f aca="false">H695</f>
        <v>7007</v>
      </c>
      <c r="J695" s="6" t="n">
        <v>7000</v>
      </c>
      <c r="K695" s="4" t="s">
        <v>770</v>
      </c>
      <c r="L695" s="7" t="n">
        <v>45672</v>
      </c>
      <c r="M695" s="8" t="n">
        <v>46766</v>
      </c>
      <c r="P695" s="8" t="n">
        <v>46218</v>
      </c>
      <c r="Q695" s="9" t="n">
        <v>252885</v>
      </c>
      <c r="R695" s="9" t="n">
        <f aca="false">Q695</f>
        <v>252885</v>
      </c>
      <c r="S695" s="75"/>
      <c r="T695" s="9" t="n">
        <v>458100</v>
      </c>
      <c r="U695" s="9" t="n">
        <f aca="false">T695</f>
        <v>458100</v>
      </c>
      <c r="V695" s="9" t="n">
        <v>437900</v>
      </c>
      <c r="W695" s="9" t="n">
        <f aca="false">V695</f>
        <v>437900</v>
      </c>
      <c r="X695" s="45" t="n">
        <f aca="false">V695/H695</f>
        <v>62.4946482089339</v>
      </c>
      <c r="Y695" s="46" t="n">
        <f aca="false">SUM(V695-T695)/T695</f>
        <v>-0.0440951757258241</v>
      </c>
      <c r="Z695" s="9" t="s">
        <v>55</v>
      </c>
      <c r="AA695" s="42"/>
      <c r="AB695" s="66"/>
      <c r="AC695" s="5" t="s">
        <v>43</v>
      </c>
      <c r="AD695" s="4" t="s">
        <v>774</v>
      </c>
      <c r="AG695" s="59"/>
    </row>
    <row r="696" customFormat="false" ht="24" hidden="false" customHeight="true" outlineLevel="0" collapsed="false">
      <c r="A696" s="29"/>
      <c r="B696" s="11" t="s">
        <v>37</v>
      </c>
      <c r="C696" s="11" t="s">
        <v>38</v>
      </c>
      <c r="D696" s="29" t="n">
        <v>100680</v>
      </c>
      <c r="E696" s="4" t="s">
        <v>753</v>
      </c>
      <c r="F696" s="4" t="s">
        <v>180</v>
      </c>
      <c r="G696" s="5" t="s">
        <v>40</v>
      </c>
      <c r="H696" s="6" t="n">
        <v>6662</v>
      </c>
      <c r="I696" s="6" t="n">
        <f aca="false">H696</f>
        <v>6662</v>
      </c>
      <c r="J696" s="6" t="n">
        <v>6500</v>
      </c>
      <c r="K696" s="4" t="s">
        <v>770</v>
      </c>
      <c r="L696" s="7" t="n">
        <v>45672</v>
      </c>
      <c r="M696" s="8" t="n">
        <v>46766</v>
      </c>
      <c r="P696" s="8" t="n">
        <v>46218</v>
      </c>
      <c r="Q696" s="9" t="n">
        <v>252394</v>
      </c>
      <c r="R696" s="9" t="n">
        <f aca="false">Q696</f>
        <v>252394</v>
      </c>
      <c r="S696" s="75"/>
      <c r="T696" s="9" t="n">
        <v>434600</v>
      </c>
      <c r="U696" s="9" t="n">
        <f aca="false">T696</f>
        <v>434600</v>
      </c>
      <c r="V696" s="9" t="n">
        <v>416400</v>
      </c>
      <c r="W696" s="9" t="n">
        <f aca="false">V696</f>
        <v>416400</v>
      </c>
      <c r="X696" s="45" t="n">
        <f aca="false">V696/H696</f>
        <v>62.5037526268388</v>
      </c>
      <c r="Y696" s="46" t="n">
        <f aca="false">SUM(V696-T696)/T696</f>
        <v>-0.0418775885872066</v>
      </c>
      <c r="Z696" s="9" t="s">
        <v>55</v>
      </c>
      <c r="AA696" s="42"/>
      <c r="AB696" s="66"/>
      <c r="AC696" s="5" t="s">
        <v>43</v>
      </c>
      <c r="AD696" s="4" t="s">
        <v>775</v>
      </c>
      <c r="AG696" s="59"/>
    </row>
    <row r="697" customFormat="false" ht="14.25" hidden="false" customHeight="true" outlineLevel="0" collapsed="false">
      <c r="A697" s="29"/>
      <c r="B697" s="11"/>
      <c r="C697" s="11" t="s">
        <v>38</v>
      </c>
      <c r="D697" s="29"/>
      <c r="E697" s="4"/>
      <c r="I697" s="9"/>
      <c r="J697" s="9"/>
      <c r="P697" s="77"/>
      <c r="T697" s="9"/>
      <c r="U697" s="9"/>
      <c r="V697" s="9"/>
      <c r="W697" s="9"/>
      <c r="X697" s="9"/>
      <c r="Y697" s="41"/>
      <c r="Z697" s="9"/>
      <c r="AA697" s="42"/>
      <c r="AB697" s="66"/>
      <c r="AC697" s="5"/>
      <c r="AG697" s="59"/>
    </row>
    <row r="698" customFormat="false" ht="14.25" hidden="false" customHeight="true" outlineLevel="0" collapsed="false">
      <c r="A698" s="29"/>
      <c r="B698" s="11"/>
      <c r="C698" s="11" t="s">
        <v>38</v>
      </c>
      <c r="D698" s="29"/>
      <c r="E698" s="4"/>
      <c r="F698" s="47" t="s">
        <v>776</v>
      </c>
      <c r="H698" s="43" t="n">
        <f aca="false">SUM(H684:H696)</f>
        <v>57449</v>
      </c>
      <c r="I698" s="44"/>
      <c r="J698" s="44"/>
      <c r="O698" s="77"/>
      <c r="Q698" s="116" t="n">
        <f aca="false">SUM(Q684:Q697)</f>
        <v>3438264</v>
      </c>
      <c r="R698" s="44"/>
      <c r="S698" s="44" t="n">
        <f aca="false">SUM(R683:R697)</f>
        <v>3438264</v>
      </c>
      <c r="T698" s="44" t="n">
        <f aca="false">SUM(T684:T696)</f>
        <v>4554150</v>
      </c>
      <c r="U698" s="44"/>
      <c r="V698" s="44" t="n">
        <f aca="false">SUM(V684:V696)</f>
        <v>4663900</v>
      </c>
      <c r="W698" s="44"/>
      <c r="X698" s="44"/>
      <c r="Y698" s="64"/>
      <c r="Z698" s="44"/>
      <c r="AA698" s="67"/>
      <c r="AB698" s="44" t="n">
        <v>75525000</v>
      </c>
      <c r="AC698" s="5"/>
      <c r="AF698" s="60"/>
      <c r="AG698" s="62"/>
      <c r="AH698" s="60"/>
    </row>
    <row r="699" customFormat="false" ht="14.25" hidden="false" customHeight="true" outlineLevel="0" collapsed="false">
      <c r="A699" s="29"/>
      <c r="B699" s="11"/>
      <c r="C699" s="11" t="s">
        <v>38</v>
      </c>
      <c r="D699" s="29"/>
      <c r="E699" s="4"/>
      <c r="G699" s="110"/>
      <c r="H699" s="43"/>
      <c r="I699" s="44"/>
      <c r="J699" s="44"/>
      <c r="O699" s="77"/>
      <c r="P699" s="7"/>
      <c r="Q699" s="44"/>
      <c r="R699" s="44"/>
      <c r="S699" s="44"/>
      <c r="T699" s="44"/>
      <c r="U699" s="44"/>
      <c r="V699" s="44"/>
      <c r="W699" s="44"/>
      <c r="X699" s="44"/>
      <c r="Y699" s="64"/>
      <c r="Z699" s="44"/>
      <c r="AA699" s="67"/>
      <c r="AB699" s="66"/>
      <c r="AC699" s="5"/>
      <c r="AG699" s="59"/>
    </row>
    <row r="700" customFormat="false" ht="14.25" hidden="false" customHeight="true" outlineLevel="0" collapsed="false">
      <c r="A700" s="29"/>
      <c r="B700" s="11"/>
      <c r="C700" s="11" t="s">
        <v>38</v>
      </c>
      <c r="D700" s="29"/>
      <c r="E700" s="4"/>
      <c r="G700" s="39" t="s">
        <v>777</v>
      </c>
      <c r="I700" s="9"/>
      <c r="J700" s="9"/>
      <c r="K700" s="40"/>
      <c r="T700" s="11"/>
      <c r="U700" s="9"/>
      <c r="V700" s="11"/>
      <c r="W700" s="9"/>
      <c r="X700" s="9"/>
      <c r="Y700" s="41"/>
      <c r="Z700" s="9"/>
      <c r="AA700" s="42"/>
      <c r="AB700" s="14"/>
      <c r="AC700" s="5"/>
      <c r="AG700" s="59"/>
    </row>
    <row r="701" customFormat="false" ht="14.25" hidden="false" customHeight="true" outlineLevel="0" collapsed="false">
      <c r="A701" s="29"/>
      <c r="B701" s="11"/>
      <c r="C701" s="11" t="s">
        <v>38</v>
      </c>
      <c r="D701" s="29"/>
      <c r="E701" s="4"/>
      <c r="H701" s="43"/>
      <c r="I701" s="44"/>
      <c r="J701" s="44"/>
      <c r="Q701" s="44"/>
      <c r="R701" s="44"/>
      <c r="S701" s="44"/>
      <c r="T701" s="44"/>
      <c r="U701" s="44"/>
      <c r="V701" s="44"/>
      <c r="W701" s="44"/>
      <c r="X701" s="44"/>
      <c r="Y701" s="64"/>
      <c r="Z701" s="44"/>
      <c r="AA701" s="67"/>
      <c r="AB701" s="66"/>
      <c r="AC701" s="5"/>
      <c r="AG701" s="59"/>
    </row>
    <row r="702" customFormat="false" ht="14.25" hidden="false" customHeight="true" outlineLevel="0" collapsed="false">
      <c r="A702" s="29"/>
      <c r="B702" s="11" t="s">
        <v>236</v>
      </c>
      <c r="C702" s="11" t="s">
        <v>38</v>
      </c>
      <c r="D702" s="29" t="n">
        <v>550030</v>
      </c>
      <c r="E702" s="4" t="s">
        <v>777</v>
      </c>
      <c r="F702" s="4" t="s">
        <v>592</v>
      </c>
      <c r="G702" s="5" t="s">
        <v>40</v>
      </c>
      <c r="H702" s="6" t="n">
        <v>825</v>
      </c>
      <c r="I702" s="9" t="n">
        <f aca="false">H702</f>
        <v>825</v>
      </c>
      <c r="J702" s="9" t="n">
        <v>1000</v>
      </c>
      <c r="K702" s="4" t="s">
        <v>67</v>
      </c>
      <c r="N702" s="8" t="n">
        <v>44709</v>
      </c>
      <c r="Q702" s="9" t="n">
        <v>0</v>
      </c>
      <c r="R702" s="9" t="n">
        <f aca="false">Q702</f>
        <v>0</v>
      </c>
      <c r="T702" s="9" t="n">
        <v>27200</v>
      </c>
      <c r="U702" s="9" t="n">
        <f aca="false">T702</f>
        <v>27200</v>
      </c>
      <c r="V702" s="9" t="n">
        <v>33000</v>
      </c>
      <c r="W702" s="9" t="n">
        <f aca="false">V702</f>
        <v>33000</v>
      </c>
      <c r="X702" s="45" t="n">
        <f aca="false">V702/H702</f>
        <v>40</v>
      </c>
      <c r="Y702" s="46" t="n">
        <f aca="false">SUM(V702-T702)/T702</f>
        <v>0.213235294117647</v>
      </c>
      <c r="Z702" s="9" t="s">
        <v>55</v>
      </c>
      <c r="AA702" s="42"/>
      <c r="AB702" s="66"/>
      <c r="AC702" s="5" t="s">
        <v>43</v>
      </c>
      <c r="AD702" s="4" t="s">
        <v>778</v>
      </c>
      <c r="AF702" s="4" t="n">
        <v>1</v>
      </c>
      <c r="AG702" s="59" t="n">
        <v>2</v>
      </c>
    </row>
    <row r="703" customFormat="false" ht="13.5" hidden="false" customHeight="false" outlineLevel="0" collapsed="false">
      <c r="A703" s="29"/>
      <c r="B703" s="11" t="s">
        <v>236</v>
      </c>
      <c r="C703" s="11" t="s">
        <v>38</v>
      </c>
      <c r="D703" s="29" t="n">
        <v>550030</v>
      </c>
      <c r="E703" s="4" t="s">
        <v>777</v>
      </c>
      <c r="F703" s="4" t="s">
        <v>779</v>
      </c>
      <c r="G703" s="5" t="s">
        <v>780</v>
      </c>
      <c r="H703" s="6" t="n">
        <v>0</v>
      </c>
      <c r="I703" s="9" t="n">
        <f aca="false">H703</f>
        <v>0</v>
      </c>
      <c r="J703" s="9"/>
      <c r="K703" s="4" t="s">
        <v>781</v>
      </c>
      <c r="L703" s="7" t="n">
        <v>30310</v>
      </c>
      <c r="M703" s="147" t="n">
        <v>66469</v>
      </c>
      <c r="N703" s="147"/>
      <c r="O703" s="8" t="n">
        <v>54417</v>
      </c>
      <c r="Q703" s="9" t="n">
        <v>150</v>
      </c>
      <c r="R703" s="9" t="n">
        <f aca="false">Q703</f>
        <v>150</v>
      </c>
      <c r="T703" s="9" t="n">
        <v>150</v>
      </c>
      <c r="U703" s="9" t="n">
        <f aca="false">T703</f>
        <v>150</v>
      </c>
      <c r="V703" s="9" t="n">
        <v>150</v>
      </c>
      <c r="W703" s="9" t="n">
        <f aca="false">V703</f>
        <v>150</v>
      </c>
      <c r="X703" s="45"/>
      <c r="Y703" s="41"/>
      <c r="Z703" s="9"/>
      <c r="AA703" s="42"/>
      <c r="AB703" s="66"/>
      <c r="AC703" s="5"/>
      <c r="AD703" s="60" t="s">
        <v>782</v>
      </c>
      <c r="AG703" s="59"/>
    </row>
    <row r="704" customFormat="false" ht="22.5" hidden="false" customHeight="true" outlineLevel="0" collapsed="false">
      <c r="A704" s="29"/>
      <c r="B704" s="11" t="s">
        <v>236</v>
      </c>
      <c r="C704" s="11" t="s">
        <v>38</v>
      </c>
      <c r="D704" s="29" t="n">
        <v>550030</v>
      </c>
      <c r="E704" s="4" t="s">
        <v>777</v>
      </c>
      <c r="F704" s="4" t="s">
        <v>783</v>
      </c>
      <c r="G704" s="5" t="s">
        <v>780</v>
      </c>
      <c r="H704" s="6" t="n">
        <v>0</v>
      </c>
      <c r="I704" s="9" t="n">
        <f aca="false">H704</f>
        <v>0</v>
      </c>
      <c r="J704" s="9"/>
      <c r="K704" s="4" t="s">
        <v>784</v>
      </c>
      <c r="L704" s="7" t="n">
        <v>30310</v>
      </c>
      <c r="M704" s="147" t="n">
        <v>66469</v>
      </c>
      <c r="N704" s="147"/>
      <c r="O704" s="8" t="n">
        <v>54417</v>
      </c>
      <c r="Q704" s="9" t="n">
        <v>150</v>
      </c>
      <c r="R704" s="9" t="n">
        <f aca="false">Q704</f>
        <v>150</v>
      </c>
      <c r="T704" s="9" t="n">
        <v>150</v>
      </c>
      <c r="U704" s="9" t="n">
        <f aca="false">T704</f>
        <v>150</v>
      </c>
      <c r="V704" s="9" t="n">
        <v>150</v>
      </c>
      <c r="W704" s="9" t="n">
        <f aca="false">V704</f>
        <v>150</v>
      </c>
      <c r="X704" s="45"/>
      <c r="Y704" s="41"/>
      <c r="Z704" s="9"/>
      <c r="AA704" s="42"/>
      <c r="AB704" s="66"/>
      <c r="AC704" s="5"/>
      <c r="AD704" s="60" t="s">
        <v>782</v>
      </c>
      <c r="AG704" s="59"/>
    </row>
    <row r="705" customFormat="false" ht="22.5" hidden="false" customHeight="true" outlineLevel="0" collapsed="false">
      <c r="A705" s="29"/>
      <c r="B705" s="11" t="s">
        <v>236</v>
      </c>
      <c r="C705" s="11" t="s">
        <v>38</v>
      </c>
      <c r="D705" s="29" t="n">
        <v>550030</v>
      </c>
      <c r="E705" s="4" t="s">
        <v>777</v>
      </c>
      <c r="F705" s="4" t="s">
        <v>785</v>
      </c>
      <c r="G705" s="5" t="s">
        <v>780</v>
      </c>
      <c r="H705" s="6" t="n">
        <v>0</v>
      </c>
      <c r="I705" s="9" t="n">
        <f aca="false">H705</f>
        <v>0</v>
      </c>
      <c r="J705" s="9"/>
      <c r="K705" s="4" t="s">
        <v>786</v>
      </c>
      <c r="L705" s="7" t="n">
        <v>30310</v>
      </c>
      <c r="M705" s="147" t="n">
        <v>99340</v>
      </c>
      <c r="N705" s="147"/>
      <c r="Q705" s="9" t="n">
        <v>0</v>
      </c>
      <c r="R705" s="9" t="n">
        <f aca="false">Q705</f>
        <v>0</v>
      </c>
      <c r="T705" s="9" t="n">
        <v>150</v>
      </c>
      <c r="U705" s="9" t="n">
        <f aca="false">T705</f>
        <v>150</v>
      </c>
      <c r="V705" s="9" t="n">
        <v>150</v>
      </c>
      <c r="W705" s="9" t="n">
        <f aca="false">V705</f>
        <v>150</v>
      </c>
      <c r="X705" s="45"/>
      <c r="Y705" s="41"/>
      <c r="Z705" s="9"/>
      <c r="AA705" s="42"/>
      <c r="AB705" s="66"/>
      <c r="AC705" s="5"/>
      <c r="AD705" s="4" t="s">
        <v>787</v>
      </c>
      <c r="AG705" s="59"/>
    </row>
    <row r="706" customFormat="false" ht="22.5" hidden="false" customHeight="true" outlineLevel="0" collapsed="false">
      <c r="A706" s="29"/>
      <c r="B706" s="11" t="s">
        <v>236</v>
      </c>
      <c r="C706" s="11" t="s">
        <v>38</v>
      </c>
      <c r="D706" s="29" t="n">
        <v>550030</v>
      </c>
      <c r="E706" s="4" t="s">
        <v>777</v>
      </c>
      <c r="F706" s="4" t="s">
        <v>788</v>
      </c>
      <c r="G706" s="5" t="s">
        <v>780</v>
      </c>
      <c r="H706" s="6" t="n">
        <v>0</v>
      </c>
      <c r="I706" s="9" t="n">
        <f aca="false">H706</f>
        <v>0</v>
      </c>
      <c r="J706" s="9"/>
      <c r="K706" s="4" t="s">
        <v>789</v>
      </c>
      <c r="L706" s="7" t="n">
        <v>30310</v>
      </c>
      <c r="M706" s="147" t="n">
        <v>66469</v>
      </c>
      <c r="N706" s="147"/>
      <c r="O706" s="8" t="n">
        <v>54417</v>
      </c>
      <c r="Q706" s="9" t="n">
        <v>0</v>
      </c>
      <c r="R706" s="9" t="n">
        <f aca="false">Q706</f>
        <v>0</v>
      </c>
      <c r="T706" s="9" t="n">
        <v>150</v>
      </c>
      <c r="U706" s="9" t="n">
        <f aca="false">T706</f>
        <v>150</v>
      </c>
      <c r="V706" s="9" t="n">
        <v>150</v>
      </c>
      <c r="W706" s="9" t="n">
        <f aca="false">V706</f>
        <v>150</v>
      </c>
      <c r="X706" s="45"/>
      <c r="Y706" s="41"/>
      <c r="Z706" s="9"/>
      <c r="AA706" s="42"/>
      <c r="AB706" s="66"/>
      <c r="AC706" s="5"/>
      <c r="AD706" s="4" t="s">
        <v>787</v>
      </c>
      <c r="AG706" s="59"/>
    </row>
    <row r="707" customFormat="false" ht="14.25" hidden="false" customHeight="true" outlineLevel="0" collapsed="false">
      <c r="A707" s="29"/>
      <c r="B707" s="11"/>
      <c r="C707" s="11" t="s">
        <v>38</v>
      </c>
      <c r="D707" s="29"/>
      <c r="E707" s="4"/>
      <c r="G707" s="110"/>
      <c r="H707" s="29"/>
      <c r="I707" s="9"/>
      <c r="J707" s="9"/>
      <c r="Q707" s="44"/>
      <c r="R707" s="44"/>
      <c r="S707" s="44"/>
      <c r="T707" s="44"/>
      <c r="U707" s="44"/>
      <c r="V707" s="44"/>
      <c r="W707" s="44"/>
      <c r="X707" s="44"/>
      <c r="Y707" s="64"/>
      <c r="Z707" s="44"/>
      <c r="AA707" s="67"/>
      <c r="AB707" s="66"/>
      <c r="AC707" s="5"/>
      <c r="AG707" s="59"/>
    </row>
    <row r="708" customFormat="false" ht="14.25" hidden="false" customHeight="true" outlineLevel="0" collapsed="false">
      <c r="A708" s="29"/>
      <c r="B708" s="11"/>
      <c r="C708" s="11" t="s">
        <v>38</v>
      </c>
      <c r="D708" s="29"/>
      <c r="E708" s="4"/>
      <c r="F708" s="47" t="s">
        <v>777</v>
      </c>
      <c r="G708" s="148"/>
      <c r="H708" s="43" t="n">
        <f aca="false">SUM(H702:H706)</f>
        <v>825</v>
      </c>
      <c r="I708" s="44"/>
      <c r="J708" s="44"/>
      <c r="K708" s="94"/>
      <c r="L708" s="132"/>
      <c r="Q708" s="44" t="n">
        <f aca="false">SUM(Q702:Q706)</f>
        <v>300</v>
      </c>
      <c r="R708" s="44"/>
      <c r="S708" s="44" t="n">
        <f aca="false">SUM(R701:R707)</f>
        <v>300</v>
      </c>
      <c r="T708" s="44" t="n">
        <f aca="false">SUM(T702:T706)</f>
        <v>27800</v>
      </c>
      <c r="U708" s="44"/>
      <c r="V708" s="44" t="n">
        <f aca="false">SUM(V702:V706)</f>
        <v>33600</v>
      </c>
      <c r="W708" s="44"/>
      <c r="X708" s="44"/>
      <c r="Y708" s="64"/>
      <c r="Z708" s="44"/>
      <c r="AA708" s="67"/>
      <c r="AB708" s="44" t="n">
        <v>300000</v>
      </c>
      <c r="AC708" s="5"/>
      <c r="AG708" s="59"/>
    </row>
    <row r="709" customFormat="false" ht="14.25" hidden="false" customHeight="true" outlineLevel="0" collapsed="false">
      <c r="A709" s="29"/>
      <c r="B709" s="11"/>
      <c r="C709" s="11" t="s">
        <v>38</v>
      </c>
      <c r="D709" s="29"/>
      <c r="E709" s="4"/>
      <c r="G709" s="110"/>
      <c r="H709" s="43"/>
      <c r="I709" s="44"/>
      <c r="J709" s="44"/>
      <c r="Q709" s="44"/>
      <c r="R709" s="44"/>
      <c r="S709" s="44"/>
      <c r="T709" s="44"/>
      <c r="U709" s="44"/>
      <c r="V709" s="44"/>
      <c r="W709" s="44"/>
      <c r="X709" s="44"/>
      <c r="Y709" s="64"/>
      <c r="Z709" s="44"/>
      <c r="AA709" s="67"/>
      <c r="AB709" s="66"/>
      <c r="AC709" s="5"/>
      <c r="AG709" s="59"/>
    </row>
    <row r="710" customFormat="false" ht="14.25" hidden="false" customHeight="true" outlineLevel="0" collapsed="false">
      <c r="A710" s="29"/>
      <c r="B710" s="11"/>
      <c r="C710" s="11" t="s">
        <v>38</v>
      </c>
      <c r="D710" s="29"/>
      <c r="E710" s="4"/>
      <c r="G710" s="39" t="s">
        <v>790</v>
      </c>
      <c r="I710" s="9"/>
      <c r="J710" s="9"/>
      <c r="K710" s="40"/>
      <c r="P710" s="51"/>
      <c r="T710" s="11"/>
      <c r="U710" s="9"/>
      <c r="V710" s="11"/>
      <c r="W710" s="9"/>
      <c r="X710" s="9"/>
      <c r="Y710" s="41"/>
      <c r="Z710" s="9"/>
      <c r="AA710" s="42"/>
      <c r="AB710" s="14"/>
      <c r="AC710" s="5"/>
      <c r="AG710" s="59"/>
    </row>
    <row r="711" customFormat="false" ht="14.25" hidden="false" customHeight="true" outlineLevel="0" collapsed="false">
      <c r="A711" s="29"/>
      <c r="B711" s="11"/>
      <c r="C711" s="11" t="s">
        <v>38</v>
      </c>
      <c r="D711" s="29"/>
      <c r="E711" s="4"/>
      <c r="I711" s="9"/>
      <c r="J711" s="9"/>
      <c r="P711" s="51"/>
      <c r="T711" s="9"/>
      <c r="U711" s="9"/>
      <c r="V711" s="9"/>
      <c r="W711" s="9"/>
      <c r="X711" s="9"/>
      <c r="Y711" s="41"/>
      <c r="Z711" s="9"/>
      <c r="AA711" s="42"/>
      <c r="AB711" s="14"/>
      <c r="AC711" s="5"/>
      <c r="AG711" s="59"/>
    </row>
    <row r="712" customFormat="false" ht="19.4" hidden="false" customHeight="false" outlineLevel="0" collapsed="false">
      <c r="A712" s="29"/>
      <c r="B712" s="11" t="s">
        <v>236</v>
      </c>
      <c r="C712" s="11" t="s">
        <v>38</v>
      </c>
      <c r="D712" s="29" t="n">
        <v>550760</v>
      </c>
      <c r="E712" s="4" t="s">
        <v>790</v>
      </c>
      <c r="F712" s="4" t="s">
        <v>39</v>
      </c>
      <c r="G712" s="5" t="s">
        <v>791</v>
      </c>
      <c r="H712" s="43" t="n">
        <v>2085</v>
      </c>
      <c r="I712" s="9" t="n">
        <f aca="false">H712</f>
        <v>2085</v>
      </c>
      <c r="J712" s="9" t="n">
        <v>2000</v>
      </c>
      <c r="K712" s="4" t="s">
        <v>792</v>
      </c>
      <c r="L712" s="7" t="n">
        <v>45741</v>
      </c>
      <c r="M712" s="8" t="n">
        <v>46836</v>
      </c>
      <c r="P712" s="8" t="n">
        <v>46289</v>
      </c>
      <c r="Q712" s="44" t="n">
        <v>90000</v>
      </c>
      <c r="R712" s="9" t="n">
        <f aca="false">Q712</f>
        <v>90000</v>
      </c>
      <c r="S712" s="44" t="n">
        <f aca="false">R712</f>
        <v>90000</v>
      </c>
      <c r="T712" s="44" t="n">
        <v>80000</v>
      </c>
      <c r="U712" s="9" t="n">
        <f aca="false">T712</f>
        <v>80000</v>
      </c>
      <c r="V712" s="44" t="n">
        <v>79600</v>
      </c>
      <c r="W712" s="9" t="n">
        <f aca="false">V712</f>
        <v>79600</v>
      </c>
      <c r="X712" s="45" t="n">
        <f aca="false">V712/H712</f>
        <v>38.1774580335731</v>
      </c>
      <c r="Y712" s="46" t="n">
        <f aca="false">SUM(V712-T712)/T712</f>
        <v>-0.005</v>
      </c>
      <c r="Z712" s="9" t="s">
        <v>60</v>
      </c>
      <c r="AA712" s="42"/>
      <c r="AB712" s="44" t="n">
        <v>1200000</v>
      </c>
      <c r="AC712" s="5" t="s">
        <v>43</v>
      </c>
      <c r="AD712" s="4" t="s">
        <v>793</v>
      </c>
      <c r="AG712" s="59"/>
    </row>
    <row r="713" customFormat="false" ht="14.25" hidden="false" customHeight="true" outlineLevel="0" collapsed="false">
      <c r="A713" s="29"/>
      <c r="B713" s="11"/>
      <c r="C713" s="11"/>
      <c r="D713" s="29"/>
      <c r="E713" s="4"/>
      <c r="F713" s="47" t="s">
        <v>790</v>
      </c>
      <c r="H713" s="48"/>
      <c r="I713" s="43"/>
      <c r="J713" s="43"/>
      <c r="K713" s="49"/>
      <c r="L713" s="50"/>
      <c r="M713" s="51"/>
      <c r="N713" s="51"/>
      <c r="O713" s="51"/>
      <c r="Q713" s="43"/>
      <c r="R713" s="48"/>
      <c r="S713" s="48"/>
      <c r="T713" s="48" t="n">
        <f aca="false">SUM(T712)</f>
        <v>80000</v>
      </c>
      <c r="U713" s="48"/>
      <c r="V713" s="48" t="n">
        <f aca="false">SUM(V712)</f>
        <v>79600</v>
      </c>
      <c r="W713" s="48"/>
      <c r="X713" s="48"/>
      <c r="Y713" s="52"/>
      <c r="Z713" s="48"/>
      <c r="AA713" s="53"/>
      <c r="AB713" s="44"/>
      <c r="AC713" s="5"/>
      <c r="AG713" s="59"/>
    </row>
    <row r="714" customFormat="false" ht="14.25" hidden="false" customHeight="true" outlineLevel="0" collapsed="false">
      <c r="H714" s="43"/>
      <c r="I714" s="43"/>
      <c r="J714" s="43"/>
      <c r="Q714" s="44"/>
      <c r="R714" s="44"/>
      <c r="S714" s="44"/>
      <c r="T714" s="44"/>
      <c r="U714" s="44"/>
      <c r="V714" s="44"/>
      <c r="W714" s="44"/>
      <c r="X714" s="44"/>
      <c r="Y714" s="64"/>
      <c r="Z714" s="44"/>
      <c r="AA714" s="67"/>
      <c r="AB714" s="66"/>
      <c r="AC714" s="66"/>
      <c r="AG714" s="59"/>
    </row>
    <row r="715" customFormat="false" ht="14.25" hidden="false" customHeight="true" outlineLevel="0" collapsed="false">
      <c r="F715" s="149" t="s">
        <v>794</v>
      </c>
      <c r="G715" s="150"/>
      <c r="H715" s="151" t="n">
        <f aca="false">I715</f>
        <v>805024</v>
      </c>
      <c r="I715" s="151" t="n">
        <f aca="false">SUM(I5:I714)</f>
        <v>805024</v>
      </c>
      <c r="J715" s="151"/>
      <c r="K715" s="152"/>
      <c r="L715" s="153"/>
      <c r="M715" s="154"/>
      <c r="N715" s="154"/>
      <c r="O715" s="154"/>
      <c r="P715" s="154"/>
      <c r="Q715" s="151" t="n">
        <f aca="false">SUM(R7:R712)</f>
        <v>35188334</v>
      </c>
      <c r="R715" s="155"/>
      <c r="S715" s="155"/>
      <c r="T715" s="151" t="n">
        <f aca="false">SUM(U7:U712)</f>
        <v>44330416</v>
      </c>
      <c r="U715" s="155"/>
      <c r="V715" s="151" t="n">
        <f aca="false">SUM(W7:W712)</f>
        <v>46279664</v>
      </c>
      <c r="W715" s="155"/>
      <c r="X715" s="155"/>
      <c r="Y715" s="156"/>
      <c r="Z715" s="155"/>
      <c r="AA715" s="157"/>
      <c r="AB715" s="151" t="n">
        <f aca="false">SUM(AB7:AB712)</f>
        <v>738695000</v>
      </c>
      <c r="AC715" s="158"/>
      <c r="AD715" s="152"/>
      <c r="AE715" s="159"/>
      <c r="AF715" s="160"/>
      <c r="AG715" s="161"/>
      <c r="AH715" s="160"/>
    </row>
    <row r="716" customFormat="false" ht="14.25" hidden="false" customHeight="true" outlineLevel="0" collapsed="false">
      <c r="T716" s="9"/>
      <c r="U716" s="9"/>
      <c r="V716" s="9"/>
      <c r="W716" s="9"/>
      <c r="X716" s="9"/>
      <c r="Y716" s="41"/>
      <c r="Z716" s="9"/>
      <c r="AA716" s="42"/>
      <c r="AB716" s="14"/>
      <c r="AG716" s="59"/>
    </row>
    <row r="717" customFormat="false" ht="12.75" hidden="false" customHeight="true" outlineLevel="0" collapsed="false">
      <c r="F717" s="162"/>
      <c r="G717" s="163"/>
      <c r="H717" s="164"/>
      <c r="I717" s="164"/>
      <c r="J717" s="164"/>
      <c r="K717" s="162"/>
      <c r="L717" s="165"/>
      <c r="M717" s="165"/>
      <c r="N717" s="165"/>
      <c r="O717" s="165"/>
      <c r="P717" s="165"/>
      <c r="Q717" s="166"/>
      <c r="R717" s="166"/>
      <c r="T717" s="166"/>
      <c r="U717" s="166"/>
      <c r="V717" s="166"/>
      <c r="W717" s="166"/>
      <c r="X717" s="166"/>
      <c r="Y717" s="167"/>
      <c r="Z717" s="166"/>
      <c r="AA717" s="163"/>
      <c r="AB717" s="163"/>
      <c r="AC717" s="163"/>
      <c r="AD717" s="162"/>
      <c r="AE717" s="168"/>
      <c r="AF717" s="162"/>
      <c r="AG717" s="169"/>
      <c r="AH717" s="162"/>
    </row>
    <row r="718" customFormat="false" ht="12.75" hidden="false" customHeight="true" outlineLevel="0" collapsed="false">
      <c r="F718" s="162"/>
      <c r="G718" s="170" t="s">
        <v>795</v>
      </c>
      <c r="H718" s="164"/>
      <c r="I718" s="164"/>
      <c r="J718" s="164"/>
      <c r="K718" s="162"/>
      <c r="L718" s="165"/>
      <c r="M718" s="165"/>
      <c r="N718" s="165"/>
      <c r="O718" s="165"/>
      <c r="P718" s="165"/>
      <c r="Q718" s="166"/>
      <c r="R718" s="166"/>
      <c r="T718" s="166"/>
      <c r="U718" s="166"/>
      <c r="V718" s="166"/>
      <c r="W718" s="166"/>
      <c r="X718" s="166"/>
      <c r="Y718" s="167"/>
      <c r="Z718" s="166"/>
      <c r="AA718" s="163"/>
      <c r="AB718" s="163"/>
      <c r="AC718" s="163"/>
      <c r="AD718" s="162"/>
      <c r="AE718" s="168"/>
      <c r="AF718" s="162"/>
      <c r="AG718" s="169"/>
      <c r="AH718" s="162"/>
    </row>
    <row r="719" customFormat="false" ht="12.75" hidden="false" customHeight="true" outlineLevel="0" collapsed="false">
      <c r="F719" s="162"/>
      <c r="G719" s="163"/>
      <c r="H719" s="164"/>
      <c r="I719" s="164"/>
      <c r="J719" s="164"/>
      <c r="K719" s="162"/>
      <c r="L719" s="165"/>
      <c r="M719" s="165"/>
      <c r="N719" s="165"/>
      <c r="O719" s="165"/>
      <c r="P719" s="165"/>
      <c r="Q719" s="166"/>
      <c r="R719" s="166"/>
      <c r="T719" s="166"/>
      <c r="U719" s="166"/>
      <c r="V719" s="166"/>
      <c r="W719" s="166"/>
      <c r="X719" s="166"/>
      <c r="Y719" s="167"/>
      <c r="Z719" s="166"/>
      <c r="AA719" s="163"/>
      <c r="AB719" s="163"/>
      <c r="AC719" s="163"/>
      <c r="AD719" s="162"/>
      <c r="AE719" s="168"/>
      <c r="AF719" s="162"/>
      <c r="AG719" s="169"/>
      <c r="AH719" s="162"/>
    </row>
    <row r="720" s="171" customFormat="true" ht="16.5" hidden="false" customHeight="true" outlineLevel="0" collapsed="false">
      <c r="B720" s="11" t="s">
        <v>189</v>
      </c>
      <c r="C720" s="11" t="s">
        <v>796</v>
      </c>
      <c r="D720" s="172" t="n">
        <v>800200</v>
      </c>
      <c r="E720" s="172" t="s">
        <v>795</v>
      </c>
      <c r="F720" s="172" t="s">
        <v>39</v>
      </c>
      <c r="G720" s="173" t="s">
        <v>797</v>
      </c>
      <c r="H720" s="174" t="n">
        <v>3122</v>
      </c>
      <c r="I720" s="175" t="n">
        <f aca="false">H720</f>
        <v>3122</v>
      </c>
      <c r="J720" s="175" t="n">
        <v>3000</v>
      </c>
      <c r="K720" s="172" t="s">
        <v>798</v>
      </c>
      <c r="L720" s="176" t="n">
        <v>42580</v>
      </c>
      <c r="M720" s="176" t="n">
        <v>46231</v>
      </c>
      <c r="N720" s="176"/>
      <c r="O720" s="176" t="n">
        <v>44406</v>
      </c>
      <c r="P720" s="176"/>
      <c r="Q720" s="177" t="n">
        <v>170000</v>
      </c>
      <c r="R720" s="174" t="n">
        <f aca="false">Q720</f>
        <v>170000</v>
      </c>
      <c r="S720" s="9"/>
      <c r="T720" s="177" t="n">
        <v>124100</v>
      </c>
      <c r="U720" s="175" t="n">
        <f aca="false">T720</f>
        <v>124100</v>
      </c>
      <c r="V720" s="177" t="n">
        <v>124100</v>
      </c>
      <c r="W720" s="175" t="n">
        <f aca="false">V720</f>
        <v>124100</v>
      </c>
      <c r="X720" s="45" t="n">
        <f aca="false">V720/H720</f>
        <v>39.7501601537476</v>
      </c>
      <c r="Y720" s="46" t="n">
        <f aca="false">SUM(V720-T720)/T720</f>
        <v>0</v>
      </c>
      <c r="Z720" s="175" t="s">
        <v>127</v>
      </c>
      <c r="AA720" s="173"/>
      <c r="AB720" s="174" t="n">
        <v>1325000</v>
      </c>
      <c r="AC720" s="178" t="s">
        <v>43</v>
      </c>
      <c r="AD720" s="172"/>
      <c r="AE720" s="179"/>
      <c r="AF720" s="172"/>
      <c r="AG720" s="180"/>
      <c r="AH720" s="172"/>
      <c r="AJ720" s="181"/>
    </row>
    <row r="721" customFormat="false" ht="12.75" hidden="false" customHeight="true" outlineLevel="0" collapsed="false">
      <c r="D721" s="182"/>
      <c r="E721" s="182"/>
      <c r="F721" s="162"/>
      <c r="G721" s="163"/>
      <c r="H721" s="164"/>
      <c r="I721" s="164"/>
      <c r="J721" s="164"/>
      <c r="K721" s="162"/>
      <c r="L721" s="165"/>
      <c r="M721" s="165"/>
      <c r="N721" s="165"/>
      <c r="O721" s="165"/>
      <c r="P721" s="165"/>
      <c r="Q721" s="166"/>
      <c r="R721" s="164"/>
      <c r="T721" s="166"/>
      <c r="U721" s="164"/>
      <c r="V721" s="166"/>
      <c r="W721" s="164"/>
      <c r="X721" s="164"/>
      <c r="Y721" s="183"/>
      <c r="Z721" s="164"/>
      <c r="AA721" s="184"/>
      <c r="AB721" s="163"/>
      <c r="AC721" s="184"/>
      <c r="AD721" s="162"/>
      <c r="AE721" s="168"/>
      <c r="AF721" s="162"/>
      <c r="AG721" s="169"/>
      <c r="AH721" s="162"/>
    </row>
    <row r="722" customFormat="false" ht="12.75" hidden="false" customHeight="true" outlineLevel="0" collapsed="false">
      <c r="D722" s="182"/>
      <c r="E722" s="182"/>
      <c r="F722" s="162"/>
      <c r="G722" s="163"/>
      <c r="H722" s="164"/>
      <c r="I722" s="164"/>
      <c r="J722" s="164"/>
      <c r="K722" s="162"/>
      <c r="L722" s="165"/>
      <c r="M722" s="165"/>
      <c r="N722" s="165"/>
      <c r="O722" s="165"/>
      <c r="P722" s="165"/>
      <c r="Q722" s="166"/>
      <c r="R722" s="164"/>
      <c r="T722" s="166"/>
      <c r="U722" s="164"/>
      <c r="V722" s="166"/>
      <c r="W722" s="164"/>
      <c r="X722" s="164"/>
      <c r="Y722" s="183"/>
      <c r="Z722" s="164"/>
      <c r="AA722" s="163"/>
      <c r="AB722" s="163"/>
      <c r="AC722" s="163"/>
      <c r="AD722" s="162"/>
      <c r="AE722" s="168"/>
      <c r="AF722" s="162"/>
      <c r="AG722" s="169"/>
      <c r="AH722" s="162"/>
    </row>
    <row r="723" customFormat="false" ht="12.75" hidden="false" customHeight="true" outlineLevel="0" collapsed="false">
      <c r="D723" s="182"/>
      <c r="E723" s="182"/>
      <c r="F723" s="162"/>
      <c r="G723" s="170" t="s">
        <v>799</v>
      </c>
      <c r="H723" s="164"/>
      <c r="I723" s="164"/>
      <c r="J723" s="164"/>
      <c r="K723" s="162"/>
      <c r="L723" s="165"/>
      <c r="M723" s="165"/>
      <c r="N723" s="165"/>
      <c r="O723" s="165"/>
      <c r="P723" s="165"/>
      <c r="Q723" s="166"/>
      <c r="R723" s="164"/>
      <c r="T723" s="166"/>
      <c r="U723" s="164"/>
      <c r="V723" s="166"/>
      <c r="W723" s="164"/>
      <c r="X723" s="164"/>
      <c r="Y723" s="183"/>
      <c r="Z723" s="164"/>
      <c r="AA723" s="163"/>
      <c r="AB723" s="163"/>
      <c r="AC723" s="163"/>
      <c r="AD723" s="162"/>
      <c r="AE723" s="168"/>
      <c r="AF723" s="162"/>
      <c r="AG723" s="169"/>
      <c r="AH723" s="162"/>
    </row>
    <row r="724" customFormat="false" ht="12.75" hidden="false" customHeight="true" outlineLevel="0" collapsed="false">
      <c r="D724" s="182"/>
      <c r="E724" s="182"/>
      <c r="F724" s="162"/>
      <c r="G724" s="163"/>
      <c r="H724" s="164"/>
      <c r="I724" s="164"/>
      <c r="J724" s="164"/>
      <c r="K724" s="162"/>
      <c r="L724" s="165"/>
      <c r="M724" s="165"/>
      <c r="N724" s="165"/>
      <c r="O724" s="165"/>
      <c r="P724" s="165"/>
      <c r="Q724" s="166"/>
      <c r="R724" s="164"/>
      <c r="T724" s="166"/>
      <c r="U724" s="164"/>
      <c r="V724" s="166"/>
      <c r="W724" s="164"/>
      <c r="X724" s="164"/>
      <c r="Y724" s="183"/>
      <c r="Z724" s="164"/>
      <c r="AA724" s="163"/>
      <c r="AB724" s="163"/>
      <c r="AC724" s="163"/>
      <c r="AD724" s="162"/>
      <c r="AE724" s="168"/>
      <c r="AF724" s="162"/>
      <c r="AG724" s="169"/>
      <c r="AH724" s="162"/>
    </row>
    <row r="725" s="171" customFormat="true" ht="12" hidden="false" customHeight="true" outlineLevel="0" collapsed="false">
      <c r="B725" s="11" t="s">
        <v>189</v>
      </c>
      <c r="C725" s="11" t="s">
        <v>796</v>
      </c>
      <c r="D725" s="172" t="n">
        <v>800100</v>
      </c>
      <c r="E725" s="172" t="s">
        <v>799</v>
      </c>
      <c r="F725" s="172" t="s">
        <v>264</v>
      </c>
      <c r="G725" s="173" t="s">
        <v>134</v>
      </c>
      <c r="H725" s="175" t="n">
        <v>4332</v>
      </c>
      <c r="I725" s="175" t="n">
        <f aca="false">H725</f>
        <v>4332</v>
      </c>
      <c r="J725" s="175" t="n">
        <v>4250</v>
      </c>
      <c r="K725" s="109" t="s">
        <v>433</v>
      </c>
      <c r="L725" s="176" t="n">
        <v>41789</v>
      </c>
      <c r="M725" s="176" t="n">
        <v>47267</v>
      </c>
      <c r="N725" s="176"/>
      <c r="O725" s="185" t="n">
        <v>45442</v>
      </c>
      <c r="P725" s="176"/>
      <c r="Q725" s="178" t="n">
        <v>255000</v>
      </c>
      <c r="R725" s="175" t="n">
        <f aca="false">Q725</f>
        <v>255000</v>
      </c>
      <c r="S725" s="9"/>
      <c r="T725" s="178" t="n">
        <v>290500</v>
      </c>
      <c r="U725" s="175" t="n">
        <f aca="false">T725</f>
        <v>290500</v>
      </c>
      <c r="V725" s="178" t="n">
        <v>290500</v>
      </c>
      <c r="W725" s="175" t="n">
        <f aca="false">V725</f>
        <v>290500</v>
      </c>
      <c r="X725" s="45" t="n">
        <f aca="false">V725/H725</f>
        <v>67.0590951061865</v>
      </c>
      <c r="Y725" s="46" t="n">
        <f aca="false">SUM(V725-T725)/T725</f>
        <v>0</v>
      </c>
      <c r="Z725" s="175" t="s">
        <v>55</v>
      </c>
      <c r="AA725" s="186" t="s">
        <v>26</v>
      </c>
      <c r="AB725" s="186"/>
      <c r="AC725" s="178" t="s">
        <v>43</v>
      </c>
      <c r="AD725" s="172" t="s">
        <v>800</v>
      </c>
      <c r="AE725" s="179"/>
      <c r="AF725" s="172"/>
      <c r="AG725" s="180"/>
      <c r="AH725" s="172"/>
      <c r="AJ725" s="181"/>
    </row>
    <row r="726" s="171" customFormat="true" ht="12" hidden="false" customHeight="true" outlineLevel="0" collapsed="false">
      <c r="B726" s="11" t="s">
        <v>189</v>
      </c>
      <c r="C726" s="11" t="s">
        <v>796</v>
      </c>
      <c r="D726" s="172" t="n">
        <v>800100</v>
      </c>
      <c r="E726" s="172" t="s">
        <v>799</v>
      </c>
      <c r="F726" s="172" t="s">
        <v>89</v>
      </c>
      <c r="G726" s="173" t="s">
        <v>90</v>
      </c>
      <c r="H726" s="175" t="n">
        <v>1818</v>
      </c>
      <c r="I726" s="175" t="n">
        <f aca="false">H726</f>
        <v>1818</v>
      </c>
      <c r="J726" s="175" t="n">
        <v>2000</v>
      </c>
      <c r="K726" s="109" t="s">
        <v>801</v>
      </c>
      <c r="L726" s="176" t="n">
        <v>44280</v>
      </c>
      <c r="M726" s="176" t="n">
        <v>46105</v>
      </c>
      <c r="N726" s="176"/>
      <c r="O726" s="176"/>
      <c r="P726" s="176"/>
      <c r="Q726" s="178" t="n">
        <v>83000</v>
      </c>
      <c r="R726" s="175" t="n">
        <f aca="false">Q726</f>
        <v>83000</v>
      </c>
      <c r="S726" s="9"/>
      <c r="T726" s="178" t="n">
        <v>111800</v>
      </c>
      <c r="U726" s="175" t="n">
        <f aca="false">T726</f>
        <v>111800</v>
      </c>
      <c r="V726" s="178" t="n">
        <v>118200</v>
      </c>
      <c r="W726" s="175" t="n">
        <f aca="false">V726</f>
        <v>118200</v>
      </c>
      <c r="X726" s="45" t="n">
        <f aca="false">V726/H726</f>
        <v>65.016501650165</v>
      </c>
      <c r="Y726" s="46" t="n">
        <f aca="false">SUM(V726-T726)/T726</f>
        <v>0.0572450805008945</v>
      </c>
      <c r="Z726" s="175" t="s">
        <v>60</v>
      </c>
      <c r="AA726" s="186"/>
      <c r="AB726" s="186"/>
      <c r="AC726" s="178" t="s">
        <v>170</v>
      </c>
      <c r="AD726" s="172"/>
      <c r="AE726" s="179"/>
      <c r="AF726" s="172"/>
      <c r="AG726" s="180"/>
      <c r="AH726" s="172"/>
      <c r="AJ726" s="181"/>
    </row>
    <row r="727" s="171" customFormat="true" ht="12" hidden="false" customHeight="true" outlineLevel="0" collapsed="false">
      <c r="B727" s="11" t="s">
        <v>189</v>
      </c>
      <c r="C727" s="11" t="s">
        <v>796</v>
      </c>
      <c r="D727" s="172" t="n">
        <v>800100</v>
      </c>
      <c r="E727" s="172" t="s">
        <v>799</v>
      </c>
      <c r="F727" s="172" t="s">
        <v>93</v>
      </c>
      <c r="G727" s="173" t="s">
        <v>90</v>
      </c>
      <c r="H727" s="175" t="n">
        <v>1829</v>
      </c>
      <c r="I727" s="175" t="n">
        <f aca="false">H727</f>
        <v>1829</v>
      </c>
      <c r="J727" s="175" t="n">
        <v>2000</v>
      </c>
      <c r="K727" s="109" t="s">
        <v>802</v>
      </c>
      <c r="L727" s="176" t="n">
        <v>45715</v>
      </c>
      <c r="M727" s="176" t="n">
        <v>47540</v>
      </c>
      <c r="N727" s="176"/>
      <c r="O727" s="176"/>
      <c r="P727" s="176" t="n">
        <v>46809</v>
      </c>
      <c r="Q727" s="178" t="n">
        <v>120700</v>
      </c>
      <c r="R727" s="175" t="n">
        <f aca="false">Q727</f>
        <v>120700</v>
      </c>
      <c r="S727" s="9"/>
      <c r="T727" s="178" t="n">
        <v>112500</v>
      </c>
      <c r="U727" s="175" t="n">
        <f aca="false">T727</f>
        <v>112500</v>
      </c>
      <c r="V727" s="178" t="n">
        <v>118900</v>
      </c>
      <c r="W727" s="175" t="n">
        <f aca="false">V727</f>
        <v>118900</v>
      </c>
      <c r="X727" s="45" t="n">
        <f aca="false">V727/H727</f>
        <v>65.0082012028431</v>
      </c>
      <c r="Y727" s="46" t="n">
        <f aca="false">SUM(V727-T727)/T727</f>
        <v>0.0568888888888889</v>
      </c>
      <c r="Z727" s="175" t="s">
        <v>60</v>
      </c>
      <c r="AA727" s="186"/>
      <c r="AB727" s="186"/>
      <c r="AC727" s="178" t="s">
        <v>43</v>
      </c>
      <c r="AD727" s="172" t="s">
        <v>562</v>
      </c>
      <c r="AE727" s="179"/>
      <c r="AF727" s="172"/>
      <c r="AG727" s="180"/>
      <c r="AH727" s="172"/>
      <c r="AJ727" s="181"/>
    </row>
    <row r="728" s="171" customFormat="true" ht="12" hidden="false" customHeight="true" outlineLevel="0" collapsed="false">
      <c r="B728" s="11" t="s">
        <v>189</v>
      </c>
      <c r="C728" s="11" t="s">
        <v>796</v>
      </c>
      <c r="D728" s="172" t="n">
        <v>800100</v>
      </c>
      <c r="E728" s="172" t="s">
        <v>799</v>
      </c>
      <c r="F728" s="172" t="s">
        <v>94</v>
      </c>
      <c r="G728" s="173" t="s">
        <v>90</v>
      </c>
      <c r="H728" s="175" t="n">
        <v>1837</v>
      </c>
      <c r="I728" s="175" t="n">
        <f aca="false">H728</f>
        <v>1837</v>
      </c>
      <c r="J728" s="175" t="n">
        <v>2000</v>
      </c>
      <c r="K728" s="109" t="s">
        <v>803</v>
      </c>
      <c r="L728" s="176" t="n">
        <v>44900</v>
      </c>
      <c r="M728" s="176" t="n">
        <v>46725</v>
      </c>
      <c r="N728" s="176"/>
      <c r="O728" s="176"/>
      <c r="P728" s="176" t="n">
        <v>45995</v>
      </c>
      <c r="Q728" s="178" t="n">
        <v>115731</v>
      </c>
      <c r="R728" s="175" t="n">
        <f aca="false">Q728</f>
        <v>115731</v>
      </c>
      <c r="S728" s="9"/>
      <c r="T728" s="178" t="n">
        <v>116600</v>
      </c>
      <c r="U728" s="175" t="n">
        <f aca="false">T728</f>
        <v>116600</v>
      </c>
      <c r="V728" s="178" t="n">
        <v>123100</v>
      </c>
      <c r="W728" s="175" t="n">
        <f aca="false">V728</f>
        <v>123100</v>
      </c>
      <c r="X728" s="45" t="n">
        <f aca="false">V728/H728</f>
        <v>67.0114316820904</v>
      </c>
      <c r="Y728" s="46" t="n">
        <f aca="false">SUM(V728-T728)/T728</f>
        <v>0.055746140651801</v>
      </c>
      <c r="Z728" s="175" t="s">
        <v>42</v>
      </c>
      <c r="AA728" s="186"/>
      <c r="AB728" s="186"/>
      <c r="AC728" s="178" t="s">
        <v>43</v>
      </c>
      <c r="AD728" s="172" t="s">
        <v>804</v>
      </c>
      <c r="AE728" s="179"/>
      <c r="AF728" s="172"/>
      <c r="AG728" s="180"/>
      <c r="AH728" s="172"/>
      <c r="AJ728" s="181"/>
    </row>
    <row r="729" s="171" customFormat="true" ht="12" hidden="false" customHeight="true" outlineLevel="0" collapsed="false">
      <c r="B729" s="11" t="s">
        <v>189</v>
      </c>
      <c r="C729" s="11" t="s">
        <v>796</v>
      </c>
      <c r="D729" s="172" t="n">
        <v>800100</v>
      </c>
      <c r="E729" s="172" t="s">
        <v>799</v>
      </c>
      <c r="F729" s="172" t="s">
        <v>118</v>
      </c>
      <c r="G729" s="173" t="s">
        <v>90</v>
      </c>
      <c r="H729" s="175" t="n">
        <v>1815</v>
      </c>
      <c r="I729" s="175" t="n">
        <f aca="false">H729</f>
        <v>1815</v>
      </c>
      <c r="J729" s="175" t="n">
        <v>2000</v>
      </c>
      <c r="K729" s="109" t="s">
        <v>805</v>
      </c>
      <c r="L729" s="176" t="n">
        <v>44627</v>
      </c>
      <c r="M729" s="176" t="n">
        <v>46452</v>
      </c>
      <c r="N729" s="176"/>
      <c r="O729" s="176"/>
      <c r="P729" s="176"/>
      <c r="Q729" s="178" t="n">
        <v>149742</v>
      </c>
      <c r="R729" s="175" t="n">
        <f aca="false">Q729</f>
        <v>149742</v>
      </c>
      <c r="S729" s="9"/>
      <c r="T729" s="178" t="n">
        <v>115300</v>
      </c>
      <c r="U729" s="175" t="n">
        <f aca="false">T729</f>
        <v>115300</v>
      </c>
      <c r="V729" s="178" t="n">
        <v>121600</v>
      </c>
      <c r="W729" s="175" t="n">
        <f aca="false">V729</f>
        <v>121600</v>
      </c>
      <c r="X729" s="45" t="n">
        <f aca="false">V729/H729</f>
        <v>66.9972451790634</v>
      </c>
      <c r="Y729" s="46" t="n">
        <f aca="false">SUM(V729-T729)/T729</f>
        <v>0.0546400693842151</v>
      </c>
      <c r="Z729" s="175" t="s">
        <v>42</v>
      </c>
      <c r="AA729" s="186"/>
      <c r="AB729" s="186"/>
      <c r="AC729" s="178" t="s">
        <v>43</v>
      </c>
      <c r="AD729" s="172" t="s">
        <v>806</v>
      </c>
      <c r="AE729" s="179"/>
      <c r="AF729" s="172"/>
      <c r="AG729" s="180"/>
      <c r="AH729" s="172"/>
      <c r="AJ729" s="181"/>
    </row>
    <row r="730" s="171" customFormat="true" ht="12" hidden="false" customHeight="true" outlineLevel="0" collapsed="false">
      <c r="B730" s="11" t="s">
        <v>189</v>
      </c>
      <c r="C730" s="11" t="s">
        <v>796</v>
      </c>
      <c r="D730" s="172" t="n">
        <v>800100</v>
      </c>
      <c r="E730" s="172" t="s">
        <v>799</v>
      </c>
      <c r="F730" s="172" t="s">
        <v>180</v>
      </c>
      <c r="G730" s="173" t="s">
        <v>90</v>
      </c>
      <c r="H730" s="175" t="n">
        <v>1815</v>
      </c>
      <c r="I730" s="175" t="n">
        <f aca="false">H730</f>
        <v>1815</v>
      </c>
      <c r="J730" s="175" t="n">
        <v>2000</v>
      </c>
      <c r="K730" s="109" t="s">
        <v>807</v>
      </c>
      <c r="L730" s="176" t="n">
        <v>45408</v>
      </c>
      <c r="M730" s="176" t="n">
        <v>47233</v>
      </c>
      <c r="N730" s="176"/>
      <c r="O730" s="176"/>
      <c r="P730" s="176"/>
      <c r="Q730" s="178" t="n">
        <v>122513</v>
      </c>
      <c r="R730" s="175" t="n">
        <f aca="false">Q730</f>
        <v>122513</v>
      </c>
      <c r="S730" s="9"/>
      <c r="T730" s="178" t="n">
        <v>115300</v>
      </c>
      <c r="U730" s="175" t="n">
        <f aca="false">T730</f>
        <v>115300</v>
      </c>
      <c r="V730" s="178" t="n">
        <v>121600</v>
      </c>
      <c r="W730" s="175" t="n">
        <f aca="false">V730</f>
        <v>121600</v>
      </c>
      <c r="X730" s="45" t="n">
        <f aca="false">V730/H730</f>
        <v>66.9972451790634</v>
      </c>
      <c r="Y730" s="46" t="n">
        <f aca="false">SUM(V730-T730)/T730</f>
        <v>0.0546400693842151</v>
      </c>
      <c r="Z730" s="175" t="s">
        <v>60</v>
      </c>
      <c r="AA730" s="186"/>
      <c r="AB730" s="178"/>
      <c r="AC730" s="178" t="s">
        <v>43</v>
      </c>
      <c r="AD730" s="172"/>
      <c r="AE730" s="179"/>
      <c r="AF730" s="172"/>
      <c r="AG730" s="180"/>
      <c r="AH730" s="172"/>
      <c r="AJ730" s="181"/>
    </row>
    <row r="731" s="171" customFormat="true" ht="12" hidden="false" customHeight="true" outlineLevel="0" collapsed="false">
      <c r="B731" s="11" t="s">
        <v>189</v>
      </c>
      <c r="C731" s="11" t="s">
        <v>796</v>
      </c>
      <c r="D731" s="172" t="n">
        <v>800100</v>
      </c>
      <c r="E731" s="172" t="s">
        <v>799</v>
      </c>
      <c r="F731" s="172" t="s">
        <v>386</v>
      </c>
      <c r="G731" s="173" t="s">
        <v>90</v>
      </c>
      <c r="H731" s="175" t="n">
        <v>790</v>
      </c>
      <c r="I731" s="175" t="n">
        <f aca="false">H731</f>
        <v>790</v>
      </c>
      <c r="J731" s="175" t="n">
        <v>750</v>
      </c>
      <c r="K731" s="109" t="s">
        <v>808</v>
      </c>
      <c r="L731" s="176" t="n">
        <v>44442</v>
      </c>
      <c r="M731" s="176" t="n">
        <v>46267</v>
      </c>
      <c r="N731" s="176"/>
      <c r="O731" s="176"/>
      <c r="P731" s="176"/>
      <c r="Q731" s="178" t="n">
        <v>41080</v>
      </c>
      <c r="R731" s="175" t="n">
        <f aca="false">Q731</f>
        <v>41080</v>
      </c>
      <c r="S731" s="9"/>
      <c r="T731" s="178" t="n">
        <v>46200</v>
      </c>
      <c r="U731" s="175" t="n">
        <f aca="false">T731</f>
        <v>46200</v>
      </c>
      <c r="V731" s="178" t="n">
        <v>48600</v>
      </c>
      <c r="W731" s="175" t="n">
        <f aca="false">V731</f>
        <v>48600</v>
      </c>
      <c r="X731" s="45" t="n">
        <f aca="false">V731/H731</f>
        <v>61.5189873417722</v>
      </c>
      <c r="Y731" s="46" t="n">
        <f aca="false">SUM(V731-T731)/T731</f>
        <v>0.051948051948052</v>
      </c>
      <c r="Z731" s="175" t="s">
        <v>127</v>
      </c>
      <c r="AA731" s="186"/>
      <c r="AB731" s="186"/>
      <c r="AC731" s="178" t="s">
        <v>43</v>
      </c>
      <c r="AD731" s="172"/>
      <c r="AE731" s="179"/>
      <c r="AF731" s="172"/>
      <c r="AG731" s="180"/>
      <c r="AH731" s="172"/>
      <c r="AJ731" s="181"/>
    </row>
    <row r="732" s="171" customFormat="true" ht="24" hidden="false" customHeight="true" outlineLevel="0" collapsed="false">
      <c r="B732" s="11" t="s">
        <v>189</v>
      </c>
      <c r="C732" s="11" t="s">
        <v>796</v>
      </c>
      <c r="D732" s="172" t="n">
        <v>800100</v>
      </c>
      <c r="E732" s="172" t="s">
        <v>799</v>
      </c>
      <c r="F732" s="172" t="s">
        <v>809</v>
      </c>
      <c r="G732" s="187" t="s">
        <v>425</v>
      </c>
      <c r="H732" s="175" t="n">
        <v>0</v>
      </c>
      <c r="I732" s="175" t="n">
        <f aca="false">H732</f>
        <v>0</v>
      </c>
      <c r="J732" s="175"/>
      <c r="K732" s="109" t="s">
        <v>169</v>
      </c>
      <c r="L732" s="176" t="n">
        <v>42552</v>
      </c>
      <c r="M732" s="176" t="n">
        <v>47267</v>
      </c>
      <c r="N732" s="176"/>
      <c r="O732" s="176" t="n">
        <v>46204</v>
      </c>
      <c r="P732" s="176"/>
      <c r="Q732" s="178" t="n">
        <v>1160</v>
      </c>
      <c r="R732" s="175" t="n">
        <f aca="false">Q732</f>
        <v>1160</v>
      </c>
      <c r="S732" s="9"/>
      <c r="T732" s="178" t="n">
        <v>1160</v>
      </c>
      <c r="U732" s="175" t="n">
        <f aca="false">T732</f>
        <v>1160</v>
      </c>
      <c r="V732" s="178" t="n">
        <v>1160</v>
      </c>
      <c r="W732" s="175" t="n">
        <f aca="false">V732</f>
        <v>1160</v>
      </c>
      <c r="X732" s="45"/>
      <c r="Y732" s="41"/>
      <c r="Z732" s="175"/>
      <c r="AA732" s="186"/>
      <c r="AB732" s="186"/>
      <c r="AC732" s="178" t="s">
        <v>170</v>
      </c>
      <c r="AD732" s="172" t="s">
        <v>810</v>
      </c>
      <c r="AE732" s="179"/>
      <c r="AF732" s="172"/>
      <c r="AG732" s="180"/>
      <c r="AH732" s="172"/>
      <c r="AJ732" s="181"/>
    </row>
    <row r="733" customFormat="false" ht="12.75" hidden="false" customHeight="true" outlineLevel="0" collapsed="false">
      <c r="D733" s="182"/>
      <c r="E733" s="182"/>
      <c r="F733" s="162"/>
      <c r="G733" s="163"/>
      <c r="H733" s="164"/>
      <c r="I733" s="188"/>
      <c r="J733" s="188"/>
      <c r="K733" s="189"/>
      <c r="L733" s="190"/>
      <c r="M733" s="190"/>
      <c r="N733" s="190"/>
      <c r="O733" s="190"/>
      <c r="P733" s="190"/>
      <c r="Q733" s="191"/>
      <c r="R733" s="191"/>
      <c r="T733" s="191"/>
      <c r="U733" s="192"/>
      <c r="V733" s="191"/>
      <c r="W733" s="192"/>
      <c r="X733" s="192"/>
      <c r="Y733" s="193"/>
      <c r="Z733" s="192"/>
      <c r="AA733" s="163"/>
      <c r="AB733" s="163"/>
      <c r="AC733" s="163"/>
      <c r="AD733" s="182"/>
      <c r="AE733" s="194"/>
      <c r="AF733" s="182"/>
      <c r="AG733" s="195"/>
      <c r="AH733" s="182"/>
    </row>
    <row r="734" s="196" customFormat="true" ht="10.5" hidden="false" customHeight="true" outlineLevel="0" collapsed="false">
      <c r="D734" s="172"/>
      <c r="E734" s="172"/>
      <c r="F734" s="197"/>
      <c r="G734" s="198"/>
      <c r="H734" s="174" t="n">
        <f aca="false">SUM(H725:H732)</f>
        <v>14236</v>
      </c>
      <c r="I734" s="174"/>
      <c r="J734" s="174"/>
      <c r="K734" s="199"/>
      <c r="L734" s="200"/>
      <c r="M734" s="200"/>
      <c r="N734" s="200"/>
      <c r="O734" s="200"/>
      <c r="P734" s="200"/>
      <c r="Q734" s="174" t="n">
        <f aca="false">SUM(Q725:Q732)</f>
        <v>888926</v>
      </c>
      <c r="R734" s="174"/>
      <c r="T734" s="174" t="n">
        <f aca="false">SUM(T725:T732)</f>
        <v>909360</v>
      </c>
      <c r="U734" s="175"/>
      <c r="V734" s="174" t="n">
        <f aca="false">SUM(V725:V732)</f>
        <v>943660</v>
      </c>
      <c r="W734" s="175"/>
      <c r="X734" s="175"/>
      <c r="Y734" s="201"/>
      <c r="Z734" s="175"/>
      <c r="AA734" s="202"/>
      <c r="AB734" s="174" t="n">
        <v>14700000</v>
      </c>
      <c r="AC734" s="202"/>
      <c r="AD734" s="4"/>
      <c r="AE734" s="15"/>
      <c r="AF734" s="60"/>
      <c r="AG734" s="62"/>
      <c r="AH734" s="60"/>
      <c r="AJ734" s="203"/>
    </row>
    <row r="735" customFormat="false" ht="12.75" hidden="false" customHeight="true" outlineLevel="0" collapsed="false">
      <c r="D735" s="182"/>
      <c r="E735" s="182"/>
      <c r="F735" s="162"/>
      <c r="G735" s="163"/>
      <c r="H735" s="164"/>
      <c r="I735" s="188"/>
      <c r="J735" s="188"/>
      <c r="K735" s="189"/>
      <c r="L735" s="165"/>
      <c r="M735" s="165"/>
      <c r="N735" s="165"/>
      <c r="O735" s="165"/>
      <c r="P735" s="165"/>
      <c r="Q735" s="166"/>
      <c r="R735" s="166"/>
      <c r="T735" s="166"/>
      <c r="U735" s="192"/>
      <c r="V735" s="166"/>
      <c r="W735" s="192"/>
      <c r="X735" s="192"/>
      <c r="Y735" s="193"/>
      <c r="Z735" s="192"/>
      <c r="AA735" s="163"/>
      <c r="AB735" s="163"/>
      <c r="AC735" s="163"/>
      <c r="AD735" s="182"/>
      <c r="AE735" s="194"/>
      <c r="AF735" s="182"/>
      <c r="AG735" s="195"/>
      <c r="AH735" s="182"/>
    </row>
    <row r="736" customFormat="false" ht="12.75" hidden="false" customHeight="true" outlineLevel="0" collapsed="false">
      <c r="D736" s="182"/>
      <c r="E736" s="182"/>
      <c r="F736" s="162"/>
      <c r="G736" s="163"/>
      <c r="H736" s="164"/>
      <c r="I736" s="188"/>
      <c r="J736" s="188"/>
      <c r="K736" s="189"/>
      <c r="L736" s="165"/>
      <c r="M736" s="165"/>
      <c r="N736" s="165"/>
      <c r="O736" s="165"/>
      <c r="P736" s="165"/>
      <c r="Q736" s="166"/>
      <c r="R736" s="166"/>
      <c r="T736" s="166"/>
      <c r="U736" s="192"/>
      <c r="V736" s="166"/>
      <c r="W736" s="192"/>
      <c r="X736" s="192"/>
      <c r="Y736" s="193"/>
      <c r="Z736" s="192"/>
      <c r="AA736" s="163"/>
      <c r="AB736" s="163"/>
      <c r="AC736" s="163"/>
      <c r="AD736" s="182"/>
      <c r="AE736" s="194"/>
      <c r="AF736" s="182"/>
      <c r="AG736" s="195"/>
      <c r="AH736" s="182"/>
    </row>
    <row r="737" customFormat="false" ht="12.75" hidden="false" customHeight="true" outlineLevel="0" collapsed="false">
      <c r="D737" s="182"/>
      <c r="E737" s="182"/>
      <c r="F737" s="162"/>
      <c r="G737" s="170" t="s">
        <v>811</v>
      </c>
      <c r="H737" s="164"/>
      <c r="I737" s="188"/>
      <c r="J737" s="188"/>
      <c r="K737" s="189"/>
      <c r="L737" s="165"/>
      <c r="M737" s="165"/>
      <c r="N737" s="165"/>
      <c r="O737" s="165"/>
      <c r="P737" s="165"/>
      <c r="Q737" s="166"/>
      <c r="R737" s="166"/>
      <c r="T737" s="166"/>
      <c r="U737" s="192"/>
      <c r="V737" s="166"/>
      <c r="W737" s="192"/>
      <c r="X737" s="192"/>
      <c r="Y737" s="193"/>
      <c r="Z737" s="192"/>
      <c r="AA737" s="163"/>
      <c r="AB737" s="163"/>
      <c r="AC737" s="163"/>
      <c r="AD737" s="182"/>
      <c r="AE737" s="194"/>
      <c r="AF737" s="182"/>
      <c r="AG737" s="195"/>
      <c r="AH737" s="182"/>
    </row>
    <row r="738" customFormat="false" ht="12.75" hidden="false" customHeight="true" outlineLevel="0" collapsed="false">
      <c r="D738" s="182"/>
      <c r="E738" s="182"/>
      <c r="F738" s="162"/>
      <c r="G738" s="163"/>
      <c r="H738" s="164"/>
      <c r="I738" s="188"/>
      <c r="J738" s="188"/>
      <c r="K738" s="189"/>
      <c r="L738" s="165"/>
      <c r="M738" s="165"/>
      <c r="N738" s="165"/>
      <c r="O738" s="165"/>
      <c r="P738" s="165"/>
      <c r="Q738" s="166"/>
      <c r="R738" s="166"/>
      <c r="T738" s="166"/>
      <c r="U738" s="192"/>
      <c r="V738" s="166"/>
      <c r="W738" s="192"/>
      <c r="X738" s="192"/>
      <c r="Y738" s="193"/>
      <c r="Z738" s="192"/>
      <c r="AA738" s="163"/>
      <c r="AB738" s="163"/>
      <c r="AC738" s="163"/>
      <c r="AD738" s="182"/>
      <c r="AE738" s="194"/>
      <c r="AF738" s="182"/>
      <c r="AG738" s="195"/>
      <c r="AH738" s="182"/>
    </row>
    <row r="739" s="171" customFormat="true" ht="12" hidden="false" customHeight="true" outlineLevel="0" collapsed="false">
      <c r="B739" s="11" t="s">
        <v>189</v>
      </c>
      <c r="C739" s="11" t="s">
        <v>796</v>
      </c>
      <c r="D739" s="172" t="n">
        <v>800400</v>
      </c>
      <c r="E739" s="172" t="s">
        <v>811</v>
      </c>
      <c r="F739" s="172" t="s">
        <v>39</v>
      </c>
      <c r="G739" s="173" t="s">
        <v>797</v>
      </c>
      <c r="H739" s="174" t="n">
        <v>2598</v>
      </c>
      <c r="I739" s="175" t="n">
        <f aca="false">H739</f>
        <v>2598</v>
      </c>
      <c r="J739" s="175" t="n">
        <v>2500</v>
      </c>
      <c r="K739" s="109" t="s">
        <v>812</v>
      </c>
      <c r="L739" s="176" t="n">
        <v>43070</v>
      </c>
      <c r="M739" s="176" t="n">
        <v>46721</v>
      </c>
      <c r="N739" s="176"/>
      <c r="O739" s="176" t="n">
        <v>44896</v>
      </c>
      <c r="P739" s="176"/>
      <c r="Q739" s="174" t="n">
        <v>155000</v>
      </c>
      <c r="R739" s="174" t="n">
        <f aca="false">Q739</f>
        <v>155000</v>
      </c>
      <c r="S739" s="9"/>
      <c r="T739" s="174" t="n">
        <v>118500</v>
      </c>
      <c r="U739" s="175" t="n">
        <f aca="false">T739</f>
        <v>118500</v>
      </c>
      <c r="V739" s="174" t="n">
        <v>121500</v>
      </c>
      <c r="W739" s="175" t="n">
        <f aca="false">V739</f>
        <v>121500</v>
      </c>
      <c r="X739" s="45" t="n">
        <f aca="false">V739/H739</f>
        <v>46.7667436489607</v>
      </c>
      <c r="Y739" s="46" t="n">
        <f aca="false">SUM(V739-T739)/T739</f>
        <v>0.0253164556962025</v>
      </c>
      <c r="Z739" s="175" t="s">
        <v>458</v>
      </c>
      <c r="AA739" s="204"/>
      <c r="AB739" s="174" t="n">
        <v>2200000</v>
      </c>
      <c r="AC739" s="178" t="s">
        <v>43</v>
      </c>
      <c r="AD739" s="4"/>
      <c r="AE739" s="15"/>
      <c r="AF739" s="60"/>
      <c r="AG739" s="62"/>
      <c r="AH739" s="60"/>
      <c r="AJ739" s="181"/>
    </row>
    <row r="740" customFormat="false" ht="12.75" hidden="false" customHeight="true" outlineLevel="0" collapsed="false">
      <c r="F740" s="182"/>
      <c r="G740" s="163"/>
      <c r="H740" s="205"/>
      <c r="I740" s="206"/>
      <c r="J740" s="206"/>
      <c r="K740" s="189"/>
      <c r="L740" s="165"/>
      <c r="M740" s="165"/>
      <c r="N740" s="165"/>
      <c r="O740" s="165"/>
      <c r="P740" s="165"/>
      <c r="Q740" s="166"/>
      <c r="R740" s="166"/>
      <c r="T740" s="166"/>
      <c r="U740" s="166"/>
      <c r="V740" s="166"/>
      <c r="W740" s="166"/>
      <c r="X740" s="166"/>
      <c r="Y740" s="167"/>
      <c r="Z740" s="166"/>
      <c r="AA740" s="163"/>
      <c r="AB740" s="205"/>
      <c r="AC740" s="163"/>
      <c r="AD740" s="182"/>
      <c r="AE740" s="194"/>
      <c r="AF740" s="182"/>
      <c r="AG740" s="195"/>
      <c r="AH740" s="182"/>
    </row>
    <row r="741" customFormat="false" ht="12.75" hidden="false" customHeight="true" outlineLevel="0" collapsed="false">
      <c r="F741" s="162"/>
      <c r="G741" s="163"/>
      <c r="H741" s="164"/>
      <c r="I741" s="164"/>
      <c r="J741" s="164"/>
      <c r="K741" s="189"/>
      <c r="L741" s="165"/>
      <c r="M741" s="165"/>
      <c r="N741" s="165"/>
      <c r="O741" s="165"/>
      <c r="P741" s="165"/>
      <c r="Q741" s="166"/>
      <c r="R741" s="166"/>
      <c r="T741" s="166"/>
      <c r="U741" s="166"/>
      <c r="V741" s="166"/>
      <c r="W741" s="166"/>
      <c r="X741" s="166"/>
      <c r="Y741" s="167"/>
      <c r="Z741" s="166"/>
      <c r="AA741" s="163"/>
      <c r="AB741" s="163"/>
      <c r="AC741" s="163"/>
      <c r="AD741" s="182"/>
      <c r="AE741" s="194"/>
      <c r="AF741" s="182"/>
      <c r="AG741" s="195"/>
      <c r="AH741" s="182"/>
    </row>
    <row r="742" customFormat="false" ht="12.75" hidden="false" customHeight="true" outlineLevel="0" collapsed="false">
      <c r="F742" s="162"/>
      <c r="G742" s="170" t="s">
        <v>813</v>
      </c>
      <c r="H742" s="164"/>
      <c r="I742" s="164"/>
      <c r="J742" s="164"/>
      <c r="K742" s="189"/>
      <c r="L742" s="165"/>
      <c r="M742" s="165"/>
      <c r="N742" s="165"/>
      <c r="O742" s="165"/>
      <c r="P742" s="165"/>
      <c r="Q742" s="166"/>
      <c r="R742" s="166"/>
      <c r="T742" s="166"/>
      <c r="U742" s="166"/>
      <c r="V742" s="166"/>
      <c r="W742" s="166"/>
      <c r="X742" s="166"/>
      <c r="Y742" s="167"/>
      <c r="Z742" s="166"/>
      <c r="AA742" s="163"/>
      <c r="AB742" s="163"/>
      <c r="AC742" s="163"/>
      <c r="AD742" s="182"/>
      <c r="AE742" s="194"/>
      <c r="AF742" s="182"/>
      <c r="AG742" s="195"/>
      <c r="AH742" s="182"/>
    </row>
    <row r="743" customFormat="false" ht="12.75" hidden="false" customHeight="true" outlineLevel="0" collapsed="false">
      <c r="F743" s="162"/>
      <c r="G743" s="163"/>
      <c r="H743" s="164"/>
      <c r="I743" s="206"/>
      <c r="J743" s="206"/>
      <c r="K743" s="189"/>
      <c r="L743" s="165"/>
      <c r="M743" s="165"/>
      <c r="N743" s="165"/>
      <c r="O743" s="165"/>
      <c r="P743" s="165"/>
      <c r="Q743" s="166"/>
      <c r="R743" s="166"/>
      <c r="T743" s="166"/>
      <c r="U743" s="166"/>
      <c r="V743" s="166"/>
      <c r="W743" s="166"/>
      <c r="X743" s="166"/>
      <c r="Y743" s="167"/>
      <c r="Z743" s="166"/>
      <c r="AA743" s="163"/>
      <c r="AB743" s="163"/>
      <c r="AC743" s="163"/>
      <c r="AD743" s="182"/>
      <c r="AE743" s="194"/>
      <c r="AF743" s="182"/>
      <c r="AG743" s="195"/>
      <c r="AH743" s="182"/>
    </row>
    <row r="744" s="196" customFormat="true" ht="12" hidden="false" customHeight="true" outlineLevel="0" collapsed="false">
      <c r="B744" s="11" t="s">
        <v>236</v>
      </c>
      <c r="C744" s="11" t="s">
        <v>796</v>
      </c>
      <c r="D744" s="172" t="n">
        <v>800300</v>
      </c>
      <c r="E744" s="172" t="s">
        <v>813</v>
      </c>
      <c r="F744" s="172" t="s">
        <v>39</v>
      </c>
      <c r="G744" s="207" t="s">
        <v>90</v>
      </c>
      <c r="H744" s="174" t="n">
        <v>19812</v>
      </c>
      <c r="I744" s="208" t="n">
        <f aca="false">H744</f>
        <v>19812</v>
      </c>
      <c r="J744" s="208" t="n">
        <v>20000</v>
      </c>
      <c r="K744" s="109" t="s">
        <v>814</v>
      </c>
      <c r="L744" s="176" t="n">
        <v>44986</v>
      </c>
      <c r="M744" s="176" t="n">
        <v>50464</v>
      </c>
      <c r="N744" s="176"/>
      <c r="O744" s="176" t="n">
        <v>46813</v>
      </c>
      <c r="P744" s="176"/>
      <c r="Q744" s="177" t="n">
        <v>729167</v>
      </c>
      <c r="R744" s="175" t="n">
        <f aca="false">Q744</f>
        <v>729167</v>
      </c>
      <c r="T744" s="177" t="n">
        <v>1250000</v>
      </c>
      <c r="U744" s="175" t="n">
        <f aca="false">T744</f>
        <v>1250000</v>
      </c>
      <c r="V744" s="177" t="n">
        <v>1250000</v>
      </c>
      <c r="W744" s="175" t="n">
        <f aca="false">V744</f>
        <v>1250000</v>
      </c>
      <c r="X744" s="45" t="n">
        <f aca="false">V744/H744</f>
        <v>63.0930749040985</v>
      </c>
      <c r="Y744" s="46" t="n">
        <f aca="false">SUM(V744-T744)/T744</f>
        <v>0</v>
      </c>
      <c r="Z744" s="175" t="s">
        <v>55</v>
      </c>
      <c r="AA744" s="209"/>
      <c r="AB744" s="174" t="n">
        <v>22175000</v>
      </c>
      <c r="AC744" s="178" t="s">
        <v>43</v>
      </c>
      <c r="AD744" s="172" t="s">
        <v>815</v>
      </c>
      <c r="AE744" s="179"/>
      <c r="AF744" s="172"/>
      <c r="AG744" s="180"/>
      <c r="AH744" s="172"/>
      <c r="AJ744" s="203"/>
    </row>
    <row r="745" customFormat="false" ht="12.75" hidden="false" customHeight="true" outlineLevel="0" collapsed="false">
      <c r="F745" s="182"/>
      <c r="G745" s="184"/>
      <c r="H745" s="192"/>
      <c r="I745" s="210"/>
      <c r="J745" s="210"/>
      <c r="K745" s="189"/>
      <c r="L745" s="211"/>
      <c r="M745" s="211"/>
      <c r="N745" s="211"/>
      <c r="O745" s="211"/>
      <c r="P745" s="211"/>
      <c r="Q745" s="212"/>
      <c r="R745" s="212"/>
      <c r="T745" s="212"/>
      <c r="U745" s="212"/>
      <c r="V745" s="212"/>
      <c r="W745" s="212"/>
      <c r="X745" s="212"/>
      <c r="Y745" s="213"/>
      <c r="Z745" s="212"/>
      <c r="AA745" s="214"/>
      <c r="AB745" s="214"/>
      <c r="AC745" s="214"/>
      <c r="AD745" s="182"/>
      <c r="AE745" s="194"/>
      <c r="AF745" s="182"/>
      <c r="AG745" s="195"/>
      <c r="AH745" s="182"/>
    </row>
    <row r="746" customFormat="false" ht="12.75" hidden="false" customHeight="true" outlineLevel="0" collapsed="false">
      <c r="F746" s="182"/>
      <c r="G746" s="184"/>
      <c r="H746" s="192"/>
      <c r="I746" s="210"/>
      <c r="J746" s="210"/>
      <c r="K746" s="189"/>
      <c r="L746" s="211"/>
      <c r="M746" s="211"/>
      <c r="N746" s="211"/>
      <c r="O746" s="211"/>
      <c r="P746" s="211"/>
      <c r="Q746" s="212"/>
      <c r="R746" s="212"/>
      <c r="T746" s="212"/>
      <c r="U746" s="212"/>
      <c r="V746" s="212"/>
      <c r="W746" s="212"/>
      <c r="X746" s="212"/>
      <c r="Y746" s="213"/>
      <c r="Z746" s="212"/>
      <c r="AA746" s="214"/>
      <c r="AB746" s="214"/>
      <c r="AC746" s="214"/>
      <c r="AD746" s="182"/>
      <c r="AE746" s="194"/>
      <c r="AF746" s="182"/>
      <c r="AG746" s="195"/>
      <c r="AH746" s="182"/>
    </row>
    <row r="747" customFormat="false" ht="12.75" hidden="false" customHeight="true" outlineLevel="0" collapsed="false">
      <c r="F747" s="182"/>
      <c r="G747" s="170" t="s">
        <v>816</v>
      </c>
      <c r="H747" s="192"/>
      <c r="I747" s="210"/>
      <c r="J747" s="210"/>
      <c r="K747" s="189"/>
      <c r="L747" s="211"/>
      <c r="M747" s="211"/>
      <c r="N747" s="211"/>
      <c r="O747" s="211"/>
      <c r="P747" s="211"/>
      <c r="Q747" s="212"/>
      <c r="R747" s="212"/>
      <c r="T747" s="212"/>
      <c r="U747" s="212"/>
      <c r="V747" s="212"/>
      <c r="W747" s="212"/>
      <c r="X747" s="212"/>
      <c r="Y747" s="213"/>
      <c r="Z747" s="212"/>
      <c r="AA747" s="214"/>
      <c r="AB747" s="214"/>
      <c r="AC747" s="214"/>
      <c r="AD747" s="182"/>
      <c r="AE747" s="194"/>
      <c r="AF747" s="182"/>
      <c r="AG747" s="195"/>
      <c r="AH747" s="182"/>
    </row>
    <row r="748" customFormat="false" ht="12.75" hidden="false" customHeight="true" outlineLevel="0" collapsed="false">
      <c r="F748" s="182"/>
      <c r="G748" s="184"/>
      <c r="H748" s="192"/>
      <c r="I748" s="210"/>
      <c r="J748" s="210"/>
      <c r="K748" s="189"/>
      <c r="L748" s="211"/>
      <c r="M748" s="211"/>
      <c r="N748" s="211"/>
      <c r="O748" s="211"/>
      <c r="P748" s="211"/>
      <c r="Q748" s="212"/>
      <c r="R748" s="212"/>
      <c r="T748" s="212"/>
      <c r="U748" s="212"/>
      <c r="V748" s="212"/>
      <c r="W748" s="212"/>
      <c r="X748" s="212"/>
      <c r="Y748" s="213"/>
      <c r="Z748" s="212"/>
      <c r="AA748" s="214"/>
      <c r="AB748" s="214"/>
      <c r="AC748" s="214"/>
      <c r="AD748" s="182"/>
      <c r="AE748" s="194"/>
      <c r="AF748" s="182"/>
      <c r="AG748" s="195"/>
      <c r="AH748" s="182"/>
    </row>
    <row r="749" s="171" customFormat="true" ht="23.25" hidden="false" customHeight="true" outlineLevel="0" collapsed="false">
      <c r="B749" s="11" t="s">
        <v>106</v>
      </c>
      <c r="C749" s="11" t="s">
        <v>796</v>
      </c>
      <c r="D749" s="172" t="n">
        <v>800500</v>
      </c>
      <c r="E749" s="172" t="s">
        <v>816</v>
      </c>
      <c r="F749" s="172" t="s">
        <v>174</v>
      </c>
      <c r="G749" s="173" t="s">
        <v>237</v>
      </c>
      <c r="H749" s="175" t="n">
        <v>1582</v>
      </c>
      <c r="I749" s="208" t="n">
        <f aca="false">H749</f>
        <v>1582</v>
      </c>
      <c r="J749" s="208" t="n">
        <v>1500</v>
      </c>
      <c r="K749" s="109" t="s">
        <v>817</v>
      </c>
      <c r="L749" s="176" t="n">
        <v>43514</v>
      </c>
      <c r="M749" s="176" t="n">
        <v>46982</v>
      </c>
      <c r="N749" s="176"/>
      <c r="O749" s="176" t="n">
        <v>45340</v>
      </c>
      <c r="P749" s="176"/>
      <c r="Q749" s="178" t="n">
        <v>70000</v>
      </c>
      <c r="R749" s="175" t="n">
        <f aca="false">Q749</f>
        <v>70000</v>
      </c>
      <c r="S749" s="9"/>
      <c r="T749" s="178" t="n">
        <v>63300</v>
      </c>
      <c r="U749" s="175" t="n">
        <f aca="false">T749</f>
        <v>63300</v>
      </c>
      <c r="V749" s="178" t="n">
        <v>63300</v>
      </c>
      <c r="W749" s="175" t="n">
        <f aca="false">V749</f>
        <v>63300</v>
      </c>
      <c r="X749" s="45" t="n">
        <f aca="false">V749/H749</f>
        <v>40.0126422250316</v>
      </c>
      <c r="Y749" s="46" t="n">
        <f aca="false">SUM(V749-T749)/T749</f>
        <v>0</v>
      </c>
      <c r="Z749" s="175" t="s">
        <v>42</v>
      </c>
      <c r="AA749" s="209"/>
      <c r="AB749" s="174"/>
      <c r="AC749" s="178" t="s">
        <v>43</v>
      </c>
      <c r="AD749" s="172"/>
      <c r="AE749" s="179"/>
      <c r="AF749" s="172"/>
      <c r="AG749" s="180"/>
      <c r="AH749" s="172"/>
      <c r="AJ749" s="181"/>
    </row>
    <row r="750" s="171" customFormat="true" ht="24" hidden="false" customHeight="true" outlineLevel="0" collapsed="false">
      <c r="B750" s="11" t="s">
        <v>106</v>
      </c>
      <c r="C750" s="11" t="s">
        <v>796</v>
      </c>
      <c r="D750" s="172" t="n">
        <v>800500</v>
      </c>
      <c r="E750" s="172" t="s">
        <v>816</v>
      </c>
      <c r="F750" s="172" t="s">
        <v>432</v>
      </c>
      <c r="G750" s="173" t="s">
        <v>90</v>
      </c>
      <c r="H750" s="175" t="n">
        <v>1248</v>
      </c>
      <c r="I750" s="208" t="n">
        <f aca="false">H750</f>
        <v>1248</v>
      </c>
      <c r="J750" s="208" t="n">
        <v>1250</v>
      </c>
      <c r="K750" s="109" t="s">
        <v>67</v>
      </c>
      <c r="L750" s="176"/>
      <c r="M750" s="176"/>
      <c r="N750" s="176" t="n">
        <v>44550</v>
      </c>
      <c r="O750" s="176"/>
      <c r="P750" s="176"/>
      <c r="Q750" s="178" t="n">
        <v>0</v>
      </c>
      <c r="R750" s="175" t="n">
        <f aca="false">Q750</f>
        <v>0</v>
      </c>
      <c r="S750" s="9"/>
      <c r="T750" s="178" t="n">
        <v>66800</v>
      </c>
      <c r="U750" s="175" t="n">
        <f aca="false">T750</f>
        <v>66800</v>
      </c>
      <c r="V750" s="178" t="n">
        <v>66800</v>
      </c>
      <c r="W750" s="175" t="n">
        <f aca="false">V750</f>
        <v>66800</v>
      </c>
      <c r="X750" s="45" t="n">
        <f aca="false">V750/H750</f>
        <v>53.525641025641</v>
      </c>
      <c r="Y750" s="46" t="n">
        <f aca="false">SUM(V750-T750)/T750</f>
        <v>0</v>
      </c>
      <c r="Z750" s="175" t="s">
        <v>55</v>
      </c>
      <c r="AA750" s="209"/>
      <c r="AB750" s="174"/>
      <c r="AC750" s="178" t="s">
        <v>43</v>
      </c>
      <c r="AD750" s="172" t="s">
        <v>119</v>
      </c>
      <c r="AE750" s="179" t="n">
        <v>58</v>
      </c>
      <c r="AF750" s="172" t="n">
        <v>2</v>
      </c>
      <c r="AG750" s="180" t="n">
        <v>5</v>
      </c>
      <c r="AH750" s="172"/>
      <c r="AJ750" s="181"/>
    </row>
    <row r="751" customFormat="false" ht="12.75" hidden="false" customHeight="true" outlineLevel="0" collapsed="false">
      <c r="F751" s="182"/>
      <c r="G751" s="184"/>
      <c r="H751" s="192"/>
      <c r="I751" s="210"/>
      <c r="J751" s="210"/>
      <c r="K751" s="189"/>
      <c r="L751" s="211"/>
      <c r="M751" s="211"/>
      <c r="N751" s="211"/>
      <c r="O751" s="211"/>
      <c r="P751" s="211"/>
      <c r="Q751" s="212"/>
      <c r="R751" s="212"/>
      <c r="T751" s="212"/>
      <c r="U751" s="212"/>
      <c r="V751" s="212"/>
      <c r="W751" s="212"/>
      <c r="X751" s="212"/>
      <c r="Y751" s="213"/>
      <c r="Z751" s="212"/>
      <c r="AA751" s="214"/>
      <c r="AB751" s="214"/>
      <c r="AC751" s="214"/>
      <c r="AD751" s="182"/>
      <c r="AE751" s="194"/>
      <c r="AF751" s="182"/>
      <c r="AG751" s="195"/>
      <c r="AH751" s="182"/>
    </row>
    <row r="752" s="196" customFormat="true" ht="10.5" hidden="false" customHeight="true" outlineLevel="0" collapsed="false">
      <c r="D752" s="172"/>
      <c r="E752" s="172"/>
      <c r="F752" s="197"/>
      <c r="G752" s="198"/>
      <c r="H752" s="174" t="n">
        <f aca="false">SUM(H749:H750)</f>
        <v>2830</v>
      </c>
      <c r="I752" s="174"/>
      <c r="J752" s="174"/>
      <c r="K752" s="199"/>
      <c r="L752" s="200"/>
      <c r="M752" s="200"/>
      <c r="N752" s="200"/>
      <c r="O752" s="200"/>
      <c r="P752" s="200"/>
      <c r="Q752" s="174" t="n">
        <f aca="false">SUM(Q749:Q750)</f>
        <v>70000</v>
      </c>
      <c r="R752" s="174"/>
      <c r="T752" s="174" t="n">
        <f aca="false">SUM(T749:T750)</f>
        <v>130100</v>
      </c>
      <c r="U752" s="175"/>
      <c r="V752" s="174" t="n">
        <f aca="false">SUM(V749:V750)</f>
        <v>130100</v>
      </c>
      <c r="W752" s="175"/>
      <c r="X752" s="175"/>
      <c r="Y752" s="201"/>
      <c r="Z752" s="175"/>
      <c r="AA752" s="202"/>
      <c r="AB752" s="174" t="n">
        <v>1865000</v>
      </c>
      <c r="AC752" s="202"/>
      <c r="AD752" s="215"/>
      <c r="AE752" s="216"/>
      <c r="AF752" s="215"/>
      <c r="AG752" s="217"/>
      <c r="AH752" s="215"/>
      <c r="AJ752" s="203"/>
    </row>
    <row r="753" customFormat="false" ht="12.75" hidden="false" customHeight="true" outlineLevel="0" collapsed="false">
      <c r="F753" s="182"/>
      <c r="G753" s="184"/>
      <c r="H753" s="192"/>
      <c r="I753" s="210"/>
      <c r="J753" s="210"/>
      <c r="K753" s="189"/>
      <c r="L753" s="211"/>
      <c r="M753" s="211"/>
      <c r="N753" s="211"/>
      <c r="O753" s="211"/>
      <c r="P753" s="211"/>
      <c r="Q753" s="212"/>
      <c r="R753" s="212"/>
      <c r="T753" s="212"/>
      <c r="U753" s="212"/>
      <c r="V753" s="212"/>
      <c r="W753" s="212"/>
      <c r="X753" s="212"/>
      <c r="Y753" s="213"/>
      <c r="Z753" s="212"/>
      <c r="AA753" s="214"/>
      <c r="AB753" s="214"/>
      <c r="AC753" s="214"/>
      <c r="AD753" s="182"/>
      <c r="AE753" s="194"/>
      <c r="AF753" s="182"/>
      <c r="AG753" s="195"/>
      <c r="AH753" s="182"/>
    </row>
    <row r="754" customFormat="false" ht="12.75" hidden="false" customHeight="true" outlineLevel="0" collapsed="false">
      <c r="F754" s="182"/>
      <c r="G754" s="184"/>
      <c r="H754" s="192"/>
      <c r="I754" s="210"/>
      <c r="J754" s="210"/>
      <c r="K754" s="189"/>
      <c r="L754" s="211"/>
      <c r="M754" s="211"/>
      <c r="N754" s="211"/>
      <c r="O754" s="211"/>
      <c r="P754" s="211"/>
      <c r="Q754" s="212"/>
      <c r="R754" s="212"/>
      <c r="T754" s="212"/>
      <c r="U754" s="212"/>
      <c r="V754" s="212"/>
      <c r="W754" s="212"/>
      <c r="X754" s="212"/>
      <c r="Y754" s="213"/>
      <c r="Z754" s="212"/>
      <c r="AA754" s="214"/>
      <c r="AB754" s="214"/>
      <c r="AC754" s="214"/>
      <c r="AD754" s="182"/>
      <c r="AE754" s="194"/>
      <c r="AF754" s="182"/>
      <c r="AG754" s="195"/>
      <c r="AH754" s="182"/>
    </row>
    <row r="755" customFormat="false" ht="12.75" hidden="false" customHeight="true" outlineLevel="0" collapsed="false">
      <c r="F755" s="182"/>
      <c r="G755" s="170" t="s">
        <v>818</v>
      </c>
      <c r="H755" s="192"/>
      <c r="I755" s="210"/>
      <c r="J755" s="210"/>
      <c r="K755" s="189"/>
      <c r="L755" s="211"/>
      <c r="M755" s="211"/>
      <c r="N755" s="211"/>
      <c r="O755" s="211"/>
      <c r="P755" s="211"/>
      <c r="Q755" s="212"/>
      <c r="R755" s="212"/>
      <c r="T755" s="212"/>
      <c r="U755" s="212"/>
      <c r="V755" s="212"/>
      <c r="W755" s="212"/>
      <c r="X755" s="212"/>
      <c r="Y755" s="213"/>
      <c r="Z755" s="212"/>
      <c r="AA755" s="214"/>
      <c r="AB755" s="214"/>
      <c r="AC755" s="214"/>
      <c r="AD755" s="182"/>
      <c r="AE755" s="194"/>
      <c r="AF755" s="182"/>
      <c r="AG755" s="195"/>
      <c r="AH755" s="182"/>
    </row>
    <row r="756" customFormat="false" ht="12.75" hidden="false" customHeight="true" outlineLevel="0" collapsed="false">
      <c r="F756" s="182"/>
      <c r="G756" s="184"/>
      <c r="H756" s="192"/>
      <c r="I756" s="210"/>
      <c r="J756" s="210"/>
      <c r="K756" s="189"/>
      <c r="L756" s="211"/>
      <c r="M756" s="211"/>
      <c r="N756" s="211"/>
      <c r="O756" s="211"/>
      <c r="P756" s="211"/>
      <c r="Q756" s="212"/>
      <c r="R756" s="212"/>
      <c r="T756" s="212"/>
      <c r="U756" s="212"/>
      <c r="V756" s="212"/>
      <c r="W756" s="212"/>
      <c r="X756" s="212"/>
      <c r="Y756" s="213"/>
      <c r="Z756" s="212"/>
      <c r="AA756" s="214"/>
      <c r="AB756" s="214"/>
      <c r="AC756" s="214"/>
      <c r="AD756" s="182"/>
      <c r="AE756" s="194"/>
      <c r="AF756" s="182"/>
      <c r="AG756" s="195"/>
      <c r="AH756" s="182"/>
    </row>
    <row r="757" s="171" customFormat="true" ht="23.25" hidden="false" customHeight="true" outlineLevel="0" collapsed="false">
      <c r="B757" s="11" t="s">
        <v>106</v>
      </c>
      <c r="C757" s="11" t="s">
        <v>796</v>
      </c>
      <c r="D757" s="172" t="n">
        <v>800600</v>
      </c>
      <c r="E757" s="172" t="s">
        <v>818</v>
      </c>
      <c r="F757" s="172" t="s">
        <v>819</v>
      </c>
      <c r="G757" s="187" t="s">
        <v>820</v>
      </c>
      <c r="H757" s="175" t="n">
        <v>0</v>
      </c>
      <c r="I757" s="208" t="n">
        <f aca="false">H757</f>
        <v>0</v>
      </c>
      <c r="J757" s="208"/>
      <c r="K757" s="109" t="s">
        <v>169</v>
      </c>
      <c r="L757" s="176" t="n">
        <v>18170</v>
      </c>
      <c r="M757" s="176" t="n">
        <v>54329</v>
      </c>
      <c r="N757" s="176"/>
      <c r="O757" s="176"/>
      <c r="P757" s="176"/>
      <c r="Q757" s="178" t="n">
        <v>0</v>
      </c>
      <c r="R757" s="175" t="n">
        <f aca="false">Q757</f>
        <v>0</v>
      </c>
      <c r="S757" s="9"/>
      <c r="T757" s="178" t="n">
        <v>0</v>
      </c>
      <c r="U757" s="175" t="n">
        <f aca="false">T757</f>
        <v>0</v>
      </c>
      <c r="V757" s="178" t="n">
        <v>0</v>
      </c>
      <c r="W757" s="175" t="n">
        <f aca="false">V757</f>
        <v>0</v>
      </c>
      <c r="X757" s="45"/>
      <c r="Y757" s="46"/>
      <c r="Z757" s="175"/>
      <c r="AA757" s="209"/>
      <c r="AB757" s="174"/>
      <c r="AC757" s="178" t="s">
        <v>170</v>
      </c>
      <c r="AD757" s="172" t="s">
        <v>821</v>
      </c>
      <c r="AE757" s="179"/>
      <c r="AF757" s="172"/>
      <c r="AG757" s="180"/>
      <c r="AH757" s="172"/>
      <c r="AJ757" s="181"/>
    </row>
    <row r="758" s="171" customFormat="true" ht="31.5" hidden="false" customHeight="true" outlineLevel="0" collapsed="false">
      <c r="B758" s="11" t="s">
        <v>106</v>
      </c>
      <c r="C758" s="11" t="s">
        <v>796</v>
      </c>
      <c r="D758" s="172" t="n">
        <v>800600</v>
      </c>
      <c r="E758" s="172" t="s">
        <v>818</v>
      </c>
      <c r="F758" s="172" t="s">
        <v>822</v>
      </c>
      <c r="G758" s="173" t="s">
        <v>823</v>
      </c>
      <c r="H758" s="175" t="n">
        <v>3356</v>
      </c>
      <c r="I758" s="208" t="n">
        <f aca="false">H758</f>
        <v>3356</v>
      </c>
      <c r="J758" s="208" t="n">
        <v>3500</v>
      </c>
      <c r="K758" s="109" t="s">
        <v>67</v>
      </c>
      <c r="L758" s="176"/>
      <c r="M758" s="176"/>
      <c r="N758" s="176" t="n">
        <v>45457</v>
      </c>
      <c r="O758" s="176"/>
      <c r="P758" s="176"/>
      <c r="Q758" s="178" t="n">
        <v>0</v>
      </c>
      <c r="R758" s="175" t="n">
        <f aca="false">Q758</f>
        <v>0</v>
      </c>
      <c r="S758" s="9"/>
      <c r="T758" s="178" t="n">
        <v>174600</v>
      </c>
      <c r="U758" s="175" t="n">
        <f aca="false">T758</f>
        <v>174600</v>
      </c>
      <c r="V758" s="178" t="n">
        <v>174600</v>
      </c>
      <c r="W758" s="175" t="n">
        <f aca="false">V758</f>
        <v>174600</v>
      </c>
      <c r="X758" s="45" t="n">
        <f aca="false">V758/H758</f>
        <v>52.0262216924911</v>
      </c>
      <c r="Y758" s="46" t="n">
        <f aca="false">SUM(V758-T758)/T758</f>
        <v>0</v>
      </c>
      <c r="Z758" s="175" t="s">
        <v>55</v>
      </c>
      <c r="AA758" s="209"/>
      <c r="AB758" s="174"/>
      <c r="AC758" s="178" t="s">
        <v>43</v>
      </c>
      <c r="AD758" s="172" t="s">
        <v>119</v>
      </c>
      <c r="AE758" s="179" t="n">
        <v>45</v>
      </c>
      <c r="AF758" s="172" t="n">
        <v>3</v>
      </c>
      <c r="AG758" s="180" t="n">
        <v>10</v>
      </c>
      <c r="AH758" s="172" t="s">
        <v>57</v>
      </c>
      <c r="AJ758" s="181"/>
    </row>
    <row r="759" s="171" customFormat="true" ht="24" hidden="false" customHeight="true" outlineLevel="0" collapsed="false">
      <c r="B759" s="11" t="s">
        <v>106</v>
      </c>
      <c r="C759" s="11" t="s">
        <v>796</v>
      </c>
      <c r="D759" s="172" t="n">
        <v>800600</v>
      </c>
      <c r="E759" s="172" t="s">
        <v>818</v>
      </c>
      <c r="F759" s="172" t="s">
        <v>824</v>
      </c>
      <c r="G759" s="173" t="s">
        <v>251</v>
      </c>
      <c r="H759" s="175" t="n">
        <v>1157</v>
      </c>
      <c r="I759" s="208" t="n">
        <f aca="false">H759</f>
        <v>1157</v>
      </c>
      <c r="J759" s="208" t="n">
        <v>1000</v>
      </c>
      <c r="K759" s="109" t="s">
        <v>825</v>
      </c>
      <c r="L759" s="176" t="n">
        <v>45230</v>
      </c>
      <c r="M759" s="176" t="n">
        <v>46325</v>
      </c>
      <c r="N759" s="176"/>
      <c r="O759" s="176"/>
      <c r="P759" s="176"/>
      <c r="Q759" s="178" t="n">
        <v>46000</v>
      </c>
      <c r="R759" s="175" t="n">
        <f aca="false">Q759</f>
        <v>46000</v>
      </c>
      <c r="S759" s="9"/>
      <c r="T759" s="178" t="n">
        <v>52800</v>
      </c>
      <c r="U759" s="175" t="n">
        <f aca="false">T759</f>
        <v>52800</v>
      </c>
      <c r="V759" s="178" t="n">
        <v>52800</v>
      </c>
      <c r="W759" s="175" t="n">
        <f aca="false">V759</f>
        <v>52800</v>
      </c>
      <c r="X759" s="45" t="n">
        <f aca="false">V759/H759</f>
        <v>45.6352636127917</v>
      </c>
      <c r="Y759" s="46" t="n">
        <f aca="false">SUM(V759-T759)/T759</f>
        <v>0</v>
      </c>
      <c r="Z759" s="175" t="s">
        <v>60</v>
      </c>
      <c r="AA759" s="209"/>
      <c r="AB759" s="174"/>
      <c r="AC759" s="178" t="s">
        <v>43</v>
      </c>
      <c r="AD759" s="172" t="s">
        <v>826</v>
      </c>
      <c r="AE759" s="179"/>
      <c r="AF759" s="172"/>
      <c r="AG759" s="180"/>
      <c r="AH759" s="172"/>
      <c r="AJ759" s="181"/>
    </row>
    <row r="760" s="171" customFormat="true" ht="23.25" hidden="false" customHeight="true" outlineLevel="0" collapsed="false">
      <c r="B760" s="11" t="s">
        <v>106</v>
      </c>
      <c r="C760" s="11" t="s">
        <v>796</v>
      </c>
      <c r="D760" s="172" t="n">
        <v>800600</v>
      </c>
      <c r="E760" s="172" t="s">
        <v>818</v>
      </c>
      <c r="F760" s="172" t="s">
        <v>328</v>
      </c>
      <c r="G760" s="173" t="s">
        <v>90</v>
      </c>
      <c r="H760" s="175" t="n">
        <v>1015</v>
      </c>
      <c r="I760" s="208" t="n">
        <f aca="false">H760</f>
        <v>1015</v>
      </c>
      <c r="J760" s="208" t="n">
        <v>1000</v>
      </c>
      <c r="K760" s="109" t="s">
        <v>67</v>
      </c>
      <c r="L760" s="176"/>
      <c r="M760" s="176"/>
      <c r="N760" s="176" t="n">
        <v>43840</v>
      </c>
      <c r="O760" s="176"/>
      <c r="P760" s="176"/>
      <c r="Q760" s="178" t="n">
        <v>0</v>
      </c>
      <c r="R760" s="175" t="n">
        <f aca="false">Q760</f>
        <v>0</v>
      </c>
      <c r="S760" s="9"/>
      <c r="T760" s="178" t="n">
        <v>53300</v>
      </c>
      <c r="U760" s="175" t="n">
        <f aca="false">T760</f>
        <v>53300</v>
      </c>
      <c r="V760" s="178" t="n">
        <v>53300</v>
      </c>
      <c r="W760" s="175" t="n">
        <f aca="false">V760</f>
        <v>53300</v>
      </c>
      <c r="X760" s="45" t="n">
        <f aca="false">V760/H760</f>
        <v>52.512315270936</v>
      </c>
      <c r="Y760" s="46" t="n">
        <f aca="false">SUM(V760-T760)/T760</f>
        <v>0</v>
      </c>
      <c r="Z760" s="175" t="s">
        <v>60</v>
      </c>
      <c r="AA760" s="209"/>
      <c r="AB760" s="174"/>
      <c r="AC760" s="178" t="s">
        <v>43</v>
      </c>
      <c r="AD760" s="4" t="s">
        <v>228</v>
      </c>
      <c r="AE760" s="15"/>
      <c r="AF760" s="60"/>
      <c r="AG760" s="62"/>
      <c r="AH760" s="60"/>
      <c r="AJ760" s="181"/>
    </row>
    <row r="761" s="171" customFormat="true" ht="23.25" hidden="false" customHeight="true" outlineLevel="0" collapsed="false">
      <c r="B761" s="11" t="s">
        <v>106</v>
      </c>
      <c r="C761" s="11" t="s">
        <v>796</v>
      </c>
      <c r="D761" s="172" t="n">
        <v>800600</v>
      </c>
      <c r="E761" s="172" t="s">
        <v>818</v>
      </c>
      <c r="F761" s="172" t="s">
        <v>331</v>
      </c>
      <c r="G761" s="173" t="s">
        <v>90</v>
      </c>
      <c r="H761" s="175" t="n">
        <v>250</v>
      </c>
      <c r="I761" s="208" t="n">
        <f aca="false">H761</f>
        <v>250</v>
      </c>
      <c r="J761" s="208" t="n">
        <v>250</v>
      </c>
      <c r="K761" s="109" t="s">
        <v>67</v>
      </c>
      <c r="L761" s="176"/>
      <c r="M761" s="176"/>
      <c r="N761" s="176" t="n">
        <v>45682</v>
      </c>
      <c r="O761" s="176"/>
      <c r="P761" s="176"/>
      <c r="Q761" s="178" t="n">
        <v>0</v>
      </c>
      <c r="R761" s="175" t="n">
        <f aca="false">Q761</f>
        <v>0</v>
      </c>
      <c r="S761" s="9"/>
      <c r="T761" s="178" t="n">
        <v>14500</v>
      </c>
      <c r="U761" s="175" t="n">
        <f aca="false">T761</f>
        <v>14500</v>
      </c>
      <c r="V761" s="178" t="n">
        <v>14500</v>
      </c>
      <c r="W761" s="175" t="n">
        <f aca="false">V761</f>
        <v>14500</v>
      </c>
      <c r="X761" s="45" t="n">
        <f aca="false">V761/H761</f>
        <v>58</v>
      </c>
      <c r="Y761" s="46" t="n">
        <f aca="false">SUM(V761-T761)/T761</f>
        <v>0</v>
      </c>
      <c r="Z761" s="175" t="s">
        <v>60</v>
      </c>
      <c r="AA761" s="209"/>
      <c r="AB761" s="174"/>
      <c r="AC761" s="178" t="s">
        <v>43</v>
      </c>
      <c r="AD761" s="172" t="s">
        <v>68</v>
      </c>
      <c r="AE761" s="179"/>
      <c r="AF761" s="172"/>
      <c r="AG761" s="180" t="n">
        <v>1</v>
      </c>
      <c r="AH761" s="172"/>
      <c r="AJ761" s="181"/>
    </row>
    <row r="762" s="171" customFormat="true" ht="12" hidden="false" customHeight="true" outlineLevel="0" collapsed="false">
      <c r="B762" s="11" t="s">
        <v>106</v>
      </c>
      <c r="C762" s="11" t="s">
        <v>796</v>
      </c>
      <c r="D762" s="172" t="n">
        <v>800600</v>
      </c>
      <c r="E762" s="172" t="s">
        <v>818</v>
      </c>
      <c r="F762" s="172" t="s">
        <v>597</v>
      </c>
      <c r="G762" s="173" t="s">
        <v>90</v>
      </c>
      <c r="H762" s="175" t="n">
        <v>1026</v>
      </c>
      <c r="I762" s="208" t="n">
        <f aca="false">H762</f>
        <v>1026</v>
      </c>
      <c r="J762" s="208" t="n">
        <v>1000</v>
      </c>
      <c r="K762" s="109" t="s">
        <v>67</v>
      </c>
      <c r="L762" s="176"/>
      <c r="M762" s="176"/>
      <c r="N762" s="176" t="n">
        <v>44500</v>
      </c>
      <c r="O762" s="176"/>
      <c r="P762" s="176"/>
      <c r="Q762" s="178" t="n">
        <v>0</v>
      </c>
      <c r="R762" s="175" t="n">
        <f aca="false">Q762</f>
        <v>0</v>
      </c>
      <c r="S762" s="9"/>
      <c r="T762" s="178" t="n">
        <v>53900</v>
      </c>
      <c r="U762" s="175" t="n">
        <f aca="false">T762</f>
        <v>53900</v>
      </c>
      <c r="V762" s="178" t="n">
        <v>53900</v>
      </c>
      <c r="W762" s="175" t="n">
        <f aca="false">V762</f>
        <v>53900</v>
      </c>
      <c r="X762" s="45" t="n">
        <f aca="false">V762/H762</f>
        <v>52.5341130604289</v>
      </c>
      <c r="Y762" s="46" t="n">
        <f aca="false">SUM(V762-T762)/T762</f>
        <v>0</v>
      </c>
      <c r="Z762" s="175" t="s">
        <v>42</v>
      </c>
      <c r="AA762" s="209"/>
      <c r="AB762" s="174"/>
      <c r="AC762" s="178" t="s">
        <v>43</v>
      </c>
      <c r="AD762" s="4" t="s">
        <v>228</v>
      </c>
      <c r="AE762" s="15"/>
      <c r="AF762" s="60"/>
      <c r="AG762" s="62"/>
      <c r="AH762" s="60"/>
      <c r="AJ762" s="181"/>
    </row>
    <row r="763" s="171" customFormat="true" ht="23.25" hidden="false" customHeight="true" outlineLevel="0" collapsed="false">
      <c r="B763" s="11" t="s">
        <v>106</v>
      </c>
      <c r="C763" s="11" t="s">
        <v>796</v>
      </c>
      <c r="D763" s="172" t="n">
        <v>800600</v>
      </c>
      <c r="E763" s="172" t="s">
        <v>818</v>
      </c>
      <c r="F763" s="172" t="s">
        <v>580</v>
      </c>
      <c r="G763" s="173" t="s">
        <v>90</v>
      </c>
      <c r="H763" s="175" t="n">
        <v>242</v>
      </c>
      <c r="I763" s="208" t="n">
        <f aca="false">H763</f>
        <v>242</v>
      </c>
      <c r="J763" s="208" t="n">
        <v>250</v>
      </c>
      <c r="K763" s="109" t="s">
        <v>67</v>
      </c>
      <c r="L763" s="176"/>
      <c r="M763" s="176"/>
      <c r="N763" s="176" t="n">
        <v>44135</v>
      </c>
      <c r="O763" s="176"/>
      <c r="P763" s="176"/>
      <c r="Q763" s="178" t="n">
        <v>0</v>
      </c>
      <c r="R763" s="175" t="n">
        <f aca="false">Q763</f>
        <v>0</v>
      </c>
      <c r="S763" s="9"/>
      <c r="T763" s="178" t="n">
        <v>14000</v>
      </c>
      <c r="U763" s="175" t="n">
        <f aca="false">T763</f>
        <v>14000</v>
      </c>
      <c r="V763" s="178" t="n">
        <v>14000</v>
      </c>
      <c r="W763" s="175" t="n">
        <f aca="false">V763</f>
        <v>14000</v>
      </c>
      <c r="X763" s="45" t="n">
        <f aca="false">V763/H763</f>
        <v>57.8512396694215</v>
      </c>
      <c r="Y763" s="46" t="n">
        <f aca="false">SUM(V763-T763)/T763</f>
        <v>0</v>
      </c>
      <c r="Z763" s="175" t="s">
        <v>127</v>
      </c>
      <c r="AA763" s="209"/>
      <c r="AB763" s="174"/>
      <c r="AC763" s="178" t="s">
        <v>43</v>
      </c>
      <c r="AD763" s="4" t="s">
        <v>228</v>
      </c>
      <c r="AE763" s="15"/>
      <c r="AF763" s="60"/>
      <c r="AG763" s="62"/>
      <c r="AH763" s="60"/>
      <c r="AJ763" s="181"/>
    </row>
    <row r="764" s="171" customFormat="true" ht="12" hidden="false" customHeight="true" outlineLevel="0" collapsed="false">
      <c r="B764" s="11" t="s">
        <v>106</v>
      </c>
      <c r="C764" s="11" t="s">
        <v>796</v>
      </c>
      <c r="D764" s="172" t="n">
        <v>800600</v>
      </c>
      <c r="E764" s="172" t="s">
        <v>818</v>
      </c>
      <c r="F764" s="172" t="s">
        <v>94</v>
      </c>
      <c r="G764" s="173" t="s">
        <v>90</v>
      </c>
      <c r="H764" s="175" t="n">
        <v>1028</v>
      </c>
      <c r="I764" s="208" t="n">
        <f aca="false">H764</f>
        <v>1028</v>
      </c>
      <c r="J764" s="208" t="n">
        <v>1000</v>
      </c>
      <c r="K764" s="109" t="s">
        <v>827</v>
      </c>
      <c r="L764" s="176" t="n">
        <v>44135</v>
      </c>
      <c r="M764" s="176" t="n">
        <v>45960</v>
      </c>
      <c r="N764" s="176"/>
      <c r="O764" s="176"/>
      <c r="P764" s="176"/>
      <c r="Q764" s="178" t="n">
        <v>52572</v>
      </c>
      <c r="R764" s="175" t="n">
        <f aca="false">Q764</f>
        <v>52572</v>
      </c>
      <c r="S764" s="9"/>
      <c r="T764" s="178" t="n">
        <v>51400</v>
      </c>
      <c r="U764" s="175" t="n">
        <f aca="false">T764</f>
        <v>51400</v>
      </c>
      <c r="V764" s="178" t="n">
        <v>51400</v>
      </c>
      <c r="W764" s="175" t="n">
        <f aca="false">V764</f>
        <v>51400</v>
      </c>
      <c r="X764" s="45" t="n">
        <f aca="false">V764/H764</f>
        <v>50</v>
      </c>
      <c r="Y764" s="46" t="n">
        <f aca="false">SUM(V764-T764)/T764</f>
        <v>0</v>
      </c>
      <c r="Z764" s="175" t="s">
        <v>60</v>
      </c>
      <c r="AA764" s="209"/>
      <c r="AB764" s="174"/>
      <c r="AC764" s="178" t="s">
        <v>43</v>
      </c>
      <c r="AD764" s="4" t="s">
        <v>228</v>
      </c>
      <c r="AE764" s="15"/>
      <c r="AF764" s="60"/>
      <c r="AG764" s="62"/>
      <c r="AH764" s="60"/>
      <c r="AJ764" s="181"/>
    </row>
    <row r="765" s="171" customFormat="true" ht="23.25" hidden="false" customHeight="true" outlineLevel="0" collapsed="false">
      <c r="B765" s="11" t="s">
        <v>106</v>
      </c>
      <c r="C765" s="11" t="s">
        <v>796</v>
      </c>
      <c r="D765" s="172" t="n">
        <v>800600</v>
      </c>
      <c r="E765" s="172" t="s">
        <v>818</v>
      </c>
      <c r="F765" s="172" t="s">
        <v>118</v>
      </c>
      <c r="G765" s="173" t="s">
        <v>90</v>
      </c>
      <c r="H765" s="175" t="n">
        <v>834</v>
      </c>
      <c r="I765" s="208" t="n">
        <f aca="false">H765</f>
        <v>834</v>
      </c>
      <c r="J765" s="208" t="n">
        <v>1000</v>
      </c>
      <c r="K765" s="109" t="s">
        <v>67</v>
      </c>
      <c r="L765" s="176"/>
      <c r="M765" s="176"/>
      <c r="N765" s="176" t="n">
        <v>43840</v>
      </c>
      <c r="O765" s="176"/>
      <c r="P765" s="176"/>
      <c r="Q765" s="178" t="n">
        <v>0</v>
      </c>
      <c r="R765" s="175" t="n">
        <f aca="false">Q765</f>
        <v>0</v>
      </c>
      <c r="S765" s="9"/>
      <c r="T765" s="178" t="n">
        <v>43800</v>
      </c>
      <c r="U765" s="175" t="n">
        <f aca="false">T765</f>
        <v>43800</v>
      </c>
      <c r="V765" s="178" t="n">
        <v>43800</v>
      </c>
      <c r="W765" s="175" t="n">
        <f aca="false">V765</f>
        <v>43800</v>
      </c>
      <c r="X765" s="45" t="n">
        <f aca="false">V765/H765</f>
        <v>52.5179856115108</v>
      </c>
      <c r="Y765" s="46" t="n">
        <f aca="false">SUM(V765-T765)/T765</f>
        <v>0</v>
      </c>
      <c r="Z765" s="175" t="s">
        <v>60</v>
      </c>
      <c r="AA765" s="209"/>
      <c r="AB765" s="174"/>
      <c r="AC765" s="178" t="s">
        <v>43</v>
      </c>
      <c r="AD765" s="4" t="s">
        <v>228</v>
      </c>
      <c r="AE765" s="15"/>
      <c r="AF765" s="60"/>
      <c r="AG765" s="62"/>
      <c r="AH765" s="60"/>
      <c r="AJ765" s="181"/>
    </row>
    <row r="766" s="171" customFormat="true" ht="10.5" hidden="false" customHeight="true" outlineLevel="0" collapsed="false">
      <c r="F766" s="172"/>
      <c r="G766" s="173"/>
      <c r="H766" s="175"/>
      <c r="I766" s="218"/>
      <c r="J766" s="218"/>
      <c r="K766" s="109"/>
      <c r="L766" s="219"/>
      <c r="M766" s="219"/>
      <c r="N766" s="219"/>
      <c r="O766" s="219"/>
      <c r="P766" s="219"/>
      <c r="Q766" s="220"/>
      <c r="R766" s="220"/>
      <c r="S766" s="9"/>
      <c r="T766" s="220"/>
      <c r="U766" s="220"/>
      <c r="V766" s="220"/>
      <c r="W766" s="220"/>
      <c r="X766" s="220"/>
      <c r="Y766" s="221"/>
      <c r="Z766" s="220"/>
      <c r="AA766" s="186"/>
      <c r="AB766" s="186"/>
      <c r="AC766" s="186"/>
      <c r="AD766" s="172"/>
      <c r="AE766" s="179"/>
      <c r="AF766" s="172"/>
      <c r="AG766" s="180"/>
      <c r="AH766" s="172"/>
      <c r="AJ766" s="181"/>
    </row>
    <row r="767" s="171" customFormat="true" ht="10.5" hidden="false" customHeight="true" outlineLevel="0" collapsed="false">
      <c r="F767" s="172"/>
      <c r="G767" s="173"/>
      <c r="H767" s="174" t="n">
        <f aca="false">SUM(H757:H765)</f>
        <v>8908</v>
      </c>
      <c r="I767" s="218"/>
      <c r="J767" s="218"/>
      <c r="K767" s="109"/>
      <c r="L767" s="219"/>
      <c r="M767" s="219"/>
      <c r="N767" s="219"/>
      <c r="O767" s="219"/>
      <c r="P767" s="219"/>
      <c r="Q767" s="174" t="n">
        <f aca="false">SUM(Q757:Q765)</f>
        <v>98572</v>
      </c>
      <c r="R767" s="174"/>
      <c r="S767" s="9"/>
      <c r="T767" s="174" t="n">
        <f aca="false">SUM(T757:T765)</f>
        <v>458300</v>
      </c>
      <c r="U767" s="220"/>
      <c r="V767" s="174" t="n">
        <f aca="false">SUM(V757:V765)</f>
        <v>458300</v>
      </c>
      <c r="W767" s="220"/>
      <c r="X767" s="220"/>
      <c r="Y767" s="221"/>
      <c r="Z767" s="220"/>
      <c r="AA767" s="186"/>
      <c r="AB767" s="174" t="n">
        <v>5130000</v>
      </c>
      <c r="AC767" s="186"/>
      <c r="AD767" s="4"/>
      <c r="AE767" s="15"/>
      <c r="AF767" s="60"/>
      <c r="AG767" s="62"/>
      <c r="AH767" s="60"/>
      <c r="AJ767" s="181"/>
    </row>
    <row r="768" customFormat="false" ht="12.75" hidden="false" customHeight="true" outlineLevel="0" collapsed="false">
      <c r="F768" s="182"/>
      <c r="G768" s="184"/>
      <c r="H768" s="205"/>
      <c r="I768" s="210"/>
      <c r="J768" s="210"/>
      <c r="K768" s="189"/>
      <c r="L768" s="211"/>
      <c r="M768" s="211"/>
      <c r="N768" s="211"/>
      <c r="O768" s="211"/>
      <c r="P768" s="211"/>
      <c r="Q768" s="205"/>
      <c r="R768" s="205"/>
      <c r="T768" s="205"/>
      <c r="U768" s="212"/>
      <c r="V768" s="205"/>
      <c r="W768" s="212"/>
      <c r="X768" s="212"/>
      <c r="Y768" s="213"/>
      <c r="Z768" s="212"/>
      <c r="AA768" s="214"/>
      <c r="AB768" s="205"/>
      <c r="AC768" s="214"/>
      <c r="AD768" s="182"/>
      <c r="AE768" s="194"/>
      <c r="AF768" s="182"/>
      <c r="AG768" s="195"/>
      <c r="AH768" s="182"/>
    </row>
    <row r="769" customFormat="false" ht="12.75" hidden="false" customHeight="true" outlineLevel="0" collapsed="false">
      <c r="F769" s="182"/>
      <c r="G769" s="184"/>
      <c r="H769" s="205"/>
      <c r="I769" s="210"/>
      <c r="J769" s="210"/>
      <c r="K769" s="189"/>
      <c r="L769" s="211"/>
      <c r="M769" s="211"/>
      <c r="N769" s="211"/>
      <c r="O769" s="211"/>
      <c r="P769" s="211"/>
      <c r="Q769" s="212"/>
      <c r="R769" s="212"/>
      <c r="T769" s="212"/>
      <c r="U769" s="212"/>
      <c r="V769" s="212"/>
      <c r="W769" s="212"/>
      <c r="X769" s="212"/>
      <c r="Y769" s="213"/>
      <c r="Z769" s="212"/>
      <c r="AA769" s="214"/>
      <c r="AB769" s="214"/>
      <c r="AC769" s="214"/>
      <c r="AD769" s="182"/>
      <c r="AE769" s="194"/>
      <c r="AF769" s="182"/>
      <c r="AG769" s="195"/>
      <c r="AH769" s="182"/>
    </row>
    <row r="770" customFormat="false" ht="12.75" hidden="false" customHeight="true" outlineLevel="0" collapsed="false">
      <c r="D770" s="182"/>
      <c r="E770" s="182"/>
      <c r="F770" s="162"/>
      <c r="G770" s="170" t="s">
        <v>828</v>
      </c>
      <c r="H770" s="222"/>
      <c r="I770" s="164"/>
      <c r="J770" s="164"/>
      <c r="K770" s="162"/>
      <c r="L770" s="165"/>
      <c r="M770" s="165"/>
      <c r="N770" s="165"/>
      <c r="O770" s="165"/>
      <c r="P770" s="165"/>
      <c r="Q770" s="166"/>
      <c r="R770" s="164"/>
      <c r="T770" s="166"/>
      <c r="U770" s="164"/>
      <c r="V770" s="166"/>
      <c r="W770" s="164"/>
      <c r="X770" s="164"/>
      <c r="Y770" s="183"/>
      <c r="Z770" s="164"/>
      <c r="AA770" s="163"/>
      <c r="AB770" s="163"/>
      <c r="AC770" s="163"/>
      <c r="AD770" s="162"/>
      <c r="AE770" s="168"/>
      <c r="AF770" s="162"/>
      <c r="AG770" s="169"/>
      <c r="AH770" s="162"/>
    </row>
    <row r="771" customFormat="false" ht="12.75" hidden="false" customHeight="true" outlineLevel="0" collapsed="false">
      <c r="D771" s="182"/>
      <c r="E771" s="182"/>
      <c r="F771" s="162"/>
      <c r="G771" s="163"/>
      <c r="H771" s="164"/>
      <c r="I771" s="164"/>
      <c r="J771" s="164"/>
      <c r="K771" s="162"/>
      <c r="L771" s="165"/>
      <c r="M771" s="165"/>
      <c r="N771" s="165"/>
      <c r="O771" s="165"/>
      <c r="P771" s="165"/>
      <c r="Q771" s="166"/>
      <c r="R771" s="164"/>
      <c r="T771" s="166"/>
      <c r="U771" s="164"/>
      <c r="V771" s="166"/>
      <c r="W771" s="164"/>
      <c r="X771" s="164"/>
      <c r="Y771" s="183"/>
      <c r="Z771" s="164"/>
      <c r="AA771" s="163"/>
      <c r="AB771" s="163"/>
      <c r="AC771" s="163"/>
      <c r="AD771" s="172"/>
      <c r="AE771" s="179"/>
      <c r="AF771" s="223"/>
      <c r="AG771" s="224"/>
      <c r="AH771" s="225"/>
    </row>
    <row r="772" s="171" customFormat="true" ht="12" hidden="false" customHeight="true" outlineLevel="0" collapsed="false">
      <c r="B772" s="11" t="s">
        <v>189</v>
      </c>
      <c r="C772" s="11" t="s">
        <v>829</v>
      </c>
      <c r="D772" s="172" t="n">
        <v>111010</v>
      </c>
      <c r="E772" s="172" t="s">
        <v>828</v>
      </c>
      <c r="F772" s="172" t="s">
        <v>264</v>
      </c>
      <c r="G772" s="187" t="s">
        <v>593</v>
      </c>
      <c r="H772" s="175" t="n">
        <v>4289</v>
      </c>
      <c r="I772" s="175" t="n">
        <f aca="false">H772</f>
        <v>4289</v>
      </c>
      <c r="J772" s="175" t="n">
        <v>4250</v>
      </c>
      <c r="K772" s="109" t="s">
        <v>830</v>
      </c>
      <c r="L772" s="176" t="n">
        <v>45510</v>
      </c>
      <c r="M772" s="176" t="n">
        <v>50987</v>
      </c>
      <c r="N772" s="176"/>
      <c r="O772" s="176" t="n">
        <v>47336</v>
      </c>
      <c r="P772" s="176" t="n">
        <v>49162</v>
      </c>
      <c r="Q772" s="178" t="n">
        <v>110000</v>
      </c>
      <c r="R772" s="175" t="n">
        <f aca="false">Q772</f>
        <v>110000</v>
      </c>
      <c r="S772" s="9"/>
      <c r="T772" s="178" t="n">
        <v>220100</v>
      </c>
      <c r="U772" s="175" t="n">
        <f aca="false">T772</f>
        <v>220100</v>
      </c>
      <c r="V772" s="178" t="n">
        <v>220100</v>
      </c>
      <c r="W772" s="175" t="n">
        <f aca="false">V772</f>
        <v>220100</v>
      </c>
      <c r="X772" s="45" t="n">
        <f aca="false">V772/H772</f>
        <v>51.3173233854045</v>
      </c>
      <c r="Y772" s="46" t="n">
        <f aca="false">SUM(V772-T772)/T772</f>
        <v>0</v>
      </c>
      <c r="Z772" s="175" t="s">
        <v>42</v>
      </c>
      <c r="AA772" s="186" t="s">
        <v>26</v>
      </c>
      <c r="AB772" s="186"/>
      <c r="AC772" s="178" t="s">
        <v>43</v>
      </c>
      <c r="AD772" s="172" t="s">
        <v>831</v>
      </c>
      <c r="AE772" s="179"/>
      <c r="AF772" s="223"/>
      <c r="AG772" s="224"/>
      <c r="AH772" s="225"/>
      <c r="AJ772" s="181"/>
    </row>
    <row r="773" s="171" customFormat="true" ht="12.75" hidden="false" customHeight="true" outlineLevel="0" collapsed="false">
      <c r="B773" s="11" t="s">
        <v>189</v>
      </c>
      <c r="C773" s="11" t="s">
        <v>829</v>
      </c>
      <c r="D773" s="172" t="n">
        <v>111010</v>
      </c>
      <c r="E773" s="172" t="s">
        <v>828</v>
      </c>
      <c r="F773" s="172" t="s">
        <v>89</v>
      </c>
      <c r="G773" s="173" t="s">
        <v>90</v>
      </c>
      <c r="H773" s="175" t="n">
        <v>2279</v>
      </c>
      <c r="I773" s="175" t="n">
        <f aca="false">H773</f>
        <v>2279</v>
      </c>
      <c r="J773" s="175" t="n">
        <v>2250</v>
      </c>
      <c r="K773" s="109" t="s">
        <v>67</v>
      </c>
      <c r="L773" s="176"/>
      <c r="M773" s="176"/>
      <c r="N773" s="176" t="n">
        <v>44577</v>
      </c>
      <c r="O773" s="176"/>
      <c r="P773" s="176"/>
      <c r="Q773" s="178" t="n">
        <v>0</v>
      </c>
      <c r="R773" s="175" t="n">
        <f aca="false">Q773</f>
        <v>0</v>
      </c>
      <c r="S773" s="9"/>
      <c r="T773" s="178" t="n">
        <v>150000</v>
      </c>
      <c r="U773" s="175" t="n">
        <f aca="false">T773</f>
        <v>150000</v>
      </c>
      <c r="V773" s="178" t="n">
        <v>167500</v>
      </c>
      <c r="W773" s="175" t="n">
        <f aca="false">V773</f>
        <v>167500</v>
      </c>
      <c r="X773" s="45" t="n">
        <f aca="false">V773/H773</f>
        <v>73.4971478718736</v>
      </c>
      <c r="Y773" s="46" t="n">
        <f aca="false">SUM(V773-T773)/T773</f>
        <v>0.116666666666667</v>
      </c>
      <c r="Z773" s="175" t="s">
        <v>42</v>
      </c>
      <c r="AA773" s="186" t="s">
        <v>26</v>
      </c>
      <c r="AB773" s="186"/>
      <c r="AC773" s="178" t="s">
        <v>43</v>
      </c>
      <c r="AD773" s="172" t="s">
        <v>119</v>
      </c>
      <c r="AE773" s="179" t="n">
        <v>75</v>
      </c>
      <c r="AF773" s="172" t="n">
        <v>1</v>
      </c>
      <c r="AG773" s="180" t="n">
        <v>2</v>
      </c>
      <c r="AH773" s="182" t="s">
        <v>57</v>
      </c>
      <c r="AJ773" s="181"/>
    </row>
    <row r="774" s="171" customFormat="true" ht="12" hidden="false" customHeight="true" outlineLevel="0" collapsed="false">
      <c r="B774" s="11" t="s">
        <v>189</v>
      </c>
      <c r="C774" s="11" t="s">
        <v>829</v>
      </c>
      <c r="D774" s="172" t="n">
        <v>111010</v>
      </c>
      <c r="E774" s="172" t="s">
        <v>828</v>
      </c>
      <c r="F774" s="172" t="s">
        <v>93</v>
      </c>
      <c r="G774" s="173" t="s">
        <v>90</v>
      </c>
      <c r="H774" s="175" t="n">
        <v>1640</v>
      </c>
      <c r="I774" s="175" t="n">
        <f aca="false">H774</f>
        <v>1640</v>
      </c>
      <c r="J774" s="175" t="n">
        <v>1500</v>
      </c>
      <c r="K774" s="109" t="s">
        <v>832</v>
      </c>
      <c r="L774" s="176" t="n">
        <v>44710</v>
      </c>
      <c r="M774" s="176" t="n">
        <v>45805</v>
      </c>
      <c r="N774" s="176"/>
      <c r="O774" s="176"/>
      <c r="P774" s="176"/>
      <c r="Q774" s="178" t="n">
        <v>101000</v>
      </c>
      <c r="R774" s="175" t="n">
        <f aca="false">Q774</f>
        <v>101000</v>
      </c>
      <c r="S774" s="9"/>
      <c r="T774" s="178" t="n">
        <v>104100</v>
      </c>
      <c r="U774" s="175" t="n">
        <f aca="false">T774</f>
        <v>104100</v>
      </c>
      <c r="V774" s="178" t="n">
        <v>114800</v>
      </c>
      <c r="W774" s="175" t="n">
        <f aca="false">V774</f>
        <v>114800</v>
      </c>
      <c r="X774" s="45" t="n">
        <f aca="false">V774/H774</f>
        <v>70</v>
      </c>
      <c r="Y774" s="46" t="n">
        <f aca="false">SUM(V774-T774)/T774</f>
        <v>0.102785782901057</v>
      </c>
      <c r="Z774" s="175" t="s">
        <v>42</v>
      </c>
      <c r="AA774" s="186" t="s">
        <v>26</v>
      </c>
      <c r="AB774" s="186"/>
      <c r="AC774" s="178" t="s">
        <v>43</v>
      </c>
      <c r="AD774" s="226" t="s">
        <v>833</v>
      </c>
      <c r="AF774" s="172"/>
      <c r="AG774" s="180"/>
      <c r="AH774" s="182"/>
      <c r="AJ774" s="181"/>
    </row>
    <row r="775" s="171" customFormat="true" ht="12.75" hidden="false" customHeight="true" outlineLevel="0" collapsed="false">
      <c r="B775" s="11" t="s">
        <v>189</v>
      </c>
      <c r="C775" s="11" t="s">
        <v>829</v>
      </c>
      <c r="D775" s="172" t="n">
        <v>111010</v>
      </c>
      <c r="E775" s="172" t="s">
        <v>828</v>
      </c>
      <c r="F775" s="172" t="s">
        <v>94</v>
      </c>
      <c r="G775" s="173" t="s">
        <v>90</v>
      </c>
      <c r="H775" s="175" t="n">
        <v>1641</v>
      </c>
      <c r="I775" s="175" t="n">
        <f aca="false">H775</f>
        <v>1641</v>
      </c>
      <c r="J775" s="175" t="n">
        <v>1500</v>
      </c>
      <c r="K775" s="109" t="s">
        <v>67</v>
      </c>
      <c r="L775" s="176"/>
      <c r="M775" s="176"/>
      <c r="N775" s="176" t="n">
        <v>44603</v>
      </c>
      <c r="O775" s="176"/>
      <c r="P775" s="176"/>
      <c r="Q775" s="178" t="n">
        <v>0</v>
      </c>
      <c r="R775" s="175" t="n">
        <f aca="false">Q775</f>
        <v>0</v>
      </c>
      <c r="S775" s="9"/>
      <c r="T775" s="178" t="n">
        <v>120000</v>
      </c>
      <c r="U775" s="175" t="n">
        <f aca="false">T775</f>
        <v>120000</v>
      </c>
      <c r="V775" s="178" t="n">
        <v>114900</v>
      </c>
      <c r="W775" s="175" t="n">
        <f aca="false">V775</f>
        <v>114900</v>
      </c>
      <c r="X775" s="45" t="n">
        <f aca="false">V775/H775</f>
        <v>70.018281535649</v>
      </c>
      <c r="Y775" s="46" t="n">
        <f aca="false">SUM(V775-T775)/T775</f>
        <v>-0.0425</v>
      </c>
      <c r="Z775" s="175" t="s">
        <v>42</v>
      </c>
      <c r="AA775" s="186" t="s">
        <v>26</v>
      </c>
      <c r="AB775" s="186"/>
      <c r="AC775" s="178" t="s">
        <v>43</v>
      </c>
      <c r="AD775" s="172" t="s">
        <v>119</v>
      </c>
      <c r="AE775" s="179" t="n">
        <v>75</v>
      </c>
      <c r="AF775" s="172" t="n">
        <v>1</v>
      </c>
      <c r="AG775" s="180" t="n">
        <v>1</v>
      </c>
      <c r="AH775" s="182" t="s">
        <v>57</v>
      </c>
      <c r="AJ775" s="181"/>
    </row>
    <row r="776" s="171" customFormat="true" ht="12.75" hidden="false" customHeight="true" outlineLevel="0" collapsed="false">
      <c r="B776" s="11" t="s">
        <v>189</v>
      </c>
      <c r="C776" s="11" t="s">
        <v>829</v>
      </c>
      <c r="D776" s="172" t="n">
        <v>111010</v>
      </c>
      <c r="E776" s="172" t="s">
        <v>828</v>
      </c>
      <c r="F776" s="172" t="s">
        <v>834</v>
      </c>
      <c r="G776" s="173" t="s">
        <v>90</v>
      </c>
      <c r="H776" s="175" t="n">
        <v>1636</v>
      </c>
      <c r="I776" s="175" t="n">
        <f aca="false">H776</f>
        <v>1636</v>
      </c>
      <c r="J776" s="175" t="n">
        <v>1500</v>
      </c>
      <c r="K776" s="109" t="s">
        <v>67</v>
      </c>
      <c r="L776" s="176"/>
      <c r="M776" s="176"/>
      <c r="N776" s="176" t="n">
        <v>45579</v>
      </c>
      <c r="O776" s="176"/>
      <c r="P776" s="176"/>
      <c r="Q776" s="178" t="n">
        <v>0</v>
      </c>
      <c r="R776" s="175" t="n">
        <f aca="false">Q776</f>
        <v>0</v>
      </c>
      <c r="S776" s="9"/>
      <c r="T776" s="178" t="n">
        <v>103900</v>
      </c>
      <c r="U776" s="175" t="n">
        <f aca="false">T776</f>
        <v>103900</v>
      </c>
      <c r="V776" s="178" t="n">
        <v>118600</v>
      </c>
      <c r="W776" s="175" t="n">
        <f aca="false">V776</f>
        <v>118600</v>
      </c>
      <c r="X776" s="45" t="n">
        <f aca="false">V776/H776</f>
        <v>72.4938875305624</v>
      </c>
      <c r="Y776" s="46" t="n">
        <f aca="false">SUM(V776-T776)/T776</f>
        <v>0.141482194417709</v>
      </c>
      <c r="Z776" s="175" t="s">
        <v>55</v>
      </c>
      <c r="AA776" s="186" t="s">
        <v>26</v>
      </c>
      <c r="AB776" s="186"/>
      <c r="AC776" s="178" t="s">
        <v>43</v>
      </c>
      <c r="AD776" s="172" t="s">
        <v>119</v>
      </c>
      <c r="AE776" s="179" t="n">
        <v>75</v>
      </c>
      <c r="AF776" s="172" t="n">
        <v>1</v>
      </c>
      <c r="AG776" s="180" t="n">
        <v>1</v>
      </c>
      <c r="AH776" s="182" t="s">
        <v>599</v>
      </c>
      <c r="AJ776" s="181"/>
    </row>
    <row r="777" s="171" customFormat="true" ht="30" hidden="false" customHeight="true" outlineLevel="0" collapsed="false">
      <c r="B777" s="11" t="s">
        <v>189</v>
      </c>
      <c r="C777" s="11" t="s">
        <v>829</v>
      </c>
      <c r="D777" s="172" t="n">
        <v>111010</v>
      </c>
      <c r="E777" s="172" t="s">
        <v>828</v>
      </c>
      <c r="F777" s="172" t="s">
        <v>180</v>
      </c>
      <c r="G777" s="173" t="s">
        <v>90</v>
      </c>
      <c r="H777" s="175" t="n">
        <v>1536</v>
      </c>
      <c r="I777" s="175" t="n">
        <f aca="false">H777</f>
        <v>1536</v>
      </c>
      <c r="J777" s="175" t="n">
        <v>1500</v>
      </c>
      <c r="K777" s="109" t="s">
        <v>835</v>
      </c>
      <c r="L777" s="176" t="n">
        <v>45464</v>
      </c>
      <c r="M777" s="176" t="n">
        <v>49115</v>
      </c>
      <c r="N777" s="176"/>
      <c r="O777" s="176" t="n">
        <v>47290</v>
      </c>
      <c r="P777" s="176" t="n">
        <v>47289</v>
      </c>
      <c r="Q777" s="178" t="n">
        <v>52745</v>
      </c>
      <c r="R777" s="175" t="n">
        <f aca="false">Q777</f>
        <v>52745</v>
      </c>
      <c r="S777" s="9"/>
      <c r="T777" s="178" t="n">
        <v>97500</v>
      </c>
      <c r="U777" s="175" t="n">
        <f aca="false">T777</f>
        <v>97500</v>
      </c>
      <c r="V777" s="178" t="n">
        <v>105200</v>
      </c>
      <c r="W777" s="175" t="n">
        <f aca="false">V777</f>
        <v>105200</v>
      </c>
      <c r="X777" s="45" t="n">
        <f aca="false">V777/H777</f>
        <v>68.4895833333333</v>
      </c>
      <c r="Y777" s="46" t="n">
        <f aca="false">SUM(V777-T777)/T777</f>
        <v>0.078974358974359</v>
      </c>
      <c r="Z777" s="175" t="s">
        <v>42</v>
      </c>
      <c r="AA777" s="186" t="s">
        <v>26</v>
      </c>
      <c r="AB777" s="186"/>
      <c r="AC777" s="178" t="s">
        <v>43</v>
      </c>
      <c r="AD777" s="172" t="s">
        <v>836</v>
      </c>
      <c r="AE777" s="179"/>
      <c r="AF777" s="172"/>
      <c r="AG777" s="180"/>
      <c r="AH777" s="182"/>
      <c r="AJ777" s="181"/>
    </row>
    <row r="778" s="171" customFormat="true" ht="12" hidden="false" customHeight="true" outlineLevel="0" collapsed="false">
      <c r="F778" s="172"/>
      <c r="G778" s="173"/>
      <c r="H778" s="175"/>
      <c r="I778" s="218"/>
      <c r="J778" s="218"/>
      <c r="K778" s="109"/>
      <c r="L778" s="219"/>
      <c r="M778" s="219"/>
      <c r="N778" s="219"/>
      <c r="O778" s="219"/>
      <c r="P778" s="219"/>
      <c r="Q778" s="220"/>
      <c r="R778" s="220"/>
      <c r="S778" s="9"/>
      <c r="T778" s="220"/>
      <c r="U778" s="220"/>
      <c r="V778" s="220"/>
      <c r="W778" s="220"/>
      <c r="X778" s="220"/>
      <c r="Y778" s="221"/>
      <c r="Z778" s="220"/>
      <c r="AA778" s="186"/>
      <c r="AB778" s="186"/>
      <c r="AC778" s="186"/>
      <c r="AD778" s="172"/>
      <c r="AE778" s="179"/>
      <c r="AF778" s="172"/>
      <c r="AG778" s="180"/>
      <c r="AH778" s="182"/>
      <c r="AJ778" s="181"/>
    </row>
    <row r="779" s="171" customFormat="true" ht="12" hidden="false" customHeight="true" outlineLevel="0" collapsed="false">
      <c r="F779" s="215" t="s">
        <v>837</v>
      </c>
      <c r="G779" s="173"/>
      <c r="H779" s="174" t="n">
        <f aca="false">SUM(H772:H777)</f>
        <v>13021</v>
      </c>
      <c r="I779" s="175"/>
      <c r="J779" s="175"/>
      <c r="K779" s="109"/>
      <c r="L779" s="219"/>
      <c r="M779" s="219"/>
      <c r="N779" s="219"/>
      <c r="O779" s="219"/>
      <c r="P779" s="219"/>
      <c r="Q779" s="174" t="n">
        <f aca="false">SUM(Q772:Q778)</f>
        <v>263745</v>
      </c>
      <c r="R779" s="175"/>
      <c r="S779" s="9"/>
      <c r="T779" s="174" t="n">
        <f aca="false">SUM(T772:T778)</f>
        <v>795600</v>
      </c>
      <c r="U779" s="175"/>
      <c r="V779" s="174" t="n">
        <f aca="false">SUM(V772:V778)</f>
        <v>841100</v>
      </c>
      <c r="W779" s="175"/>
      <c r="X779" s="175"/>
      <c r="Y779" s="201"/>
      <c r="Z779" s="175"/>
      <c r="AA779" s="173"/>
      <c r="AB779" s="174" t="n">
        <v>13000000</v>
      </c>
      <c r="AC779" s="173"/>
      <c r="AD779" s="172"/>
      <c r="AE779" s="179"/>
      <c r="AF779" s="172"/>
      <c r="AG779" s="180"/>
      <c r="AH779" s="182"/>
      <c r="AJ779" s="181"/>
    </row>
    <row r="780" customFormat="false" ht="12.75" hidden="false" customHeight="true" outlineLevel="0" collapsed="false">
      <c r="F780" s="182"/>
      <c r="G780" s="184"/>
      <c r="H780" s="205"/>
      <c r="I780" s="210"/>
      <c r="J780" s="210"/>
      <c r="K780" s="189"/>
      <c r="L780" s="211"/>
      <c r="M780" s="211"/>
      <c r="N780" s="211"/>
      <c r="O780" s="211"/>
      <c r="P780" s="211"/>
      <c r="Q780" s="212"/>
      <c r="R780" s="212"/>
      <c r="T780" s="212"/>
      <c r="U780" s="212"/>
      <c r="V780" s="212"/>
      <c r="W780" s="212"/>
      <c r="X780" s="212"/>
      <c r="Y780" s="213"/>
      <c r="Z780" s="212"/>
      <c r="AA780" s="214"/>
      <c r="AB780" s="214"/>
      <c r="AC780" s="214"/>
      <c r="AD780" s="182"/>
      <c r="AE780" s="194"/>
      <c r="AF780" s="182"/>
      <c r="AG780" s="195"/>
      <c r="AH780" s="182"/>
    </row>
    <row r="781" customFormat="false" ht="12.75" hidden="false" customHeight="true" outlineLevel="0" collapsed="false">
      <c r="F781" s="182"/>
      <c r="G781" s="184"/>
      <c r="H781" s="205"/>
      <c r="I781" s="210"/>
      <c r="J781" s="210"/>
      <c r="K781" s="189"/>
      <c r="L781" s="211"/>
      <c r="M781" s="211"/>
      <c r="N781" s="211"/>
      <c r="O781" s="211"/>
      <c r="P781" s="211"/>
      <c r="Q781" s="212"/>
      <c r="R781" s="212"/>
      <c r="T781" s="212"/>
      <c r="U781" s="212"/>
      <c r="V781" s="212"/>
      <c r="W781" s="212"/>
      <c r="X781" s="212"/>
      <c r="Y781" s="213"/>
      <c r="Z781" s="212"/>
      <c r="AA781" s="214"/>
      <c r="AB781" s="214"/>
      <c r="AC781" s="214"/>
      <c r="AD781" s="182"/>
      <c r="AE781" s="194"/>
      <c r="AF781" s="182"/>
      <c r="AG781" s="195"/>
      <c r="AH781" s="182"/>
    </row>
    <row r="782" customFormat="false" ht="13.5" hidden="false" customHeight="false" outlineLevel="0" collapsed="false">
      <c r="F782" s="149" t="s">
        <v>838</v>
      </c>
      <c r="G782" s="227"/>
      <c r="H782" s="228" t="n">
        <f aca="false">I782</f>
        <v>64527</v>
      </c>
      <c r="I782" s="229" t="n">
        <f aca="false">SUM(I717:I781)</f>
        <v>64527</v>
      </c>
      <c r="J782" s="229"/>
      <c r="K782" s="230"/>
      <c r="L782" s="231"/>
      <c r="M782" s="231"/>
      <c r="N782" s="231"/>
      <c r="O782" s="231"/>
      <c r="P782" s="231"/>
      <c r="Q782" s="228" t="n">
        <f aca="false">R782</f>
        <v>2375410</v>
      </c>
      <c r="R782" s="229" t="n">
        <f aca="false">SUM(R717:R781)</f>
        <v>2375410</v>
      </c>
      <c r="S782" s="232"/>
      <c r="T782" s="151" t="n">
        <f aca="false">SUM(U720:U779)</f>
        <v>3785960</v>
      </c>
      <c r="U782" s="229"/>
      <c r="V782" s="151" t="n">
        <f aca="false">SUM(W720:W779)</f>
        <v>3868760</v>
      </c>
      <c r="W782" s="229"/>
      <c r="X782" s="229"/>
      <c r="Y782" s="233"/>
      <c r="Z782" s="229"/>
      <c r="AA782" s="227"/>
      <c r="AB782" s="228" t="n">
        <f aca="false">SUM(AB717:AB781)</f>
        <v>60395000</v>
      </c>
      <c r="AC782" s="227"/>
      <c r="AD782" s="234"/>
      <c r="AE782" s="235"/>
      <c r="AF782" s="236"/>
      <c r="AG782" s="237"/>
      <c r="AH782" s="236"/>
    </row>
    <row r="783" customFormat="false" ht="13.5" hidden="false" customHeight="false" outlineLevel="0" collapsed="false">
      <c r="E783" s="238"/>
      <c r="F783" s="184"/>
      <c r="G783" s="205"/>
      <c r="H783" s="192"/>
      <c r="I783" s="189"/>
      <c r="J783" s="189"/>
      <c r="K783" s="189"/>
      <c r="L783" s="211"/>
      <c r="M783" s="211"/>
      <c r="N783" s="211"/>
      <c r="O783" s="211"/>
      <c r="P783" s="205"/>
      <c r="Q783" s="75"/>
      <c r="T783" s="205"/>
      <c r="U783" s="184"/>
      <c r="V783" s="205"/>
      <c r="W783" s="184"/>
      <c r="X783" s="184"/>
      <c r="Y783" s="193"/>
      <c r="Z783" s="184"/>
      <c r="AA783" s="182"/>
      <c r="AB783" s="239"/>
      <c r="AC783" s="240"/>
      <c r="AD783" s="3"/>
      <c r="AE783" s="241"/>
      <c r="AF783" s="3"/>
      <c r="AG783" s="242"/>
      <c r="AH783" s="243"/>
    </row>
    <row r="784" customFormat="false" ht="12.75" hidden="false" customHeight="true" outlineLevel="0" collapsed="false">
      <c r="F784" s="182"/>
      <c r="G784" s="170" t="s">
        <v>839</v>
      </c>
      <c r="H784" s="192"/>
      <c r="I784" s="210"/>
      <c r="J784" s="210"/>
      <c r="K784" s="189"/>
      <c r="L784" s="211"/>
      <c r="M784" s="211"/>
      <c r="N784" s="211"/>
      <c r="O784" s="211"/>
      <c r="P784" s="211"/>
      <c r="Q784" s="212"/>
      <c r="R784" s="212"/>
      <c r="S784" s="212"/>
      <c r="T784" s="212"/>
      <c r="U784" s="212"/>
      <c r="V784" s="212"/>
      <c r="W784" s="212"/>
      <c r="X784" s="212"/>
      <c r="Y784" s="213"/>
      <c r="Z784" s="212"/>
      <c r="AA784" s="214"/>
      <c r="AB784" s="214"/>
      <c r="AC784" s="214"/>
      <c r="AD784" s="182"/>
      <c r="AE784" s="194"/>
      <c r="AF784" s="182"/>
      <c r="AG784" s="195"/>
      <c r="AH784" s="182"/>
    </row>
    <row r="785" customFormat="false" ht="12.75" hidden="false" customHeight="true" outlineLevel="0" collapsed="false">
      <c r="F785" s="182"/>
      <c r="G785" s="184"/>
      <c r="H785" s="192"/>
      <c r="I785" s="210"/>
      <c r="J785" s="210"/>
      <c r="K785" s="189"/>
      <c r="L785" s="211"/>
      <c r="M785" s="211"/>
      <c r="N785" s="211"/>
      <c r="O785" s="211"/>
      <c r="P785" s="211"/>
      <c r="Q785" s="212"/>
      <c r="R785" s="212"/>
      <c r="S785" s="212"/>
      <c r="T785" s="212"/>
      <c r="U785" s="212"/>
      <c r="V785" s="212"/>
      <c r="W785" s="212"/>
      <c r="X785" s="212"/>
      <c r="Y785" s="213"/>
      <c r="Z785" s="212"/>
      <c r="AA785" s="214"/>
      <c r="AB785" s="214"/>
      <c r="AC785" s="214"/>
      <c r="AD785" s="182"/>
      <c r="AE785" s="194"/>
      <c r="AF785" s="182"/>
      <c r="AG785" s="195"/>
      <c r="AH785" s="182"/>
    </row>
    <row r="786" s="171" customFormat="true" ht="24" hidden="false" customHeight="true" outlineLevel="0" collapsed="false">
      <c r="B786" s="11" t="s">
        <v>189</v>
      </c>
      <c r="C786" s="171" t="s">
        <v>840</v>
      </c>
      <c r="D786" s="172" t="n">
        <v>888010</v>
      </c>
      <c r="E786" s="172" t="s">
        <v>839</v>
      </c>
      <c r="F786" s="172" t="s">
        <v>841</v>
      </c>
      <c r="G786" s="173" t="s">
        <v>49</v>
      </c>
      <c r="H786" s="175" t="n">
        <v>5662</v>
      </c>
      <c r="I786" s="175" t="n">
        <f aca="false">H786</f>
        <v>5662</v>
      </c>
      <c r="J786" s="175" t="n">
        <v>5500</v>
      </c>
      <c r="K786" s="109" t="s">
        <v>842</v>
      </c>
      <c r="L786" s="176" t="n">
        <v>45192</v>
      </c>
      <c r="M786" s="176" t="n">
        <v>48844</v>
      </c>
      <c r="N786" s="176"/>
      <c r="O786" s="176" t="n">
        <v>47019</v>
      </c>
      <c r="P786" s="176" t="n">
        <v>47018</v>
      </c>
      <c r="Q786" s="178" t="n">
        <v>325000</v>
      </c>
      <c r="R786" s="175" t="n">
        <f aca="false">Q786</f>
        <v>325000</v>
      </c>
      <c r="S786" s="175"/>
      <c r="T786" s="178" t="n">
        <v>650000</v>
      </c>
      <c r="U786" s="175" t="n">
        <f aca="false">T786</f>
        <v>650000</v>
      </c>
      <c r="V786" s="178" t="n">
        <v>758000</v>
      </c>
      <c r="W786" s="175" t="n">
        <f aca="false">V786</f>
        <v>758000</v>
      </c>
      <c r="X786" s="45" t="n">
        <f aca="false">V786/H786</f>
        <v>133.874955845991</v>
      </c>
      <c r="Y786" s="46" t="n">
        <f aca="false">SUM(V786-T786)/T786</f>
        <v>0.166153846153846</v>
      </c>
      <c r="Z786" s="175" t="s">
        <v>42</v>
      </c>
      <c r="AA786" s="186"/>
      <c r="AB786" s="186"/>
      <c r="AC786" s="14" t="s">
        <v>43</v>
      </c>
      <c r="AD786" s="172" t="s">
        <v>843</v>
      </c>
      <c r="AE786" s="179"/>
      <c r="AF786" s="172"/>
      <c r="AG786" s="180"/>
      <c r="AH786" s="182"/>
      <c r="AJ786" s="181"/>
    </row>
    <row r="787" s="171" customFormat="true" ht="12" hidden="false" customHeight="true" outlineLevel="0" collapsed="false">
      <c r="B787" s="11" t="s">
        <v>189</v>
      </c>
      <c r="C787" s="171" t="s">
        <v>840</v>
      </c>
      <c r="D787" s="172" t="n">
        <v>888010</v>
      </c>
      <c r="E787" s="172" t="s">
        <v>839</v>
      </c>
      <c r="F787" s="109" t="s">
        <v>844</v>
      </c>
      <c r="G787" s="173" t="s">
        <v>49</v>
      </c>
      <c r="H787" s="175" t="n">
        <v>5350</v>
      </c>
      <c r="I787" s="175" t="n">
        <f aca="false">H787</f>
        <v>5350</v>
      </c>
      <c r="J787" s="175" t="n">
        <v>5500</v>
      </c>
      <c r="K787" s="109" t="s">
        <v>845</v>
      </c>
      <c r="L787" s="176" t="n">
        <v>40651</v>
      </c>
      <c r="M787" s="176" t="n">
        <v>46129</v>
      </c>
      <c r="N787" s="176"/>
      <c r="O787" s="176" t="n">
        <v>44304</v>
      </c>
      <c r="P787" s="176"/>
      <c r="Q787" s="178" t="n">
        <v>730000</v>
      </c>
      <c r="R787" s="175" t="n">
        <f aca="false">Q787</f>
        <v>730000</v>
      </c>
      <c r="S787" s="175"/>
      <c r="T787" s="178" t="n">
        <v>400000</v>
      </c>
      <c r="U787" s="175" t="n">
        <f aca="false">T787</f>
        <v>400000</v>
      </c>
      <c r="V787" s="178" t="n">
        <v>450000</v>
      </c>
      <c r="W787" s="175" t="n">
        <f aca="false">V787</f>
        <v>450000</v>
      </c>
      <c r="X787" s="45" t="n">
        <f aca="false">V787/H787</f>
        <v>84.1121495327103</v>
      </c>
      <c r="Y787" s="46" t="n">
        <f aca="false">SUM(V787-T787)/T787</f>
        <v>0.125</v>
      </c>
      <c r="Z787" s="175" t="s">
        <v>42</v>
      </c>
      <c r="AA787" s="186"/>
      <c r="AB787" s="186"/>
      <c r="AC787" s="14" t="s">
        <v>170</v>
      </c>
      <c r="AD787" s="172"/>
      <c r="AE787" s="179"/>
      <c r="AF787" s="172"/>
      <c r="AG787" s="180"/>
      <c r="AH787" s="182"/>
      <c r="AJ787" s="181"/>
    </row>
    <row r="788" s="171" customFormat="true" ht="32.25" hidden="false" customHeight="true" outlineLevel="0" collapsed="false">
      <c r="B788" s="11" t="s">
        <v>189</v>
      </c>
      <c r="C788" s="171" t="s">
        <v>840</v>
      </c>
      <c r="D788" s="172" t="n">
        <v>888010</v>
      </c>
      <c r="E788" s="172" t="s">
        <v>839</v>
      </c>
      <c r="F788" s="172" t="s">
        <v>846</v>
      </c>
      <c r="G788" s="173" t="s">
        <v>49</v>
      </c>
      <c r="H788" s="175" t="n">
        <v>2044</v>
      </c>
      <c r="I788" s="175" t="n">
        <f aca="false">H788</f>
        <v>2044</v>
      </c>
      <c r="J788" s="175" t="n">
        <v>2000</v>
      </c>
      <c r="K788" s="109" t="s">
        <v>847</v>
      </c>
      <c r="L788" s="176" t="n">
        <v>42650</v>
      </c>
      <c r="M788" s="176" t="n">
        <v>46301</v>
      </c>
      <c r="N788" s="176"/>
      <c r="O788" s="176" t="n">
        <v>45885</v>
      </c>
      <c r="P788" s="176"/>
      <c r="Q788" s="178" t="n">
        <v>115701</v>
      </c>
      <c r="R788" s="175" t="n">
        <f aca="false">Q788</f>
        <v>115701</v>
      </c>
      <c r="S788" s="175"/>
      <c r="T788" s="178" t="n">
        <v>110000</v>
      </c>
      <c r="U788" s="175" t="n">
        <f aca="false">T788</f>
        <v>110000</v>
      </c>
      <c r="V788" s="178" t="n">
        <v>112000</v>
      </c>
      <c r="W788" s="175" t="n">
        <f aca="false">V788</f>
        <v>112000</v>
      </c>
      <c r="X788" s="45" t="n">
        <f aca="false">V788/H788</f>
        <v>54.7945205479452</v>
      </c>
      <c r="Y788" s="46" t="n">
        <f aca="false">SUM(V788-T788)/T788</f>
        <v>0.0181818181818182</v>
      </c>
      <c r="Z788" s="175" t="s">
        <v>55</v>
      </c>
      <c r="AA788" s="186"/>
      <c r="AB788" s="186"/>
      <c r="AC788" s="14" t="s">
        <v>43</v>
      </c>
      <c r="AD788" s="172" t="s">
        <v>848</v>
      </c>
      <c r="AE788" s="179"/>
      <c r="AF788" s="172"/>
      <c r="AG788" s="180"/>
      <c r="AH788" s="182"/>
      <c r="AJ788" s="181"/>
    </row>
    <row r="789" s="171" customFormat="true" ht="12" hidden="false" customHeight="true" outlineLevel="0" collapsed="false">
      <c r="B789" s="11" t="s">
        <v>189</v>
      </c>
      <c r="C789" s="171" t="s">
        <v>840</v>
      </c>
      <c r="D789" s="172" t="n">
        <v>888010</v>
      </c>
      <c r="E789" s="172" t="s">
        <v>839</v>
      </c>
      <c r="F789" s="172" t="s">
        <v>849</v>
      </c>
      <c r="G789" s="173" t="s">
        <v>40</v>
      </c>
      <c r="H789" s="175" t="n">
        <v>4463</v>
      </c>
      <c r="I789" s="175" t="n">
        <f aca="false">H789</f>
        <v>4463</v>
      </c>
      <c r="J789" s="175" t="n">
        <v>4500</v>
      </c>
      <c r="K789" s="109" t="s">
        <v>850</v>
      </c>
      <c r="L789" s="176" t="n">
        <v>42286</v>
      </c>
      <c r="M789" s="176" t="n">
        <v>45938</v>
      </c>
      <c r="N789" s="176"/>
      <c r="O789" s="176" t="n">
        <v>44113</v>
      </c>
      <c r="P789" s="176"/>
      <c r="Q789" s="178" t="n">
        <v>367290</v>
      </c>
      <c r="R789" s="175" t="n">
        <f aca="false">Q789</f>
        <v>367290</v>
      </c>
      <c r="S789" s="175"/>
      <c r="T789" s="178" t="n">
        <v>345000</v>
      </c>
      <c r="U789" s="175" t="n">
        <f aca="false">T789</f>
        <v>345000</v>
      </c>
      <c r="V789" s="178" t="n">
        <v>368000</v>
      </c>
      <c r="W789" s="175" t="n">
        <f aca="false">V789</f>
        <v>368000</v>
      </c>
      <c r="X789" s="45" t="n">
        <f aca="false">V789/H789</f>
        <v>82.4557472552095</v>
      </c>
      <c r="Y789" s="46" t="n">
        <f aca="false">SUM(V789-T789)/T789</f>
        <v>0.0666666666666667</v>
      </c>
      <c r="Z789" s="175" t="s">
        <v>55</v>
      </c>
      <c r="AA789" s="186"/>
      <c r="AB789" s="186"/>
      <c r="AC789" s="14" t="s">
        <v>43</v>
      </c>
      <c r="AD789" s="172"/>
      <c r="AE789" s="179"/>
      <c r="AF789" s="172"/>
      <c r="AG789" s="180"/>
      <c r="AH789" s="182"/>
      <c r="AJ789" s="181"/>
    </row>
    <row r="790" s="171" customFormat="true" ht="12" hidden="false" customHeight="true" outlineLevel="0" collapsed="false">
      <c r="B790" s="11" t="s">
        <v>189</v>
      </c>
      <c r="C790" s="171" t="s">
        <v>840</v>
      </c>
      <c r="D790" s="172" t="n">
        <v>888010</v>
      </c>
      <c r="E790" s="172" t="s">
        <v>839</v>
      </c>
      <c r="F790" s="172" t="s">
        <v>851</v>
      </c>
      <c r="G790" s="173" t="s">
        <v>40</v>
      </c>
      <c r="H790" s="175" t="n">
        <v>4462</v>
      </c>
      <c r="I790" s="175" t="n">
        <f aca="false">H790</f>
        <v>4462</v>
      </c>
      <c r="J790" s="175" t="n">
        <v>4500</v>
      </c>
      <c r="K790" s="109" t="s">
        <v>67</v>
      </c>
      <c r="L790" s="176"/>
      <c r="M790" s="176"/>
      <c r="N790" s="176" t="n">
        <v>45490</v>
      </c>
      <c r="O790" s="176"/>
      <c r="P790" s="176"/>
      <c r="Q790" s="178" t="n">
        <v>0</v>
      </c>
      <c r="R790" s="175" t="n">
        <f aca="false">Q790</f>
        <v>0</v>
      </c>
      <c r="S790" s="175"/>
      <c r="T790" s="178" t="n">
        <v>357800</v>
      </c>
      <c r="U790" s="175" t="n">
        <f aca="false">T790</f>
        <v>357800</v>
      </c>
      <c r="V790" s="178" t="n">
        <v>379000</v>
      </c>
      <c r="W790" s="175" t="n">
        <f aca="false">V790</f>
        <v>379000</v>
      </c>
      <c r="X790" s="45" t="n">
        <f aca="false">V790/H790</f>
        <v>84.9394890183774</v>
      </c>
      <c r="Y790" s="46" t="n">
        <f aca="false">SUM(V790-T790)/T790</f>
        <v>0.0592509782001118</v>
      </c>
      <c r="Z790" s="175" t="s">
        <v>458</v>
      </c>
      <c r="AA790" s="186"/>
      <c r="AB790" s="186"/>
      <c r="AC790" s="186"/>
      <c r="AD790" s="4" t="s">
        <v>68</v>
      </c>
      <c r="AE790" s="244" t="n">
        <v>85</v>
      </c>
      <c r="AF790" s="245" t="n">
        <v>2</v>
      </c>
      <c r="AG790" s="246" t="n">
        <v>7</v>
      </c>
      <c r="AH790" s="243" t="s">
        <v>852</v>
      </c>
      <c r="AJ790" s="181"/>
    </row>
    <row r="791" s="171" customFormat="true" ht="36" hidden="false" customHeight="true" outlineLevel="0" collapsed="false">
      <c r="B791" s="11" t="s">
        <v>189</v>
      </c>
      <c r="C791" s="171" t="s">
        <v>840</v>
      </c>
      <c r="D791" s="172" t="n">
        <v>888010</v>
      </c>
      <c r="E791" s="172" t="s">
        <v>839</v>
      </c>
      <c r="F791" s="172" t="s">
        <v>853</v>
      </c>
      <c r="G791" s="173" t="s">
        <v>40</v>
      </c>
      <c r="H791" s="175" t="n">
        <v>4250</v>
      </c>
      <c r="I791" s="175" t="n">
        <f aca="false">H791</f>
        <v>4250</v>
      </c>
      <c r="J791" s="175" t="n">
        <v>4500</v>
      </c>
      <c r="K791" s="109" t="s">
        <v>854</v>
      </c>
      <c r="L791" s="176" t="n">
        <v>45786</v>
      </c>
      <c r="M791" s="176" t="n">
        <v>49437</v>
      </c>
      <c r="N791" s="176"/>
      <c r="O791" s="176" t="n">
        <v>47612</v>
      </c>
      <c r="P791" s="176" t="n">
        <v>11086</v>
      </c>
      <c r="Q791" s="178" t="n">
        <v>0</v>
      </c>
      <c r="R791" s="175" t="n">
        <f aca="false">Q791</f>
        <v>0</v>
      </c>
      <c r="S791" s="175"/>
      <c r="T791" s="178" t="n">
        <v>358600</v>
      </c>
      <c r="U791" s="175" t="n">
        <f aca="false">T791</f>
        <v>358600</v>
      </c>
      <c r="V791" s="178" t="n">
        <v>361000</v>
      </c>
      <c r="W791" s="175" t="n">
        <f aca="false">V791</f>
        <v>361000</v>
      </c>
      <c r="X791" s="45" t="n">
        <f aca="false">V791/H791</f>
        <v>84.9411764705882</v>
      </c>
      <c r="Y791" s="46" t="n">
        <f aca="false">SUM(V791-T791)/T791</f>
        <v>0.00669269380925823</v>
      </c>
      <c r="Z791" s="175" t="s">
        <v>458</v>
      </c>
      <c r="AA791" s="186"/>
      <c r="AB791" s="186"/>
      <c r="AC791" s="186"/>
      <c r="AD791" s="172" t="s">
        <v>855</v>
      </c>
      <c r="AE791" s="179" t="n">
        <v>85</v>
      </c>
      <c r="AF791" s="247" t="n">
        <v>1</v>
      </c>
      <c r="AG791" s="246" t="n">
        <v>5</v>
      </c>
      <c r="AH791" s="243" t="s">
        <v>852</v>
      </c>
      <c r="AJ791" s="181"/>
    </row>
    <row r="792" s="171" customFormat="true" ht="36" hidden="false" customHeight="true" outlineLevel="0" collapsed="false">
      <c r="B792" s="11" t="s">
        <v>189</v>
      </c>
      <c r="C792" s="171" t="s">
        <v>840</v>
      </c>
      <c r="D792" s="172" t="n">
        <v>888010</v>
      </c>
      <c r="E792" s="172" t="s">
        <v>839</v>
      </c>
      <c r="F792" s="172" t="s">
        <v>856</v>
      </c>
      <c r="G792" s="173" t="s">
        <v>40</v>
      </c>
      <c r="H792" s="175" t="n">
        <v>3999</v>
      </c>
      <c r="I792" s="175" t="n">
        <f aca="false">H792</f>
        <v>3999</v>
      </c>
      <c r="J792" s="175" t="n">
        <v>4000</v>
      </c>
      <c r="K792" s="109" t="s">
        <v>857</v>
      </c>
      <c r="L792" s="176" t="n">
        <v>44183</v>
      </c>
      <c r="M792" s="185" t="n">
        <v>46373</v>
      </c>
      <c r="N792" s="176"/>
      <c r="O792" s="176"/>
      <c r="P792" s="176"/>
      <c r="Q792" s="178" t="n">
        <v>348163</v>
      </c>
      <c r="R792" s="175" t="n">
        <f aca="false">Q792</f>
        <v>348163</v>
      </c>
      <c r="S792" s="175"/>
      <c r="T792" s="178" t="n">
        <v>352000</v>
      </c>
      <c r="U792" s="175" t="n">
        <f aca="false">T792</f>
        <v>352000</v>
      </c>
      <c r="V792" s="178" t="n">
        <v>350000</v>
      </c>
      <c r="W792" s="175" t="n">
        <f aca="false">V792</f>
        <v>350000</v>
      </c>
      <c r="X792" s="45" t="n">
        <f aca="false">V792/H792</f>
        <v>87.5218804701175</v>
      </c>
      <c r="Y792" s="46" t="n">
        <f aca="false">SUM(V792-T792)/T792</f>
        <v>-0.00568181818181818</v>
      </c>
      <c r="Z792" s="175" t="s">
        <v>55</v>
      </c>
      <c r="AA792" s="186"/>
      <c r="AB792" s="186"/>
      <c r="AC792" s="14" t="s">
        <v>43</v>
      </c>
      <c r="AD792" s="223" t="s">
        <v>858</v>
      </c>
      <c r="AE792" s="179"/>
      <c r="AF792" s="172"/>
      <c r="AG792" s="180"/>
      <c r="AH792" s="182"/>
      <c r="AJ792" s="181"/>
    </row>
    <row r="793" s="171" customFormat="true" ht="36" hidden="false" customHeight="true" outlineLevel="0" collapsed="false">
      <c r="B793" s="11" t="s">
        <v>189</v>
      </c>
      <c r="C793" s="171" t="s">
        <v>840</v>
      </c>
      <c r="D793" s="172" t="n">
        <v>888010</v>
      </c>
      <c r="E793" s="172" t="s">
        <v>839</v>
      </c>
      <c r="F793" s="172" t="s">
        <v>859</v>
      </c>
      <c r="G793" s="173" t="s">
        <v>40</v>
      </c>
      <c r="H793" s="175" t="n">
        <v>3145</v>
      </c>
      <c r="I793" s="175" t="n">
        <f aca="false">H793</f>
        <v>3145</v>
      </c>
      <c r="J793" s="175" t="n">
        <v>3000</v>
      </c>
      <c r="K793" s="109" t="s">
        <v>857</v>
      </c>
      <c r="L793" s="176" t="n">
        <v>44217</v>
      </c>
      <c r="M793" s="185" t="n">
        <v>46373</v>
      </c>
      <c r="N793" s="176"/>
      <c r="O793" s="176"/>
      <c r="P793" s="176"/>
      <c r="Q793" s="178" t="n">
        <v>281873</v>
      </c>
      <c r="R793" s="175" t="n">
        <f aca="false">Q793</f>
        <v>281873</v>
      </c>
      <c r="S793" s="175"/>
      <c r="T793" s="178" t="n">
        <v>284800</v>
      </c>
      <c r="U793" s="175" t="n">
        <f aca="false">T793</f>
        <v>284800</v>
      </c>
      <c r="V793" s="178" t="n">
        <v>283000</v>
      </c>
      <c r="W793" s="175" t="n">
        <f aca="false">V793</f>
        <v>283000</v>
      </c>
      <c r="X793" s="45" t="n">
        <f aca="false">V793/H793</f>
        <v>89.9841017488076</v>
      </c>
      <c r="Y793" s="46" t="n">
        <f aca="false">SUM(V793-T793)/T793</f>
        <v>-0.00632022471910112</v>
      </c>
      <c r="Z793" s="175" t="s">
        <v>55</v>
      </c>
      <c r="AA793" s="186"/>
      <c r="AB793" s="186"/>
      <c r="AC793" s="14" t="s">
        <v>43</v>
      </c>
      <c r="AD793" s="223" t="s">
        <v>858</v>
      </c>
      <c r="AE793" s="179"/>
      <c r="AF793" s="172"/>
      <c r="AG793" s="180"/>
      <c r="AH793" s="172"/>
      <c r="AJ793" s="181"/>
    </row>
    <row r="794" s="171" customFormat="true" ht="12" hidden="false" customHeight="true" outlineLevel="0" collapsed="false">
      <c r="B794" s="11" t="s">
        <v>189</v>
      </c>
      <c r="C794" s="171" t="s">
        <v>840</v>
      </c>
      <c r="D794" s="172" t="n">
        <v>888010</v>
      </c>
      <c r="E794" s="172" t="s">
        <v>839</v>
      </c>
      <c r="F794" s="172" t="s">
        <v>754</v>
      </c>
      <c r="G794" s="173" t="s">
        <v>168</v>
      </c>
      <c r="H794" s="175" t="n">
        <v>0</v>
      </c>
      <c r="I794" s="175" t="n">
        <f aca="false">H794</f>
        <v>0</v>
      </c>
      <c r="J794" s="175"/>
      <c r="K794" s="109" t="s">
        <v>860</v>
      </c>
      <c r="L794" s="248" t="n">
        <v>20814</v>
      </c>
      <c r="M794" s="248" t="n">
        <v>39073</v>
      </c>
      <c r="N794" s="248"/>
      <c r="O794" s="176"/>
      <c r="P794" s="176"/>
      <c r="Q794" s="178" t="n">
        <v>0</v>
      </c>
      <c r="R794" s="175" t="n">
        <f aca="false">Q794</f>
        <v>0</v>
      </c>
      <c r="S794" s="175"/>
      <c r="T794" s="178" t="n">
        <v>0</v>
      </c>
      <c r="U794" s="175" t="n">
        <f aca="false">T794</f>
        <v>0</v>
      </c>
      <c r="V794" s="178" t="n">
        <v>0</v>
      </c>
      <c r="W794" s="175" t="n">
        <f aca="false">V794</f>
        <v>0</v>
      </c>
      <c r="X794" s="45"/>
      <c r="Y794" s="41"/>
      <c r="Z794" s="175"/>
      <c r="AA794" s="186"/>
      <c r="AB794" s="186"/>
      <c r="AC794" s="14" t="s">
        <v>170</v>
      </c>
      <c r="AD794" s="172" t="s">
        <v>861</v>
      </c>
      <c r="AE794" s="179"/>
      <c r="AF794" s="172"/>
      <c r="AG794" s="180"/>
      <c r="AH794" s="172"/>
      <c r="AJ794" s="181"/>
    </row>
    <row r="795" customFormat="false" ht="12.75" hidden="false" customHeight="true" outlineLevel="0" collapsed="false">
      <c r="F795" s="182"/>
      <c r="G795" s="184"/>
      <c r="H795" s="192"/>
      <c r="I795" s="192"/>
      <c r="J795" s="192"/>
      <c r="K795" s="189"/>
      <c r="L795" s="211"/>
      <c r="M795" s="211"/>
      <c r="N795" s="211"/>
      <c r="O795" s="211"/>
      <c r="P795" s="211"/>
      <c r="Q795" s="249"/>
      <c r="R795" s="192"/>
      <c r="S795" s="192"/>
      <c r="T795" s="249"/>
      <c r="U795" s="210"/>
      <c r="V795" s="249"/>
      <c r="W795" s="210"/>
      <c r="X795" s="210"/>
      <c r="Y795" s="250"/>
      <c r="Z795" s="210"/>
      <c r="AA795" s="214"/>
      <c r="AB795" s="214"/>
      <c r="AC795" s="214"/>
      <c r="AD795" s="182"/>
      <c r="AE795" s="194"/>
      <c r="AF795" s="182"/>
      <c r="AG795" s="195"/>
      <c r="AH795" s="182"/>
    </row>
    <row r="796" customFormat="false" ht="13.5" hidden="false" customHeight="false" outlineLevel="0" collapsed="false">
      <c r="F796" s="149" t="s">
        <v>862</v>
      </c>
      <c r="G796" s="227"/>
      <c r="H796" s="228" t="n">
        <f aca="false">SUM(H785:H794)</f>
        <v>33375</v>
      </c>
      <c r="I796" s="228"/>
      <c r="J796" s="228"/>
      <c r="K796" s="230"/>
      <c r="L796" s="231"/>
      <c r="M796" s="231"/>
      <c r="N796" s="231"/>
      <c r="O796" s="231"/>
      <c r="P796" s="231"/>
      <c r="Q796" s="251" t="n">
        <f aca="false">SUM(Q785:Q794)</f>
        <v>2168027</v>
      </c>
      <c r="R796" s="252"/>
      <c r="S796" s="252"/>
      <c r="T796" s="151" t="n">
        <f aca="false">SUM(U786:U793)</f>
        <v>2858200</v>
      </c>
      <c r="U796" s="252"/>
      <c r="V796" s="151" t="n">
        <f aca="false">SUM(W786:W793)</f>
        <v>3061000</v>
      </c>
      <c r="W796" s="252"/>
      <c r="X796" s="252"/>
      <c r="Y796" s="253"/>
      <c r="Z796" s="252"/>
      <c r="AA796" s="254"/>
      <c r="AB796" s="228" t="n">
        <v>52400000</v>
      </c>
      <c r="AC796" s="228"/>
      <c r="AD796" s="234"/>
      <c r="AE796" s="235"/>
      <c r="AF796" s="236"/>
      <c r="AG796" s="236"/>
      <c r="AH796" s="236"/>
    </row>
    <row r="797" customFormat="false" ht="14.25" hidden="false" customHeight="true" outlineLevel="0" collapsed="false">
      <c r="T797" s="9"/>
      <c r="U797" s="9"/>
      <c r="V797" s="9"/>
      <c r="W797" s="9"/>
      <c r="X797" s="9"/>
      <c r="Y797" s="41"/>
      <c r="Z797" s="9"/>
      <c r="AA797" s="42"/>
      <c r="AB797" s="14"/>
    </row>
    <row r="798" customFormat="false" ht="14.25" hidden="false" customHeight="true" outlineLevel="0" collapsed="false">
      <c r="T798" s="9"/>
      <c r="U798" s="9"/>
      <c r="V798" s="9"/>
      <c r="W798" s="9"/>
      <c r="X798" s="9"/>
      <c r="Y798" s="41"/>
      <c r="Z798" s="9"/>
      <c r="AA798" s="42"/>
      <c r="AB798" s="14"/>
    </row>
    <row r="799" customFormat="false" ht="14.25" hidden="false" customHeight="true" outlineLevel="0" collapsed="false">
      <c r="F799" s="149" t="s">
        <v>837</v>
      </c>
      <c r="G799" s="255"/>
      <c r="H799" s="228" t="n">
        <f aca="false">H796+H782+H715</f>
        <v>902926</v>
      </c>
      <c r="I799" s="256"/>
      <c r="J799" s="256"/>
      <c r="K799" s="257"/>
      <c r="L799" s="258"/>
      <c r="M799" s="259"/>
      <c r="N799" s="259"/>
      <c r="O799" s="259"/>
      <c r="P799" s="259"/>
      <c r="Q799" s="251" t="n">
        <f aca="false">Q796+Q782+Q715</f>
        <v>39731771</v>
      </c>
      <c r="R799" s="232"/>
      <c r="S799" s="232"/>
      <c r="T799" s="228" t="n">
        <f aca="false">T796+T782+T715</f>
        <v>50974576</v>
      </c>
      <c r="U799" s="232"/>
      <c r="V799" s="228" t="n">
        <f aca="false">V796+V782+V715</f>
        <v>53209424</v>
      </c>
      <c r="W799" s="232"/>
      <c r="X799" s="232"/>
      <c r="Y799" s="260"/>
      <c r="Z799" s="232"/>
      <c r="AA799" s="261"/>
      <c r="AB799" s="228" t="n">
        <f aca="false">AB796+AB782+AB715</f>
        <v>851490000</v>
      </c>
      <c r="AC799" s="262"/>
      <c r="AD799" s="257"/>
      <c r="AE799" s="263"/>
      <c r="AF799" s="264"/>
      <c r="AG799" s="264"/>
      <c r="AH799" s="264"/>
    </row>
    <row r="800" customFormat="false" ht="14.25" hidden="false" customHeight="true" outlineLevel="0" collapsed="false">
      <c r="F800" s="265"/>
      <c r="G800" s="265"/>
      <c r="H800" s="265"/>
      <c r="I800" s="266"/>
      <c r="J800" s="266"/>
      <c r="K800" s="267"/>
      <c r="L800" s="77"/>
      <c r="T800" s="9"/>
      <c r="U800" s="9"/>
      <c r="V800" s="9"/>
      <c r="W800" s="9"/>
      <c r="X800" s="9"/>
      <c r="Y800" s="41"/>
      <c r="Z800" s="9"/>
      <c r="AA800" s="42"/>
      <c r="AB800" s="14"/>
    </row>
    <row r="801" customFormat="false" ht="14.25" hidden="false" customHeight="true" outlineLevel="0" collapsed="false">
      <c r="F801" s="265" t="s">
        <v>863</v>
      </c>
      <c r="G801" s="265"/>
      <c r="H801" s="43"/>
      <c r="I801" s="43"/>
      <c r="J801" s="43"/>
      <c r="Q801" s="44" t="n">
        <v>188082</v>
      </c>
      <c r="R801" s="44"/>
      <c r="S801" s="44"/>
      <c r="T801" s="44" t="n">
        <v>188082</v>
      </c>
      <c r="U801" s="44"/>
      <c r="V801" s="44" t="n">
        <v>188082</v>
      </c>
      <c r="W801" s="44"/>
      <c r="X801" s="44"/>
      <c r="Y801" s="64"/>
      <c r="Z801" s="44"/>
      <c r="AA801" s="67"/>
      <c r="AB801" s="44" t="n">
        <v>20700000</v>
      </c>
      <c r="AC801" s="66"/>
    </row>
    <row r="802" customFormat="false" ht="14.25" hidden="false" customHeight="true" outlineLevel="0" collapsed="false">
      <c r="F802" s="265" t="s">
        <v>864</v>
      </c>
      <c r="G802" s="265"/>
      <c r="H802" s="268" t="s">
        <v>865</v>
      </c>
      <c r="I802" s="268"/>
      <c r="J802" s="268"/>
      <c r="K802" s="268"/>
      <c r="Q802" s="44"/>
      <c r="R802" s="44"/>
      <c r="S802" s="44"/>
      <c r="T802" s="44"/>
      <c r="U802" s="44"/>
      <c r="V802" s="44"/>
      <c r="W802" s="44"/>
      <c r="X802" s="44"/>
      <c r="Y802" s="64"/>
      <c r="Z802" s="44"/>
      <c r="AA802" s="67"/>
      <c r="AB802" s="44"/>
      <c r="AC802" s="66"/>
      <c r="AF802" s="245" t="n">
        <f aca="false">SUM(AF4:AF801)</f>
        <v>158</v>
      </c>
      <c r="AG802" s="245" t="n">
        <f aca="false">SUM(AG4:AG801)</f>
        <v>402</v>
      </c>
    </row>
    <row r="803" customFormat="false" ht="14.25" hidden="false" customHeight="true" outlineLevel="0" collapsed="false">
      <c r="F803" s="265" t="s">
        <v>866</v>
      </c>
      <c r="G803" s="265"/>
      <c r="H803" s="269"/>
      <c r="I803" s="43"/>
      <c r="J803" s="43"/>
      <c r="Q803" s="44" t="n">
        <v>44897</v>
      </c>
      <c r="R803" s="44"/>
      <c r="S803" s="44"/>
      <c r="T803" s="44" t="n">
        <v>44897</v>
      </c>
      <c r="U803" s="44"/>
      <c r="V803" s="44" t="n">
        <v>44897</v>
      </c>
      <c r="W803" s="44"/>
      <c r="X803" s="44"/>
      <c r="Y803" s="64"/>
      <c r="Z803" s="44"/>
      <c r="AA803" s="67"/>
      <c r="AB803" s="44" t="n">
        <v>5600000</v>
      </c>
      <c r="AC803" s="66"/>
    </row>
    <row r="804" customFormat="false" ht="14.25" hidden="false" customHeight="true" outlineLevel="0" collapsed="false">
      <c r="F804" s="265" t="s">
        <v>867</v>
      </c>
      <c r="G804" s="265"/>
      <c r="H804" s="268" t="s">
        <v>868</v>
      </c>
      <c r="I804" s="268"/>
      <c r="J804" s="268"/>
      <c r="K804" s="268"/>
      <c r="T804" s="9"/>
      <c r="U804" s="9"/>
      <c r="V804" s="9"/>
      <c r="W804" s="9"/>
      <c r="X804" s="9"/>
      <c r="Y804" s="41"/>
      <c r="Z804" s="9"/>
      <c r="AA804" s="42"/>
      <c r="AB804" s="44"/>
    </row>
    <row r="805" customFormat="false" ht="14.25" hidden="false" customHeight="true" outlineLevel="0" collapsed="false">
      <c r="K805" s="270" t="s">
        <v>869</v>
      </c>
      <c r="L805" s="271"/>
      <c r="M805" s="272"/>
      <c r="N805" s="272"/>
      <c r="O805" s="272"/>
      <c r="P805" s="272"/>
      <c r="Q805" s="273" t="n">
        <f aca="false">SUM(Q799:Q804)</f>
        <v>39964750</v>
      </c>
      <c r="R805" s="274"/>
      <c r="S805" s="274"/>
      <c r="T805" s="274" t="n">
        <f aca="false">SUM(T799:T804)</f>
        <v>51207555</v>
      </c>
      <c r="U805" s="274"/>
      <c r="V805" s="274" t="n">
        <f aca="false">SUM(V799:V804)</f>
        <v>53442403</v>
      </c>
      <c r="W805" s="274"/>
      <c r="X805" s="274"/>
      <c r="Y805" s="275"/>
      <c r="Z805" s="274"/>
      <c r="AA805" s="276"/>
      <c r="AB805" s="274" t="n">
        <f aca="false">SUM(AB799:AB804)</f>
        <v>877790000</v>
      </c>
      <c r="AC805" s="66"/>
    </row>
    <row r="806" customFormat="false" ht="14.25" hidden="false" customHeight="true" outlineLevel="0" collapsed="false">
      <c r="K806" s="270"/>
      <c r="L806" s="271"/>
      <c r="M806" s="272"/>
      <c r="N806" s="272"/>
      <c r="O806" s="272"/>
      <c r="P806" s="272"/>
      <c r="Q806" s="273"/>
      <c r="R806" s="274"/>
      <c r="S806" s="274"/>
      <c r="T806" s="274"/>
      <c r="U806" s="274"/>
      <c r="V806" s="273"/>
      <c r="W806" s="274"/>
      <c r="X806" s="274"/>
      <c r="Y806" s="275"/>
      <c r="Z806" s="274"/>
      <c r="AA806" s="276"/>
      <c r="AB806" s="274"/>
      <c r="AC806" s="66"/>
    </row>
    <row r="807" customFormat="false" ht="14.25" hidden="false" customHeight="true" outlineLevel="0" collapsed="false">
      <c r="K807" s="94"/>
      <c r="L807" s="132"/>
      <c r="Q807" s="116"/>
      <c r="R807" s="116"/>
      <c r="S807" s="116"/>
      <c r="T807" s="116"/>
      <c r="U807" s="44"/>
      <c r="V807" s="116"/>
      <c r="W807" s="44"/>
      <c r="X807" s="44"/>
      <c r="Y807" s="64"/>
      <c r="Z807" s="44"/>
      <c r="AA807" s="67"/>
      <c r="AB807" s="277"/>
      <c r="AC807" s="66"/>
    </row>
    <row r="808" customFormat="false" ht="14.25" hidden="false" customHeight="true" outlineLevel="0" collapsed="false">
      <c r="G808" s="278" t="s">
        <v>870</v>
      </c>
      <c r="T808" s="98"/>
      <c r="U808" s="9"/>
      <c r="V808" s="98"/>
      <c r="W808" s="9"/>
      <c r="X808" s="9"/>
      <c r="Y808" s="41"/>
      <c r="Z808" s="9"/>
      <c r="AA808" s="42"/>
    </row>
    <row r="809" customFormat="false" ht="14.25" hidden="false" customHeight="true" outlineLevel="0" collapsed="false">
      <c r="G809" s="29" t="s">
        <v>871</v>
      </c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79"/>
      <c r="U809" s="29"/>
      <c r="V809" s="279"/>
      <c r="W809" s="29"/>
      <c r="X809" s="29"/>
      <c r="Y809" s="280"/>
      <c r="Z809" s="29"/>
      <c r="AA809" s="29"/>
      <c r="AB809" s="10"/>
      <c r="AC809" s="29"/>
      <c r="AD809" s="29"/>
      <c r="AE809" s="281"/>
      <c r="AF809" s="29"/>
      <c r="AG809" s="29"/>
      <c r="AH809" s="29"/>
    </row>
    <row r="810" customFormat="false" ht="14.25" hidden="false" customHeight="true" outlineLevel="0" collapsed="false">
      <c r="G810" s="265" t="s">
        <v>872</v>
      </c>
      <c r="L810" s="8"/>
      <c r="T810" s="282"/>
      <c r="U810" s="9"/>
      <c r="V810" s="98"/>
      <c r="W810" s="9"/>
      <c r="X810" s="9"/>
      <c r="Y810" s="41"/>
      <c r="Z810" s="9"/>
      <c r="AA810" s="42"/>
    </row>
    <row r="811" customFormat="false" ht="14.25" hidden="false" customHeight="true" outlineLevel="0" collapsed="false">
      <c r="G811" s="265" t="s">
        <v>873</v>
      </c>
      <c r="H811" s="43"/>
      <c r="I811" s="43"/>
      <c r="J811" s="43"/>
      <c r="T811" s="282"/>
      <c r="U811" s="9"/>
      <c r="V811" s="98"/>
      <c r="W811" s="9"/>
      <c r="X811" s="9"/>
      <c r="Y811" s="41"/>
      <c r="Z811" s="9"/>
      <c r="AA811" s="42"/>
    </row>
    <row r="812" customFormat="false" ht="14.25" hidden="false" customHeight="true" outlineLevel="0" collapsed="false">
      <c r="G812" s="265"/>
      <c r="K812" s="283"/>
      <c r="T812" s="98"/>
      <c r="U812" s="9"/>
      <c r="V812" s="98"/>
      <c r="W812" s="9"/>
      <c r="X812" s="9"/>
      <c r="Y812" s="41"/>
      <c r="Z812" s="9"/>
      <c r="AA812" s="42"/>
    </row>
    <row r="813" customFormat="false" ht="14.25" hidden="false" customHeight="true" outlineLevel="0" collapsed="false">
      <c r="G813" s="265"/>
      <c r="K813" s="283"/>
      <c r="T813" s="98"/>
      <c r="U813" s="9"/>
      <c r="V813" s="98"/>
      <c r="W813" s="9"/>
      <c r="X813" s="9"/>
      <c r="Y813" s="41"/>
      <c r="Z813" s="9"/>
      <c r="AA813" s="42"/>
    </row>
    <row r="814" customFormat="false" ht="14.25" hidden="false" customHeight="true" outlineLevel="0" collapsed="false">
      <c r="G814" s="265"/>
      <c r="K814" s="283"/>
      <c r="T814" s="98"/>
      <c r="U814" s="9"/>
      <c r="V814" s="98"/>
      <c r="W814" s="9"/>
      <c r="X814" s="9"/>
      <c r="Y814" s="41"/>
      <c r="Z814" s="9"/>
      <c r="AA814" s="42"/>
    </row>
    <row r="815" customFormat="false" ht="14.25" hidden="false" customHeight="true" outlineLevel="0" collapsed="false">
      <c r="K815" s="283" t="s">
        <v>874</v>
      </c>
      <c r="T815" s="98"/>
      <c r="U815" s="9"/>
      <c r="V815" s="98"/>
      <c r="W815" s="9"/>
      <c r="X815" s="9"/>
      <c r="Y815" s="41"/>
      <c r="Z815" s="9"/>
      <c r="AA815" s="42"/>
    </row>
    <row r="816" customFormat="false" ht="13.5" hidden="false" customHeight="false" outlineLevel="0" collapsed="false">
      <c r="G816" s="284"/>
      <c r="T816" s="98"/>
      <c r="U816" s="9"/>
      <c r="V816" s="98"/>
      <c r="W816" s="9"/>
      <c r="X816" s="9"/>
      <c r="Y816" s="41"/>
      <c r="Z816" s="9"/>
      <c r="AA816" s="42"/>
    </row>
    <row r="817" customFormat="false" ht="13.5" hidden="false" customHeight="false" outlineLevel="0" collapsed="false">
      <c r="T817" s="98"/>
      <c r="U817" s="9"/>
      <c r="V817" s="98"/>
      <c r="W817" s="9"/>
      <c r="X817" s="9"/>
      <c r="Y817" s="41"/>
      <c r="Z817" s="9"/>
      <c r="AA817" s="42"/>
    </row>
    <row r="818" customFormat="false" ht="15.75" hidden="false" customHeight="true" outlineLevel="0" collapsed="false">
      <c r="T818" s="98"/>
      <c r="U818" s="9"/>
      <c r="V818" s="98"/>
      <c r="W818" s="9"/>
      <c r="X818" s="9"/>
      <c r="Y818" s="41"/>
      <c r="Z818" s="9"/>
      <c r="AA818" s="42"/>
      <c r="AB818" s="285"/>
      <c r="AC818" s="286"/>
      <c r="AD818" s="287"/>
      <c r="AE818" s="288"/>
      <c r="AF818" s="287"/>
      <c r="AG818" s="287"/>
      <c r="AH818" s="287"/>
    </row>
    <row r="819" customFormat="false" ht="15.75" hidden="false" customHeight="true" outlineLevel="0" collapsed="false">
      <c r="T819" s="98"/>
      <c r="U819" s="9"/>
      <c r="V819" s="98"/>
      <c r="W819" s="9"/>
      <c r="X819" s="9"/>
      <c r="Y819" s="41"/>
      <c r="Z819" s="9"/>
      <c r="AA819" s="42"/>
      <c r="AB819" s="285"/>
      <c r="AC819" s="286"/>
      <c r="AD819" s="287"/>
      <c r="AE819" s="288"/>
      <c r="AF819" s="287"/>
      <c r="AG819" s="287"/>
      <c r="AH819" s="287"/>
    </row>
    <row r="820" customFormat="false" ht="15.75" hidden="false" customHeight="true" outlineLevel="0" collapsed="false">
      <c r="T820" s="98"/>
      <c r="U820" s="9"/>
      <c r="V820" s="98"/>
      <c r="W820" s="9"/>
      <c r="X820" s="9"/>
      <c r="Y820" s="41"/>
      <c r="Z820" s="9"/>
      <c r="AA820" s="42"/>
      <c r="AB820" s="285"/>
      <c r="AC820" s="286"/>
      <c r="AD820" s="287"/>
      <c r="AE820" s="288"/>
      <c r="AF820" s="287"/>
      <c r="AG820" s="287"/>
      <c r="AH820" s="287"/>
    </row>
    <row r="821" customFormat="false" ht="15.75" hidden="false" customHeight="true" outlineLevel="0" collapsed="false">
      <c r="T821" s="98"/>
      <c r="U821" s="9"/>
      <c r="V821" s="98"/>
      <c r="W821" s="9"/>
      <c r="X821" s="9"/>
      <c r="Y821" s="9"/>
      <c r="Z821" s="9"/>
      <c r="AA821" s="42"/>
      <c r="AB821" s="285"/>
      <c r="AC821" s="286"/>
      <c r="AD821" s="287"/>
      <c r="AE821" s="288"/>
      <c r="AF821" s="287"/>
      <c r="AG821" s="287"/>
      <c r="AH821" s="287"/>
    </row>
    <row r="822" customFormat="false" ht="15.75" hidden="false" customHeight="true" outlineLevel="0" collapsed="false">
      <c r="T822" s="98"/>
      <c r="U822" s="9"/>
      <c r="V822" s="98"/>
      <c r="W822" s="9"/>
      <c r="X822" s="9"/>
      <c r="Y822" s="9"/>
      <c r="Z822" s="9"/>
      <c r="AA822" s="42"/>
      <c r="AB822" s="285"/>
      <c r="AC822" s="286"/>
      <c r="AD822" s="287"/>
      <c r="AE822" s="288"/>
      <c r="AF822" s="287"/>
      <c r="AG822" s="287"/>
      <c r="AH822" s="287"/>
    </row>
    <row r="823" customFormat="false" ht="15.75" hidden="false" customHeight="true" outlineLevel="0" collapsed="false">
      <c r="T823" s="98"/>
      <c r="U823" s="9"/>
      <c r="V823" s="98"/>
      <c r="W823" s="9"/>
      <c r="X823" s="9"/>
      <c r="Y823" s="9"/>
      <c r="Z823" s="9"/>
      <c r="AA823" s="42"/>
      <c r="AB823" s="285"/>
      <c r="AC823" s="286"/>
      <c r="AD823" s="287"/>
      <c r="AE823" s="288"/>
      <c r="AF823" s="287"/>
      <c r="AG823" s="287"/>
      <c r="AH823" s="287"/>
    </row>
    <row r="824" customFormat="false" ht="15.75" hidden="false" customHeight="true" outlineLevel="0" collapsed="false">
      <c r="K824" s="96"/>
      <c r="T824" s="98"/>
      <c r="U824" s="9"/>
      <c r="V824" s="98"/>
      <c r="W824" s="9"/>
      <c r="X824" s="9"/>
      <c r="Y824" s="9"/>
      <c r="Z824" s="9"/>
      <c r="AA824" s="42"/>
      <c r="AB824" s="285"/>
      <c r="AC824" s="286"/>
      <c r="AD824" s="287"/>
      <c r="AE824" s="288"/>
      <c r="AF824" s="287"/>
      <c r="AG824" s="287"/>
      <c r="AH824" s="287"/>
    </row>
    <row r="825" customFormat="false" ht="15.75" hidden="false" customHeight="true" outlineLevel="0" collapsed="false">
      <c r="T825" s="98"/>
      <c r="U825" s="9"/>
      <c r="V825" s="98"/>
      <c r="W825" s="9"/>
      <c r="X825" s="9"/>
      <c r="Y825" s="9"/>
      <c r="Z825" s="9"/>
      <c r="AA825" s="42"/>
      <c r="AB825" s="285"/>
      <c r="AC825" s="286"/>
      <c r="AD825" s="287"/>
      <c r="AE825" s="288"/>
      <c r="AF825" s="287"/>
      <c r="AG825" s="287"/>
      <c r="AH825" s="287"/>
    </row>
    <row r="826" customFormat="false" ht="15.75" hidden="false" customHeight="true" outlineLevel="0" collapsed="false">
      <c r="T826" s="98"/>
      <c r="U826" s="9"/>
      <c r="V826" s="98"/>
      <c r="W826" s="9"/>
      <c r="X826" s="9"/>
      <c r="Y826" s="9"/>
      <c r="Z826" s="9"/>
      <c r="AA826" s="42"/>
      <c r="AB826" s="285"/>
      <c r="AC826" s="286"/>
      <c r="AD826" s="287"/>
      <c r="AE826" s="288"/>
      <c r="AF826" s="287"/>
      <c r="AG826" s="287"/>
      <c r="AH826" s="287"/>
    </row>
    <row r="827" customFormat="false" ht="15.75" hidden="false" customHeight="true" outlineLevel="0" collapsed="false">
      <c r="T827" s="98"/>
      <c r="U827" s="9"/>
      <c r="V827" s="98"/>
      <c r="W827" s="9"/>
      <c r="X827" s="9"/>
      <c r="Y827" s="9"/>
      <c r="Z827" s="9"/>
      <c r="AA827" s="42"/>
      <c r="AB827" s="285"/>
      <c r="AC827" s="286"/>
      <c r="AD827" s="287"/>
      <c r="AE827" s="288"/>
      <c r="AF827" s="287"/>
      <c r="AG827" s="287"/>
      <c r="AH827" s="287"/>
    </row>
    <row r="828" customFormat="false" ht="15.75" hidden="false" customHeight="true" outlineLevel="0" collapsed="false">
      <c r="T828" s="98"/>
      <c r="U828" s="9"/>
      <c r="V828" s="98"/>
      <c r="W828" s="9"/>
      <c r="X828" s="9"/>
      <c r="Y828" s="9"/>
      <c r="Z828" s="9"/>
      <c r="AA828" s="42"/>
      <c r="AB828" s="285"/>
      <c r="AC828" s="286"/>
      <c r="AD828" s="287"/>
      <c r="AE828" s="288"/>
      <c r="AF828" s="287"/>
      <c r="AG828" s="287"/>
      <c r="AH828" s="287"/>
    </row>
    <row r="829" customFormat="false" ht="15.75" hidden="false" customHeight="true" outlineLevel="0" collapsed="false">
      <c r="T829" s="98"/>
      <c r="U829" s="9"/>
      <c r="V829" s="98"/>
      <c r="W829" s="9"/>
      <c r="X829" s="9"/>
      <c r="Y829" s="9"/>
      <c r="Z829" s="9"/>
      <c r="AA829" s="42"/>
      <c r="AB829" s="285"/>
      <c r="AC829" s="286"/>
      <c r="AD829" s="287"/>
      <c r="AE829" s="288"/>
      <c r="AF829" s="287"/>
      <c r="AG829" s="287"/>
      <c r="AH829" s="287"/>
    </row>
    <row r="830" customFormat="false" ht="15.75" hidden="false" customHeight="true" outlineLevel="0" collapsed="false">
      <c r="T830" s="98"/>
      <c r="U830" s="9"/>
      <c r="V830" s="98"/>
      <c r="W830" s="9"/>
      <c r="X830" s="9"/>
      <c r="Y830" s="9"/>
      <c r="Z830" s="9"/>
      <c r="AA830" s="42"/>
      <c r="AB830" s="285"/>
      <c r="AC830" s="286"/>
      <c r="AD830" s="287"/>
      <c r="AE830" s="288"/>
      <c r="AF830" s="287"/>
      <c r="AG830" s="287"/>
      <c r="AH830" s="287"/>
    </row>
    <row r="831" customFormat="false" ht="15.75" hidden="false" customHeight="true" outlineLevel="0" collapsed="false">
      <c r="T831" s="98"/>
      <c r="U831" s="9"/>
      <c r="V831" s="98"/>
      <c r="W831" s="9"/>
      <c r="X831" s="9"/>
      <c r="Y831" s="9"/>
      <c r="Z831" s="9"/>
      <c r="AA831" s="42"/>
      <c r="AB831" s="285"/>
      <c r="AC831" s="286"/>
      <c r="AD831" s="287"/>
      <c r="AE831" s="288"/>
      <c r="AF831" s="287"/>
      <c r="AG831" s="287"/>
      <c r="AH831" s="287"/>
    </row>
    <row r="832" customFormat="false" ht="15.75" hidden="false" customHeight="true" outlineLevel="0" collapsed="false">
      <c r="T832" s="98"/>
      <c r="U832" s="9"/>
      <c r="V832" s="98"/>
      <c r="W832" s="9"/>
      <c r="X832" s="9"/>
      <c r="Y832" s="9"/>
      <c r="Z832" s="9"/>
      <c r="AA832" s="42"/>
      <c r="AB832" s="285"/>
      <c r="AC832" s="286"/>
      <c r="AD832" s="287"/>
      <c r="AE832" s="288"/>
      <c r="AF832" s="287"/>
      <c r="AG832" s="287"/>
      <c r="AH832" s="287"/>
    </row>
    <row r="833" customFormat="false" ht="15.75" hidden="false" customHeight="true" outlineLevel="0" collapsed="false">
      <c r="T833" s="98"/>
      <c r="U833" s="9"/>
      <c r="V833" s="98"/>
      <c r="W833" s="9"/>
      <c r="X833" s="9"/>
      <c r="Y833" s="9"/>
      <c r="Z833" s="9"/>
      <c r="AA833" s="42"/>
      <c r="AB833" s="285"/>
      <c r="AC833" s="286"/>
      <c r="AD833" s="287"/>
      <c r="AE833" s="288"/>
      <c r="AF833" s="287"/>
      <c r="AG833" s="287"/>
      <c r="AH833" s="287"/>
    </row>
    <row r="834" customFormat="false" ht="15.75" hidden="false" customHeight="true" outlineLevel="0" collapsed="false">
      <c r="T834" s="98"/>
      <c r="U834" s="9"/>
      <c r="V834" s="98"/>
      <c r="W834" s="9"/>
      <c r="X834" s="9"/>
      <c r="Y834" s="9"/>
      <c r="Z834" s="9"/>
      <c r="AA834" s="42"/>
      <c r="AB834" s="285"/>
      <c r="AC834" s="286"/>
      <c r="AD834" s="287"/>
      <c r="AE834" s="288"/>
      <c r="AF834" s="287"/>
      <c r="AG834" s="287"/>
      <c r="AH834" s="287"/>
    </row>
    <row r="835" customFormat="false" ht="15.75" hidden="false" customHeight="true" outlineLevel="0" collapsed="false">
      <c r="T835" s="98"/>
      <c r="U835" s="9"/>
      <c r="V835" s="98"/>
      <c r="W835" s="9"/>
      <c r="X835" s="9"/>
      <c r="Y835" s="9"/>
      <c r="Z835" s="9"/>
      <c r="AA835" s="42"/>
      <c r="AB835" s="285"/>
      <c r="AC835" s="286"/>
      <c r="AD835" s="287"/>
      <c r="AE835" s="288"/>
      <c r="AF835" s="287"/>
      <c r="AG835" s="287"/>
      <c r="AH835" s="287"/>
    </row>
    <row r="836" customFormat="false" ht="15.75" hidden="false" customHeight="true" outlineLevel="0" collapsed="false">
      <c r="T836" s="98"/>
      <c r="U836" s="9"/>
      <c r="V836" s="98"/>
      <c r="W836" s="9"/>
      <c r="X836" s="9"/>
      <c r="Y836" s="9"/>
      <c r="Z836" s="9"/>
      <c r="AA836" s="42"/>
      <c r="AB836" s="285"/>
      <c r="AC836" s="286"/>
      <c r="AD836" s="287"/>
      <c r="AE836" s="288"/>
      <c r="AF836" s="287"/>
      <c r="AG836" s="287"/>
      <c r="AH836" s="287"/>
    </row>
    <row r="837" customFormat="false" ht="15.75" hidden="false" customHeight="true" outlineLevel="0" collapsed="false">
      <c r="T837" s="98"/>
      <c r="U837" s="9"/>
      <c r="V837" s="98"/>
      <c r="W837" s="9"/>
      <c r="X837" s="9"/>
      <c r="Y837" s="9"/>
      <c r="Z837" s="9"/>
      <c r="AA837" s="42"/>
      <c r="AB837" s="285"/>
      <c r="AC837" s="286"/>
      <c r="AD837" s="287"/>
      <c r="AE837" s="288"/>
      <c r="AF837" s="287"/>
      <c r="AG837" s="287"/>
      <c r="AH837" s="287"/>
    </row>
    <row r="838" customFormat="false" ht="15.75" hidden="false" customHeight="true" outlineLevel="0" collapsed="false">
      <c r="T838" s="98"/>
      <c r="U838" s="9"/>
      <c r="V838" s="98"/>
      <c r="W838" s="9"/>
      <c r="X838" s="9"/>
      <c r="Y838" s="9"/>
      <c r="Z838" s="9"/>
      <c r="AA838" s="42"/>
      <c r="AB838" s="285"/>
      <c r="AC838" s="286"/>
      <c r="AD838" s="287"/>
      <c r="AE838" s="288"/>
      <c r="AF838" s="287"/>
      <c r="AG838" s="287"/>
      <c r="AH838" s="287"/>
    </row>
    <row r="839" customFormat="false" ht="15.75" hidden="false" customHeight="true" outlineLevel="0" collapsed="false">
      <c r="T839" s="98"/>
      <c r="U839" s="9"/>
      <c r="V839" s="98"/>
      <c r="W839" s="9"/>
      <c r="X839" s="9"/>
      <c r="Y839" s="9"/>
      <c r="Z839" s="9"/>
      <c r="AA839" s="42"/>
      <c r="AB839" s="285"/>
      <c r="AC839" s="286"/>
      <c r="AD839" s="287"/>
      <c r="AE839" s="288"/>
      <c r="AF839" s="287"/>
      <c r="AG839" s="287"/>
      <c r="AH839" s="287"/>
    </row>
    <row r="840" customFormat="false" ht="15.75" hidden="false" customHeight="true" outlineLevel="0" collapsed="false">
      <c r="T840" s="98"/>
      <c r="U840" s="9"/>
      <c r="V840" s="98"/>
      <c r="W840" s="9"/>
      <c r="X840" s="9"/>
      <c r="Y840" s="9"/>
      <c r="Z840" s="9"/>
      <c r="AA840" s="42"/>
      <c r="AB840" s="285"/>
      <c r="AC840" s="286"/>
      <c r="AD840" s="287"/>
      <c r="AE840" s="288"/>
      <c r="AF840" s="287"/>
      <c r="AG840" s="287"/>
      <c r="AH840" s="287"/>
    </row>
    <row r="841" customFormat="false" ht="15.75" hidden="false" customHeight="true" outlineLevel="0" collapsed="false">
      <c r="T841" s="98"/>
      <c r="U841" s="9"/>
      <c r="V841" s="98"/>
      <c r="W841" s="9"/>
      <c r="X841" s="9"/>
      <c r="Y841" s="9"/>
      <c r="Z841" s="9"/>
      <c r="AA841" s="42"/>
      <c r="AB841" s="285"/>
      <c r="AC841" s="286"/>
      <c r="AD841" s="287"/>
      <c r="AE841" s="288"/>
      <c r="AF841" s="287"/>
      <c r="AG841" s="287"/>
      <c r="AH841" s="287"/>
    </row>
    <row r="842" customFormat="false" ht="15.75" hidden="false" customHeight="true" outlineLevel="0" collapsed="false">
      <c r="T842" s="98"/>
      <c r="U842" s="9"/>
      <c r="V842" s="98"/>
      <c r="W842" s="9"/>
      <c r="X842" s="9"/>
      <c r="Y842" s="9"/>
      <c r="Z842" s="9"/>
      <c r="AA842" s="42"/>
      <c r="AB842" s="285"/>
      <c r="AC842" s="286"/>
      <c r="AD842" s="287"/>
      <c r="AE842" s="288"/>
      <c r="AF842" s="287"/>
      <c r="AG842" s="287"/>
      <c r="AH842" s="287"/>
    </row>
    <row r="843" customFormat="false" ht="15.75" hidden="false" customHeight="true" outlineLevel="0" collapsed="false">
      <c r="T843" s="98"/>
      <c r="U843" s="9"/>
      <c r="V843" s="98"/>
      <c r="W843" s="9"/>
      <c r="X843" s="9"/>
      <c r="Y843" s="9"/>
      <c r="Z843" s="9"/>
      <c r="AA843" s="42"/>
      <c r="AB843" s="285"/>
      <c r="AC843" s="286"/>
      <c r="AD843" s="287"/>
      <c r="AE843" s="288"/>
      <c r="AF843" s="287"/>
      <c r="AG843" s="287"/>
      <c r="AH843" s="287"/>
    </row>
    <row r="844" customFormat="false" ht="15.75" hidden="false" customHeight="true" outlineLevel="0" collapsed="false">
      <c r="T844" s="98"/>
      <c r="U844" s="9"/>
      <c r="V844" s="98"/>
      <c r="W844" s="9"/>
      <c r="X844" s="9"/>
      <c r="Y844" s="9"/>
      <c r="Z844" s="9"/>
      <c r="AA844" s="42"/>
      <c r="AB844" s="285"/>
      <c r="AC844" s="286"/>
      <c r="AD844" s="287"/>
      <c r="AE844" s="288"/>
      <c r="AF844" s="287"/>
      <c r="AG844" s="287"/>
      <c r="AH844" s="287"/>
    </row>
    <row r="845" customFormat="false" ht="15.75" hidden="false" customHeight="true" outlineLevel="0" collapsed="false">
      <c r="T845" s="98"/>
      <c r="U845" s="9"/>
      <c r="V845" s="98"/>
      <c r="W845" s="9"/>
      <c r="X845" s="9"/>
      <c r="Y845" s="9"/>
      <c r="Z845" s="9"/>
      <c r="AA845" s="42"/>
      <c r="AB845" s="285"/>
      <c r="AC845" s="286"/>
      <c r="AD845" s="287"/>
      <c r="AE845" s="288"/>
      <c r="AF845" s="287"/>
      <c r="AG845" s="287"/>
      <c r="AH845" s="287"/>
    </row>
    <row r="846" customFormat="false" ht="15.75" hidden="false" customHeight="true" outlineLevel="0" collapsed="false">
      <c r="T846" s="98"/>
      <c r="U846" s="9"/>
      <c r="V846" s="98"/>
      <c r="W846" s="9"/>
      <c r="X846" s="9"/>
      <c r="Y846" s="9"/>
      <c r="Z846" s="9"/>
      <c r="AA846" s="42"/>
      <c r="AB846" s="285"/>
      <c r="AC846" s="286"/>
      <c r="AD846" s="287"/>
      <c r="AE846" s="288"/>
      <c r="AF846" s="287"/>
      <c r="AG846" s="287"/>
      <c r="AH846" s="287"/>
    </row>
    <row r="847" customFormat="false" ht="15.75" hidden="false" customHeight="true" outlineLevel="0" collapsed="false">
      <c r="T847" s="98"/>
      <c r="U847" s="9"/>
      <c r="V847" s="98"/>
      <c r="W847" s="9"/>
      <c r="X847" s="9"/>
      <c r="Y847" s="9"/>
      <c r="Z847" s="9"/>
      <c r="AA847" s="42"/>
      <c r="AB847" s="285"/>
      <c r="AC847" s="286"/>
      <c r="AD847" s="287"/>
      <c r="AE847" s="288"/>
      <c r="AF847" s="287"/>
      <c r="AG847" s="287"/>
      <c r="AH847" s="287"/>
    </row>
    <row r="848" customFormat="false" ht="15.75" hidden="false" customHeight="true" outlineLevel="0" collapsed="false">
      <c r="T848" s="98"/>
      <c r="U848" s="9"/>
      <c r="V848" s="98"/>
      <c r="W848" s="9"/>
      <c r="X848" s="9"/>
      <c r="Y848" s="9"/>
      <c r="Z848" s="9"/>
      <c r="AA848" s="42"/>
      <c r="AB848" s="285"/>
      <c r="AC848" s="286"/>
      <c r="AD848" s="287"/>
      <c r="AE848" s="288"/>
      <c r="AF848" s="287"/>
      <c r="AG848" s="287"/>
      <c r="AH848" s="287"/>
    </row>
    <row r="849" customFormat="false" ht="15.75" hidden="false" customHeight="true" outlineLevel="0" collapsed="false">
      <c r="T849" s="98"/>
      <c r="U849" s="9"/>
      <c r="V849" s="98"/>
      <c r="W849" s="9"/>
      <c r="X849" s="9"/>
      <c r="Y849" s="9"/>
      <c r="Z849" s="9"/>
      <c r="AA849" s="42"/>
      <c r="AB849" s="285"/>
      <c r="AC849" s="286"/>
      <c r="AD849" s="287"/>
      <c r="AE849" s="288"/>
      <c r="AF849" s="287"/>
      <c r="AG849" s="287"/>
      <c r="AH849" s="287"/>
    </row>
    <row r="850" customFormat="false" ht="15.75" hidden="false" customHeight="true" outlineLevel="0" collapsed="false">
      <c r="T850" s="98"/>
      <c r="U850" s="9"/>
      <c r="V850" s="98"/>
      <c r="W850" s="9"/>
      <c r="X850" s="9"/>
      <c r="Y850" s="9"/>
      <c r="Z850" s="9"/>
      <c r="AA850" s="42"/>
      <c r="AB850" s="285"/>
      <c r="AC850" s="286"/>
      <c r="AD850" s="287"/>
      <c r="AE850" s="288"/>
      <c r="AF850" s="287"/>
      <c r="AG850" s="287"/>
      <c r="AH850" s="287"/>
    </row>
    <row r="851" customFormat="false" ht="15.75" hidden="false" customHeight="true" outlineLevel="0" collapsed="false">
      <c r="T851" s="98"/>
      <c r="U851" s="9"/>
      <c r="V851" s="98"/>
      <c r="W851" s="9"/>
      <c r="X851" s="9"/>
      <c r="Y851" s="9"/>
      <c r="Z851" s="9"/>
      <c r="AA851" s="42"/>
      <c r="AB851" s="285"/>
      <c r="AC851" s="286"/>
      <c r="AD851" s="287"/>
      <c r="AE851" s="288"/>
      <c r="AF851" s="287"/>
      <c r="AG851" s="287"/>
      <c r="AH851" s="287"/>
    </row>
    <row r="852" customFormat="false" ht="15.75" hidden="false" customHeight="true" outlineLevel="0" collapsed="false">
      <c r="T852" s="98"/>
      <c r="U852" s="9"/>
      <c r="V852" s="98"/>
      <c r="W852" s="9"/>
      <c r="X852" s="9"/>
      <c r="Y852" s="9"/>
      <c r="Z852" s="9"/>
      <c r="AA852" s="42"/>
      <c r="AB852" s="285"/>
      <c r="AC852" s="286"/>
      <c r="AD852" s="287"/>
      <c r="AE852" s="288"/>
      <c r="AF852" s="287"/>
      <c r="AG852" s="287"/>
      <c r="AH852" s="287"/>
    </row>
    <row r="853" customFormat="false" ht="15.75" hidden="false" customHeight="true" outlineLevel="0" collapsed="false">
      <c r="T853" s="98"/>
      <c r="U853" s="9"/>
      <c r="V853" s="98"/>
      <c r="W853" s="9"/>
      <c r="X853" s="9"/>
      <c r="Y853" s="9"/>
      <c r="Z853" s="9"/>
      <c r="AA853" s="42"/>
      <c r="AB853" s="285"/>
      <c r="AC853" s="286"/>
      <c r="AD853" s="287"/>
      <c r="AE853" s="288"/>
      <c r="AF853" s="287"/>
      <c r="AG853" s="287"/>
      <c r="AH853" s="287"/>
    </row>
    <row r="854" customFormat="false" ht="15.75" hidden="false" customHeight="true" outlineLevel="0" collapsed="false">
      <c r="T854" s="98"/>
      <c r="U854" s="9"/>
      <c r="V854" s="98"/>
      <c r="W854" s="9"/>
      <c r="X854" s="9"/>
      <c r="Y854" s="9"/>
      <c r="Z854" s="9"/>
      <c r="AA854" s="42"/>
      <c r="AB854" s="285"/>
      <c r="AC854" s="286"/>
      <c r="AD854" s="287"/>
      <c r="AE854" s="288"/>
      <c r="AF854" s="287"/>
      <c r="AG854" s="287"/>
      <c r="AH854" s="287"/>
    </row>
    <row r="855" customFormat="false" ht="15.75" hidden="false" customHeight="true" outlineLevel="0" collapsed="false">
      <c r="T855" s="98"/>
      <c r="U855" s="9"/>
      <c r="V855" s="98"/>
      <c r="W855" s="9"/>
      <c r="X855" s="9"/>
      <c r="Y855" s="9"/>
      <c r="Z855" s="9"/>
      <c r="AA855" s="42"/>
      <c r="AB855" s="285"/>
      <c r="AC855" s="286"/>
      <c r="AD855" s="287"/>
      <c r="AE855" s="288"/>
      <c r="AF855" s="287"/>
      <c r="AG855" s="287"/>
      <c r="AH855" s="287"/>
    </row>
    <row r="856" customFormat="false" ht="15.75" hidden="false" customHeight="true" outlineLevel="0" collapsed="false">
      <c r="T856" s="98"/>
      <c r="U856" s="9"/>
      <c r="V856" s="98"/>
      <c r="W856" s="9"/>
      <c r="X856" s="9"/>
      <c r="Y856" s="9"/>
      <c r="Z856" s="9"/>
      <c r="AA856" s="42"/>
      <c r="AB856" s="285"/>
      <c r="AC856" s="286"/>
      <c r="AD856" s="287"/>
      <c r="AE856" s="288"/>
      <c r="AF856" s="287"/>
      <c r="AG856" s="287"/>
      <c r="AH856" s="287"/>
    </row>
    <row r="857" customFormat="false" ht="15.75" hidden="false" customHeight="true" outlineLevel="0" collapsed="false">
      <c r="T857" s="98"/>
      <c r="U857" s="9"/>
      <c r="V857" s="98"/>
      <c r="W857" s="9"/>
      <c r="X857" s="9"/>
      <c r="Y857" s="9"/>
      <c r="Z857" s="9"/>
      <c r="AA857" s="42"/>
      <c r="AB857" s="285"/>
      <c r="AC857" s="286"/>
      <c r="AD857" s="287"/>
      <c r="AE857" s="288"/>
      <c r="AF857" s="287"/>
      <c r="AG857" s="287"/>
      <c r="AH857" s="287"/>
    </row>
    <row r="858" customFormat="false" ht="15.75" hidden="false" customHeight="true" outlineLevel="0" collapsed="false">
      <c r="T858" s="98"/>
      <c r="U858" s="9"/>
      <c r="V858" s="98"/>
      <c r="W858" s="9"/>
      <c r="X858" s="9"/>
      <c r="Y858" s="9"/>
      <c r="Z858" s="9"/>
      <c r="AA858" s="42"/>
      <c r="AB858" s="285"/>
      <c r="AC858" s="286"/>
      <c r="AD858" s="287"/>
      <c r="AE858" s="288"/>
      <c r="AF858" s="287"/>
      <c r="AG858" s="287"/>
      <c r="AH858" s="287"/>
    </row>
    <row r="859" customFormat="false" ht="15.75" hidden="false" customHeight="true" outlineLevel="0" collapsed="false">
      <c r="T859" s="98"/>
      <c r="U859" s="9"/>
      <c r="V859" s="98"/>
      <c r="W859" s="9"/>
      <c r="X859" s="9"/>
      <c r="Y859" s="9"/>
      <c r="Z859" s="9"/>
      <c r="AA859" s="42"/>
      <c r="AB859" s="285"/>
      <c r="AC859" s="286"/>
      <c r="AD859" s="287"/>
      <c r="AE859" s="288"/>
      <c r="AF859" s="287"/>
      <c r="AG859" s="287"/>
      <c r="AH859" s="287"/>
    </row>
    <row r="860" customFormat="false" ht="15.75" hidden="false" customHeight="true" outlineLevel="0" collapsed="false">
      <c r="T860" s="98"/>
      <c r="U860" s="9"/>
      <c r="V860" s="98"/>
      <c r="W860" s="9"/>
      <c r="X860" s="9"/>
      <c r="Y860" s="9"/>
      <c r="Z860" s="9"/>
      <c r="AA860" s="42"/>
      <c r="AB860" s="285"/>
      <c r="AC860" s="286"/>
      <c r="AD860" s="287"/>
      <c r="AE860" s="288"/>
      <c r="AF860" s="287"/>
      <c r="AG860" s="287"/>
      <c r="AH860" s="287"/>
    </row>
    <row r="861" customFormat="false" ht="15.75" hidden="false" customHeight="true" outlineLevel="0" collapsed="false">
      <c r="T861" s="98"/>
      <c r="U861" s="9"/>
      <c r="V861" s="98"/>
      <c r="W861" s="9"/>
      <c r="X861" s="9"/>
      <c r="Y861" s="9"/>
      <c r="Z861" s="9"/>
      <c r="AA861" s="42"/>
      <c r="AB861" s="285"/>
      <c r="AC861" s="286"/>
      <c r="AD861" s="287"/>
      <c r="AE861" s="288"/>
      <c r="AF861" s="287"/>
      <c r="AG861" s="287"/>
      <c r="AH861" s="287"/>
    </row>
    <row r="862" customFormat="false" ht="15.75" hidden="false" customHeight="true" outlineLevel="0" collapsed="false">
      <c r="T862" s="98"/>
      <c r="U862" s="9"/>
      <c r="V862" s="98"/>
      <c r="W862" s="9"/>
      <c r="X862" s="9"/>
      <c r="Y862" s="9"/>
      <c r="Z862" s="9"/>
      <c r="AA862" s="42"/>
      <c r="AB862" s="285"/>
      <c r="AC862" s="286"/>
      <c r="AD862" s="287"/>
      <c r="AE862" s="288"/>
      <c r="AF862" s="287"/>
      <c r="AG862" s="287"/>
      <c r="AH862" s="287"/>
    </row>
    <row r="863" customFormat="false" ht="15.75" hidden="false" customHeight="true" outlineLevel="0" collapsed="false">
      <c r="T863" s="98"/>
      <c r="U863" s="9"/>
      <c r="V863" s="98"/>
      <c r="W863" s="9"/>
      <c r="X863" s="9"/>
      <c r="Y863" s="9"/>
      <c r="Z863" s="9"/>
      <c r="AA863" s="42"/>
      <c r="AB863" s="285"/>
      <c r="AC863" s="286"/>
      <c r="AD863" s="287"/>
      <c r="AE863" s="288"/>
      <c r="AF863" s="287"/>
      <c r="AG863" s="287"/>
      <c r="AH863" s="287"/>
    </row>
    <row r="864" customFormat="false" ht="15.75" hidden="false" customHeight="true" outlineLevel="0" collapsed="false">
      <c r="T864" s="98"/>
      <c r="U864" s="9"/>
      <c r="V864" s="98"/>
      <c r="W864" s="9"/>
      <c r="X864" s="9"/>
      <c r="Y864" s="9"/>
      <c r="Z864" s="9"/>
      <c r="AA864" s="42"/>
      <c r="AB864" s="285"/>
      <c r="AC864" s="286"/>
      <c r="AD864" s="287"/>
      <c r="AE864" s="288"/>
      <c r="AF864" s="287"/>
      <c r="AG864" s="287"/>
      <c r="AH864" s="287"/>
    </row>
    <row r="865" customFormat="false" ht="15.75" hidden="false" customHeight="true" outlineLevel="0" collapsed="false">
      <c r="T865" s="98"/>
      <c r="U865" s="9"/>
      <c r="V865" s="98"/>
      <c r="W865" s="9"/>
      <c r="X865" s="9"/>
      <c r="Y865" s="9"/>
      <c r="Z865" s="9"/>
      <c r="AA865" s="42"/>
      <c r="AB865" s="285"/>
      <c r="AC865" s="286"/>
      <c r="AD865" s="287"/>
      <c r="AE865" s="288"/>
      <c r="AF865" s="287"/>
      <c r="AG865" s="287"/>
      <c r="AH865" s="287"/>
    </row>
    <row r="866" customFormat="false" ht="15.75" hidden="false" customHeight="true" outlineLevel="0" collapsed="false">
      <c r="T866" s="98"/>
      <c r="U866" s="9"/>
      <c r="V866" s="98"/>
      <c r="W866" s="9"/>
      <c r="X866" s="9"/>
      <c r="Y866" s="9"/>
      <c r="Z866" s="9"/>
      <c r="AA866" s="42"/>
      <c r="AB866" s="285"/>
      <c r="AC866" s="286"/>
      <c r="AD866" s="287"/>
      <c r="AE866" s="288"/>
      <c r="AF866" s="287"/>
      <c r="AG866" s="287"/>
      <c r="AH866" s="287"/>
    </row>
    <row r="867" customFormat="false" ht="15.75" hidden="false" customHeight="true" outlineLevel="0" collapsed="false">
      <c r="T867" s="98"/>
      <c r="U867" s="9"/>
      <c r="V867" s="98"/>
      <c r="W867" s="9"/>
      <c r="X867" s="9"/>
      <c r="Y867" s="9"/>
      <c r="Z867" s="9"/>
      <c r="AA867" s="42"/>
      <c r="AB867" s="285"/>
      <c r="AC867" s="286"/>
      <c r="AD867" s="287"/>
      <c r="AE867" s="288"/>
      <c r="AF867" s="287"/>
      <c r="AG867" s="287"/>
      <c r="AH867" s="287"/>
    </row>
    <row r="868" customFormat="false" ht="15.75" hidden="false" customHeight="true" outlineLevel="0" collapsed="false">
      <c r="T868" s="98"/>
      <c r="U868" s="9"/>
      <c r="V868" s="98"/>
      <c r="W868" s="9"/>
      <c r="X868" s="9"/>
      <c r="Y868" s="9"/>
      <c r="Z868" s="9"/>
      <c r="AA868" s="42"/>
      <c r="AB868" s="285"/>
      <c r="AC868" s="286"/>
      <c r="AD868" s="287"/>
      <c r="AE868" s="288"/>
      <c r="AF868" s="287"/>
      <c r="AG868" s="287"/>
      <c r="AH868" s="287"/>
    </row>
    <row r="869" customFormat="false" ht="15.75" hidden="false" customHeight="true" outlineLevel="0" collapsed="false">
      <c r="T869" s="98"/>
      <c r="U869" s="9"/>
      <c r="V869" s="98"/>
      <c r="W869" s="9"/>
      <c r="X869" s="9"/>
      <c r="Y869" s="9"/>
      <c r="Z869" s="9"/>
      <c r="AA869" s="42"/>
      <c r="AB869" s="285"/>
      <c r="AC869" s="286"/>
      <c r="AD869" s="287"/>
      <c r="AE869" s="288"/>
      <c r="AF869" s="287"/>
      <c r="AG869" s="287"/>
      <c r="AH869" s="287"/>
    </row>
    <row r="870" customFormat="false" ht="15.75" hidden="false" customHeight="true" outlineLevel="0" collapsed="false">
      <c r="T870" s="98"/>
      <c r="U870" s="9"/>
      <c r="V870" s="98"/>
      <c r="W870" s="9"/>
      <c r="X870" s="9"/>
      <c r="Y870" s="9"/>
      <c r="Z870" s="9"/>
      <c r="AA870" s="42"/>
      <c r="AB870" s="285"/>
      <c r="AC870" s="286"/>
      <c r="AD870" s="287"/>
      <c r="AE870" s="288"/>
      <c r="AF870" s="287"/>
      <c r="AG870" s="287"/>
      <c r="AH870" s="287"/>
    </row>
    <row r="871" customFormat="false" ht="15.75" hidden="false" customHeight="true" outlineLevel="0" collapsed="false">
      <c r="T871" s="98"/>
      <c r="U871" s="9"/>
      <c r="V871" s="98"/>
      <c r="W871" s="9"/>
      <c r="X871" s="9"/>
      <c r="Y871" s="9"/>
      <c r="Z871" s="9"/>
      <c r="AA871" s="42"/>
      <c r="AB871" s="285"/>
      <c r="AC871" s="286"/>
      <c r="AD871" s="287"/>
      <c r="AE871" s="288"/>
      <c r="AF871" s="287"/>
      <c r="AG871" s="287"/>
      <c r="AH871" s="287"/>
    </row>
    <row r="872" customFormat="false" ht="15.75" hidden="false" customHeight="true" outlineLevel="0" collapsed="false">
      <c r="T872" s="98"/>
      <c r="U872" s="9"/>
      <c r="V872" s="98"/>
      <c r="W872" s="9"/>
      <c r="X872" s="9"/>
      <c r="Y872" s="9"/>
      <c r="Z872" s="9"/>
      <c r="AA872" s="42"/>
      <c r="AB872" s="285"/>
      <c r="AC872" s="286"/>
      <c r="AD872" s="287"/>
      <c r="AE872" s="288"/>
      <c r="AF872" s="287"/>
      <c r="AG872" s="287"/>
      <c r="AH872" s="287"/>
    </row>
    <row r="873" customFormat="false" ht="15.75" hidden="false" customHeight="true" outlineLevel="0" collapsed="false">
      <c r="T873" s="98"/>
      <c r="U873" s="9"/>
      <c r="V873" s="98"/>
      <c r="W873" s="9"/>
      <c r="X873" s="9"/>
      <c r="Y873" s="9"/>
      <c r="Z873" s="9"/>
      <c r="AA873" s="42"/>
      <c r="AB873" s="285"/>
      <c r="AC873" s="286"/>
      <c r="AD873" s="287"/>
      <c r="AE873" s="288"/>
      <c r="AF873" s="287"/>
      <c r="AG873" s="287"/>
      <c r="AH873" s="287"/>
    </row>
    <row r="874" customFormat="false" ht="15.75" hidden="false" customHeight="true" outlineLevel="0" collapsed="false">
      <c r="T874" s="98"/>
      <c r="U874" s="9"/>
      <c r="V874" s="98"/>
      <c r="W874" s="9"/>
      <c r="X874" s="9"/>
      <c r="Y874" s="9"/>
      <c r="Z874" s="9"/>
      <c r="AA874" s="42"/>
      <c r="AB874" s="285"/>
      <c r="AC874" s="286"/>
      <c r="AD874" s="287"/>
      <c r="AE874" s="288"/>
      <c r="AF874" s="287"/>
      <c r="AG874" s="287"/>
      <c r="AH874" s="287"/>
    </row>
    <row r="875" customFormat="false" ht="15.75" hidden="false" customHeight="true" outlineLevel="0" collapsed="false">
      <c r="T875" s="98"/>
      <c r="U875" s="9"/>
      <c r="V875" s="98"/>
      <c r="W875" s="9"/>
      <c r="X875" s="9"/>
      <c r="Y875" s="9"/>
      <c r="Z875" s="9"/>
      <c r="AA875" s="42"/>
      <c r="AB875" s="285"/>
      <c r="AC875" s="286"/>
      <c r="AD875" s="287"/>
      <c r="AE875" s="288"/>
      <c r="AF875" s="287"/>
      <c r="AG875" s="287"/>
      <c r="AH875" s="287"/>
    </row>
    <row r="876" customFormat="false" ht="15.75" hidden="false" customHeight="true" outlineLevel="0" collapsed="false">
      <c r="T876" s="98"/>
      <c r="U876" s="9"/>
      <c r="V876" s="98"/>
      <c r="W876" s="9"/>
      <c r="X876" s="9"/>
      <c r="Y876" s="9"/>
      <c r="Z876" s="9"/>
      <c r="AA876" s="42"/>
      <c r="AB876" s="285"/>
      <c r="AC876" s="286"/>
      <c r="AD876" s="287"/>
      <c r="AE876" s="288"/>
      <c r="AF876" s="287"/>
      <c r="AG876" s="287"/>
      <c r="AH876" s="287"/>
    </row>
    <row r="877" customFormat="false" ht="15.75" hidden="false" customHeight="true" outlineLevel="0" collapsed="false">
      <c r="T877" s="98"/>
      <c r="U877" s="9"/>
      <c r="V877" s="98"/>
      <c r="W877" s="9"/>
      <c r="X877" s="9"/>
      <c r="Y877" s="9"/>
      <c r="Z877" s="9"/>
      <c r="AA877" s="42"/>
      <c r="AB877" s="285"/>
      <c r="AC877" s="286"/>
      <c r="AD877" s="287"/>
      <c r="AE877" s="288"/>
      <c r="AF877" s="287"/>
      <c r="AG877" s="287"/>
      <c r="AH877" s="287"/>
    </row>
    <row r="878" customFormat="false" ht="15.75" hidden="false" customHeight="true" outlineLevel="0" collapsed="false">
      <c r="T878" s="98"/>
      <c r="U878" s="9"/>
      <c r="V878" s="98"/>
      <c r="W878" s="9"/>
      <c r="X878" s="9"/>
      <c r="Y878" s="9"/>
      <c r="Z878" s="9"/>
      <c r="AA878" s="42"/>
      <c r="AB878" s="285"/>
      <c r="AC878" s="286"/>
      <c r="AD878" s="287"/>
      <c r="AE878" s="288"/>
      <c r="AF878" s="287"/>
      <c r="AG878" s="287"/>
      <c r="AH878" s="287"/>
    </row>
    <row r="879" customFormat="false" ht="15.75" hidden="false" customHeight="true" outlineLevel="0" collapsed="false">
      <c r="T879" s="98"/>
      <c r="U879" s="9"/>
      <c r="V879" s="98"/>
      <c r="W879" s="9"/>
      <c r="X879" s="9"/>
      <c r="Y879" s="9"/>
      <c r="Z879" s="9"/>
      <c r="AA879" s="42"/>
      <c r="AB879" s="285"/>
      <c r="AC879" s="286"/>
      <c r="AD879" s="287"/>
      <c r="AE879" s="288"/>
      <c r="AF879" s="287"/>
      <c r="AG879" s="287"/>
      <c r="AH879" s="287"/>
    </row>
    <row r="880" customFormat="false" ht="15.75" hidden="false" customHeight="true" outlineLevel="0" collapsed="false">
      <c r="T880" s="98"/>
      <c r="U880" s="9"/>
      <c r="V880" s="98"/>
      <c r="W880" s="9"/>
      <c r="X880" s="9"/>
      <c r="Y880" s="9"/>
      <c r="Z880" s="9"/>
      <c r="AA880" s="42"/>
      <c r="AB880" s="285"/>
      <c r="AC880" s="286"/>
      <c r="AD880" s="287"/>
      <c r="AE880" s="288"/>
      <c r="AF880" s="287"/>
      <c r="AG880" s="287"/>
      <c r="AH880" s="287"/>
    </row>
    <row r="881" customFormat="false" ht="15.75" hidden="false" customHeight="true" outlineLevel="0" collapsed="false">
      <c r="T881" s="98"/>
      <c r="U881" s="9"/>
      <c r="V881" s="98"/>
      <c r="W881" s="9"/>
      <c r="X881" s="9"/>
      <c r="Y881" s="9"/>
      <c r="Z881" s="9"/>
      <c r="AA881" s="42"/>
      <c r="AB881" s="285"/>
      <c r="AC881" s="286"/>
      <c r="AD881" s="287"/>
      <c r="AE881" s="288"/>
      <c r="AF881" s="287"/>
      <c r="AG881" s="287"/>
      <c r="AH881" s="287"/>
    </row>
    <row r="882" customFormat="false" ht="15.75" hidden="false" customHeight="true" outlineLevel="0" collapsed="false">
      <c r="T882" s="98"/>
      <c r="U882" s="9"/>
      <c r="V882" s="98"/>
      <c r="W882" s="9"/>
      <c r="X882" s="9"/>
      <c r="Y882" s="9"/>
      <c r="Z882" s="9"/>
      <c r="AA882" s="42"/>
      <c r="AB882" s="285"/>
      <c r="AC882" s="286"/>
      <c r="AD882" s="287"/>
      <c r="AE882" s="288"/>
      <c r="AF882" s="287"/>
      <c r="AG882" s="287"/>
      <c r="AH882" s="287"/>
    </row>
    <row r="883" customFormat="false" ht="15.75" hidden="false" customHeight="true" outlineLevel="0" collapsed="false">
      <c r="T883" s="98"/>
      <c r="U883" s="9"/>
      <c r="V883" s="98"/>
      <c r="W883" s="9"/>
      <c r="X883" s="9"/>
      <c r="Y883" s="9"/>
      <c r="Z883" s="9"/>
      <c r="AA883" s="42"/>
      <c r="AB883" s="285"/>
      <c r="AC883" s="286"/>
      <c r="AD883" s="287"/>
      <c r="AE883" s="288"/>
      <c r="AF883" s="287"/>
      <c r="AG883" s="287"/>
      <c r="AH883" s="287"/>
    </row>
    <row r="884" customFormat="false" ht="15.75" hidden="false" customHeight="true" outlineLevel="0" collapsed="false">
      <c r="T884" s="98"/>
      <c r="U884" s="9"/>
      <c r="V884" s="98"/>
      <c r="W884" s="9"/>
      <c r="X884" s="9"/>
      <c r="Y884" s="9"/>
      <c r="Z884" s="9"/>
      <c r="AA884" s="42"/>
      <c r="AB884" s="285"/>
      <c r="AC884" s="286"/>
      <c r="AD884" s="287"/>
      <c r="AE884" s="288"/>
      <c r="AF884" s="287"/>
      <c r="AG884" s="287"/>
      <c r="AH884" s="287"/>
    </row>
    <row r="885" customFormat="false" ht="15.75" hidden="false" customHeight="true" outlineLevel="0" collapsed="false">
      <c r="T885" s="98"/>
      <c r="U885" s="9"/>
      <c r="V885" s="98"/>
      <c r="W885" s="9"/>
      <c r="X885" s="9"/>
      <c r="Y885" s="9"/>
      <c r="Z885" s="9"/>
      <c r="AA885" s="42"/>
      <c r="AB885" s="285"/>
      <c r="AC885" s="286"/>
      <c r="AD885" s="287"/>
      <c r="AE885" s="288"/>
      <c r="AF885" s="287"/>
      <c r="AG885" s="287"/>
      <c r="AH885" s="287"/>
    </row>
    <row r="886" customFormat="false" ht="15.75" hidden="false" customHeight="true" outlineLevel="0" collapsed="false">
      <c r="T886" s="98"/>
      <c r="U886" s="9"/>
      <c r="V886" s="98"/>
      <c r="W886" s="9"/>
      <c r="X886" s="9"/>
      <c r="Y886" s="9"/>
      <c r="Z886" s="9"/>
      <c r="AA886" s="42"/>
      <c r="AB886" s="285"/>
      <c r="AC886" s="286"/>
      <c r="AD886" s="287"/>
      <c r="AE886" s="288"/>
      <c r="AF886" s="287"/>
      <c r="AG886" s="287"/>
      <c r="AH886" s="287"/>
    </row>
    <row r="887" customFormat="false" ht="15.75" hidden="false" customHeight="true" outlineLevel="0" collapsed="false">
      <c r="T887" s="98"/>
      <c r="U887" s="9"/>
      <c r="V887" s="98"/>
      <c r="W887" s="9"/>
      <c r="X887" s="9"/>
      <c r="Y887" s="9"/>
      <c r="Z887" s="9"/>
      <c r="AA887" s="42"/>
      <c r="AB887" s="285"/>
      <c r="AC887" s="286"/>
      <c r="AD887" s="287"/>
      <c r="AE887" s="288"/>
      <c r="AF887" s="287"/>
      <c r="AG887" s="287"/>
      <c r="AH887" s="287"/>
    </row>
    <row r="888" customFormat="false" ht="15.75" hidden="false" customHeight="true" outlineLevel="0" collapsed="false">
      <c r="T888" s="98"/>
      <c r="U888" s="9"/>
      <c r="V888" s="98"/>
      <c r="W888" s="9"/>
      <c r="X888" s="9"/>
      <c r="Y888" s="9"/>
      <c r="Z888" s="9"/>
      <c r="AA888" s="42"/>
      <c r="AB888" s="285"/>
      <c r="AC888" s="286"/>
      <c r="AD888" s="287"/>
      <c r="AE888" s="288"/>
      <c r="AF888" s="287"/>
      <c r="AG888" s="287"/>
      <c r="AH888" s="287"/>
    </row>
    <row r="889" customFormat="false" ht="15.75" hidden="false" customHeight="true" outlineLevel="0" collapsed="false">
      <c r="T889" s="98"/>
      <c r="U889" s="9"/>
      <c r="V889" s="98"/>
      <c r="W889" s="9"/>
      <c r="X889" s="9"/>
      <c r="Y889" s="9"/>
      <c r="Z889" s="9"/>
      <c r="AA889" s="42"/>
      <c r="AB889" s="285"/>
      <c r="AC889" s="286"/>
      <c r="AD889" s="287"/>
      <c r="AE889" s="288"/>
      <c r="AF889" s="287"/>
      <c r="AG889" s="287"/>
      <c r="AH889" s="287"/>
    </row>
    <row r="890" customFormat="false" ht="15.75" hidden="false" customHeight="true" outlineLevel="0" collapsed="false">
      <c r="T890" s="98"/>
      <c r="U890" s="9"/>
      <c r="V890" s="98"/>
      <c r="W890" s="9"/>
      <c r="X890" s="9"/>
      <c r="Y890" s="9"/>
      <c r="Z890" s="9"/>
      <c r="AA890" s="42"/>
      <c r="AB890" s="285"/>
      <c r="AC890" s="286"/>
      <c r="AD890" s="287"/>
      <c r="AE890" s="288"/>
      <c r="AF890" s="287"/>
      <c r="AG890" s="287"/>
      <c r="AH890" s="287"/>
    </row>
    <row r="891" customFormat="false" ht="15.75" hidden="false" customHeight="true" outlineLevel="0" collapsed="false">
      <c r="T891" s="98"/>
      <c r="U891" s="9"/>
      <c r="V891" s="98"/>
      <c r="W891" s="9"/>
      <c r="X891" s="9"/>
      <c r="Y891" s="9"/>
      <c r="Z891" s="9"/>
      <c r="AA891" s="42"/>
      <c r="AB891" s="285"/>
      <c r="AC891" s="286"/>
      <c r="AD891" s="287"/>
      <c r="AE891" s="288"/>
      <c r="AF891" s="287"/>
      <c r="AG891" s="287"/>
      <c r="AH891" s="287"/>
    </row>
    <row r="892" customFormat="false" ht="15.75" hidden="false" customHeight="true" outlineLevel="0" collapsed="false">
      <c r="T892" s="98"/>
      <c r="U892" s="9"/>
      <c r="V892" s="98"/>
      <c r="W892" s="9"/>
      <c r="X892" s="9"/>
      <c r="Y892" s="9"/>
      <c r="Z892" s="9"/>
      <c r="AA892" s="42"/>
      <c r="AB892" s="285"/>
      <c r="AC892" s="286"/>
      <c r="AD892" s="287"/>
      <c r="AE892" s="288"/>
      <c r="AF892" s="287"/>
      <c r="AG892" s="287"/>
      <c r="AH892" s="287"/>
    </row>
    <row r="893" customFormat="false" ht="15.75" hidden="false" customHeight="true" outlineLevel="0" collapsed="false">
      <c r="T893" s="98"/>
      <c r="U893" s="9"/>
      <c r="V893" s="98"/>
      <c r="W893" s="9"/>
      <c r="X893" s="9"/>
      <c r="Y893" s="9"/>
      <c r="Z893" s="9"/>
      <c r="AA893" s="42"/>
      <c r="AB893" s="285"/>
      <c r="AC893" s="286"/>
      <c r="AD893" s="287"/>
      <c r="AE893" s="288"/>
      <c r="AF893" s="287"/>
      <c r="AG893" s="287"/>
      <c r="AH893" s="287"/>
    </row>
    <row r="894" customFormat="false" ht="15.75" hidden="false" customHeight="true" outlineLevel="0" collapsed="false">
      <c r="T894" s="98"/>
      <c r="U894" s="9"/>
      <c r="V894" s="98"/>
      <c r="W894" s="9"/>
      <c r="X894" s="9"/>
      <c r="Y894" s="9"/>
      <c r="Z894" s="9"/>
      <c r="AA894" s="42"/>
      <c r="AB894" s="285"/>
      <c r="AC894" s="286"/>
      <c r="AD894" s="287"/>
      <c r="AE894" s="288"/>
      <c r="AF894" s="287"/>
      <c r="AG894" s="287"/>
      <c r="AH894" s="287"/>
    </row>
    <row r="895" customFormat="false" ht="15.75" hidden="false" customHeight="true" outlineLevel="0" collapsed="false">
      <c r="T895" s="98"/>
      <c r="U895" s="9"/>
      <c r="V895" s="98"/>
      <c r="W895" s="9"/>
      <c r="X895" s="9"/>
      <c r="Y895" s="9"/>
      <c r="Z895" s="9"/>
      <c r="AA895" s="42"/>
      <c r="AB895" s="285"/>
      <c r="AC895" s="286"/>
      <c r="AD895" s="287"/>
      <c r="AE895" s="288"/>
      <c r="AF895" s="287"/>
      <c r="AG895" s="287"/>
      <c r="AH895" s="287"/>
    </row>
    <row r="896" customFormat="false" ht="15.75" hidden="false" customHeight="true" outlineLevel="0" collapsed="false">
      <c r="T896" s="98"/>
      <c r="U896" s="9"/>
      <c r="V896" s="98"/>
      <c r="W896" s="9"/>
      <c r="X896" s="9"/>
      <c r="Y896" s="9"/>
      <c r="Z896" s="9"/>
      <c r="AA896" s="42"/>
      <c r="AB896" s="285"/>
      <c r="AC896" s="286"/>
      <c r="AD896" s="287"/>
      <c r="AE896" s="288"/>
      <c r="AF896" s="287"/>
      <c r="AG896" s="287"/>
      <c r="AH896" s="287"/>
    </row>
    <row r="897" customFormat="false" ht="15.75" hidden="false" customHeight="true" outlineLevel="0" collapsed="false">
      <c r="T897" s="98"/>
      <c r="U897" s="9"/>
      <c r="V897" s="98"/>
      <c r="W897" s="9"/>
      <c r="X897" s="9"/>
      <c r="Y897" s="9"/>
      <c r="Z897" s="9"/>
      <c r="AA897" s="42"/>
      <c r="AB897" s="285"/>
      <c r="AC897" s="286"/>
      <c r="AD897" s="287"/>
      <c r="AE897" s="288"/>
      <c r="AF897" s="287"/>
      <c r="AG897" s="287"/>
      <c r="AH897" s="287"/>
    </row>
    <row r="898" customFormat="false" ht="15.75" hidden="false" customHeight="true" outlineLevel="0" collapsed="false">
      <c r="T898" s="98"/>
      <c r="U898" s="9"/>
      <c r="V898" s="98"/>
      <c r="W898" s="9"/>
      <c r="X898" s="9"/>
      <c r="Y898" s="9"/>
      <c r="Z898" s="9"/>
      <c r="AA898" s="42"/>
      <c r="AB898" s="285"/>
      <c r="AC898" s="286"/>
      <c r="AD898" s="287"/>
      <c r="AE898" s="288"/>
      <c r="AF898" s="287"/>
      <c r="AG898" s="287"/>
      <c r="AH898" s="287"/>
    </row>
    <row r="899" customFormat="false" ht="15.75" hidden="false" customHeight="true" outlineLevel="0" collapsed="false">
      <c r="T899" s="98"/>
      <c r="U899" s="9"/>
      <c r="V899" s="98"/>
      <c r="W899" s="9"/>
      <c r="X899" s="9"/>
      <c r="Y899" s="9"/>
      <c r="Z899" s="9"/>
      <c r="AA899" s="42"/>
      <c r="AB899" s="285"/>
      <c r="AC899" s="286"/>
      <c r="AD899" s="287"/>
      <c r="AE899" s="288"/>
      <c r="AF899" s="287"/>
      <c r="AG899" s="287"/>
      <c r="AH899" s="287"/>
    </row>
    <row r="900" customFormat="false" ht="15.75" hidden="false" customHeight="true" outlineLevel="0" collapsed="false">
      <c r="T900" s="98"/>
      <c r="U900" s="9"/>
      <c r="V900" s="98"/>
      <c r="W900" s="9"/>
      <c r="X900" s="9"/>
      <c r="Y900" s="9"/>
      <c r="Z900" s="9"/>
      <c r="AA900" s="42"/>
      <c r="AB900" s="285"/>
      <c r="AC900" s="286"/>
      <c r="AD900" s="287"/>
      <c r="AE900" s="288"/>
      <c r="AF900" s="287"/>
      <c r="AG900" s="287"/>
      <c r="AH900" s="287"/>
    </row>
    <row r="901" customFormat="false" ht="15.75" hidden="false" customHeight="true" outlineLevel="0" collapsed="false">
      <c r="T901" s="98"/>
      <c r="U901" s="9"/>
      <c r="V901" s="98"/>
      <c r="W901" s="9"/>
      <c r="X901" s="9"/>
      <c r="Y901" s="9"/>
      <c r="Z901" s="9"/>
      <c r="AA901" s="42"/>
      <c r="AB901" s="285"/>
      <c r="AC901" s="286"/>
      <c r="AD901" s="287"/>
      <c r="AE901" s="288"/>
      <c r="AF901" s="287"/>
      <c r="AG901" s="287"/>
      <c r="AH901" s="287"/>
    </row>
    <row r="902" customFormat="false" ht="15.75" hidden="false" customHeight="true" outlineLevel="0" collapsed="false">
      <c r="T902" s="98"/>
      <c r="U902" s="9"/>
      <c r="V902" s="98"/>
      <c r="W902" s="9"/>
      <c r="X902" s="9"/>
      <c r="Y902" s="9"/>
      <c r="Z902" s="9"/>
      <c r="AA902" s="42"/>
      <c r="AB902" s="285"/>
      <c r="AC902" s="286"/>
      <c r="AD902" s="287"/>
      <c r="AE902" s="288"/>
      <c r="AF902" s="287"/>
      <c r="AG902" s="287"/>
      <c r="AH902" s="287"/>
    </row>
    <row r="903" customFormat="false" ht="15.75" hidden="false" customHeight="true" outlineLevel="0" collapsed="false">
      <c r="T903" s="98"/>
      <c r="U903" s="9"/>
      <c r="V903" s="98"/>
      <c r="W903" s="9"/>
      <c r="X903" s="9"/>
      <c r="Y903" s="9"/>
      <c r="Z903" s="9"/>
      <c r="AA903" s="42"/>
      <c r="AB903" s="285"/>
      <c r="AC903" s="286"/>
      <c r="AD903" s="287"/>
      <c r="AE903" s="288"/>
      <c r="AF903" s="287"/>
      <c r="AG903" s="287"/>
      <c r="AH903" s="287"/>
    </row>
    <row r="904" customFormat="false" ht="15.75" hidden="false" customHeight="true" outlineLevel="0" collapsed="false">
      <c r="T904" s="98"/>
      <c r="U904" s="9"/>
      <c r="V904" s="98"/>
      <c r="W904" s="9"/>
      <c r="X904" s="9"/>
      <c r="Y904" s="9"/>
      <c r="Z904" s="9"/>
      <c r="AA904" s="42"/>
      <c r="AB904" s="285"/>
      <c r="AC904" s="286"/>
      <c r="AD904" s="287"/>
      <c r="AE904" s="288"/>
      <c r="AF904" s="287"/>
      <c r="AG904" s="287"/>
      <c r="AH904" s="287"/>
    </row>
    <row r="905" customFormat="false" ht="15.75" hidden="false" customHeight="true" outlineLevel="0" collapsed="false">
      <c r="T905" s="98"/>
      <c r="U905" s="9"/>
      <c r="V905" s="98"/>
      <c r="W905" s="9"/>
      <c r="X905" s="9"/>
      <c r="Y905" s="9"/>
      <c r="Z905" s="9"/>
      <c r="AA905" s="42"/>
      <c r="AB905" s="285"/>
      <c r="AC905" s="286"/>
      <c r="AD905" s="287"/>
      <c r="AE905" s="288"/>
      <c r="AF905" s="287"/>
      <c r="AG905" s="287"/>
      <c r="AH905" s="287"/>
    </row>
    <row r="906" customFormat="false" ht="15.75" hidden="false" customHeight="true" outlineLevel="0" collapsed="false">
      <c r="T906" s="98"/>
      <c r="U906" s="9"/>
      <c r="V906" s="98"/>
      <c r="W906" s="9"/>
      <c r="X906" s="9"/>
      <c r="Y906" s="9"/>
      <c r="Z906" s="9"/>
      <c r="AA906" s="42"/>
      <c r="AB906" s="285"/>
      <c r="AC906" s="286"/>
      <c r="AD906" s="287"/>
      <c r="AE906" s="288"/>
      <c r="AF906" s="287"/>
      <c r="AG906" s="287"/>
      <c r="AH906" s="287"/>
    </row>
    <row r="907" customFormat="false" ht="15.75" hidden="false" customHeight="true" outlineLevel="0" collapsed="false">
      <c r="T907" s="98"/>
      <c r="U907" s="9"/>
      <c r="V907" s="98"/>
      <c r="W907" s="9"/>
      <c r="X907" s="9"/>
      <c r="Y907" s="9"/>
      <c r="Z907" s="9"/>
      <c r="AA907" s="42"/>
      <c r="AB907" s="285"/>
      <c r="AC907" s="286"/>
      <c r="AD907" s="287"/>
      <c r="AE907" s="288"/>
      <c r="AF907" s="287"/>
      <c r="AG907" s="287"/>
      <c r="AH907" s="287"/>
    </row>
    <row r="908" customFormat="false" ht="15.75" hidden="false" customHeight="true" outlineLevel="0" collapsed="false">
      <c r="T908" s="98"/>
      <c r="U908" s="9"/>
      <c r="V908" s="98"/>
      <c r="W908" s="9"/>
      <c r="X908" s="9"/>
      <c r="Y908" s="9"/>
      <c r="Z908" s="9"/>
      <c r="AA908" s="42"/>
      <c r="AB908" s="285"/>
      <c r="AC908" s="286"/>
      <c r="AD908" s="287"/>
      <c r="AE908" s="288"/>
      <c r="AF908" s="287"/>
      <c r="AG908" s="287"/>
      <c r="AH908" s="287"/>
    </row>
    <row r="909" customFormat="false" ht="15.75" hidden="false" customHeight="true" outlineLevel="0" collapsed="false">
      <c r="T909" s="98"/>
      <c r="U909" s="9"/>
      <c r="V909" s="98"/>
      <c r="W909" s="9"/>
      <c r="X909" s="9"/>
      <c r="Y909" s="9"/>
      <c r="Z909" s="9"/>
      <c r="AA909" s="42"/>
      <c r="AB909" s="285"/>
      <c r="AC909" s="286"/>
      <c r="AD909" s="287"/>
      <c r="AE909" s="288"/>
      <c r="AF909" s="287"/>
      <c r="AG909" s="287"/>
      <c r="AH909" s="287"/>
    </row>
    <row r="910" customFormat="false" ht="15.75" hidden="false" customHeight="true" outlineLevel="0" collapsed="false">
      <c r="T910" s="98"/>
      <c r="U910" s="9"/>
      <c r="V910" s="98"/>
      <c r="W910" s="9"/>
      <c r="X910" s="9"/>
      <c r="Y910" s="9"/>
      <c r="Z910" s="9"/>
      <c r="AA910" s="42"/>
      <c r="AB910" s="285"/>
      <c r="AC910" s="286"/>
      <c r="AD910" s="287"/>
      <c r="AE910" s="288"/>
      <c r="AF910" s="287"/>
      <c r="AG910" s="287"/>
      <c r="AH910" s="287"/>
    </row>
    <row r="911" customFormat="false" ht="15.75" hidden="false" customHeight="true" outlineLevel="0" collapsed="false">
      <c r="T911" s="98"/>
      <c r="U911" s="9"/>
      <c r="V911" s="98"/>
      <c r="W911" s="9"/>
      <c r="X911" s="9"/>
      <c r="Y911" s="9"/>
      <c r="Z911" s="9"/>
      <c r="AA911" s="42"/>
      <c r="AB911" s="285"/>
      <c r="AC911" s="286"/>
      <c r="AD911" s="287"/>
      <c r="AE911" s="288"/>
      <c r="AF911" s="287"/>
      <c r="AG911" s="287"/>
      <c r="AH911" s="287"/>
    </row>
    <row r="912" customFormat="false" ht="15.75" hidden="false" customHeight="true" outlineLevel="0" collapsed="false">
      <c r="T912" s="98"/>
      <c r="U912" s="9"/>
      <c r="V912" s="98"/>
      <c r="W912" s="9"/>
      <c r="X912" s="9"/>
      <c r="Y912" s="9"/>
      <c r="Z912" s="9"/>
      <c r="AA912" s="42"/>
      <c r="AB912" s="285"/>
      <c r="AC912" s="286"/>
      <c r="AD912" s="287"/>
      <c r="AE912" s="288"/>
      <c r="AF912" s="287"/>
      <c r="AG912" s="287"/>
      <c r="AH912" s="287"/>
    </row>
    <row r="913" customFormat="false" ht="15.75" hidden="false" customHeight="true" outlineLevel="0" collapsed="false">
      <c r="T913" s="98"/>
      <c r="U913" s="9"/>
      <c r="V913" s="98"/>
      <c r="W913" s="9"/>
      <c r="X913" s="9"/>
      <c r="Y913" s="9"/>
      <c r="Z913" s="9"/>
      <c r="AA913" s="42"/>
      <c r="AB913" s="285"/>
      <c r="AC913" s="286"/>
      <c r="AD913" s="287"/>
      <c r="AE913" s="288"/>
      <c r="AF913" s="287"/>
      <c r="AG913" s="287"/>
      <c r="AH913" s="287"/>
    </row>
    <row r="914" customFormat="false" ht="15.75" hidden="false" customHeight="true" outlineLevel="0" collapsed="false">
      <c r="T914" s="98"/>
      <c r="U914" s="9"/>
      <c r="V914" s="98"/>
      <c r="W914" s="9"/>
      <c r="X914" s="9"/>
      <c r="Y914" s="9"/>
      <c r="Z914" s="9"/>
      <c r="AA914" s="42"/>
      <c r="AB914" s="285"/>
      <c r="AC914" s="286"/>
      <c r="AD914" s="287"/>
      <c r="AE914" s="288"/>
      <c r="AF914" s="287"/>
      <c r="AG914" s="287"/>
      <c r="AH914" s="287"/>
    </row>
    <row r="915" customFormat="false" ht="15.75" hidden="false" customHeight="true" outlineLevel="0" collapsed="false">
      <c r="T915" s="98"/>
      <c r="U915" s="9"/>
      <c r="V915" s="98"/>
      <c r="W915" s="9"/>
      <c r="X915" s="9"/>
      <c r="Y915" s="9"/>
      <c r="Z915" s="9"/>
      <c r="AA915" s="42"/>
      <c r="AB915" s="285"/>
      <c r="AC915" s="286"/>
      <c r="AD915" s="287"/>
      <c r="AE915" s="288"/>
      <c r="AF915" s="287"/>
      <c r="AG915" s="287"/>
      <c r="AH915" s="287"/>
    </row>
    <row r="916" customFormat="false" ht="15.75" hidden="false" customHeight="true" outlineLevel="0" collapsed="false">
      <c r="T916" s="98"/>
      <c r="U916" s="9"/>
      <c r="V916" s="98"/>
      <c r="W916" s="9"/>
      <c r="X916" s="9"/>
      <c r="Y916" s="9"/>
      <c r="Z916" s="9"/>
      <c r="AA916" s="42"/>
      <c r="AB916" s="285"/>
      <c r="AC916" s="286"/>
      <c r="AD916" s="287"/>
      <c r="AE916" s="288"/>
      <c r="AF916" s="287"/>
      <c r="AG916" s="287"/>
      <c r="AH916" s="287"/>
    </row>
    <row r="917" customFormat="false" ht="15.75" hidden="false" customHeight="true" outlineLevel="0" collapsed="false">
      <c r="T917" s="98"/>
      <c r="U917" s="9"/>
      <c r="V917" s="98"/>
      <c r="W917" s="9"/>
      <c r="X917" s="9"/>
      <c r="Y917" s="9"/>
      <c r="Z917" s="9"/>
      <c r="AA917" s="42"/>
      <c r="AB917" s="285"/>
      <c r="AC917" s="286"/>
      <c r="AD917" s="287"/>
      <c r="AE917" s="288"/>
      <c r="AF917" s="287"/>
      <c r="AG917" s="287"/>
      <c r="AH917" s="287"/>
    </row>
    <row r="918" customFormat="false" ht="15.75" hidden="false" customHeight="true" outlineLevel="0" collapsed="false">
      <c r="T918" s="98"/>
      <c r="U918" s="9"/>
      <c r="V918" s="98"/>
      <c r="W918" s="9"/>
      <c r="X918" s="9"/>
      <c r="Y918" s="9"/>
      <c r="Z918" s="9"/>
      <c r="AA918" s="42"/>
      <c r="AB918" s="285"/>
      <c r="AC918" s="286"/>
      <c r="AD918" s="287"/>
      <c r="AE918" s="288"/>
      <c r="AF918" s="287"/>
      <c r="AG918" s="287"/>
      <c r="AH918" s="287"/>
    </row>
    <row r="919" customFormat="false" ht="15.75" hidden="false" customHeight="true" outlineLevel="0" collapsed="false">
      <c r="T919" s="98"/>
      <c r="U919" s="9"/>
      <c r="V919" s="98"/>
      <c r="W919" s="9"/>
      <c r="X919" s="9"/>
      <c r="Y919" s="9"/>
      <c r="Z919" s="9"/>
      <c r="AA919" s="42"/>
      <c r="AB919" s="285"/>
      <c r="AC919" s="286"/>
      <c r="AD919" s="287"/>
      <c r="AE919" s="288"/>
      <c r="AF919" s="287"/>
      <c r="AG919" s="287"/>
      <c r="AH919" s="287"/>
    </row>
    <row r="920" customFormat="false" ht="15.75" hidden="false" customHeight="true" outlineLevel="0" collapsed="false">
      <c r="T920" s="98"/>
      <c r="U920" s="9"/>
      <c r="V920" s="98"/>
      <c r="W920" s="9"/>
      <c r="X920" s="9"/>
      <c r="Y920" s="9"/>
      <c r="Z920" s="9"/>
      <c r="AA920" s="42"/>
      <c r="AB920" s="285"/>
      <c r="AC920" s="286"/>
      <c r="AD920" s="287"/>
      <c r="AE920" s="288"/>
      <c r="AF920" s="287"/>
      <c r="AG920" s="287"/>
      <c r="AH920" s="287"/>
    </row>
    <row r="921" customFormat="false" ht="15.75" hidden="false" customHeight="true" outlineLevel="0" collapsed="false">
      <c r="T921" s="98"/>
      <c r="U921" s="9"/>
      <c r="V921" s="98"/>
      <c r="W921" s="9"/>
      <c r="X921" s="9"/>
      <c r="Y921" s="9"/>
      <c r="Z921" s="9"/>
      <c r="AA921" s="42"/>
      <c r="AB921" s="285"/>
      <c r="AC921" s="286"/>
      <c r="AD921" s="287"/>
      <c r="AE921" s="288"/>
      <c r="AF921" s="287"/>
      <c r="AG921" s="287"/>
      <c r="AH921" s="287"/>
    </row>
    <row r="922" customFormat="false" ht="15.75" hidden="false" customHeight="true" outlineLevel="0" collapsed="false">
      <c r="T922" s="98"/>
      <c r="U922" s="9"/>
      <c r="V922" s="98"/>
      <c r="W922" s="9"/>
      <c r="X922" s="9"/>
      <c r="Y922" s="9"/>
      <c r="Z922" s="9"/>
      <c r="AA922" s="42"/>
      <c r="AB922" s="285"/>
      <c r="AC922" s="286"/>
      <c r="AD922" s="287"/>
      <c r="AE922" s="288"/>
      <c r="AF922" s="287"/>
      <c r="AG922" s="287"/>
      <c r="AH922" s="287"/>
    </row>
    <row r="923" customFormat="false" ht="15.75" hidden="false" customHeight="true" outlineLevel="0" collapsed="false">
      <c r="T923" s="98"/>
      <c r="U923" s="9"/>
      <c r="V923" s="98"/>
      <c r="W923" s="9"/>
      <c r="X923" s="9"/>
      <c r="Y923" s="9"/>
      <c r="Z923" s="9"/>
      <c r="AA923" s="42"/>
      <c r="AB923" s="285"/>
      <c r="AC923" s="286"/>
      <c r="AD923" s="287"/>
      <c r="AE923" s="288"/>
      <c r="AF923" s="287"/>
      <c r="AG923" s="287"/>
      <c r="AH923" s="287"/>
    </row>
    <row r="924" customFormat="false" ht="15.75" hidden="false" customHeight="true" outlineLevel="0" collapsed="false">
      <c r="T924" s="98"/>
      <c r="U924" s="9"/>
      <c r="V924" s="98"/>
      <c r="W924" s="9"/>
      <c r="X924" s="9"/>
      <c r="Y924" s="9"/>
      <c r="Z924" s="9"/>
      <c r="AA924" s="42"/>
      <c r="AB924" s="285"/>
      <c r="AC924" s="286"/>
      <c r="AD924" s="287"/>
      <c r="AE924" s="288"/>
      <c r="AF924" s="287"/>
      <c r="AG924" s="287"/>
      <c r="AH924" s="287"/>
    </row>
    <row r="925" customFormat="false" ht="15.75" hidden="false" customHeight="true" outlineLevel="0" collapsed="false">
      <c r="T925" s="98"/>
      <c r="U925" s="9"/>
      <c r="V925" s="98"/>
      <c r="W925" s="9"/>
      <c r="X925" s="9"/>
      <c r="Y925" s="9"/>
      <c r="Z925" s="9"/>
      <c r="AA925" s="42"/>
      <c r="AB925" s="285"/>
      <c r="AC925" s="286"/>
      <c r="AD925" s="287"/>
      <c r="AE925" s="288"/>
      <c r="AF925" s="287"/>
      <c r="AG925" s="287"/>
      <c r="AH925" s="287"/>
    </row>
    <row r="926" customFormat="false" ht="15.75" hidden="false" customHeight="true" outlineLevel="0" collapsed="false">
      <c r="T926" s="98"/>
      <c r="U926" s="9"/>
      <c r="V926" s="98"/>
      <c r="W926" s="9"/>
      <c r="X926" s="9"/>
      <c r="Y926" s="9"/>
      <c r="Z926" s="9"/>
      <c r="AA926" s="42"/>
      <c r="AB926" s="285"/>
      <c r="AC926" s="286"/>
      <c r="AD926" s="287"/>
      <c r="AE926" s="288"/>
      <c r="AF926" s="287"/>
      <c r="AG926" s="287"/>
      <c r="AH926" s="287"/>
    </row>
    <row r="927" customFormat="false" ht="15.75" hidden="false" customHeight="true" outlineLevel="0" collapsed="false">
      <c r="T927" s="98"/>
      <c r="U927" s="9"/>
      <c r="V927" s="98"/>
      <c r="W927" s="9"/>
      <c r="X927" s="9"/>
      <c r="Y927" s="9"/>
      <c r="Z927" s="9"/>
      <c r="AA927" s="42"/>
      <c r="AB927" s="285"/>
      <c r="AC927" s="286"/>
      <c r="AD927" s="287"/>
      <c r="AE927" s="288"/>
      <c r="AF927" s="287"/>
      <c r="AG927" s="287"/>
      <c r="AH927" s="287"/>
    </row>
    <row r="928" customFormat="false" ht="15.75" hidden="false" customHeight="true" outlineLevel="0" collapsed="false">
      <c r="T928" s="98"/>
      <c r="U928" s="9"/>
      <c r="V928" s="98"/>
      <c r="W928" s="9"/>
      <c r="X928" s="9"/>
      <c r="Y928" s="9"/>
      <c r="Z928" s="9"/>
      <c r="AA928" s="42"/>
      <c r="AB928" s="285"/>
      <c r="AC928" s="286"/>
      <c r="AD928" s="287"/>
      <c r="AE928" s="288"/>
      <c r="AF928" s="287"/>
      <c r="AG928" s="287"/>
      <c r="AH928" s="287"/>
    </row>
    <row r="929" customFormat="false" ht="15.75" hidden="false" customHeight="true" outlineLevel="0" collapsed="false">
      <c r="T929" s="98"/>
      <c r="U929" s="9"/>
      <c r="V929" s="98"/>
      <c r="W929" s="9"/>
      <c r="X929" s="9"/>
      <c r="Y929" s="9"/>
      <c r="Z929" s="9"/>
      <c r="AA929" s="42"/>
      <c r="AB929" s="285"/>
      <c r="AC929" s="286"/>
      <c r="AD929" s="287"/>
      <c r="AE929" s="288"/>
      <c r="AF929" s="287"/>
      <c r="AG929" s="287"/>
      <c r="AH929" s="287"/>
    </row>
    <row r="930" customFormat="false" ht="15.75" hidden="false" customHeight="true" outlineLevel="0" collapsed="false">
      <c r="T930" s="98"/>
      <c r="U930" s="9"/>
      <c r="V930" s="98"/>
      <c r="W930" s="9"/>
      <c r="X930" s="9"/>
      <c r="Y930" s="9"/>
      <c r="Z930" s="9"/>
      <c r="AA930" s="42"/>
      <c r="AB930" s="285"/>
      <c r="AC930" s="286"/>
      <c r="AD930" s="287"/>
      <c r="AE930" s="288"/>
      <c r="AF930" s="287"/>
      <c r="AG930" s="287"/>
      <c r="AH930" s="287"/>
    </row>
    <row r="931" customFormat="false" ht="15.75" hidden="false" customHeight="true" outlineLevel="0" collapsed="false">
      <c r="T931" s="98"/>
      <c r="U931" s="9"/>
      <c r="V931" s="98"/>
      <c r="W931" s="9"/>
      <c r="X931" s="9"/>
      <c r="Y931" s="9"/>
      <c r="Z931" s="9"/>
      <c r="AA931" s="42"/>
      <c r="AB931" s="285"/>
      <c r="AC931" s="286"/>
      <c r="AD931" s="287"/>
      <c r="AE931" s="288"/>
      <c r="AF931" s="287"/>
      <c r="AG931" s="287"/>
      <c r="AH931" s="287"/>
    </row>
    <row r="932" customFormat="false" ht="15.75" hidden="false" customHeight="true" outlineLevel="0" collapsed="false">
      <c r="T932" s="98"/>
      <c r="U932" s="9"/>
      <c r="V932" s="98"/>
      <c r="W932" s="9"/>
      <c r="X932" s="9"/>
      <c r="Y932" s="9"/>
      <c r="Z932" s="9"/>
      <c r="AA932" s="42"/>
      <c r="AB932" s="285"/>
      <c r="AC932" s="286"/>
      <c r="AD932" s="287"/>
      <c r="AE932" s="288"/>
      <c r="AF932" s="287"/>
      <c r="AG932" s="287"/>
      <c r="AH932" s="287"/>
    </row>
    <row r="933" customFormat="false" ht="15.75" hidden="false" customHeight="true" outlineLevel="0" collapsed="false">
      <c r="T933" s="98"/>
      <c r="U933" s="9"/>
      <c r="V933" s="98"/>
      <c r="W933" s="9"/>
      <c r="X933" s="9"/>
      <c r="Y933" s="9"/>
      <c r="Z933" s="9"/>
      <c r="AA933" s="42"/>
      <c r="AB933" s="285"/>
      <c r="AC933" s="286"/>
      <c r="AD933" s="287"/>
      <c r="AE933" s="288"/>
      <c r="AF933" s="287"/>
      <c r="AG933" s="287"/>
      <c r="AH933" s="287"/>
    </row>
    <row r="934" customFormat="false" ht="15.75" hidden="false" customHeight="true" outlineLevel="0" collapsed="false">
      <c r="T934" s="98"/>
      <c r="U934" s="9"/>
      <c r="V934" s="98"/>
      <c r="W934" s="9"/>
      <c r="X934" s="9"/>
      <c r="Y934" s="9"/>
      <c r="Z934" s="9"/>
      <c r="AA934" s="42"/>
      <c r="AB934" s="285"/>
      <c r="AC934" s="286"/>
      <c r="AD934" s="287"/>
      <c r="AE934" s="288"/>
      <c r="AF934" s="287"/>
      <c r="AG934" s="287"/>
      <c r="AH934" s="287"/>
    </row>
    <row r="935" customFormat="false" ht="15.75" hidden="false" customHeight="true" outlineLevel="0" collapsed="false">
      <c r="T935" s="98"/>
      <c r="U935" s="9"/>
      <c r="V935" s="98"/>
      <c r="W935" s="9"/>
      <c r="X935" s="9"/>
      <c r="Y935" s="9"/>
      <c r="Z935" s="9"/>
      <c r="AA935" s="42"/>
      <c r="AB935" s="285"/>
      <c r="AC935" s="286"/>
      <c r="AD935" s="287"/>
      <c r="AE935" s="288"/>
      <c r="AF935" s="287"/>
      <c r="AG935" s="287"/>
      <c r="AH935" s="287"/>
    </row>
    <row r="936" customFormat="false" ht="15.75" hidden="false" customHeight="true" outlineLevel="0" collapsed="false">
      <c r="T936" s="98"/>
      <c r="U936" s="9"/>
      <c r="V936" s="98"/>
      <c r="W936" s="9"/>
      <c r="X936" s="9"/>
      <c r="Y936" s="9"/>
      <c r="Z936" s="9"/>
      <c r="AA936" s="42"/>
      <c r="AB936" s="285"/>
      <c r="AC936" s="286"/>
      <c r="AD936" s="287"/>
      <c r="AE936" s="288"/>
      <c r="AF936" s="287"/>
      <c r="AG936" s="287"/>
      <c r="AH936" s="287"/>
    </row>
    <row r="937" customFormat="false" ht="15.75" hidden="false" customHeight="true" outlineLevel="0" collapsed="false">
      <c r="T937" s="98"/>
      <c r="U937" s="9"/>
      <c r="V937" s="98"/>
      <c r="W937" s="9"/>
      <c r="X937" s="9"/>
      <c r="Y937" s="9"/>
      <c r="Z937" s="9"/>
      <c r="AA937" s="42"/>
      <c r="AB937" s="285"/>
      <c r="AC937" s="286"/>
      <c r="AD937" s="287"/>
      <c r="AE937" s="288"/>
      <c r="AF937" s="287"/>
      <c r="AG937" s="287"/>
      <c r="AH937" s="287"/>
    </row>
    <row r="938" customFormat="false" ht="15.75" hidden="false" customHeight="true" outlineLevel="0" collapsed="false">
      <c r="T938" s="98"/>
      <c r="U938" s="9"/>
      <c r="V938" s="98"/>
      <c r="W938" s="9"/>
      <c r="X938" s="9"/>
      <c r="Y938" s="9"/>
      <c r="Z938" s="9"/>
      <c r="AA938" s="42"/>
      <c r="AB938" s="285"/>
      <c r="AC938" s="286"/>
      <c r="AD938" s="287"/>
      <c r="AE938" s="288"/>
      <c r="AF938" s="287"/>
      <c r="AG938" s="287"/>
      <c r="AH938" s="287"/>
    </row>
    <row r="939" customFormat="false" ht="15.75" hidden="false" customHeight="true" outlineLevel="0" collapsed="false">
      <c r="T939" s="98"/>
      <c r="U939" s="9"/>
      <c r="V939" s="98"/>
      <c r="W939" s="9"/>
      <c r="X939" s="9"/>
      <c r="Y939" s="9"/>
      <c r="Z939" s="9"/>
      <c r="AA939" s="42"/>
      <c r="AB939" s="285"/>
      <c r="AC939" s="286"/>
      <c r="AD939" s="287"/>
      <c r="AE939" s="288"/>
      <c r="AF939" s="287"/>
      <c r="AG939" s="287"/>
      <c r="AH939" s="287"/>
    </row>
    <row r="940" customFormat="false" ht="15.75" hidden="false" customHeight="true" outlineLevel="0" collapsed="false">
      <c r="T940" s="98"/>
      <c r="U940" s="9"/>
      <c r="V940" s="98"/>
      <c r="W940" s="9"/>
      <c r="X940" s="9"/>
      <c r="Y940" s="9"/>
      <c r="Z940" s="9"/>
      <c r="AA940" s="42"/>
      <c r="AB940" s="285"/>
      <c r="AC940" s="286"/>
      <c r="AD940" s="287"/>
      <c r="AE940" s="288"/>
      <c r="AF940" s="287"/>
      <c r="AG940" s="287"/>
      <c r="AH940" s="287"/>
    </row>
    <row r="941" customFormat="false" ht="15.75" hidden="false" customHeight="true" outlineLevel="0" collapsed="false">
      <c r="T941" s="98"/>
      <c r="U941" s="9"/>
      <c r="V941" s="98"/>
      <c r="W941" s="9"/>
      <c r="X941" s="9"/>
      <c r="Y941" s="9"/>
      <c r="Z941" s="9"/>
      <c r="AA941" s="42"/>
      <c r="AB941" s="285"/>
      <c r="AC941" s="286"/>
      <c r="AD941" s="287"/>
      <c r="AE941" s="288"/>
      <c r="AF941" s="287"/>
      <c r="AG941" s="287"/>
      <c r="AH941" s="287"/>
    </row>
    <row r="942" customFormat="false" ht="15.75" hidden="false" customHeight="true" outlineLevel="0" collapsed="false">
      <c r="T942" s="98"/>
      <c r="U942" s="9"/>
      <c r="V942" s="98"/>
      <c r="W942" s="9"/>
      <c r="X942" s="9"/>
      <c r="Y942" s="9"/>
      <c r="Z942" s="9"/>
      <c r="AA942" s="42"/>
      <c r="AB942" s="285"/>
      <c r="AC942" s="286"/>
      <c r="AD942" s="287"/>
      <c r="AE942" s="288"/>
      <c r="AF942" s="287"/>
      <c r="AG942" s="287"/>
      <c r="AH942" s="287"/>
    </row>
    <row r="943" customFormat="false" ht="15.75" hidden="false" customHeight="true" outlineLevel="0" collapsed="false">
      <c r="T943" s="98"/>
      <c r="U943" s="9"/>
      <c r="V943" s="98"/>
      <c r="W943" s="9"/>
      <c r="X943" s="9"/>
      <c r="Y943" s="9"/>
      <c r="Z943" s="9"/>
      <c r="AA943" s="42"/>
      <c r="AB943" s="285"/>
      <c r="AC943" s="286"/>
      <c r="AD943" s="287"/>
      <c r="AE943" s="288"/>
      <c r="AF943" s="287"/>
      <c r="AG943" s="287"/>
      <c r="AH943" s="287"/>
    </row>
    <row r="944" customFormat="false" ht="15.75" hidden="false" customHeight="true" outlineLevel="0" collapsed="false">
      <c r="T944" s="98"/>
      <c r="U944" s="9"/>
      <c r="V944" s="98"/>
      <c r="W944" s="9"/>
      <c r="X944" s="9"/>
      <c r="Y944" s="9"/>
      <c r="Z944" s="9"/>
      <c r="AA944" s="42"/>
      <c r="AB944" s="285"/>
      <c r="AC944" s="286"/>
      <c r="AD944" s="287"/>
      <c r="AE944" s="288"/>
      <c r="AF944" s="287"/>
      <c r="AG944" s="287"/>
      <c r="AH944" s="287"/>
    </row>
    <row r="945" customFormat="false" ht="15.75" hidden="false" customHeight="true" outlineLevel="0" collapsed="false">
      <c r="T945" s="98"/>
      <c r="U945" s="9"/>
      <c r="V945" s="98"/>
      <c r="W945" s="9"/>
      <c r="X945" s="9"/>
      <c r="Y945" s="9"/>
      <c r="Z945" s="9"/>
      <c r="AA945" s="42"/>
      <c r="AB945" s="285"/>
      <c r="AC945" s="286"/>
      <c r="AD945" s="287"/>
      <c r="AE945" s="288"/>
      <c r="AF945" s="287"/>
      <c r="AG945" s="287"/>
      <c r="AH945" s="287"/>
    </row>
    <row r="946" customFormat="false" ht="15.75" hidden="false" customHeight="true" outlineLevel="0" collapsed="false">
      <c r="F946" s="287"/>
      <c r="G946" s="286"/>
      <c r="H946" s="286"/>
      <c r="I946" s="266"/>
      <c r="J946" s="266"/>
      <c r="K946" s="287"/>
      <c r="L946" s="286"/>
      <c r="M946" s="286"/>
      <c r="N946" s="286"/>
      <c r="O946" s="286"/>
      <c r="P946" s="266"/>
      <c r="Q946" s="286"/>
      <c r="R946" s="286"/>
      <c r="S946" s="286"/>
      <c r="T946" s="98"/>
      <c r="U946" s="9"/>
      <c r="V946" s="98"/>
      <c r="W946" s="9"/>
      <c r="X946" s="9"/>
      <c r="Y946" s="9"/>
      <c r="Z946" s="9"/>
      <c r="AA946" s="42"/>
      <c r="AB946" s="285"/>
      <c r="AC946" s="286"/>
      <c r="AD946" s="287"/>
      <c r="AE946" s="288"/>
      <c r="AF946" s="287"/>
      <c r="AG946" s="287"/>
      <c r="AH946" s="287"/>
    </row>
    <row r="947" customFormat="false" ht="15.75" hidden="false" customHeight="true" outlineLevel="0" collapsed="false">
      <c r="F947" s="287"/>
      <c r="G947" s="286"/>
      <c r="H947" s="286"/>
      <c r="I947" s="266"/>
      <c r="J947" s="266"/>
      <c r="K947" s="287"/>
      <c r="L947" s="286"/>
      <c r="M947" s="286"/>
      <c r="N947" s="286"/>
      <c r="O947" s="286"/>
      <c r="P947" s="266"/>
      <c r="Q947" s="286"/>
      <c r="R947" s="286"/>
      <c r="S947" s="286"/>
      <c r="T947" s="98"/>
      <c r="U947" s="9"/>
      <c r="V947" s="98"/>
      <c r="W947" s="9"/>
      <c r="X947" s="9"/>
      <c r="Y947" s="9"/>
      <c r="Z947" s="9"/>
      <c r="AA947" s="42"/>
      <c r="AB947" s="285"/>
      <c r="AC947" s="286"/>
      <c r="AD947" s="287"/>
      <c r="AE947" s="288"/>
      <c r="AF947" s="287"/>
      <c r="AG947" s="287"/>
      <c r="AH947" s="287"/>
    </row>
    <row r="948" customFormat="false" ht="15.75" hidden="false" customHeight="true" outlineLevel="0" collapsed="false">
      <c r="F948" s="287"/>
      <c r="G948" s="286"/>
      <c r="H948" s="286"/>
      <c r="I948" s="266"/>
      <c r="J948" s="266"/>
      <c r="K948" s="287"/>
      <c r="L948" s="286"/>
      <c r="M948" s="286"/>
      <c r="N948" s="286"/>
      <c r="O948" s="286"/>
      <c r="P948" s="266"/>
      <c r="Q948" s="286"/>
      <c r="R948" s="286"/>
      <c r="S948" s="286"/>
      <c r="T948" s="98"/>
      <c r="U948" s="9"/>
      <c r="V948" s="98"/>
      <c r="W948" s="9"/>
      <c r="X948" s="9"/>
      <c r="Y948" s="9"/>
      <c r="Z948" s="9"/>
      <c r="AA948" s="42"/>
      <c r="AB948" s="285"/>
      <c r="AC948" s="286"/>
      <c r="AD948" s="287"/>
      <c r="AE948" s="288"/>
      <c r="AF948" s="287"/>
      <c r="AG948" s="287"/>
      <c r="AH948" s="287"/>
    </row>
    <row r="949" customFormat="false" ht="15.75" hidden="false" customHeight="true" outlineLevel="0" collapsed="false">
      <c r="F949" s="287"/>
      <c r="G949" s="286"/>
      <c r="H949" s="286"/>
      <c r="I949" s="266"/>
      <c r="J949" s="266"/>
      <c r="K949" s="287"/>
      <c r="L949" s="286"/>
      <c r="M949" s="286"/>
      <c r="N949" s="286"/>
      <c r="O949" s="286"/>
      <c r="P949" s="266"/>
      <c r="Q949" s="286"/>
      <c r="R949" s="286"/>
      <c r="S949" s="286"/>
      <c r="T949" s="98"/>
      <c r="U949" s="9"/>
      <c r="V949" s="98"/>
      <c r="W949" s="9"/>
      <c r="X949" s="9"/>
      <c r="Y949" s="9"/>
      <c r="Z949" s="9"/>
      <c r="AA949" s="42"/>
      <c r="AB949" s="285"/>
      <c r="AC949" s="286"/>
      <c r="AD949" s="287"/>
      <c r="AE949" s="288"/>
      <c r="AF949" s="287"/>
      <c r="AG949" s="287"/>
      <c r="AH949" s="287"/>
    </row>
    <row r="950" customFormat="false" ht="15.75" hidden="false" customHeight="true" outlineLevel="0" collapsed="false">
      <c r="F950" s="287"/>
      <c r="G950" s="286"/>
      <c r="H950" s="286"/>
      <c r="I950" s="266"/>
      <c r="J950" s="266"/>
      <c r="K950" s="287"/>
      <c r="L950" s="286"/>
      <c r="M950" s="286"/>
      <c r="N950" s="286"/>
      <c r="O950" s="286"/>
      <c r="P950" s="266"/>
      <c r="Q950" s="286"/>
      <c r="R950" s="286"/>
      <c r="S950" s="286"/>
      <c r="T950" s="98"/>
      <c r="U950" s="9"/>
      <c r="V950" s="98"/>
      <c r="W950" s="9"/>
      <c r="X950" s="9"/>
      <c r="Y950" s="9"/>
      <c r="Z950" s="9"/>
      <c r="AA950" s="42"/>
      <c r="AB950" s="285"/>
      <c r="AC950" s="286"/>
      <c r="AD950" s="287"/>
      <c r="AE950" s="288"/>
      <c r="AF950" s="287"/>
      <c r="AG950" s="287"/>
      <c r="AH950" s="287"/>
    </row>
    <row r="951" customFormat="false" ht="15.75" hidden="false" customHeight="true" outlineLevel="0" collapsed="false">
      <c r="F951" s="287"/>
      <c r="G951" s="286"/>
      <c r="H951" s="286"/>
      <c r="I951" s="266"/>
      <c r="J951" s="266"/>
      <c r="K951" s="287"/>
      <c r="L951" s="286"/>
      <c r="M951" s="286"/>
      <c r="N951" s="286"/>
      <c r="O951" s="286"/>
      <c r="P951" s="266"/>
      <c r="Q951" s="286"/>
      <c r="R951" s="286"/>
      <c r="S951" s="286"/>
      <c r="T951" s="98"/>
      <c r="U951" s="9"/>
      <c r="V951" s="98"/>
      <c r="W951" s="9"/>
      <c r="X951" s="9"/>
      <c r="Y951" s="9"/>
      <c r="Z951" s="9"/>
      <c r="AA951" s="42"/>
      <c r="AB951" s="285"/>
      <c r="AC951" s="286"/>
      <c r="AD951" s="287"/>
      <c r="AE951" s="288"/>
      <c r="AF951" s="287"/>
      <c r="AG951" s="287"/>
      <c r="AH951" s="287"/>
    </row>
    <row r="952" customFormat="false" ht="15.75" hidden="false" customHeight="true" outlineLevel="0" collapsed="false">
      <c r="F952" s="287"/>
      <c r="G952" s="286"/>
      <c r="H952" s="286"/>
      <c r="I952" s="266"/>
      <c r="J952" s="266"/>
      <c r="K952" s="287"/>
      <c r="L952" s="286"/>
      <c r="M952" s="286"/>
      <c r="N952" s="286"/>
      <c r="O952" s="286"/>
      <c r="P952" s="266"/>
      <c r="Q952" s="286"/>
      <c r="R952" s="286"/>
      <c r="S952" s="286"/>
      <c r="T952" s="98"/>
      <c r="U952" s="9"/>
      <c r="V952" s="98"/>
      <c r="W952" s="9"/>
      <c r="X952" s="9"/>
      <c r="Y952" s="9"/>
      <c r="Z952" s="9"/>
      <c r="AA952" s="42"/>
      <c r="AB952" s="285"/>
      <c r="AC952" s="286"/>
      <c r="AD952" s="287"/>
      <c r="AE952" s="288"/>
      <c r="AF952" s="287"/>
      <c r="AG952" s="287"/>
      <c r="AH952" s="287"/>
    </row>
    <row r="953" customFormat="false" ht="15.75" hidden="false" customHeight="true" outlineLevel="0" collapsed="false">
      <c r="F953" s="287"/>
      <c r="G953" s="286"/>
      <c r="H953" s="286"/>
      <c r="I953" s="266"/>
      <c r="J953" s="266"/>
      <c r="K953" s="287"/>
      <c r="L953" s="286"/>
      <c r="M953" s="286"/>
      <c r="N953" s="286"/>
      <c r="O953" s="286"/>
      <c r="P953" s="266"/>
      <c r="Q953" s="286"/>
      <c r="R953" s="286"/>
      <c r="S953" s="286"/>
      <c r="T953" s="98"/>
      <c r="U953" s="9"/>
      <c r="V953" s="98"/>
      <c r="W953" s="9"/>
      <c r="X953" s="9"/>
      <c r="Y953" s="9"/>
      <c r="Z953" s="9"/>
      <c r="AA953" s="42"/>
      <c r="AB953" s="285"/>
      <c r="AC953" s="286"/>
      <c r="AD953" s="287"/>
      <c r="AE953" s="288"/>
      <c r="AF953" s="287"/>
      <c r="AG953" s="287"/>
      <c r="AH953" s="287"/>
    </row>
    <row r="954" customFormat="false" ht="15.75" hidden="false" customHeight="true" outlineLevel="0" collapsed="false">
      <c r="F954" s="287"/>
      <c r="G954" s="286"/>
      <c r="H954" s="286"/>
      <c r="I954" s="266"/>
      <c r="J954" s="266"/>
      <c r="K954" s="287"/>
      <c r="L954" s="286"/>
      <c r="M954" s="286"/>
      <c r="N954" s="286"/>
      <c r="O954" s="286"/>
      <c r="P954" s="266"/>
      <c r="Q954" s="286"/>
      <c r="R954" s="286"/>
      <c r="S954" s="286"/>
      <c r="T954" s="98"/>
      <c r="U954" s="9"/>
      <c r="V954" s="98"/>
      <c r="W954" s="9"/>
      <c r="X954" s="9"/>
      <c r="Y954" s="9"/>
      <c r="Z954" s="9"/>
      <c r="AA954" s="42"/>
      <c r="AB954" s="285"/>
      <c r="AC954" s="286"/>
      <c r="AD954" s="287"/>
      <c r="AE954" s="288"/>
      <c r="AF954" s="287"/>
      <c r="AG954" s="287"/>
      <c r="AH954" s="287"/>
    </row>
    <row r="955" customFormat="false" ht="15.75" hidden="false" customHeight="true" outlineLevel="0" collapsed="false">
      <c r="F955" s="287"/>
      <c r="G955" s="286"/>
      <c r="H955" s="286"/>
      <c r="I955" s="266"/>
      <c r="J955" s="266"/>
      <c r="K955" s="287"/>
      <c r="L955" s="286"/>
      <c r="M955" s="286"/>
      <c r="N955" s="286"/>
      <c r="O955" s="286"/>
      <c r="P955" s="266"/>
      <c r="Q955" s="286"/>
      <c r="R955" s="286"/>
      <c r="S955" s="286"/>
      <c r="T955" s="98"/>
      <c r="U955" s="9"/>
      <c r="V955" s="98"/>
      <c r="W955" s="9"/>
      <c r="X955" s="9"/>
      <c r="Y955" s="9"/>
      <c r="Z955" s="9"/>
      <c r="AA955" s="42"/>
      <c r="AB955" s="285"/>
      <c r="AC955" s="286"/>
      <c r="AD955" s="287"/>
      <c r="AE955" s="288"/>
      <c r="AF955" s="287"/>
      <c r="AG955" s="287"/>
      <c r="AH955" s="287"/>
    </row>
    <row r="956" customFormat="false" ht="15.75" hidden="false" customHeight="true" outlineLevel="0" collapsed="false">
      <c r="F956" s="287"/>
      <c r="G956" s="286"/>
      <c r="H956" s="286"/>
      <c r="I956" s="266"/>
      <c r="J956" s="266"/>
      <c r="K956" s="287"/>
      <c r="L956" s="286"/>
      <c r="M956" s="286"/>
      <c r="N956" s="286"/>
      <c r="O956" s="286"/>
      <c r="P956" s="266"/>
      <c r="Q956" s="286"/>
      <c r="R956" s="286"/>
      <c r="S956" s="286"/>
      <c r="T956" s="98"/>
      <c r="U956" s="9"/>
      <c r="V956" s="98"/>
      <c r="W956" s="9"/>
      <c r="X956" s="9"/>
      <c r="Y956" s="9"/>
      <c r="Z956" s="9"/>
      <c r="AA956" s="42"/>
      <c r="AB956" s="285"/>
      <c r="AC956" s="286"/>
      <c r="AD956" s="287"/>
      <c r="AE956" s="288"/>
      <c r="AF956" s="287"/>
      <c r="AG956" s="287"/>
      <c r="AH956" s="287"/>
    </row>
    <row r="957" customFormat="false" ht="15.75" hidden="false" customHeight="true" outlineLevel="0" collapsed="false">
      <c r="F957" s="287"/>
      <c r="G957" s="286"/>
      <c r="H957" s="286"/>
      <c r="I957" s="266"/>
      <c r="J957" s="266"/>
      <c r="K957" s="287"/>
      <c r="L957" s="286"/>
      <c r="M957" s="286"/>
      <c r="N957" s="286"/>
      <c r="O957" s="286"/>
      <c r="P957" s="266"/>
      <c r="Q957" s="286"/>
      <c r="R957" s="286"/>
      <c r="S957" s="286"/>
      <c r="T957" s="98"/>
      <c r="U957" s="9"/>
      <c r="V957" s="98"/>
      <c r="W957" s="9"/>
      <c r="X957" s="9"/>
      <c r="Y957" s="9"/>
      <c r="Z957" s="9"/>
      <c r="AA957" s="42"/>
      <c r="AB957" s="285"/>
      <c r="AC957" s="286"/>
      <c r="AD957" s="287"/>
      <c r="AE957" s="288"/>
      <c r="AF957" s="287"/>
      <c r="AG957" s="287"/>
      <c r="AH957" s="287"/>
    </row>
    <row r="958" customFormat="false" ht="15.75" hidden="false" customHeight="true" outlineLevel="0" collapsed="false">
      <c r="F958" s="287"/>
      <c r="G958" s="286"/>
      <c r="H958" s="286"/>
      <c r="I958" s="266"/>
      <c r="J958" s="266"/>
      <c r="K958" s="287"/>
      <c r="L958" s="286"/>
      <c r="M958" s="286"/>
      <c r="N958" s="286"/>
      <c r="O958" s="286"/>
      <c r="P958" s="266"/>
      <c r="Q958" s="286"/>
      <c r="R958" s="286"/>
      <c r="S958" s="286"/>
      <c r="T958" s="98"/>
      <c r="U958" s="9"/>
      <c r="V958" s="98"/>
      <c r="W958" s="9"/>
      <c r="X958" s="9"/>
      <c r="Y958" s="9"/>
      <c r="Z958" s="9"/>
      <c r="AA958" s="42"/>
      <c r="AB958" s="285"/>
      <c r="AC958" s="286"/>
      <c r="AD958" s="287"/>
      <c r="AE958" s="288"/>
      <c r="AF958" s="287"/>
      <c r="AG958" s="287"/>
      <c r="AH958" s="287"/>
    </row>
    <row r="959" customFormat="false" ht="15.75" hidden="false" customHeight="true" outlineLevel="0" collapsed="false">
      <c r="F959" s="287"/>
      <c r="G959" s="286"/>
      <c r="H959" s="286"/>
      <c r="I959" s="266"/>
      <c r="J959" s="266"/>
      <c r="K959" s="287"/>
      <c r="L959" s="286"/>
      <c r="M959" s="286"/>
      <c r="N959" s="286"/>
      <c r="O959" s="286"/>
      <c r="P959" s="266"/>
      <c r="Q959" s="286"/>
      <c r="R959" s="286"/>
      <c r="S959" s="286"/>
      <c r="T959" s="98"/>
      <c r="U959" s="9"/>
      <c r="V959" s="98"/>
      <c r="W959" s="9"/>
      <c r="X959" s="9"/>
      <c r="Y959" s="9"/>
      <c r="Z959" s="9"/>
      <c r="AA959" s="42"/>
      <c r="AB959" s="285"/>
      <c r="AC959" s="286"/>
      <c r="AD959" s="287"/>
      <c r="AE959" s="288"/>
      <c r="AF959" s="287"/>
      <c r="AG959" s="287"/>
      <c r="AH959" s="287"/>
    </row>
    <row r="960" customFormat="false" ht="15.75" hidden="false" customHeight="true" outlineLevel="0" collapsed="false">
      <c r="F960" s="287"/>
      <c r="G960" s="286"/>
      <c r="H960" s="286"/>
      <c r="I960" s="266"/>
      <c r="J960" s="266"/>
      <c r="K960" s="287"/>
      <c r="L960" s="286"/>
      <c r="M960" s="286"/>
      <c r="N960" s="286"/>
      <c r="O960" s="286"/>
      <c r="P960" s="266"/>
      <c r="Q960" s="286"/>
      <c r="R960" s="286"/>
      <c r="S960" s="286"/>
      <c r="T960" s="98"/>
      <c r="U960" s="9"/>
      <c r="V960" s="98"/>
      <c r="W960" s="9"/>
      <c r="X960" s="9"/>
      <c r="Y960" s="9"/>
      <c r="Z960" s="9"/>
      <c r="AA960" s="42"/>
      <c r="AB960" s="285"/>
      <c r="AC960" s="286"/>
      <c r="AD960" s="287"/>
      <c r="AE960" s="288"/>
      <c r="AF960" s="287"/>
      <c r="AG960" s="287"/>
      <c r="AH960" s="287"/>
    </row>
    <row r="961" customFormat="false" ht="15.75" hidden="false" customHeight="true" outlineLevel="0" collapsed="false">
      <c r="F961" s="287"/>
      <c r="G961" s="286"/>
      <c r="H961" s="286"/>
      <c r="I961" s="266"/>
      <c r="J961" s="266"/>
      <c r="K961" s="287"/>
      <c r="L961" s="286"/>
      <c r="M961" s="286"/>
      <c r="N961" s="286"/>
      <c r="O961" s="286"/>
      <c r="P961" s="266"/>
      <c r="Q961" s="286"/>
      <c r="R961" s="286"/>
      <c r="S961" s="286"/>
      <c r="T961" s="98"/>
      <c r="U961" s="9"/>
      <c r="V961" s="98"/>
      <c r="W961" s="9"/>
      <c r="X961" s="9"/>
      <c r="Y961" s="9"/>
      <c r="Z961" s="9"/>
      <c r="AA961" s="42"/>
      <c r="AB961" s="285"/>
      <c r="AC961" s="286"/>
      <c r="AD961" s="287"/>
      <c r="AE961" s="288"/>
      <c r="AF961" s="287"/>
      <c r="AG961" s="287"/>
      <c r="AH961" s="287"/>
    </row>
    <row r="962" customFormat="false" ht="15.75" hidden="false" customHeight="true" outlineLevel="0" collapsed="false">
      <c r="F962" s="287"/>
      <c r="G962" s="286"/>
      <c r="H962" s="286"/>
      <c r="I962" s="266"/>
      <c r="J962" s="266"/>
      <c r="K962" s="287"/>
      <c r="L962" s="286"/>
      <c r="M962" s="286"/>
      <c r="N962" s="286"/>
      <c r="O962" s="286"/>
      <c r="P962" s="266"/>
      <c r="Q962" s="286"/>
      <c r="R962" s="286"/>
      <c r="S962" s="286"/>
      <c r="T962" s="98"/>
      <c r="U962" s="9"/>
      <c r="V962" s="98"/>
      <c r="W962" s="9"/>
      <c r="X962" s="9"/>
      <c r="Y962" s="9"/>
      <c r="Z962" s="9"/>
      <c r="AA962" s="42"/>
      <c r="AB962" s="285"/>
      <c r="AC962" s="286"/>
      <c r="AD962" s="287"/>
      <c r="AE962" s="288"/>
      <c r="AF962" s="287"/>
      <c r="AG962" s="287"/>
      <c r="AH962" s="287"/>
    </row>
    <row r="963" customFormat="false" ht="15.75" hidden="false" customHeight="true" outlineLevel="0" collapsed="false">
      <c r="F963" s="287"/>
      <c r="G963" s="286"/>
      <c r="H963" s="286"/>
      <c r="I963" s="266"/>
      <c r="J963" s="266"/>
      <c r="K963" s="287"/>
      <c r="L963" s="286"/>
      <c r="M963" s="286"/>
      <c r="N963" s="286"/>
      <c r="O963" s="286"/>
      <c r="P963" s="266"/>
      <c r="Q963" s="286"/>
      <c r="R963" s="286"/>
      <c r="S963" s="286"/>
      <c r="T963" s="98"/>
      <c r="U963" s="9"/>
      <c r="V963" s="98"/>
      <c r="W963" s="9"/>
      <c r="X963" s="9"/>
      <c r="Y963" s="9"/>
      <c r="Z963" s="9"/>
      <c r="AA963" s="42"/>
      <c r="AB963" s="285"/>
      <c r="AC963" s="286"/>
      <c r="AD963" s="287"/>
      <c r="AE963" s="288"/>
      <c r="AF963" s="287"/>
      <c r="AG963" s="287"/>
      <c r="AH963" s="287"/>
    </row>
    <row r="964" customFormat="false" ht="15.75" hidden="false" customHeight="true" outlineLevel="0" collapsed="false">
      <c r="F964" s="287"/>
      <c r="G964" s="286"/>
      <c r="H964" s="286"/>
      <c r="I964" s="266"/>
      <c r="J964" s="266"/>
      <c r="K964" s="287"/>
      <c r="L964" s="286"/>
      <c r="M964" s="286"/>
      <c r="N964" s="286"/>
      <c r="O964" s="286"/>
      <c r="P964" s="266"/>
      <c r="Q964" s="286"/>
      <c r="R964" s="286"/>
      <c r="S964" s="286"/>
      <c r="T964" s="98"/>
      <c r="U964" s="9"/>
      <c r="V964" s="98"/>
      <c r="W964" s="9"/>
      <c r="X964" s="9"/>
      <c r="Y964" s="9"/>
      <c r="Z964" s="9"/>
      <c r="AA964" s="42"/>
      <c r="AB964" s="285"/>
      <c r="AC964" s="286"/>
      <c r="AD964" s="287"/>
      <c r="AE964" s="288"/>
      <c r="AF964" s="287"/>
      <c r="AG964" s="287"/>
      <c r="AH964" s="287"/>
    </row>
    <row r="965" customFormat="false" ht="15.75" hidden="false" customHeight="true" outlineLevel="0" collapsed="false">
      <c r="F965" s="287"/>
      <c r="G965" s="286"/>
      <c r="H965" s="286"/>
      <c r="I965" s="266"/>
      <c r="J965" s="266"/>
      <c r="K965" s="287"/>
      <c r="L965" s="286"/>
      <c r="M965" s="286"/>
      <c r="N965" s="286"/>
      <c r="O965" s="286"/>
      <c r="P965" s="266"/>
      <c r="Q965" s="286"/>
      <c r="R965" s="286"/>
      <c r="S965" s="286"/>
      <c r="T965" s="98"/>
      <c r="U965" s="9"/>
      <c r="V965" s="98"/>
      <c r="W965" s="9"/>
      <c r="X965" s="9"/>
      <c r="Y965" s="9"/>
      <c r="Z965" s="9"/>
      <c r="AA965" s="42"/>
      <c r="AB965" s="285"/>
      <c r="AC965" s="286"/>
      <c r="AD965" s="287"/>
      <c r="AE965" s="288"/>
      <c r="AF965" s="287"/>
      <c r="AG965" s="287"/>
      <c r="AH965" s="287"/>
    </row>
    <row r="966" customFormat="false" ht="15.75" hidden="false" customHeight="true" outlineLevel="0" collapsed="false">
      <c r="F966" s="287"/>
      <c r="G966" s="286"/>
      <c r="H966" s="286"/>
      <c r="I966" s="266"/>
      <c r="J966" s="266"/>
      <c r="K966" s="287"/>
      <c r="L966" s="286"/>
      <c r="M966" s="286"/>
      <c r="N966" s="286"/>
      <c r="O966" s="286"/>
      <c r="P966" s="266"/>
      <c r="Q966" s="286"/>
      <c r="R966" s="286"/>
      <c r="S966" s="286"/>
      <c r="T966" s="98"/>
      <c r="U966" s="9"/>
      <c r="V966" s="98"/>
      <c r="W966" s="9"/>
      <c r="X966" s="9"/>
      <c r="Y966" s="9"/>
      <c r="Z966" s="9"/>
      <c r="AA966" s="42"/>
      <c r="AB966" s="285"/>
      <c r="AC966" s="286"/>
      <c r="AD966" s="287"/>
      <c r="AE966" s="288"/>
      <c r="AF966" s="287"/>
      <c r="AG966" s="287"/>
      <c r="AH966" s="287"/>
    </row>
    <row r="967" customFormat="false" ht="15.75" hidden="false" customHeight="true" outlineLevel="0" collapsed="false">
      <c r="F967" s="287"/>
      <c r="G967" s="286"/>
      <c r="H967" s="286"/>
      <c r="I967" s="266"/>
      <c r="J967" s="266"/>
      <c r="K967" s="287"/>
      <c r="L967" s="286"/>
      <c r="M967" s="286"/>
      <c r="N967" s="286"/>
      <c r="O967" s="286"/>
      <c r="P967" s="266"/>
      <c r="Q967" s="286"/>
      <c r="R967" s="286"/>
      <c r="S967" s="286"/>
      <c r="T967" s="98"/>
      <c r="U967" s="9"/>
      <c r="V967" s="98"/>
      <c r="W967" s="9"/>
      <c r="X967" s="9"/>
      <c r="Y967" s="9"/>
      <c r="Z967" s="9"/>
      <c r="AA967" s="42"/>
      <c r="AB967" s="285"/>
      <c r="AC967" s="286"/>
      <c r="AD967" s="287"/>
      <c r="AE967" s="288"/>
      <c r="AF967" s="287"/>
      <c r="AG967" s="287"/>
      <c r="AH967" s="287"/>
    </row>
    <row r="968" customFormat="false" ht="15.75" hidden="false" customHeight="true" outlineLevel="0" collapsed="false">
      <c r="F968" s="287"/>
      <c r="G968" s="286"/>
      <c r="H968" s="286"/>
      <c r="I968" s="266"/>
      <c r="J968" s="266"/>
      <c r="K968" s="287"/>
      <c r="L968" s="286"/>
      <c r="M968" s="286"/>
      <c r="N968" s="286"/>
      <c r="O968" s="286"/>
      <c r="P968" s="266"/>
      <c r="Q968" s="286"/>
      <c r="R968" s="286"/>
      <c r="S968" s="286"/>
      <c r="T968" s="98"/>
      <c r="U968" s="9"/>
      <c r="V968" s="98"/>
      <c r="W968" s="9"/>
      <c r="X968" s="9"/>
      <c r="Y968" s="9"/>
      <c r="Z968" s="9"/>
      <c r="AA968" s="42"/>
      <c r="AB968" s="285"/>
      <c r="AC968" s="286"/>
      <c r="AD968" s="287"/>
      <c r="AE968" s="288"/>
      <c r="AF968" s="287"/>
      <c r="AG968" s="287"/>
      <c r="AH968" s="287"/>
    </row>
    <row r="969" customFormat="false" ht="13.5" hidden="false" customHeight="false" outlineLevel="0" collapsed="false">
      <c r="T969" s="98"/>
    </row>
    <row r="970" customFormat="false" ht="13.5" hidden="false" customHeight="false" outlineLevel="0" collapsed="false">
      <c r="T970" s="98"/>
    </row>
    <row r="971" customFormat="false" ht="13.5" hidden="false" customHeight="false" outlineLevel="0" collapsed="false">
      <c r="T971" s="98"/>
    </row>
    <row r="972" customFormat="false" ht="13.5" hidden="false" customHeight="false" outlineLevel="0" collapsed="false">
      <c r="T972" s="98"/>
    </row>
    <row r="973" customFormat="false" ht="13.5" hidden="false" customHeight="false" outlineLevel="0" collapsed="false">
      <c r="T973" s="98"/>
    </row>
    <row r="974" customFormat="false" ht="13.5" hidden="false" customHeight="false" outlineLevel="0" collapsed="false">
      <c r="T974" s="98"/>
    </row>
    <row r="975" customFormat="false" ht="13.5" hidden="false" customHeight="false" outlineLevel="0" collapsed="false">
      <c r="T975" s="98"/>
    </row>
    <row r="976" customFormat="false" ht="13.5" hidden="false" customHeight="false" outlineLevel="0" collapsed="false">
      <c r="T976" s="98"/>
    </row>
  </sheetData>
  <conditionalFormatting sqref="K1:K1048576">
    <cfRule type="containsText" priority="2" operator="containsText" aboveAverage="0" equalAverage="0" bottom="0" percent="0" rank="0" text="Vacant" dxfId="0">
      <formula>NOT(ISERROR(SEARCH("Vacant",K1)))</formula>
    </cfRule>
  </conditionalFormatting>
  <dataValidations count="1">
    <dataValidation allowBlank="true" errorStyle="stop" operator="lessThan" showDropDown="false" showErrorMessage="true" showInputMessage="true" sqref="P588" type="date">
      <formula1>44286</formula1>
      <formula2>0</formula2>
    </dataValidation>
  </dataValidations>
  <printOptions headings="false" gridLines="false" gridLinesSet="true" horizontalCentered="true" verticalCentered="false"/>
  <pageMargins left="0.511805555555556" right="0.39375" top="0.905555555555556" bottom="0.511805555555556" header="0.315277777777778" footer="0.315277777777778"/>
  <pageSetup paperSize="9" scale="58" fitToWidth="1" fitToHeight="1" pageOrder="downThenOver" orientation="landscape" blackAndWhite="false" draft="false" cellComments="none" horizontalDpi="300" verticalDpi="300" copies="1"/>
  <headerFooter differentFirst="false" differentOddEven="false">
    <oddHeader>&amp;CMOUNT EDEN LAND LIMITED _x005F_x000a_THE LANGHAM ESTATE _x005F_x000a_30th June 2025</oddHeader>
    <oddFooter>&amp;CPage &amp;P of &amp;N</oddFooter>
  </headerFooter>
  <rowBreaks count="29" manualBreakCount="29">
    <brk id="25" man="true" max="16383" min="0"/>
    <brk id="58" man="true" max="16383" min="0"/>
    <brk id="80" man="true" max="16383" min="0"/>
    <brk id="106" man="true" max="16383" min="0"/>
    <brk id="138" man="true" max="16383" min="0"/>
    <brk id="171" man="true" max="16383" min="0"/>
    <brk id="201" man="true" max="16383" min="0"/>
    <brk id="233" man="true" max="16383" min="0"/>
    <brk id="258" man="true" max="16383" min="0"/>
    <brk id="277" man="true" max="16383" min="0"/>
    <brk id="302" man="true" max="16383" min="0"/>
    <brk id="332" man="true" max="16383" min="0"/>
    <brk id="360" man="true" max="16383" min="0"/>
    <brk id="381" man="true" max="16383" min="0"/>
    <brk id="409" man="true" max="16383" min="0"/>
    <brk id="436" man="true" max="16383" min="0"/>
    <brk id="459" man="true" max="16383" min="0"/>
    <brk id="494" man="true" max="16383" min="0"/>
    <brk id="524" man="true" max="16383" min="0"/>
    <brk id="547" man="true" max="16383" min="0"/>
    <brk id="576" man="true" max="16383" min="0"/>
    <brk id="599" man="true" max="16383" min="0"/>
    <brk id="629" man="true" max="16383" min="0"/>
    <brk id="657" man="true" max="16383" min="0"/>
    <brk id="680" man="true" max="16383" min="0"/>
    <brk id="699" man="true" max="16383" min="0"/>
    <brk id="716" man="true" max="16383" min="0"/>
    <brk id="753" man="true" max="16383" min="0"/>
    <brk id="783" man="true" max="16383" min="0"/>
  </rowBreaks>
  <colBreaks count="1" manualBreakCount="1">
    <brk id="30" man="true" max="65535" min="0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AM197"/>
  <sheetViews>
    <sheetView showFormulas="false" showGridLines="true" showRowColHeaders="true" showZeros="true" rightToLeft="false" tabSelected="false" showOutlineSymbols="true" defaultGridColor="true" view="pageBreakPreview" topLeftCell="D1" colorId="64" zoomScale="100" zoomScaleNormal="85" zoomScalePageLayoutView="100" workbookViewId="0">
      <pane xSplit="0" ySplit="3" topLeftCell="A5" activePane="bottomLeft" state="frozen"/>
      <selection pane="topLeft" activeCell="D1" activeCellId="0" sqref="D1"/>
      <selection pane="bottomLeft" activeCell="H144" activeCellId="0" sqref="H144"/>
    </sheetView>
  </sheetViews>
  <sheetFormatPr defaultColWidth="8.83203125" defaultRowHeight="12.75" customHeight="true" zeroHeight="false" outlineLevelRow="0" outlineLevelCol="0"/>
  <cols>
    <col collapsed="false" customWidth="true" hidden="false" outlineLevel="0" max="1" min="1" style="1" width="3.5"/>
    <col collapsed="false" customWidth="true" hidden="false" outlineLevel="0" max="2" min="2" style="1" width="10.33"/>
    <col collapsed="false" customWidth="true" hidden="false" outlineLevel="0" max="3" min="3" style="1" width="6.33"/>
    <col collapsed="false" customWidth="true" hidden="false" outlineLevel="0" max="4" min="4" style="1" width="9.83"/>
    <col collapsed="false" customWidth="true" hidden="false" outlineLevel="0" max="5" min="5" style="1" width="31.83"/>
    <col collapsed="false" customWidth="true" hidden="false" outlineLevel="0" max="6" min="6" style="1" width="21.83"/>
    <col collapsed="false" customWidth="true" hidden="false" outlineLevel="0" max="7" min="7" style="1" width="15"/>
    <col collapsed="false" customWidth="true" hidden="false" outlineLevel="0" max="8" min="8" style="289" width="11.5"/>
    <col collapsed="false" customWidth="true" hidden="true" outlineLevel="0" max="9" min="9" style="1" width="6"/>
    <col collapsed="false" customWidth="true" hidden="false" outlineLevel="0" max="10" min="10" style="289" width="9.52"/>
    <col collapsed="false" customWidth="true" hidden="false" outlineLevel="0" max="11" min="11" style="290" width="14.33"/>
    <col collapsed="false" customWidth="true" hidden="true" outlineLevel="0" max="12" min="12" style="1" width="11.5"/>
    <col collapsed="false" customWidth="true" hidden="true" outlineLevel="0" max="13" min="13" style="1" width="9.33"/>
    <col collapsed="false" customWidth="true" hidden="false" outlineLevel="0" max="14" min="14" style="291" width="10.51"/>
    <col collapsed="false" customWidth="true" hidden="true" outlineLevel="0" max="15" min="15" style="16" width="11.16"/>
    <col collapsed="false" customWidth="true" hidden="true" outlineLevel="0" max="16" min="16" style="1" width="8.5"/>
    <col collapsed="false" customWidth="true" hidden="true" outlineLevel="0" max="17" min="17" style="1" width="10.16"/>
    <col collapsed="false" customWidth="true" hidden="true" outlineLevel="0" max="18" min="18" style="1" width="8"/>
    <col collapsed="false" customWidth="true" hidden="true" outlineLevel="0" max="19" min="19" style="1" width="7.16"/>
    <col collapsed="false" customWidth="true" hidden="true" outlineLevel="0" max="20" min="20" style="292" width="9"/>
    <col collapsed="false" customWidth="true" hidden="true" outlineLevel="0" max="21" min="21" style="292" width="7"/>
    <col collapsed="false" customWidth="true" hidden="false" outlineLevel="0" max="22" min="22" style="292" width="9.52"/>
    <col collapsed="false" customWidth="true" hidden="true" outlineLevel="0" max="23" min="23" style="292" width="6.51"/>
    <col collapsed="false" customWidth="true" hidden="false" outlineLevel="0" max="24" min="24" style="292" width="9.52"/>
    <col collapsed="false" customWidth="true" hidden="false" outlineLevel="0" max="25" min="25" style="293" width="9.52"/>
    <col collapsed="false" customWidth="true" hidden="false" outlineLevel="0" max="26" min="26" style="1" width="8.16"/>
    <col collapsed="false" customWidth="true" hidden="true" outlineLevel="0" max="27" min="27" style="1" width="7"/>
    <col collapsed="false" customWidth="true" hidden="true" outlineLevel="0" max="28" min="28" style="1" width="16"/>
    <col collapsed="false" customWidth="true" hidden="true" outlineLevel="0" max="29" min="29" style="1" width="9.52"/>
    <col collapsed="false" customWidth="true" hidden="false" outlineLevel="0" max="30" min="30" style="1" width="35.5"/>
    <col collapsed="false" customWidth="true" hidden="false" outlineLevel="0" max="31" min="31" style="294" width="10"/>
    <col collapsed="false" customWidth="true" hidden="false" outlineLevel="0" max="33" min="32" style="1" width="9.16"/>
    <col collapsed="false" customWidth="true" hidden="false" outlineLevel="0" max="34" min="34" style="1" width="24.67"/>
    <col collapsed="false" customWidth="true" hidden="false" outlineLevel="0" max="35" min="35" style="1" width="20.51"/>
    <col collapsed="false" customWidth="true" hidden="false" outlineLevel="0" max="38" min="38" style="1" width="13.16"/>
    <col collapsed="false" customWidth="true" hidden="false" outlineLevel="0" max="39" min="39" style="1" width="11.16"/>
  </cols>
  <sheetData>
    <row r="1" customFormat="false" ht="13.5" hidden="false" customHeight="true" outlineLevel="0" collapsed="false">
      <c r="B1" s="2"/>
      <c r="C1" s="3"/>
      <c r="D1" s="3"/>
      <c r="E1" s="3"/>
      <c r="F1" s="4"/>
      <c r="G1" s="5"/>
      <c r="H1" s="14"/>
      <c r="I1" s="6"/>
      <c r="J1" s="14"/>
      <c r="K1" s="5"/>
      <c r="L1" s="3"/>
      <c r="M1" s="7"/>
      <c r="N1" s="295"/>
      <c r="O1" s="8"/>
      <c r="P1" s="8"/>
      <c r="Q1" s="3"/>
      <c r="R1" s="3"/>
      <c r="S1" s="9"/>
      <c r="T1" s="296"/>
      <c r="U1" s="296"/>
      <c r="V1" s="297"/>
      <c r="W1" s="297"/>
      <c r="X1" s="297"/>
      <c r="Y1" s="298"/>
      <c r="Z1" s="10"/>
      <c r="AA1" s="11"/>
      <c r="AB1" s="10"/>
      <c r="AC1" s="11"/>
      <c r="AD1" s="11"/>
      <c r="AE1" s="299"/>
      <c r="AF1" s="13"/>
      <c r="AG1" s="3"/>
      <c r="AH1" s="4"/>
      <c r="AI1" s="4"/>
    </row>
    <row r="2" customFormat="false" ht="13.5" hidden="false" customHeight="true" outlineLevel="0" collapsed="false">
      <c r="B2" s="2"/>
      <c r="C2" s="3"/>
      <c r="D2" s="3"/>
      <c r="E2" s="3"/>
      <c r="F2" s="4"/>
      <c r="G2" s="5"/>
      <c r="H2" s="14"/>
      <c r="I2" s="3"/>
      <c r="J2" s="300"/>
      <c r="K2" s="5"/>
      <c r="L2" s="3"/>
      <c r="M2" s="7"/>
      <c r="N2" s="295"/>
      <c r="O2" s="8"/>
      <c r="P2" s="8"/>
      <c r="Q2" s="3"/>
      <c r="R2" s="3"/>
      <c r="S2" s="9"/>
      <c r="T2" s="297"/>
      <c r="U2" s="297"/>
      <c r="V2" s="297"/>
      <c r="W2" s="297"/>
      <c r="X2" s="297"/>
      <c r="Y2" s="298"/>
      <c r="Z2" s="10"/>
      <c r="AA2" s="3"/>
      <c r="AB2" s="10"/>
      <c r="AC2" s="3"/>
      <c r="AD2" s="3"/>
      <c r="AE2" s="299"/>
      <c r="AF2" s="13"/>
      <c r="AG2" s="3"/>
      <c r="AH2" s="4"/>
      <c r="AI2" s="4"/>
    </row>
    <row r="3" customFormat="false" ht="36" hidden="false" customHeight="true" outlineLevel="0" collapsed="false">
      <c r="A3" s="301"/>
      <c r="B3" s="17" t="s">
        <v>1</v>
      </c>
      <c r="C3" s="17" t="s">
        <v>2</v>
      </c>
      <c r="D3" s="18" t="s">
        <v>3</v>
      </c>
      <c r="E3" s="18" t="s">
        <v>4</v>
      </c>
      <c r="F3" s="18" t="s">
        <v>5</v>
      </c>
      <c r="G3" s="19" t="s">
        <v>6</v>
      </c>
      <c r="H3" s="25" t="s">
        <v>7</v>
      </c>
      <c r="I3" s="20" t="s">
        <v>8</v>
      </c>
      <c r="J3" s="25" t="s">
        <v>875</v>
      </c>
      <c r="K3" s="21" t="s">
        <v>10</v>
      </c>
      <c r="L3" s="22" t="s">
        <v>11</v>
      </c>
      <c r="M3" s="22" t="s">
        <v>12</v>
      </c>
      <c r="N3" s="302" t="s">
        <v>13</v>
      </c>
      <c r="O3" s="22" t="s">
        <v>14</v>
      </c>
      <c r="P3" s="22" t="s">
        <v>15</v>
      </c>
      <c r="Q3" s="23" t="s">
        <v>16</v>
      </c>
      <c r="R3" s="23" t="s">
        <v>17</v>
      </c>
      <c r="S3" s="23" t="s">
        <v>18</v>
      </c>
      <c r="T3" s="303" t="s">
        <v>19</v>
      </c>
      <c r="U3" s="303" t="s">
        <v>20</v>
      </c>
      <c r="V3" s="303" t="s">
        <v>21</v>
      </c>
      <c r="W3" s="303" t="s">
        <v>22</v>
      </c>
      <c r="X3" s="303" t="s">
        <v>23</v>
      </c>
      <c r="Y3" s="304"/>
      <c r="Z3" s="19" t="s">
        <v>25</v>
      </c>
      <c r="AA3" s="24" t="s">
        <v>26</v>
      </c>
      <c r="AB3" s="25" t="s">
        <v>27</v>
      </c>
      <c r="AC3" s="25" t="s">
        <v>28</v>
      </c>
      <c r="AD3" s="26" t="s">
        <v>29</v>
      </c>
      <c r="AE3" s="27" t="s">
        <v>30</v>
      </c>
      <c r="AF3" s="28" t="s">
        <v>31</v>
      </c>
      <c r="AG3" s="28" t="s">
        <v>32</v>
      </c>
      <c r="AH3" s="28" t="s">
        <v>33</v>
      </c>
      <c r="AI3" s="4"/>
    </row>
    <row r="4" customFormat="false" ht="28.5" hidden="false" customHeight="true" outlineLevel="0" collapsed="false">
      <c r="A4" s="29" t="n">
        <f aca="false">IFERROR(INDEX('Bank Schedule'!A:A, SMALL(IF('Bank Schedule'!$K$2:$K$825="Vacant", ROW('Bank Schedule'!$K$2:$K$825)), ROW(1:1))), "")</f>
        <v>0</v>
      </c>
      <c r="B4" s="29" t="str">
        <f aca="false" t="array" ref="B4:B4">IFERROR(INDEX('Bank Schedule'!B:B, SMALL(IF('Bank Schedule'!$K$2:$K$825="Vacant", ROW('Bank Schedule'!$K$2:$K$825)), ROW(1:1))), "")</f>
        <v>SH</v>
      </c>
      <c r="C4" s="29" t="str">
        <f aca="false" t="array" ref="C4:C4">IFERROR(INDEX('Bank Schedule'!C:C, SMALL(IF('Bank Schedule'!$K$2:$K$825="Vacant", ROW('Bank Schedule'!$K$2:$K$825)), ROW(1:1))), "")</f>
        <v>MEL</v>
      </c>
      <c r="D4" s="29" t="n">
        <f aca="false" t="array" ref="D4:D4">IFERROR(INDEX('Bank Schedule'!D:D, SMALL(IF('Bank Schedule'!$K$2:$K$825="Vacant", ROW('Bank Schedule'!$K$2:$K$825)), ROW(1:1))), "")</f>
        <v>550910</v>
      </c>
      <c r="E4" s="29" t="str">
        <f aca="false" t="array" ref="E4:E4">IFERROR(INDEX('Bank Schedule'!E:E, SMALL(IF('Bank Schedule'!$K$2:$K$825="Vacant", ROW('Bank Schedule'!$K$2:$K$825)), ROW(1:1))), "")</f>
        <v>22 and 23-25 Eastcastle Street</v>
      </c>
      <c r="F4" s="29" t="str">
        <f aca="false" t="array" ref="F4:F4">IFERROR(INDEX('Bank Schedule'!F:F, SMALL(IF('Bank Schedule'!$K$2:$K$825="Vacant", ROW('Bank Schedule'!$K$2:$K$825)), ROW(1:1))), "")</f>
        <v>Second Floor (23-25)</v>
      </c>
      <c r="G4" s="29" t="str">
        <f aca="false" t="array" ref="G4:G4">IFERROR(INDEX('Bank Schedule'!G:G, SMALL(IF('Bank Schedule'!$K$2:$K$825="Vacant", ROW('Bank Schedule'!$K$2:$K$825)), ROW(1:1))), "")</f>
        <v>Office</v>
      </c>
      <c r="H4" s="305" t="n">
        <f aca="false" t="array" ref="H4:H4">IFERROR(INDEX('Bank Schedule'!H:H, SMALL(IF('Bank Schedule'!$K$2:$K$825="Vacant", ROW('Bank Schedule'!$K$2:$K$825)), ROW(1:1))), "")</f>
        <v>2238</v>
      </c>
      <c r="I4" s="29" t="n">
        <f aca="false" t="array" ref="I4:I4">IFERROR(INDEX('Bank Schedule'!I:I, SMALL(IF('Bank Schedule'!$K$2:$K$825="Vacant", ROW('Bank Schedule'!$K$2:$K$825)), ROW(1:1))), "")</f>
        <v>2238</v>
      </c>
      <c r="J4" s="305" t="n">
        <f aca="false" t="array" ref="J4:J4">IFERROR(INDEX('Bank Schedule'!J:J, SMALL(IF('Bank Schedule'!$K$2:$K$825="Vacant", ROW('Bank Schedule'!$K$2:$K$825)), ROW(1:1))), "")</f>
        <v>2000</v>
      </c>
      <c r="K4" s="29" t="str">
        <f aca="false" t="array" ref="K4:K4">IFERROR(INDEX('Bank Schedule'!K:K, SMALL(IF('Bank Schedule'!$K$2:$K$825="Vacant", ROW('Bank Schedule'!$K$2:$K$825)), ROW(1:1))), "")</f>
        <v>Vacant</v>
      </c>
      <c r="L4" s="306" t="n">
        <f aca="false">IFERROR(INDEX('Bank Schedule'!L:L, SMALL(IF('Bank Schedule'!$K$2:$K$825="Vacant", ROW('Bank Schedule'!$K$2:$K$825)), ROW(1:1))), "")</f>
        <v>0</v>
      </c>
      <c r="M4" s="306" t="n">
        <f aca="false">IFERROR(INDEX('Bank Schedule'!M:M, SMALL(IF('Bank Schedule'!$K$2:$K$825="Vacant", ROW('Bank Schedule'!$K$2:$K$825)), ROW(1:1))), "")</f>
        <v>0</v>
      </c>
      <c r="N4" s="307" t="n">
        <f aca="false" t="array" ref="N4:N4">IFERROR(INDEX('Bank Schedule'!N:N, SMALL(IF('Bank Schedule'!$K$2:$K$825="Vacant", ROW('Bank Schedule'!$K$2:$K$825)), ROW(1:1))), "")</f>
        <v>45636</v>
      </c>
      <c r="O4" s="306" t="n">
        <f aca="false">IFERROR(INDEX('Bank Schedule'!O:O, SMALL(IF('Bank Schedule'!$K$2:$K$825="Vacant", ROW('Bank Schedule'!$K$2:$K$825)), ROW(1:1))), "")</f>
        <v>0</v>
      </c>
      <c r="P4" s="306" t="n">
        <f aca="false">IFERROR(INDEX('Bank Schedule'!P:P, SMALL(IF('Bank Schedule'!$K$2:$K$825="Vacant", ROW('Bank Schedule'!$K$2:$K$825)), ROW(1:1))), "")</f>
        <v>0</v>
      </c>
      <c r="Q4" s="29" t="n">
        <f aca="false" t="array" ref="Q4:Q4">IFERROR(INDEX('Bank Schedule'!Q:Q, SMALL(IF('Bank Schedule'!$K$2:$K$825="Vacant", ROW('Bank Schedule'!$K$2:$K$825)), ROW(1:1))), "")</f>
        <v>0</v>
      </c>
      <c r="R4" s="29" t="n">
        <f aca="false" t="array" ref="R4:R4">IFERROR(INDEX('Bank Schedule'!R:R, SMALL(IF('Bank Schedule'!$K$2:$K$825="Vacant", ROW('Bank Schedule'!$K$2:$K$825)), ROW(1:1))), "")</f>
        <v>0</v>
      </c>
      <c r="S4" s="308" t="n">
        <f aca="false">IFERROR(INDEX('Bank Schedule'!S:S, SMALL(IF('Bank Schedule'!$K$2:$K$825="Vacant", ROW('Bank Schedule'!$K$2:$K$825)), ROW(1:1))), "")</f>
        <v>0</v>
      </c>
      <c r="T4" s="309" t="n">
        <f aca="false" t="array" ref="T4:T4">IFERROR(INDEX('Bank Schedule'!T:T, SMALL(IF('Bank Schedule'!$K$2:$K$825="Vacant", ROW('Bank Schedule'!$K$2:$K$825)), ROW(1:1))), "")</f>
        <v>134300</v>
      </c>
      <c r="U4" s="309" t="n">
        <f aca="false" t="array" ref="U4:U4">IFERROR(INDEX('Bank Schedule'!U:U, SMALL(IF('Bank Schedule'!$K$2:$K$825="Vacant", ROW('Bank Schedule'!$K$2:$K$825)), ROW(1:1))), "")</f>
        <v>134300</v>
      </c>
      <c r="V4" s="309" t="n">
        <f aca="false" t="array" ref="V4:V4">IFERROR(INDEX('Bank Schedule'!V:V, SMALL(IF('Bank Schedule'!$K$2:$K$825="Vacant", ROW('Bank Schedule'!$K$2:$K$825)), ROW(1:1))), "")</f>
        <v>134300</v>
      </c>
      <c r="W4" s="309" t="n">
        <f aca="false" t="array" ref="W4:W4">IFERROR(INDEX('Bank Schedule'!W:W, SMALL(IF('Bank Schedule'!$K$2:$K$825="Vacant", ROW('Bank Schedule'!$K$2:$K$825)), ROW(1:1))), "")</f>
        <v>134300</v>
      </c>
      <c r="X4" s="309" t="n">
        <f aca="false" t="array" ref="X4:X4">IFERROR(INDEX('Bank Schedule'!X:X, SMALL(IF('Bank Schedule'!$K$2:$K$825="Vacant", ROW('Bank Schedule'!$K$2:$K$825)), ROW(1:1))), "")</f>
        <v>60.0089365504915</v>
      </c>
      <c r="Y4" s="310" t="n">
        <f aca="false" t="array" ref="Y4:Y4">IFERROR(INDEX('Bank Schedule'!Y:Y, SMALL(IF('Bank Schedule'!$K$2:$K$825="Vacant", ROW('Bank Schedule'!$K$2:$K$825)), ROW(1:1))), "")</f>
        <v>0</v>
      </c>
      <c r="Z4" s="29" t="str">
        <f aca="false" t="array" ref="Z4:Z4">IFERROR(INDEX('Bank Schedule'!Z:Z, SMALL(IF('Bank Schedule'!$K$2:$K$825="Vacant", ROW('Bank Schedule'!$K$2:$K$825)), ROW(1:1))), "")</f>
        <v>D</v>
      </c>
      <c r="AA4" s="29" t="n">
        <f aca="false">IFERROR(INDEX('Bank Schedule'!AA:AA, SMALL(IF('Bank Schedule'!$K$2:$K$825="Vacant", ROW('Bank Schedule'!$K$2:$K$825)), ROW(1:1))), "")</f>
        <v>0</v>
      </c>
      <c r="AB4" s="311" t="n">
        <f aca="false">IFERROR(INDEX('Bank Schedule'!AB:AB, SMALL(IF('Bank Schedule'!$K$2:$K$825="Vacant", ROW('Bank Schedule'!$K$2:$K$825)), ROW(1:1))), "")</f>
        <v>0</v>
      </c>
      <c r="AC4" s="29" t="str">
        <f aca="false" t="array" ref="AC4:AC4">IFERROR(INDEX('Bank Schedule'!AC:AC, SMALL(IF('Bank Schedule'!$K$2:$K$825="Vacant", ROW('Bank Schedule'!$K$2:$K$825)), ROW(1:1))), "")</f>
        <v>No</v>
      </c>
      <c r="AD4" s="29" t="str">
        <f aca="false" t="array" ref="AD4:AD4">IFERROR(INDEX('Bank Schedule'!AD:AD, SMALL(IF('Bank Schedule'!$K$2:$K$825="Vacant", ROW('Bank Schedule'!$K$2:$K$825)), ROW(1:1))), "")</f>
        <v>LEM marketing.</v>
      </c>
      <c r="AE4" s="281" t="n">
        <f aca="false">IFERROR(INDEX('Bank Schedule'!AE:AE, SMALL(IF('Bank Schedule'!$K$2:$K$825="Vacant", ROW('Bank Schedule'!$K$2:$K$825)), ROW(1:1))), "")</f>
        <v>0</v>
      </c>
      <c r="AF4" s="29" t="n">
        <f aca="false" t="array" ref="AF4:AF4">IFERROR(INDEX('Bank Schedule'!AF:AF, SMALL(IF('Bank Schedule'!$K$2:$K$825="Vacant", ROW('Bank Schedule'!$K$2:$K$825)), ROW(1:1))), "")</f>
        <v>2</v>
      </c>
      <c r="AG4" s="29" t="n">
        <f aca="false" t="array" ref="AG4:AG4">IFERROR(INDEX('Bank Schedule'!AG:AG, SMALL(IF('Bank Schedule'!$K$2:$K$825="Vacant", ROW('Bank Schedule'!$K$2:$K$825)), ROW(1:1))), "")</f>
        <v>2</v>
      </c>
      <c r="AH4" s="29" t="n">
        <f aca="false">IFERROR(INDEX('Bank Schedule'!AH:AH, SMALL(IF('Bank Schedule'!$K$2:$K$825="Vacant", ROW('Bank Schedule'!$K$2:$K$825)), ROW(1:1))), "")</f>
        <v>0</v>
      </c>
      <c r="AI4" s="4"/>
    </row>
    <row r="5" customFormat="false" ht="28.5" hidden="false" customHeight="true" outlineLevel="0" collapsed="false">
      <c r="A5" s="29" t="str">
        <f aca="false">IFERROR(INDEX('Bank Schedule'!A:A, SMALL(IF('Bank Schedule'!$K$2:$K$825="Vacant", ROW('Bank Schedule'!$K$2:$K$825)), ROW(2:2))), "")</f>
        <v/>
      </c>
      <c r="B5" s="29" t="str">
        <f aca="false" t="array" ref="B5:B5">IFERROR(INDEX('Bank Schedule'!B:B, SMALL(IF('Bank Schedule'!$K$2:$K$825="Vacant", ROW('Bank Schedule'!$K$2:$K$825)), ROW(2:2))), "")</f>
        <v>SH</v>
      </c>
      <c r="C5" s="29" t="str">
        <f aca="false" t="array" ref="C5:C5">IFERROR(INDEX('Bank Schedule'!C:C, SMALL(IF('Bank Schedule'!$K$2:$K$825="Vacant", ROW('Bank Schedule'!$K$2:$K$825)), ROW(2:2))), "")</f>
        <v>MEL</v>
      </c>
      <c r="D5" s="29" t="n">
        <f aca="false" t="array" ref="D5:D5">IFERROR(INDEX('Bank Schedule'!D:D, SMALL(IF('Bank Schedule'!$K$2:$K$825="Vacant", ROW('Bank Schedule'!$K$2:$K$825)), ROW(2:2))), "")</f>
        <v>550910</v>
      </c>
      <c r="E5" s="29" t="str">
        <f aca="false" t="array" ref="E5:E5">IFERROR(INDEX('Bank Schedule'!E:E, SMALL(IF('Bank Schedule'!$K$2:$K$825="Vacant", ROW('Bank Schedule'!$K$2:$K$825)), ROW(2:2))), "")</f>
        <v>22 and 23-25 Eastcastle Street</v>
      </c>
      <c r="F5" s="29" t="str">
        <f aca="false" t="array" ref="F5:F5">IFERROR(INDEX('Bank Schedule'!F:F, SMALL(IF('Bank Schedule'!$K$2:$K$825="Vacant", ROW('Bank Schedule'!$K$2:$K$825)), ROW(2:2))), "")</f>
        <v>Third Floor (22)</v>
      </c>
      <c r="G5" s="29" t="str">
        <f aca="false" t="array" ref="G5:G5">IFERROR(INDEX('Bank Schedule'!G:G, SMALL(IF('Bank Schedule'!$K$2:$K$825="Vacant", ROW('Bank Schedule'!$K$2:$K$825)), ROW(2:2))), "")</f>
        <v>Office</v>
      </c>
      <c r="H5" s="305" t="n">
        <f aca="false" t="array" ref="H5:H5">IFERROR(INDEX('Bank Schedule'!H:H, SMALL(IF('Bank Schedule'!$K$2:$K$825="Vacant", ROW('Bank Schedule'!$K$2:$K$825)), ROW(2:2))), "")</f>
        <v>400</v>
      </c>
      <c r="I5" s="29" t="n">
        <f aca="false" t="array" ref="I5:I5">IFERROR(INDEX('Bank Schedule'!I:I, SMALL(IF('Bank Schedule'!$K$2:$K$825="Vacant", ROW('Bank Schedule'!$K$2:$K$825)), ROW(2:2))), "")</f>
        <v>400</v>
      </c>
      <c r="J5" s="305" t="n">
        <f aca="false" t="array" ref="J5:J5">IFERROR(INDEX('Bank Schedule'!J:J, SMALL(IF('Bank Schedule'!$K$2:$K$825="Vacant", ROW('Bank Schedule'!$K$2:$K$825)), ROW(2:2))), "")</f>
        <v>500</v>
      </c>
      <c r="K5" s="29" t="str">
        <f aca="false" t="array" ref="K5:K5">IFERROR(INDEX('Bank Schedule'!K:K, SMALL(IF('Bank Schedule'!$K$2:$K$825="Vacant", ROW('Bank Schedule'!$K$2:$K$825)), ROW(2:2))), "")</f>
        <v>Vacant</v>
      </c>
      <c r="L5" s="29" t="str">
        <f aca="false">IFERROR(INDEX('Bank Schedule'!L:L, SMALL(IF('Bank Schedule'!$K$2:$K$825="Vacant", ROW('Bank Schedule'!$K$2:$K$825)), ROW(2:2))), "")</f>
        <v/>
      </c>
      <c r="M5" s="29" t="str">
        <f aca="false">IFERROR(INDEX('Bank Schedule'!M:M, SMALL(IF('Bank Schedule'!$K$2:$K$825="Vacant", ROW('Bank Schedule'!$K$2:$K$825)), ROW(2:2))), "")</f>
        <v/>
      </c>
      <c r="N5" s="307" t="n">
        <f aca="false" t="array" ref="N5:N5">IFERROR(INDEX('Bank Schedule'!N:N, SMALL(IF('Bank Schedule'!$K$2:$K$825="Vacant", ROW('Bank Schedule'!$K$2:$K$825)), ROW(2:2))), "")</f>
        <v>45771</v>
      </c>
      <c r="O5" s="29" t="str">
        <f aca="false">IFERROR(INDEX('Bank Schedule'!O:O, SMALL(IF('Bank Schedule'!$K$2:$K$825="Vacant", ROW('Bank Schedule'!$K$2:$K$825)), ROW(2:2))), "")</f>
        <v/>
      </c>
      <c r="P5" s="29" t="str">
        <f aca="false">IFERROR(INDEX('Bank Schedule'!P:P, SMALL(IF('Bank Schedule'!$K$2:$K$825="Vacant", ROW('Bank Schedule'!$K$2:$K$825)), ROW(2:2))), "")</f>
        <v/>
      </c>
      <c r="Q5" s="29" t="n">
        <f aca="false" t="array" ref="Q5:Q5">IFERROR(INDEX('Bank Schedule'!Q:Q, SMALL(IF('Bank Schedule'!$K$2:$K$825="Vacant", ROW('Bank Schedule'!$K$2:$K$825)), ROW(2:2))), "")</f>
        <v>0</v>
      </c>
      <c r="R5" s="29" t="n">
        <f aca="false" t="array" ref="R5:R5">IFERROR(INDEX('Bank Schedule'!R:R, SMALL(IF('Bank Schedule'!$K$2:$K$825="Vacant", ROW('Bank Schedule'!$K$2:$K$825)), ROW(2:2))), "")</f>
        <v>0</v>
      </c>
      <c r="S5" s="29" t="str">
        <f aca="false">IFERROR(INDEX('Bank Schedule'!S:S, SMALL(IF('Bank Schedule'!$K$2:$K$825="Vacant", ROW('Bank Schedule'!$K$2:$K$825)), ROW(2:2))), "")</f>
        <v/>
      </c>
      <c r="T5" s="309" t="n">
        <f aca="false" t="array" ref="T5:T5">IFERROR(INDEX('Bank Schedule'!T:T, SMALL(IF('Bank Schedule'!$K$2:$K$825="Vacant", ROW('Bank Schedule'!$K$2:$K$825)), ROW(2:2))), "")</f>
        <v>20600</v>
      </c>
      <c r="U5" s="309" t="n">
        <f aca="false" t="array" ref="U5:U5">IFERROR(INDEX('Bank Schedule'!U:U, SMALL(IF('Bank Schedule'!$K$2:$K$825="Vacant", ROW('Bank Schedule'!$K$2:$K$825)), ROW(2:2))), "")</f>
        <v>20600</v>
      </c>
      <c r="V5" s="309" t="n">
        <f aca="false" t="array" ref="V5:V5">IFERROR(INDEX('Bank Schedule'!V:V, SMALL(IF('Bank Schedule'!$K$2:$K$825="Vacant", ROW('Bank Schedule'!$K$2:$K$825)), ROW(2:2))), "")</f>
        <v>23000</v>
      </c>
      <c r="W5" s="309" t="n">
        <f aca="false" t="array" ref="W5:W5">IFERROR(INDEX('Bank Schedule'!W:W, SMALL(IF('Bank Schedule'!$K$2:$K$825="Vacant", ROW('Bank Schedule'!$K$2:$K$825)), ROW(2:2))), "")</f>
        <v>23000</v>
      </c>
      <c r="X5" s="309" t="n">
        <f aca="false" t="array" ref="X5:X5">IFERROR(INDEX('Bank Schedule'!X:X, SMALL(IF('Bank Schedule'!$K$2:$K$825="Vacant", ROW('Bank Schedule'!$K$2:$K$825)), ROW(2:2))), "")</f>
        <v>57.5</v>
      </c>
      <c r="Y5" s="310" t="n">
        <f aca="false" t="array" ref="Y5:Y5">IFERROR(INDEX('Bank Schedule'!Y:Y, SMALL(IF('Bank Schedule'!$K$2:$K$825="Vacant", ROW('Bank Schedule'!$K$2:$K$825)), ROW(2:2))), "")</f>
        <v>0.116504854368932</v>
      </c>
      <c r="Z5" s="29" t="str">
        <f aca="false" t="array" ref="Z5:Z5">IFERROR(INDEX('Bank Schedule'!Z:Z, SMALL(IF('Bank Schedule'!$K$2:$K$825="Vacant", ROW('Bank Schedule'!$K$2:$K$825)), ROW(2:2))), "")</f>
        <v>D</v>
      </c>
      <c r="AA5" s="29" t="str">
        <f aca="false">IFERROR(INDEX('Bank Schedule'!AA:AA, SMALL(IF('Bank Schedule'!$K$2:$K$825="Vacant", ROW('Bank Schedule'!$K$2:$K$825)), ROW(2:2))), "")</f>
        <v/>
      </c>
      <c r="AB5" s="29" t="str">
        <f aca="false">IFERROR(INDEX('Bank Schedule'!AB:AB, SMALL(IF('Bank Schedule'!$K$2:$K$825="Vacant", ROW('Bank Schedule'!$K$2:$K$825)), ROW(2:2))), "")</f>
        <v/>
      </c>
      <c r="AC5" s="29" t="str">
        <f aca="false" t="array" ref="AC5:AC5">IFERROR(INDEX('Bank Schedule'!AC:AC, SMALL(IF('Bank Schedule'!$K$2:$K$825="Vacant", ROW('Bank Schedule'!$K$2:$K$825)), ROW(2:2))), "")</f>
        <v>No</v>
      </c>
      <c r="AD5" s="29" t="str">
        <f aca="false" t="array" ref="AD5:AD5">IFERROR(INDEX('Bank Schedule'!AD:AD, SMALL(IF('Bank Schedule'!$K$2:$K$825="Vacant", ROW('Bank Schedule'!$K$2:$K$825)), ROW(2:2))), "")</f>
        <v>LEM marketing.</v>
      </c>
      <c r="AE5" s="281" t="str">
        <f aca="false">IFERROR(INDEX('Bank Schedule'!AE:AE, SMALL(IF('Bank Schedule'!$K$2:$K$825="Vacant", ROW('Bank Schedule'!$K$2:$K$825)), ROW(2:2))), "")</f>
        <v/>
      </c>
      <c r="AF5" s="29" t="n">
        <f aca="false" t="array" ref="AF5:AF5">IFERROR(INDEX('Bank Schedule'!AF:AF, SMALL(IF('Bank Schedule'!$K$2:$K$825="Vacant", ROW('Bank Schedule'!$K$2:$K$825)), ROW(2:2))), "")</f>
        <v>1</v>
      </c>
      <c r="AG5" s="29" t="n">
        <f aca="false" t="array" ref="AG5:AG5">IFERROR(INDEX('Bank Schedule'!AG:AG, SMALL(IF('Bank Schedule'!$K$2:$K$825="Vacant", ROW('Bank Schedule'!$K$2:$K$825)), ROW(2:2))), "")</f>
        <v>1</v>
      </c>
      <c r="AH5" s="29" t="str">
        <f aca="false">IFERROR(INDEX('Bank Schedule'!AH:AH, SMALL(IF('Bank Schedule'!$K$2:$K$825="Vacant", ROW('Bank Schedule'!$K$2:$K$825)), ROW(2:2))), "")</f>
        <v/>
      </c>
      <c r="AI5" s="4"/>
    </row>
    <row r="6" customFormat="false" ht="28.5" hidden="false" customHeight="true" outlineLevel="0" collapsed="false">
      <c r="A6" s="29" t="str">
        <f aca="false">IFERROR(INDEX('Bank Schedule'!A:A, SMALL(IF('Bank Schedule'!$K$2:$K$825="Vacant", ROW('Bank Schedule'!$K$2:$K$825)), ROW(3:3))), "")</f>
        <v/>
      </c>
      <c r="B6" s="29" t="str">
        <f aca="false" t="array" ref="B6:B6">IFERROR(INDEX('Bank Schedule'!B:B, SMALL(IF('Bank Schedule'!$K$2:$K$825="Vacant", ROW('Bank Schedule'!$K$2:$K$825)), ROW(3:3))), "")</f>
        <v>SH</v>
      </c>
      <c r="C6" s="29" t="str">
        <f aca="false" t="array" ref="C6:C6">IFERROR(INDEX('Bank Schedule'!C:C, SMALL(IF('Bank Schedule'!$K$2:$K$825="Vacant", ROW('Bank Schedule'!$K$2:$K$825)), ROW(3:3))), "")</f>
        <v>MEL</v>
      </c>
      <c r="D6" s="29" t="n">
        <f aca="false" t="array" ref="D6:D6">IFERROR(INDEX('Bank Schedule'!D:D, SMALL(IF('Bank Schedule'!$K$2:$K$825="Vacant", ROW('Bank Schedule'!$K$2:$K$825)), ROW(3:3))), "")</f>
        <v>550910</v>
      </c>
      <c r="E6" s="29" t="str">
        <f aca="false" t="array" ref="E6:E6">IFERROR(INDEX('Bank Schedule'!E:E, SMALL(IF('Bank Schedule'!$K$2:$K$825="Vacant", ROW('Bank Schedule'!$K$2:$K$825)), ROW(3:3))), "")</f>
        <v>22 and 23-25 Eastcastle Street</v>
      </c>
      <c r="F6" s="29" t="str">
        <f aca="false" t="array" ref="F6:F6">IFERROR(INDEX('Bank Schedule'!F:F, SMALL(IF('Bank Schedule'!$K$2:$K$825="Vacant", ROW('Bank Schedule'!$K$2:$K$825)), ROW(3:3))), "")</f>
        <v>Third Floor (23-25)</v>
      </c>
      <c r="G6" s="29" t="str">
        <f aca="false" t="array" ref="G6:G6">IFERROR(INDEX('Bank Schedule'!G:G, SMALL(IF('Bank Schedule'!$K$2:$K$825="Vacant", ROW('Bank Schedule'!$K$2:$K$825)), ROW(3:3))), "")</f>
        <v>Office</v>
      </c>
      <c r="H6" s="305" t="n">
        <f aca="false" t="array" ref="H6:H6">IFERROR(INDEX('Bank Schedule'!H:H, SMALL(IF('Bank Schedule'!$K$2:$K$825="Vacant", ROW('Bank Schedule'!$K$2:$K$825)), ROW(3:3))), "")</f>
        <v>1938</v>
      </c>
      <c r="I6" s="29" t="n">
        <f aca="false" t="array" ref="I6:I6">IFERROR(INDEX('Bank Schedule'!I:I, SMALL(IF('Bank Schedule'!$K$2:$K$825="Vacant", ROW('Bank Schedule'!$K$2:$K$825)), ROW(3:3))), "")</f>
        <v>1938</v>
      </c>
      <c r="J6" s="305" t="n">
        <f aca="false" t="array" ref="J6:J6">IFERROR(INDEX('Bank Schedule'!J:J, SMALL(IF('Bank Schedule'!$K$2:$K$825="Vacant", ROW('Bank Schedule'!$K$2:$K$825)), ROW(3:3))), "")</f>
        <v>2000</v>
      </c>
      <c r="K6" s="29" t="str">
        <f aca="false" t="array" ref="K6:K6">IFERROR(INDEX('Bank Schedule'!K:K, SMALL(IF('Bank Schedule'!$K$2:$K$825="Vacant", ROW('Bank Schedule'!$K$2:$K$825)), ROW(3:3))), "")</f>
        <v>Vacant</v>
      </c>
      <c r="L6" s="29" t="str">
        <f aca="false">IFERROR(INDEX('Bank Schedule'!L:L, SMALL(IF('Bank Schedule'!$K$2:$K$825="Vacant", ROW('Bank Schedule'!$K$2:$K$825)), ROW(3:3))), "")</f>
        <v/>
      </c>
      <c r="M6" s="29" t="str">
        <f aca="false">IFERROR(INDEX('Bank Schedule'!M:M, SMALL(IF('Bank Schedule'!$K$2:$K$825="Vacant", ROW('Bank Schedule'!$K$2:$K$825)), ROW(3:3))), "")</f>
        <v/>
      </c>
      <c r="N6" s="307" t="n">
        <f aca="false" t="array" ref="N6:N6">IFERROR(INDEX('Bank Schedule'!N:N, SMALL(IF('Bank Schedule'!$K$2:$K$825="Vacant", ROW('Bank Schedule'!$K$2:$K$825)), ROW(3:3))), "")</f>
        <v>45217</v>
      </c>
      <c r="O6" s="29" t="str">
        <f aca="false">IFERROR(INDEX('Bank Schedule'!O:O, SMALL(IF('Bank Schedule'!$K$2:$K$825="Vacant", ROW('Bank Schedule'!$K$2:$K$825)), ROW(3:3))), "")</f>
        <v/>
      </c>
      <c r="P6" s="29" t="str">
        <f aca="false">IFERROR(INDEX('Bank Schedule'!P:P, SMALL(IF('Bank Schedule'!$K$2:$K$825="Vacant", ROW('Bank Schedule'!$K$2:$K$825)), ROW(3:3))), "")</f>
        <v/>
      </c>
      <c r="Q6" s="29" t="n">
        <f aca="false" t="array" ref="Q6:Q6">IFERROR(INDEX('Bank Schedule'!Q:Q, SMALL(IF('Bank Schedule'!$K$2:$K$825="Vacant", ROW('Bank Schedule'!$K$2:$K$825)), ROW(3:3))), "")</f>
        <v>0</v>
      </c>
      <c r="R6" s="29" t="n">
        <f aca="false" t="array" ref="R6:R6">IFERROR(INDEX('Bank Schedule'!R:R, SMALL(IF('Bank Schedule'!$K$2:$K$825="Vacant", ROW('Bank Schedule'!$K$2:$K$825)), ROW(3:3))), "")</f>
        <v>0</v>
      </c>
      <c r="S6" s="29" t="str">
        <f aca="false">IFERROR(INDEX('Bank Schedule'!S:S, SMALL(IF('Bank Schedule'!$K$2:$K$825="Vacant", ROW('Bank Schedule'!$K$2:$K$825)), ROW(3:3))), "")</f>
        <v/>
      </c>
      <c r="T6" s="309" t="n">
        <f aca="false" t="array" ref="T6:T6">IFERROR(INDEX('Bank Schedule'!T:T, SMALL(IF('Bank Schedule'!$K$2:$K$825="Vacant", ROW('Bank Schedule'!$K$2:$K$825)), ROW(3:3))), "")</f>
        <v>109000</v>
      </c>
      <c r="U6" s="309" t="n">
        <f aca="false" t="array" ref="U6:U6">IFERROR(INDEX('Bank Schedule'!U:U, SMALL(IF('Bank Schedule'!$K$2:$K$825="Vacant", ROW('Bank Schedule'!$K$2:$K$825)), ROW(3:3))), "")</f>
        <v>109000</v>
      </c>
      <c r="V6" s="309" t="n">
        <f aca="false" t="array" ref="V6:V6">IFERROR(INDEX('Bank Schedule'!V:V, SMALL(IF('Bank Schedule'!$K$2:$K$825="Vacant", ROW('Bank Schedule'!$K$2:$K$825)), ROW(3:3))), "")</f>
        <v>111400</v>
      </c>
      <c r="W6" s="309" t="n">
        <f aca="false" t="array" ref="W6:W6">IFERROR(INDEX('Bank Schedule'!W:W, SMALL(IF('Bank Schedule'!$K$2:$K$825="Vacant", ROW('Bank Schedule'!$K$2:$K$825)), ROW(3:3))), "")</f>
        <v>111400</v>
      </c>
      <c r="X6" s="309" t="n">
        <f aca="false" t="array" ref="X6:X6">IFERROR(INDEX('Bank Schedule'!X:X, SMALL(IF('Bank Schedule'!$K$2:$K$825="Vacant", ROW('Bank Schedule'!$K$2:$K$825)), ROW(3:3))), "")</f>
        <v>57.4819401444788</v>
      </c>
      <c r="Y6" s="310" t="n">
        <f aca="false" t="array" ref="Y6:Y6">IFERROR(INDEX('Bank Schedule'!Y:Y, SMALL(IF('Bank Schedule'!$K$2:$K$825="Vacant", ROW('Bank Schedule'!$K$2:$K$825)), ROW(3:3))), "")</f>
        <v>0.0220183486238532</v>
      </c>
      <c r="Z6" s="29" t="str">
        <f aca="false" t="array" ref="Z6:Z6">IFERROR(INDEX('Bank Schedule'!Z:Z, SMALL(IF('Bank Schedule'!$K$2:$K$825="Vacant", ROW('Bank Schedule'!$K$2:$K$825)), ROW(3:3))), "")</f>
        <v>D</v>
      </c>
      <c r="AA6" s="29" t="str">
        <f aca="false">IFERROR(INDEX('Bank Schedule'!AA:AA, SMALL(IF('Bank Schedule'!$K$2:$K$825="Vacant", ROW('Bank Schedule'!$K$2:$K$825)), ROW(3:3))), "")</f>
        <v/>
      </c>
      <c r="AB6" s="29" t="str">
        <f aca="false">IFERROR(INDEX('Bank Schedule'!AB:AB, SMALL(IF('Bank Schedule'!$K$2:$K$825="Vacant", ROW('Bank Schedule'!$K$2:$K$825)), ROW(3:3))), "")</f>
        <v/>
      </c>
      <c r="AC6" s="29" t="str">
        <f aca="false" t="array" ref="AC6:AC6">IFERROR(INDEX('Bank Schedule'!AC:AC, SMALL(IF('Bank Schedule'!$K$2:$K$825="Vacant", ROW('Bank Schedule'!$K$2:$K$825)), ROW(3:3))), "")</f>
        <v>No</v>
      </c>
      <c r="AD6" s="29" t="str">
        <f aca="false" t="array" ref="AD6:AD6">IFERROR(INDEX('Bank Schedule'!AD:AD, SMALL(IF('Bank Schedule'!$K$2:$K$825="Vacant", ROW('Bank Schedule'!$K$2:$K$825)), ROW(3:3))), "")</f>
        <v>LEM marketing.</v>
      </c>
      <c r="AE6" s="281" t="n">
        <f aca="false" t="array" ref="AE6:AE6">IFERROR(INDEX('Bank Schedule'!AE:AE, SMALL(IF('Bank Schedule'!$K$2:$K$825="Vacant", ROW('Bank Schedule'!$K$2:$K$825)), ROW(3:3))), "")</f>
        <v>65</v>
      </c>
      <c r="AF6" s="29" t="n">
        <f aca="false" t="array" ref="AF6:AF6">IFERROR(INDEX('Bank Schedule'!AF:AF, SMALL(IF('Bank Schedule'!$K$2:$K$825="Vacant", ROW('Bank Schedule'!$K$2:$K$825)), ROW(3:3))), "")</f>
        <v>2</v>
      </c>
      <c r="AG6" s="29" t="n">
        <f aca="false" t="array" ref="AG6:AG6">IFERROR(INDEX('Bank Schedule'!AG:AG, SMALL(IF('Bank Schedule'!$K$2:$K$825="Vacant", ROW('Bank Schedule'!$K$2:$K$825)), ROW(3:3))), "")</f>
        <v>4</v>
      </c>
      <c r="AH6" s="29" t="str">
        <f aca="false">IFERROR(INDEX('Bank Schedule'!AH:AH, SMALL(IF('Bank Schedule'!$K$2:$K$825="Vacant", ROW('Bank Schedule'!$K$2:$K$825)), ROW(3:3))), "")</f>
        <v/>
      </c>
      <c r="AI6" s="4"/>
    </row>
    <row r="7" customFormat="false" ht="28.5" hidden="false" customHeight="true" outlineLevel="0" collapsed="false">
      <c r="A7" s="29" t="str">
        <f aca="false">IFERROR(INDEX('Bank Schedule'!A:A, SMALL(IF('Bank Schedule'!$K$2:$K$825="Vacant", ROW('Bank Schedule'!$K$2:$K$825)), ROW(4:4))), "")</f>
        <v/>
      </c>
      <c r="B7" s="29" t="str">
        <f aca="false" t="array" ref="B7:B7">IFERROR(INDEX('Bank Schedule'!B:B, SMALL(IF('Bank Schedule'!$K$2:$K$825="Vacant", ROW('Bank Schedule'!$K$2:$K$825)), ROW(4:4))), "")</f>
        <v>SH</v>
      </c>
      <c r="C7" s="29" t="str">
        <f aca="false" t="array" ref="C7:C7">IFERROR(INDEX('Bank Schedule'!C:C, SMALL(IF('Bank Schedule'!$K$2:$K$825="Vacant", ROW('Bank Schedule'!$K$2:$K$825)), ROW(4:4))), "")</f>
        <v>MEL</v>
      </c>
      <c r="D7" s="29" t="n">
        <f aca="false" t="array" ref="D7:D7">IFERROR(INDEX('Bank Schedule'!D:D, SMALL(IF('Bank Schedule'!$K$2:$K$825="Vacant", ROW('Bank Schedule'!$K$2:$K$825)), ROW(4:4))), "")</f>
        <v>550910</v>
      </c>
      <c r="E7" s="29" t="str">
        <f aca="false" t="array" ref="E7:E7">IFERROR(INDEX('Bank Schedule'!E:E, SMALL(IF('Bank Schedule'!$K$2:$K$825="Vacant", ROW('Bank Schedule'!$K$2:$K$825)), ROW(4:4))), "")</f>
        <v>22 and 23-25 Eastcastle Street</v>
      </c>
      <c r="F7" s="29" t="str">
        <f aca="false" t="array" ref="F7:F7">IFERROR(INDEX('Bank Schedule'!F:F, SMALL(IF('Bank Schedule'!$K$2:$K$825="Vacant", ROW('Bank Schedule'!$K$2:$K$825)), ROW(4:4))), "")</f>
        <v>Sixth Floor (23-25)</v>
      </c>
      <c r="G7" s="29" t="str">
        <f aca="false" t="array" ref="G7:G7">IFERROR(INDEX('Bank Schedule'!G:G, SMALL(IF('Bank Schedule'!$K$2:$K$825="Vacant", ROW('Bank Schedule'!$K$2:$K$825)), ROW(4:4))), "")</f>
        <v>Office</v>
      </c>
      <c r="H7" s="305" t="n">
        <f aca="false" t="array" ref="H7:H7">IFERROR(INDEX('Bank Schedule'!H:H, SMALL(IF('Bank Schedule'!$K$2:$K$825="Vacant", ROW('Bank Schedule'!$K$2:$K$825)), ROW(4:4))), "")</f>
        <v>744</v>
      </c>
      <c r="I7" s="29" t="n">
        <f aca="false" t="array" ref="I7:I7">IFERROR(INDEX('Bank Schedule'!I:I, SMALL(IF('Bank Schedule'!$K$2:$K$825="Vacant", ROW('Bank Schedule'!$K$2:$K$825)), ROW(4:4))), "")</f>
        <v>744</v>
      </c>
      <c r="J7" s="305" t="n">
        <f aca="false" t="array" ref="J7:J7">IFERROR(INDEX('Bank Schedule'!J:J, SMALL(IF('Bank Schedule'!$K$2:$K$825="Vacant", ROW('Bank Schedule'!$K$2:$K$825)), ROW(4:4))), "")</f>
        <v>750</v>
      </c>
      <c r="K7" s="29" t="str">
        <f aca="false" t="array" ref="K7:K7">IFERROR(INDEX('Bank Schedule'!K:K, SMALL(IF('Bank Schedule'!$K$2:$K$825="Vacant", ROW('Bank Schedule'!$K$2:$K$825)), ROW(4:4))), "")</f>
        <v>Vacant</v>
      </c>
      <c r="L7" s="29" t="str">
        <f aca="false">IFERROR(INDEX('Bank Schedule'!L:L, SMALL(IF('Bank Schedule'!$K$2:$K$825="Vacant", ROW('Bank Schedule'!$K$2:$K$825)), ROW(4:4))), "")</f>
        <v/>
      </c>
      <c r="M7" s="29" t="str">
        <f aca="false">IFERROR(INDEX('Bank Schedule'!M:M, SMALL(IF('Bank Schedule'!$K$2:$K$825="Vacant", ROW('Bank Schedule'!$K$2:$K$825)), ROW(4:4))), "")</f>
        <v/>
      </c>
      <c r="N7" s="307" t="n">
        <f aca="false" t="array" ref="N7:N7">IFERROR(INDEX('Bank Schedule'!N:N, SMALL(IF('Bank Schedule'!$K$2:$K$825="Vacant", ROW('Bank Schedule'!$K$2:$K$825)), ROW(4:4))), "")</f>
        <v>45182</v>
      </c>
      <c r="O7" s="29" t="str">
        <f aca="false">IFERROR(INDEX('Bank Schedule'!O:O, SMALL(IF('Bank Schedule'!$K$2:$K$825="Vacant", ROW('Bank Schedule'!$K$2:$K$825)), ROW(4:4))), "")</f>
        <v/>
      </c>
      <c r="P7" s="29" t="str">
        <f aca="false">IFERROR(INDEX('Bank Schedule'!P:P, SMALL(IF('Bank Schedule'!$K$2:$K$825="Vacant", ROW('Bank Schedule'!$K$2:$K$825)), ROW(4:4))), "")</f>
        <v/>
      </c>
      <c r="Q7" s="29" t="n">
        <f aca="false" t="array" ref="Q7:Q7">IFERROR(INDEX('Bank Schedule'!Q:Q, SMALL(IF('Bank Schedule'!$K$2:$K$825="Vacant", ROW('Bank Schedule'!$K$2:$K$825)), ROW(4:4))), "")</f>
        <v>0</v>
      </c>
      <c r="R7" s="29" t="n">
        <f aca="false" t="array" ref="R7:R7">IFERROR(INDEX('Bank Schedule'!R:R, SMALL(IF('Bank Schedule'!$K$2:$K$825="Vacant", ROW('Bank Schedule'!$K$2:$K$825)), ROW(4:4))), "")</f>
        <v>0</v>
      </c>
      <c r="S7" s="29" t="str">
        <f aca="false">IFERROR(INDEX('Bank Schedule'!S:S, SMALL(IF('Bank Schedule'!$K$2:$K$825="Vacant", ROW('Bank Schedule'!$K$2:$K$825)), ROW(4:4))), "")</f>
        <v/>
      </c>
      <c r="T7" s="309" t="n">
        <f aca="false" t="array" ref="T7:T7">IFERROR(INDEX('Bank Schedule'!T:T, SMALL(IF('Bank Schedule'!$K$2:$K$825="Vacant", ROW('Bank Schedule'!$K$2:$K$825)), ROW(4:4))), "")</f>
        <v>34400</v>
      </c>
      <c r="U7" s="309" t="n">
        <f aca="false" t="array" ref="U7:U7">IFERROR(INDEX('Bank Schedule'!U:U, SMALL(IF('Bank Schedule'!$K$2:$K$825="Vacant", ROW('Bank Schedule'!$K$2:$K$825)), ROW(4:4))), "")</f>
        <v>34400</v>
      </c>
      <c r="V7" s="309" t="n">
        <f aca="false" t="array" ref="V7:V7">IFERROR(INDEX('Bank Schedule'!V:V, SMALL(IF('Bank Schedule'!$K$2:$K$825="Vacant", ROW('Bank Schedule'!$K$2:$K$825)), ROW(4:4))), "")</f>
        <v>47000</v>
      </c>
      <c r="W7" s="309" t="n">
        <f aca="false" t="array" ref="W7:W7">IFERROR(INDEX('Bank Schedule'!W:W, SMALL(IF('Bank Schedule'!$K$2:$K$825="Vacant", ROW('Bank Schedule'!$K$2:$K$825)), ROW(4:4))), "")</f>
        <v>47000</v>
      </c>
      <c r="X7" s="309" t="n">
        <f aca="false" t="array" ref="X7:X7">IFERROR(INDEX('Bank Schedule'!X:X, SMALL(IF('Bank Schedule'!$K$2:$K$825="Vacant", ROW('Bank Schedule'!$K$2:$K$825)), ROW(4:4))), "")</f>
        <v>63.1720430107527</v>
      </c>
      <c r="Y7" s="310" t="n">
        <f aca="false" t="array" ref="Y7:Y7">IFERROR(INDEX('Bank Schedule'!Y:Y, SMALL(IF('Bank Schedule'!$K$2:$K$825="Vacant", ROW('Bank Schedule'!$K$2:$K$825)), ROW(4:4))), "")</f>
        <v>0.366279069767442</v>
      </c>
      <c r="Z7" s="29" t="str">
        <f aca="false" t="array" ref="Z7:Z7">IFERROR(INDEX('Bank Schedule'!Z:Z, SMALL(IF('Bank Schedule'!$K$2:$K$825="Vacant", ROW('Bank Schedule'!$K$2:$K$825)), ROW(4:4))), "")</f>
        <v>D</v>
      </c>
      <c r="AA7" s="29" t="str">
        <f aca="false">IFERROR(INDEX('Bank Schedule'!AA:AA, SMALL(IF('Bank Schedule'!$K$2:$K$825="Vacant", ROW('Bank Schedule'!$K$2:$K$825)), ROW(4:4))), "")</f>
        <v/>
      </c>
      <c r="AB7" s="29" t="str">
        <f aca="false">IFERROR(INDEX('Bank Schedule'!AB:AB, SMALL(IF('Bank Schedule'!$K$2:$K$825="Vacant", ROW('Bank Schedule'!$K$2:$K$825)), ROW(4:4))), "")</f>
        <v/>
      </c>
      <c r="AC7" s="29" t="str">
        <f aca="false" t="array" ref="AC7:AC7">IFERROR(INDEX('Bank Schedule'!AC:AC, SMALL(IF('Bank Schedule'!$K$2:$K$825="Vacant", ROW('Bank Schedule'!$K$2:$K$825)), ROW(4:4))), "")</f>
        <v>No</v>
      </c>
      <c r="AD7" s="29" t="str">
        <f aca="false" t="array" ref="AD7:AD7">IFERROR(INDEX('Bank Schedule'!AD:AD, SMALL(IF('Bank Schedule'!$K$2:$K$825="Vacant", ROW('Bank Schedule'!$K$2:$K$825)), ROW(4:4))), "")</f>
        <v>LEM marketing.</v>
      </c>
      <c r="AE7" s="281" t="n">
        <f aca="false" t="array" ref="AE7:AE7">IFERROR(INDEX('Bank Schedule'!AE:AE, SMALL(IF('Bank Schedule'!$K$2:$K$825="Vacant", ROW('Bank Schedule'!$K$2:$K$825)), ROW(4:4))), "")</f>
        <v>63.5</v>
      </c>
      <c r="AF7" s="29" t="n">
        <f aca="false" t="array" ref="AF7:AF7">IFERROR(INDEX('Bank Schedule'!AF:AF, SMALL(IF('Bank Schedule'!$K$2:$K$825="Vacant", ROW('Bank Schedule'!$K$2:$K$825)), ROW(4:4))), "")</f>
        <v>2</v>
      </c>
      <c r="AG7" s="29" t="n">
        <f aca="false" t="array" ref="AG7:AG7">IFERROR(INDEX('Bank Schedule'!AG:AG, SMALL(IF('Bank Schedule'!$K$2:$K$825="Vacant", ROW('Bank Schedule'!$K$2:$K$825)), ROW(4:4))), "")</f>
        <v>4</v>
      </c>
      <c r="AH7" s="29" t="str">
        <f aca="false" t="array" ref="AH7:AH7">IFERROR(INDEX('Bank Schedule'!AH:AH, SMALL(IF('Bank Schedule'!$K$2:$K$825="Vacant", ROW('Bank Schedule'!$K$2:$K$825)), ROW(4:4))), "")</f>
        <v>LEM</v>
      </c>
      <c r="AI7" s="4"/>
    </row>
    <row r="8" customFormat="false" ht="28.5" hidden="false" customHeight="true" outlineLevel="0" collapsed="false">
      <c r="A8" s="29" t="str">
        <f aca="false">IFERROR(INDEX('Bank Schedule'!A:A, SMALL(IF('Bank Schedule'!$K$2:$K$825="Vacant", ROW('Bank Schedule'!$K$2:$K$825)), ROW(5:5))), "")</f>
        <v/>
      </c>
      <c r="B8" s="29" t="str">
        <f aca="false" t="array" ref="B8:B8">IFERROR(INDEX('Bank Schedule'!B:B, SMALL(IF('Bank Schedule'!$K$2:$K$825="Vacant", ROW('Bank Schedule'!$K$2:$K$825)), ROW(5:5))), "")</f>
        <v>SH</v>
      </c>
      <c r="C8" s="29" t="str">
        <f aca="false" t="array" ref="C8:C8">IFERROR(INDEX('Bank Schedule'!C:C, SMALL(IF('Bank Schedule'!$K$2:$K$825="Vacant", ROW('Bank Schedule'!$K$2:$K$825)), ROW(5:5))), "")</f>
        <v>MEL</v>
      </c>
      <c r="D8" s="29" t="n">
        <f aca="false" t="array" ref="D8:D8">IFERROR(INDEX('Bank Schedule'!D:D, SMALL(IF('Bank Schedule'!$K$2:$K$825="Vacant", ROW('Bank Schedule'!$K$2:$K$825)), ROW(5:5))), "")</f>
        <v>550920</v>
      </c>
      <c r="E8" s="29" t="str">
        <f aca="false" t="array" ref="E8:E8">IFERROR(INDEX('Bank Schedule'!E:E, SMALL(IF('Bank Schedule'!$K$2:$K$825="Vacant", ROW('Bank Schedule'!$K$2:$K$825)), ROW(5:5))), "")</f>
        <v>26 Eastcastle Street</v>
      </c>
      <c r="F8" s="29" t="str">
        <f aca="false" t="array" ref="F8:F8">IFERROR(INDEX('Bank Schedule'!F:F, SMALL(IF('Bank Schedule'!$K$2:$K$825="Vacant", ROW('Bank Schedule'!$K$2:$K$825)), ROW(5:5))), "")</f>
        <v>Second Floor</v>
      </c>
      <c r="G8" s="29" t="str">
        <f aca="false" t="array" ref="G8:G8">IFERROR(INDEX('Bank Schedule'!G:G, SMALL(IF('Bank Schedule'!$K$2:$K$825="Vacant", ROW('Bank Schedule'!$K$2:$K$825)), ROW(5:5))), "")</f>
        <v>Offices</v>
      </c>
      <c r="H8" s="305" t="n">
        <f aca="false" t="array" ref="H8:H8">IFERROR(INDEX('Bank Schedule'!H:H, SMALL(IF('Bank Schedule'!$K$2:$K$825="Vacant", ROW('Bank Schedule'!$K$2:$K$825)), ROW(5:5))), "")</f>
        <v>1110</v>
      </c>
      <c r="I8" s="29" t="n">
        <f aca="false" t="array" ref="I8:I8">IFERROR(INDEX('Bank Schedule'!I:I, SMALL(IF('Bank Schedule'!$K$2:$K$825="Vacant", ROW('Bank Schedule'!$K$2:$K$825)), ROW(5:5))), "")</f>
        <v>1110</v>
      </c>
      <c r="J8" s="305" t="n">
        <f aca="false" t="array" ref="J8:J8">IFERROR(INDEX('Bank Schedule'!J:J, SMALL(IF('Bank Schedule'!$K$2:$K$825="Vacant", ROW('Bank Schedule'!$K$2:$K$825)), ROW(5:5))), "")</f>
        <v>1000</v>
      </c>
      <c r="K8" s="29" t="str">
        <f aca="false" t="array" ref="K8:K8">IFERROR(INDEX('Bank Schedule'!K:K, SMALL(IF('Bank Schedule'!$K$2:$K$825="Vacant", ROW('Bank Schedule'!$K$2:$K$825)), ROW(5:5))), "")</f>
        <v>Vacant</v>
      </c>
      <c r="L8" s="29" t="str">
        <f aca="false">IFERROR(INDEX('Bank Schedule'!L:L, SMALL(IF('Bank Schedule'!$K$2:$K$825="Vacant", ROW('Bank Schedule'!$K$2:$K$825)), ROW(5:5))), "")</f>
        <v/>
      </c>
      <c r="M8" s="29" t="str">
        <f aca="false">IFERROR(INDEX('Bank Schedule'!M:M, SMALL(IF('Bank Schedule'!$K$2:$K$825="Vacant", ROW('Bank Schedule'!$K$2:$K$825)), ROW(5:5))), "")</f>
        <v/>
      </c>
      <c r="N8" s="307" t="n">
        <f aca="false" t="array" ref="N8:N8">IFERROR(INDEX('Bank Schedule'!N:N, SMALL(IF('Bank Schedule'!$K$2:$K$825="Vacant", ROW('Bank Schedule'!$K$2:$K$825)), ROW(5:5))), "")</f>
        <v>43273</v>
      </c>
      <c r="O8" s="29" t="str">
        <f aca="false">IFERROR(INDEX('Bank Schedule'!O:O, SMALL(IF('Bank Schedule'!$K$2:$K$825="Vacant", ROW('Bank Schedule'!$K$2:$K$825)), ROW(5:5))), "")</f>
        <v/>
      </c>
      <c r="P8" s="29" t="str">
        <f aca="false">IFERROR(INDEX('Bank Schedule'!P:P, SMALL(IF('Bank Schedule'!$K$2:$K$825="Vacant", ROW('Bank Schedule'!$K$2:$K$825)), ROW(5:5))), "")</f>
        <v/>
      </c>
      <c r="Q8" s="29" t="n">
        <f aca="false" t="array" ref="Q8:Q8">IFERROR(INDEX('Bank Schedule'!Q:Q, SMALL(IF('Bank Schedule'!$K$2:$K$825="Vacant", ROW('Bank Schedule'!$K$2:$K$825)), ROW(5:5))), "")</f>
        <v>0</v>
      </c>
      <c r="R8" s="29" t="n">
        <f aca="false" t="array" ref="R8:R8">IFERROR(INDEX('Bank Schedule'!R:R, SMALL(IF('Bank Schedule'!$K$2:$K$825="Vacant", ROW('Bank Schedule'!$K$2:$K$825)), ROW(5:5))), "")</f>
        <v>0</v>
      </c>
      <c r="S8" s="29" t="str">
        <f aca="false">IFERROR(INDEX('Bank Schedule'!S:S, SMALL(IF('Bank Schedule'!$K$2:$K$825="Vacant", ROW('Bank Schedule'!$K$2:$K$825)), ROW(5:5))), "")</f>
        <v/>
      </c>
      <c r="T8" s="309" t="n">
        <f aca="false" t="array" ref="T8:T8">IFERROR(INDEX('Bank Schedule'!T:T, SMALL(IF('Bank Schedule'!$K$2:$K$825="Vacant", ROW('Bank Schedule'!$K$2:$K$825)), ROW(5:5))), "")</f>
        <v>61100</v>
      </c>
      <c r="U8" s="309" t="n">
        <f aca="false" t="array" ref="U8:U8">IFERROR(INDEX('Bank Schedule'!U:U, SMALL(IF('Bank Schedule'!$K$2:$K$825="Vacant", ROW('Bank Schedule'!$K$2:$K$825)), ROW(5:5))), "")</f>
        <v>61100</v>
      </c>
      <c r="V8" s="309" t="n">
        <f aca="false" t="array" ref="V8:V8">IFERROR(INDEX('Bank Schedule'!V:V, SMALL(IF('Bank Schedule'!$K$2:$K$825="Vacant", ROW('Bank Schedule'!$K$2:$K$825)), ROW(5:5))), "")</f>
        <v>69400</v>
      </c>
      <c r="W8" s="309" t="n">
        <f aca="false" t="array" ref="W8:W8">IFERROR(INDEX('Bank Schedule'!W:W, SMALL(IF('Bank Schedule'!$K$2:$K$825="Vacant", ROW('Bank Schedule'!$K$2:$K$825)), ROW(5:5))), "")</f>
        <v>69400</v>
      </c>
      <c r="X8" s="309" t="n">
        <f aca="false" t="array" ref="X8:X8">IFERROR(INDEX('Bank Schedule'!X:X, SMALL(IF('Bank Schedule'!$K$2:$K$825="Vacant", ROW('Bank Schedule'!$K$2:$K$825)), ROW(5:5))), "")</f>
        <v>62.5225225225225</v>
      </c>
      <c r="Y8" s="310" t="n">
        <f aca="false" t="array" ref="Y8:Y8">IFERROR(INDEX('Bank Schedule'!Y:Y, SMALL(IF('Bank Schedule'!$K$2:$K$825="Vacant", ROW('Bank Schedule'!$K$2:$K$825)), ROW(5:5))), "")</f>
        <v>0.135842880523732</v>
      </c>
      <c r="Z8" s="29" t="str">
        <f aca="false" t="array" ref="Z8:Z8">IFERROR(INDEX('Bank Schedule'!Z:Z, SMALL(IF('Bank Schedule'!$K$2:$K$825="Vacant", ROW('Bank Schedule'!$K$2:$K$825)), ROW(5:5))), "")</f>
        <v>C</v>
      </c>
      <c r="AA8" s="29" t="str">
        <f aca="false">IFERROR(INDEX('Bank Schedule'!AA:AA, SMALL(IF('Bank Schedule'!$K$2:$K$825="Vacant", ROW('Bank Schedule'!$K$2:$K$825)), ROW(5:5))), "")</f>
        <v/>
      </c>
      <c r="AB8" s="29" t="str">
        <f aca="false">IFERROR(INDEX('Bank Schedule'!AB:AB, SMALL(IF('Bank Schedule'!$K$2:$K$825="Vacant", ROW('Bank Schedule'!$K$2:$K$825)), ROW(5:5))), "")</f>
        <v/>
      </c>
      <c r="AC8" s="29" t="str">
        <f aca="false" t="array" ref="AC8:AC8">IFERROR(INDEX('Bank Schedule'!AC:AC, SMALL(IF('Bank Schedule'!$K$2:$K$825="Vacant", ROW('Bank Schedule'!$K$2:$K$825)), ROW(5:5))), "")</f>
        <v>No</v>
      </c>
      <c r="AD8" s="29" t="str">
        <f aca="false" t="array" ref="AD8:AD8">IFERROR(INDEX('Bank Schedule'!AD:AD, SMALL(IF('Bank Schedule'!$K$2:$K$825="Vacant", ROW('Bank Schedule'!$K$2:$K$825)), ROW(5:5))), "")</f>
        <v>LEM marketing.</v>
      </c>
      <c r="AE8" s="281" t="n">
        <f aca="false" t="array" ref="AE8:AE8">IFERROR(INDEX('Bank Schedule'!AE:AE, SMALL(IF('Bank Schedule'!$K$2:$K$825="Vacant", ROW('Bank Schedule'!$K$2:$K$825)), ROW(5:5))), "")</f>
        <v>63.5</v>
      </c>
      <c r="AF8" s="29" t="str">
        <f aca="false">IFERROR(INDEX('Bank Schedule'!AF:AF, SMALL(IF('Bank Schedule'!$K$2:$K$825="Vacant", ROW('Bank Schedule'!$K$2:$K$825)), ROW(5:5))), "")</f>
        <v/>
      </c>
      <c r="AG8" s="29" t="n">
        <f aca="false" t="array" ref="AG8:AG8">IFERROR(INDEX('Bank Schedule'!AG:AG, SMALL(IF('Bank Schedule'!$K$2:$K$825="Vacant", ROW('Bank Schedule'!$K$2:$K$825)), ROW(5:5))), "")</f>
        <v>1</v>
      </c>
      <c r="AH8" s="29" t="str">
        <f aca="false">IFERROR(INDEX('Bank Schedule'!AH:AH, SMALL(IF('Bank Schedule'!$K$2:$K$825="Vacant", ROW('Bank Schedule'!$K$2:$K$825)), ROW(5:5))), "")</f>
        <v/>
      </c>
      <c r="AI8" s="4"/>
    </row>
    <row r="9" customFormat="false" ht="28.5" hidden="false" customHeight="true" outlineLevel="0" collapsed="false">
      <c r="A9" s="29" t="str">
        <f aca="false">IFERROR(INDEX('Bank Schedule'!A:A, SMALL(IF('Bank Schedule'!$K$2:$K$825="Vacant", ROW('Bank Schedule'!$K$2:$K$825)), ROW(6:6))), "")</f>
        <v/>
      </c>
      <c r="B9" s="29" t="str">
        <f aca="false" t="array" ref="B9:B9">IFERROR(INDEX('Bank Schedule'!B:B, SMALL(IF('Bank Schedule'!$K$2:$K$825="Vacant", ROW('Bank Schedule'!$K$2:$K$825)), ROW(6:6))), "")</f>
        <v>SH</v>
      </c>
      <c r="C9" s="29" t="str">
        <f aca="false" t="array" ref="C9:C9">IFERROR(INDEX('Bank Schedule'!C:C, SMALL(IF('Bank Schedule'!$K$2:$K$825="Vacant", ROW('Bank Schedule'!$K$2:$K$825)), ROW(6:6))), "")</f>
        <v>MEL</v>
      </c>
      <c r="D9" s="29" t="n">
        <f aca="false" t="array" ref="D9:D9">IFERROR(INDEX('Bank Schedule'!D:D, SMALL(IF('Bank Schedule'!$K$2:$K$825="Vacant", ROW('Bank Schedule'!$K$2:$K$825)), ROW(6:6))), "")</f>
        <v>550070</v>
      </c>
      <c r="E9" s="29" t="str">
        <f aca="false" t="array" ref="E9:E9">IFERROR(INDEX('Bank Schedule'!E:E, SMALL(IF('Bank Schedule'!$K$2:$K$825="Vacant", ROW('Bank Schedule'!$K$2:$K$825)), ROW(6:6))), "")</f>
        <v>Windsor House, 40-41 Great Castle Street</v>
      </c>
      <c r="F9" s="29" t="str">
        <f aca="false" t="array" ref="F9:F9">IFERROR(INDEX('Bank Schedule'!F:F, SMALL(IF('Bank Schedule'!$K$2:$K$825="Vacant", ROW('Bank Schedule'!$K$2:$K$825)), ROW(6:6))), "")</f>
        <v>Basement &amp; Ground Floor</v>
      </c>
      <c r="G9" s="29" t="str">
        <f aca="false" t="array" ref="G9:G9">IFERROR(INDEX('Bank Schedule'!G:G, SMALL(IF('Bank Schedule'!$K$2:$K$825="Vacant", ROW('Bank Schedule'!$K$2:$K$825)), ROW(6:6))), "")</f>
        <v>Retail/Café</v>
      </c>
      <c r="H9" s="305" t="n">
        <f aca="false" t="array" ref="H9:H9">IFERROR(INDEX('Bank Schedule'!H:H, SMALL(IF('Bank Schedule'!$K$2:$K$825="Vacant", ROW('Bank Schedule'!$K$2:$K$825)), ROW(6:6))), "")</f>
        <v>2235</v>
      </c>
      <c r="I9" s="29" t="n">
        <f aca="false" t="array" ref="I9:I9">IFERROR(INDEX('Bank Schedule'!I:I, SMALL(IF('Bank Schedule'!$K$2:$K$825="Vacant", ROW('Bank Schedule'!$K$2:$K$825)), ROW(6:6))), "")</f>
        <v>2235</v>
      </c>
      <c r="J9" s="305" t="n">
        <f aca="false" t="array" ref="J9:J9">IFERROR(INDEX('Bank Schedule'!J:J, SMALL(IF('Bank Schedule'!$K$2:$K$825="Vacant", ROW('Bank Schedule'!$K$2:$K$825)), ROW(6:6))), "")</f>
        <v>2000</v>
      </c>
      <c r="K9" s="29" t="str">
        <f aca="false" t="array" ref="K9:K9">IFERROR(INDEX('Bank Schedule'!K:K, SMALL(IF('Bank Schedule'!$K$2:$K$825="Vacant", ROW('Bank Schedule'!$K$2:$K$825)), ROW(6:6))), "")</f>
        <v>Vacant</v>
      </c>
      <c r="L9" s="29" t="str">
        <f aca="false">IFERROR(INDEX('Bank Schedule'!L:L, SMALL(IF('Bank Schedule'!$K$2:$K$825="Vacant", ROW('Bank Schedule'!$K$2:$K$825)), ROW(6:6))), "")</f>
        <v/>
      </c>
      <c r="M9" s="29" t="str">
        <f aca="false">IFERROR(INDEX('Bank Schedule'!M:M, SMALL(IF('Bank Schedule'!$K$2:$K$825="Vacant", ROW('Bank Schedule'!$K$2:$K$825)), ROW(6:6))), "")</f>
        <v/>
      </c>
      <c r="N9" s="307" t="n">
        <f aca="false" t="array" ref="N9:N9">IFERROR(INDEX('Bank Schedule'!N:N, SMALL(IF('Bank Schedule'!$K$2:$K$825="Vacant", ROW('Bank Schedule'!$K$2:$K$825)), ROW(6:6))), "")</f>
        <v>45754</v>
      </c>
      <c r="O9" s="29" t="str">
        <f aca="false">IFERROR(INDEX('Bank Schedule'!O:O, SMALL(IF('Bank Schedule'!$K$2:$K$825="Vacant", ROW('Bank Schedule'!$K$2:$K$825)), ROW(6:6))), "")</f>
        <v/>
      </c>
      <c r="P9" s="29" t="str">
        <f aca="false">IFERROR(INDEX('Bank Schedule'!P:P, SMALL(IF('Bank Schedule'!$K$2:$K$825="Vacant", ROW('Bank Schedule'!$K$2:$K$825)), ROW(6:6))), "")</f>
        <v/>
      </c>
      <c r="Q9" s="29" t="n">
        <f aca="false" t="array" ref="Q9:Q9">IFERROR(INDEX('Bank Schedule'!Q:Q, SMALL(IF('Bank Schedule'!$K$2:$K$825="Vacant", ROW('Bank Schedule'!$K$2:$K$825)), ROW(6:6))), "")</f>
        <v>0</v>
      </c>
      <c r="R9" s="29" t="n">
        <f aca="false" t="array" ref="R9:R9">IFERROR(INDEX('Bank Schedule'!R:R, SMALL(IF('Bank Schedule'!$K$2:$K$825="Vacant", ROW('Bank Schedule'!$K$2:$K$825)), ROW(6:6))), "")</f>
        <v>0</v>
      </c>
      <c r="S9" s="29" t="str">
        <f aca="false">IFERROR(INDEX('Bank Schedule'!S:S, SMALL(IF('Bank Schedule'!$K$2:$K$825="Vacant", ROW('Bank Schedule'!$K$2:$K$825)), ROW(6:6))), "")</f>
        <v/>
      </c>
      <c r="T9" s="309" t="n">
        <f aca="false" t="array" ref="T9:T9">IFERROR(INDEX('Bank Schedule'!T:T, SMALL(IF('Bank Schedule'!$K$2:$K$825="Vacant", ROW('Bank Schedule'!$K$2:$K$825)), ROW(6:6))), "")</f>
        <v>143000</v>
      </c>
      <c r="U9" s="309" t="n">
        <f aca="false" t="array" ref="U9:U9">IFERROR(INDEX('Bank Schedule'!U:U, SMALL(IF('Bank Schedule'!$K$2:$K$825="Vacant", ROW('Bank Schedule'!$K$2:$K$825)), ROW(6:6))), "")</f>
        <v>143000</v>
      </c>
      <c r="V9" s="309" t="n">
        <f aca="false" t="array" ref="V9:V9">IFERROR(INDEX('Bank Schedule'!V:V, SMALL(IF('Bank Schedule'!$K$2:$K$825="Vacant", ROW('Bank Schedule'!$K$2:$K$825)), ROW(6:6))), "")</f>
        <v>145000</v>
      </c>
      <c r="W9" s="309" t="n">
        <f aca="false" t="array" ref="W9:W9">IFERROR(INDEX('Bank Schedule'!W:W, SMALL(IF('Bank Schedule'!$K$2:$K$825="Vacant", ROW('Bank Schedule'!$K$2:$K$825)), ROW(6:6))), "")</f>
        <v>145000</v>
      </c>
      <c r="X9" s="309" t="n">
        <f aca="false" t="array" ref="X9:X9">IFERROR(INDEX('Bank Schedule'!X:X, SMALL(IF('Bank Schedule'!$K$2:$K$825="Vacant", ROW('Bank Schedule'!$K$2:$K$825)), ROW(6:6))), "")</f>
        <v>64.8769574944072</v>
      </c>
      <c r="Y9" s="310" t="n">
        <f aca="false" t="array" ref="Y9:Y9">IFERROR(INDEX('Bank Schedule'!Y:Y, SMALL(IF('Bank Schedule'!$K$2:$K$825="Vacant", ROW('Bank Schedule'!$K$2:$K$825)), ROW(6:6))), "")</f>
        <v>0.013986013986014</v>
      </c>
      <c r="Z9" s="29" t="str">
        <f aca="false" t="array" ref="Z9:Z9">IFERROR(INDEX('Bank Schedule'!Z:Z, SMALL(IF('Bank Schedule'!$K$2:$K$825="Vacant", ROW('Bank Schedule'!$K$2:$K$825)), ROW(6:6))), "")</f>
        <v>D</v>
      </c>
      <c r="AA9" s="29" t="str">
        <f aca="false">IFERROR(INDEX('Bank Schedule'!AA:AA, SMALL(IF('Bank Schedule'!$K$2:$K$825="Vacant", ROW('Bank Schedule'!$K$2:$K$825)), ROW(6:6))), "")</f>
        <v/>
      </c>
      <c r="AB9" s="29" t="str">
        <f aca="false">IFERROR(INDEX('Bank Schedule'!AB:AB, SMALL(IF('Bank Schedule'!$K$2:$K$825="Vacant", ROW('Bank Schedule'!$K$2:$K$825)), ROW(6:6))), "")</f>
        <v/>
      </c>
      <c r="AC9" s="29" t="str">
        <f aca="false" t="array" ref="AC9:AC9">IFERROR(INDEX('Bank Schedule'!AC:AC, SMALL(IF('Bank Schedule'!$K$2:$K$825="Vacant", ROW('Bank Schedule'!$K$2:$K$825)), ROW(6:6))), "")</f>
        <v>No</v>
      </c>
      <c r="AD9" s="29" t="str">
        <f aca="false" t="array" ref="AD9:AD9">IFERROR(INDEX('Bank Schedule'!AD:AD, SMALL(IF('Bank Schedule'!$K$2:$K$825="Vacant", ROW('Bank Schedule'!$K$2:$K$825)), ROW(6:6))), "")</f>
        <v>LEM Marketing.</v>
      </c>
      <c r="AE9" s="281" t="str">
        <f aca="false">IFERROR(INDEX('Bank Schedule'!AE:AE, SMALL(IF('Bank Schedule'!$K$2:$K$825="Vacant", ROW('Bank Schedule'!$K$2:$K$825)), ROW(6:6))), "")</f>
        <v/>
      </c>
      <c r="AF9" s="29" t="n">
        <f aca="false" t="array" ref="AF9:AF9">IFERROR(INDEX('Bank Schedule'!AF:AF, SMALL(IF('Bank Schedule'!$K$2:$K$825="Vacant", ROW('Bank Schedule'!$K$2:$K$825)), ROW(6:6))), "")</f>
        <v>15</v>
      </c>
      <c r="AG9" s="29" t="n">
        <f aca="false" t="array" ref="AG9:AG9">IFERROR(INDEX('Bank Schedule'!AG:AG, SMALL(IF('Bank Schedule'!$K$2:$K$825="Vacant", ROW('Bank Schedule'!$K$2:$K$825)), ROW(6:6))), "")</f>
        <v>15</v>
      </c>
      <c r="AH9" s="29" t="str">
        <f aca="false">IFERROR(INDEX('Bank Schedule'!AH:AH, SMALL(IF('Bank Schedule'!$K$2:$K$825="Vacant", ROW('Bank Schedule'!$K$2:$K$825)), ROW(6:6))), "")</f>
        <v/>
      </c>
      <c r="AI9" s="4"/>
    </row>
    <row r="10" customFormat="false" ht="28.5" hidden="false" customHeight="true" outlineLevel="0" collapsed="false">
      <c r="A10" s="29" t="str">
        <f aca="false">IFERROR(INDEX('Bank Schedule'!A:A, SMALL(IF('Bank Schedule'!$K$2:$K$825="Vacant", ROW('Bank Schedule'!$K$2:$K$825)), ROW(7:7))), "")</f>
        <v/>
      </c>
      <c r="B10" s="29" t="str">
        <f aca="false" t="array" ref="B10:B10">IFERROR(INDEX('Bank Schedule'!B:B, SMALL(IF('Bank Schedule'!$K$2:$K$825="Vacant", ROW('Bank Schedule'!$K$2:$K$825)), ROW(7:7))), "")</f>
        <v>SH</v>
      </c>
      <c r="C10" s="29" t="str">
        <f aca="false" t="array" ref="C10:C10">IFERROR(INDEX('Bank Schedule'!C:C, SMALL(IF('Bank Schedule'!$K$2:$K$825="Vacant", ROW('Bank Schedule'!$K$2:$K$825)), ROW(7:7))), "")</f>
        <v>MEL</v>
      </c>
      <c r="D10" s="29" t="n">
        <f aca="false" t="array" ref="D10:D10">IFERROR(INDEX('Bank Schedule'!D:D, SMALL(IF('Bank Schedule'!$K$2:$K$825="Vacant", ROW('Bank Schedule'!$K$2:$K$825)), ROW(7:7))), "")</f>
        <v>550070</v>
      </c>
      <c r="E10" s="29" t="str">
        <f aca="false" t="array" ref="E10:E10">IFERROR(INDEX('Bank Schedule'!E:E, SMALL(IF('Bank Schedule'!$K$2:$K$825="Vacant", ROW('Bank Schedule'!$K$2:$K$825)), ROW(7:7))), "")</f>
        <v>Windsor House, 40-41 Great Castle Street</v>
      </c>
      <c r="F10" s="29" t="str">
        <f aca="false" t="array" ref="F10:F10">IFERROR(INDEX('Bank Schedule'!F:F, SMALL(IF('Bank Schedule'!$K$2:$K$825="Vacant", ROW('Bank Schedule'!$K$2:$K$825)), ROW(7:7))), "")</f>
        <v>Fourth Floor</v>
      </c>
      <c r="G10" s="29" t="str">
        <f aca="false" t="array" ref="G10:G10">IFERROR(INDEX('Bank Schedule'!G:G, SMALL(IF('Bank Schedule'!$K$2:$K$825="Vacant", ROW('Bank Schedule'!$K$2:$K$825)), ROW(7:7))), "")</f>
        <v>Office</v>
      </c>
      <c r="H10" s="305" t="n">
        <f aca="false" t="array" ref="H10:H10">IFERROR(INDEX('Bank Schedule'!H:H, SMALL(IF('Bank Schedule'!$K$2:$K$825="Vacant", ROW('Bank Schedule'!$K$2:$K$825)), ROW(7:7))), "")</f>
        <v>400</v>
      </c>
      <c r="I10" s="29" t="n">
        <f aca="false" t="array" ref="I10:I10">IFERROR(INDEX('Bank Schedule'!I:I, SMALL(IF('Bank Schedule'!$K$2:$K$825="Vacant", ROW('Bank Schedule'!$K$2:$K$825)), ROW(7:7))), "")</f>
        <v>400</v>
      </c>
      <c r="J10" s="305" t="n">
        <f aca="false" t="array" ref="J10:J10">IFERROR(INDEX('Bank Schedule'!J:J, SMALL(IF('Bank Schedule'!$K$2:$K$825="Vacant", ROW('Bank Schedule'!$K$2:$K$825)), ROW(7:7))), "")</f>
        <v>500</v>
      </c>
      <c r="K10" s="29" t="str">
        <f aca="false" t="array" ref="K10:K10">IFERROR(INDEX('Bank Schedule'!K:K, SMALL(IF('Bank Schedule'!$K$2:$K$825="Vacant", ROW('Bank Schedule'!$K$2:$K$825)), ROW(7:7))), "")</f>
        <v>Vacant</v>
      </c>
      <c r="L10" s="29" t="str">
        <f aca="false">IFERROR(INDEX('Bank Schedule'!L:L, SMALL(IF('Bank Schedule'!$K$2:$K$825="Vacant", ROW('Bank Schedule'!$K$2:$K$825)), ROW(7:7))), "")</f>
        <v/>
      </c>
      <c r="M10" s="29" t="str">
        <f aca="false">IFERROR(INDEX('Bank Schedule'!M:M, SMALL(IF('Bank Schedule'!$K$2:$K$825="Vacant", ROW('Bank Schedule'!$K$2:$K$825)), ROW(7:7))), "")</f>
        <v/>
      </c>
      <c r="N10" s="307" t="n">
        <f aca="false" t="array" ref="N10:N10">IFERROR(INDEX('Bank Schedule'!N:N, SMALL(IF('Bank Schedule'!$K$2:$K$825="Vacant", ROW('Bank Schedule'!$K$2:$K$825)), ROW(7:7))), "")</f>
        <v>44168</v>
      </c>
      <c r="O10" s="29" t="str">
        <f aca="false">IFERROR(INDEX('Bank Schedule'!O:O, SMALL(IF('Bank Schedule'!$K$2:$K$825="Vacant", ROW('Bank Schedule'!$K$2:$K$825)), ROW(7:7))), "")</f>
        <v/>
      </c>
      <c r="P10" s="29" t="str">
        <f aca="false">IFERROR(INDEX('Bank Schedule'!P:P, SMALL(IF('Bank Schedule'!$K$2:$K$825="Vacant", ROW('Bank Schedule'!$K$2:$K$825)), ROW(7:7))), "")</f>
        <v/>
      </c>
      <c r="Q10" s="29" t="n">
        <f aca="false" t="array" ref="Q10:Q10">IFERROR(INDEX('Bank Schedule'!Q:Q, SMALL(IF('Bank Schedule'!$K$2:$K$825="Vacant", ROW('Bank Schedule'!$K$2:$K$825)), ROW(7:7))), "")</f>
        <v>0</v>
      </c>
      <c r="R10" s="29" t="n">
        <f aca="false" t="array" ref="R10:R10">IFERROR(INDEX('Bank Schedule'!R:R, SMALL(IF('Bank Schedule'!$K$2:$K$825="Vacant", ROW('Bank Schedule'!$K$2:$K$825)), ROW(7:7))), "")</f>
        <v>0</v>
      </c>
      <c r="S10" s="29" t="str">
        <f aca="false">IFERROR(INDEX('Bank Schedule'!S:S, SMALL(IF('Bank Schedule'!$K$2:$K$825="Vacant", ROW('Bank Schedule'!$K$2:$K$825)), ROW(7:7))), "")</f>
        <v/>
      </c>
      <c r="T10" s="309" t="n">
        <f aca="false" t="array" ref="T10:T10">IFERROR(INDEX('Bank Schedule'!T:T, SMALL(IF('Bank Schedule'!$K$2:$K$825="Vacant", ROW('Bank Schedule'!$K$2:$K$825)), ROW(7:7))), "")</f>
        <v>21600</v>
      </c>
      <c r="U10" s="309" t="n">
        <f aca="false" t="array" ref="U10:U10">IFERROR(INDEX('Bank Schedule'!U:U, SMALL(IF('Bank Schedule'!$K$2:$K$825="Vacant", ROW('Bank Schedule'!$K$2:$K$825)), ROW(7:7))), "")</f>
        <v>21600</v>
      </c>
      <c r="V10" s="309" t="n">
        <f aca="false" t="array" ref="V10:V10">IFERROR(INDEX('Bank Schedule'!V:V, SMALL(IF('Bank Schedule'!$K$2:$K$825="Vacant", ROW('Bank Schedule'!$K$2:$K$825)), ROW(7:7))), "")</f>
        <v>22000</v>
      </c>
      <c r="W10" s="309" t="n">
        <f aca="false" t="array" ref="W10:W10">IFERROR(INDEX('Bank Schedule'!W:W, SMALL(IF('Bank Schedule'!$K$2:$K$825="Vacant", ROW('Bank Schedule'!$K$2:$K$825)), ROW(7:7))), "")</f>
        <v>22000</v>
      </c>
      <c r="X10" s="309" t="n">
        <f aca="false" t="array" ref="X10:X10">IFERROR(INDEX('Bank Schedule'!X:X, SMALL(IF('Bank Schedule'!$K$2:$K$825="Vacant", ROW('Bank Schedule'!$K$2:$K$825)), ROW(7:7))), "")</f>
        <v>55</v>
      </c>
      <c r="Y10" s="310" t="n">
        <f aca="false" t="array" ref="Y10:Y10">IFERROR(INDEX('Bank Schedule'!Y:Y, SMALL(IF('Bank Schedule'!$K$2:$K$825="Vacant", ROW('Bank Schedule'!$K$2:$K$825)), ROW(7:7))), "")</f>
        <v>0.0185185185185185</v>
      </c>
      <c r="Z10" s="29" t="str">
        <f aca="false" t="array" ref="Z10:Z10">IFERROR(INDEX('Bank Schedule'!Z:Z, SMALL(IF('Bank Schedule'!$K$2:$K$825="Vacant", ROW('Bank Schedule'!$K$2:$K$825)), ROW(7:7))), "")</f>
        <v>D</v>
      </c>
      <c r="AA10" s="29" t="str">
        <f aca="false">IFERROR(INDEX('Bank Schedule'!AA:AA, SMALL(IF('Bank Schedule'!$K$2:$K$825="Vacant", ROW('Bank Schedule'!$K$2:$K$825)), ROW(7:7))), "")</f>
        <v/>
      </c>
      <c r="AB10" s="29" t="str">
        <f aca="false">IFERROR(INDEX('Bank Schedule'!AB:AB, SMALL(IF('Bank Schedule'!$K$2:$K$825="Vacant", ROW('Bank Schedule'!$K$2:$K$825)), ROW(7:7))), "")</f>
        <v/>
      </c>
      <c r="AC10" s="29" t="str">
        <f aca="false" t="array" ref="AC10:AC10">IFERROR(INDEX('Bank Schedule'!AC:AC, SMALL(IF('Bank Schedule'!$K$2:$K$825="Vacant", ROW('Bank Schedule'!$K$2:$K$825)), ROW(7:7))), "")</f>
        <v>No</v>
      </c>
      <c r="AD10" s="29" t="str">
        <f aca="false" t="array" ref="AD10:AD10">IFERROR(INDEX('Bank Schedule'!AD:AD, SMALL(IF('Bank Schedule'!$K$2:$K$825="Vacant", ROW('Bank Schedule'!$K$2:$K$825)), ROW(7:7))), "")</f>
        <v>To be refurbished.</v>
      </c>
      <c r="AE10" s="281" t="str">
        <f aca="false">IFERROR(INDEX('Bank Schedule'!AE:AE, SMALL(IF('Bank Schedule'!$K$2:$K$825="Vacant", ROW('Bank Schedule'!$K$2:$K$825)), ROW(7:7))), "")</f>
        <v/>
      </c>
      <c r="AF10" s="29" t="str">
        <f aca="false">IFERROR(INDEX('Bank Schedule'!AF:AF, SMALL(IF('Bank Schedule'!$K$2:$K$825="Vacant", ROW('Bank Schedule'!$K$2:$K$825)), ROW(7:7))), "")</f>
        <v/>
      </c>
      <c r="AG10" s="29" t="str">
        <f aca="false">IFERROR(INDEX('Bank Schedule'!AG:AG, SMALL(IF('Bank Schedule'!$K$2:$K$825="Vacant", ROW('Bank Schedule'!$K$2:$K$825)), ROW(7:7))), "")</f>
        <v/>
      </c>
      <c r="AH10" s="29" t="str">
        <f aca="false">IFERROR(INDEX('Bank Schedule'!AH:AH, SMALL(IF('Bank Schedule'!$K$2:$K$825="Vacant", ROW('Bank Schedule'!$K$2:$K$825)), ROW(7:7))), "")</f>
        <v/>
      </c>
      <c r="AI10" s="4"/>
    </row>
    <row r="11" customFormat="false" ht="28.5" hidden="false" customHeight="true" outlineLevel="0" collapsed="false">
      <c r="A11" s="29" t="str">
        <f aca="false">IFERROR(INDEX('Bank Schedule'!A:A, SMALL(IF('Bank Schedule'!$K$2:$K$825="Vacant", ROW('Bank Schedule'!$K$2:$K$825)), ROW(8:8))), "")</f>
        <v/>
      </c>
      <c r="B11" s="29" t="str">
        <f aca="false" t="array" ref="B11:B11">IFERROR(INDEX('Bank Schedule'!B:B, SMALL(IF('Bank Schedule'!$K$2:$K$825="Vacant", ROW('Bank Schedule'!$K$2:$K$825)), ROW(8:8))), "")</f>
        <v>SH</v>
      </c>
      <c r="C11" s="29" t="str">
        <f aca="false" t="array" ref="C11:C11">IFERROR(INDEX('Bank Schedule'!C:C, SMALL(IF('Bank Schedule'!$K$2:$K$825="Vacant", ROW('Bank Schedule'!$K$2:$K$825)), ROW(8:8))), "")</f>
        <v>MEL</v>
      </c>
      <c r="D11" s="29" t="n">
        <f aca="false" t="array" ref="D11:D11">IFERROR(INDEX('Bank Schedule'!D:D, SMALL(IF('Bank Schedule'!$K$2:$K$825="Vacant", ROW('Bank Schedule'!$K$2:$K$825)), ROW(8:8))), "")</f>
        <v>550470</v>
      </c>
      <c r="E11" s="29" t="str">
        <f aca="false" t="array" ref="E11:E11">IFERROR(INDEX('Bank Schedule'!E:E, SMALL(IF('Bank Schedule'!$K$2:$K$825="Vacant", ROW('Bank Schedule'!$K$2:$K$825)), ROW(8:8))), "")</f>
        <v>Portland House, 4 Great Portland Street</v>
      </c>
      <c r="F11" s="29" t="str">
        <f aca="false" t="array" ref="F11:F11">IFERROR(INDEX('Bank Schedule'!F:F, SMALL(IF('Bank Schedule'!$K$2:$K$825="Vacant", ROW('Bank Schedule'!$K$2:$K$825)), ROW(8:8))), "")</f>
        <v>Second Floor (West)</v>
      </c>
      <c r="G11" s="29" t="str">
        <f aca="false" t="array" ref="G11:G11">IFERROR(INDEX('Bank Schedule'!G:G, SMALL(IF('Bank Schedule'!$K$2:$K$825="Vacant", ROW('Bank Schedule'!$K$2:$K$825)), ROW(8:8))), "")</f>
        <v>Office</v>
      </c>
      <c r="H11" s="305" t="n">
        <f aca="false" t="array" ref="H11:H11">IFERROR(INDEX('Bank Schedule'!H:H, SMALL(IF('Bank Schedule'!$K$2:$K$825="Vacant", ROW('Bank Schedule'!$K$2:$K$825)), ROW(8:8))), "")</f>
        <v>1796</v>
      </c>
      <c r="I11" s="29" t="n">
        <f aca="false" t="array" ref="I11:I11">IFERROR(INDEX('Bank Schedule'!I:I, SMALL(IF('Bank Schedule'!$K$2:$K$825="Vacant", ROW('Bank Schedule'!$K$2:$K$825)), ROW(8:8))), "")</f>
        <v>1796</v>
      </c>
      <c r="J11" s="305" t="n">
        <f aca="false" t="array" ref="J11:J11">IFERROR(INDEX('Bank Schedule'!J:J, SMALL(IF('Bank Schedule'!$K$2:$K$825="Vacant", ROW('Bank Schedule'!$K$2:$K$825)), ROW(8:8))), "")</f>
        <v>1750</v>
      </c>
      <c r="K11" s="29" t="str">
        <f aca="false" t="array" ref="K11:K11">IFERROR(INDEX('Bank Schedule'!K:K, SMALL(IF('Bank Schedule'!$K$2:$K$825="Vacant", ROW('Bank Schedule'!$K$2:$K$825)), ROW(8:8))), "")</f>
        <v>Vacant</v>
      </c>
      <c r="L11" s="29" t="str">
        <f aca="false">IFERROR(INDEX('Bank Schedule'!L:L, SMALL(IF('Bank Schedule'!$K$2:$K$825="Vacant", ROW('Bank Schedule'!$K$2:$K$825)), ROW(8:8))), "")</f>
        <v/>
      </c>
      <c r="M11" s="29" t="str">
        <f aca="false">IFERROR(INDEX('Bank Schedule'!M:M, SMALL(IF('Bank Schedule'!$K$2:$K$825="Vacant", ROW('Bank Schedule'!$K$2:$K$825)), ROW(8:8))), "")</f>
        <v/>
      </c>
      <c r="N11" s="307" t="n">
        <f aca="false" t="array" ref="N11:N11">IFERROR(INDEX('Bank Schedule'!N:N, SMALL(IF('Bank Schedule'!$K$2:$K$825="Vacant", ROW('Bank Schedule'!$K$2:$K$825)), ROW(8:8))), "")</f>
        <v>45051</v>
      </c>
      <c r="O11" s="29" t="str">
        <f aca="false">IFERROR(INDEX('Bank Schedule'!O:O, SMALL(IF('Bank Schedule'!$K$2:$K$825="Vacant", ROW('Bank Schedule'!$K$2:$K$825)), ROW(8:8))), "")</f>
        <v/>
      </c>
      <c r="P11" s="29" t="str">
        <f aca="false">IFERROR(INDEX('Bank Schedule'!P:P, SMALL(IF('Bank Schedule'!$K$2:$K$825="Vacant", ROW('Bank Schedule'!$K$2:$K$825)), ROW(8:8))), "")</f>
        <v/>
      </c>
      <c r="Q11" s="29" t="n">
        <f aca="false" t="array" ref="Q11:Q11">IFERROR(INDEX('Bank Schedule'!Q:Q, SMALL(IF('Bank Schedule'!$K$2:$K$825="Vacant", ROW('Bank Schedule'!$K$2:$K$825)), ROW(8:8))), "")</f>
        <v>0</v>
      </c>
      <c r="R11" s="29" t="n">
        <f aca="false" t="array" ref="R11:R11">IFERROR(INDEX('Bank Schedule'!R:R, SMALL(IF('Bank Schedule'!$K$2:$K$825="Vacant", ROW('Bank Schedule'!$K$2:$K$825)), ROW(8:8))), "")</f>
        <v>0</v>
      </c>
      <c r="S11" s="29" t="str">
        <f aca="false">IFERROR(INDEX('Bank Schedule'!S:S, SMALL(IF('Bank Schedule'!$K$2:$K$825="Vacant", ROW('Bank Schedule'!$K$2:$K$825)), ROW(8:8))), "")</f>
        <v/>
      </c>
      <c r="T11" s="309" t="n">
        <f aca="false" t="array" ref="T11:T11">IFERROR(INDEX('Bank Schedule'!T:T, SMALL(IF('Bank Schedule'!$K$2:$K$825="Vacant", ROW('Bank Schedule'!$K$2:$K$825)), ROW(8:8))), "")</f>
        <v>87300</v>
      </c>
      <c r="U11" s="309" t="n">
        <f aca="false" t="array" ref="U11:U11">IFERROR(INDEX('Bank Schedule'!U:U, SMALL(IF('Bank Schedule'!$K$2:$K$825="Vacant", ROW('Bank Schedule'!$K$2:$K$825)), ROW(8:8))), "")</f>
        <v>87300</v>
      </c>
      <c r="V11" s="309" t="n">
        <f aca="false" t="array" ref="V11:V11">IFERROR(INDEX('Bank Schedule'!V:V, SMALL(IF('Bank Schedule'!$K$2:$K$825="Vacant", ROW('Bank Schedule'!$K$2:$K$825)), ROW(8:8))), "")</f>
        <v>121240</v>
      </c>
      <c r="W11" s="309" t="n">
        <f aca="false" t="array" ref="W11:W11">IFERROR(INDEX('Bank Schedule'!W:W, SMALL(IF('Bank Schedule'!$K$2:$K$825="Vacant", ROW('Bank Schedule'!$K$2:$K$825)), ROW(8:8))), "")</f>
        <v>121240</v>
      </c>
      <c r="X11" s="309" t="n">
        <f aca="false" t="array" ref="X11:X11">IFERROR(INDEX('Bank Schedule'!X:X, SMALL(IF('Bank Schedule'!$K$2:$K$825="Vacant", ROW('Bank Schedule'!$K$2:$K$825)), ROW(8:8))), "")</f>
        <v>67.5055679287305</v>
      </c>
      <c r="Y11" s="310" t="n">
        <f aca="false" t="array" ref="Y11:Y11">IFERROR(INDEX('Bank Schedule'!Y:Y, SMALL(IF('Bank Schedule'!$K$2:$K$825="Vacant", ROW('Bank Schedule'!$K$2:$K$825)), ROW(8:8))), "")</f>
        <v>0.388774341351661</v>
      </c>
      <c r="Z11" s="29" t="str">
        <f aca="false" t="array" ref="Z11:Z11">IFERROR(INDEX('Bank Schedule'!Z:Z, SMALL(IF('Bank Schedule'!$K$2:$K$825="Vacant", ROW('Bank Schedule'!$K$2:$K$825)), ROW(8:8))), "")</f>
        <v>B</v>
      </c>
      <c r="AA11" s="29" t="str">
        <f aca="false">IFERROR(INDEX('Bank Schedule'!AA:AA, SMALL(IF('Bank Schedule'!$K$2:$K$825="Vacant", ROW('Bank Schedule'!$K$2:$K$825)), ROW(8:8))), "")</f>
        <v/>
      </c>
      <c r="AB11" s="29" t="str">
        <f aca="false">IFERROR(INDEX('Bank Schedule'!AB:AB, SMALL(IF('Bank Schedule'!$K$2:$K$825="Vacant", ROW('Bank Schedule'!$K$2:$K$825)), ROW(8:8))), "")</f>
        <v/>
      </c>
      <c r="AC11" s="29" t="str">
        <f aca="false" t="array" ref="AC11:AC11">IFERROR(INDEX('Bank Schedule'!AC:AC, SMALL(IF('Bank Schedule'!$K$2:$K$825="Vacant", ROW('Bank Schedule'!$K$2:$K$825)), ROW(8:8))), "")</f>
        <v>No</v>
      </c>
      <c r="AD11" s="29" t="str">
        <f aca="false" t="array" ref="AD11:AD11">IFERROR(INDEX('Bank Schedule'!AD:AD, SMALL(IF('Bank Schedule'!$K$2:$K$825="Vacant", ROW('Bank Schedule'!$K$2:$K$825)), ROW(8:8))), "")</f>
        <v>LEM marketing.</v>
      </c>
      <c r="AE11" s="281" t="n">
        <f aca="false" t="array" ref="AE11:AE11">IFERROR(INDEX('Bank Schedule'!AE:AE, SMALL(IF('Bank Schedule'!$K$2:$K$825="Vacant", ROW('Bank Schedule'!$K$2:$K$825)), ROW(8:8))), "")</f>
        <v>72.5</v>
      </c>
      <c r="AF11" s="29" t="n">
        <f aca="false" t="array" ref="AF11:AF11">IFERROR(INDEX('Bank Schedule'!AF:AF, SMALL(IF('Bank Schedule'!$K$2:$K$825="Vacant", ROW('Bank Schedule'!$K$2:$K$825)), ROW(8:8))), "")</f>
        <v>3</v>
      </c>
      <c r="AG11" s="29" t="n">
        <f aca="false" t="array" ref="AG11:AG11">IFERROR(INDEX('Bank Schedule'!AG:AG, SMALL(IF('Bank Schedule'!$K$2:$K$825="Vacant", ROW('Bank Schedule'!$K$2:$K$825)), ROW(8:8))), "")</f>
        <v>13</v>
      </c>
      <c r="AH11" s="29" t="str">
        <f aca="false" t="array" ref="AH11:AH11">IFERROR(INDEX('Bank Schedule'!AH:AH, SMALL(IF('Bank Schedule'!$K$2:$K$825="Vacant", ROW('Bank Schedule'!$K$2:$K$825)), ROW(8:8))), "")</f>
        <v>LEM/LDG</v>
      </c>
      <c r="AI11" s="4"/>
    </row>
    <row r="12" customFormat="false" ht="28.5" hidden="false" customHeight="true" outlineLevel="0" collapsed="false">
      <c r="A12" s="29" t="str">
        <f aca="false">IFERROR(INDEX('Bank Schedule'!A:A, SMALL(IF('Bank Schedule'!$K$2:$K$825="Vacant", ROW('Bank Schedule'!$K$2:$K$825)), ROW(9:9))), "")</f>
        <v/>
      </c>
      <c r="B12" s="29" t="str">
        <f aca="false" t="array" ref="B12:B12">IFERROR(INDEX('Bank Schedule'!B:B, SMALL(IF('Bank Schedule'!$K$2:$K$825="Vacant", ROW('Bank Schedule'!$K$2:$K$825)), ROW(9:9))), "")</f>
        <v>SH</v>
      </c>
      <c r="C12" s="29" t="str">
        <f aca="false" t="array" ref="C12:C12">IFERROR(INDEX('Bank Schedule'!C:C, SMALL(IF('Bank Schedule'!$K$2:$K$825="Vacant", ROW('Bank Schedule'!$K$2:$K$825)), ROW(9:9))), "")</f>
        <v>MEL</v>
      </c>
      <c r="D12" s="29" t="n">
        <f aca="false" t="array" ref="D12:D12">IFERROR(INDEX('Bank Schedule'!D:D, SMALL(IF('Bank Schedule'!$K$2:$K$825="Vacant", ROW('Bank Schedule'!$K$2:$K$825)), ROW(9:9))), "")</f>
        <v>550470</v>
      </c>
      <c r="E12" s="29" t="str">
        <f aca="false" t="array" ref="E12:E12">IFERROR(INDEX('Bank Schedule'!E:E, SMALL(IF('Bank Schedule'!$K$2:$K$825="Vacant", ROW('Bank Schedule'!$K$2:$K$825)), ROW(9:9))), "")</f>
        <v>Portland House, 4 Great Portland Street</v>
      </c>
      <c r="F12" s="29" t="str">
        <f aca="false" t="array" ref="F12:F12">IFERROR(INDEX('Bank Schedule'!F:F, SMALL(IF('Bank Schedule'!$K$2:$K$825="Vacant", ROW('Bank Schedule'!$K$2:$K$825)), ROW(9:9))), "")</f>
        <v>Sixth Floor (East)</v>
      </c>
      <c r="G12" s="29" t="str">
        <f aca="false" t="array" ref="G12:G12">IFERROR(INDEX('Bank Schedule'!G:G, SMALL(IF('Bank Schedule'!$K$2:$K$825="Vacant", ROW('Bank Schedule'!$K$2:$K$825)), ROW(9:9))), "")</f>
        <v>Office</v>
      </c>
      <c r="H12" s="305" t="n">
        <f aca="false" t="array" ref="H12:H12">IFERROR(INDEX('Bank Schedule'!H:H, SMALL(IF('Bank Schedule'!$K$2:$K$825="Vacant", ROW('Bank Schedule'!$K$2:$K$825)), ROW(9:9))), "")</f>
        <v>859</v>
      </c>
      <c r="I12" s="29" t="n">
        <f aca="false" t="array" ref="I12:I12">IFERROR(INDEX('Bank Schedule'!I:I, SMALL(IF('Bank Schedule'!$K$2:$K$825="Vacant", ROW('Bank Schedule'!$K$2:$K$825)), ROW(9:9))), "")</f>
        <v>859</v>
      </c>
      <c r="J12" s="305" t="n">
        <f aca="false" t="array" ref="J12:J12">IFERROR(INDEX('Bank Schedule'!J:J, SMALL(IF('Bank Schedule'!$K$2:$K$825="Vacant", ROW('Bank Schedule'!$K$2:$K$825)), ROW(9:9))), "")</f>
        <v>1000</v>
      </c>
      <c r="K12" s="29" t="str">
        <f aca="false" t="array" ref="K12:K12">IFERROR(INDEX('Bank Schedule'!K:K, SMALL(IF('Bank Schedule'!$K$2:$K$825="Vacant", ROW('Bank Schedule'!$K$2:$K$825)), ROW(9:9))), "")</f>
        <v>Vacant</v>
      </c>
      <c r="L12" s="29" t="str">
        <f aca="false">IFERROR(INDEX('Bank Schedule'!L:L, SMALL(IF('Bank Schedule'!$K$2:$K$825="Vacant", ROW('Bank Schedule'!$K$2:$K$825)), ROW(9:9))), "")</f>
        <v/>
      </c>
      <c r="M12" s="29" t="str">
        <f aca="false">IFERROR(INDEX('Bank Schedule'!M:M, SMALL(IF('Bank Schedule'!$K$2:$K$825="Vacant", ROW('Bank Schedule'!$K$2:$K$825)), ROW(9:9))), "")</f>
        <v/>
      </c>
      <c r="N12" s="307" t="n">
        <f aca="false" t="array" ref="N12:N12">IFERROR(INDEX('Bank Schedule'!N:N, SMALL(IF('Bank Schedule'!$K$2:$K$825="Vacant", ROW('Bank Schedule'!$K$2:$K$825)), ROW(9:9))), "")</f>
        <v>44609</v>
      </c>
      <c r="O12" s="29" t="str">
        <f aca="false">IFERROR(INDEX('Bank Schedule'!O:O, SMALL(IF('Bank Schedule'!$K$2:$K$825="Vacant", ROW('Bank Schedule'!$K$2:$K$825)), ROW(9:9))), "")</f>
        <v/>
      </c>
      <c r="P12" s="29" t="str">
        <f aca="false">IFERROR(INDEX('Bank Schedule'!P:P, SMALL(IF('Bank Schedule'!$K$2:$K$825="Vacant", ROW('Bank Schedule'!$K$2:$K$825)), ROW(9:9))), "")</f>
        <v/>
      </c>
      <c r="Q12" s="29" t="n">
        <f aca="false" t="array" ref="Q12:Q12">IFERROR(INDEX('Bank Schedule'!Q:Q, SMALL(IF('Bank Schedule'!$K$2:$K$825="Vacant", ROW('Bank Schedule'!$K$2:$K$825)), ROW(9:9))), "")</f>
        <v>0</v>
      </c>
      <c r="R12" s="29" t="n">
        <f aca="false" t="array" ref="R12:R12">IFERROR(INDEX('Bank Schedule'!R:R, SMALL(IF('Bank Schedule'!$K$2:$K$825="Vacant", ROW('Bank Schedule'!$K$2:$K$825)), ROW(9:9))), "")</f>
        <v>0</v>
      </c>
      <c r="S12" s="29" t="str">
        <f aca="false">IFERROR(INDEX('Bank Schedule'!S:S, SMALL(IF('Bank Schedule'!$K$2:$K$825="Vacant", ROW('Bank Schedule'!$K$2:$K$825)), ROW(9:9))), "")</f>
        <v/>
      </c>
      <c r="T12" s="309" t="n">
        <f aca="false" t="array" ref="T12:T12">IFERROR(INDEX('Bank Schedule'!T:T, SMALL(IF('Bank Schedule'!$K$2:$K$825="Vacant", ROW('Bank Schedule'!$K$2:$K$825)), ROW(9:9))), "")</f>
        <v>65750</v>
      </c>
      <c r="U12" s="309" t="n">
        <f aca="false" t="array" ref="U12:U12">IFERROR(INDEX('Bank Schedule'!U:U, SMALL(IF('Bank Schedule'!$K$2:$K$825="Vacant", ROW('Bank Schedule'!$K$2:$K$825)), ROW(9:9))), "")</f>
        <v>65750</v>
      </c>
      <c r="V12" s="309" t="n">
        <f aca="false" t="array" ref="V12:V12">IFERROR(INDEX('Bank Schedule'!V:V, SMALL(IF('Bank Schedule'!$K$2:$K$825="Vacant", ROW('Bank Schedule'!$K$2:$K$825)), ROW(9:9))), "")</f>
        <v>53700</v>
      </c>
      <c r="W12" s="309" t="n">
        <f aca="false" t="array" ref="W12:W12">IFERROR(INDEX('Bank Schedule'!W:W, SMALL(IF('Bank Schedule'!$K$2:$K$825="Vacant", ROW('Bank Schedule'!$K$2:$K$825)), ROW(9:9))), "")</f>
        <v>53700</v>
      </c>
      <c r="X12" s="309" t="n">
        <f aca="false" t="array" ref="X12:X12">IFERROR(INDEX('Bank Schedule'!X:X, SMALL(IF('Bank Schedule'!$K$2:$K$825="Vacant", ROW('Bank Schedule'!$K$2:$K$825)), ROW(9:9))), "")</f>
        <v>62.5145518044237</v>
      </c>
      <c r="Y12" s="310" t="n">
        <f aca="false" t="array" ref="Y12:Y12">IFERROR(INDEX('Bank Schedule'!Y:Y, SMALL(IF('Bank Schedule'!$K$2:$K$825="Vacant", ROW('Bank Schedule'!$K$2:$K$825)), ROW(9:9))), "")</f>
        <v>-0.183269961977186</v>
      </c>
      <c r="Z12" s="29" t="str">
        <f aca="false" t="array" ref="Z12:Z12">IFERROR(INDEX('Bank Schedule'!Z:Z, SMALL(IF('Bank Schedule'!$K$2:$K$825="Vacant", ROW('Bank Schedule'!$K$2:$K$825)), ROW(9:9))), "")</f>
        <v>D</v>
      </c>
      <c r="AA12" s="29" t="str">
        <f aca="false">IFERROR(INDEX('Bank Schedule'!AA:AA, SMALL(IF('Bank Schedule'!$K$2:$K$825="Vacant", ROW('Bank Schedule'!$K$2:$K$825)), ROW(9:9))), "")</f>
        <v/>
      </c>
      <c r="AB12" s="29" t="str">
        <f aca="false">IFERROR(INDEX('Bank Schedule'!AB:AB, SMALL(IF('Bank Schedule'!$K$2:$K$825="Vacant", ROW('Bank Schedule'!$K$2:$K$825)), ROW(9:9))), "")</f>
        <v/>
      </c>
      <c r="AC12" s="29" t="str">
        <f aca="false" t="array" ref="AC12:AC12">IFERROR(INDEX('Bank Schedule'!AC:AC, SMALL(IF('Bank Schedule'!$K$2:$K$825="Vacant", ROW('Bank Schedule'!$K$2:$K$825)), ROW(9:9))), "")</f>
        <v>No</v>
      </c>
      <c r="AD12" s="29" t="str">
        <f aca="false" t="array" ref="AD12:AD12">IFERROR(INDEX('Bank Schedule'!AD:AD, SMALL(IF('Bank Schedule'!$K$2:$K$825="Vacant", ROW('Bank Schedule'!$K$2:$K$825)), ROW(9:9))), "")</f>
        <v>LEM marketing.</v>
      </c>
      <c r="AE12" s="281" t="n">
        <f aca="false" t="array" ref="AE12:AE12">IFERROR(INDEX('Bank Schedule'!AE:AE, SMALL(IF('Bank Schedule'!$K$2:$K$825="Vacant", ROW('Bank Schedule'!$K$2:$K$825)), ROW(9:9))), "")</f>
        <v>63</v>
      </c>
      <c r="AF12" s="29" t="str">
        <f aca="false">IFERROR(INDEX('Bank Schedule'!AF:AF, SMALL(IF('Bank Schedule'!$K$2:$K$825="Vacant", ROW('Bank Schedule'!$K$2:$K$825)), ROW(9:9))), "")</f>
        <v/>
      </c>
      <c r="AG12" s="29" t="n">
        <f aca="false" t="array" ref="AG12:AG12">IFERROR(INDEX('Bank Schedule'!AG:AG, SMALL(IF('Bank Schedule'!$K$2:$K$825="Vacant", ROW('Bank Schedule'!$K$2:$K$825)), ROW(9:9))), "")</f>
        <v>2</v>
      </c>
      <c r="AH12" s="29" t="str">
        <f aca="false">IFERROR(INDEX('Bank Schedule'!AH:AH, SMALL(IF('Bank Schedule'!$K$2:$K$825="Vacant", ROW('Bank Schedule'!$K$2:$K$825)), ROW(9:9))), "")</f>
        <v/>
      </c>
      <c r="AI12" s="4"/>
    </row>
    <row r="13" customFormat="false" ht="28.5" hidden="false" customHeight="true" outlineLevel="0" collapsed="false">
      <c r="A13" s="29" t="str">
        <f aca="false">IFERROR(INDEX('Bank Schedule'!A:A, SMALL(IF('Bank Schedule'!$K$2:$K$825="Vacant", ROW('Bank Schedule'!$K$2:$K$825)), ROW(10:10))), "")</f>
        <v/>
      </c>
      <c r="B13" s="29" t="str">
        <f aca="false" t="array" ref="B13:B13">IFERROR(INDEX('Bank Schedule'!B:B, SMALL(IF('Bank Schedule'!$K$2:$K$825="Vacant", ROW('Bank Schedule'!$K$2:$K$825)), ROW(10:10))), "")</f>
        <v>SH</v>
      </c>
      <c r="C13" s="29" t="str">
        <f aca="false" t="array" ref="C13:C13">IFERROR(INDEX('Bank Schedule'!C:C, SMALL(IF('Bank Schedule'!$K$2:$K$825="Vacant", ROW('Bank Schedule'!$K$2:$K$825)), ROW(10:10))), "")</f>
        <v>MEL</v>
      </c>
      <c r="D13" s="29" t="n">
        <f aca="false" t="array" ref="D13:D13">IFERROR(INDEX('Bank Schedule'!D:D, SMALL(IF('Bank Schedule'!$K$2:$K$825="Vacant", ROW('Bank Schedule'!$K$2:$K$825)), ROW(10:10))), "")</f>
        <v>550480</v>
      </c>
      <c r="E13" s="29" t="str">
        <f aca="false" t="array" ref="E13:E13">IFERROR(INDEX('Bank Schedule'!E:E, SMALL(IF('Bank Schedule'!$K$2:$K$825="Vacant", ROW('Bank Schedule'!$K$2:$K$825)), ROW(10:10))), "")</f>
        <v>6-10a Great Portland Street</v>
      </c>
      <c r="F13" s="29" t="str">
        <f aca="false" t="array" ref="F13:F13">IFERROR(INDEX('Bank Schedule'!F:F, SMALL(IF('Bank Schedule'!$K$2:$K$825="Vacant", ROW('Bank Schedule'!$K$2:$K$825)), ROW(10:10))), "")</f>
        <v>Second Floor</v>
      </c>
      <c r="G13" s="29" t="str">
        <f aca="false" t="array" ref="G13:G13">IFERROR(INDEX('Bank Schedule'!G:G, SMALL(IF('Bank Schedule'!$K$2:$K$825="Vacant", ROW('Bank Schedule'!$K$2:$K$825)), ROW(10:10))), "")</f>
        <v>Office</v>
      </c>
      <c r="H13" s="305" t="n">
        <f aca="false" t="array" ref="H13:H13">IFERROR(INDEX('Bank Schedule'!H:H, SMALL(IF('Bank Schedule'!$K$2:$K$825="Vacant", ROW('Bank Schedule'!$K$2:$K$825)), ROW(10:10))), "")</f>
        <v>1818</v>
      </c>
      <c r="I13" s="29" t="n">
        <f aca="false" t="array" ref="I13:I13">IFERROR(INDEX('Bank Schedule'!I:I, SMALL(IF('Bank Schedule'!$K$2:$K$825="Vacant", ROW('Bank Schedule'!$K$2:$K$825)), ROW(10:10))), "")</f>
        <v>1818</v>
      </c>
      <c r="J13" s="305" t="n">
        <f aca="false" t="array" ref="J13:J13">IFERROR(INDEX('Bank Schedule'!J:J, SMALL(IF('Bank Schedule'!$K$2:$K$825="Vacant", ROW('Bank Schedule'!$K$2:$K$825)), ROW(10:10))), "")</f>
        <v>2000</v>
      </c>
      <c r="K13" s="29" t="str">
        <f aca="false" t="array" ref="K13:K13">IFERROR(INDEX('Bank Schedule'!K:K, SMALL(IF('Bank Schedule'!$K$2:$K$825="Vacant", ROW('Bank Schedule'!$K$2:$K$825)), ROW(10:10))), "")</f>
        <v>Vacant</v>
      </c>
      <c r="L13" s="29" t="str">
        <f aca="false">IFERROR(INDEX('Bank Schedule'!L:L, SMALL(IF('Bank Schedule'!$K$2:$K$825="Vacant", ROW('Bank Schedule'!$K$2:$K$825)), ROW(10:10))), "")</f>
        <v/>
      </c>
      <c r="M13" s="29" t="str">
        <f aca="false">IFERROR(INDEX('Bank Schedule'!M:M, SMALL(IF('Bank Schedule'!$K$2:$K$825="Vacant", ROW('Bank Schedule'!$K$2:$K$825)), ROW(10:10))), "")</f>
        <v/>
      </c>
      <c r="N13" s="307" t="n">
        <f aca="false" t="array" ref="N13:N13">IFERROR(INDEX('Bank Schedule'!N:N, SMALL(IF('Bank Schedule'!$K$2:$K$825="Vacant", ROW('Bank Schedule'!$K$2:$K$825)), ROW(10:10))), "")</f>
        <v>45609</v>
      </c>
      <c r="O13" s="29" t="str">
        <f aca="false">IFERROR(INDEX('Bank Schedule'!O:O, SMALL(IF('Bank Schedule'!$K$2:$K$825="Vacant", ROW('Bank Schedule'!$K$2:$K$825)), ROW(10:10))), "")</f>
        <v/>
      </c>
      <c r="P13" s="29" t="str">
        <f aca="false">IFERROR(INDEX('Bank Schedule'!P:P, SMALL(IF('Bank Schedule'!$K$2:$K$825="Vacant", ROW('Bank Schedule'!$K$2:$K$825)), ROW(10:10))), "")</f>
        <v/>
      </c>
      <c r="Q13" s="29" t="n">
        <f aca="false" t="array" ref="Q13:Q13">IFERROR(INDEX('Bank Schedule'!Q:Q, SMALL(IF('Bank Schedule'!$K$2:$K$825="Vacant", ROW('Bank Schedule'!$K$2:$K$825)), ROW(10:10))), "")</f>
        <v>0</v>
      </c>
      <c r="R13" s="29" t="n">
        <f aca="false" t="array" ref="R13:R13">IFERROR(INDEX('Bank Schedule'!R:R, SMALL(IF('Bank Schedule'!$K$2:$K$825="Vacant", ROW('Bank Schedule'!$K$2:$K$825)), ROW(10:10))), "")</f>
        <v>0</v>
      </c>
      <c r="S13" s="29" t="str">
        <f aca="false">IFERROR(INDEX('Bank Schedule'!S:S, SMALL(IF('Bank Schedule'!$K$2:$K$825="Vacant", ROW('Bank Schedule'!$K$2:$K$825)), ROW(10:10))), "")</f>
        <v/>
      </c>
      <c r="T13" s="309" t="n">
        <f aca="false" t="array" ref="T13:T13">IFERROR(INDEX('Bank Schedule'!T:T, SMALL(IF('Bank Schedule'!$K$2:$K$825="Vacant", ROW('Bank Schedule'!$K$2:$K$825)), ROW(10:10))), "")</f>
        <v>105500</v>
      </c>
      <c r="U13" s="309" t="n">
        <f aca="false" t="array" ref="U13:U13">IFERROR(INDEX('Bank Schedule'!U:U, SMALL(IF('Bank Schedule'!$K$2:$K$825="Vacant", ROW('Bank Schedule'!$K$2:$K$825)), ROW(10:10))), "")</f>
        <v>105500</v>
      </c>
      <c r="V13" s="309" t="n">
        <f aca="false" t="array" ref="V13:V13">IFERROR(INDEX('Bank Schedule'!V:V, SMALL(IF('Bank Schedule'!$K$2:$K$825="Vacant", ROW('Bank Schedule'!$K$2:$K$825)), ROW(10:10))), "")</f>
        <v>109100</v>
      </c>
      <c r="W13" s="309" t="n">
        <f aca="false" t="array" ref="W13:W13">IFERROR(INDEX('Bank Schedule'!W:W, SMALL(IF('Bank Schedule'!$K$2:$K$825="Vacant", ROW('Bank Schedule'!$K$2:$K$825)), ROW(10:10))), "")</f>
        <v>109100</v>
      </c>
      <c r="X13" s="309" t="n">
        <f aca="false" t="array" ref="X13:X13">IFERROR(INDEX('Bank Schedule'!X:X, SMALL(IF('Bank Schedule'!$K$2:$K$825="Vacant", ROW('Bank Schedule'!$K$2:$K$825)), ROW(10:10))), "")</f>
        <v>60.01100110011</v>
      </c>
      <c r="Y13" s="310" t="n">
        <f aca="false" t="array" ref="Y13:Y13">IFERROR(INDEX('Bank Schedule'!Y:Y, SMALL(IF('Bank Schedule'!$K$2:$K$825="Vacant", ROW('Bank Schedule'!$K$2:$K$825)), ROW(10:10))), "")</f>
        <v>0.0341232227488152</v>
      </c>
      <c r="Z13" s="29" t="str">
        <f aca="false" t="array" ref="Z13:Z13">IFERROR(INDEX('Bank Schedule'!Z:Z, SMALL(IF('Bank Schedule'!$K$2:$K$825="Vacant", ROW('Bank Schedule'!$K$2:$K$825)), ROW(10:10))), "")</f>
        <v>E</v>
      </c>
      <c r="AA13" s="29" t="str">
        <f aca="false">IFERROR(INDEX('Bank Schedule'!AA:AA, SMALL(IF('Bank Schedule'!$K$2:$K$825="Vacant", ROW('Bank Schedule'!$K$2:$K$825)), ROW(10:10))), "")</f>
        <v/>
      </c>
      <c r="AB13" s="29" t="str">
        <f aca="false">IFERROR(INDEX('Bank Schedule'!AB:AB, SMALL(IF('Bank Schedule'!$K$2:$K$825="Vacant", ROW('Bank Schedule'!$K$2:$K$825)), ROW(10:10))), "")</f>
        <v/>
      </c>
      <c r="AC13" s="29" t="str">
        <f aca="false" t="array" ref="AC13:AC13">IFERROR(INDEX('Bank Schedule'!AC:AC, SMALL(IF('Bank Schedule'!$K$2:$K$825="Vacant", ROW('Bank Schedule'!$K$2:$K$825)), ROW(10:10))), "")</f>
        <v>No</v>
      </c>
      <c r="AD13" s="29" t="str">
        <f aca="false" t="array" ref="AD13:AD13">IFERROR(INDEX('Bank Schedule'!AD:AD, SMALL(IF('Bank Schedule'!$K$2:$K$825="Vacant", ROW('Bank Schedule'!$K$2:$K$825)), ROW(10:10))), "")</f>
        <v>LEM marketing.</v>
      </c>
      <c r="AE13" s="281" t="n">
        <f aca="false" t="array" ref="AE13:AE13">IFERROR(INDEX('Bank Schedule'!AE:AE, SMALL(IF('Bank Schedule'!$K$2:$K$825="Vacant", ROW('Bank Schedule'!$K$2:$K$825)), ROW(10:10))), "")</f>
        <v>65</v>
      </c>
      <c r="AF13" s="29" t="n">
        <f aca="false" t="array" ref="AF13:AF13">IFERROR(INDEX('Bank Schedule'!AF:AF, SMALL(IF('Bank Schedule'!$K$2:$K$825="Vacant", ROW('Bank Schedule'!$K$2:$K$825)), ROW(10:10))), "")</f>
        <v>4</v>
      </c>
      <c r="AG13" s="29" t="n">
        <f aca="false" t="array" ref="AG13:AG13">IFERROR(INDEX('Bank Schedule'!AG:AG, SMALL(IF('Bank Schedule'!$K$2:$K$825="Vacant", ROW('Bank Schedule'!$K$2:$K$825)), ROW(10:10))), "")</f>
        <v>6</v>
      </c>
      <c r="AH13" s="29" t="str">
        <f aca="false">IFERROR(INDEX('Bank Schedule'!AH:AH, SMALL(IF('Bank Schedule'!$K$2:$K$825="Vacant", ROW('Bank Schedule'!$K$2:$K$825)), ROW(10:10))), "")</f>
        <v/>
      </c>
      <c r="AI13" s="4"/>
    </row>
    <row r="14" customFormat="false" ht="28.5" hidden="false" customHeight="true" outlineLevel="0" collapsed="false">
      <c r="A14" s="29" t="str">
        <f aca="false">IFERROR(INDEX('Bank Schedule'!A:A, SMALL(IF('Bank Schedule'!$K$2:$K$825="Vacant", ROW('Bank Schedule'!$K$2:$K$825)), ROW(11:11))), "")</f>
        <v/>
      </c>
      <c r="B14" s="29" t="str">
        <f aca="false" t="array" ref="B14:B14">IFERROR(INDEX('Bank Schedule'!B:B, SMALL(IF('Bank Schedule'!$K$2:$K$825="Vacant", ROW('Bank Schedule'!$K$2:$K$825)), ROW(11:11))), "")</f>
        <v>SH</v>
      </c>
      <c r="C14" s="29" t="str">
        <f aca="false" t="array" ref="C14:C14">IFERROR(INDEX('Bank Schedule'!C:C, SMALL(IF('Bank Schedule'!$K$2:$K$825="Vacant", ROW('Bank Schedule'!$K$2:$K$825)), ROW(11:11))), "")</f>
        <v>MEL</v>
      </c>
      <c r="D14" s="29" t="n">
        <f aca="false" t="array" ref="D14:D14">IFERROR(INDEX('Bank Schedule'!D:D, SMALL(IF('Bank Schedule'!$K$2:$K$825="Vacant", ROW('Bank Schedule'!$K$2:$K$825)), ROW(11:11))), "")</f>
        <v>550480</v>
      </c>
      <c r="E14" s="29" t="str">
        <f aca="false" t="array" ref="E14:E14">IFERROR(INDEX('Bank Schedule'!E:E, SMALL(IF('Bank Schedule'!$K$2:$K$825="Vacant", ROW('Bank Schedule'!$K$2:$K$825)), ROW(11:11))), "")</f>
        <v>6-10a Great Portland Street</v>
      </c>
      <c r="F14" s="29" t="str">
        <f aca="false" t="array" ref="F14:F14">IFERROR(INDEX('Bank Schedule'!F:F, SMALL(IF('Bank Schedule'!$K$2:$K$825="Vacant", ROW('Bank Schedule'!$K$2:$K$825)), ROW(11:11))), "")</f>
        <v>Third Floor</v>
      </c>
      <c r="G14" s="29" t="str">
        <f aca="false" t="array" ref="G14:G14">IFERROR(INDEX('Bank Schedule'!G:G, SMALL(IF('Bank Schedule'!$K$2:$K$825="Vacant", ROW('Bank Schedule'!$K$2:$K$825)), ROW(11:11))), "")</f>
        <v>Office</v>
      </c>
      <c r="H14" s="305" t="n">
        <f aca="false" t="array" ref="H14:H14">IFERROR(INDEX('Bank Schedule'!H:H, SMALL(IF('Bank Schedule'!$K$2:$K$825="Vacant", ROW('Bank Schedule'!$K$2:$K$825)), ROW(11:11))), "")</f>
        <v>1808</v>
      </c>
      <c r="I14" s="29" t="n">
        <f aca="false" t="array" ref="I14:I14">IFERROR(INDEX('Bank Schedule'!I:I, SMALL(IF('Bank Schedule'!$K$2:$K$825="Vacant", ROW('Bank Schedule'!$K$2:$K$825)), ROW(11:11))), "")</f>
        <v>1808</v>
      </c>
      <c r="J14" s="305" t="n">
        <f aca="false" t="array" ref="J14:J14">IFERROR(INDEX('Bank Schedule'!J:J, SMALL(IF('Bank Schedule'!$K$2:$K$825="Vacant", ROW('Bank Schedule'!$K$2:$K$825)), ROW(11:11))), "")</f>
        <v>2000</v>
      </c>
      <c r="K14" s="29" t="str">
        <f aca="false" t="array" ref="K14:K14">IFERROR(INDEX('Bank Schedule'!K:K, SMALL(IF('Bank Schedule'!$K$2:$K$825="Vacant", ROW('Bank Schedule'!$K$2:$K$825)), ROW(11:11))), "")</f>
        <v>Vacant</v>
      </c>
      <c r="L14" s="29" t="str">
        <f aca="false">IFERROR(INDEX('Bank Schedule'!L:L, SMALL(IF('Bank Schedule'!$K$2:$K$825="Vacant", ROW('Bank Schedule'!$K$2:$K$825)), ROW(11:11))), "")</f>
        <v/>
      </c>
      <c r="M14" s="29" t="str">
        <f aca="false">IFERROR(INDEX('Bank Schedule'!M:M, SMALL(IF('Bank Schedule'!$K$2:$K$825="Vacant", ROW('Bank Schedule'!$K$2:$K$825)), ROW(11:11))), "")</f>
        <v/>
      </c>
      <c r="N14" s="307" t="n">
        <f aca="false" t="array" ref="N14:N14">IFERROR(INDEX('Bank Schedule'!N:N, SMALL(IF('Bank Schedule'!$K$2:$K$825="Vacant", ROW('Bank Schedule'!$K$2:$K$825)), ROW(11:11))), "")</f>
        <v>45609</v>
      </c>
      <c r="O14" s="29" t="str">
        <f aca="false">IFERROR(INDEX('Bank Schedule'!O:O, SMALL(IF('Bank Schedule'!$K$2:$K$825="Vacant", ROW('Bank Schedule'!$K$2:$K$825)), ROW(11:11))), "")</f>
        <v/>
      </c>
      <c r="P14" s="29" t="str">
        <f aca="false">IFERROR(INDEX('Bank Schedule'!P:P, SMALL(IF('Bank Schedule'!$K$2:$K$825="Vacant", ROW('Bank Schedule'!$K$2:$K$825)), ROW(11:11))), "")</f>
        <v/>
      </c>
      <c r="Q14" s="29" t="n">
        <f aca="false" t="array" ref="Q14:Q14">IFERROR(INDEX('Bank Schedule'!Q:Q, SMALL(IF('Bank Schedule'!$K$2:$K$825="Vacant", ROW('Bank Schedule'!$K$2:$K$825)), ROW(11:11))), "")</f>
        <v>0</v>
      </c>
      <c r="R14" s="29" t="n">
        <f aca="false" t="array" ref="R14:R14">IFERROR(INDEX('Bank Schedule'!R:R, SMALL(IF('Bank Schedule'!$K$2:$K$825="Vacant", ROW('Bank Schedule'!$K$2:$K$825)), ROW(11:11))), "")</f>
        <v>0</v>
      </c>
      <c r="S14" s="29" t="str">
        <f aca="false">IFERROR(INDEX('Bank Schedule'!S:S, SMALL(IF('Bank Schedule'!$K$2:$K$825="Vacant", ROW('Bank Schedule'!$K$2:$K$825)), ROW(11:11))), "")</f>
        <v/>
      </c>
      <c r="T14" s="309" t="n">
        <f aca="false" t="array" ref="T14:T14">IFERROR(INDEX('Bank Schedule'!T:T, SMALL(IF('Bank Schedule'!$K$2:$K$825="Vacant", ROW('Bank Schedule'!$K$2:$K$825)), ROW(11:11))), "")</f>
        <v>108800</v>
      </c>
      <c r="U14" s="309" t="n">
        <f aca="false" t="array" ref="U14:U14">IFERROR(INDEX('Bank Schedule'!U:U, SMALL(IF('Bank Schedule'!$K$2:$K$825="Vacant", ROW('Bank Schedule'!$K$2:$K$825)), ROW(11:11))), "")</f>
        <v>108800</v>
      </c>
      <c r="V14" s="309" t="n">
        <f aca="false" t="array" ref="V14:V14">IFERROR(INDEX('Bank Schedule'!V:V, SMALL(IF('Bank Schedule'!$K$2:$K$825="Vacant", ROW('Bank Schedule'!$K$2:$K$825)), ROW(11:11))), "")</f>
        <v>108500</v>
      </c>
      <c r="W14" s="309" t="n">
        <f aca="false" t="array" ref="W14:W14">IFERROR(INDEX('Bank Schedule'!W:W, SMALL(IF('Bank Schedule'!$K$2:$K$825="Vacant", ROW('Bank Schedule'!$K$2:$K$825)), ROW(11:11))), "")</f>
        <v>108500</v>
      </c>
      <c r="X14" s="309" t="n">
        <f aca="false" t="array" ref="X14:X14">IFERROR(INDEX('Bank Schedule'!X:X, SMALL(IF('Bank Schedule'!$K$2:$K$825="Vacant", ROW('Bank Schedule'!$K$2:$K$825)), ROW(11:11))), "")</f>
        <v>60.0110619469027</v>
      </c>
      <c r="Y14" s="310" t="n">
        <f aca="false" t="array" ref="Y14:Y14">IFERROR(INDEX('Bank Schedule'!Y:Y, SMALL(IF('Bank Schedule'!$K$2:$K$825="Vacant", ROW('Bank Schedule'!$K$2:$K$825)), ROW(11:11))), "")</f>
        <v>-0.00275735294117647</v>
      </c>
      <c r="Z14" s="29" t="str">
        <f aca="false" t="array" ref="Z14:Z14">IFERROR(INDEX('Bank Schedule'!Z:Z, SMALL(IF('Bank Schedule'!$K$2:$K$825="Vacant", ROW('Bank Schedule'!$K$2:$K$825)), ROW(11:11))), "")</f>
        <v>E</v>
      </c>
      <c r="AA14" s="29" t="str">
        <f aca="false">IFERROR(INDEX('Bank Schedule'!AA:AA, SMALL(IF('Bank Schedule'!$K$2:$K$825="Vacant", ROW('Bank Schedule'!$K$2:$K$825)), ROW(11:11))), "")</f>
        <v/>
      </c>
      <c r="AB14" s="29" t="str">
        <f aca="false">IFERROR(INDEX('Bank Schedule'!AB:AB, SMALL(IF('Bank Schedule'!$K$2:$K$825="Vacant", ROW('Bank Schedule'!$K$2:$K$825)), ROW(11:11))), "")</f>
        <v/>
      </c>
      <c r="AC14" s="29" t="str">
        <f aca="false" t="array" ref="AC14:AC14">IFERROR(INDEX('Bank Schedule'!AC:AC, SMALL(IF('Bank Schedule'!$K$2:$K$825="Vacant", ROW('Bank Schedule'!$K$2:$K$825)), ROW(11:11))), "")</f>
        <v>No</v>
      </c>
      <c r="AD14" s="29" t="str">
        <f aca="false" t="array" ref="AD14:AD14">IFERROR(INDEX('Bank Schedule'!AD:AD, SMALL(IF('Bank Schedule'!$K$2:$K$825="Vacant", ROW('Bank Schedule'!$K$2:$K$825)), ROW(11:11))), "")</f>
        <v>LEM marketing.</v>
      </c>
      <c r="AE14" s="281" t="n">
        <f aca="false" t="array" ref="AE14:AE14">IFERROR(INDEX('Bank Schedule'!AE:AE, SMALL(IF('Bank Schedule'!$K$2:$K$825="Vacant", ROW('Bank Schedule'!$K$2:$K$825)), ROW(11:11))), "")</f>
        <v>65</v>
      </c>
      <c r="AF14" s="29" t="n">
        <f aca="false" t="array" ref="AF14:AF14">IFERROR(INDEX('Bank Schedule'!AF:AF, SMALL(IF('Bank Schedule'!$K$2:$K$825="Vacant", ROW('Bank Schedule'!$K$2:$K$825)), ROW(11:11))), "")</f>
        <v>4</v>
      </c>
      <c r="AG14" s="29" t="n">
        <f aca="false" t="array" ref="AG14:AG14">IFERROR(INDEX('Bank Schedule'!AG:AG, SMALL(IF('Bank Schedule'!$K$2:$K$825="Vacant", ROW('Bank Schedule'!$K$2:$K$825)), ROW(11:11))), "")</f>
        <v>6</v>
      </c>
      <c r="AH14" s="29" t="str">
        <f aca="false">IFERROR(INDEX('Bank Schedule'!AH:AH, SMALL(IF('Bank Schedule'!$K$2:$K$825="Vacant", ROW('Bank Schedule'!$K$2:$K$825)), ROW(11:11))), "")</f>
        <v/>
      </c>
      <c r="AI14" s="4"/>
    </row>
    <row r="15" customFormat="false" ht="28.5" hidden="false" customHeight="true" outlineLevel="0" collapsed="false">
      <c r="A15" s="29" t="str">
        <f aca="false">IFERROR(INDEX('Bank Schedule'!A:A, SMALL(IF('Bank Schedule'!$K$2:$K$825="Vacant", ROW('Bank Schedule'!$K$2:$K$825)), ROW(12:12))), "")</f>
        <v/>
      </c>
      <c r="B15" s="29" t="str">
        <f aca="false" t="array" ref="B15:B15">IFERROR(INDEX('Bank Schedule'!B:B, SMALL(IF('Bank Schedule'!$K$2:$K$825="Vacant", ROW('Bank Schedule'!$K$2:$K$825)), ROW(12:12))), "")</f>
        <v>SH</v>
      </c>
      <c r="C15" s="29" t="str">
        <f aca="false" t="array" ref="C15:C15">IFERROR(INDEX('Bank Schedule'!C:C, SMALL(IF('Bank Schedule'!$K$2:$K$825="Vacant", ROW('Bank Schedule'!$K$2:$K$825)), ROW(12:12))), "")</f>
        <v>MEL</v>
      </c>
      <c r="D15" s="29" t="n">
        <f aca="false" t="array" ref="D15:D15">IFERROR(INDEX('Bank Schedule'!D:D, SMALL(IF('Bank Schedule'!$K$2:$K$825="Vacant", ROW('Bank Schedule'!$K$2:$K$825)), ROW(12:12))), "")</f>
        <v>550480</v>
      </c>
      <c r="E15" s="29" t="str">
        <f aca="false" t="array" ref="E15:E15">IFERROR(INDEX('Bank Schedule'!E:E, SMALL(IF('Bank Schedule'!$K$2:$K$825="Vacant", ROW('Bank Schedule'!$K$2:$K$825)), ROW(12:12))), "")</f>
        <v>6-10a Great Portland Street</v>
      </c>
      <c r="F15" s="29" t="str">
        <f aca="false" t="array" ref="F15:F15">IFERROR(INDEX('Bank Schedule'!F:F, SMALL(IF('Bank Schedule'!$K$2:$K$825="Vacant", ROW('Bank Schedule'!$K$2:$K$825)), ROW(12:12))), "")</f>
        <v>Fourth Floor</v>
      </c>
      <c r="G15" s="29" t="str">
        <f aca="false" t="array" ref="G15:G15">IFERROR(INDEX('Bank Schedule'!G:G, SMALL(IF('Bank Schedule'!$K$2:$K$825="Vacant", ROW('Bank Schedule'!$K$2:$K$825)), ROW(12:12))), "")</f>
        <v>Office</v>
      </c>
      <c r="H15" s="305" t="n">
        <f aca="false" t="array" ref="H15:H15">IFERROR(INDEX('Bank Schedule'!H:H, SMALL(IF('Bank Schedule'!$K$2:$K$825="Vacant", ROW('Bank Schedule'!$K$2:$K$825)), ROW(12:12))), "")</f>
        <v>1672</v>
      </c>
      <c r="I15" s="29" t="n">
        <f aca="false" t="array" ref="I15:I15">IFERROR(INDEX('Bank Schedule'!I:I, SMALL(IF('Bank Schedule'!$K$2:$K$825="Vacant", ROW('Bank Schedule'!$K$2:$K$825)), ROW(12:12))), "")</f>
        <v>1672</v>
      </c>
      <c r="J15" s="305" t="n">
        <f aca="false" t="array" ref="J15:J15">IFERROR(INDEX('Bank Schedule'!J:J, SMALL(IF('Bank Schedule'!$K$2:$K$825="Vacant", ROW('Bank Schedule'!$K$2:$K$825)), ROW(12:12))), "")</f>
        <v>1500</v>
      </c>
      <c r="K15" s="29" t="str">
        <f aca="false" t="array" ref="K15:K15">IFERROR(INDEX('Bank Schedule'!K:K, SMALL(IF('Bank Schedule'!$K$2:$K$825="Vacant", ROW('Bank Schedule'!$K$2:$K$825)), ROW(12:12))), "")</f>
        <v>Vacant</v>
      </c>
      <c r="L15" s="29" t="str">
        <f aca="false">IFERROR(INDEX('Bank Schedule'!L:L, SMALL(IF('Bank Schedule'!$K$2:$K$825="Vacant", ROW('Bank Schedule'!$K$2:$K$825)), ROW(12:12))), "")</f>
        <v/>
      </c>
      <c r="M15" s="29" t="str">
        <f aca="false">IFERROR(INDEX('Bank Schedule'!M:M, SMALL(IF('Bank Schedule'!$K$2:$K$825="Vacant", ROW('Bank Schedule'!$K$2:$K$825)), ROW(12:12))), "")</f>
        <v/>
      </c>
      <c r="N15" s="307" t="n">
        <f aca="false" t="array" ref="N15:N15">IFERROR(INDEX('Bank Schedule'!N:N, SMALL(IF('Bank Schedule'!$K$2:$K$825="Vacant", ROW('Bank Schedule'!$K$2:$K$825)), ROW(12:12))), "")</f>
        <v>45457</v>
      </c>
      <c r="O15" s="29" t="str">
        <f aca="false">IFERROR(INDEX('Bank Schedule'!O:O, SMALL(IF('Bank Schedule'!$K$2:$K$825="Vacant", ROW('Bank Schedule'!$K$2:$K$825)), ROW(12:12))), "")</f>
        <v/>
      </c>
      <c r="P15" s="29" t="str">
        <f aca="false">IFERROR(INDEX('Bank Schedule'!P:P, SMALL(IF('Bank Schedule'!$K$2:$K$825="Vacant", ROW('Bank Schedule'!$K$2:$K$825)), ROW(12:12))), "")</f>
        <v/>
      </c>
      <c r="Q15" s="29" t="n">
        <f aca="false" t="array" ref="Q15:Q15">IFERROR(INDEX('Bank Schedule'!Q:Q, SMALL(IF('Bank Schedule'!$K$2:$K$825="Vacant", ROW('Bank Schedule'!$K$2:$K$825)), ROW(12:12))), "")</f>
        <v>0</v>
      </c>
      <c r="R15" s="29" t="n">
        <f aca="false" t="array" ref="R15:R15">IFERROR(INDEX('Bank Schedule'!R:R, SMALL(IF('Bank Schedule'!$K$2:$K$825="Vacant", ROW('Bank Schedule'!$K$2:$K$825)), ROW(12:12))), "")</f>
        <v>0</v>
      </c>
      <c r="S15" s="29" t="str">
        <f aca="false">IFERROR(INDEX('Bank Schedule'!S:S, SMALL(IF('Bank Schedule'!$K$2:$K$825="Vacant", ROW('Bank Schedule'!$K$2:$K$825)), ROW(12:12))), "")</f>
        <v/>
      </c>
      <c r="T15" s="309" t="n">
        <f aca="false" t="array" ref="T15:T15">IFERROR(INDEX('Bank Schedule'!T:T, SMALL(IF('Bank Schedule'!$K$2:$K$825="Vacant", ROW('Bank Schedule'!$K$2:$K$825)), ROW(12:12))), "")</f>
        <v>94400</v>
      </c>
      <c r="U15" s="309" t="n">
        <f aca="false" t="array" ref="U15:U15">IFERROR(INDEX('Bank Schedule'!U:U, SMALL(IF('Bank Schedule'!$K$2:$K$825="Vacant", ROW('Bank Schedule'!$K$2:$K$825)), ROW(12:12))), "")</f>
        <v>94400</v>
      </c>
      <c r="V15" s="309" t="n">
        <f aca="false" t="array" ref="V15:V15">IFERROR(INDEX('Bank Schedule'!V:V, SMALL(IF('Bank Schedule'!$K$2:$K$825="Vacant", ROW('Bank Schedule'!$K$2:$K$825)), ROW(12:12))), "")</f>
        <v>97800</v>
      </c>
      <c r="W15" s="309" t="n">
        <f aca="false" t="array" ref="W15:W15">IFERROR(INDEX('Bank Schedule'!W:W, SMALL(IF('Bank Schedule'!$K$2:$K$825="Vacant", ROW('Bank Schedule'!$K$2:$K$825)), ROW(12:12))), "")</f>
        <v>97800</v>
      </c>
      <c r="X15" s="309" t="n">
        <f aca="false" t="array" ref="X15:X15">IFERROR(INDEX('Bank Schedule'!X:X, SMALL(IF('Bank Schedule'!$K$2:$K$825="Vacant", ROW('Bank Schedule'!$K$2:$K$825)), ROW(12:12))), "")</f>
        <v>58.4928229665072</v>
      </c>
      <c r="Y15" s="310" t="n">
        <f aca="false" t="array" ref="Y15:Y15">IFERROR(INDEX('Bank Schedule'!Y:Y, SMALL(IF('Bank Schedule'!$K$2:$K$825="Vacant", ROW('Bank Schedule'!$K$2:$K$825)), ROW(12:12))), "")</f>
        <v>0.0360169491525424</v>
      </c>
      <c r="Z15" s="29" t="str">
        <f aca="false" t="array" ref="Z15:Z15">IFERROR(INDEX('Bank Schedule'!Z:Z, SMALL(IF('Bank Schedule'!$K$2:$K$825="Vacant", ROW('Bank Schedule'!$K$2:$K$825)), ROW(12:12))), "")</f>
        <v>B</v>
      </c>
      <c r="AA15" s="29" t="str">
        <f aca="false">IFERROR(INDEX('Bank Schedule'!AA:AA, SMALL(IF('Bank Schedule'!$K$2:$K$825="Vacant", ROW('Bank Schedule'!$K$2:$K$825)), ROW(12:12))), "")</f>
        <v/>
      </c>
      <c r="AB15" s="29" t="str">
        <f aca="false">IFERROR(INDEX('Bank Schedule'!AB:AB, SMALL(IF('Bank Schedule'!$K$2:$K$825="Vacant", ROW('Bank Schedule'!$K$2:$K$825)), ROW(12:12))), "")</f>
        <v/>
      </c>
      <c r="AC15" s="29" t="str">
        <f aca="false" t="array" ref="AC15:AC15">IFERROR(INDEX('Bank Schedule'!AC:AC, SMALL(IF('Bank Schedule'!$K$2:$K$825="Vacant", ROW('Bank Schedule'!$K$2:$K$825)), ROW(12:12))), "")</f>
        <v>No</v>
      </c>
      <c r="AD15" s="29" t="str">
        <f aca="false" t="array" ref="AD15:AD15">IFERROR(INDEX('Bank Schedule'!AD:AD, SMALL(IF('Bank Schedule'!$K$2:$K$825="Vacant", ROW('Bank Schedule'!$K$2:$K$825)), ROW(12:12))), "")</f>
        <v>To be refurbished.</v>
      </c>
      <c r="AE15" s="281" t="n">
        <f aca="false" t="array" ref="AE15:AE15">IFERROR(INDEX('Bank Schedule'!AE:AE, SMALL(IF('Bank Schedule'!$K$2:$K$825="Vacant", ROW('Bank Schedule'!$K$2:$K$825)), ROW(12:12))), "")</f>
        <v>65</v>
      </c>
      <c r="AF15" s="29" t="n">
        <f aca="false" t="array" ref="AF15:AF15">IFERROR(INDEX('Bank Schedule'!AF:AF, SMALL(IF('Bank Schedule'!$K$2:$K$825="Vacant", ROW('Bank Schedule'!$K$2:$K$825)), ROW(12:12))), "")</f>
        <v>1</v>
      </c>
      <c r="AG15" s="29" t="n">
        <f aca="false" t="array" ref="AG15:AG15">IFERROR(INDEX('Bank Schedule'!AG:AG, SMALL(IF('Bank Schedule'!$K$2:$K$825="Vacant", ROW('Bank Schedule'!$K$2:$K$825)), ROW(12:12))), "")</f>
        <v>2</v>
      </c>
      <c r="AH15" s="29" t="str">
        <f aca="false" t="array" ref="AH15:AH15">IFERROR(INDEX('Bank Schedule'!AH:AH, SMALL(IF('Bank Schedule'!$K$2:$K$825="Vacant", ROW('Bank Schedule'!$K$2:$K$825)), ROW(12:12))), "")</f>
        <v>LEM</v>
      </c>
      <c r="AI15" s="4"/>
    </row>
    <row r="16" customFormat="false" ht="28.5" hidden="false" customHeight="true" outlineLevel="0" collapsed="false">
      <c r="A16" s="29" t="n">
        <f aca="false">IFERROR(INDEX('Bank Schedule'!A:A, SMALL(IF('Bank Schedule'!$K$2:$K$825="Vacant", ROW('Bank Schedule'!$K$2:$K$825)), ROW(13:13))), "")</f>
        <v>0</v>
      </c>
      <c r="B16" s="29" t="str">
        <f aca="false" t="array" ref="B16:B16">IFERROR(INDEX('Bank Schedule'!B:B, SMALL(IF('Bank Schedule'!$K$2:$K$825="Vacant", ROW('Bank Schedule'!$K$2:$K$825)), ROW(13:13))), "")</f>
        <v>CD</v>
      </c>
      <c r="C16" s="29" t="str">
        <f aca="false" t="array" ref="C16:C16">IFERROR(INDEX('Bank Schedule'!C:C, SMALL(IF('Bank Schedule'!$K$2:$K$825="Vacant", ROW('Bank Schedule'!$K$2:$K$825)), ROW(13:13))), "")</f>
        <v>MEL</v>
      </c>
      <c r="D16" s="29" t="n">
        <f aca="false" t="array" ref="D16:D16">IFERROR(INDEX('Bank Schedule'!D:D, SMALL(IF('Bank Schedule'!$K$2:$K$825="Vacant", ROW('Bank Schedule'!$K$2:$K$825)), ROW(13:13))), "")</f>
        <v>550410</v>
      </c>
      <c r="E16" s="29" t="str">
        <f aca="false" t="array" ref="E16:E16">IFERROR(INDEX('Bank Schedule'!E:E, SMALL(IF('Bank Schedule'!$K$2:$K$825="Vacant", ROW('Bank Schedule'!$K$2:$K$825)), ROW(13:13))), "")</f>
        <v>19-21 Great Portland Street .</v>
      </c>
      <c r="F16" s="29" t="str">
        <f aca="false" t="array" ref="F16:F16">IFERROR(INDEX('Bank Schedule'!F:F, SMALL(IF('Bank Schedule'!$K$2:$K$825="Vacant", ROW('Bank Schedule'!$K$2:$K$825)), ROW(13:13))), "")</f>
        <v>Second Floor.</v>
      </c>
      <c r="G16" s="29" t="str">
        <f aca="false" t="array" ref="G16:G16">IFERROR(INDEX('Bank Schedule'!G:G, SMALL(IF('Bank Schedule'!$K$2:$K$825="Vacant", ROW('Bank Schedule'!$K$2:$K$825)), ROW(13:13))), "")</f>
        <v>Offices</v>
      </c>
      <c r="H16" s="305" t="n">
        <f aca="false" t="array" ref="H16:H16">IFERROR(INDEX('Bank Schedule'!H:H, SMALL(IF('Bank Schedule'!$K$2:$K$825="Vacant", ROW('Bank Schedule'!$K$2:$K$825)), ROW(13:13))), "")</f>
        <v>2847</v>
      </c>
      <c r="I16" s="29" t="n">
        <f aca="false" t="array" ref="I16:I16">IFERROR(INDEX('Bank Schedule'!I:I, SMALL(IF('Bank Schedule'!$K$2:$K$825="Vacant", ROW('Bank Schedule'!$K$2:$K$825)), ROW(13:13))), "")</f>
        <v>2847</v>
      </c>
      <c r="J16" s="305" t="n">
        <f aca="false" t="array" ref="J16:J16">IFERROR(INDEX('Bank Schedule'!J:J, SMALL(IF('Bank Schedule'!$K$2:$K$825="Vacant", ROW('Bank Schedule'!$K$2:$K$825)), ROW(13:13))), "")</f>
        <v>3000</v>
      </c>
      <c r="K16" s="29" t="str">
        <f aca="false" t="array" ref="K16:K16">IFERROR(INDEX('Bank Schedule'!K:K, SMALL(IF('Bank Schedule'!$K$2:$K$825="Vacant", ROW('Bank Schedule'!$K$2:$K$825)), ROW(13:13))), "")</f>
        <v>Vacant</v>
      </c>
      <c r="L16" s="306" t="n">
        <f aca="false">IFERROR(INDEX('Bank Schedule'!L:L, SMALL(IF('Bank Schedule'!$K$2:$K$825="Vacant", ROW('Bank Schedule'!$K$2:$K$825)), ROW(13:13))), "")</f>
        <v>45086</v>
      </c>
      <c r="M16" s="306" t="n">
        <f aca="false">IFERROR(INDEX('Bank Schedule'!M:M, SMALL(IF('Bank Schedule'!$K$2:$K$825="Vacant", ROW('Bank Schedule'!$K$2:$K$825)), ROW(13:13))), "")</f>
        <v>46181</v>
      </c>
      <c r="N16" s="307" t="n">
        <f aca="false" t="array" ref="N16:N16">IFERROR(INDEX('Bank Schedule'!N:N, SMALL(IF('Bank Schedule'!$K$2:$K$825="Vacant", ROW('Bank Schedule'!$K$2:$K$825)), ROW(13:13))), "")</f>
        <v>45219</v>
      </c>
      <c r="O16" s="306" t="n">
        <f aca="false">IFERROR(INDEX('Bank Schedule'!O:O, SMALL(IF('Bank Schedule'!$K$2:$K$825="Vacant", ROW('Bank Schedule'!$K$2:$K$825)), ROW(13:13))), "")</f>
        <v>0</v>
      </c>
      <c r="P16" s="306" t="n">
        <f aca="false">IFERROR(INDEX('Bank Schedule'!P:P, SMALL(IF('Bank Schedule'!$K$2:$K$825="Vacant", ROW('Bank Schedule'!$K$2:$K$825)), ROW(13:13))), "")</f>
        <v>0</v>
      </c>
      <c r="Q16" s="29" t="n">
        <f aca="false" t="array" ref="Q16:Q16">IFERROR(INDEX('Bank Schedule'!Q:Q, SMALL(IF('Bank Schedule'!$K$2:$K$825="Vacant", ROW('Bank Schedule'!$K$2:$K$825)), ROW(13:13))), "")</f>
        <v>0</v>
      </c>
      <c r="R16" s="29" t="n">
        <f aca="false" t="array" ref="R16:R16">IFERROR(INDEX('Bank Schedule'!R:R, SMALL(IF('Bank Schedule'!$K$2:$K$825="Vacant", ROW('Bank Schedule'!$K$2:$K$825)), ROW(13:13))), "")</f>
        <v>0</v>
      </c>
      <c r="S16" s="308" t="n">
        <f aca="false">IFERROR(INDEX('Bank Schedule'!S:S, SMALL(IF('Bank Schedule'!$K$2:$K$825="Vacant", ROW('Bank Schedule'!$K$2:$K$825)), ROW(13:13))), "")</f>
        <v>0</v>
      </c>
      <c r="T16" s="309" t="n">
        <f aca="false" t="array" ref="T16:T16">IFERROR(INDEX('Bank Schedule'!T:T, SMALL(IF('Bank Schedule'!$K$2:$K$825="Vacant", ROW('Bank Schedule'!$K$2:$K$825)), ROW(13:13))), "")</f>
        <v>170000</v>
      </c>
      <c r="U16" s="309" t="n">
        <f aca="false" t="array" ref="U16:U16">IFERROR(INDEX('Bank Schedule'!U:U, SMALL(IF('Bank Schedule'!$K$2:$K$825="Vacant", ROW('Bank Schedule'!$K$2:$K$825)), ROW(13:13))), "")</f>
        <v>170000</v>
      </c>
      <c r="V16" s="309" t="n">
        <f aca="false" t="array" ref="V16:V16">IFERROR(INDEX('Bank Schedule'!V:V, SMALL(IF('Bank Schedule'!$K$2:$K$825="Vacant", ROW('Bank Schedule'!$K$2:$K$825)), ROW(13:13))), "")</f>
        <v>185100</v>
      </c>
      <c r="W16" s="309" t="n">
        <f aca="false" t="array" ref="W16:W16">IFERROR(INDEX('Bank Schedule'!W:W, SMALL(IF('Bank Schedule'!$K$2:$K$825="Vacant", ROW('Bank Schedule'!$K$2:$K$825)), ROW(13:13))), "")</f>
        <v>185100</v>
      </c>
      <c r="X16" s="309" t="n">
        <f aca="false" t="array" ref="X16:X16">IFERROR(INDEX('Bank Schedule'!X:X, SMALL(IF('Bank Schedule'!$K$2:$K$825="Vacant", ROW('Bank Schedule'!$K$2:$K$825)), ROW(13:13))), "")</f>
        <v>65.0158061116965</v>
      </c>
      <c r="Y16" s="310" t="n">
        <f aca="false" t="array" ref="Y16:Y16">IFERROR(INDEX('Bank Schedule'!Y:Y, SMALL(IF('Bank Schedule'!$K$2:$K$825="Vacant", ROW('Bank Schedule'!$K$2:$K$825)), ROW(13:13))), "")</f>
        <v>0.0888235294117647</v>
      </c>
      <c r="Z16" s="29" t="str">
        <f aca="false" t="array" ref="Z16:Z16">IFERROR(INDEX('Bank Schedule'!Z:Z, SMALL(IF('Bank Schedule'!$K$2:$K$825="Vacant", ROW('Bank Schedule'!$K$2:$K$825)), ROW(13:13))), "")</f>
        <v>B</v>
      </c>
      <c r="AA16" s="308" t="n">
        <f aca="false">IFERROR(INDEX('Bank Schedule'!AA:AA, SMALL(IF('Bank Schedule'!$K$2:$K$825="Vacant", ROW('Bank Schedule'!$K$2:$K$825)), ROW(13:13))), "")</f>
        <v>0</v>
      </c>
      <c r="AB16" s="311" t="n">
        <f aca="false">IFERROR(INDEX('Bank Schedule'!AB:AB, SMALL(IF('Bank Schedule'!$K$2:$K$825="Vacant", ROW('Bank Schedule'!$K$2:$K$825)), ROW(13:13))), "")</f>
        <v>0</v>
      </c>
      <c r="AC16" s="29" t="str">
        <f aca="false" t="array" ref="AC16:AC16">IFERROR(INDEX('Bank Schedule'!AC:AC, SMALL(IF('Bank Schedule'!$K$2:$K$825="Vacant", ROW('Bank Schedule'!$K$2:$K$825)), ROW(13:13))), "")</f>
        <v>No</v>
      </c>
      <c r="AD16" s="29" t="str">
        <f aca="false" t="array" ref="AD16:AD16">IFERROR(INDEX('Bank Schedule'!AD:AD, SMALL(IF('Bank Schedule'!$K$2:$K$825="Vacant", ROW('Bank Schedule'!$K$2:$K$825)), ROW(13:13))), "")</f>
        <v>LEM marketing.</v>
      </c>
      <c r="AE16" s="281" t="n">
        <f aca="false" t="array" ref="AE16:AE16">IFERROR(INDEX('Bank Schedule'!AE:AE, SMALL(IF('Bank Schedule'!$K$2:$K$825="Vacant", ROW('Bank Schedule'!$K$2:$K$825)), ROW(13:13))), "")</f>
        <v>70</v>
      </c>
      <c r="AF16" s="29" t="n">
        <f aca="false" t="array" ref="AF16:AF16">IFERROR(INDEX('Bank Schedule'!AF:AF, SMALL(IF('Bank Schedule'!$K$2:$K$825="Vacant", ROW('Bank Schedule'!$K$2:$K$825)), ROW(13:13))), "")</f>
        <v>6</v>
      </c>
      <c r="AG16" s="29" t="n">
        <f aca="false" t="array" ref="AG16:AG16">IFERROR(INDEX('Bank Schedule'!AG:AG, SMALL(IF('Bank Schedule'!$K$2:$K$825="Vacant", ROW('Bank Schedule'!$K$2:$K$825)), ROW(13:13))), "")</f>
        <v>20</v>
      </c>
      <c r="AH16" s="29" t="str">
        <f aca="false" t="array" ref="AH16:AH16">IFERROR(INDEX('Bank Schedule'!AH:AH, SMALL(IF('Bank Schedule'!$K$2:$K$825="Vacant", ROW('Bank Schedule'!$K$2:$K$825)), ROW(13:13))), "")</f>
        <v>LEM / Savills</v>
      </c>
      <c r="AI16" s="4"/>
    </row>
    <row r="17" customFormat="false" ht="28.5" hidden="false" customHeight="true" outlineLevel="0" collapsed="false">
      <c r="A17" s="29" t="n">
        <f aca="false">IFERROR(INDEX('Bank Schedule'!A:A, SMALL(IF('Bank Schedule'!$K$2:$K$825="Vacant", ROW('Bank Schedule'!$K$2:$K$825)), ROW(14:14))), "")</f>
        <v>0</v>
      </c>
      <c r="B17" s="29" t="str">
        <f aca="false" t="array" ref="B17:B17">IFERROR(INDEX('Bank Schedule'!B:B, SMALL(IF('Bank Schedule'!$K$2:$K$825="Vacant", ROW('Bank Schedule'!$K$2:$K$825)), ROW(14:14))), "")</f>
        <v>CD</v>
      </c>
      <c r="C17" s="29" t="str">
        <f aca="false" t="array" ref="C17:C17">IFERROR(INDEX('Bank Schedule'!C:C, SMALL(IF('Bank Schedule'!$K$2:$K$825="Vacant", ROW('Bank Schedule'!$K$2:$K$825)), ROW(14:14))), "")</f>
        <v>MEL</v>
      </c>
      <c r="D17" s="29" t="n">
        <f aca="false" t="array" ref="D17:D17">IFERROR(INDEX('Bank Schedule'!D:D, SMALL(IF('Bank Schedule'!$K$2:$K$825="Vacant", ROW('Bank Schedule'!$K$2:$K$825)), ROW(14:14))), "")</f>
        <v>550410</v>
      </c>
      <c r="E17" s="29" t="str">
        <f aca="false" t="array" ref="E17:E17">IFERROR(INDEX('Bank Schedule'!E:E, SMALL(IF('Bank Schedule'!$K$2:$K$825="Vacant", ROW('Bank Schedule'!$K$2:$K$825)), ROW(14:14))), "")</f>
        <v>19-21 Great Portland Street .</v>
      </c>
      <c r="F17" s="29" t="str">
        <f aca="false" t="array" ref="F17:F17">IFERROR(INDEX('Bank Schedule'!F:F, SMALL(IF('Bank Schedule'!$K$2:$K$825="Vacant", ROW('Bank Schedule'!$K$2:$K$825)), ROW(14:14))), "")</f>
        <v>Third Floor</v>
      </c>
      <c r="G17" s="29" t="str">
        <f aca="false" t="array" ref="G17:G17">IFERROR(INDEX('Bank Schedule'!G:G, SMALL(IF('Bank Schedule'!$K$2:$K$825="Vacant", ROW('Bank Schedule'!$K$2:$K$825)), ROW(14:14))), "")</f>
        <v>Offices</v>
      </c>
      <c r="H17" s="305" t="n">
        <f aca="false" t="array" ref="H17:H17">IFERROR(INDEX('Bank Schedule'!H:H, SMALL(IF('Bank Schedule'!$K$2:$K$825="Vacant", ROW('Bank Schedule'!$K$2:$K$825)), ROW(14:14))), "")</f>
        <v>2651</v>
      </c>
      <c r="I17" s="29" t="n">
        <f aca="false" t="array" ref="I17:I17">IFERROR(INDEX('Bank Schedule'!I:I, SMALL(IF('Bank Schedule'!$K$2:$K$825="Vacant", ROW('Bank Schedule'!$K$2:$K$825)), ROW(14:14))), "")</f>
        <v>2651</v>
      </c>
      <c r="J17" s="305" t="n">
        <f aca="false" t="array" ref="J17:J17">IFERROR(INDEX('Bank Schedule'!J:J, SMALL(IF('Bank Schedule'!$K$2:$K$825="Vacant", ROW('Bank Schedule'!$K$2:$K$825)), ROW(14:14))), "")</f>
        <v>2500</v>
      </c>
      <c r="K17" s="29" t="str">
        <f aca="false" t="array" ref="K17:K17">IFERROR(INDEX('Bank Schedule'!K:K, SMALL(IF('Bank Schedule'!$K$2:$K$825="Vacant", ROW('Bank Schedule'!$K$2:$K$825)), ROW(14:14))), "")</f>
        <v>Vacant</v>
      </c>
      <c r="L17" s="306" t="n">
        <f aca="false">IFERROR(INDEX('Bank Schedule'!L:L, SMALL(IF('Bank Schedule'!$K$2:$K$825="Vacant", ROW('Bank Schedule'!$K$2:$K$825)), ROW(14:14))), "")</f>
        <v>45614</v>
      </c>
      <c r="M17" s="306" t="n">
        <f aca="false">IFERROR(INDEX('Bank Schedule'!M:M, SMALL(IF('Bank Schedule'!$K$2:$K$825="Vacant", ROW('Bank Schedule'!$K$2:$K$825)), ROW(14:14))), "")</f>
        <v>46181</v>
      </c>
      <c r="N17" s="307" t="n">
        <f aca="false" t="array" ref="N17:N17">IFERROR(INDEX('Bank Schedule'!N:N, SMALL(IF('Bank Schedule'!$K$2:$K$825="Vacant", ROW('Bank Schedule'!$K$2:$K$825)), ROW(14:14))), "")</f>
        <v>44124</v>
      </c>
      <c r="O17" s="306" t="n">
        <f aca="false">IFERROR(INDEX('Bank Schedule'!O:O, SMALL(IF('Bank Schedule'!$K$2:$K$825="Vacant", ROW('Bank Schedule'!$K$2:$K$825)), ROW(14:14))), "")</f>
        <v>0</v>
      </c>
      <c r="P17" s="306" t="n">
        <f aca="false">IFERROR(INDEX('Bank Schedule'!P:P, SMALL(IF('Bank Schedule'!$K$2:$K$825="Vacant", ROW('Bank Schedule'!$K$2:$K$825)), ROW(14:14))), "")</f>
        <v>0</v>
      </c>
      <c r="Q17" s="29" t="n">
        <f aca="false" t="array" ref="Q17:Q17">IFERROR(INDEX('Bank Schedule'!Q:Q, SMALL(IF('Bank Schedule'!$K$2:$K$825="Vacant", ROW('Bank Schedule'!$K$2:$K$825)), ROW(14:14))), "")</f>
        <v>0</v>
      </c>
      <c r="R17" s="29" t="n">
        <f aca="false" t="array" ref="R17:R17">IFERROR(INDEX('Bank Schedule'!R:R, SMALL(IF('Bank Schedule'!$K$2:$K$825="Vacant", ROW('Bank Schedule'!$K$2:$K$825)), ROW(14:14))), "")</f>
        <v>0</v>
      </c>
      <c r="S17" s="308" t="n">
        <f aca="false">IFERROR(INDEX('Bank Schedule'!S:S, SMALL(IF('Bank Schedule'!$K$2:$K$825="Vacant", ROW('Bank Schedule'!$K$2:$K$825)), ROW(14:14))), "")</f>
        <v>0</v>
      </c>
      <c r="T17" s="309" t="n">
        <f aca="false" t="array" ref="T17:T17">IFERROR(INDEX('Bank Schedule'!T:T, SMALL(IF('Bank Schedule'!$K$2:$K$825="Vacant", ROW('Bank Schedule'!$K$2:$K$825)), ROW(14:14))), "")</f>
        <v>172000</v>
      </c>
      <c r="U17" s="309" t="n">
        <f aca="false" t="array" ref="U17:U17">IFERROR(INDEX('Bank Schedule'!U:U, SMALL(IF('Bank Schedule'!$K$2:$K$825="Vacant", ROW('Bank Schedule'!$K$2:$K$825)), ROW(14:14))), "")</f>
        <v>172000</v>
      </c>
      <c r="V17" s="309" t="n">
        <f aca="false" t="array" ref="V17:V17">IFERROR(INDEX('Bank Schedule'!V:V, SMALL(IF('Bank Schedule'!$K$2:$K$825="Vacant", ROW('Bank Schedule'!$K$2:$K$825)), ROW(14:14))), "")</f>
        <v>181600</v>
      </c>
      <c r="W17" s="309" t="n">
        <f aca="false" t="array" ref="W17:W17">IFERROR(INDEX('Bank Schedule'!W:W, SMALL(IF('Bank Schedule'!$K$2:$K$825="Vacant", ROW('Bank Schedule'!$K$2:$K$825)), ROW(14:14))), "")</f>
        <v>181600</v>
      </c>
      <c r="X17" s="309" t="n">
        <f aca="false" t="array" ref="X17:X17">IFERROR(INDEX('Bank Schedule'!X:X, SMALL(IF('Bank Schedule'!$K$2:$K$825="Vacant", ROW('Bank Schedule'!$K$2:$K$825)), ROW(14:14))), "")</f>
        <v>68.5024519049415</v>
      </c>
      <c r="Y17" s="310" t="n">
        <f aca="false" t="array" ref="Y17:Y17">IFERROR(INDEX('Bank Schedule'!Y:Y, SMALL(IF('Bank Schedule'!$K$2:$K$825="Vacant", ROW('Bank Schedule'!$K$2:$K$825)), ROW(14:14))), "")</f>
        <v>0.0558139534883721</v>
      </c>
      <c r="Z17" s="29" t="str">
        <f aca="false" t="array" ref="Z17:Z17">IFERROR(INDEX('Bank Schedule'!Z:Z, SMALL(IF('Bank Schedule'!$K$2:$K$825="Vacant", ROW('Bank Schedule'!$K$2:$K$825)), ROW(14:14))), "")</f>
        <v>B</v>
      </c>
      <c r="AA17" s="308" t="n">
        <f aca="false">IFERROR(INDEX('Bank Schedule'!AA:AA, SMALL(IF('Bank Schedule'!$K$2:$K$825="Vacant", ROW('Bank Schedule'!$K$2:$K$825)), ROW(14:14))), "")</f>
        <v>0</v>
      </c>
      <c r="AB17" s="311" t="n">
        <f aca="false">IFERROR(INDEX('Bank Schedule'!AB:AB, SMALL(IF('Bank Schedule'!$K$2:$K$825="Vacant", ROW('Bank Schedule'!$K$2:$K$825)), ROW(14:14))), "")</f>
        <v>0</v>
      </c>
      <c r="AC17" s="29" t="str">
        <f aca="false" t="array" ref="AC17:AC17">IFERROR(INDEX('Bank Schedule'!AC:AC, SMALL(IF('Bank Schedule'!$K$2:$K$825="Vacant", ROW('Bank Schedule'!$K$2:$K$825)), ROW(14:14))), "")</f>
        <v>No</v>
      </c>
      <c r="AD17" s="29" t="str">
        <f aca="false" t="array" ref="AD17:AD17">IFERROR(INDEX('Bank Schedule'!AD:AD, SMALL(IF('Bank Schedule'!$K$2:$K$825="Vacant", ROW('Bank Schedule'!$K$2:$K$825)), ROW(14:14))), "")</f>
        <v>LEM marketing.</v>
      </c>
      <c r="AE17" s="281" t="n">
        <f aca="false" t="array" ref="AE17:AE17">IFERROR(INDEX('Bank Schedule'!AE:AE, SMALL(IF('Bank Schedule'!$K$2:$K$825="Vacant", ROW('Bank Schedule'!$K$2:$K$825)), ROW(14:14))), "")</f>
        <v>72.5</v>
      </c>
      <c r="AF17" s="29" t="n">
        <f aca="false" t="array" ref="AF17:AF17">IFERROR(INDEX('Bank Schedule'!AF:AF, SMALL(IF('Bank Schedule'!$K$2:$K$825="Vacant", ROW('Bank Schedule'!$K$2:$K$825)), ROW(14:14))), "")</f>
        <v>6</v>
      </c>
      <c r="AG17" s="29" t="n">
        <f aca="false" t="array" ref="AG17:AG17">IFERROR(INDEX('Bank Schedule'!AG:AG, SMALL(IF('Bank Schedule'!$K$2:$K$825="Vacant", ROW('Bank Schedule'!$K$2:$K$825)), ROW(14:14))), "")</f>
        <v>20</v>
      </c>
      <c r="AH17" s="29" t="str">
        <f aca="false" t="array" ref="AH17:AH17">IFERROR(INDEX('Bank Schedule'!AH:AH, SMALL(IF('Bank Schedule'!$K$2:$K$825="Vacant", ROW('Bank Schedule'!$K$2:$K$825)), ROW(14:14))), "")</f>
        <v>LEM / Savills</v>
      </c>
      <c r="AI17" s="4"/>
    </row>
    <row r="18" customFormat="false" ht="28.5" hidden="false" customHeight="true" outlineLevel="0" collapsed="false">
      <c r="A18" s="29" t="n">
        <f aca="false">IFERROR(INDEX('Bank Schedule'!A:A, SMALL(IF('Bank Schedule'!$K$2:$K$825="Vacant", ROW('Bank Schedule'!$K$2:$K$825)), ROW(15:15))), "")</f>
        <v>0</v>
      </c>
      <c r="B18" s="29" t="str">
        <f aca="false" t="array" ref="B18:B18">IFERROR(INDEX('Bank Schedule'!B:B, SMALL(IF('Bank Schedule'!$K$2:$K$825="Vacant", ROW('Bank Schedule'!$K$2:$K$825)), ROW(15:15))), "")</f>
        <v>WS</v>
      </c>
      <c r="C18" s="29" t="str">
        <f aca="false" t="array" ref="C18:C18">IFERROR(INDEX('Bank Schedule'!C:C, SMALL(IF('Bank Schedule'!$K$2:$K$825="Vacant", ROW('Bank Schedule'!$K$2:$K$825)), ROW(15:15))), "")</f>
        <v>MEL</v>
      </c>
      <c r="D18" s="29" t="n">
        <f aca="false" t="array" ref="D18:D18">IFERROR(INDEX('Bank Schedule'!D:D, SMALL(IF('Bank Schedule'!$K$2:$K$825="Vacant", ROW('Bank Schedule'!$K$2:$K$825)), ROW(15:15))), "")</f>
        <v>550080</v>
      </c>
      <c r="E18" s="29" t="str">
        <f aca="false" t="array" ref="E18:E18">IFERROR(INDEX('Bank Schedule'!E:E, SMALL(IF('Bank Schedule'!$K$2:$K$825="Vacant", ROW('Bank Schedule'!$K$2:$K$825)), ROW(15:15))), "")</f>
        <v>Highlight House, 22-24 Great Portland Street</v>
      </c>
      <c r="F18" s="29" t="str">
        <f aca="false" t="array" ref="F18:F18">IFERROR(INDEX('Bank Schedule'!F:F, SMALL(IF('Bank Schedule'!$K$2:$K$825="Vacant", ROW('Bank Schedule'!$K$2:$K$825)), ROW(15:15))), "")</f>
        <v>First Floor</v>
      </c>
      <c r="G18" s="29" t="str">
        <f aca="false" t="array" ref="G18:G18">IFERROR(INDEX('Bank Schedule'!G:G, SMALL(IF('Bank Schedule'!$K$2:$K$825="Vacant", ROW('Bank Schedule'!$K$2:$K$825)), ROW(15:15))), "")</f>
        <v> Office</v>
      </c>
      <c r="H18" s="305" t="n">
        <f aca="false" t="array" ref="H18:H18">IFERROR(INDEX('Bank Schedule'!H:H, SMALL(IF('Bank Schedule'!$K$2:$K$825="Vacant", ROW('Bank Schedule'!$K$2:$K$825)), ROW(15:15))), "")</f>
        <v>1493</v>
      </c>
      <c r="I18" s="29" t="n">
        <f aca="false" t="array" ref="I18:I18">IFERROR(INDEX('Bank Schedule'!I:I, SMALL(IF('Bank Schedule'!$K$2:$K$825="Vacant", ROW('Bank Schedule'!$K$2:$K$825)), ROW(15:15))), "")</f>
        <v>1493</v>
      </c>
      <c r="J18" s="305" t="n">
        <f aca="false" t="array" ref="J18:J18">IFERROR(INDEX('Bank Schedule'!J:J, SMALL(IF('Bank Schedule'!$K$2:$K$825="Vacant", ROW('Bank Schedule'!$K$2:$K$825)), ROW(15:15))), "")</f>
        <v>1500</v>
      </c>
      <c r="K18" s="29" t="str">
        <f aca="false" t="array" ref="K18:K18">IFERROR(INDEX('Bank Schedule'!K:K, SMALL(IF('Bank Schedule'!$K$2:$K$825="Vacant", ROW('Bank Schedule'!$K$2:$K$825)), ROW(15:15))), "")</f>
        <v>Vacant</v>
      </c>
      <c r="L18" s="306" t="n">
        <f aca="false">IFERROR(INDEX('Bank Schedule'!L:L, SMALL(IF('Bank Schedule'!$K$2:$K$825="Vacant", ROW('Bank Schedule'!$K$2:$K$825)), ROW(15:15))), "")</f>
        <v>0</v>
      </c>
      <c r="M18" s="306" t="n">
        <f aca="false">IFERROR(INDEX('Bank Schedule'!M:M, SMALL(IF('Bank Schedule'!$K$2:$K$825="Vacant", ROW('Bank Schedule'!$K$2:$K$825)), ROW(15:15))), "")</f>
        <v>0</v>
      </c>
      <c r="N18" s="307" t="n">
        <f aca="false" t="array" ref="N18:N18">IFERROR(INDEX('Bank Schedule'!N:N, SMALL(IF('Bank Schedule'!$K$2:$K$825="Vacant", ROW('Bank Schedule'!$K$2:$K$825)), ROW(15:15))), "")</f>
        <v>43279</v>
      </c>
      <c r="O18" s="306" t="n">
        <f aca="false">IFERROR(INDEX('Bank Schedule'!O:O, SMALL(IF('Bank Schedule'!$K$2:$K$825="Vacant", ROW('Bank Schedule'!$K$2:$K$825)), ROW(15:15))), "")</f>
        <v>0</v>
      </c>
      <c r="P18" s="306" t="n">
        <f aca="false">IFERROR(INDEX('Bank Schedule'!P:P, SMALL(IF('Bank Schedule'!$K$2:$K$825="Vacant", ROW('Bank Schedule'!$K$2:$K$825)), ROW(15:15))), "")</f>
        <v>0</v>
      </c>
      <c r="Q18" s="29" t="n">
        <f aca="false" t="array" ref="Q18:Q18">IFERROR(INDEX('Bank Schedule'!Q:Q, SMALL(IF('Bank Schedule'!$K$2:$K$825="Vacant", ROW('Bank Schedule'!$K$2:$K$825)), ROW(15:15))), "")</f>
        <v>0</v>
      </c>
      <c r="R18" s="29" t="n">
        <f aca="false" t="array" ref="R18:R18">IFERROR(INDEX('Bank Schedule'!R:R, SMALL(IF('Bank Schedule'!$K$2:$K$825="Vacant", ROW('Bank Schedule'!$K$2:$K$825)), ROW(15:15))), "")</f>
        <v>0</v>
      </c>
      <c r="S18" s="308" t="n">
        <f aca="false">IFERROR(INDEX('Bank Schedule'!S:S, SMALL(IF('Bank Schedule'!$K$2:$K$825="Vacant", ROW('Bank Schedule'!$K$2:$K$825)), ROW(15:15))), "")</f>
        <v>0</v>
      </c>
      <c r="T18" s="309" t="n">
        <f aca="false" t="array" ref="T18:T18">IFERROR(INDEX('Bank Schedule'!T:T, SMALL(IF('Bank Schedule'!$K$2:$K$825="Vacant", ROW('Bank Schedule'!$K$2:$K$825)), ROW(15:15))), "")</f>
        <v>86600</v>
      </c>
      <c r="U18" s="309" t="n">
        <f aca="false" t="array" ref="U18:U18">IFERROR(INDEX('Bank Schedule'!U:U, SMALL(IF('Bank Schedule'!$K$2:$K$825="Vacant", ROW('Bank Schedule'!$K$2:$K$825)), ROW(15:15))), "")</f>
        <v>86600</v>
      </c>
      <c r="V18" s="309" t="n">
        <f aca="false" t="array" ref="V18:V18">IFERROR(INDEX('Bank Schedule'!V:V, SMALL(IF('Bank Schedule'!$K$2:$K$825="Vacant", ROW('Bank Schedule'!$K$2:$K$825)), ROW(15:15))), "")</f>
        <v>93300</v>
      </c>
      <c r="W18" s="309" t="n">
        <f aca="false" t="array" ref="W18:W18">IFERROR(INDEX('Bank Schedule'!W:W, SMALL(IF('Bank Schedule'!$K$2:$K$825="Vacant", ROW('Bank Schedule'!$K$2:$K$825)), ROW(15:15))), "")</f>
        <v>93300</v>
      </c>
      <c r="X18" s="309" t="n">
        <f aca="false" t="array" ref="X18:X18">IFERROR(INDEX('Bank Schedule'!X:X, SMALL(IF('Bank Schedule'!$K$2:$K$825="Vacant", ROW('Bank Schedule'!$K$2:$K$825)), ROW(15:15))), "")</f>
        <v>62.4916275954454</v>
      </c>
      <c r="Y18" s="310" t="n">
        <f aca="false" t="array" ref="Y18:Y18">IFERROR(INDEX('Bank Schedule'!Y:Y, SMALL(IF('Bank Schedule'!$K$2:$K$825="Vacant", ROW('Bank Schedule'!$K$2:$K$825)), ROW(15:15))), "")</f>
        <v>0.0773672055427252</v>
      </c>
      <c r="Z18" s="29" t="str">
        <f aca="false" t="array" ref="Z18:Z18">IFERROR(INDEX('Bank Schedule'!Z:Z, SMALL(IF('Bank Schedule'!$K$2:$K$825="Vacant", ROW('Bank Schedule'!$K$2:$K$825)), ROW(15:15))), "")</f>
        <v>D</v>
      </c>
      <c r="AA18" s="308" t="n">
        <f aca="false">IFERROR(INDEX('Bank Schedule'!AA:AA, SMALL(IF('Bank Schedule'!$K$2:$K$825="Vacant", ROW('Bank Schedule'!$K$2:$K$825)), ROW(15:15))), "")</f>
        <v>0</v>
      </c>
      <c r="AB18" s="311" t="n">
        <f aca="false">IFERROR(INDEX('Bank Schedule'!AB:AB, SMALL(IF('Bank Schedule'!$K$2:$K$825="Vacant", ROW('Bank Schedule'!$K$2:$K$825)), ROW(15:15))), "")</f>
        <v>0</v>
      </c>
      <c r="AC18" s="29" t="str">
        <f aca="false" t="array" ref="AC18:AC18">IFERROR(INDEX('Bank Schedule'!AC:AC, SMALL(IF('Bank Schedule'!$K$2:$K$825="Vacant", ROW('Bank Schedule'!$K$2:$K$825)), ROW(15:15))), "")</f>
        <v>No</v>
      </c>
      <c r="AD18" s="29" t="str">
        <f aca="false" t="array" ref="AD18:AD18">IFERROR(INDEX('Bank Schedule'!AD:AD, SMALL(IF('Bank Schedule'!$K$2:$K$825="Vacant", ROW('Bank Schedule'!$K$2:$K$825)), ROW(15:15))), "")</f>
        <v>Mothballed.</v>
      </c>
      <c r="AE18" s="281" t="n">
        <f aca="false">IFERROR(INDEX('Bank Schedule'!AE:AE, SMALL(IF('Bank Schedule'!$K$2:$K$825="Vacant", ROW('Bank Schedule'!$K$2:$K$825)), ROW(15:15))), "")</f>
        <v>0</v>
      </c>
      <c r="AF18" s="29" t="n">
        <f aca="false">IFERROR(INDEX('Bank Schedule'!AF:AF, SMALL(IF('Bank Schedule'!$K$2:$K$825="Vacant", ROW('Bank Schedule'!$K$2:$K$825)), ROW(15:15))), "")</f>
        <v>2</v>
      </c>
      <c r="AG18" s="29" t="n">
        <f aca="false" t="array" ref="AG18:AG18">IFERROR(INDEX('Bank Schedule'!AG:AG, SMALL(IF('Bank Schedule'!$K$2:$K$825="Vacant", ROW('Bank Schedule'!$K$2:$K$825)), ROW(15:15))), "")</f>
        <v>2</v>
      </c>
      <c r="AH18" s="29" t="n">
        <f aca="false">IFERROR(INDEX('Bank Schedule'!AH:AH, SMALL(IF('Bank Schedule'!$K$2:$K$825="Vacant", ROW('Bank Schedule'!$K$2:$K$825)), ROW(15:15))), "")</f>
        <v>0</v>
      </c>
      <c r="AI18" s="4"/>
    </row>
    <row r="19" customFormat="false" ht="28.5" hidden="false" customHeight="true" outlineLevel="0" collapsed="false">
      <c r="A19" s="29" t="str">
        <f aca="false">IFERROR(INDEX('Bank Schedule'!A:A, SMALL(IF('Bank Schedule'!$K$2:$K$825="Vacant", ROW('Bank Schedule'!$K$2:$K$825)), ROW(16:16))), "")</f>
        <v/>
      </c>
      <c r="B19" s="29" t="str">
        <f aca="false" t="array" ref="B19:B19">IFERROR(INDEX('Bank Schedule'!B:B, SMALL(IF('Bank Schedule'!$K$2:$K$825="Vacant", ROW('Bank Schedule'!$K$2:$K$825)), ROW(16:16))), "")</f>
        <v>WS</v>
      </c>
      <c r="C19" s="29" t="str">
        <f aca="false" t="array" ref="C19:C19">IFERROR(INDEX('Bank Schedule'!C:C, SMALL(IF('Bank Schedule'!$K$2:$K$825="Vacant", ROW('Bank Schedule'!$K$2:$K$825)), ROW(16:16))), "")</f>
        <v>MEL</v>
      </c>
      <c r="D19" s="29" t="n">
        <f aca="false" t="array" ref="D19:D19">IFERROR(INDEX('Bank Schedule'!D:D, SMALL(IF('Bank Schedule'!$K$2:$K$825="Vacant", ROW('Bank Schedule'!$K$2:$K$825)), ROW(16:16))), "")</f>
        <v>550080</v>
      </c>
      <c r="E19" s="29" t="str">
        <f aca="false" t="array" ref="E19:E19">IFERROR(INDEX('Bank Schedule'!E:E, SMALL(IF('Bank Schedule'!$K$2:$K$825="Vacant", ROW('Bank Schedule'!$K$2:$K$825)), ROW(16:16))), "")</f>
        <v>Highlight House, 22-24 Great Portland Street</v>
      </c>
      <c r="F19" s="29" t="str">
        <f aca="false" t="array" ref="F19:F19">IFERROR(INDEX('Bank Schedule'!F:F, SMALL(IF('Bank Schedule'!$K$2:$K$825="Vacant", ROW('Bank Schedule'!$K$2:$K$825)), ROW(16:16))), "")</f>
        <v>Second Floor</v>
      </c>
      <c r="G19" s="29" t="str">
        <f aca="false" t="array" ref="G19:G19">IFERROR(INDEX('Bank Schedule'!G:G, SMALL(IF('Bank Schedule'!$K$2:$K$825="Vacant", ROW('Bank Schedule'!$K$2:$K$825)), ROW(16:16))), "")</f>
        <v>Office</v>
      </c>
      <c r="H19" s="305" t="n">
        <f aca="false" t="array" ref="H19:H19">IFERROR(INDEX('Bank Schedule'!H:H, SMALL(IF('Bank Schedule'!$K$2:$K$825="Vacant", ROW('Bank Schedule'!$K$2:$K$825)), ROW(16:16))), "")</f>
        <v>1503</v>
      </c>
      <c r="I19" s="29" t="n">
        <f aca="false" t="array" ref="I19:I19">IFERROR(INDEX('Bank Schedule'!I:I, SMALL(IF('Bank Schedule'!$K$2:$K$825="Vacant", ROW('Bank Schedule'!$K$2:$K$825)), ROW(16:16))), "")</f>
        <v>1503</v>
      </c>
      <c r="J19" s="305" t="n">
        <f aca="false" t="array" ref="J19:J19">IFERROR(INDEX('Bank Schedule'!J:J, SMALL(IF('Bank Schedule'!$K$2:$K$825="Vacant", ROW('Bank Schedule'!$K$2:$K$825)), ROW(16:16))), "")</f>
        <v>1500</v>
      </c>
      <c r="K19" s="29" t="str">
        <f aca="false" t="array" ref="K19:K19">IFERROR(INDEX('Bank Schedule'!K:K, SMALL(IF('Bank Schedule'!$K$2:$K$825="Vacant", ROW('Bank Schedule'!$K$2:$K$825)), ROW(16:16))), "")</f>
        <v>Vacant</v>
      </c>
      <c r="L19" s="29" t="str">
        <f aca="false">IFERROR(INDEX('Bank Schedule'!L:L, SMALL(IF('Bank Schedule'!$K$2:$K$825="Vacant", ROW('Bank Schedule'!$K$2:$K$825)), ROW(16:16))), "")</f>
        <v/>
      </c>
      <c r="M19" s="29" t="str">
        <f aca="false">IFERROR(INDEX('Bank Schedule'!M:M, SMALL(IF('Bank Schedule'!$K$2:$K$825="Vacant", ROW('Bank Schedule'!$K$2:$K$825)), ROW(16:16))), "")</f>
        <v/>
      </c>
      <c r="N19" s="307" t="n">
        <f aca="false" t="array" ref="N19:N19">IFERROR(INDEX('Bank Schedule'!N:N, SMALL(IF('Bank Schedule'!$K$2:$K$825="Vacant", ROW('Bank Schedule'!$K$2:$K$825)), ROW(16:16))), "")</f>
        <v>43354</v>
      </c>
      <c r="O19" s="29" t="str">
        <f aca="false">IFERROR(INDEX('Bank Schedule'!O:O, SMALL(IF('Bank Schedule'!$K$2:$K$825="Vacant", ROW('Bank Schedule'!$K$2:$K$825)), ROW(16:16))), "")</f>
        <v/>
      </c>
      <c r="P19" s="29" t="str">
        <f aca="false">IFERROR(INDEX('Bank Schedule'!P:P, SMALL(IF('Bank Schedule'!$K$2:$K$825="Vacant", ROW('Bank Schedule'!$K$2:$K$825)), ROW(16:16))), "")</f>
        <v/>
      </c>
      <c r="Q19" s="29" t="n">
        <f aca="false" t="array" ref="Q19:Q19">IFERROR(INDEX('Bank Schedule'!Q:Q, SMALL(IF('Bank Schedule'!$K$2:$K$825="Vacant", ROW('Bank Schedule'!$K$2:$K$825)), ROW(16:16))), "")</f>
        <v>0</v>
      </c>
      <c r="R19" s="29" t="n">
        <f aca="false" t="array" ref="R19:R19">IFERROR(INDEX('Bank Schedule'!R:R, SMALL(IF('Bank Schedule'!$K$2:$K$825="Vacant", ROW('Bank Schedule'!$K$2:$K$825)), ROW(16:16))), "")</f>
        <v>0</v>
      </c>
      <c r="S19" s="29" t="str">
        <f aca="false">IFERROR(INDEX('Bank Schedule'!S:S, SMALL(IF('Bank Schedule'!$K$2:$K$825="Vacant", ROW('Bank Schedule'!$K$2:$K$825)), ROW(16:16))), "")</f>
        <v/>
      </c>
      <c r="T19" s="309" t="n">
        <f aca="false" t="array" ref="T19:T19">IFERROR(INDEX('Bank Schedule'!T:T, SMALL(IF('Bank Schedule'!$K$2:$K$825="Vacant", ROW('Bank Schedule'!$K$2:$K$825)), ROW(16:16))), "")</f>
        <v>88100</v>
      </c>
      <c r="U19" s="309" t="n">
        <f aca="false" t="array" ref="U19:U19">IFERROR(INDEX('Bank Schedule'!U:U, SMALL(IF('Bank Schedule'!$K$2:$K$825="Vacant", ROW('Bank Schedule'!$K$2:$K$825)), ROW(16:16))), "")</f>
        <v>88100</v>
      </c>
      <c r="V19" s="309" t="n">
        <f aca="false" t="array" ref="V19:V19">IFERROR(INDEX('Bank Schedule'!V:V, SMALL(IF('Bank Schedule'!$K$2:$K$825="Vacant", ROW('Bank Schedule'!$K$2:$K$825)), ROW(16:16))), "")</f>
        <v>93900</v>
      </c>
      <c r="W19" s="309" t="n">
        <f aca="false" t="array" ref="W19:W19">IFERROR(INDEX('Bank Schedule'!W:W, SMALL(IF('Bank Schedule'!$K$2:$K$825="Vacant", ROW('Bank Schedule'!$K$2:$K$825)), ROW(16:16))), "")</f>
        <v>93900</v>
      </c>
      <c r="X19" s="309" t="n">
        <f aca="false" t="array" ref="X19:X19">IFERROR(INDEX('Bank Schedule'!X:X, SMALL(IF('Bank Schedule'!$K$2:$K$825="Vacant", ROW('Bank Schedule'!$K$2:$K$825)), ROW(16:16))), "")</f>
        <v>62.4750499001996</v>
      </c>
      <c r="Y19" s="310" t="n">
        <f aca="false" t="array" ref="Y19:Y19">IFERROR(INDEX('Bank Schedule'!Y:Y, SMALL(IF('Bank Schedule'!$K$2:$K$825="Vacant", ROW('Bank Schedule'!$K$2:$K$825)), ROW(16:16))), "")</f>
        <v>0.0658342792281498</v>
      </c>
      <c r="Z19" s="29" t="str">
        <f aca="false" t="array" ref="Z19:Z19">IFERROR(INDEX('Bank Schedule'!Z:Z, SMALL(IF('Bank Schedule'!$K$2:$K$825="Vacant", ROW('Bank Schedule'!$K$2:$K$825)), ROW(16:16))), "")</f>
        <v>D</v>
      </c>
      <c r="AA19" s="29" t="str">
        <f aca="false">IFERROR(INDEX('Bank Schedule'!AA:AA, SMALL(IF('Bank Schedule'!$K$2:$K$825="Vacant", ROW('Bank Schedule'!$K$2:$K$825)), ROW(16:16))), "")</f>
        <v/>
      </c>
      <c r="AB19" s="29" t="str">
        <f aca="false">IFERROR(INDEX('Bank Schedule'!AB:AB, SMALL(IF('Bank Schedule'!$K$2:$K$825="Vacant", ROW('Bank Schedule'!$K$2:$K$825)), ROW(16:16))), "")</f>
        <v/>
      </c>
      <c r="AC19" s="29" t="str">
        <f aca="false" t="array" ref="AC19:AC19">IFERROR(INDEX('Bank Schedule'!AC:AC, SMALL(IF('Bank Schedule'!$K$2:$K$825="Vacant", ROW('Bank Schedule'!$K$2:$K$825)), ROW(16:16))), "")</f>
        <v>No</v>
      </c>
      <c r="AD19" s="29" t="str">
        <f aca="false" t="array" ref="AD19:AD19">IFERROR(INDEX('Bank Schedule'!AD:AD, SMALL(IF('Bank Schedule'!$K$2:$K$825="Vacant", ROW('Bank Schedule'!$K$2:$K$825)), ROW(16:16))), "")</f>
        <v>Mothballed.</v>
      </c>
      <c r="AE19" s="281" t="str">
        <f aca="false">IFERROR(INDEX('Bank Schedule'!AE:AE, SMALL(IF('Bank Schedule'!$K$2:$K$825="Vacant", ROW('Bank Schedule'!$K$2:$K$825)), ROW(16:16))), "")</f>
        <v/>
      </c>
      <c r="AF19" s="29" t="str">
        <f aca="false">IFERROR(INDEX('Bank Schedule'!AF:AF, SMALL(IF('Bank Schedule'!$K$2:$K$825="Vacant", ROW('Bank Schedule'!$K$2:$K$825)), ROW(16:16))), "")</f>
        <v/>
      </c>
      <c r="AG19" s="29" t="n">
        <f aca="false" t="array" ref="AG19:AG19">IFERROR(INDEX('Bank Schedule'!AG:AG, SMALL(IF('Bank Schedule'!$K$2:$K$825="Vacant", ROW('Bank Schedule'!$K$2:$K$825)), ROW(16:16))), "")</f>
        <v>2</v>
      </c>
      <c r="AH19" s="29" t="str">
        <f aca="false">IFERROR(INDEX('Bank Schedule'!AH:AH, SMALL(IF('Bank Schedule'!$K$2:$K$825="Vacant", ROW('Bank Schedule'!$K$2:$K$825)), ROW(16:16))), "")</f>
        <v/>
      </c>
      <c r="AI19" s="4"/>
    </row>
    <row r="20" customFormat="false" ht="28.5" hidden="false" customHeight="true" outlineLevel="0" collapsed="false">
      <c r="A20" s="29" t="str">
        <f aca="false">IFERROR(INDEX('Bank Schedule'!A:A, SMALL(IF('Bank Schedule'!$K$2:$K$825="Vacant", ROW('Bank Schedule'!$K$2:$K$825)), ROW(17:17))), "")</f>
        <v/>
      </c>
      <c r="B20" s="29" t="str">
        <f aca="false" t="array" ref="B20:B20">IFERROR(INDEX('Bank Schedule'!B:B, SMALL(IF('Bank Schedule'!$K$2:$K$825="Vacant", ROW('Bank Schedule'!$K$2:$K$825)), ROW(17:17))), "")</f>
        <v>WS</v>
      </c>
      <c r="C20" s="29" t="str">
        <f aca="false" t="array" ref="C20:C20">IFERROR(INDEX('Bank Schedule'!C:C, SMALL(IF('Bank Schedule'!$K$2:$K$825="Vacant", ROW('Bank Schedule'!$K$2:$K$825)), ROW(17:17))), "")</f>
        <v>MEL</v>
      </c>
      <c r="D20" s="29" t="n">
        <f aca="false" t="array" ref="D20:D20">IFERROR(INDEX('Bank Schedule'!D:D, SMALL(IF('Bank Schedule'!$K$2:$K$825="Vacant", ROW('Bank Schedule'!$K$2:$K$825)), ROW(17:17))), "")</f>
        <v>550080</v>
      </c>
      <c r="E20" s="29" t="str">
        <f aca="false" t="array" ref="E20:E20">IFERROR(INDEX('Bank Schedule'!E:E, SMALL(IF('Bank Schedule'!$K$2:$K$825="Vacant", ROW('Bank Schedule'!$K$2:$K$825)), ROW(17:17))), "")</f>
        <v>Highlight House, 22-24 Great Portland Street</v>
      </c>
      <c r="F20" s="29" t="str">
        <f aca="false" t="array" ref="F20:F20">IFERROR(INDEX('Bank Schedule'!F:F, SMALL(IF('Bank Schedule'!$K$2:$K$825="Vacant", ROW('Bank Schedule'!$K$2:$K$825)), ROW(17:17))), "")</f>
        <v>Third Floor</v>
      </c>
      <c r="G20" s="29" t="str">
        <f aca="false" t="array" ref="G20:G20">IFERROR(INDEX('Bank Schedule'!G:G, SMALL(IF('Bank Schedule'!$K$2:$K$825="Vacant", ROW('Bank Schedule'!$K$2:$K$825)), ROW(17:17))), "")</f>
        <v>Office</v>
      </c>
      <c r="H20" s="305" t="n">
        <f aca="false" t="array" ref="H20:H20">IFERROR(INDEX('Bank Schedule'!H:H, SMALL(IF('Bank Schedule'!$K$2:$K$825="Vacant", ROW('Bank Schedule'!$K$2:$K$825)), ROW(17:17))), "")</f>
        <v>1519</v>
      </c>
      <c r="I20" s="29" t="n">
        <f aca="false" t="array" ref="I20:I20">IFERROR(INDEX('Bank Schedule'!I:I, SMALL(IF('Bank Schedule'!$K$2:$K$825="Vacant", ROW('Bank Schedule'!$K$2:$K$825)), ROW(17:17))), "")</f>
        <v>1519</v>
      </c>
      <c r="J20" s="305" t="n">
        <f aca="false" t="array" ref="J20:J20">IFERROR(INDEX('Bank Schedule'!J:J, SMALL(IF('Bank Schedule'!$K$2:$K$825="Vacant", ROW('Bank Schedule'!$K$2:$K$825)), ROW(17:17))), "")</f>
        <v>1500</v>
      </c>
      <c r="K20" s="29" t="str">
        <f aca="false" t="array" ref="K20:K20">IFERROR(INDEX('Bank Schedule'!K:K, SMALL(IF('Bank Schedule'!$K$2:$K$825="Vacant", ROW('Bank Schedule'!$K$2:$K$825)), ROW(17:17))), "")</f>
        <v>Vacant</v>
      </c>
      <c r="L20" s="29" t="str">
        <f aca="false">IFERROR(INDEX('Bank Schedule'!L:L, SMALL(IF('Bank Schedule'!$K$2:$K$825="Vacant", ROW('Bank Schedule'!$K$2:$K$825)), ROW(17:17))), "")</f>
        <v/>
      </c>
      <c r="M20" s="29" t="str">
        <f aca="false">IFERROR(INDEX('Bank Schedule'!M:M, SMALL(IF('Bank Schedule'!$K$2:$K$825="Vacant", ROW('Bank Schedule'!$K$2:$K$825)), ROW(17:17))), "")</f>
        <v/>
      </c>
      <c r="N20" s="307" t="n">
        <f aca="false" t="array" ref="N20:N20">IFERROR(INDEX('Bank Schedule'!N:N, SMALL(IF('Bank Schedule'!$K$2:$K$825="Vacant", ROW('Bank Schedule'!$K$2:$K$825)), ROW(17:17))), "")</f>
        <v>43354</v>
      </c>
      <c r="O20" s="29" t="str">
        <f aca="false">IFERROR(INDEX('Bank Schedule'!O:O, SMALL(IF('Bank Schedule'!$K$2:$K$825="Vacant", ROW('Bank Schedule'!$K$2:$K$825)), ROW(17:17))), "")</f>
        <v/>
      </c>
      <c r="P20" s="29" t="str">
        <f aca="false">IFERROR(INDEX('Bank Schedule'!P:P, SMALL(IF('Bank Schedule'!$K$2:$K$825="Vacant", ROW('Bank Schedule'!$K$2:$K$825)), ROW(17:17))), "")</f>
        <v/>
      </c>
      <c r="Q20" s="29" t="n">
        <f aca="false" t="array" ref="Q20:Q20">IFERROR(INDEX('Bank Schedule'!Q:Q, SMALL(IF('Bank Schedule'!$K$2:$K$825="Vacant", ROW('Bank Schedule'!$K$2:$K$825)), ROW(17:17))), "")</f>
        <v>0</v>
      </c>
      <c r="R20" s="29" t="n">
        <f aca="false" t="array" ref="R20:R20">IFERROR(INDEX('Bank Schedule'!R:R, SMALL(IF('Bank Schedule'!$K$2:$K$825="Vacant", ROW('Bank Schedule'!$K$2:$K$825)), ROW(17:17))), "")</f>
        <v>0</v>
      </c>
      <c r="S20" s="29" t="str">
        <f aca="false">IFERROR(INDEX('Bank Schedule'!S:S, SMALL(IF('Bank Schedule'!$K$2:$K$825="Vacant", ROW('Bank Schedule'!$K$2:$K$825)), ROW(17:17))), "")</f>
        <v/>
      </c>
      <c r="T20" s="309" t="n">
        <f aca="false" t="array" ref="T20:T20">IFERROR(INDEX('Bank Schedule'!T:T, SMALL(IF('Bank Schedule'!$K$2:$K$825="Vacant", ROW('Bank Schedule'!$K$2:$K$825)), ROW(17:17))), "")</f>
        <v>83100</v>
      </c>
      <c r="U20" s="309" t="n">
        <f aca="false" t="array" ref="U20:U20">IFERROR(INDEX('Bank Schedule'!U:U, SMALL(IF('Bank Schedule'!$K$2:$K$825="Vacant", ROW('Bank Schedule'!$K$2:$K$825)), ROW(17:17))), "")</f>
        <v>83100</v>
      </c>
      <c r="V20" s="309" t="n">
        <f aca="false" t="array" ref="V20:V20">IFERROR(INDEX('Bank Schedule'!V:V, SMALL(IF('Bank Schedule'!$K$2:$K$825="Vacant", ROW('Bank Schedule'!$K$2:$K$825)), ROW(17:17))), "")</f>
        <v>91100</v>
      </c>
      <c r="W20" s="309" t="n">
        <f aca="false" t="array" ref="W20:W20">IFERROR(INDEX('Bank Schedule'!W:W, SMALL(IF('Bank Schedule'!$K$2:$K$825="Vacant", ROW('Bank Schedule'!$K$2:$K$825)), ROW(17:17))), "")</f>
        <v>91100</v>
      </c>
      <c r="X20" s="309" t="n">
        <f aca="false" t="array" ref="X20:X20">IFERROR(INDEX('Bank Schedule'!X:X, SMALL(IF('Bank Schedule'!$K$2:$K$825="Vacant", ROW('Bank Schedule'!$K$2:$K$825)), ROW(17:17))), "")</f>
        <v>59.9736668861093</v>
      </c>
      <c r="Y20" s="310" t="n">
        <f aca="false" t="array" ref="Y20:Y20">IFERROR(INDEX('Bank Schedule'!Y:Y, SMALL(IF('Bank Schedule'!$K$2:$K$825="Vacant", ROW('Bank Schedule'!$K$2:$K$825)), ROW(17:17))), "")</f>
        <v>0.0962695547533093</v>
      </c>
      <c r="Z20" s="29" t="str">
        <f aca="false" t="array" ref="Z20:Z20">IFERROR(INDEX('Bank Schedule'!Z:Z, SMALL(IF('Bank Schedule'!$K$2:$K$825="Vacant", ROW('Bank Schedule'!$K$2:$K$825)), ROW(17:17))), "")</f>
        <v>D</v>
      </c>
      <c r="AA20" s="29" t="str">
        <f aca="false">IFERROR(INDEX('Bank Schedule'!AA:AA, SMALL(IF('Bank Schedule'!$K$2:$K$825="Vacant", ROW('Bank Schedule'!$K$2:$K$825)), ROW(17:17))), "")</f>
        <v/>
      </c>
      <c r="AB20" s="29" t="str">
        <f aca="false">IFERROR(INDEX('Bank Schedule'!AB:AB, SMALL(IF('Bank Schedule'!$K$2:$K$825="Vacant", ROW('Bank Schedule'!$K$2:$K$825)), ROW(17:17))), "")</f>
        <v/>
      </c>
      <c r="AC20" s="29" t="str">
        <f aca="false" t="array" ref="AC20:AC20">IFERROR(INDEX('Bank Schedule'!AC:AC, SMALL(IF('Bank Schedule'!$K$2:$K$825="Vacant", ROW('Bank Schedule'!$K$2:$K$825)), ROW(17:17))), "")</f>
        <v>No</v>
      </c>
      <c r="AD20" s="29" t="str">
        <f aca="false" t="array" ref="AD20:AD20">IFERROR(INDEX('Bank Schedule'!AD:AD, SMALL(IF('Bank Schedule'!$K$2:$K$825="Vacant", ROW('Bank Schedule'!$K$2:$K$825)), ROW(17:17))), "")</f>
        <v>Mothballed.</v>
      </c>
      <c r="AE20" s="281" t="str">
        <f aca="false">IFERROR(INDEX('Bank Schedule'!AE:AE, SMALL(IF('Bank Schedule'!$K$2:$K$825="Vacant", ROW('Bank Schedule'!$K$2:$K$825)), ROW(17:17))), "")</f>
        <v/>
      </c>
      <c r="AF20" s="29" t="str">
        <f aca="false">IFERROR(INDEX('Bank Schedule'!AF:AF, SMALL(IF('Bank Schedule'!$K$2:$K$825="Vacant", ROW('Bank Schedule'!$K$2:$K$825)), ROW(17:17))), "")</f>
        <v/>
      </c>
      <c r="AG20" s="29" t="n">
        <f aca="false" t="array" ref="AG20:AG20">IFERROR(INDEX('Bank Schedule'!AG:AG, SMALL(IF('Bank Schedule'!$K$2:$K$825="Vacant", ROW('Bank Schedule'!$K$2:$K$825)), ROW(17:17))), "")</f>
        <v>2</v>
      </c>
      <c r="AH20" s="29" t="str">
        <f aca="false">IFERROR(INDEX('Bank Schedule'!AH:AH, SMALL(IF('Bank Schedule'!$K$2:$K$825="Vacant", ROW('Bank Schedule'!$K$2:$K$825)), ROW(17:17))), "")</f>
        <v/>
      </c>
      <c r="AI20" s="4"/>
    </row>
    <row r="21" customFormat="false" ht="28.5" hidden="false" customHeight="true" outlineLevel="0" collapsed="false">
      <c r="A21" s="29" t="str">
        <f aca="false">IFERROR(INDEX('Bank Schedule'!A:A, SMALL(IF('Bank Schedule'!$K$2:$K$825="Vacant", ROW('Bank Schedule'!$K$2:$K$825)), ROW(18:18))), "")</f>
        <v/>
      </c>
      <c r="B21" s="29" t="str">
        <f aca="false" t="array" ref="B21:B21">IFERROR(INDEX('Bank Schedule'!B:B, SMALL(IF('Bank Schedule'!$K$2:$K$825="Vacant", ROW('Bank Schedule'!$K$2:$K$825)), ROW(18:18))), "")</f>
        <v>WS</v>
      </c>
      <c r="C21" s="29" t="str">
        <f aca="false" t="array" ref="C21:C21">IFERROR(INDEX('Bank Schedule'!C:C, SMALL(IF('Bank Schedule'!$K$2:$K$825="Vacant", ROW('Bank Schedule'!$K$2:$K$825)), ROW(18:18))), "")</f>
        <v>MEL</v>
      </c>
      <c r="D21" s="29" t="n">
        <f aca="false" t="array" ref="D21:D21">IFERROR(INDEX('Bank Schedule'!D:D, SMALL(IF('Bank Schedule'!$K$2:$K$825="Vacant", ROW('Bank Schedule'!$K$2:$K$825)), ROW(18:18))), "")</f>
        <v>550080</v>
      </c>
      <c r="E21" s="29" t="str">
        <f aca="false" t="array" ref="E21:E21">IFERROR(INDEX('Bank Schedule'!E:E, SMALL(IF('Bank Schedule'!$K$2:$K$825="Vacant", ROW('Bank Schedule'!$K$2:$K$825)), ROW(18:18))), "")</f>
        <v>Highlight House, 22-24 Great Portland Street</v>
      </c>
      <c r="F21" s="29" t="str">
        <f aca="false" t="array" ref="F21:F21">IFERROR(INDEX('Bank Schedule'!F:F, SMALL(IF('Bank Schedule'!$K$2:$K$825="Vacant", ROW('Bank Schedule'!$K$2:$K$825)), ROW(18:18))), "")</f>
        <v>Fourth Floor</v>
      </c>
      <c r="G21" s="29" t="str">
        <f aca="false" t="array" ref="G21:G21">IFERROR(INDEX('Bank Schedule'!G:G, SMALL(IF('Bank Schedule'!$K$2:$K$825="Vacant", ROW('Bank Schedule'!$K$2:$K$825)), ROW(18:18))), "")</f>
        <v>Office</v>
      </c>
      <c r="H21" s="305" t="n">
        <f aca="false" t="array" ref="H21:H21">IFERROR(INDEX('Bank Schedule'!H:H, SMALL(IF('Bank Schedule'!$K$2:$K$825="Vacant", ROW('Bank Schedule'!$K$2:$K$825)), ROW(18:18))), "")</f>
        <v>1505</v>
      </c>
      <c r="I21" s="29" t="n">
        <f aca="false" t="array" ref="I21:I21">IFERROR(INDEX('Bank Schedule'!I:I, SMALL(IF('Bank Schedule'!$K$2:$K$825="Vacant", ROW('Bank Schedule'!$K$2:$K$825)), ROW(18:18))), "")</f>
        <v>1505</v>
      </c>
      <c r="J21" s="305" t="n">
        <f aca="false" t="array" ref="J21:J21">IFERROR(INDEX('Bank Schedule'!J:J, SMALL(IF('Bank Schedule'!$K$2:$K$825="Vacant", ROW('Bank Schedule'!$K$2:$K$825)), ROW(18:18))), "")</f>
        <v>1500</v>
      </c>
      <c r="K21" s="29" t="str">
        <f aca="false" t="array" ref="K21:K21">IFERROR(INDEX('Bank Schedule'!K:K, SMALL(IF('Bank Schedule'!$K$2:$K$825="Vacant", ROW('Bank Schedule'!$K$2:$K$825)), ROW(18:18))), "")</f>
        <v>Vacant</v>
      </c>
      <c r="L21" s="29" t="str">
        <f aca="false">IFERROR(INDEX('Bank Schedule'!L:L, SMALL(IF('Bank Schedule'!$K$2:$K$825="Vacant", ROW('Bank Schedule'!$K$2:$K$825)), ROW(18:18))), "")</f>
        <v/>
      </c>
      <c r="M21" s="29" t="str">
        <f aca="false">IFERROR(INDEX('Bank Schedule'!M:M, SMALL(IF('Bank Schedule'!$K$2:$K$825="Vacant", ROW('Bank Schedule'!$K$2:$K$825)), ROW(18:18))), "")</f>
        <v/>
      </c>
      <c r="N21" s="307" t="n">
        <f aca="false" t="array" ref="N21:N21">IFERROR(INDEX('Bank Schedule'!N:N, SMALL(IF('Bank Schedule'!$K$2:$K$825="Vacant", ROW('Bank Schedule'!$K$2:$K$825)), ROW(18:18))), "")</f>
        <v>43354</v>
      </c>
      <c r="O21" s="29" t="str">
        <f aca="false">IFERROR(INDEX('Bank Schedule'!O:O, SMALL(IF('Bank Schedule'!$K$2:$K$825="Vacant", ROW('Bank Schedule'!$K$2:$K$825)), ROW(18:18))), "")</f>
        <v/>
      </c>
      <c r="P21" s="29" t="str">
        <f aca="false">IFERROR(INDEX('Bank Schedule'!P:P, SMALL(IF('Bank Schedule'!$K$2:$K$825="Vacant", ROW('Bank Schedule'!$K$2:$K$825)), ROW(18:18))), "")</f>
        <v/>
      </c>
      <c r="Q21" s="29" t="n">
        <f aca="false" t="array" ref="Q21:Q21">IFERROR(INDEX('Bank Schedule'!Q:Q, SMALL(IF('Bank Schedule'!$K$2:$K$825="Vacant", ROW('Bank Schedule'!$K$2:$K$825)), ROW(18:18))), "")</f>
        <v>0</v>
      </c>
      <c r="R21" s="29" t="n">
        <f aca="false" t="array" ref="R21:R21">IFERROR(INDEX('Bank Schedule'!R:R, SMALL(IF('Bank Schedule'!$K$2:$K$825="Vacant", ROW('Bank Schedule'!$K$2:$K$825)), ROW(18:18))), "")</f>
        <v>0</v>
      </c>
      <c r="S21" s="29" t="str">
        <f aca="false">IFERROR(INDEX('Bank Schedule'!S:S, SMALL(IF('Bank Schedule'!$K$2:$K$825="Vacant", ROW('Bank Schedule'!$K$2:$K$825)), ROW(18:18))), "")</f>
        <v/>
      </c>
      <c r="T21" s="309" t="n">
        <f aca="false" t="array" ref="T21:T21">IFERROR(INDEX('Bank Schedule'!T:T, SMALL(IF('Bank Schedule'!$K$2:$K$825="Vacant", ROW('Bank Schedule'!$K$2:$K$825)), ROW(18:18))), "")</f>
        <v>83800</v>
      </c>
      <c r="U21" s="309" t="n">
        <f aca="false" t="array" ref="U21:U21">IFERROR(INDEX('Bank Schedule'!U:U, SMALL(IF('Bank Schedule'!$K$2:$K$825="Vacant", ROW('Bank Schedule'!$K$2:$K$825)), ROW(18:18))), "")</f>
        <v>83800</v>
      </c>
      <c r="V21" s="309" t="n">
        <f aca="false" t="array" ref="V21:V21">IFERROR(INDEX('Bank Schedule'!V:V, SMALL(IF('Bank Schedule'!$K$2:$K$825="Vacant", ROW('Bank Schedule'!$K$2:$K$825)), ROW(18:18))), "")</f>
        <v>90300</v>
      </c>
      <c r="W21" s="309" t="n">
        <f aca="false" t="array" ref="W21:W21">IFERROR(INDEX('Bank Schedule'!W:W, SMALL(IF('Bank Schedule'!$K$2:$K$825="Vacant", ROW('Bank Schedule'!$K$2:$K$825)), ROW(18:18))), "")</f>
        <v>90300</v>
      </c>
      <c r="X21" s="309" t="n">
        <f aca="false" t="array" ref="X21:X21">IFERROR(INDEX('Bank Schedule'!X:X, SMALL(IF('Bank Schedule'!$K$2:$K$825="Vacant", ROW('Bank Schedule'!$K$2:$K$825)), ROW(18:18))), "")</f>
        <v>60</v>
      </c>
      <c r="Y21" s="310" t="n">
        <f aca="false" t="array" ref="Y21:Y21">IFERROR(INDEX('Bank Schedule'!Y:Y, SMALL(IF('Bank Schedule'!$K$2:$K$825="Vacant", ROW('Bank Schedule'!$K$2:$K$825)), ROW(18:18))), "")</f>
        <v>0.0775656324582339</v>
      </c>
      <c r="Z21" s="29" t="str">
        <f aca="false" t="array" ref="Z21:Z21">IFERROR(INDEX('Bank Schedule'!Z:Z, SMALL(IF('Bank Schedule'!$K$2:$K$825="Vacant", ROW('Bank Schedule'!$K$2:$K$825)), ROW(18:18))), "")</f>
        <v>D</v>
      </c>
      <c r="AA21" s="29" t="str">
        <f aca="false">IFERROR(INDEX('Bank Schedule'!AA:AA, SMALL(IF('Bank Schedule'!$K$2:$K$825="Vacant", ROW('Bank Schedule'!$K$2:$K$825)), ROW(18:18))), "")</f>
        <v/>
      </c>
      <c r="AB21" s="29" t="str">
        <f aca="false">IFERROR(INDEX('Bank Schedule'!AB:AB, SMALL(IF('Bank Schedule'!$K$2:$K$825="Vacant", ROW('Bank Schedule'!$K$2:$K$825)), ROW(18:18))), "")</f>
        <v/>
      </c>
      <c r="AC21" s="29" t="str">
        <f aca="false" t="array" ref="AC21:AC21">IFERROR(INDEX('Bank Schedule'!AC:AC, SMALL(IF('Bank Schedule'!$K$2:$K$825="Vacant", ROW('Bank Schedule'!$K$2:$K$825)), ROW(18:18))), "")</f>
        <v>No</v>
      </c>
      <c r="AD21" s="29" t="str">
        <f aca="false" t="array" ref="AD21:AD21">IFERROR(INDEX('Bank Schedule'!AD:AD, SMALL(IF('Bank Schedule'!$K$2:$K$825="Vacant", ROW('Bank Schedule'!$K$2:$K$825)), ROW(18:18))), "")</f>
        <v>Mothballed.</v>
      </c>
      <c r="AE21" s="281" t="str">
        <f aca="false">IFERROR(INDEX('Bank Schedule'!AE:AE, SMALL(IF('Bank Schedule'!$K$2:$K$825="Vacant", ROW('Bank Schedule'!$K$2:$K$825)), ROW(18:18))), "")</f>
        <v/>
      </c>
      <c r="AF21" s="29" t="str">
        <f aca="false">IFERROR(INDEX('Bank Schedule'!AF:AF, SMALL(IF('Bank Schedule'!$K$2:$K$825="Vacant", ROW('Bank Schedule'!$K$2:$K$825)), ROW(18:18))), "")</f>
        <v/>
      </c>
      <c r="AG21" s="29" t="n">
        <f aca="false" t="array" ref="AG21:AG21">IFERROR(INDEX('Bank Schedule'!AG:AG, SMALL(IF('Bank Schedule'!$K$2:$K$825="Vacant", ROW('Bank Schedule'!$K$2:$K$825)), ROW(18:18))), "")</f>
        <v>2</v>
      </c>
      <c r="AH21" s="29" t="str">
        <f aca="false">IFERROR(INDEX('Bank Schedule'!AH:AH, SMALL(IF('Bank Schedule'!$K$2:$K$825="Vacant", ROW('Bank Schedule'!$K$2:$K$825)), ROW(18:18))), "")</f>
        <v/>
      </c>
      <c r="AI21" s="4"/>
    </row>
    <row r="22" customFormat="false" ht="28.5" hidden="false" customHeight="true" outlineLevel="0" collapsed="false">
      <c r="A22" s="29" t="n">
        <f aca="false">IFERROR(INDEX('Bank Schedule'!A:A, SMALL(IF('Bank Schedule'!$K$2:$K$825="Vacant", ROW('Bank Schedule'!$K$2:$K$825)), ROW(19:19))), "")</f>
        <v>0</v>
      </c>
      <c r="B22" s="29" t="str">
        <f aca="false" t="array" ref="B22:B22">IFERROR(INDEX('Bank Schedule'!B:B, SMALL(IF('Bank Schedule'!$K$2:$K$825="Vacant", ROW('Bank Schedule'!$K$2:$K$825)), ROW(19:19))), "")</f>
        <v>CM</v>
      </c>
      <c r="C22" s="29" t="str">
        <f aca="false" t="array" ref="C22:C22">IFERROR(INDEX('Bank Schedule'!C:C, SMALL(IF('Bank Schedule'!$K$2:$K$825="Vacant", ROW('Bank Schedule'!$K$2:$K$825)), ROW(19:19))), "")</f>
        <v>MEL</v>
      </c>
      <c r="D22" s="29" t="n">
        <f aca="false" t="array" ref="D22:D22">IFERROR(INDEX('Bank Schedule'!D:D, SMALL(IF('Bank Schedule'!$K$2:$K$825="Vacant", ROW('Bank Schedule'!$K$2:$K$825)), ROW(19:19))), "")</f>
        <v>550830</v>
      </c>
      <c r="E22" s="29" t="str">
        <f aca="false" t="array" ref="E22:E22">IFERROR(INDEX('Bank Schedule'!E:E, SMALL(IF('Bank Schedule'!$K$2:$K$825="Vacant", ROW('Bank Schedule'!$K$2:$K$825)), ROW(19:19))), "")</f>
        <v>42-48 Great Portland Street</v>
      </c>
      <c r="F22" s="29" t="str">
        <f aca="false" t="array" ref="F22:F22">IFERROR(INDEX('Bank Schedule'!F:F, SMALL(IF('Bank Schedule'!$K$2:$K$825="Vacant", ROW('Bank Schedule'!$K$2:$K$825)), ROW(19:19))), "")</f>
        <v>Second Floor</v>
      </c>
      <c r="G22" s="29" t="str">
        <f aca="false" t="array" ref="G22:G22">IFERROR(INDEX('Bank Schedule'!G:G, SMALL(IF('Bank Schedule'!$K$2:$K$825="Vacant", ROW('Bank Schedule'!$K$2:$K$825)), ROW(19:19))), "")</f>
        <v>Office</v>
      </c>
      <c r="H22" s="305" t="n">
        <f aca="false" t="array" ref="H22:H22">IFERROR(INDEX('Bank Schedule'!H:H, SMALL(IF('Bank Schedule'!$K$2:$K$825="Vacant", ROW('Bank Schedule'!$K$2:$K$825)), ROW(19:19))), "")</f>
        <v>1440</v>
      </c>
      <c r="I22" s="29" t="n">
        <f aca="false" t="array" ref="I22:I22">IFERROR(INDEX('Bank Schedule'!I:I, SMALL(IF('Bank Schedule'!$K$2:$K$825="Vacant", ROW('Bank Schedule'!$K$2:$K$825)), ROW(19:19))), "")</f>
        <v>1440</v>
      </c>
      <c r="J22" s="305" t="n">
        <f aca="false" t="array" ref="J22:J22">IFERROR(INDEX('Bank Schedule'!J:J, SMALL(IF('Bank Schedule'!$K$2:$K$825="Vacant", ROW('Bank Schedule'!$K$2:$K$825)), ROW(19:19))), "")</f>
        <v>1500</v>
      </c>
      <c r="K22" s="29" t="str">
        <f aca="false" t="array" ref="K22:K22">IFERROR(INDEX('Bank Schedule'!K:K, SMALL(IF('Bank Schedule'!$K$2:$K$825="Vacant", ROW('Bank Schedule'!$K$2:$K$825)), ROW(19:19))), "")</f>
        <v>Vacant</v>
      </c>
      <c r="L22" s="306" t="n">
        <f aca="false">IFERROR(INDEX('Bank Schedule'!L:L, SMALL(IF('Bank Schedule'!$K$2:$K$825="Vacant", ROW('Bank Schedule'!$K$2:$K$825)), ROW(19:19))), "")</f>
        <v>45100</v>
      </c>
      <c r="M22" s="306" t="n">
        <f aca="false">IFERROR(INDEX('Bank Schedule'!M:M, SMALL(IF('Bank Schedule'!$K$2:$K$825="Vacant", ROW('Bank Schedule'!$K$2:$K$825)), ROW(19:19))), "")</f>
        <v>46926</v>
      </c>
      <c r="N22" s="307" t="n">
        <f aca="false" t="array" ref="N22:N22">IFERROR(INDEX('Bank Schedule'!N:N, SMALL(IF('Bank Schedule'!$K$2:$K$825="Vacant", ROW('Bank Schedule'!$K$2:$K$825)), ROW(19:19))), "")</f>
        <v>44593</v>
      </c>
      <c r="O22" s="306" t="n">
        <f aca="false">IFERROR(INDEX('Bank Schedule'!O:O, SMALL(IF('Bank Schedule'!$K$2:$K$825="Vacant", ROW('Bank Schedule'!$K$2:$K$825)), ROW(19:19))), "")</f>
        <v>0</v>
      </c>
      <c r="P22" s="306" t="n">
        <f aca="false">IFERROR(INDEX('Bank Schedule'!P:P, SMALL(IF('Bank Schedule'!$K$2:$K$825="Vacant", ROW('Bank Schedule'!$K$2:$K$825)), ROW(19:19))), "")</f>
        <v>46195</v>
      </c>
      <c r="Q22" s="29" t="n">
        <f aca="false" t="array" ref="Q22:Q22">IFERROR(INDEX('Bank Schedule'!Q:Q, SMALL(IF('Bank Schedule'!$K$2:$K$825="Vacant", ROW('Bank Schedule'!$K$2:$K$825)), ROW(19:19))), "")</f>
        <v>0</v>
      </c>
      <c r="R22" s="29" t="n">
        <f aca="false" t="array" ref="R22:R22">IFERROR(INDEX('Bank Schedule'!R:R, SMALL(IF('Bank Schedule'!$K$2:$K$825="Vacant", ROW('Bank Schedule'!$K$2:$K$825)), ROW(19:19))), "")</f>
        <v>0</v>
      </c>
      <c r="S22" s="308" t="n">
        <f aca="false">IFERROR(INDEX('Bank Schedule'!S:S, SMALL(IF('Bank Schedule'!$K$2:$K$825="Vacant", ROW('Bank Schedule'!$K$2:$K$825)), ROW(19:19))), "")</f>
        <v>0</v>
      </c>
      <c r="T22" s="309" t="n">
        <f aca="false" t="array" ref="T22:T22">IFERROR(INDEX('Bank Schedule'!T:T, SMALL(IF('Bank Schedule'!$K$2:$K$825="Vacant", ROW('Bank Schedule'!$K$2:$K$825)), ROW(19:19))), "")</f>
        <v>79800</v>
      </c>
      <c r="U22" s="309" t="n">
        <f aca="false" t="array" ref="U22:U22">IFERROR(INDEX('Bank Schedule'!U:U, SMALL(IF('Bank Schedule'!$K$2:$K$825="Vacant", ROW('Bank Schedule'!$K$2:$K$825)), ROW(19:19))), "")</f>
        <v>79800</v>
      </c>
      <c r="V22" s="309" t="n">
        <f aca="false" t="array" ref="V22:V22">IFERROR(INDEX('Bank Schedule'!V:V, SMALL(IF('Bank Schedule'!$K$2:$K$825="Vacant", ROW('Bank Schedule'!$K$2:$K$825)), ROW(19:19))), "")</f>
        <v>93600</v>
      </c>
      <c r="W22" s="309" t="n">
        <f aca="false" t="array" ref="W22:W22">IFERROR(INDEX('Bank Schedule'!W:W, SMALL(IF('Bank Schedule'!$K$2:$K$825="Vacant", ROW('Bank Schedule'!$K$2:$K$825)), ROW(19:19))), "")</f>
        <v>93600</v>
      </c>
      <c r="X22" s="309" t="n">
        <f aca="false" t="array" ref="X22:X22">IFERROR(INDEX('Bank Schedule'!X:X, SMALL(IF('Bank Schedule'!$K$2:$K$825="Vacant", ROW('Bank Schedule'!$K$2:$K$825)), ROW(19:19))), "")</f>
        <v>65</v>
      </c>
      <c r="Y22" s="310" t="n">
        <f aca="false" t="array" ref="Y22:Y22">IFERROR(INDEX('Bank Schedule'!Y:Y, SMALL(IF('Bank Schedule'!$K$2:$K$825="Vacant", ROW('Bank Schedule'!$K$2:$K$825)), ROW(19:19))), "")</f>
        <v>0.172932330827068</v>
      </c>
      <c r="Z22" s="29" t="str">
        <f aca="false" t="array" ref="Z22:Z22">IFERROR(INDEX('Bank Schedule'!Z:Z, SMALL(IF('Bank Schedule'!$K$2:$K$825="Vacant", ROW('Bank Schedule'!$K$2:$K$825)), ROW(19:19))), "")</f>
        <v>D</v>
      </c>
      <c r="AA22" s="308" t="n">
        <f aca="false">IFERROR(INDEX('Bank Schedule'!AA:AA, SMALL(IF('Bank Schedule'!$K$2:$K$825="Vacant", ROW('Bank Schedule'!$K$2:$K$825)), ROW(19:19))), "")</f>
        <v>0</v>
      </c>
      <c r="AB22" s="311" t="n">
        <f aca="false">IFERROR(INDEX('Bank Schedule'!AB:AB, SMALL(IF('Bank Schedule'!$K$2:$K$825="Vacant", ROW('Bank Schedule'!$K$2:$K$825)), ROW(19:19))), "")</f>
        <v>0</v>
      </c>
      <c r="AC22" s="29" t="str">
        <f aca="false" t="array" ref="AC22:AC22">IFERROR(INDEX('Bank Schedule'!AC:AC, SMALL(IF('Bank Schedule'!$K$2:$K$825="Vacant", ROW('Bank Schedule'!$K$2:$K$825)), ROW(19:19))), "")</f>
        <v>No</v>
      </c>
      <c r="AD22" s="29" t="str">
        <f aca="false" t="array" ref="AD22:AD22">IFERROR(INDEX('Bank Schedule'!AD:AD, SMALL(IF('Bank Schedule'!$K$2:$K$825="Vacant", ROW('Bank Schedule'!$K$2:$K$825)), ROW(19:19))), "")</f>
        <v>To be refurbished.</v>
      </c>
      <c r="AE22" s="281" t="n">
        <f aca="false">IFERROR(INDEX('Bank Schedule'!AE:AE, SMALL(IF('Bank Schedule'!$K$2:$K$825="Vacant", ROW('Bank Schedule'!$K$2:$K$825)), ROW(19:19))), "")</f>
        <v>0</v>
      </c>
      <c r="AF22" s="29" t="n">
        <f aca="false">IFERROR(INDEX('Bank Schedule'!AF:AF, SMALL(IF('Bank Schedule'!$K$2:$K$825="Vacant", ROW('Bank Schedule'!$K$2:$K$825)), ROW(19:19))), "")</f>
        <v>0</v>
      </c>
      <c r="AG22" s="29" t="n">
        <f aca="false">IFERROR(INDEX('Bank Schedule'!AG:AG, SMALL(IF('Bank Schedule'!$K$2:$K$825="Vacant", ROW('Bank Schedule'!$K$2:$K$825)), ROW(19:19))), "")</f>
        <v>0</v>
      </c>
      <c r="AH22" s="29" t="n">
        <f aca="false">IFERROR(INDEX('Bank Schedule'!AH:AH, SMALL(IF('Bank Schedule'!$K$2:$K$825="Vacant", ROW('Bank Schedule'!$K$2:$K$825)), ROW(19:19))), "")</f>
        <v>0</v>
      </c>
      <c r="AI22" s="4"/>
    </row>
    <row r="23" customFormat="false" ht="28.5" hidden="false" customHeight="true" outlineLevel="0" collapsed="false">
      <c r="A23" s="29" t="str">
        <f aca="false">IFERROR(INDEX('Bank Schedule'!A:A, SMALL(IF('Bank Schedule'!$K$2:$K$825="Vacant", ROW('Bank Schedule'!$K$2:$K$825)), ROW(20:20))), "")</f>
        <v/>
      </c>
      <c r="B23" s="29" t="str">
        <f aca="false" t="array" ref="B23:B23">IFERROR(INDEX('Bank Schedule'!B:B, SMALL(IF('Bank Schedule'!$K$2:$K$825="Vacant", ROW('Bank Schedule'!$K$2:$K$825)), ROW(20:20))), "")</f>
        <v>CM</v>
      </c>
      <c r="C23" s="29" t="str">
        <f aca="false" t="array" ref="C23:C23">IFERROR(INDEX('Bank Schedule'!C:C, SMALL(IF('Bank Schedule'!$K$2:$K$825="Vacant", ROW('Bank Schedule'!$K$2:$K$825)), ROW(20:20))), "")</f>
        <v>MEL</v>
      </c>
      <c r="D23" s="29" t="n">
        <f aca="false" t="array" ref="D23:D23">IFERROR(INDEX('Bank Schedule'!D:D, SMALL(IF('Bank Schedule'!$K$2:$K$825="Vacant", ROW('Bank Schedule'!$K$2:$K$825)), ROW(20:20))), "")</f>
        <v>550830</v>
      </c>
      <c r="E23" s="29" t="str">
        <f aca="false" t="array" ref="E23:E23">IFERROR(INDEX('Bank Schedule'!E:E, SMALL(IF('Bank Schedule'!$K$2:$K$825="Vacant", ROW('Bank Schedule'!$K$2:$K$825)), ROW(20:20))), "")</f>
        <v>42-48 Great Portland Street</v>
      </c>
      <c r="F23" s="29" t="str">
        <f aca="false" t="array" ref="F23:F23">IFERROR(INDEX('Bank Schedule'!F:F, SMALL(IF('Bank Schedule'!$K$2:$K$825="Vacant", ROW('Bank Schedule'!$K$2:$K$825)), ROW(20:20))), "")</f>
        <v>Third Floor</v>
      </c>
      <c r="G23" s="29" t="str">
        <f aca="false" t="array" ref="G23:G23">IFERROR(INDEX('Bank Schedule'!G:G, SMALL(IF('Bank Schedule'!$K$2:$K$825="Vacant", ROW('Bank Schedule'!$K$2:$K$825)), ROW(20:20))), "")</f>
        <v>Office</v>
      </c>
      <c r="H23" s="305" t="n">
        <f aca="false" t="array" ref="H23:H23">IFERROR(INDEX('Bank Schedule'!H:H, SMALL(IF('Bank Schedule'!$K$2:$K$825="Vacant", ROW('Bank Schedule'!$K$2:$K$825)), ROW(20:20))), "")</f>
        <v>1433</v>
      </c>
      <c r="I23" s="29" t="n">
        <f aca="false" t="array" ref="I23:I23">IFERROR(INDEX('Bank Schedule'!I:I, SMALL(IF('Bank Schedule'!$K$2:$K$825="Vacant", ROW('Bank Schedule'!$K$2:$K$825)), ROW(20:20))), "")</f>
        <v>1433</v>
      </c>
      <c r="J23" s="305" t="n">
        <f aca="false" t="array" ref="J23:J23">IFERROR(INDEX('Bank Schedule'!J:J, SMALL(IF('Bank Schedule'!$K$2:$K$825="Vacant", ROW('Bank Schedule'!$K$2:$K$825)), ROW(20:20))), "")</f>
        <v>1500</v>
      </c>
      <c r="K23" s="29" t="str">
        <f aca="false" t="array" ref="K23:K23">IFERROR(INDEX('Bank Schedule'!K:K, SMALL(IF('Bank Schedule'!$K$2:$K$825="Vacant", ROW('Bank Schedule'!$K$2:$K$825)), ROW(20:20))), "")</f>
        <v>Vacant</v>
      </c>
      <c r="L23" s="29" t="str">
        <f aca="false">IFERROR(INDEX('Bank Schedule'!L:L, SMALL(IF('Bank Schedule'!$K$2:$K$825="Vacant", ROW('Bank Schedule'!$K$2:$K$825)), ROW(20:20))), "")</f>
        <v/>
      </c>
      <c r="M23" s="29" t="str">
        <f aca="false">IFERROR(INDEX('Bank Schedule'!M:M, SMALL(IF('Bank Schedule'!$K$2:$K$825="Vacant", ROW('Bank Schedule'!$K$2:$K$825)), ROW(20:20))), "")</f>
        <v/>
      </c>
      <c r="N23" s="307" t="n">
        <f aca="false" t="array" ref="N23:N23">IFERROR(INDEX('Bank Schedule'!N:N, SMALL(IF('Bank Schedule'!$K$2:$K$825="Vacant", ROW('Bank Schedule'!$K$2:$K$825)), ROW(20:20))), "")</f>
        <v>43313</v>
      </c>
      <c r="O23" s="29" t="str">
        <f aca="false">IFERROR(INDEX('Bank Schedule'!O:O, SMALL(IF('Bank Schedule'!$K$2:$K$825="Vacant", ROW('Bank Schedule'!$K$2:$K$825)), ROW(20:20))), "")</f>
        <v/>
      </c>
      <c r="P23" s="29" t="str">
        <f aca="false">IFERROR(INDEX('Bank Schedule'!P:P, SMALL(IF('Bank Schedule'!$K$2:$K$825="Vacant", ROW('Bank Schedule'!$K$2:$K$825)), ROW(20:20))), "")</f>
        <v/>
      </c>
      <c r="Q23" s="29" t="n">
        <f aca="false" t="array" ref="Q23:Q23">IFERROR(INDEX('Bank Schedule'!Q:Q, SMALL(IF('Bank Schedule'!$K$2:$K$825="Vacant", ROW('Bank Schedule'!$K$2:$K$825)), ROW(20:20))), "")</f>
        <v>0</v>
      </c>
      <c r="R23" s="29" t="n">
        <f aca="false" t="array" ref="R23:R23">IFERROR(INDEX('Bank Schedule'!R:R, SMALL(IF('Bank Schedule'!$K$2:$K$825="Vacant", ROW('Bank Schedule'!$K$2:$K$825)), ROW(20:20))), "")</f>
        <v>0</v>
      </c>
      <c r="S23" s="29" t="str">
        <f aca="false">IFERROR(INDEX('Bank Schedule'!S:S, SMALL(IF('Bank Schedule'!$K$2:$K$825="Vacant", ROW('Bank Schedule'!$K$2:$K$825)), ROW(20:20))), "")</f>
        <v/>
      </c>
      <c r="T23" s="309" t="n">
        <f aca="false" t="array" ref="T23:T23">IFERROR(INDEX('Bank Schedule'!T:T, SMALL(IF('Bank Schedule'!$K$2:$K$825="Vacant", ROW('Bank Schedule'!$K$2:$K$825)), ROW(20:20))), "")</f>
        <v>79750</v>
      </c>
      <c r="U23" s="309" t="n">
        <f aca="false" t="array" ref="U23:U23">IFERROR(INDEX('Bank Schedule'!U:U, SMALL(IF('Bank Schedule'!$K$2:$K$825="Vacant", ROW('Bank Schedule'!$K$2:$K$825)), ROW(20:20))), "")</f>
        <v>79750</v>
      </c>
      <c r="V23" s="309" t="n">
        <f aca="false" t="array" ref="V23:V23">IFERROR(INDEX('Bank Schedule'!V:V, SMALL(IF('Bank Schedule'!$K$2:$K$825="Vacant", ROW('Bank Schedule'!$K$2:$K$825)), ROW(20:20))), "")</f>
        <v>93100</v>
      </c>
      <c r="W23" s="309" t="n">
        <f aca="false" t="array" ref="W23:W23">IFERROR(INDEX('Bank Schedule'!W:W, SMALL(IF('Bank Schedule'!$K$2:$K$825="Vacant", ROW('Bank Schedule'!$K$2:$K$825)), ROW(20:20))), "")</f>
        <v>93100</v>
      </c>
      <c r="X23" s="309" t="n">
        <f aca="false" t="array" ref="X23:X23">IFERROR(INDEX('Bank Schedule'!X:X, SMALL(IF('Bank Schedule'!$K$2:$K$825="Vacant", ROW('Bank Schedule'!$K$2:$K$825)), ROW(20:20))), "")</f>
        <v>64.9685973482205</v>
      </c>
      <c r="Y23" s="310" t="n">
        <f aca="false" t="array" ref="Y23:Y23">IFERROR(INDEX('Bank Schedule'!Y:Y, SMALL(IF('Bank Schedule'!$K$2:$K$825="Vacant", ROW('Bank Schedule'!$K$2:$K$825)), ROW(20:20))), "")</f>
        <v>0.167398119122257</v>
      </c>
      <c r="Z23" s="29" t="str">
        <f aca="false" t="array" ref="Z23:Z23">IFERROR(INDEX('Bank Schedule'!Z:Z, SMALL(IF('Bank Schedule'!$K$2:$K$825="Vacant", ROW('Bank Schedule'!$K$2:$K$825)), ROW(20:20))), "")</f>
        <v>D</v>
      </c>
      <c r="AA23" s="29" t="str">
        <f aca="false">IFERROR(INDEX('Bank Schedule'!AA:AA, SMALL(IF('Bank Schedule'!$K$2:$K$825="Vacant", ROW('Bank Schedule'!$K$2:$K$825)), ROW(20:20))), "")</f>
        <v/>
      </c>
      <c r="AB23" s="29" t="str">
        <f aca="false">IFERROR(INDEX('Bank Schedule'!AB:AB, SMALL(IF('Bank Schedule'!$K$2:$K$825="Vacant", ROW('Bank Schedule'!$K$2:$K$825)), ROW(20:20))), "")</f>
        <v/>
      </c>
      <c r="AC23" s="29" t="str">
        <f aca="false" t="array" ref="AC23:AC23">IFERROR(INDEX('Bank Schedule'!AC:AC, SMALL(IF('Bank Schedule'!$K$2:$K$825="Vacant", ROW('Bank Schedule'!$K$2:$K$825)), ROW(20:20))), "")</f>
        <v>No</v>
      </c>
      <c r="AD23" s="29" t="str">
        <f aca="false" t="array" ref="AD23:AD23">IFERROR(INDEX('Bank Schedule'!AD:AD, SMALL(IF('Bank Schedule'!$K$2:$K$825="Vacant", ROW('Bank Schedule'!$K$2:$K$825)), ROW(20:20))), "")</f>
        <v>To be refurbished.</v>
      </c>
      <c r="AE23" s="281" t="str">
        <f aca="false">IFERROR(INDEX('Bank Schedule'!AE:AE, SMALL(IF('Bank Schedule'!$K$2:$K$825="Vacant", ROW('Bank Schedule'!$K$2:$K$825)), ROW(20:20))), "")</f>
        <v/>
      </c>
      <c r="AF23" s="29" t="str">
        <f aca="false">IFERROR(INDEX('Bank Schedule'!AF:AF, SMALL(IF('Bank Schedule'!$K$2:$K$825="Vacant", ROW('Bank Schedule'!$K$2:$K$825)), ROW(20:20))), "")</f>
        <v/>
      </c>
      <c r="AG23" s="29" t="str">
        <f aca="false">IFERROR(INDEX('Bank Schedule'!AG:AG, SMALL(IF('Bank Schedule'!$K$2:$K$825="Vacant", ROW('Bank Schedule'!$K$2:$K$825)), ROW(20:20))), "")</f>
        <v/>
      </c>
      <c r="AH23" s="29" t="str">
        <f aca="false">IFERROR(INDEX('Bank Schedule'!AH:AH, SMALL(IF('Bank Schedule'!$K$2:$K$825="Vacant", ROW('Bank Schedule'!$K$2:$K$825)), ROW(20:20))), "")</f>
        <v/>
      </c>
      <c r="AI23" s="4"/>
    </row>
    <row r="24" customFormat="false" ht="28.5" hidden="false" customHeight="true" outlineLevel="0" collapsed="false">
      <c r="A24" s="29" t="str">
        <f aca="false">IFERROR(INDEX('Bank Schedule'!A:A, SMALL(IF('Bank Schedule'!$K$2:$K$825="Vacant", ROW('Bank Schedule'!$K$2:$K$825)), ROW(21:21))), "")</f>
        <v/>
      </c>
      <c r="B24" s="29" t="str">
        <f aca="false" t="array" ref="B24:B24">IFERROR(INDEX('Bank Schedule'!B:B, SMALL(IF('Bank Schedule'!$K$2:$K$825="Vacant", ROW('Bank Schedule'!$K$2:$K$825)), ROW(21:21))), "")</f>
        <v>CM</v>
      </c>
      <c r="C24" s="29" t="str">
        <f aca="false" t="array" ref="C24:C24">IFERROR(INDEX('Bank Schedule'!C:C, SMALL(IF('Bank Schedule'!$K$2:$K$825="Vacant", ROW('Bank Schedule'!$K$2:$K$825)), ROW(21:21))), "")</f>
        <v>MEL</v>
      </c>
      <c r="D24" s="29" t="n">
        <f aca="false" t="array" ref="D24:D24">IFERROR(INDEX('Bank Schedule'!D:D, SMALL(IF('Bank Schedule'!$K$2:$K$825="Vacant", ROW('Bank Schedule'!$K$2:$K$825)), ROW(21:21))), "")</f>
        <v>550830</v>
      </c>
      <c r="E24" s="29" t="str">
        <f aca="false" t="array" ref="E24:E24">IFERROR(INDEX('Bank Schedule'!E:E, SMALL(IF('Bank Schedule'!$K$2:$K$825="Vacant", ROW('Bank Schedule'!$K$2:$K$825)), ROW(21:21))), "")</f>
        <v>42-48 Great Portland Street</v>
      </c>
      <c r="F24" s="29" t="str">
        <f aca="false" t="array" ref="F24:F24">IFERROR(INDEX('Bank Schedule'!F:F, SMALL(IF('Bank Schedule'!$K$2:$K$825="Vacant", ROW('Bank Schedule'!$K$2:$K$825)), ROW(21:21))), "")</f>
        <v>Fourth Floor</v>
      </c>
      <c r="G24" s="29" t="str">
        <f aca="false" t="array" ref="G24:G24">IFERROR(INDEX('Bank Schedule'!G:G, SMALL(IF('Bank Schedule'!$K$2:$K$825="Vacant", ROW('Bank Schedule'!$K$2:$K$825)), ROW(21:21))), "")</f>
        <v>Office</v>
      </c>
      <c r="H24" s="305" t="n">
        <f aca="false" t="array" ref="H24:H24">IFERROR(INDEX('Bank Schedule'!H:H, SMALL(IF('Bank Schedule'!$K$2:$K$825="Vacant", ROW('Bank Schedule'!$K$2:$K$825)), ROW(21:21))), "")</f>
        <v>1480</v>
      </c>
      <c r="I24" s="29" t="n">
        <f aca="false" t="array" ref="I24:I24">IFERROR(INDEX('Bank Schedule'!I:I, SMALL(IF('Bank Schedule'!$K$2:$K$825="Vacant", ROW('Bank Schedule'!$K$2:$K$825)), ROW(21:21))), "")</f>
        <v>1480</v>
      </c>
      <c r="J24" s="305" t="n">
        <f aca="false" t="array" ref="J24:J24">IFERROR(INDEX('Bank Schedule'!J:J, SMALL(IF('Bank Schedule'!$K$2:$K$825="Vacant", ROW('Bank Schedule'!$K$2:$K$825)), ROW(21:21))), "")</f>
        <v>1500</v>
      </c>
      <c r="K24" s="29" t="str">
        <f aca="false" t="array" ref="K24:K24">IFERROR(INDEX('Bank Schedule'!K:K, SMALL(IF('Bank Schedule'!$K$2:$K$825="Vacant", ROW('Bank Schedule'!$K$2:$K$825)), ROW(21:21))), "")</f>
        <v>Vacant</v>
      </c>
      <c r="L24" s="29" t="str">
        <f aca="false">IFERROR(INDEX('Bank Schedule'!L:L, SMALL(IF('Bank Schedule'!$K$2:$K$825="Vacant", ROW('Bank Schedule'!$K$2:$K$825)), ROW(21:21))), "")</f>
        <v/>
      </c>
      <c r="M24" s="29" t="str">
        <f aca="false">IFERROR(INDEX('Bank Schedule'!M:M, SMALL(IF('Bank Schedule'!$K$2:$K$825="Vacant", ROW('Bank Schedule'!$K$2:$K$825)), ROW(21:21))), "")</f>
        <v/>
      </c>
      <c r="N24" s="307" t="n">
        <f aca="false" t="array" ref="N24:N24">IFERROR(INDEX('Bank Schedule'!N:N, SMALL(IF('Bank Schedule'!$K$2:$K$825="Vacant", ROW('Bank Schedule'!$K$2:$K$825)), ROW(21:21))), "")</f>
        <v>44409</v>
      </c>
      <c r="O24" s="29" t="str">
        <f aca="false">IFERROR(INDEX('Bank Schedule'!O:O, SMALL(IF('Bank Schedule'!$K$2:$K$825="Vacant", ROW('Bank Schedule'!$K$2:$K$825)), ROW(21:21))), "")</f>
        <v/>
      </c>
      <c r="P24" s="29" t="str">
        <f aca="false">IFERROR(INDEX('Bank Schedule'!P:P, SMALL(IF('Bank Schedule'!$K$2:$K$825="Vacant", ROW('Bank Schedule'!$K$2:$K$825)), ROW(21:21))), "")</f>
        <v/>
      </c>
      <c r="Q24" s="29" t="n">
        <f aca="false" t="array" ref="Q24:Q24">IFERROR(INDEX('Bank Schedule'!Q:Q, SMALL(IF('Bank Schedule'!$K$2:$K$825="Vacant", ROW('Bank Schedule'!$K$2:$K$825)), ROW(21:21))), "")</f>
        <v>0</v>
      </c>
      <c r="R24" s="29" t="n">
        <f aca="false" t="array" ref="R24:R24">IFERROR(INDEX('Bank Schedule'!R:R, SMALL(IF('Bank Schedule'!$K$2:$K$825="Vacant", ROW('Bank Schedule'!$K$2:$K$825)), ROW(21:21))), "")</f>
        <v>0</v>
      </c>
      <c r="S24" s="29" t="str">
        <f aca="false">IFERROR(INDEX('Bank Schedule'!S:S, SMALL(IF('Bank Schedule'!$K$2:$K$825="Vacant", ROW('Bank Schedule'!$K$2:$K$825)), ROW(21:21))), "")</f>
        <v/>
      </c>
      <c r="T24" s="309" t="n">
        <f aca="false" t="array" ref="T24:T24">IFERROR(INDEX('Bank Schedule'!T:T, SMALL(IF('Bank Schedule'!$K$2:$K$825="Vacant", ROW('Bank Schedule'!$K$2:$K$825)), ROW(21:21))), "")</f>
        <v>79800</v>
      </c>
      <c r="U24" s="309" t="n">
        <f aca="false" t="array" ref="U24:U24">IFERROR(INDEX('Bank Schedule'!U:U, SMALL(IF('Bank Schedule'!$K$2:$K$825="Vacant", ROW('Bank Schedule'!$K$2:$K$825)), ROW(21:21))), "")</f>
        <v>79800</v>
      </c>
      <c r="V24" s="309" t="n">
        <f aca="false" t="array" ref="V24:V24">IFERROR(INDEX('Bank Schedule'!V:V, SMALL(IF('Bank Schedule'!$K$2:$K$825="Vacant", ROW('Bank Schedule'!$K$2:$K$825)), ROW(21:21))), "")</f>
        <v>96200</v>
      </c>
      <c r="W24" s="309" t="n">
        <f aca="false" t="array" ref="W24:W24">IFERROR(INDEX('Bank Schedule'!W:W, SMALL(IF('Bank Schedule'!$K$2:$K$825="Vacant", ROW('Bank Schedule'!$K$2:$K$825)), ROW(21:21))), "")</f>
        <v>96200</v>
      </c>
      <c r="X24" s="309" t="n">
        <f aca="false" t="array" ref="X24:X24">IFERROR(INDEX('Bank Schedule'!X:X, SMALL(IF('Bank Schedule'!$K$2:$K$825="Vacant", ROW('Bank Schedule'!$K$2:$K$825)), ROW(21:21))), "")</f>
        <v>65</v>
      </c>
      <c r="Y24" s="310" t="n">
        <f aca="false" t="array" ref="Y24:Y24">IFERROR(INDEX('Bank Schedule'!Y:Y, SMALL(IF('Bank Schedule'!$K$2:$K$825="Vacant", ROW('Bank Schedule'!$K$2:$K$825)), ROW(21:21))), "")</f>
        <v>0.205513784461153</v>
      </c>
      <c r="Z24" s="29" t="str">
        <f aca="false" t="array" ref="Z24:Z24">IFERROR(INDEX('Bank Schedule'!Z:Z, SMALL(IF('Bank Schedule'!$K$2:$K$825="Vacant", ROW('Bank Schedule'!$K$2:$K$825)), ROW(21:21))), "")</f>
        <v>E</v>
      </c>
      <c r="AA24" s="29" t="str">
        <f aca="false">IFERROR(INDEX('Bank Schedule'!AA:AA, SMALL(IF('Bank Schedule'!$K$2:$K$825="Vacant", ROW('Bank Schedule'!$K$2:$K$825)), ROW(21:21))), "")</f>
        <v/>
      </c>
      <c r="AB24" s="29" t="str">
        <f aca="false">IFERROR(INDEX('Bank Schedule'!AB:AB, SMALL(IF('Bank Schedule'!$K$2:$K$825="Vacant", ROW('Bank Schedule'!$K$2:$K$825)), ROW(21:21))), "")</f>
        <v/>
      </c>
      <c r="AC24" s="29" t="str">
        <f aca="false" t="array" ref="AC24:AC24">IFERROR(INDEX('Bank Schedule'!AC:AC, SMALL(IF('Bank Schedule'!$K$2:$K$825="Vacant", ROW('Bank Schedule'!$K$2:$K$825)), ROW(21:21))), "")</f>
        <v>No</v>
      </c>
      <c r="AD24" s="29" t="str">
        <f aca="false" t="array" ref="AD24:AD24">IFERROR(INDEX('Bank Schedule'!AD:AD, SMALL(IF('Bank Schedule'!$K$2:$K$825="Vacant", ROW('Bank Schedule'!$K$2:$K$825)), ROW(21:21))), "")</f>
        <v>To be refurbished.</v>
      </c>
      <c r="AE24" s="281" t="str">
        <f aca="false">IFERROR(INDEX('Bank Schedule'!AE:AE, SMALL(IF('Bank Schedule'!$K$2:$K$825="Vacant", ROW('Bank Schedule'!$K$2:$K$825)), ROW(21:21))), "")</f>
        <v/>
      </c>
      <c r="AF24" s="29" t="str">
        <f aca="false">IFERROR(INDEX('Bank Schedule'!AF:AF, SMALL(IF('Bank Schedule'!$K$2:$K$825="Vacant", ROW('Bank Schedule'!$K$2:$K$825)), ROW(21:21))), "")</f>
        <v/>
      </c>
      <c r="AG24" s="29" t="str">
        <f aca="false">IFERROR(INDEX('Bank Schedule'!AG:AG, SMALL(IF('Bank Schedule'!$K$2:$K$825="Vacant", ROW('Bank Schedule'!$K$2:$K$825)), ROW(21:21))), "")</f>
        <v/>
      </c>
      <c r="AH24" s="29" t="str">
        <f aca="false">IFERROR(INDEX('Bank Schedule'!AH:AH, SMALL(IF('Bank Schedule'!$K$2:$K$825="Vacant", ROW('Bank Schedule'!$K$2:$K$825)), ROW(21:21))), "")</f>
        <v/>
      </c>
      <c r="AI24" s="4"/>
    </row>
    <row r="25" customFormat="false" ht="28.5" hidden="false" customHeight="true" outlineLevel="0" collapsed="false">
      <c r="A25" s="29" t="str">
        <f aca="false">IFERROR(INDEX('Bank Schedule'!A:A, SMALL(IF('Bank Schedule'!$K$2:$K$825="Vacant", ROW('Bank Schedule'!$K$2:$K$825)), ROW(22:22))), "")</f>
        <v/>
      </c>
      <c r="B25" s="29" t="str">
        <f aca="false" t="array" ref="B25:B25">IFERROR(INDEX('Bank Schedule'!B:B, SMALL(IF('Bank Schedule'!$K$2:$K$825="Vacant", ROW('Bank Schedule'!$K$2:$K$825)), ROW(22:22))), "")</f>
        <v>CM</v>
      </c>
      <c r="C25" s="29" t="str">
        <f aca="false" t="array" ref="C25:C25">IFERROR(INDEX('Bank Schedule'!C:C, SMALL(IF('Bank Schedule'!$K$2:$K$825="Vacant", ROW('Bank Schedule'!$K$2:$K$825)), ROW(22:22))), "")</f>
        <v>MEL</v>
      </c>
      <c r="D25" s="29" t="n">
        <f aca="false" t="array" ref="D25:D25">IFERROR(INDEX('Bank Schedule'!D:D, SMALL(IF('Bank Schedule'!$K$2:$K$825="Vacant", ROW('Bank Schedule'!$K$2:$K$825)), ROW(22:22))), "")</f>
        <v>550830</v>
      </c>
      <c r="E25" s="29" t="str">
        <f aca="false" t="array" ref="E25:E25">IFERROR(INDEX('Bank Schedule'!E:E, SMALL(IF('Bank Schedule'!$K$2:$K$825="Vacant", ROW('Bank Schedule'!$K$2:$K$825)), ROW(22:22))), "")</f>
        <v>42-48 Great Portland Street</v>
      </c>
      <c r="F25" s="29" t="str">
        <f aca="false" t="array" ref="F25:F25">IFERROR(INDEX('Bank Schedule'!F:F, SMALL(IF('Bank Schedule'!$K$2:$K$825="Vacant", ROW('Bank Schedule'!$K$2:$K$825)), ROW(22:22))), "")</f>
        <v>Fifth Floor</v>
      </c>
      <c r="G25" s="29" t="str">
        <f aca="false" t="array" ref="G25:G25">IFERROR(INDEX('Bank Schedule'!G:G, SMALL(IF('Bank Schedule'!$K$2:$K$825="Vacant", ROW('Bank Schedule'!$K$2:$K$825)), ROW(22:22))), "")</f>
        <v>Office</v>
      </c>
      <c r="H25" s="305" t="n">
        <f aca="false" t="array" ref="H25:H25">IFERROR(INDEX('Bank Schedule'!H:H, SMALL(IF('Bank Schedule'!$K$2:$K$825="Vacant", ROW('Bank Schedule'!$K$2:$K$825)), ROW(22:22))), "")</f>
        <v>784</v>
      </c>
      <c r="I25" s="29" t="n">
        <f aca="false" t="array" ref="I25:I25">IFERROR(INDEX('Bank Schedule'!I:I, SMALL(IF('Bank Schedule'!$K$2:$K$825="Vacant", ROW('Bank Schedule'!$K$2:$K$825)), ROW(22:22))), "")</f>
        <v>784</v>
      </c>
      <c r="J25" s="305" t="n">
        <f aca="false" t="array" ref="J25:J25">IFERROR(INDEX('Bank Schedule'!J:J, SMALL(IF('Bank Schedule'!$K$2:$K$825="Vacant", ROW('Bank Schedule'!$K$2:$K$825)), ROW(22:22))), "")</f>
        <v>750</v>
      </c>
      <c r="K25" s="29" t="str">
        <f aca="false" t="array" ref="K25:K25">IFERROR(INDEX('Bank Schedule'!K:K, SMALL(IF('Bank Schedule'!$K$2:$K$825="Vacant", ROW('Bank Schedule'!$K$2:$K$825)), ROW(22:22))), "")</f>
        <v>Vacant</v>
      </c>
      <c r="L25" s="29" t="str">
        <f aca="false">IFERROR(INDEX('Bank Schedule'!L:L, SMALL(IF('Bank Schedule'!$K$2:$K$825="Vacant", ROW('Bank Schedule'!$K$2:$K$825)), ROW(22:22))), "")</f>
        <v/>
      </c>
      <c r="M25" s="29" t="str">
        <f aca="false">IFERROR(INDEX('Bank Schedule'!M:M, SMALL(IF('Bank Schedule'!$K$2:$K$825="Vacant", ROW('Bank Schedule'!$K$2:$K$825)), ROW(22:22))), "")</f>
        <v/>
      </c>
      <c r="N25" s="307" t="n">
        <f aca="false" t="array" ref="N25:N25">IFERROR(INDEX('Bank Schedule'!N:N, SMALL(IF('Bank Schedule'!$K$2:$K$825="Vacant", ROW('Bank Schedule'!$K$2:$K$825)), ROW(22:22))), "")</f>
        <v>44734</v>
      </c>
      <c r="O25" s="29" t="str">
        <f aca="false">IFERROR(INDEX('Bank Schedule'!O:O, SMALL(IF('Bank Schedule'!$K$2:$K$825="Vacant", ROW('Bank Schedule'!$K$2:$K$825)), ROW(22:22))), "")</f>
        <v/>
      </c>
      <c r="P25" s="29" t="str">
        <f aca="false">IFERROR(INDEX('Bank Schedule'!P:P, SMALL(IF('Bank Schedule'!$K$2:$K$825="Vacant", ROW('Bank Schedule'!$K$2:$K$825)), ROW(22:22))), "")</f>
        <v/>
      </c>
      <c r="Q25" s="29" t="n">
        <f aca="false" t="array" ref="Q25:Q25">IFERROR(INDEX('Bank Schedule'!Q:Q, SMALL(IF('Bank Schedule'!$K$2:$K$825="Vacant", ROW('Bank Schedule'!$K$2:$K$825)), ROW(22:22))), "")</f>
        <v>0</v>
      </c>
      <c r="R25" s="29" t="n">
        <f aca="false" t="array" ref="R25:R25">IFERROR(INDEX('Bank Schedule'!R:R, SMALL(IF('Bank Schedule'!$K$2:$K$825="Vacant", ROW('Bank Schedule'!$K$2:$K$825)), ROW(22:22))), "")</f>
        <v>0</v>
      </c>
      <c r="S25" s="29" t="str">
        <f aca="false">IFERROR(INDEX('Bank Schedule'!S:S, SMALL(IF('Bank Schedule'!$K$2:$K$825="Vacant", ROW('Bank Schedule'!$K$2:$K$825)), ROW(22:22))), "")</f>
        <v/>
      </c>
      <c r="T25" s="309" t="n">
        <f aca="false" t="array" ref="T25:T25">IFERROR(INDEX('Bank Schedule'!T:T, SMALL(IF('Bank Schedule'!$K$2:$K$825="Vacant", ROW('Bank Schedule'!$K$2:$K$825)), ROW(22:22))), "")</f>
        <v>39030</v>
      </c>
      <c r="U25" s="309" t="n">
        <f aca="false" t="array" ref="U25:U25">IFERROR(INDEX('Bank Schedule'!U:U, SMALL(IF('Bank Schedule'!$K$2:$K$825="Vacant", ROW('Bank Schedule'!$K$2:$K$825)), ROW(22:22))), "")</f>
        <v>39030</v>
      </c>
      <c r="V25" s="309" t="n">
        <f aca="false" t="array" ref="V25:V25">IFERROR(INDEX('Bank Schedule'!V:V, SMALL(IF('Bank Schedule'!$K$2:$K$825="Vacant", ROW('Bank Schedule'!$K$2:$K$825)), ROW(22:22))), "")</f>
        <v>49000</v>
      </c>
      <c r="W25" s="309" t="n">
        <f aca="false" t="array" ref="W25:W25">IFERROR(INDEX('Bank Schedule'!W:W, SMALL(IF('Bank Schedule'!$K$2:$K$825="Vacant", ROW('Bank Schedule'!$K$2:$K$825)), ROW(22:22))), "")</f>
        <v>49000</v>
      </c>
      <c r="X25" s="309" t="n">
        <f aca="false" t="array" ref="X25:X25">IFERROR(INDEX('Bank Schedule'!X:X, SMALL(IF('Bank Schedule'!$K$2:$K$825="Vacant", ROW('Bank Schedule'!$K$2:$K$825)), ROW(22:22))), "")</f>
        <v>62.5</v>
      </c>
      <c r="Y25" s="310" t="n">
        <f aca="false" t="array" ref="Y25:Y25">IFERROR(INDEX('Bank Schedule'!Y:Y, SMALL(IF('Bank Schedule'!$K$2:$K$825="Vacant", ROW('Bank Schedule'!$K$2:$K$825)), ROW(22:22))), "")</f>
        <v>0.255444529848834</v>
      </c>
      <c r="Z25" s="29" t="str">
        <f aca="false" t="array" ref="Z25:Z25">IFERROR(INDEX('Bank Schedule'!Z:Z, SMALL(IF('Bank Schedule'!$K$2:$K$825="Vacant", ROW('Bank Schedule'!$K$2:$K$825)), ROW(22:22))), "")</f>
        <v>D</v>
      </c>
      <c r="AA25" s="29" t="str">
        <f aca="false">IFERROR(INDEX('Bank Schedule'!AA:AA, SMALL(IF('Bank Schedule'!$K$2:$K$825="Vacant", ROW('Bank Schedule'!$K$2:$K$825)), ROW(22:22))), "")</f>
        <v/>
      </c>
      <c r="AB25" s="29" t="str">
        <f aca="false">IFERROR(INDEX('Bank Schedule'!AB:AB, SMALL(IF('Bank Schedule'!$K$2:$K$825="Vacant", ROW('Bank Schedule'!$K$2:$K$825)), ROW(22:22))), "")</f>
        <v/>
      </c>
      <c r="AC25" s="29" t="str">
        <f aca="false" t="array" ref="AC25:AC25">IFERROR(INDEX('Bank Schedule'!AC:AC, SMALL(IF('Bank Schedule'!$K$2:$K$825="Vacant", ROW('Bank Schedule'!$K$2:$K$825)), ROW(22:22))), "")</f>
        <v>No</v>
      </c>
      <c r="AD25" s="29" t="str">
        <f aca="false" t="array" ref="AD25:AD25">IFERROR(INDEX('Bank Schedule'!AD:AD, SMALL(IF('Bank Schedule'!$K$2:$K$825="Vacant", ROW('Bank Schedule'!$K$2:$K$825)), ROW(22:22))), "")</f>
        <v>To be refurbished.</v>
      </c>
      <c r="AE25" s="281" t="str">
        <f aca="false">IFERROR(INDEX('Bank Schedule'!AE:AE, SMALL(IF('Bank Schedule'!$K$2:$K$825="Vacant", ROW('Bank Schedule'!$K$2:$K$825)), ROW(22:22))), "")</f>
        <v/>
      </c>
      <c r="AF25" s="29" t="str">
        <f aca="false">IFERROR(INDEX('Bank Schedule'!AF:AF, SMALL(IF('Bank Schedule'!$K$2:$K$825="Vacant", ROW('Bank Schedule'!$K$2:$K$825)), ROW(22:22))), "")</f>
        <v/>
      </c>
      <c r="AG25" s="29" t="str">
        <f aca="false">IFERROR(INDEX('Bank Schedule'!AG:AG, SMALL(IF('Bank Schedule'!$K$2:$K$825="Vacant", ROW('Bank Schedule'!$K$2:$K$825)), ROW(22:22))), "")</f>
        <v/>
      </c>
      <c r="AH25" s="29" t="str">
        <f aca="false">IFERROR(INDEX('Bank Schedule'!AH:AH, SMALL(IF('Bank Schedule'!$K$2:$K$825="Vacant", ROW('Bank Schedule'!$K$2:$K$825)), ROW(22:22))), "")</f>
        <v/>
      </c>
      <c r="AI25" s="4"/>
    </row>
    <row r="26" customFormat="false" ht="28.5" hidden="false" customHeight="true" outlineLevel="0" collapsed="false">
      <c r="A26" s="29" t="str">
        <f aca="false">IFERROR(INDEX('Bank Schedule'!A:A, SMALL(IF('Bank Schedule'!$K$2:$K$825="Vacant", ROW('Bank Schedule'!$K$2:$K$825)), ROW(23:23))), "")</f>
        <v/>
      </c>
      <c r="B26" s="29" t="str">
        <f aca="false" t="array" ref="B26:B26">IFERROR(INDEX('Bank Schedule'!B:B, SMALL(IF('Bank Schedule'!$K$2:$K$825="Vacant", ROW('Bank Schedule'!$K$2:$K$825)), ROW(23:23))), "")</f>
        <v>CD</v>
      </c>
      <c r="C26" s="29" t="str">
        <f aca="false" t="array" ref="C26:C26">IFERROR(INDEX('Bank Schedule'!C:C, SMALL(IF('Bank Schedule'!$K$2:$K$825="Vacant", ROW('Bank Schedule'!$K$2:$K$825)), ROW(23:23))), "")</f>
        <v>MEL</v>
      </c>
      <c r="D26" s="29" t="n">
        <f aca="false" t="array" ref="D26:D26">IFERROR(INDEX('Bank Schedule'!D:D, SMALL(IF('Bank Schedule'!$K$2:$K$825="Vacant", ROW('Bank Schedule'!$K$2:$K$825)), ROW(23:23))), "")</f>
        <v>550990</v>
      </c>
      <c r="E26" s="29" t="str">
        <f aca="false" t="array" ref="E26:E26">IFERROR(INDEX('Bank Schedule'!E:E, SMALL(IF('Bank Schedule'!$K$2:$K$825="Vacant", ROW('Bank Schedule'!$K$2:$K$825)), ROW(23:23))), "")</f>
        <v>50 Great Portland Street</v>
      </c>
      <c r="F26" s="29" t="str">
        <f aca="false" t="array" ref="F26:F26">IFERROR(INDEX('Bank Schedule'!F:F, SMALL(IF('Bank Schedule'!$K$2:$K$825="Vacant", ROW('Bank Schedule'!$K$2:$K$825)), ROW(23:23))), "")</f>
        <v>Second Floor</v>
      </c>
      <c r="G26" s="29" t="str">
        <f aca="false" t="array" ref="G26:G26">IFERROR(INDEX('Bank Schedule'!G:G, SMALL(IF('Bank Schedule'!$K$2:$K$825="Vacant", ROW('Bank Schedule'!$K$2:$K$825)), ROW(23:23))), "")</f>
        <v>Office</v>
      </c>
      <c r="H26" s="305" t="n">
        <f aca="false" t="array" ref="H26:H26">IFERROR(INDEX('Bank Schedule'!H:H, SMALL(IF('Bank Schedule'!$K$2:$K$825="Vacant", ROW('Bank Schedule'!$K$2:$K$825)), ROW(23:23))), "")</f>
        <v>304</v>
      </c>
      <c r="I26" s="29" t="n">
        <f aca="false" t="array" ref="I26:I26">IFERROR(INDEX('Bank Schedule'!I:I, SMALL(IF('Bank Schedule'!$K$2:$K$825="Vacant", ROW('Bank Schedule'!$K$2:$K$825)), ROW(23:23))), "")</f>
        <v>304</v>
      </c>
      <c r="J26" s="305" t="n">
        <f aca="false" t="array" ref="J26:J26">IFERROR(INDEX('Bank Schedule'!J:J, SMALL(IF('Bank Schedule'!$K$2:$K$825="Vacant", ROW('Bank Schedule'!$K$2:$K$825)), ROW(23:23))), "")</f>
        <v>250</v>
      </c>
      <c r="K26" s="29" t="str">
        <f aca="false" t="array" ref="K26:K26">IFERROR(INDEX('Bank Schedule'!K:K, SMALL(IF('Bank Schedule'!$K$2:$K$825="Vacant", ROW('Bank Schedule'!$K$2:$K$825)), ROW(23:23))), "")</f>
        <v>Vacant</v>
      </c>
      <c r="L26" s="29" t="str">
        <f aca="false">IFERROR(INDEX('Bank Schedule'!L:L, SMALL(IF('Bank Schedule'!$K$2:$K$825="Vacant", ROW('Bank Schedule'!$K$2:$K$825)), ROW(23:23))), "")</f>
        <v/>
      </c>
      <c r="M26" s="29" t="str">
        <f aca="false">IFERROR(INDEX('Bank Schedule'!M:M, SMALL(IF('Bank Schedule'!$K$2:$K$825="Vacant", ROW('Bank Schedule'!$K$2:$K$825)), ROW(23:23))), "")</f>
        <v/>
      </c>
      <c r="N26" s="307" t="n">
        <f aca="false" t="array" ref="N26:N26">IFERROR(INDEX('Bank Schedule'!N:N, SMALL(IF('Bank Schedule'!$K$2:$K$825="Vacant", ROW('Bank Schedule'!$K$2:$K$825)), ROW(23:23))), "")</f>
        <v>43256</v>
      </c>
      <c r="O26" s="29" t="str">
        <f aca="false">IFERROR(INDEX('Bank Schedule'!O:O, SMALL(IF('Bank Schedule'!$K$2:$K$825="Vacant", ROW('Bank Schedule'!$K$2:$K$825)), ROW(23:23))), "")</f>
        <v/>
      </c>
      <c r="P26" s="29" t="str">
        <f aca="false">IFERROR(INDEX('Bank Schedule'!P:P, SMALL(IF('Bank Schedule'!$K$2:$K$825="Vacant", ROW('Bank Schedule'!$K$2:$K$825)), ROW(23:23))), "")</f>
        <v/>
      </c>
      <c r="Q26" s="29" t="n">
        <f aca="false" t="array" ref="Q26:Q26">IFERROR(INDEX('Bank Schedule'!Q:Q, SMALL(IF('Bank Schedule'!$K$2:$K$825="Vacant", ROW('Bank Schedule'!$K$2:$K$825)), ROW(23:23))), "")</f>
        <v>0</v>
      </c>
      <c r="R26" s="29" t="n">
        <f aca="false" t="array" ref="R26:R26">IFERROR(INDEX('Bank Schedule'!R:R, SMALL(IF('Bank Schedule'!$K$2:$K$825="Vacant", ROW('Bank Schedule'!$K$2:$K$825)), ROW(23:23))), "")</f>
        <v>0</v>
      </c>
      <c r="S26" s="29" t="str">
        <f aca="false">IFERROR(INDEX('Bank Schedule'!S:S, SMALL(IF('Bank Schedule'!$K$2:$K$825="Vacant", ROW('Bank Schedule'!$K$2:$K$825)), ROW(23:23))), "")</f>
        <v/>
      </c>
      <c r="T26" s="309" t="n">
        <f aca="false" t="array" ref="T26:T26">IFERROR(INDEX('Bank Schedule'!T:T, SMALL(IF('Bank Schedule'!$K$2:$K$825="Vacant", ROW('Bank Schedule'!$K$2:$K$825)), ROW(23:23))), "")</f>
        <v>15800</v>
      </c>
      <c r="U26" s="309" t="n">
        <f aca="false" t="array" ref="U26:U26">IFERROR(INDEX('Bank Schedule'!U:U, SMALL(IF('Bank Schedule'!$K$2:$K$825="Vacant", ROW('Bank Schedule'!$K$2:$K$825)), ROW(23:23))), "")</f>
        <v>15800</v>
      </c>
      <c r="V26" s="309" t="n">
        <f aca="false" t="array" ref="V26:V26">IFERROR(INDEX('Bank Schedule'!V:V, SMALL(IF('Bank Schedule'!$K$2:$K$825="Vacant", ROW('Bank Schedule'!$K$2:$K$825)), ROW(23:23))), "")</f>
        <v>16700</v>
      </c>
      <c r="W26" s="309" t="n">
        <f aca="false" t="array" ref="W26:W26">IFERROR(INDEX('Bank Schedule'!W:W, SMALL(IF('Bank Schedule'!$K$2:$K$825="Vacant", ROW('Bank Schedule'!$K$2:$K$825)), ROW(23:23))), "")</f>
        <v>16700</v>
      </c>
      <c r="X26" s="309" t="n">
        <f aca="false" t="array" ref="X26:X26">IFERROR(INDEX('Bank Schedule'!X:X, SMALL(IF('Bank Schedule'!$K$2:$K$825="Vacant", ROW('Bank Schedule'!$K$2:$K$825)), ROW(23:23))), "")</f>
        <v>54.9342105263158</v>
      </c>
      <c r="Y26" s="310" t="n">
        <f aca="false" t="array" ref="Y26:Y26">IFERROR(INDEX('Bank Schedule'!Y:Y, SMALL(IF('Bank Schedule'!$K$2:$K$825="Vacant", ROW('Bank Schedule'!$K$2:$K$825)), ROW(23:23))), "")</f>
        <v>0.0569620253164557</v>
      </c>
      <c r="Z26" s="29" t="str">
        <f aca="false" t="array" ref="Z26:Z26">IFERROR(INDEX('Bank Schedule'!Z:Z, SMALL(IF('Bank Schedule'!$K$2:$K$825="Vacant", ROW('Bank Schedule'!$K$2:$K$825)), ROW(23:23))), "")</f>
        <v>D</v>
      </c>
      <c r="AA26" s="29" t="str">
        <f aca="false">IFERROR(INDEX('Bank Schedule'!AA:AA, SMALL(IF('Bank Schedule'!$K$2:$K$825="Vacant", ROW('Bank Schedule'!$K$2:$K$825)), ROW(23:23))), "")</f>
        <v/>
      </c>
      <c r="AB26" s="29" t="str">
        <f aca="false">IFERROR(INDEX('Bank Schedule'!AB:AB, SMALL(IF('Bank Schedule'!$K$2:$K$825="Vacant", ROW('Bank Schedule'!$K$2:$K$825)), ROW(23:23))), "")</f>
        <v/>
      </c>
      <c r="AC26" s="29" t="str">
        <f aca="false" t="array" ref="AC26:AC26">IFERROR(INDEX('Bank Schedule'!AC:AC, SMALL(IF('Bank Schedule'!$K$2:$K$825="Vacant", ROW('Bank Schedule'!$K$2:$K$825)), ROW(23:23))), "")</f>
        <v>No</v>
      </c>
      <c r="AD26" s="29" t="str">
        <f aca="false" t="array" ref="AD26:AD26">IFERROR(INDEX('Bank Schedule'!AD:AD, SMALL(IF('Bank Schedule'!$K$2:$K$825="Vacant", ROW('Bank Schedule'!$K$2:$K$825)), ROW(23:23))), "")</f>
        <v>To be refurbished.</v>
      </c>
      <c r="AE26" s="281" t="str">
        <f aca="false">IFERROR(INDEX('Bank Schedule'!AE:AE, SMALL(IF('Bank Schedule'!$K$2:$K$825="Vacant", ROW('Bank Schedule'!$K$2:$K$825)), ROW(23:23))), "")</f>
        <v/>
      </c>
      <c r="AF26" s="29" t="str">
        <f aca="false">IFERROR(INDEX('Bank Schedule'!AF:AF, SMALL(IF('Bank Schedule'!$K$2:$K$825="Vacant", ROW('Bank Schedule'!$K$2:$K$825)), ROW(23:23))), "")</f>
        <v/>
      </c>
      <c r="AG26" s="29" t="str">
        <f aca="false">IFERROR(INDEX('Bank Schedule'!AG:AG, SMALL(IF('Bank Schedule'!$K$2:$K$825="Vacant", ROW('Bank Schedule'!$K$2:$K$825)), ROW(23:23))), "")</f>
        <v/>
      </c>
      <c r="AH26" s="29" t="str">
        <f aca="false">IFERROR(INDEX('Bank Schedule'!AH:AH, SMALL(IF('Bank Schedule'!$K$2:$K$825="Vacant", ROW('Bank Schedule'!$K$2:$K$825)), ROW(23:23))), "")</f>
        <v/>
      </c>
      <c r="AI26" s="4"/>
    </row>
    <row r="27" customFormat="false" ht="28.5" hidden="false" customHeight="true" outlineLevel="0" collapsed="false">
      <c r="A27" s="29" t="str">
        <f aca="false">IFERROR(INDEX('Bank Schedule'!A:A, SMALL(IF('Bank Schedule'!$K$2:$K$825="Vacant", ROW('Bank Schedule'!$K$2:$K$825)), ROW(24:24))), "")</f>
        <v/>
      </c>
      <c r="B27" s="29" t="str">
        <f aca="false" t="array" ref="B27:B27">IFERROR(INDEX('Bank Schedule'!B:B, SMALL(IF('Bank Schedule'!$K$2:$K$825="Vacant", ROW('Bank Schedule'!$K$2:$K$825)), ROW(24:24))), "")</f>
        <v>WS</v>
      </c>
      <c r="C27" s="29" t="str">
        <f aca="false" t="array" ref="C27:C27">IFERROR(INDEX('Bank Schedule'!C:C, SMALL(IF('Bank Schedule'!$K$2:$K$825="Vacant", ROW('Bank Schedule'!$K$2:$K$825)), ROW(24:24))), "")</f>
        <v>MEL</v>
      </c>
      <c r="D27" s="29" t="n">
        <f aca="false" t="array" ref="D27:D27">IFERROR(INDEX('Bank Schedule'!D:D, SMALL(IF('Bank Schedule'!$K$2:$K$825="Vacant", ROW('Bank Schedule'!$K$2:$K$825)), ROW(24:24))), "")</f>
        <v>550700</v>
      </c>
      <c r="E27" s="29" t="str">
        <f aca="false" t="array" ref="E27:E27">IFERROR(INDEX('Bank Schedule'!E:E, SMALL(IF('Bank Schedule'!$K$2:$K$825="Vacant", ROW('Bank Schedule'!$K$2:$K$825)), ROW(24:24))), "")</f>
        <v>51 Great Portland Street</v>
      </c>
      <c r="F27" s="29" t="str">
        <f aca="false" t="array" ref="F27:F27">IFERROR(INDEX('Bank Schedule'!F:F, SMALL(IF('Bank Schedule'!$K$2:$K$825="Vacant", ROW('Bank Schedule'!$K$2:$K$825)), ROW(24:24))), "")</f>
        <v>First Floor</v>
      </c>
      <c r="G27" s="29" t="str">
        <f aca="false" t="array" ref="G27:G27">IFERROR(INDEX('Bank Schedule'!G:G, SMALL(IF('Bank Schedule'!$K$2:$K$825="Vacant", ROW('Bank Schedule'!$K$2:$K$825)), ROW(24:24))), "")</f>
        <v>Office</v>
      </c>
      <c r="H27" s="305" t="n">
        <f aca="false" t="array" ref="H27:H27">IFERROR(INDEX('Bank Schedule'!H:H, SMALL(IF('Bank Schedule'!$K$2:$K$825="Vacant", ROW('Bank Schedule'!$K$2:$K$825)), ROW(24:24))), "")</f>
        <v>325</v>
      </c>
      <c r="I27" s="29" t="n">
        <f aca="false" t="array" ref="I27:I27">IFERROR(INDEX('Bank Schedule'!I:I, SMALL(IF('Bank Schedule'!$K$2:$K$825="Vacant", ROW('Bank Schedule'!$K$2:$K$825)), ROW(24:24))), "")</f>
        <v>325</v>
      </c>
      <c r="J27" s="305" t="n">
        <f aca="false" t="array" ref="J27:J27">IFERROR(INDEX('Bank Schedule'!J:J, SMALL(IF('Bank Schedule'!$K$2:$K$825="Vacant", ROW('Bank Schedule'!$K$2:$K$825)), ROW(24:24))), "")</f>
        <v>500</v>
      </c>
      <c r="K27" s="29" t="str">
        <f aca="false" t="array" ref="K27:K27">IFERROR(INDEX('Bank Schedule'!K:K, SMALL(IF('Bank Schedule'!$K$2:$K$825="Vacant", ROW('Bank Schedule'!$K$2:$K$825)), ROW(24:24))), "")</f>
        <v>Vacant</v>
      </c>
      <c r="L27" s="29" t="str">
        <f aca="false">IFERROR(INDEX('Bank Schedule'!L:L, SMALL(IF('Bank Schedule'!$K$2:$K$825="Vacant", ROW('Bank Schedule'!$K$2:$K$825)), ROW(24:24))), "")</f>
        <v/>
      </c>
      <c r="M27" s="29" t="str">
        <f aca="false">IFERROR(INDEX('Bank Schedule'!M:M, SMALL(IF('Bank Schedule'!$K$2:$K$825="Vacant", ROW('Bank Schedule'!$K$2:$K$825)), ROW(24:24))), "")</f>
        <v/>
      </c>
      <c r="N27" s="307" t="n">
        <f aca="false" t="array" ref="N27:N27">IFERROR(INDEX('Bank Schedule'!N:N, SMALL(IF('Bank Schedule'!$K$2:$K$825="Vacant", ROW('Bank Schedule'!$K$2:$K$825)), ROW(24:24))), "")</f>
        <v>45282</v>
      </c>
      <c r="O27" s="29" t="str">
        <f aca="false">IFERROR(INDEX('Bank Schedule'!O:O, SMALL(IF('Bank Schedule'!$K$2:$K$825="Vacant", ROW('Bank Schedule'!$K$2:$K$825)), ROW(24:24))), "")</f>
        <v/>
      </c>
      <c r="P27" s="29" t="str">
        <f aca="false">IFERROR(INDEX('Bank Schedule'!P:P, SMALL(IF('Bank Schedule'!$K$2:$K$825="Vacant", ROW('Bank Schedule'!$K$2:$K$825)), ROW(24:24))), "")</f>
        <v/>
      </c>
      <c r="Q27" s="29" t="n">
        <f aca="false" t="array" ref="Q27:Q27">IFERROR(INDEX('Bank Schedule'!Q:Q, SMALL(IF('Bank Schedule'!$K$2:$K$825="Vacant", ROW('Bank Schedule'!$K$2:$K$825)), ROW(24:24))), "")</f>
        <v>0</v>
      </c>
      <c r="R27" s="29" t="n">
        <f aca="false" t="array" ref="R27:R27">IFERROR(INDEX('Bank Schedule'!R:R, SMALL(IF('Bank Schedule'!$K$2:$K$825="Vacant", ROW('Bank Schedule'!$K$2:$K$825)), ROW(24:24))), "")</f>
        <v>0</v>
      </c>
      <c r="S27" s="29" t="str">
        <f aca="false">IFERROR(INDEX('Bank Schedule'!S:S, SMALL(IF('Bank Schedule'!$K$2:$K$825="Vacant", ROW('Bank Schedule'!$K$2:$K$825)), ROW(24:24))), "")</f>
        <v/>
      </c>
      <c r="T27" s="309" t="n">
        <f aca="false" t="array" ref="T27:T27">IFERROR(INDEX('Bank Schedule'!T:T, SMALL(IF('Bank Schedule'!$K$2:$K$825="Vacant", ROW('Bank Schedule'!$K$2:$K$825)), ROW(24:24))), "")</f>
        <v>17100</v>
      </c>
      <c r="U27" s="309" t="n">
        <f aca="false" t="array" ref="U27:U27">IFERROR(INDEX('Bank Schedule'!U:U, SMALL(IF('Bank Schedule'!$K$2:$K$825="Vacant", ROW('Bank Schedule'!$K$2:$K$825)), ROW(24:24))), "")</f>
        <v>17100</v>
      </c>
      <c r="V27" s="309" t="n">
        <f aca="false" t="array" ref="V27:V27">IFERROR(INDEX('Bank Schedule'!V:V, SMALL(IF('Bank Schedule'!$K$2:$K$825="Vacant", ROW('Bank Schedule'!$K$2:$K$825)), ROW(24:24))), "")</f>
        <v>17100</v>
      </c>
      <c r="W27" s="309" t="n">
        <f aca="false" t="array" ref="W27:W27">IFERROR(INDEX('Bank Schedule'!W:W, SMALL(IF('Bank Schedule'!$K$2:$K$825="Vacant", ROW('Bank Schedule'!$K$2:$K$825)), ROW(24:24))), "")</f>
        <v>17100</v>
      </c>
      <c r="X27" s="309" t="n">
        <f aca="false" t="array" ref="X27:X27">IFERROR(INDEX('Bank Schedule'!X:X, SMALL(IF('Bank Schedule'!$K$2:$K$825="Vacant", ROW('Bank Schedule'!$K$2:$K$825)), ROW(24:24))), "")</f>
        <v>52.6153846153846</v>
      </c>
      <c r="Y27" s="310" t="n">
        <f aca="false" t="array" ref="Y27:Y27">IFERROR(INDEX('Bank Schedule'!Y:Y, SMALL(IF('Bank Schedule'!$K$2:$K$825="Vacant", ROW('Bank Schedule'!$K$2:$K$825)), ROW(24:24))), "")</f>
        <v>0</v>
      </c>
      <c r="Z27" s="29" t="str">
        <f aca="false" t="array" ref="Z27:Z27">IFERROR(INDEX('Bank Schedule'!Z:Z, SMALL(IF('Bank Schedule'!$K$2:$K$825="Vacant", ROW('Bank Schedule'!$K$2:$K$825)), ROW(24:24))), "")</f>
        <v>E</v>
      </c>
      <c r="AA27" s="29" t="str">
        <f aca="false">IFERROR(INDEX('Bank Schedule'!AA:AA, SMALL(IF('Bank Schedule'!$K$2:$K$825="Vacant", ROW('Bank Schedule'!$K$2:$K$825)), ROW(24:24))), "")</f>
        <v/>
      </c>
      <c r="AB27" s="29" t="str">
        <f aca="false">IFERROR(INDEX('Bank Schedule'!AB:AB, SMALL(IF('Bank Schedule'!$K$2:$K$825="Vacant", ROW('Bank Schedule'!$K$2:$K$825)), ROW(24:24))), "")</f>
        <v/>
      </c>
      <c r="AC27" s="29" t="str">
        <f aca="false" t="array" ref="AC27:AC27">IFERROR(INDEX('Bank Schedule'!AC:AC, SMALL(IF('Bank Schedule'!$K$2:$K$825="Vacant", ROW('Bank Schedule'!$K$2:$K$825)), ROW(24:24))), "")</f>
        <v>No</v>
      </c>
      <c r="AD27" s="29" t="str">
        <f aca="false" t="array" ref="AD27:AD27">IFERROR(INDEX('Bank Schedule'!AD:AD, SMALL(IF('Bank Schedule'!$K$2:$K$825="Vacant", ROW('Bank Schedule'!$K$2:$K$825)), ROW(24:24))), "")</f>
        <v>To be refurbished.</v>
      </c>
      <c r="AE27" s="281" t="n">
        <f aca="false" t="array" ref="AE27:AE27">IFERROR(INDEX('Bank Schedule'!AE:AE, SMALL(IF('Bank Schedule'!$K$2:$K$825="Vacant", ROW('Bank Schedule'!$K$2:$K$825)), ROW(24:24))), "")</f>
        <v>58</v>
      </c>
      <c r="AF27" s="29" t="str">
        <f aca="false">IFERROR(INDEX('Bank Schedule'!AF:AF, SMALL(IF('Bank Schedule'!$K$2:$K$825="Vacant", ROW('Bank Schedule'!$K$2:$K$825)), ROW(24:24))), "")</f>
        <v/>
      </c>
      <c r="AG27" s="29" t="n">
        <f aca="false" t="array" ref="AG27:AG27">IFERROR(INDEX('Bank Schedule'!AG:AG, SMALL(IF('Bank Schedule'!$K$2:$K$825="Vacant", ROW('Bank Schedule'!$K$2:$K$825)), ROW(24:24))), "")</f>
        <v>4</v>
      </c>
      <c r="AH27" s="29" t="str">
        <f aca="false">IFERROR(INDEX('Bank Schedule'!AH:AH, SMALL(IF('Bank Schedule'!$K$2:$K$825="Vacant", ROW('Bank Schedule'!$K$2:$K$825)), ROW(24:24))), "")</f>
        <v/>
      </c>
      <c r="AI27" s="4"/>
    </row>
    <row r="28" customFormat="false" ht="28.5" hidden="false" customHeight="true" outlineLevel="0" collapsed="false">
      <c r="A28" s="29" t="str">
        <f aca="false">IFERROR(INDEX('Bank Schedule'!A:A, SMALL(IF('Bank Schedule'!$K$2:$K$825="Vacant", ROW('Bank Schedule'!$K$2:$K$825)), ROW(25:25))), "")</f>
        <v/>
      </c>
      <c r="B28" s="29" t="str">
        <f aca="false" t="array" ref="B28:B28">IFERROR(INDEX('Bank Schedule'!B:B, SMALL(IF('Bank Schedule'!$K$2:$K$825="Vacant", ROW('Bank Schedule'!$K$2:$K$825)), ROW(25:25))), "")</f>
        <v>WS</v>
      </c>
      <c r="C28" s="29" t="str">
        <f aca="false" t="array" ref="C28:C28">IFERROR(INDEX('Bank Schedule'!C:C, SMALL(IF('Bank Schedule'!$K$2:$K$825="Vacant", ROW('Bank Schedule'!$K$2:$K$825)), ROW(25:25))), "")</f>
        <v>MEL</v>
      </c>
      <c r="D28" s="29" t="n">
        <f aca="false" t="array" ref="D28:D28">IFERROR(INDEX('Bank Schedule'!D:D, SMALL(IF('Bank Schedule'!$K$2:$K$825="Vacant", ROW('Bank Schedule'!$K$2:$K$825)), ROW(25:25))), "")</f>
        <v>550700</v>
      </c>
      <c r="E28" s="29" t="str">
        <f aca="false" t="array" ref="E28:E28">IFERROR(INDEX('Bank Schedule'!E:E, SMALL(IF('Bank Schedule'!$K$2:$K$825="Vacant", ROW('Bank Schedule'!$K$2:$K$825)), ROW(25:25))), "")</f>
        <v>51 Great Portland Street</v>
      </c>
      <c r="F28" s="29" t="str">
        <f aca="false" t="array" ref="F28:F28">IFERROR(INDEX('Bank Schedule'!F:F, SMALL(IF('Bank Schedule'!$K$2:$K$825="Vacant", ROW('Bank Schedule'!$K$2:$K$825)), ROW(25:25))), "")</f>
        <v>Third Floor</v>
      </c>
      <c r="G28" s="29" t="str">
        <f aca="false" t="array" ref="G28:G28">IFERROR(INDEX('Bank Schedule'!G:G, SMALL(IF('Bank Schedule'!$K$2:$K$825="Vacant", ROW('Bank Schedule'!$K$2:$K$825)), ROW(25:25))), "")</f>
        <v>Office</v>
      </c>
      <c r="H28" s="305" t="n">
        <f aca="false" t="array" ref="H28:H28">IFERROR(INDEX('Bank Schedule'!H:H, SMALL(IF('Bank Schedule'!$K$2:$K$825="Vacant", ROW('Bank Schedule'!$K$2:$K$825)), ROW(25:25))), "")</f>
        <v>325</v>
      </c>
      <c r="I28" s="29" t="n">
        <f aca="false" t="array" ref="I28:I28">IFERROR(INDEX('Bank Schedule'!I:I, SMALL(IF('Bank Schedule'!$K$2:$K$825="Vacant", ROW('Bank Schedule'!$K$2:$K$825)), ROW(25:25))), "")</f>
        <v>325</v>
      </c>
      <c r="J28" s="305" t="n">
        <f aca="false" t="array" ref="J28:J28">IFERROR(INDEX('Bank Schedule'!J:J, SMALL(IF('Bank Schedule'!$K$2:$K$825="Vacant", ROW('Bank Schedule'!$K$2:$K$825)), ROW(25:25))), "")</f>
        <v>500</v>
      </c>
      <c r="K28" s="29" t="str">
        <f aca="false" t="array" ref="K28:K28">IFERROR(INDEX('Bank Schedule'!K:K, SMALL(IF('Bank Schedule'!$K$2:$K$825="Vacant", ROW('Bank Schedule'!$K$2:$K$825)), ROW(25:25))), "")</f>
        <v>Vacant</v>
      </c>
      <c r="L28" s="29" t="str">
        <f aca="false">IFERROR(INDEX('Bank Schedule'!L:L, SMALL(IF('Bank Schedule'!$K$2:$K$825="Vacant", ROW('Bank Schedule'!$K$2:$K$825)), ROW(25:25))), "")</f>
        <v/>
      </c>
      <c r="M28" s="29" t="str">
        <f aca="false">IFERROR(INDEX('Bank Schedule'!M:M, SMALL(IF('Bank Schedule'!$K$2:$K$825="Vacant", ROW('Bank Schedule'!$K$2:$K$825)), ROW(25:25))), "")</f>
        <v/>
      </c>
      <c r="N28" s="307" t="n">
        <f aca="false" t="array" ref="N28:N28">IFERROR(INDEX('Bank Schedule'!N:N, SMALL(IF('Bank Schedule'!$K$2:$K$825="Vacant", ROW('Bank Schedule'!$K$2:$K$825)), ROW(25:25))), "")</f>
        <v>44714</v>
      </c>
      <c r="O28" s="29" t="str">
        <f aca="false">IFERROR(INDEX('Bank Schedule'!O:O, SMALL(IF('Bank Schedule'!$K$2:$K$825="Vacant", ROW('Bank Schedule'!$K$2:$K$825)), ROW(25:25))), "")</f>
        <v/>
      </c>
      <c r="P28" s="29" t="str">
        <f aca="false">IFERROR(INDEX('Bank Schedule'!P:P, SMALL(IF('Bank Schedule'!$K$2:$K$825="Vacant", ROW('Bank Schedule'!$K$2:$K$825)), ROW(25:25))), "")</f>
        <v/>
      </c>
      <c r="Q28" s="29" t="n">
        <f aca="false" t="array" ref="Q28:Q28">IFERROR(INDEX('Bank Schedule'!Q:Q, SMALL(IF('Bank Schedule'!$K$2:$K$825="Vacant", ROW('Bank Schedule'!$K$2:$K$825)), ROW(25:25))), "")</f>
        <v>0</v>
      </c>
      <c r="R28" s="29" t="n">
        <f aca="false" t="array" ref="R28:R28">IFERROR(INDEX('Bank Schedule'!R:R, SMALL(IF('Bank Schedule'!$K$2:$K$825="Vacant", ROW('Bank Schedule'!$K$2:$K$825)), ROW(25:25))), "")</f>
        <v>0</v>
      </c>
      <c r="S28" s="29" t="str">
        <f aca="false">IFERROR(INDEX('Bank Schedule'!S:S, SMALL(IF('Bank Schedule'!$K$2:$K$825="Vacant", ROW('Bank Schedule'!$K$2:$K$825)), ROW(25:25))), "")</f>
        <v/>
      </c>
      <c r="T28" s="309" t="n">
        <f aca="false" t="array" ref="T28:T28">IFERROR(INDEX('Bank Schedule'!T:T, SMALL(IF('Bank Schedule'!$K$2:$K$825="Vacant", ROW('Bank Schedule'!$K$2:$K$825)), ROW(25:25))), "")</f>
        <v>16300</v>
      </c>
      <c r="U28" s="309" t="n">
        <f aca="false" t="array" ref="U28:U28">IFERROR(INDEX('Bank Schedule'!U:U, SMALL(IF('Bank Schedule'!$K$2:$K$825="Vacant", ROW('Bank Schedule'!$K$2:$K$825)), ROW(25:25))), "")</f>
        <v>16300</v>
      </c>
      <c r="V28" s="309" t="n">
        <f aca="false" t="array" ref="V28:V28">IFERROR(INDEX('Bank Schedule'!V:V, SMALL(IF('Bank Schedule'!$K$2:$K$825="Vacant", ROW('Bank Schedule'!$K$2:$K$825)), ROW(25:25))), "")</f>
        <v>16300</v>
      </c>
      <c r="W28" s="309" t="n">
        <f aca="false" t="array" ref="W28:W28">IFERROR(INDEX('Bank Schedule'!W:W, SMALL(IF('Bank Schedule'!$K$2:$K$825="Vacant", ROW('Bank Schedule'!$K$2:$K$825)), ROW(25:25))), "")</f>
        <v>16300</v>
      </c>
      <c r="X28" s="309" t="n">
        <f aca="false" t="array" ref="X28:X28">IFERROR(INDEX('Bank Schedule'!X:X, SMALL(IF('Bank Schedule'!$K$2:$K$825="Vacant", ROW('Bank Schedule'!$K$2:$K$825)), ROW(25:25))), "")</f>
        <v>50.1538461538462</v>
      </c>
      <c r="Y28" s="310" t="n">
        <f aca="false" t="array" ref="Y28:Y28">IFERROR(INDEX('Bank Schedule'!Y:Y, SMALL(IF('Bank Schedule'!$K$2:$K$825="Vacant", ROW('Bank Schedule'!$K$2:$K$825)), ROW(25:25))), "")</f>
        <v>0</v>
      </c>
      <c r="Z28" s="29" t="str">
        <f aca="false" t="array" ref="Z28:Z28">IFERROR(INDEX('Bank Schedule'!Z:Z, SMALL(IF('Bank Schedule'!$K$2:$K$825="Vacant", ROW('Bank Schedule'!$K$2:$K$825)), ROW(25:25))), "")</f>
        <v>C</v>
      </c>
      <c r="AA28" s="29" t="str">
        <f aca="false">IFERROR(INDEX('Bank Schedule'!AA:AA, SMALL(IF('Bank Schedule'!$K$2:$K$825="Vacant", ROW('Bank Schedule'!$K$2:$K$825)), ROW(25:25))), "")</f>
        <v/>
      </c>
      <c r="AB28" s="29" t="str">
        <f aca="false">IFERROR(INDEX('Bank Schedule'!AB:AB, SMALL(IF('Bank Schedule'!$K$2:$K$825="Vacant", ROW('Bank Schedule'!$K$2:$K$825)), ROW(25:25))), "")</f>
        <v/>
      </c>
      <c r="AC28" s="29" t="str">
        <f aca="false" t="array" ref="AC28:AC28">IFERROR(INDEX('Bank Schedule'!AC:AC, SMALL(IF('Bank Schedule'!$K$2:$K$825="Vacant", ROW('Bank Schedule'!$K$2:$K$825)), ROW(25:25))), "")</f>
        <v>No</v>
      </c>
      <c r="AD28" s="29" t="str">
        <f aca="false" t="array" ref="AD28:AD28">IFERROR(INDEX('Bank Schedule'!AD:AD, SMALL(IF('Bank Schedule'!$K$2:$K$825="Vacant", ROW('Bank Schedule'!$K$2:$K$825)), ROW(25:25))), "")</f>
        <v>To be refurbished.</v>
      </c>
      <c r="AE28" s="281" t="n">
        <f aca="false" t="array" ref="AE28:AE28">IFERROR(INDEX('Bank Schedule'!AE:AE, SMALL(IF('Bank Schedule'!$K$2:$K$825="Vacant", ROW('Bank Schedule'!$K$2:$K$825)), ROW(25:25))), "")</f>
        <v>52.5</v>
      </c>
      <c r="AF28" s="29" t="str">
        <f aca="false">IFERROR(INDEX('Bank Schedule'!AF:AF, SMALL(IF('Bank Schedule'!$K$2:$K$825="Vacant", ROW('Bank Schedule'!$K$2:$K$825)), ROW(25:25))), "")</f>
        <v/>
      </c>
      <c r="AG28" s="29" t="str">
        <f aca="false">IFERROR(INDEX('Bank Schedule'!AG:AG, SMALL(IF('Bank Schedule'!$K$2:$K$825="Vacant", ROW('Bank Schedule'!$K$2:$K$825)), ROW(25:25))), "")</f>
        <v/>
      </c>
      <c r="AH28" s="29" t="str">
        <f aca="false">IFERROR(INDEX('Bank Schedule'!AH:AH, SMALL(IF('Bank Schedule'!$K$2:$K$825="Vacant", ROW('Bank Schedule'!$K$2:$K$825)), ROW(25:25))), "")</f>
        <v/>
      </c>
      <c r="AI28" s="4"/>
    </row>
    <row r="29" customFormat="false" ht="28.5" hidden="false" customHeight="true" outlineLevel="0" collapsed="false">
      <c r="A29" s="29" t="str">
        <f aca="false">IFERROR(INDEX('Bank Schedule'!A:A, SMALL(IF('Bank Schedule'!$K$2:$K$825="Vacant", ROW('Bank Schedule'!$K$2:$K$825)), ROW(26:26))), "")</f>
        <v/>
      </c>
      <c r="B29" s="29" t="str">
        <f aca="false" t="array" ref="B29:B29">IFERROR(INDEX('Bank Schedule'!B:B, SMALL(IF('Bank Schedule'!$K$2:$K$825="Vacant", ROW('Bank Schedule'!$K$2:$K$825)), ROW(26:26))), "")</f>
        <v>WS</v>
      </c>
      <c r="C29" s="29" t="str">
        <f aca="false" t="array" ref="C29:C29">IFERROR(INDEX('Bank Schedule'!C:C, SMALL(IF('Bank Schedule'!$K$2:$K$825="Vacant", ROW('Bank Schedule'!$K$2:$K$825)), ROW(26:26))), "")</f>
        <v>MEL</v>
      </c>
      <c r="D29" s="29" t="n">
        <f aca="false" t="array" ref="D29:D29">IFERROR(INDEX('Bank Schedule'!D:D, SMALL(IF('Bank Schedule'!$K$2:$K$825="Vacant", ROW('Bank Schedule'!$K$2:$K$825)), ROW(26:26))), "")</f>
        <v>550710</v>
      </c>
      <c r="E29" s="29" t="str">
        <f aca="false" t="array" ref="E29:E29">IFERROR(INDEX('Bank Schedule'!E:E, SMALL(IF('Bank Schedule'!$K$2:$K$825="Vacant", ROW('Bank Schedule'!$K$2:$K$825)), ROW(26:26))), "")</f>
        <v>53 Great Portland Street</v>
      </c>
      <c r="F29" s="29" t="str">
        <f aca="false" t="array" ref="F29:F29">IFERROR(INDEX('Bank Schedule'!F:F, SMALL(IF('Bank Schedule'!$K$2:$K$825="Vacant", ROW('Bank Schedule'!$K$2:$K$825)), ROW(26:26))), "")</f>
        <v>First Floor</v>
      </c>
      <c r="G29" s="29" t="str">
        <f aca="false" t="array" ref="G29:G29">IFERROR(INDEX('Bank Schedule'!G:G, SMALL(IF('Bank Schedule'!$K$2:$K$825="Vacant", ROW('Bank Schedule'!$K$2:$K$825)), ROW(26:26))), "")</f>
        <v>Office</v>
      </c>
      <c r="H29" s="305" t="n">
        <f aca="false" t="array" ref="H29:H29">IFERROR(INDEX('Bank Schedule'!H:H, SMALL(IF('Bank Schedule'!$K$2:$K$825="Vacant", ROW('Bank Schedule'!$K$2:$K$825)), ROW(26:26))), "")</f>
        <v>370</v>
      </c>
      <c r="I29" s="29" t="n">
        <f aca="false" t="array" ref="I29:I29">IFERROR(INDEX('Bank Schedule'!I:I, SMALL(IF('Bank Schedule'!$K$2:$K$825="Vacant", ROW('Bank Schedule'!$K$2:$K$825)), ROW(26:26))), "")</f>
        <v>370</v>
      </c>
      <c r="J29" s="305" t="n">
        <f aca="false" t="array" ref="J29:J29">IFERROR(INDEX('Bank Schedule'!J:J, SMALL(IF('Bank Schedule'!$K$2:$K$825="Vacant", ROW('Bank Schedule'!$K$2:$K$825)), ROW(26:26))), "")</f>
        <v>500</v>
      </c>
      <c r="K29" s="29" t="str">
        <f aca="false" t="array" ref="K29:K29">IFERROR(INDEX('Bank Schedule'!K:K, SMALL(IF('Bank Schedule'!$K$2:$K$825="Vacant", ROW('Bank Schedule'!$K$2:$K$825)), ROW(26:26))), "")</f>
        <v>Vacant</v>
      </c>
      <c r="L29" s="29" t="str">
        <f aca="false">IFERROR(INDEX('Bank Schedule'!L:L, SMALL(IF('Bank Schedule'!$K$2:$K$825="Vacant", ROW('Bank Schedule'!$K$2:$K$825)), ROW(26:26))), "")</f>
        <v/>
      </c>
      <c r="M29" s="29" t="str">
        <f aca="false">IFERROR(INDEX('Bank Schedule'!M:M, SMALL(IF('Bank Schedule'!$K$2:$K$825="Vacant", ROW('Bank Schedule'!$K$2:$K$825)), ROW(26:26))), "")</f>
        <v/>
      </c>
      <c r="N29" s="307" t="n">
        <f aca="false" t="array" ref="N29:N29">IFERROR(INDEX('Bank Schedule'!N:N, SMALL(IF('Bank Schedule'!$K$2:$K$825="Vacant", ROW('Bank Schedule'!$K$2:$K$825)), ROW(26:26))), "")</f>
        <v>43738</v>
      </c>
      <c r="O29" s="29" t="str">
        <f aca="false">IFERROR(INDEX('Bank Schedule'!O:O, SMALL(IF('Bank Schedule'!$K$2:$K$825="Vacant", ROW('Bank Schedule'!$K$2:$K$825)), ROW(26:26))), "")</f>
        <v/>
      </c>
      <c r="P29" s="29" t="str">
        <f aca="false">IFERROR(INDEX('Bank Schedule'!P:P, SMALL(IF('Bank Schedule'!$K$2:$K$825="Vacant", ROW('Bank Schedule'!$K$2:$K$825)), ROW(26:26))), "")</f>
        <v/>
      </c>
      <c r="Q29" s="29" t="n">
        <f aca="false" t="array" ref="Q29:Q29">IFERROR(INDEX('Bank Schedule'!Q:Q, SMALL(IF('Bank Schedule'!$K$2:$K$825="Vacant", ROW('Bank Schedule'!$K$2:$K$825)), ROW(26:26))), "")</f>
        <v>0</v>
      </c>
      <c r="R29" s="29" t="n">
        <f aca="false" t="array" ref="R29:R29">IFERROR(INDEX('Bank Schedule'!R:R, SMALL(IF('Bank Schedule'!$K$2:$K$825="Vacant", ROW('Bank Schedule'!$K$2:$K$825)), ROW(26:26))), "")</f>
        <v>0</v>
      </c>
      <c r="S29" s="29" t="str">
        <f aca="false">IFERROR(INDEX('Bank Schedule'!S:S, SMALL(IF('Bank Schedule'!$K$2:$K$825="Vacant", ROW('Bank Schedule'!$K$2:$K$825)), ROW(26:26))), "")</f>
        <v/>
      </c>
      <c r="T29" s="309" t="n">
        <f aca="false" t="array" ref="T29:T29">IFERROR(INDEX('Bank Schedule'!T:T, SMALL(IF('Bank Schedule'!$K$2:$K$825="Vacant", ROW('Bank Schedule'!$K$2:$K$825)), ROW(26:26))), "")</f>
        <v>18500</v>
      </c>
      <c r="U29" s="309" t="n">
        <f aca="false" t="array" ref="U29:U29">IFERROR(INDEX('Bank Schedule'!U:U, SMALL(IF('Bank Schedule'!$K$2:$K$825="Vacant", ROW('Bank Schedule'!$K$2:$K$825)), ROW(26:26))), "")</f>
        <v>18500</v>
      </c>
      <c r="V29" s="309" t="n">
        <f aca="false" t="array" ref="V29:V29">IFERROR(INDEX('Bank Schedule'!V:V, SMALL(IF('Bank Schedule'!$K$2:$K$825="Vacant", ROW('Bank Schedule'!$K$2:$K$825)), ROW(26:26))), "")</f>
        <v>18500</v>
      </c>
      <c r="W29" s="309" t="n">
        <f aca="false" t="array" ref="W29:W29">IFERROR(INDEX('Bank Schedule'!W:W, SMALL(IF('Bank Schedule'!$K$2:$K$825="Vacant", ROW('Bank Schedule'!$K$2:$K$825)), ROW(26:26))), "")</f>
        <v>18500</v>
      </c>
      <c r="X29" s="309" t="n">
        <f aca="false" t="array" ref="X29:X29">IFERROR(INDEX('Bank Schedule'!X:X, SMALL(IF('Bank Schedule'!$K$2:$K$825="Vacant", ROW('Bank Schedule'!$K$2:$K$825)), ROW(26:26))), "")</f>
        <v>50</v>
      </c>
      <c r="Y29" s="310" t="n">
        <f aca="false" t="array" ref="Y29:Y29">IFERROR(INDEX('Bank Schedule'!Y:Y, SMALL(IF('Bank Schedule'!$K$2:$K$825="Vacant", ROW('Bank Schedule'!$K$2:$K$825)), ROW(26:26))), "")</f>
        <v>0</v>
      </c>
      <c r="Z29" s="29" t="str">
        <f aca="false" t="array" ref="Z29:Z29">IFERROR(INDEX('Bank Schedule'!Z:Z, SMALL(IF('Bank Schedule'!$K$2:$K$825="Vacant", ROW('Bank Schedule'!$K$2:$K$825)), ROW(26:26))), "")</f>
        <v>E</v>
      </c>
      <c r="AA29" s="29" t="str">
        <f aca="false">IFERROR(INDEX('Bank Schedule'!AA:AA, SMALL(IF('Bank Schedule'!$K$2:$K$825="Vacant", ROW('Bank Schedule'!$K$2:$K$825)), ROW(26:26))), "")</f>
        <v/>
      </c>
      <c r="AB29" s="29" t="str">
        <f aca="false">IFERROR(INDEX('Bank Schedule'!AB:AB, SMALL(IF('Bank Schedule'!$K$2:$K$825="Vacant", ROW('Bank Schedule'!$K$2:$K$825)), ROW(26:26))), "")</f>
        <v/>
      </c>
      <c r="AC29" s="29" t="str">
        <f aca="false" t="array" ref="AC29:AC29">IFERROR(INDEX('Bank Schedule'!AC:AC, SMALL(IF('Bank Schedule'!$K$2:$K$825="Vacant", ROW('Bank Schedule'!$K$2:$K$825)), ROW(26:26))), "")</f>
        <v>No</v>
      </c>
      <c r="AD29" s="29" t="str">
        <f aca="false" t="array" ref="AD29:AD29">IFERROR(INDEX('Bank Schedule'!AD:AD, SMALL(IF('Bank Schedule'!$K$2:$K$825="Vacant", ROW('Bank Schedule'!$K$2:$K$825)), ROW(26:26))), "")</f>
        <v>To be refurbished.</v>
      </c>
      <c r="AE29" s="281" t="n">
        <f aca="false" t="array" ref="AE29:AE29">IFERROR(INDEX('Bank Schedule'!AE:AE, SMALL(IF('Bank Schedule'!$K$2:$K$825="Vacant", ROW('Bank Schedule'!$K$2:$K$825)), ROW(26:26))), "")</f>
        <v>52.5</v>
      </c>
      <c r="AF29" s="29" t="n">
        <f aca="false" t="array" ref="AF29:AF29">IFERROR(INDEX('Bank Schedule'!AF:AF, SMALL(IF('Bank Schedule'!$K$2:$K$825="Vacant", ROW('Bank Schedule'!$K$2:$K$825)), ROW(26:26))), "")</f>
        <v>1</v>
      </c>
      <c r="AG29" s="29" t="n">
        <f aca="false" t="array" ref="AG29:AG29">IFERROR(INDEX('Bank Schedule'!AG:AG, SMALL(IF('Bank Schedule'!$K$2:$K$825="Vacant", ROW('Bank Schedule'!$K$2:$K$825)), ROW(26:26))), "")</f>
        <v>3</v>
      </c>
      <c r="AH29" s="29" t="str">
        <f aca="false">IFERROR(INDEX('Bank Schedule'!AH:AH, SMALL(IF('Bank Schedule'!$K$2:$K$825="Vacant", ROW('Bank Schedule'!$K$2:$K$825)), ROW(26:26))), "")</f>
        <v/>
      </c>
      <c r="AI29" s="4"/>
    </row>
    <row r="30" customFormat="false" ht="28.5" hidden="false" customHeight="true" outlineLevel="0" collapsed="false">
      <c r="A30" s="29" t="str">
        <f aca="false">IFERROR(INDEX('Bank Schedule'!A:A, SMALL(IF('Bank Schedule'!$K$2:$K$825="Vacant", ROW('Bank Schedule'!$K$2:$K$825)), ROW(27:27))), "")</f>
        <v/>
      </c>
      <c r="B30" s="29" t="str">
        <f aca="false" t="array" ref="B30:B30">IFERROR(INDEX('Bank Schedule'!B:B, SMALL(IF('Bank Schedule'!$K$2:$K$825="Vacant", ROW('Bank Schedule'!$K$2:$K$825)), ROW(27:27))), "")</f>
        <v>WS</v>
      </c>
      <c r="C30" s="29" t="str">
        <f aca="false" t="array" ref="C30:C30">IFERROR(INDEX('Bank Schedule'!C:C, SMALL(IF('Bank Schedule'!$K$2:$K$825="Vacant", ROW('Bank Schedule'!$K$2:$K$825)), ROW(27:27))), "")</f>
        <v>MEL</v>
      </c>
      <c r="D30" s="29" t="n">
        <f aca="false" t="array" ref="D30:D30">IFERROR(INDEX('Bank Schedule'!D:D, SMALL(IF('Bank Schedule'!$K$2:$K$825="Vacant", ROW('Bank Schedule'!$K$2:$K$825)), ROW(27:27))), "")</f>
        <v>550710</v>
      </c>
      <c r="E30" s="29" t="str">
        <f aca="false" t="array" ref="E30:E30">IFERROR(INDEX('Bank Schedule'!E:E, SMALL(IF('Bank Schedule'!$K$2:$K$825="Vacant", ROW('Bank Schedule'!$K$2:$K$825)), ROW(27:27))), "")</f>
        <v>53 Great Portland Street</v>
      </c>
      <c r="F30" s="29" t="str">
        <f aca="false" t="array" ref="F30:F30">IFERROR(INDEX('Bank Schedule'!F:F, SMALL(IF('Bank Schedule'!$K$2:$K$825="Vacant", ROW('Bank Schedule'!$K$2:$K$825)), ROW(27:27))), "")</f>
        <v>Second Floor</v>
      </c>
      <c r="G30" s="29" t="str">
        <f aca="false" t="array" ref="G30:G30">IFERROR(INDEX('Bank Schedule'!G:G, SMALL(IF('Bank Schedule'!$K$2:$K$825="Vacant", ROW('Bank Schedule'!$K$2:$K$825)), ROW(27:27))), "")</f>
        <v>Office</v>
      </c>
      <c r="H30" s="305" t="n">
        <f aca="false" t="array" ref="H30:H30">IFERROR(INDEX('Bank Schedule'!H:H, SMALL(IF('Bank Schedule'!$K$2:$K$825="Vacant", ROW('Bank Schedule'!$K$2:$K$825)), ROW(27:27))), "")</f>
        <v>325</v>
      </c>
      <c r="I30" s="29" t="n">
        <f aca="false" t="array" ref="I30:I30">IFERROR(INDEX('Bank Schedule'!I:I, SMALL(IF('Bank Schedule'!$K$2:$K$825="Vacant", ROW('Bank Schedule'!$K$2:$K$825)), ROW(27:27))), "")</f>
        <v>325</v>
      </c>
      <c r="J30" s="305" t="n">
        <f aca="false" t="array" ref="J30:J30">IFERROR(INDEX('Bank Schedule'!J:J, SMALL(IF('Bank Schedule'!$K$2:$K$825="Vacant", ROW('Bank Schedule'!$K$2:$K$825)), ROW(27:27))), "")</f>
        <v>500</v>
      </c>
      <c r="K30" s="29" t="str">
        <f aca="false" t="array" ref="K30:K30">IFERROR(INDEX('Bank Schedule'!K:K, SMALL(IF('Bank Schedule'!$K$2:$K$825="Vacant", ROW('Bank Schedule'!$K$2:$K$825)), ROW(27:27))), "")</f>
        <v>Vacant</v>
      </c>
      <c r="L30" s="29" t="str">
        <f aca="false">IFERROR(INDEX('Bank Schedule'!L:L, SMALL(IF('Bank Schedule'!$K$2:$K$825="Vacant", ROW('Bank Schedule'!$K$2:$K$825)), ROW(27:27))), "")</f>
        <v/>
      </c>
      <c r="M30" s="29" t="str">
        <f aca="false">IFERROR(INDEX('Bank Schedule'!M:M, SMALL(IF('Bank Schedule'!$K$2:$K$825="Vacant", ROW('Bank Schedule'!$K$2:$K$825)), ROW(27:27))), "")</f>
        <v/>
      </c>
      <c r="N30" s="307" t="n">
        <f aca="false" t="array" ref="N30:N30">IFERROR(INDEX('Bank Schedule'!N:N, SMALL(IF('Bank Schedule'!$K$2:$K$825="Vacant", ROW('Bank Schedule'!$K$2:$K$825)), ROW(27:27))), "")</f>
        <v>45379</v>
      </c>
      <c r="O30" s="29" t="str">
        <f aca="false">IFERROR(INDEX('Bank Schedule'!O:O, SMALL(IF('Bank Schedule'!$K$2:$K$825="Vacant", ROW('Bank Schedule'!$K$2:$K$825)), ROW(27:27))), "")</f>
        <v/>
      </c>
      <c r="P30" s="29" t="str">
        <f aca="false">IFERROR(INDEX('Bank Schedule'!P:P, SMALL(IF('Bank Schedule'!$K$2:$K$825="Vacant", ROW('Bank Schedule'!$K$2:$K$825)), ROW(27:27))), "")</f>
        <v/>
      </c>
      <c r="Q30" s="29" t="n">
        <f aca="false" t="array" ref="Q30:Q30">IFERROR(INDEX('Bank Schedule'!Q:Q, SMALL(IF('Bank Schedule'!$K$2:$K$825="Vacant", ROW('Bank Schedule'!$K$2:$K$825)), ROW(27:27))), "")</f>
        <v>0</v>
      </c>
      <c r="R30" s="29" t="n">
        <f aca="false" t="array" ref="R30:R30">IFERROR(INDEX('Bank Schedule'!R:R, SMALL(IF('Bank Schedule'!$K$2:$K$825="Vacant", ROW('Bank Schedule'!$K$2:$K$825)), ROW(27:27))), "")</f>
        <v>0</v>
      </c>
      <c r="S30" s="29" t="str">
        <f aca="false">IFERROR(INDEX('Bank Schedule'!S:S, SMALL(IF('Bank Schedule'!$K$2:$K$825="Vacant", ROW('Bank Schedule'!$K$2:$K$825)), ROW(27:27))), "")</f>
        <v/>
      </c>
      <c r="T30" s="309" t="n">
        <f aca="false" t="array" ref="T30:T30">IFERROR(INDEX('Bank Schedule'!T:T, SMALL(IF('Bank Schedule'!$K$2:$K$825="Vacant", ROW('Bank Schedule'!$K$2:$K$825)), ROW(27:27))), "")</f>
        <v>17000</v>
      </c>
      <c r="U30" s="309" t="n">
        <f aca="false" t="array" ref="U30:U30">IFERROR(INDEX('Bank Schedule'!U:U, SMALL(IF('Bank Schedule'!$K$2:$K$825="Vacant", ROW('Bank Schedule'!$K$2:$K$825)), ROW(27:27))), "")</f>
        <v>17000</v>
      </c>
      <c r="V30" s="309" t="n">
        <f aca="false" t="array" ref="V30:V30">IFERROR(INDEX('Bank Schedule'!V:V, SMALL(IF('Bank Schedule'!$K$2:$K$825="Vacant", ROW('Bank Schedule'!$K$2:$K$825)), ROW(27:27))), "")</f>
        <v>17062</v>
      </c>
      <c r="W30" s="309" t="n">
        <f aca="false" t="array" ref="W30:W30">IFERROR(INDEX('Bank Schedule'!W:W, SMALL(IF('Bank Schedule'!$K$2:$K$825="Vacant", ROW('Bank Schedule'!$K$2:$K$825)), ROW(27:27))), "")</f>
        <v>17062</v>
      </c>
      <c r="X30" s="309" t="n">
        <f aca="false" t="array" ref="X30:X30">IFERROR(INDEX('Bank Schedule'!X:X, SMALL(IF('Bank Schedule'!$K$2:$K$825="Vacant", ROW('Bank Schedule'!$K$2:$K$825)), ROW(27:27))), "")</f>
        <v>52.4984615384615</v>
      </c>
      <c r="Y30" s="310" t="n">
        <f aca="false" t="array" ref="Y30:Y30">IFERROR(INDEX('Bank Schedule'!Y:Y, SMALL(IF('Bank Schedule'!$K$2:$K$825="Vacant", ROW('Bank Schedule'!$K$2:$K$825)), ROW(27:27))), "")</f>
        <v>0.00364705882352941</v>
      </c>
      <c r="Z30" s="29" t="str">
        <f aca="false" t="array" ref="Z30:Z30">IFERROR(INDEX('Bank Schedule'!Z:Z, SMALL(IF('Bank Schedule'!$K$2:$K$825="Vacant", ROW('Bank Schedule'!$K$2:$K$825)), ROW(27:27))), "")</f>
        <v>E</v>
      </c>
      <c r="AA30" s="29" t="str">
        <f aca="false">IFERROR(INDEX('Bank Schedule'!AA:AA, SMALL(IF('Bank Schedule'!$K$2:$K$825="Vacant", ROW('Bank Schedule'!$K$2:$K$825)), ROW(27:27))), "")</f>
        <v/>
      </c>
      <c r="AB30" s="29" t="str">
        <f aca="false">IFERROR(INDEX('Bank Schedule'!AB:AB, SMALL(IF('Bank Schedule'!$K$2:$K$825="Vacant", ROW('Bank Schedule'!$K$2:$K$825)), ROW(27:27))), "")</f>
        <v/>
      </c>
      <c r="AC30" s="29" t="str">
        <f aca="false" t="array" ref="AC30:AC30">IFERROR(INDEX('Bank Schedule'!AC:AC, SMALL(IF('Bank Schedule'!$K$2:$K$825="Vacant", ROW('Bank Schedule'!$K$2:$K$825)), ROW(27:27))), "")</f>
        <v>No</v>
      </c>
      <c r="AD30" s="29" t="str">
        <f aca="false" t="array" ref="AD30:AD30">IFERROR(INDEX('Bank Schedule'!AD:AD, SMALL(IF('Bank Schedule'!$K$2:$K$825="Vacant", ROW('Bank Schedule'!$K$2:$K$825)), ROW(27:27))), "")</f>
        <v>To be refurbished.</v>
      </c>
      <c r="AE30" s="281" t="n">
        <f aca="false" t="array" ref="AE30:AE30">IFERROR(INDEX('Bank Schedule'!AE:AE, SMALL(IF('Bank Schedule'!$K$2:$K$825="Vacant", ROW('Bank Schedule'!$K$2:$K$825)), ROW(27:27))), "")</f>
        <v>53</v>
      </c>
      <c r="AF30" s="29" t="str">
        <f aca="false">IFERROR(INDEX('Bank Schedule'!AF:AF, SMALL(IF('Bank Schedule'!$K$2:$K$825="Vacant", ROW('Bank Schedule'!$K$2:$K$825)), ROW(27:27))), "")</f>
        <v/>
      </c>
      <c r="AG30" s="29" t="str">
        <f aca="false">IFERROR(INDEX('Bank Schedule'!AG:AG, SMALL(IF('Bank Schedule'!$K$2:$K$825="Vacant", ROW('Bank Schedule'!$K$2:$K$825)), ROW(27:27))), "")</f>
        <v/>
      </c>
      <c r="AH30" s="29" t="str">
        <f aca="false">IFERROR(INDEX('Bank Schedule'!AH:AH, SMALL(IF('Bank Schedule'!$K$2:$K$825="Vacant", ROW('Bank Schedule'!$K$2:$K$825)), ROW(27:27))), "")</f>
        <v/>
      </c>
      <c r="AI30" s="4"/>
    </row>
    <row r="31" customFormat="false" ht="28.5" hidden="false" customHeight="true" outlineLevel="0" collapsed="false">
      <c r="A31" s="29" t="n">
        <f aca="false">IFERROR(INDEX('Bank Schedule'!A:A, SMALL(IF('Bank Schedule'!$K$2:$K$825="Vacant", ROW('Bank Schedule'!$K$2:$K$825)), ROW(28:28))), "")</f>
        <v>0</v>
      </c>
      <c r="B31" s="29" t="str">
        <f aca="false" t="array" ref="B31:B31">IFERROR(INDEX('Bank Schedule'!B:B, SMALL(IF('Bank Schedule'!$K$2:$K$825="Vacant", ROW('Bank Schedule'!$K$2:$K$825)), ROW(28:28))), "")</f>
        <v>WS</v>
      </c>
      <c r="C31" s="29" t="str">
        <f aca="false" t="array" ref="C31:C31">IFERROR(INDEX('Bank Schedule'!C:C, SMALL(IF('Bank Schedule'!$K$2:$K$825="Vacant", ROW('Bank Schedule'!$K$2:$K$825)), ROW(28:28))), "")</f>
        <v>MEL</v>
      </c>
      <c r="D31" s="29" t="n">
        <f aca="false" t="array" ref="D31:D31">IFERROR(INDEX('Bank Schedule'!D:D, SMALL(IF('Bank Schedule'!$K$2:$K$825="Vacant", ROW('Bank Schedule'!$K$2:$K$825)), ROW(28:28))), "")</f>
        <v>550710</v>
      </c>
      <c r="E31" s="29" t="str">
        <f aca="false" t="array" ref="E31:E31">IFERROR(INDEX('Bank Schedule'!E:E, SMALL(IF('Bank Schedule'!$K$2:$K$825="Vacant", ROW('Bank Schedule'!$K$2:$K$825)), ROW(28:28))), "")</f>
        <v>53 Great Portland Street</v>
      </c>
      <c r="F31" s="29" t="str">
        <f aca="false" t="array" ref="F31:F31">IFERROR(INDEX('Bank Schedule'!F:F, SMALL(IF('Bank Schedule'!$K$2:$K$825="Vacant", ROW('Bank Schedule'!$K$2:$K$825)), ROW(28:28))), "")</f>
        <v>Third Floor</v>
      </c>
      <c r="G31" s="29" t="str">
        <f aca="false" t="array" ref="G31:G31">IFERROR(INDEX('Bank Schedule'!G:G, SMALL(IF('Bank Schedule'!$K$2:$K$825="Vacant", ROW('Bank Schedule'!$K$2:$K$825)), ROW(28:28))), "")</f>
        <v>Office</v>
      </c>
      <c r="H31" s="305" t="n">
        <f aca="false" t="array" ref="H31:H31">IFERROR(INDEX('Bank Schedule'!H:H, SMALL(IF('Bank Schedule'!$K$2:$K$825="Vacant", ROW('Bank Schedule'!$K$2:$K$825)), ROW(28:28))), "")</f>
        <v>321</v>
      </c>
      <c r="I31" s="29" t="n">
        <f aca="false" t="array" ref="I31:I31">IFERROR(INDEX('Bank Schedule'!I:I, SMALL(IF('Bank Schedule'!$K$2:$K$825="Vacant", ROW('Bank Schedule'!$K$2:$K$825)), ROW(28:28))), "")</f>
        <v>321</v>
      </c>
      <c r="J31" s="305" t="n">
        <f aca="false" t="array" ref="J31:J31">IFERROR(INDEX('Bank Schedule'!J:J, SMALL(IF('Bank Schedule'!$K$2:$K$825="Vacant", ROW('Bank Schedule'!$K$2:$K$825)), ROW(28:28))), "")</f>
        <v>500</v>
      </c>
      <c r="K31" s="29" t="str">
        <f aca="false" t="array" ref="K31:K31">IFERROR(INDEX('Bank Schedule'!K:K, SMALL(IF('Bank Schedule'!$K$2:$K$825="Vacant", ROW('Bank Schedule'!$K$2:$K$825)), ROW(28:28))), "")</f>
        <v>Vacant</v>
      </c>
      <c r="L31" s="306" t="n">
        <f aca="false">IFERROR(INDEX('Bank Schedule'!L:L, SMALL(IF('Bank Schedule'!$K$2:$K$825="Vacant", ROW('Bank Schedule'!$K$2:$K$825)), ROW(28:28))), "")</f>
        <v>45649</v>
      </c>
      <c r="M31" s="306" t="n">
        <f aca="false">IFERROR(INDEX('Bank Schedule'!M:M, SMALL(IF('Bank Schedule'!$K$2:$K$825="Vacant", ROW('Bank Schedule'!$K$2:$K$825)), ROW(28:28))), "")</f>
        <v>46743</v>
      </c>
      <c r="N31" s="307" t="n">
        <f aca="false" t="array" ref="N31:N31">IFERROR(INDEX('Bank Schedule'!N:N, SMALL(IF('Bank Schedule'!$K$2:$K$825="Vacant", ROW('Bank Schedule'!$K$2:$K$825)), ROW(28:28))), "")</f>
        <v>45170</v>
      </c>
      <c r="O31" s="306" t="n">
        <f aca="false">IFERROR(INDEX('Bank Schedule'!O:O, SMALL(IF('Bank Schedule'!$K$2:$K$825="Vacant", ROW('Bank Schedule'!$K$2:$K$825)), ROW(28:28))), "")</f>
        <v>0</v>
      </c>
      <c r="P31" s="306" t="n">
        <f aca="false">IFERROR(INDEX('Bank Schedule'!P:P, SMALL(IF('Bank Schedule'!$K$2:$K$825="Vacant", ROW('Bank Schedule'!$K$2:$K$825)), ROW(28:28))), "")</f>
        <v>46013</v>
      </c>
      <c r="Q31" s="29" t="n">
        <f aca="false" t="array" ref="Q31:Q31">IFERROR(INDEX('Bank Schedule'!Q:Q, SMALL(IF('Bank Schedule'!$K$2:$K$825="Vacant", ROW('Bank Schedule'!$K$2:$K$825)), ROW(28:28))), "")</f>
        <v>0</v>
      </c>
      <c r="R31" s="29" t="n">
        <f aca="false" t="array" ref="R31:R31">IFERROR(INDEX('Bank Schedule'!R:R, SMALL(IF('Bank Schedule'!$K$2:$K$825="Vacant", ROW('Bank Schedule'!$K$2:$K$825)), ROW(28:28))), "")</f>
        <v>0</v>
      </c>
      <c r="S31" s="308" t="n">
        <f aca="false">IFERROR(INDEX('Bank Schedule'!S:S, SMALL(IF('Bank Schedule'!$K$2:$K$825="Vacant", ROW('Bank Schedule'!$K$2:$K$825)), ROW(28:28))), "")</f>
        <v>0</v>
      </c>
      <c r="T31" s="309" t="n">
        <f aca="false" t="array" ref="T31:T31">IFERROR(INDEX('Bank Schedule'!T:T, SMALL(IF('Bank Schedule'!$K$2:$K$825="Vacant", ROW('Bank Schedule'!$K$2:$K$825)), ROW(28:28))), "")</f>
        <v>17000</v>
      </c>
      <c r="U31" s="309" t="n">
        <f aca="false" t="array" ref="U31:U31">IFERROR(INDEX('Bank Schedule'!U:U, SMALL(IF('Bank Schedule'!$K$2:$K$825="Vacant", ROW('Bank Schedule'!$K$2:$K$825)), ROW(28:28))), "")</f>
        <v>17000</v>
      </c>
      <c r="V31" s="309" t="n">
        <f aca="false" t="array" ref="V31:V31">IFERROR(INDEX('Bank Schedule'!V:V, SMALL(IF('Bank Schedule'!$K$2:$K$825="Vacant", ROW('Bank Schedule'!$K$2:$K$825)), ROW(28:28))), "")</f>
        <v>16852</v>
      </c>
      <c r="W31" s="309" t="n">
        <f aca="false" t="array" ref="W31:W31">IFERROR(INDEX('Bank Schedule'!W:W, SMALL(IF('Bank Schedule'!$K$2:$K$825="Vacant", ROW('Bank Schedule'!$K$2:$K$825)), ROW(28:28))), "")</f>
        <v>16852</v>
      </c>
      <c r="X31" s="309" t="n">
        <f aca="false" t="array" ref="X31:X31">IFERROR(INDEX('Bank Schedule'!X:X, SMALL(IF('Bank Schedule'!$K$2:$K$825="Vacant", ROW('Bank Schedule'!$K$2:$K$825)), ROW(28:28))), "")</f>
        <v>52.4984423676012</v>
      </c>
      <c r="Y31" s="310" t="n">
        <f aca="false" t="array" ref="Y31:Y31">IFERROR(INDEX('Bank Schedule'!Y:Y, SMALL(IF('Bank Schedule'!$K$2:$K$825="Vacant", ROW('Bank Schedule'!$K$2:$K$825)), ROW(28:28))), "")</f>
        <v>-0.00870588235294118</v>
      </c>
      <c r="Z31" s="29" t="str">
        <f aca="false" t="array" ref="Z31:Z31">IFERROR(INDEX('Bank Schedule'!Z:Z, SMALL(IF('Bank Schedule'!$K$2:$K$825="Vacant", ROW('Bank Schedule'!$K$2:$K$825)), ROW(28:28))), "")</f>
        <v>E</v>
      </c>
      <c r="AA31" s="308" t="n">
        <f aca="false">IFERROR(INDEX('Bank Schedule'!AA:AA, SMALL(IF('Bank Schedule'!$K$2:$K$825="Vacant", ROW('Bank Schedule'!$K$2:$K$825)), ROW(28:28))), "")</f>
        <v>0</v>
      </c>
      <c r="AB31" s="311" t="n">
        <f aca="false">IFERROR(INDEX('Bank Schedule'!AB:AB, SMALL(IF('Bank Schedule'!$K$2:$K$825="Vacant", ROW('Bank Schedule'!$K$2:$K$825)), ROW(28:28))), "")</f>
        <v>0</v>
      </c>
      <c r="AC31" s="29" t="str">
        <f aca="false" t="array" ref="AC31:AC31">IFERROR(INDEX('Bank Schedule'!AC:AC, SMALL(IF('Bank Schedule'!$K$2:$K$825="Vacant", ROW('Bank Schedule'!$K$2:$K$825)), ROW(28:28))), "")</f>
        <v>No</v>
      </c>
      <c r="AD31" s="29" t="str">
        <f aca="false" t="array" ref="AD31:AD31">IFERROR(INDEX('Bank Schedule'!AD:AD, SMALL(IF('Bank Schedule'!$K$2:$K$825="Vacant", ROW('Bank Schedule'!$K$2:$K$825)), ROW(28:28))), "")</f>
        <v>To be refurbished.</v>
      </c>
      <c r="AE31" s="281" t="n">
        <f aca="false" t="array" ref="AE31:AE31">IFERROR(INDEX('Bank Schedule'!AE:AE, SMALL(IF('Bank Schedule'!$K$2:$K$825="Vacant", ROW('Bank Schedule'!$K$2:$K$825)), ROW(28:28))), "")</f>
        <v>53</v>
      </c>
      <c r="AF31" s="29" t="n">
        <f aca="false" t="array" ref="AF31:AF31">IFERROR(INDEX('Bank Schedule'!AF:AF, SMALL(IF('Bank Schedule'!$K$2:$K$825="Vacant", ROW('Bank Schedule'!$K$2:$K$825)), ROW(28:28))), "")</f>
        <v>2</v>
      </c>
      <c r="AG31" s="29" t="n">
        <f aca="false" t="array" ref="AG31:AG31">IFERROR(INDEX('Bank Schedule'!AG:AG, SMALL(IF('Bank Schedule'!$K$2:$K$825="Vacant", ROW('Bank Schedule'!$K$2:$K$825)), ROW(28:28))), "")</f>
        <v>2</v>
      </c>
      <c r="AH31" s="29" t="n">
        <f aca="false">IFERROR(INDEX('Bank Schedule'!AH:AH, SMALL(IF('Bank Schedule'!$K$2:$K$825="Vacant", ROW('Bank Schedule'!$K$2:$K$825)), ROW(28:28))), "")</f>
        <v>0</v>
      </c>
      <c r="AI31" s="4"/>
    </row>
    <row r="32" customFormat="false" ht="28.5" hidden="false" customHeight="true" outlineLevel="0" collapsed="false">
      <c r="A32" s="29" t="str">
        <f aca="false">IFERROR(INDEX('Bank Schedule'!A:A, SMALL(IF('Bank Schedule'!$K$2:$K$825="Vacant", ROW('Bank Schedule'!$K$2:$K$825)), ROW(29:29))), "")</f>
        <v/>
      </c>
      <c r="B32" s="29" t="str">
        <f aca="false" t="array" ref="B32:B32">IFERROR(INDEX('Bank Schedule'!B:B, SMALL(IF('Bank Schedule'!$K$2:$K$825="Vacant", ROW('Bank Schedule'!$K$2:$K$825)), ROW(29:29))), "")</f>
        <v>CM</v>
      </c>
      <c r="C32" s="29" t="str">
        <f aca="false" t="array" ref="C32:C32">IFERROR(INDEX('Bank Schedule'!C:C, SMALL(IF('Bank Schedule'!$K$2:$K$825="Vacant", ROW('Bank Schedule'!$K$2:$K$825)), ROW(29:29))), "")</f>
        <v>MEL</v>
      </c>
      <c r="D32" s="29" t="n">
        <f aca="false" t="array" ref="D32:D32">IFERROR(INDEX('Bank Schedule'!D:D, SMALL(IF('Bank Schedule'!$K$2:$K$825="Vacant", ROW('Bank Schedule'!$K$2:$K$825)), ROW(29:29))), "")</f>
        <v>550090</v>
      </c>
      <c r="E32" s="29" t="str">
        <f aca="false" t="array" ref="E32:E32">IFERROR(INDEX('Bank Schedule'!E:E, SMALL(IF('Bank Schedule'!$K$2:$K$825="Vacant", ROW('Bank Schedule'!$K$2:$K$825)), ROW(29:29))), "")</f>
        <v>76 Great Portland Street</v>
      </c>
      <c r="F32" s="29" t="str">
        <f aca="false" t="array" ref="F32:F32">IFERROR(INDEX('Bank Schedule'!F:F, SMALL(IF('Bank Schedule'!$K$2:$K$825="Vacant", ROW('Bank Schedule'!$K$2:$K$825)), ROW(29:29))), "")</f>
        <v>First to Fourth Floor</v>
      </c>
      <c r="G32" s="29" t="str">
        <f aca="false" t="array" ref="G32:G32">IFERROR(INDEX('Bank Schedule'!G:G, SMALL(IF('Bank Schedule'!$K$2:$K$825="Vacant", ROW('Bank Schedule'!$K$2:$K$825)), ROW(29:29))), "")</f>
        <v>Office</v>
      </c>
      <c r="H32" s="305" t="n">
        <f aca="false" t="array" ref="H32:H32">IFERROR(INDEX('Bank Schedule'!H:H, SMALL(IF('Bank Schedule'!$K$2:$K$825="Vacant", ROW('Bank Schedule'!$K$2:$K$825)), ROW(29:29))), "")</f>
        <v>1765</v>
      </c>
      <c r="I32" s="29" t="n">
        <f aca="false" t="array" ref="I32:I32">IFERROR(INDEX('Bank Schedule'!I:I, SMALL(IF('Bank Schedule'!$K$2:$K$825="Vacant", ROW('Bank Schedule'!$K$2:$K$825)), ROW(29:29))), "")</f>
        <v>1765</v>
      </c>
      <c r="J32" s="305" t="n">
        <f aca="false" t="array" ref="J32:J32">IFERROR(INDEX('Bank Schedule'!J:J, SMALL(IF('Bank Schedule'!$K$2:$K$825="Vacant", ROW('Bank Schedule'!$K$2:$K$825)), ROW(29:29))), "")</f>
        <v>1750</v>
      </c>
      <c r="K32" s="29" t="str">
        <f aca="false" t="array" ref="K32:K32">IFERROR(INDEX('Bank Schedule'!K:K, SMALL(IF('Bank Schedule'!$K$2:$K$825="Vacant", ROW('Bank Schedule'!$K$2:$K$825)), ROW(29:29))), "")</f>
        <v>Vacant</v>
      </c>
      <c r="L32" s="29" t="str">
        <f aca="false">IFERROR(INDEX('Bank Schedule'!L:L, SMALL(IF('Bank Schedule'!$K$2:$K$825="Vacant", ROW('Bank Schedule'!$K$2:$K$825)), ROW(29:29))), "")</f>
        <v/>
      </c>
      <c r="M32" s="29" t="str">
        <f aca="false">IFERROR(INDEX('Bank Schedule'!M:M, SMALL(IF('Bank Schedule'!$K$2:$K$825="Vacant", ROW('Bank Schedule'!$K$2:$K$825)), ROW(29:29))), "")</f>
        <v/>
      </c>
      <c r="N32" s="307" t="n">
        <f aca="false" t="array" ref="N32:N32">IFERROR(INDEX('Bank Schedule'!N:N, SMALL(IF('Bank Schedule'!$K$2:$K$825="Vacant", ROW('Bank Schedule'!$K$2:$K$825)), ROW(29:29))), "")</f>
        <v>43256</v>
      </c>
      <c r="O32" s="29" t="str">
        <f aca="false">IFERROR(INDEX('Bank Schedule'!O:O, SMALL(IF('Bank Schedule'!$K$2:$K$825="Vacant", ROW('Bank Schedule'!$K$2:$K$825)), ROW(29:29))), "")</f>
        <v/>
      </c>
      <c r="P32" s="29" t="str">
        <f aca="false">IFERROR(INDEX('Bank Schedule'!P:P, SMALL(IF('Bank Schedule'!$K$2:$K$825="Vacant", ROW('Bank Schedule'!$K$2:$K$825)), ROW(29:29))), "")</f>
        <v/>
      </c>
      <c r="Q32" s="29" t="n">
        <f aca="false" t="array" ref="Q32:Q32">IFERROR(INDEX('Bank Schedule'!Q:Q, SMALL(IF('Bank Schedule'!$K$2:$K$825="Vacant", ROW('Bank Schedule'!$K$2:$K$825)), ROW(29:29))), "")</f>
        <v>0</v>
      </c>
      <c r="R32" s="29" t="n">
        <f aca="false" t="array" ref="R32:R32">IFERROR(INDEX('Bank Schedule'!R:R, SMALL(IF('Bank Schedule'!$K$2:$K$825="Vacant", ROW('Bank Schedule'!$K$2:$K$825)), ROW(29:29))), "")</f>
        <v>0</v>
      </c>
      <c r="S32" s="29" t="str">
        <f aca="false">IFERROR(INDEX('Bank Schedule'!S:S, SMALL(IF('Bank Schedule'!$K$2:$K$825="Vacant", ROW('Bank Schedule'!$K$2:$K$825)), ROW(29:29))), "")</f>
        <v/>
      </c>
      <c r="T32" s="309" t="n">
        <f aca="false" t="array" ref="T32:T32">IFERROR(INDEX('Bank Schedule'!T:T, SMALL(IF('Bank Schedule'!$K$2:$K$825="Vacant", ROW('Bank Schedule'!$K$2:$K$825)), ROW(29:29))), "")</f>
        <v>90000</v>
      </c>
      <c r="U32" s="309" t="n">
        <f aca="false" t="array" ref="U32:U32">IFERROR(INDEX('Bank Schedule'!U:U, SMALL(IF('Bank Schedule'!$K$2:$K$825="Vacant", ROW('Bank Schedule'!$K$2:$K$825)), ROW(29:29))), "")</f>
        <v>90000</v>
      </c>
      <c r="V32" s="309" t="n">
        <f aca="false" t="array" ref="V32:V32">IFERROR(INDEX('Bank Schedule'!V:V, SMALL(IF('Bank Schedule'!$K$2:$K$825="Vacant", ROW('Bank Schedule'!$K$2:$K$825)), ROW(29:29))), "")</f>
        <v>85000</v>
      </c>
      <c r="W32" s="309" t="n">
        <f aca="false" t="array" ref="W32:W32">IFERROR(INDEX('Bank Schedule'!W:W, SMALL(IF('Bank Schedule'!$K$2:$K$825="Vacant", ROW('Bank Schedule'!$K$2:$K$825)), ROW(29:29))), "")</f>
        <v>85000</v>
      </c>
      <c r="X32" s="309" t="n">
        <f aca="false" t="array" ref="X32:X32">IFERROR(INDEX('Bank Schedule'!X:X, SMALL(IF('Bank Schedule'!$K$2:$K$825="Vacant", ROW('Bank Schedule'!$K$2:$K$825)), ROW(29:29))), "")</f>
        <v>48.1586402266289</v>
      </c>
      <c r="Y32" s="310" t="n">
        <f aca="false" t="array" ref="Y32:Y32">IFERROR(INDEX('Bank Schedule'!Y:Y, SMALL(IF('Bank Schedule'!$K$2:$K$825="Vacant", ROW('Bank Schedule'!$K$2:$K$825)), ROW(29:29))), "")</f>
        <v>-0.0555555555555556</v>
      </c>
      <c r="Z32" s="29" t="str">
        <f aca="false" t="array" ref="Z32:Z32">IFERROR(INDEX('Bank Schedule'!Z:Z, SMALL(IF('Bank Schedule'!$K$2:$K$825="Vacant", ROW('Bank Schedule'!$K$2:$K$825)), ROW(29:29))), "")</f>
        <v>E</v>
      </c>
      <c r="AA32" s="29" t="str">
        <f aca="false">IFERROR(INDEX('Bank Schedule'!AA:AA, SMALL(IF('Bank Schedule'!$K$2:$K$825="Vacant", ROW('Bank Schedule'!$K$2:$K$825)), ROW(29:29))), "")</f>
        <v/>
      </c>
      <c r="AB32" s="29" t="str">
        <f aca="false">IFERROR(INDEX('Bank Schedule'!AB:AB, SMALL(IF('Bank Schedule'!$K$2:$K$825="Vacant", ROW('Bank Schedule'!$K$2:$K$825)), ROW(29:29))), "")</f>
        <v/>
      </c>
      <c r="AC32" s="29" t="str">
        <f aca="false" t="array" ref="AC32:AC32">IFERROR(INDEX('Bank Schedule'!AC:AC, SMALL(IF('Bank Schedule'!$K$2:$K$825="Vacant", ROW('Bank Schedule'!$K$2:$K$825)), ROW(29:29))), "")</f>
        <v>No</v>
      </c>
      <c r="AD32" s="29" t="str">
        <f aca="false" t="array" ref="AD32:AD32">IFERROR(INDEX('Bank Schedule'!AD:AD, SMALL(IF('Bank Schedule'!$K$2:$K$825="Vacant", ROW('Bank Schedule'!$K$2:$K$825)), ROW(29:29))), "")</f>
        <v>Mothballed.</v>
      </c>
      <c r="AE32" s="281" t="str">
        <f aca="false">IFERROR(INDEX('Bank Schedule'!AE:AE, SMALL(IF('Bank Schedule'!$K$2:$K$825="Vacant", ROW('Bank Schedule'!$K$2:$K$825)), ROW(29:29))), "")</f>
        <v/>
      </c>
      <c r="AF32" s="29" t="str">
        <f aca="false">IFERROR(INDEX('Bank Schedule'!AF:AF, SMALL(IF('Bank Schedule'!$K$2:$K$825="Vacant", ROW('Bank Schedule'!$K$2:$K$825)), ROW(29:29))), "")</f>
        <v/>
      </c>
      <c r="AG32" s="29" t="str">
        <f aca="false">IFERROR(INDEX('Bank Schedule'!AG:AG, SMALL(IF('Bank Schedule'!$K$2:$K$825="Vacant", ROW('Bank Schedule'!$K$2:$K$825)), ROW(29:29))), "")</f>
        <v/>
      </c>
      <c r="AH32" s="29" t="str">
        <f aca="false">IFERROR(INDEX('Bank Schedule'!AH:AH, SMALL(IF('Bank Schedule'!$K$2:$K$825="Vacant", ROW('Bank Schedule'!$K$2:$K$825)), ROW(29:29))), "")</f>
        <v/>
      </c>
      <c r="AI32" s="4"/>
    </row>
    <row r="33" customFormat="false" ht="28.5" hidden="false" customHeight="true" outlineLevel="0" collapsed="false">
      <c r="A33" s="29" t="str">
        <f aca="false">IFERROR(INDEX('Bank Schedule'!A:A, SMALL(IF('Bank Schedule'!$K$2:$K$825="Vacant", ROW('Bank Schedule'!$K$2:$K$825)), ROW(30:30))), "")</f>
        <v/>
      </c>
      <c r="B33" s="29" t="str">
        <f aca="false" t="array" ref="B33:B33">IFERROR(INDEX('Bank Schedule'!B:B, SMALL(IF('Bank Schedule'!$K$2:$K$825="Vacant", ROW('Bank Schedule'!$K$2:$K$825)), ROW(30:30))), "")</f>
        <v>WS</v>
      </c>
      <c r="C33" s="29" t="str">
        <f aca="false" t="array" ref="C33:C33">IFERROR(INDEX('Bank Schedule'!C:C, SMALL(IF('Bank Schedule'!$K$2:$K$825="Vacant", ROW('Bank Schedule'!$K$2:$K$825)), ROW(30:30))), "")</f>
        <v>MEL</v>
      </c>
      <c r="D33" s="29" t="n">
        <f aca="false" t="array" ref="D33:D33">IFERROR(INDEX('Bank Schedule'!D:D, SMALL(IF('Bank Schedule'!$K$2:$K$825="Vacant", ROW('Bank Schedule'!$K$2:$K$825)), ROW(30:30))), "")</f>
        <v>550180</v>
      </c>
      <c r="E33" s="29" t="str">
        <f aca="false" t="array" ref="E33:E33">IFERROR(INDEX('Bank Schedule'!E:E, SMALL(IF('Bank Schedule'!$K$2:$K$825="Vacant", ROW('Bank Schedule'!$K$2:$K$825)), ROW(30:30))), "")</f>
        <v>Great Titchfield House,  14-18 Great Titchfield Street</v>
      </c>
      <c r="F33" s="29" t="str">
        <f aca="false" t="array" ref="F33:F33">IFERROR(INDEX('Bank Schedule'!F:F, SMALL(IF('Bank Schedule'!$K$2:$K$825="Vacant", ROW('Bank Schedule'!$K$2:$K$825)), ROW(30:30))), "")</f>
        <v>Fourth Floor</v>
      </c>
      <c r="G33" s="29" t="str">
        <f aca="false" t="array" ref="G33:G33">IFERROR(INDEX('Bank Schedule'!G:G, SMALL(IF('Bank Schedule'!$K$2:$K$825="Vacant", ROW('Bank Schedule'!$K$2:$K$825)), ROW(30:30))), "")</f>
        <v>Showroom/ Office</v>
      </c>
      <c r="H33" s="305" t="n">
        <f aca="false" t="array" ref="H33:H33">IFERROR(INDEX('Bank Schedule'!H:H, SMALL(IF('Bank Schedule'!$K$2:$K$825="Vacant", ROW('Bank Schedule'!$K$2:$K$825)), ROW(30:30))), "")</f>
        <v>1992</v>
      </c>
      <c r="I33" s="29" t="n">
        <f aca="false" t="array" ref="I33:I33">IFERROR(INDEX('Bank Schedule'!I:I, SMALL(IF('Bank Schedule'!$K$2:$K$825="Vacant", ROW('Bank Schedule'!$K$2:$K$825)), ROW(30:30))), "")</f>
        <v>1992</v>
      </c>
      <c r="J33" s="305" t="n">
        <f aca="false" t="array" ref="J33:J33">IFERROR(INDEX('Bank Schedule'!J:J, SMALL(IF('Bank Schedule'!$K$2:$K$825="Vacant", ROW('Bank Schedule'!$K$2:$K$825)), ROW(30:30))), "")</f>
        <v>2000</v>
      </c>
      <c r="K33" s="29" t="str">
        <f aca="false" t="array" ref="K33:K33">IFERROR(INDEX('Bank Schedule'!K:K, SMALL(IF('Bank Schedule'!$K$2:$K$825="Vacant", ROW('Bank Schedule'!$K$2:$K$825)), ROW(30:30))), "")</f>
        <v>Vacant</v>
      </c>
      <c r="L33" s="29" t="str">
        <f aca="false">IFERROR(INDEX('Bank Schedule'!L:L, SMALL(IF('Bank Schedule'!$K$2:$K$825="Vacant", ROW('Bank Schedule'!$K$2:$K$825)), ROW(30:30))), "")</f>
        <v/>
      </c>
      <c r="M33" s="29" t="str">
        <f aca="false">IFERROR(INDEX('Bank Schedule'!M:M, SMALL(IF('Bank Schedule'!$K$2:$K$825="Vacant", ROW('Bank Schedule'!$K$2:$K$825)), ROW(30:30))), "")</f>
        <v/>
      </c>
      <c r="N33" s="307" t="n">
        <f aca="false" t="array" ref="N33:N33">IFERROR(INDEX('Bank Schedule'!N:N, SMALL(IF('Bank Schedule'!$K$2:$K$825="Vacant", ROW('Bank Schedule'!$K$2:$K$825)), ROW(30:30))), "")</f>
        <v>45596</v>
      </c>
      <c r="O33" s="29" t="str">
        <f aca="false">IFERROR(INDEX('Bank Schedule'!O:O, SMALL(IF('Bank Schedule'!$K$2:$K$825="Vacant", ROW('Bank Schedule'!$K$2:$K$825)), ROW(30:30))), "")</f>
        <v/>
      </c>
      <c r="P33" s="29" t="str">
        <f aca="false">IFERROR(INDEX('Bank Schedule'!P:P, SMALL(IF('Bank Schedule'!$K$2:$K$825="Vacant", ROW('Bank Schedule'!$K$2:$K$825)), ROW(30:30))), "")</f>
        <v/>
      </c>
      <c r="Q33" s="29" t="n">
        <f aca="false" t="array" ref="Q33:Q33">IFERROR(INDEX('Bank Schedule'!Q:Q, SMALL(IF('Bank Schedule'!$K$2:$K$825="Vacant", ROW('Bank Schedule'!$K$2:$K$825)), ROW(30:30))), "")</f>
        <v>0</v>
      </c>
      <c r="R33" s="29" t="n">
        <f aca="false" t="array" ref="R33:R33">IFERROR(INDEX('Bank Schedule'!R:R, SMALL(IF('Bank Schedule'!$K$2:$K$825="Vacant", ROW('Bank Schedule'!$K$2:$K$825)), ROW(30:30))), "")</f>
        <v>0</v>
      </c>
      <c r="S33" s="29" t="str">
        <f aca="false">IFERROR(INDEX('Bank Schedule'!S:S, SMALL(IF('Bank Schedule'!$K$2:$K$825="Vacant", ROW('Bank Schedule'!$K$2:$K$825)), ROW(30:30))), "")</f>
        <v/>
      </c>
      <c r="T33" s="309" t="n">
        <f aca="false" t="array" ref="T33:T33">IFERROR(INDEX('Bank Schedule'!T:T, SMALL(IF('Bank Schedule'!$K$2:$K$825="Vacant", ROW('Bank Schedule'!$K$2:$K$825)), ROW(30:30))), "")</f>
        <v>117300</v>
      </c>
      <c r="U33" s="309" t="n">
        <f aca="false" t="array" ref="U33:U33">IFERROR(INDEX('Bank Schedule'!U:U, SMALL(IF('Bank Schedule'!$K$2:$K$825="Vacant", ROW('Bank Schedule'!$K$2:$K$825)), ROW(30:30))), "")</f>
        <v>117300</v>
      </c>
      <c r="V33" s="309" t="n">
        <f aca="false" t="array" ref="V33:V33">IFERROR(INDEX('Bank Schedule'!V:V, SMALL(IF('Bank Schedule'!$K$2:$K$825="Vacant", ROW('Bank Schedule'!$K$2:$K$825)), ROW(30:30))), "")</f>
        <v>130325</v>
      </c>
      <c r="W33" s="309" t="n">
        <f aca="false" t="array" ref="W33:W33">IFERROR(INDEX('Bank Schedule'!W:W, SMALL(IF('Bank Schedule'!$K$2:$K$825="Vacant", ROW('Bank Schedule'!$K$2:$K$825)), ROW(30:30))), "")</f>
        <v>130325</v>
      </c>
      <c r="X33" s="309" t="n">
        <f aca="false" t="array" ref="X33:X33">IFERROR(INDEX('Bank Schedule'!X:X, SMALL(IF('Bank Schedule'!$K$2:$K$825="Vacant", ROW('Bank Schedule'!$K$2:$K$825)), ROW(30:30))), "")</f>
        <v>65.4241967871486</v>
      </c>
      <c r="Y33" s="310" t="n">
        <f aca="false" t="array" ref="Y33:Y33">IFERROR(INDEX('Bank Schedule'!Y:Y, SMALL(IF('Bank Schedule'!$K$2:$K$825="Vacant", ROW('Bank Schedule'!$K$2:$K$825)), ROW(30:30))), "")</f>
        <v>0.111040068201194</v>
      </c>
      <c r="Z33" s="29" t="str">
        <f aca="false" t="array" ref="Z33:Z33">IFERROR(INDEX('Bank Schedule'!Z:Z, SMALL(IF('Bank Schedule'!$K$2:$K$825="Vacant", ROW('Bank Schedule'!$K$2:$K$825)), ROW(30:30))), "")</f>
        <v>D</v>
      </c>
      <c r="AA33" s="29" t="str">
        <f aca="false">IFERROR(INDEX('Bank Schedule'!AA:AA, SMALL(IF('Bank Schedule'!$K$2:$K$825="Vacant", ROW('Bank Schedule'!$K$2:$K$825)), ROW(30:30))), "")</f>
        <v/>
      </c>
      <c r="AB33" s="29" t="str">
        <f aca="false">IFERROR(INDEX('Bank Schedule'!AB:AB, SMALL(IF('Bank Schedule'!$K$2:$K$825="Vacant", ROW('Bank Schedule'!$K$2:$K$825)), ROW(30:30))), "")</f>
        <v/>
      </c>
      <c r="AC33" s="29" t="str">
        <f aca="false" t="array" ref="AC33:AC33">IFERROR(INDEX('Bank Schedule'!AC:AC, SMALL(IF('Bank Schedule'!$K$2:$K$825="Vacant", ROW('Bank Schedule'!$K$2:$K$825)), ROW(30:30))), "")</f>
        <v>No</v>
      </c>
      <c r="AD33" s="29" t="str">
        <f aca="false" t="array" ref="AD33:AD33">IFERROR(INDEX('Bank Schedule'!AD:AD, SMALL(IF('Bank Schedule'!$K$2:$K$825="Vacant", ROW('Bank Schedule'!$K$2:$K$825)), ROW(30:30))), "")</f>
        <v>To be refurbished.</v>
      </c>
      <c r="AE33" s="281" t="n">
        <f aca="false" t="array" ref="AE33:AE33">IFERROR(INDEX('Bank Schedule'!AE:AE, SMALL(IF('Bank Schedule'!$K$2:$K$825="Vacant", ROW('Bank Schedule'!$K$2:$K$825)), ROW(30:30))), "")</f>
        <v>72.5</v>
      </c>
      <c r="AF33" s="29" t="n">
        <f aca="false" t="array" ref="AF33:AF33">IFERROR(INDEX('Bank Schedule'!AF:AF, SMALL(IF('Bank Schedule'!$K$2:$K$825="Vacant", ROW('Bank Schedule'!$K$2:$K$825)), ROW(30:30))), "")</f>
        <v>4</v>
      </c>
      <c r="AG33" s="29" t="n">
        <f aca="false" t="array" ref="AG33:AG33">IFERROR(INDEX('Bank Schedule'!AG:AG, SMALL(IF('Bank Schedule'!$K$2:$K$825="Vacant", ROW('Bank Schedule'!$K$2:$K$825)), ROW(30:30))), "")</f>
        <v>9</v>
      </c>
      <c r="AH33" s="29" t="str">
        <f aca="false" t="array" ref="AH33:AH33">IFERROR(INDEX('Bank Schedule'!AH:AH, SMALL(IF('Bank Schedule'!$K$2:$K$825="Vacant", ROW('Bank Schedule'!$K$2:$K$825)), ROW(30:30))), "")</f>
        <v>LEM</v>
      </c>
      <c r="AI33" s="4"/>
    </row>
    <row r="34" customFormat="false" ht="28.5" hidden="false" customHeight="true" outlineLevel="0" collapsed="false">
      <c r="A34" s="29" t="str">
        <f aca="false">IFERROR(INDEX('Bank Schedule'!A:A, SMALL(IF('Bank Schedule'!$K$2:$K$825="Vacant", ROW('Bank Schedule'!$K$2:$K$825)), ROW(31:31))), "")</f>
        <v/>
      </c>
      <c r="B34" s="29" t="str">
        <f aca="false" t="array" ref="B34:B34">IFERROR(INDEX('Bank Schedule'!B:B, SMALL(IF('Bank Schedule'!$K$2:$K$825="Vacant", ROW('Bank Schedule'!$K$2:$K$825)), ROW(31:31))), "")</f>
        <v>WS</v>
      </c>
      <c r="C34" s="29" t="str">
        <f aca="false" t="array" ref="C34:C34">IFERROR(INDEX('Bank Schedule'!C:C, SMALL(IF('Bank Schedule'!$K$2:$K$825="Vacant", ROW('Bank Schedule'!$K$2:$K$825)), ROW(31:31))), "")</f>
        <v>MEL</v>
      </c>
      <c r="D34" s="29" t="n">
        <f aca="false" t="array" ref="D34:D34">IFERROR(INDEX('Bank Schedule'!D:D, SMALL(IF('Bank Schedule'!$K$2:$K$825="Vacant", ROW('Bank Schedule'!$K$2:$K$825)), ROW(31:31))), "")</f>
        <v>550420</v>
      </c>
      <c r="E34" s="29" t="str">
        <f aca="false" t="array" ref="E34:E34">IFERROR(INDEX('Bank Schedule'!E:E, SMALL(IF('Bank Schedule'!$K$2:$K$825="Vacant", ROW('Bank Schedule'!$K$2:$K$825)), ROW(31:31))), "")</f>
        <v>Golderbrock House,  15-19 Great Titchfield Street</v>
      </c>
      <c r="F34" s="29" t="str">
        <f aca="false" t="array" ref="F34:F34">IFERROR(INDEX('Bank Schedule'!F:F, SMALL(IF('Bank Schedule'!$K$2:$K$825="Vacant", ROW('Bank Schedule'!$K$2:$K$825)), ROW(31:31))), "")</f>
        <v>First Floor (Rear)</v>
      </c>
      <c r="G34" s="29" t="str">
        <f aca="false" t="array" ref="G34:G34">IFERROR(INDEX('Bank Schedule'!G:G, SMALL(IF('Bank Schedule'!$K$2:$K$825="Vacant", ROW('Bank Schedule'!$K$2:$K$825)), ROW(31:31))), "")</f>
        <v>Office</v>
      </c>
      <c r="H34" s="305" t="n">
        <f aca="false" t="array" ref="H34:H34">IFERROR(INDEX('Bank Schedule'!H:H, SMALL(IF('Bank Schedule'!$K$2:$K$825="Vacant", ROW('Bank Schedule'!$K$2:$K$825)), ROW(31:31))), "")</f>
        <v>533</v>
      </c>
      <c r="I34" s="29" t="n">
        <f aca="false" t="array" ref="I34:I34">IFERROR(INDEX('Bank Schedule'!I:I, SMALL(IF('Bank Schedule'!$K$2:$K$825="Vacant", ROW('Bank Schedule'!$K$2:$K$825)), ROW(31:31))), "")</f>
        <v>533</v>
      </c>
      <c r="J34" s="305" t="n">
        <f aca="false" t="array" ref="J34:J34">IFERROR(INDEX('Bank Schedule'!J:J, SMALL(IF('Bank Schedule'!$K$2:$K$825="Vacant", ROW('Bank Schedule'!$K$2:$K$825)), ROW(31:31))), "")</f>
        <v>500</v>
      </c>
      <c r="K34" s="29" t="str">
        <f aca="false" t="array" ref="K34:K34">IFERROR(INDEX('Bank Schedule'!K:K, SMALL(IF('Bank Schedule'!$K$2:$K$825="Vacant", ROW('Bank Schedule'!$K$2:$K$825)), ROW(31:31))), "")</f>
        <v>Vacant</v>
      </c>
      <c r="L34" s="29" t="str">
        <f aca="false">IFERROR(INDEX('Bank Schedule'!L:L, SMALL(IF('Bank Schedule'!$K$2:$K$825="Vacant", ROW('Bank Schedule'!$K$2:$K$825)), ROW(31:31))), "")</f>
        <v/>
      </c>
      <c r="M34" s="29" t="str">
        <f aca="false">IFERROR(INDEX('Bank Schedule'!M:M, SMALL(IF('Bank Schedule'!$K$2:$K$825="Vacant", ROW('Bank Schedule'!$K$2:$K$825)), ROW(31:31))), "")</f>
        <v/>
      </c>
      <c r="N34" s="307" t="n">
        <f aca="false" t="array" ref="N34:N34">IFERROR(INDEX('Bank Schedule'!N:N, SMALL(IF('Bank Schedule'!$K$2:$K$825="Vacant", ROW('Bank Schedule'!$K$2:$K$825)), ROW(31:31))), "")</f>
        <v>44536</v>
      </c>
      <c r="O34" s="29" t="str">
        <f aca="false">IFERROR(INDEX('Bank Schedule'!O:O, SMALL(IF('Bank Schedule'!$K$2:$K$825="Vacant", ROW('Bank Schedule'!$K$2:$K$825)), ROW(31:31))), "")</f>
        <v/>
      </c>
      <c r="P34" s="29" t="str">
        <f aca="false">IFERROR(INDEX('Bank Schedule'!P:P, SMALL(IF('Bank Schedule'!$K$2:$K$825="Vacant", ROW('Bank Schedule'!$K$2:$K$825)), ROW(31:31))), "")</f>
        <v/>
      </c>
      <c r="Q34" s="29" t="n">
        <f aca="false" t="array" ref="Q34:Q34">IFERROR(INDEX('Bank Schedule'!Q:Q, SMALL(IF('Bank Schedule'!$K$2:$K$825="Vacant", ROW('Bank Schedule'!$K$2:$K$825)), ROW(31:31))), "")</f>
        <v>0</v>
      </c>
      <c r="R34" s="29" t="n">
        <f aca="false" t="array" ref="R34:R34">IFERROR(INDEX('Bank Schedule'!R:R, SMALL(IF('Bank Schedule'!$K$2:$K$825="Vacant", ROW('Bank Schedule'!$K$2:$K$825)), ROW(31:31))), "")</f>
        <v>0</v>
      </c>
      <c r="S34" s="29" t="str">
        <f aca="false">IFERROR(INDEX('Bank Schedule'!S:S, SMALL(IF('Bank Schedule'!$K$2:$K$825="Vacant", ROW('Bank Schedule'!$K$2:$K$825)), ROW(31:31))), "")</f>
        <v/>
      </c>
      <c r="T34" s="309" t="n">
        <f aca="false" t="array" ref="T34:T34">IFERROR(INDEX('Bank Schedule'!T:T, SMALL(IF('Bank Schedule'!$K$2:$K$825="Vacant", ROW('Bank Schedule'!$K$2:$K$825)), ROW(31:31))), "")</f>
        <v>28900</v>
      </c>
      <c r="U34" s="309" t="n">
        <f aca="false" t="array" ref="U34:U34">IFERROR(INDEX('Bank Schedule'!U:U, SMALL(IF('Bank Schedule'!$K$2:$K$825="Vacant", ROW('Bank Schedule'!$K$2:$K$825)), ROW(31:31))), "")</f>
        <v>28900</v>
      </c>
      <c r="V34" s="309" t="n">
        <f aca="false" t="array" ref="V34:V34">IFERROR(INDEX('Bank Schedule'!V:V, SMALL(IF('Bank Schedule'!$K$2:$K$825="Vacant", ROW('Bank Schedule'!$K$2:$K$825)), ROW(31:31))), "")</f>
        <v>29300</v>
      </c>
      <c r="W34" s="309" t="n">
        <f aca="false" t="array" ref="W34:W34">IFERROR(INDEX('Bank Schedule'!W:W, SMALL(IF('Bank Schedule'!$K$2:$K$825="Vacant", ROW('Bank Schedule'!$K$2:$K$825)), ROW(31:31))), "")</f>
        <v>29300</v>
      </c>
      <c r="X34" s="309" t="n">
        <f aca="false" t="array" ref="X34:X34">IFERROR(INDEX('Bank Schedule'!X:X, SMALL(IF('Bank Schedule'!$K$2:$K$825="Vacant", ROW('Bank Schedule'!$K$2:$K$825)), ROW(31:31))), "")</f>
        <v>54.9718574108818</v>
      </c>
      <c r="Y34" s="310" t="n">
        <f aca="false" t="array" ref="Y34:Y34">IFERROR(INDEX('Bank Schedule'!Y:Y, SMALL(IF('Bank Schedule'!$K$2:$K$825="Vacant", ROW('Bank Schedule'!$K$2:$K$825)), ROW(31:31))), "")</f>
        <v>0.013840830449827</v>
      </c>
      <c r="Z34" s="29" t="str">
        <f aca="false" t="array" ref="Z34:Z34">IFERROR(INDEX('Bank Schedule'!Z:Z, SMALL(IF('Bank Schedule'!$K$2:$K$825="Vacant", ROW('Bank Schedule'!$K$2:$K$825)), ROW(31:31))), "")</f>
        <v>C</v>
      </c>
      <c r="AA34" s="29" t="str">
        <f aca="false">IFERROR(INDEX('Bank Schedule'!AA:AA, SMALL(IF('Bank Schedule'!$K$2:$K$825="Vacant", ROW('Bank Schedule'!$K$2:$K$825)), ROW(31:31))), "")</f>
        <v/>
      </c>
      <c r="AB34" s="29" t="str">
        <f aca="false">IFERROR(INDEX('Bank Schedule'!AB:AB, SMALL(IF('Bank Schedule'!$K$2:$K$825="Vacant", ROW('Bank Schedule'!$K$2:$K$825)), ROW(31:31))), "")</f>
        <v/>
      </c>
      <c r="AC34" s="29" t="str">
        <f aca="false" t="array" ref="AC34:AC34">IFERROR(INDEX('Bank Schedule'!AC:AC, SMALL(IF('Bank Schedule'!$K$2:$K$825="Vacant", ROW('Bank Schedule'!$K$2:$K$825)), ROW(31:31))), "")</f>
        <v>No</v>
      </c>
      <c r="AD34" s="29" t="str">
        <f aca="false" t="array" ref="AD34:AD34">IFERROR(INDEX('Bank Schedule'!AD:AD, SMALL(IF('Bank Schedule'!$K$2:$K$825="Vacant", ROW('Bank Schedule'!$K$2:$K$825)), ROW(31:31))), "")</f>
        <v>To be refurbished.</v>
      </c>
      <c r="AE34" s="281" t="str">
        <f aca="false">IFERROR(INDEX('Bank Schedule'!AE:AE, SMALL(IF('Bank Schedule'!$K$2:$K$825="Vacant", ROW('Bank Schedule'!$K$2:$K$825)), ROW(31:31))), "")</f>
        <v/>
      </c>
      <c r="AF34" s="29" t="n">
        <f aca="false" t="array" ref="AF34:AF34">IFERROR(INDEX('Bank Schedule'!AF:AF, SMALL(IF('Bank Schedule'!$K$2:$K$825="Vacant", ROW('Bank Schedule'!$K$2:$K$825)), ROW(31:31))), "")</f>
        <v>1</v>
      </c>
      <c r="AG34" s="29" t="n">
        <f aca="false" t="array" ref="AG34:AG34">IFERROR(INDEX('Bank Schedule'!AG:AG, SMALL(IF('Bank Schedule'!$K$2:$K$825="Vacant", ROW('Bank Schedule'!$K$2:$K$825)), ROW(31:31))), "")</f>
        <v>1</v>
      </c>
      <c r="AH34" s="29" t="str">
        <f aca="false">IFERROR(INDEX('Bank Schedule'!AH:AH, SMALL(IF('Bank Schedule'!$K$2:$K$825="Vacant", ROW('Bank Schedule'!$K$2:$K$825)), ROW(31:31))), "")</f>
        <v/>
      </c>
      <c r="AI34" s="4"/>
    </row>
    <row r="35" customFormat="false" ht="28.5" hidden="false" customHeight="true" outlineLevel="0" collapsed="false">
      <c r="A35" s="29" t="str">
        <f aca="false">IFERROR(INDEX('Bank Schedule'!A:A, SMALL(IF('Bank Schedule'!$K$2:$K$825="Vacant", ROW('Bank Schedule'!$K$2:$K$825)), ROW(32:32))), "")</f>
        <v/>
      </c>
      <c r="B35" s="29" t="str">
        <f aca="false" t="array" ref="B35:B35">IFERROR(INDEX('Bank Schedule'!B:B, SMALL(IF('Bank Schedule'!$K$2:$K$825="Vacant", ROW('Bank Schedule'!$K$2:$K$825)), ROW(32:32))), "")</f>
        <v>SH</v>
      </c>
      <c r="C35" s="29" t="str">
        <f aca="false" t="array" ref="C35:C35">IFERROR(INDEX('Bank Schedule'!C:C, SMALL(IF('Bank Schedule'!$K$2:$K$825="Vacant", ROW('Bank Schedule'!$K$2:$K$825)), ROW(32:32))), "")</f>
        <v>MEL</v>
      </c>
      <c r="D35" s="29" t="n">
        <f aca="false" t="array" ref="D35:D35">IFERROR(INDEX('Bank Schedule'!D:D, SMALL(IF('Bank Schedule'!$K$2:$K$825="Vacant", ROW('Bank Schedule'!$K$2:$K$825)), ROW(32:32))), "")</f>
        <v>550190</v>
      </c>
      <c r="E35" s="29" t="str">
        <f aca="false" t="array" ref="E35:E35">IFERROR(INDEX('Bank Schedule'!E:E, SMALL(IF('Bank Schedule'!$K$2:$K$825="Vacant", ROW('Bank Schedule'!$K$2:$K$825)), ROW(32:32))), "")</f>
        <v>Circus House,  21 Great Titchfield Street</v>
      </c>
      <c r="F35" s="29" t="str">
        <f aca="false" t="array" ref="F35:F35">IFERROR(INDEX('Bank Schedule'!F:F, SMALL(IF('Bank Schedule'!$K$2:$K$825="Vacant", ROW('Bank Schedule'!$K$2:$K$825)), ROW(32:32))), "")</f>
        <v>Ground Floor (West)</v>
      </c>
      <c r="G35" s="29" t="str">
        <f aca="false" t="array" ref="G35:G35">IFERROR(INDEX('Bank Schedule'!G:G, SMALL(IF('Bank Schedule'!$K$2:$K$825="Vacant", ROW('Bank Schedule'!$K$2:$K$825)), ROW(32:32))), "")</f>
        <v>Office</v>
      </c>
      <c r="H35" s="305" t="n">
        <f aca="false" t="array" ref="H35:H35">IFERROR(INDEX('Bank Schedule'!H:H, SMALL(IF('Bank Schedule'!$K$2:$K$825="Vacant", ROW('Bank Schedule'!$K$2:$K$825)), ROW(32:32))), "")</f>
        <v>1946</v>
      </c>
      <c r="I35" s="29" t="n">
        <f aca="false" t="array" ref="I35:I35">IFERROR(INDEX('Bank Schedule'!I:I, SMALL(IF('Bank Schedule'!$K$2:$K$825="Vacant", ROW('Bank Schedule'!$K$2:$K$825)), ROW(32:32))), "")</f>
        <v>1946</v>
      </c>
      <c r="J35" s="305" t="n">
        <f aca="false" t="array" ref="J35:J35">IFERROR(INDEX('Bank Schedule'!J:J, SMALL(IF('Bank Schedule'!$K$2:$K$825="Vacant", ROW('Bank Schedule'!$K$2:$K$825)), ROW(32:32))), "")</f>
        <v>2000</v>
      </c>
      <c r="K35" s="29" t="str">
        <f aca="false" t="array" ref="K35:K35">IFERROR(INDEX('Bank Schedule'!K:K, SMALL(IF('Bank Schedule'!$K$2:$K$825="Vacant", ROW('Bank Schedule'!$K$2:$K$825)), ROW(32:32))), "")</f>
        <v>Vacant</v>
      </c>
      <c r="L35" s="29" t="str">
        <f aca="false">IFERROR(INDEX('Bank Schedule'!L:L, SMALL(IF('Bank Schedule'!$K$2:$K$825="Vacant", ROW('Bank Schedule'!$K$2:$K$825)), ROW(32:32))), "")</f>
        <v/>
      </c>
      <c r="M35" s="29" t="str">
        <f aca="false">IFERROR(INDEX('Bank Schedule'!M:M, SMALL(IF('Bank Schedule'!$K$2:$K$825="Vacant", ROW('Bank Schedule'!$K$2:$K$825)), ROW(32:32))), "")</f>
        <v/>
      </c>
      <c r="N35" s="307" t="n">
        <f aca="false" t="array" ref="N35:N35">IFERROR(INDEX('Bank Schedule'!N:N, SMALL(IF('Bank Schedule'!$K$2:$K$825="Vacant", ROW('Bank Schedule'!$K$2:$K$825)), ROW(32:32))), "")</f>
        <v>45154</v>
      </c>
      <c r="O35" s="29" t="str">
        <f aca="false">IFERROR(INDEX('Bank Schedule'!O:O, SMALL(IF('Bank Schedule'!$K$2:$K$825="Vacant", ROW('Bank Schedule'!$K$2:$K$825)), ROW(32:32))), "")</f>
        <v/>
      </c>
      <c r="P35" s="29" t="str">
        <f aca="false">IFERROR(INDEX('Bank Schedule'!P:P, SMALL(IF('Bank Schedule'!$K$2:$K$825="Vacant", ROW('Bank Schedule'!$K$2:$K$825)), ROW(32:32))), "")</f>
        <v/>
      </c>
      <c r="Q35" s="29" t="n">
        <f aca="false" t="array" ref="Q35:Q35">IFERROR(INDEX('Bank Schedule'!Q:Q, SMALL(IF('Bank Schedule'!$K$2:$K$825="Vacant", ROW('Bank Schedule'!$K$2:$K$825)), ROW(32:32))), "")</f>
        <v>0</v>
      </c>
      <c r="R35" s="29" t="n">
        <f aca="false" t="array" ref="R35:R35">IFERROR(INDEX('Bank Schedule'!R:R, SMALL(IF('Bank Schedule'!$K$2:$K$825="Vacant", ROW('Bank Schedule'!$K$2:$K$825)), ROW(32:32))), "")</f>
        <v>0</v>
      </c>
      <c r="S35" s="29" t="str">
        <f aca="false">IFERROR(INDEX('Bank Schedule'!S:S, SMALL(IF('Bank Schedule'!$K$2:$K$825="Vacant", ROW('Bank Schedule'!$K$2:$K$825)), ROW(32:32))), "")</f>
        <v/>
      </c>
      <c r="T35" s="309" t="n">
        <f aca="false" t="array" ref="T35:T35">IFERROR(INDEX('Bank Schedule'!T:T, SMALL(IF('Bank Schedule'!$K$2:$K$825="Vacant", ROW('Bank Schedule'!$K$2:$K$825)), ROW(32:32))), "")</f>
        <v>113900</v>
      </c>
      <c r="U35" s="309" t="n">
        <f aca="false" t="array" ref="U35:U35">IFERROR(INDEX('Bank Schedule'!U:U, SMALL(IF('Bank Schedule'!$K$2:$K$825="Vacant", ROW('Bank Schedule'!$K$2:$K$825)), ROW(32:32))), "")</f>
        <v>113900</v>
      </c>
      <c r="V35" s="309" t="n">
        <f aca="false" t="array" ref="V35:V35">IFERROR(INDEX('Bank Schedule'!V:V, SMALL(IF('Bank Schedule'!$K$2:$K$825="Vacant", ROW('Bank Schedule'!$K$2:$K$825)), ROW(32:32))), "")</f>
        <v>116800</v>
      </c>
      <c r="W35" s="309" t="n">
        <f aca="false" t="array" ref="W35:W35">IFERROR(INDEX('Bank Schedule'!W:W, SMALL(IF('Bank Schedule'!$K$2:$K$825="Vacant", ROW('Bank Schedule'!$K$2:$K$825)), ROW(32:32))), "")</f>
        <v>116800</v>
      </c>
      <c r="X35" s="309" t="n">
        <f aca="false" t="array" ref="X35:X35">IFERROR(INDEX('Bank Schedule'!X:X, SMALL(IF('Bank Schedule'!$K$2:$K$825="Vacant", ROW('Bank Schedule'!$K$2:$K$825)), ROW(32:32))), "")</f>
        <v>60.0205549845838</v>
      </c>
      <c r="Y35" s="310" t="n">
        <f aca="false" t="array" ref="Y35:Y35">IFERROR(INDEX('Bank Schedule'!Y:Y, SMALL(IF('Bank Schedule'!$K$2:$K$825="Vacant", ROW('Bank Schedule'!$K$2:$K$825)), ROW(32:32))), "")</f>
        <v>0.0254609306409131</v>
      </c>
      <c r="Z35" s="29" t="str">
        <f aca="false" t="array" ref="Z35:Z35">IFERROR(INDEX('Bank Schedule'!Z:Z, SMALL(IF('Bank Schedule'!$K$2:$K$825="Vacant", ROW('Bank Schedule'!$K$2:$K$825)), ROW(32:32))), "")</f>
        <v>E</v>
      </c>
      <c r="AA35" s="29" t="str">
        <f aca="false">IFERROR(INDEX('Bank Schedule'!AA:AA, SMALL(IF('Bank Schedule'!$K$2:$K$825="Vacant", ROW('Bank Schedule'!$K$2:$K$825)), ROW(32:32))), "")</f>
        <v/>
      </c>
      <c r="AB35" s="29" t="str">
        <f aca="false">IFERROR(INDEX('Bank Schedule'!AB:AB, SMALL(IF('Bank Schedule'!$K$2:$K$825="Vacant", ROW('Bank Schedule'!$K$2:$K$825)), ROW(32:32))), "")</f>
        <v/>
      </c>
      <c r="AC35" s="29" t="str">
        <f aca="false" t="array" ref="AC35:AC35">IFERROR(INDEX('Bank Schedule'!AC:AC, SMALL(IF('Bank Schedule'!$K$2:$K$825="Vacant", ROW('Bank Schedule'!$K$2:$K$825)), ROW(32:32))), "")</f>
        <v>No</v>
      </c>
      <c r="AD35" s="29" t="str">
        <f aca="false" t="array" ref="AD35:AD35">IFERROR(INDEX('Bank Schedule'!AD:AD, SMALL(IF('Bank Schedule'!$K$2:$K$825="Vacant", ROW('Bank Schedule'!$K$2:$K$825)), ROW(32:32))), "")</f>
        <v>LEM marketing.</v>
      </c>
      <c r="AE35" s="281" t="n">
        <f aca="false" t="array" ref="AE35:AE35">IFERROR(INDEX('Bank Schedule'!AE:AE, SMALL(IF('Bank Schedule'!$K$2:$K$825="Vacant", ROW('Bank Schedule'!$K$2:$K$825)), ROW(32:32))), "")</f>
        <v>60</v>
      </c>
      <c r="AF35" s="29" t="n">
        <f aca="false" t="array" ref="AF35:AF35">IFERROR(INDEX('Bank Schedule'!AF:AF, SMALL(IF('Bank Schedule'!$K$2:$K$825="Vacant", ROW('Bank Schedule'!$K$2:$K$825)), ROW(32:32))), "")</f>
        <v>5</v>
      </c>
      <c r="AG35" s="29" t="n">
        <f aca="false" t="array" ref="AG35:AG35">IFERROR(INDEX('Bank Schedule'!AG:AG, SMALL(IF('Bank Schedule'!$K$2:$K$825="Vacant", ROW('Bank Schedule'!$K$2:$K$825)), ROW(32:32))), "")</f>
        <v>11</v>
      </c>
      <c r="AH35" s="29" t="str">
        <f aca="false" t="array" ref="AH35:AH35">IFERROR(INDEX('Bank Schedule'!AH:AH, SMALL(IF('Bank Schedule'!$K$2:$K$825="Vacant", ROW('Bank Schedule'!$K$2:$K$825)), ROW(32:32))), "")</f>
        <v>LEM</v>
      </c>
      <c r="AI35" s="4"/>
    </row>
    <row r="36" customFormat="false" ht="28.5" hidden="false" customHeight="true" outlineLevel="0" collapsed="false">
      <c r="A36" s="29" t="str">
        <f aca="false">IFERROR(INDEX('Bank Schedule'!A:A, SMALL(IF('Bank Schedule'!$K$2:$K$825="Vacant", ROW('Bank Schedule'!$K$2:$K$825)), ROW(33:33))), "")</f>
        <v/>
      </c>
      <c r="B36" s="29" t="str">
        <f aca="false" t="array" ref="B36:B36">IFERROR(INDEX('Bank Schedule'!B:B, SMALL(IF('Bank Schedule'!$K$2:$K$825="Vacant", ROW('Bank Schedule'!$K$2:$K$825)), ROW(33:33))), "")</f>
        <v>WS</v>
      </c>
      <c r="C36" s="29" t="str">
        <f aca="false" t="array" ref="C36:C36">IFERROR(INDEX('Bank Schedule'!C:C, SMALL(IF('Bank Schedule'!$K$2:$K$825="Vacant", ROW('Bank Schedule'!$K$2:$K$825)), ROW(33:33))), "")</f>
        <v>MEL</v>
      </c>
      <c r="D36" s="29" t="n">
        <f aca="false" t="array" ref="D36:D36">IFERROR(INDEX('Bank Schedule'!D:D, SMALL(IF('Bank Schedule'!$K$2:$K$825="Vacant", ROW('Bank Schedule'!$K$2:$K$825)), ROW(33:33))), "")</f>
        <v>550570</v>
      </c>
      <c r="E36" s="29" t="str">
        <f aca="false" t="array" ref="E36:E36">IFERROR(INDEX('Bank Schedule'!E:E, SMALL(IF('Bank Schedule'!$K$2:$K$825="Vacant", ROW('Bank Schedule'!$K$2:$K$825)), ROW(33:33))), "")</f>
        <v>Moray House, 23-35 Great Titchfield Street &amp; 63-65 Mortimer Street</v>
      </c>
      <c r="F36" s="29" t="str">
        <f aca="false" t="array" ref="F36:F36">IFERROR(INDEX('Bank Schedule'!F:F, SMALL(IF('Bank Schedule'!$K$2:$K$825="Vacant", ROW('Bank Schedule'!$K$2:$K$825)), ROW(33:33))), "")</f>
        <v>Suite 1.1 First Floor</v>
      </c>
      <c r="G36" s="29" t="str">
        <f aca="false" t="array" ref="G36:G36">IFERROR(INDEX('Bank Schedule'!G:G, SMALL(IF('Bank Schedule'!$K$2:$K$825="Vacant", ROW('Bank Schedule'!$K$2:$K$825)), ROW(33:33))), "")</f>
        <v>Office</v>
      </c>
      <c r="H36" s="305" t="n">
        <f aca="false" t="array" ref="H36:H36">IFERROR(INDEX('Bank Schedule'!H:H, SMALL(IF('Bank Schedule'!$K$2:$K$825="Vacant", ROW('Bank Schedule'!$K$2:$K$825)), ROW(33:33))), "")</f>
        <v>1443</v>
      </c>
      <c r="I36" s="29" t="n">
        <f aca="false" t="array" ref="I36:I36">IFERROR(INDEX('Bank Schedule'!I:I, SMALL(IF('Bank Schedule'!$K$2:$K$825="Vacant", ROW('Bank Schedule'!$K$2:$K$825)), ROW(33:33))), "")</f>
        <v>1443</v>
      </c>
      <c r="J36" s="305" t="n">
        <f aca="false" t="array" ref="J36:J36">IFERROR(INDEX('Bank Schedule'!J:J, SMALL(IF('Bank Schedule'!$K$2:$K$825="Vacant", ROW('Bank Schedule'!$K$2:$K$825)), ROW(33:33))), "")</f>
        <v>1500</v>
      </c>
      <c r="K36" s="29" t="str">
        <f aca="false" t="array" ref="K36:K36">IFERROR(INDEX('Bank Schedule'!K:K, SMALL(IF('Bank Schedule'!$K$2:$K$825="Vacant", ROW('Bank Schedule'!$K$2:$K$825)), ROW(33:33))), "")</f>
        <v>Vacant</v>
      </c>
      <c r="L36" s="29" t="str">
        <f aca="false">IFERROR(INDEX('Bank Schedule'!L:L, SMALL(IF('Bank Schedule'!$K$2:$K$825="Vacant", ROW('Bank Schedule'!$K$2:$K$825)), ROW(33:33))), "")</f>
        <v/>
      </c>
      <c r="M36" s="29" t="str">
        <f aca="false">IFERROR(INDEX('Bank Schedule'!M:M, SMALL(IF('Bank Schedule'!$K$2:$K$825="Vacant", ROW('Bank Schedule'!$K$2:$K$825)), ROW(33:33))), "")</f>
        <v/>
      </c>
      <c r="N36" s="307" t="n">
        <f aca="false" t="array" ref="N36:N36">IFERROR(INDEX('Bank Schedule'!N:N, SMALL(IF('Bank Schedule'!$K$2:$K$825="Vacant", ROW('Bank Schedule'!$K$2:$K$825)), ROW(33:33))), "")</f>
        <v>44121</v>
      </c>
      <c r="O36" s="29" t="str">
        <f aca="false">IFERROR(INDEX('Bank Schedule'!O:O, SMALL(IF('Bank Schedule'!$K$2:$K$825="Vacant", ROW('Bank Schedule'!$K$2:$K$825)), ROW(33:33))), "")</f>
        <v/>
      </c>
      <c r="P36" s="29" t="str">
        <f aca="false">IFERROR(INDEX('Bank Schedule'!P:P, SMALL(IF('Bank Schedule'!$K$2:$K$825="Vacant", ROW('Bank Schedule'!$K$2:$K$825)), ROW(33:33))), "")</f>
        <v/>
      </c>
      <c r="Q36" s="29" t="n">
        <f aca="false" t="array" ref="Q36:Q36">IFERROR(INDEX('Bank Schedule'!Q:Q, SMALL(IF('Bank Schedule'!$K$2:$K$825="Vacant", ROW('Bank Schedule'!$K$2:$K$825)), ROW(33:33))), "")</f>
        <v>0</v>
      </c>
      <c r="R36" s="29" t="n">
        <f aca="false" t="array" ref="R36:R36">IFERROR(INDEX('Bank Schedule'!R:R, SMALL(IF('Bank Schedule'!$K$2:$K$825="Vacant", ROW('Bank Schedule'!$K$2:$K$825)), ROW(33:33))), "")</f>
        <v>0</v>
      </c>
      <c r="S36" s="29" t="str">
        <f aca="false">IFERROR(INDEX('Bank Schedule'!S:S, SMALL(IF('Bank Schedule'!$K$2:$K$825="Vacant", ROW('Bank Schedule'!$K$2:$K$825)), ROW(33:33))), "")</f>
        <v/>
      </c>
      <c r="T36" s="309" t="n">
        <f aca="false" t="array" ref="T36:T36">IFERROR(INDEX('Bank Schedule'!T:T, SMALL(IF('Bank Schedule'!$K$2:$K$825="Vacant", ROW('Bank Schedule'!$K$2:$K$825)), ROW(33:33))), "")</f>
        <v>87800</v>
      </c>
      <c r="U36" s="309" t="n">
        <f aca="false" t="array" ref="U36:U36">IFERROR(INDEX('Bank Schedule'!U:U, SMALL(IF('Bank Schedule'!$K$2:$K$825="Vacant", ROW('Bank Schedule'!$K$2:$K$825)), ROW(33:33))), "")</f>
        <v>87800</v>
      </c>
      <c r="V36" s="309" t="n">
        <f aca="false" t="array" ref="V36:V36">IFERROR(INDEX('Bank Schedule'!V:V, SMALL(IF('Bank Schedule'!$K$2:$K$825="Vacant", ROW('Bank Schedule'!$K$2:$K$825)), ROW(33:33))), "")</f>
        <v>90200</v>
      </c>
      <c r="W36" s="309" t="n">
        <f aca="false" t="array" ref="W36:W36">IFERROR(INDEX('Bank Schedule'!W:W, SMALL(IF('Bank Schedule'!$K$2:$K$825="Vacant", ROW('Bank Schedule'!$K$2:$K$825)), ROW(33:33))), "")</f>
        <v>90200</v>
      </c>
      <c r="X36" s="309" t="n">
        <f aca="false" t="array" ref="X36:X36">IFERROR(INDEX('Bank Schedule'!X:X, SMALL(IF('Bank Schedule'!$K$2:$K$825="Vacant", ROW('Bank Schedule'!$K$2:$K$825)), ROW(33:33))), "")</f>
        <v>62.5086625086625</v>
      </c>
      <c r="Y36" s="310" t="n">
        <f aca="false" t="array" ref="Y36:Y36">IFERROR(INDEX('Bank Schedule'!Y:Y, SMALL(IF('Bank Schedule'!$K$2:$K$825="Vacant", ROW('Bank Schedule'!$K$2:$K$825)), ROW(33:33))), "")</f>
        <v>0.0273348519362187</v>
      </c>
      <c r="Z36" s="29" t="str">
        <f aca="false" t="array" ref="Z36:Z36">IFERROR(INDEX('Bank Schedule'!Z:Z, SMALL(IF('Bank Schedule'!$K$2:$K$825="Vacant", ROW('Bank Schedule'!$K$2:$K$825)), ROW(33:33))), "")</f>
        <v>D</v>
      </c>
      <c r="AA36" s="29" t="str">
        <f aca="false">IFERROR(INDEX('Bank Schedule'!AA:AA, SMALL(IF('Bank Schedule'!$K$2:$K$825="Vacant", ROW('Bank Schedule'!$K$2:$K$825)), ROW(33:33))), "")</f>
        <v/>
      </c>
      <c r="AB36" s="29" t="str">
        <f aca="false">IFERROR(INDEX('Bank Schedule'!AB:AB, SMALL(IF('Bank Schedule'!$K$2:$K$825="Vacant", ROW('Bank Schedule'!$K$2:$K$825)), ROW(33:33))), "")</f>
        <v/>
      </c>
      <c r="AC36" s="29" t="str">
        <f aca="false" t="array" ref="AC36:AC36">IFERROR(INDEX('Bank Schedule'!AC:AC, SMALL(IF('Bank Schedule'!$K$2:$K$825="Vacant", ROW('Bank Schedule'!$K$2:$K$825)), ROW(33:33))), "")</f>
        <v>No</v>
      </c>
      <c r="AD36" s="29" t="str">
        <f aca="false" t="array" ref="AD36:AD36">IFERROR(INDEX('Bank Schedule'!AD:AD, SMALL(IF('Bank Schedule'!$K$2:$K$825="Vacant", ROW('Bank Schedule'!$K$2:$K$825)), ROW(33:33))), "")</f>
        <v>To be refurbished.</v>
      </c>
      <c r="AE36" s="281" t="n">
        <f aca="false" t="array" ref="AE36:AE36">IFERROR(INDEX('Bank Schedule'!AE:AE, SMALL(IF('Bank Schedule'!$K$2:$K$825="Vacant", ROW('Bank Schedule'!$K$2:$K$825)), ROW(33:33))), "")</f>
        <v>65</v>
      </c>
      <c r="AF36" s="29" t="str">
        <f aca="false">IFERROR(INDEX('Bank Schedule'!AF:AF, SMALL(IF('Bank Schedule'!$K$2:$K$825="Vacant", ROW('Bank Schedule'!$K$2:$K$825)), ROW(33:33))), "")</f>
        <v/>
      </c>
      <c r="AG36" s="29" t="n">
        <f aca="false" t="array" ref="AG36:AG36">IFERROR(INDEX('Bank Schedule'!AG:AG, SMALL(IF('Bank Schedule'!$K$2:$K$825="Vacant", ROW('Bank Schedule'!$K$2:$K$825)), ROW(33:33))), "")</f>
        <v>3</v>
      </c>
      <c r="AH36" s="29" t="str">
        <f aca="false" t="array" ref="AH36:AH36">IFERROR(INDEX('Bank Schedule'!AH:AH, SMALL(IF('Bank Schedule'!$K$2:$K$825="Vacant", ROW('Bank Schedule'!$K$2:$K$825)), ROW(33:33))), "")</f>
        <v>LEM</v>
      </c>
      <c r="AI36" s="4"/>
    </row>
    <row r="37" customFormat="false" ht="28.5" hidden="false" customHeight="true" outlineLevel="0" collapsed="false">
      <c r="A37" s="29" t="str">
        <f aca="false">IFERROR(INDEX('Bank Schedule'!A:A, SMALL(IF('Bank Schedule'!$K$2:$K$825="Vacant", ROW('Bank Schedule'!$K$2:$K$825)), ROW(34:34))), "")</f>
        <v/>
      </c>
      <c r="B37" s="29" t="str">
        <f aca="false" t="array" ref="B37:B37">IFERROR(INDEX('Bank Schedule'!B:B, SMALL(IF('Bank Schedule'!$K$2:$K$825="Vacant", ROW('Bank Schedule'!$K$2:$K$825)), ROW(34:34))), "")</f>
        <v>WS</v>
      </c>
      <c r="C37" s="29" t="str">
        <f aca="false" t="array" ref="C37:C37">IFERROR(INDEX('Bank Schedule'!C:C, SMALL(IF('Bank Schedule'!$K$2:$K$825="Vacant", ROW('Bank Schedule'!$K$2:$K$825)), ROW(34:34))), "")</f>
        <v>MEL</v>
      </c>
      <c r="D37" s="29" t="n">
        <f aca="false" t="array" ref="D37:D37">IFERROR(INDEX('Bank Schedule'!D:D, SMALL(IF('Bank Schedule'!$K$2:$K$825="Vacant", ROW('Bank Schedule'!$K$2:$K$825)), ROW(34:34))), "")</f>
        <v>550220</v>
      </c>
      <c r="E37" s="29" t="str">
        <f aca="false" t="array" ref="E37:E37">IFERROR(INDEX('Bank Schedule'!E:E, SMALL(IF('Bank Schedule'!$K$2:$K$825="Vacant", ROW('Bank Schedule'!$K$2:$K$825)), ROW(34:34))), "")</f>
        <v>12 Hallam Street (The Hallam Hotel)</v>
      </c>
      <c r="F37" s="29" t="str">
        <f aca="false" t="array" ref="F37:F37">IFERROR(INDEX('Bank Schedule'!F:F, SMALL(IF('Bank Schedule'!$K$2:$K$825="Vacant", ROW('Bank Schedule'!$K$2:$K$825)), ROW(34:34))), "")</f>
        <v>Whole Building </v>
      </c>
      <c r="G37" s="29" t="str">
        <f aca="false" t="array" ref="G37:G37">IFERROR(INDEX('Bank Schedule'!G:G, SMALL(IF('Bank Schedule'!$K$2:$K$825="Vacant", ROW('Bank Schedule'!$K$2:$K$825)), ROW(34:34))), "")</f>
        <v>Hotel                       25 Beds</v>
      </c>
      <c r="H37" s="305" t="n">
        <f aca="false" t="array" ref="H37:H37">IFERROR(INDEX('Bank Schedule'!H:H, SMALL(IF('Bank Schedule'!$K$2:$K$825="Vacant", ROW('Bank Schedule'!$K$2:$K$825)), ROW(34:34))), "")</f>
        <v>4284</v>
      </c>
      <c r="I37" s="29" t="n">
        <f aca="false" t="array" ref="I37:I37">IFERROR(INDEX('Bank Schedule'!I:I, SMALL(IF('Bank Schedule'!$K$2:$K$825="Vacant", ROW('Bank Schedule'!$K$2:$K$825)), ROW(34:34))), "")</f>
        <v>4284</v>
      </c>
      <c r="J37" s="305" t="n">
        <f aca="false" t="array" ref="J37:J37">IFERROR(INDEX('Bank Schedule'!J:J, SMALL(IF('Bank Schedule'!$K$2:$K$825="Vacant", ROW('Bank Schedule'!$K$2:$K$825)), ROW(34:34))), "")</f>
        <v>4250</v>
      </c>
      <c r="K37" s="29" t="str">
        <f aca="false" t="array" ref="K37:K37">IFERROR(INDEX('Bank Schedule'!K:K, SMALL(IF('Bank Schedule'!$K$2:$K$825="Vacant", ROW('Bank Schedule'!$K$2:$K$825)), ROW(34:34))), "")</f>
        <v>Vacant</v>
      </c>
      <c r="L37" s="29" t="str">
        <f aca="false">IFERROR(INDEX('Bank Schedule'!L:L, SMALL(IF('Bank Schedule'!$K$2:$K$825="Vacant", ROW('Bank Schedule'!$K$2:$K$825)), ROW(34:34))), "")</f>
        <v/>
      </c>
      <c r="M37" s="29" t="str">
        <f aca="false">IFERROR(INDEX('Bank Schedule'!M:M, SMALL(IF('Bank Schedule'!$K$2:$K$825="Vacant", ROW('Bank Schedule'!$K$2:$K$825)), ROW(34:34))), "")</f>
        <v/>
      </c>
      <c r="N37" s="307" t="n">
        <f aca="false" t="array" ref="N37:N37">IFERROR(INDEX('Bank Schedule'!N:N, SMALL(IF('Bank Schedule'!$K$2:$K$825="Vacant", ROW('Bank Schedule'!$K$2:$K$825)), ROW(34:34))), "")</f>
        <v>44387</v>
      </c>
      <c r="O37" s="29" t="str">
        <f aca="false">IFERROR(INDEX('Bank Schedule'!O:O, SMALL(IF('Bank Schedule'!$K$2:$K$825="Vacant", ROW('Bank Schedule'!$K$2:$K$825)), ROW(34:34))), "")</f>
        <v/>
      </c>
      <c r="P37" s="29" t="str">
        <f aca="false">IFERROR(INDEX('Bank Schedule'!P:P, SMALL(IF('Bank Schedule'!$K$2:$K$825="Vacant", ROW('Bank Schedule'!$K$2:$K$825)), ROW(34:34))), "")</f>
        <v/>
      </c>
      <c r="Q37" s="29" t="n">
        <f aca="false" t="array" ref="Q37:Q37">IFERROR(INDEX('Bank Schedule'!Q:Q, SMALL(IF('Bank Schedule'!$K$2:$K$825="Vacant", ROW('Bank Schedule'!$K$2:$K$825)), ROW(34:34))), "")</f>
        <v>0</v>
      </c>
      <c r="R37" s="29" t="n">
        <f aca="false" t="array" ref="R37:R37">IFERROR(INDEX('Bank Schedule'!R:R, SMALL(IF('Bank Schedule'!$K$2:$K$825="Vacant", ROW('Bank Schedule'!$K$2:$K$825)), ROW(34:34))), "")</f>
        <v>0</v>
      </c>
      <c r="S37" s="29" t="n">
        <f aca="false" t="array" ref="S37:S37">IFERROR(INDEX('Bank Schedule'!S:S, SMALL(IF('Bank Schedule'!$K$2:$K$825="Vacant", ROW('Bank Schedule'!$K$2:$K$825)), ROW(34:34))), "")</f>
        <v>0</v>
      </c>
      <c r="T37" s="309" t="n">
        <f aca="false" t="array" ref="T37:T37">IFERROR(INDEX('Bank Schedule'!T:T, SMALL(IF('Bank Schedule'!$K$2:$K$825="Vacant", ROW('Bank Schedule'!$K$2:$K$825)), ROW(34:34))), "")</f>
        <v>0</v>
      </c>
      <c r="U37" s="309" t="n">
        <f aca="false" t="array" ref="U37:U37">IFERROR(INDEX('Bank Schedule'!U:U, SMALL(IF('Bank Schedule'!$K$2:$K$825="Vacant", ROW('Bank Schedule'!$K$2:$K$825)), ROW(34:34))), "")</f>
        <v>0</v>
      </c>
      <c r="V37" s="309" t="n">
        <f aca="false" t="array" ref="V37:V37">IFERROR(INDEX('Bank Schedule'!V:V, SMALL(IF('Bank Schedule'!$K$2:$K$825="Vacant", ROW('Bank Schedule'!$K$2:$K$825)), ROW(34:34))), "")</f>
        <v>0</v>
      </c>
      <c r="W37" s="309" t="n">
        <f aca="false" t="array" ref="W37:W37">IFERROR(INDEX('Bank Schedule'!W:W, SMALL(IF('Bank Schedule'!$K$2:$K$825="Vacant", ROW('Bank Schedule'!$K$2:$K$825)), ROW(34:34))), "")</f>
        <v>0</v>
      </c>
      <c r="X37" s="309" t="str">
        <f aca="false">IFERROR(INDEX('Bank Schedule'!X:X, SMALL(IF('Bank Schedule'!$K$2:$K$825="Vacant", ROW('Bank Schedule'!$K$2:$K$825)), ROW(34:34))), "")</f>
        <v/>
      </c>
      <c r="Y37" s="310" t="str">
        <f aca="false">IFERROR(INDEX('Bank Schedule'!Y:Y, SMALL(IF('Bank Schedule'!$K$2:$K$825="Vacant", ROW('Bank Schedule'!$K$2:$K$825)), ROW(34:34))), "")</f>
        <v/>
      </c>
      <c r="Z37" s="29" t="str">
        <f aca="false">IFERROR(INDEX('Bank Schedule'!Z:Z, SMALL(IF('Bank Schedule'!$K$2:$K$825="Vacant", ROW('Bank Schedule'!$K$2:$K$825)), ROW(34:34))), "")</f>
        <v/>
      </c>
      <c r="AA37" s="29" t="str">
        <f aca="false">IFERROR(INDEX('Bank Schedule'!AA:AA, SMALL(IF('Bank Schedule'!$K$2:$K$825="Vacant", ROW('Bank Schedule'!$K$2:$K$825)), ROW(34:34))), "")</f>
        <v/>
      </c>
      <c r="AB37" s="29" t="n">
        <f aca="false" t="array" ref="AB37:AB37">IFERROR(INDEX('Bank Schedule'!AB:AB, SMALL(IF('Bank Schedule'!$K$2:$K$825="Vacant", ROW('Bank Schedule'!$K$2:$K$825)), ROW(34:34))), "")</f>
        <v>1500000</v>
      </c>
      <c r="AC37" s="29" t="str">
        <f aca="false" t="array" ref="AC37:AC37">IFERROR(INDEX('Bank Schedule'!AC:AC, SMALL(IF('Bank Schedule'!$K$2:$K$825="Vacant", ROW('Bank Schedule'!$K$2:$K$825)), ROW(34:34))), "")</f>
        <v>No</v>
      </c>
      <c r="AD37" s="29" t="str">
        <f aca="false" t="array" ref="AD37:AD37">IFERROR(INDEX('Bank Schedule'!AD:AD, SMALL(IF('Bank Schedule'!$K$2:$K$825="Vacant", ROW('Bank Schedule'!$K$2:$K$825)), ROW(34:34))), "")</f>
        <v>Mothballed.</v>
      </c>
      <c r="AE37" s="281" t="str">
        <f aca="false">IFERROR(INDEX('Bank Schedule'!AE:AE, SMALL(IF('Bank Schedule'!$K$2:$K$825="Vacant", ROW('Bank Schedule'!$K$2:$K$825)), ROW(34:34))), "")</f>
        <v/>
      </c>
      <c r="AF37" s="29" t="str">
        <f aca="false">IFERROR(INDEX('Bank Schedule'!AF:AF, SMALL(IF('Bank Schedule'!$K$2:$K$825="Vacant", ROW('Bank Schedule'!$K$2:$K$825)), ROW(34:34))), "")</f>
        <v/>
      </c>
      <c r="AG37" s="29" t="str">
        <f aca="false">IFERROR(INDEX('Bank Schedule'!AG:AG, SMALL(IF('Bank Schedule'!$K$2:$K$825="Vacant", ROW('Bank Schedule'!$K$2:$K$825)), ROW(34:34))), "")</f>
        <v/>
      </c>
      <c r="AH37" s="29" t="str">
        <f aca="false">IFERROR(INDEX('Bank Schedule'!AH:AH, SMALL(IF('Bank Schedule'!$K$2:$K$825="Vacant", ROW('Bank Schedule'!$K$2:$K$825)), ROW(34:34))), "")</f>
        <v/>
      </c>
      <c r="AI37" s="4"/>
    </row>
    <row r="38" customFormat="false" ht="28.5" hidden="false" customHeight="true" outlineLevel="0" collapsed="false">
      <c r="A38" s="29" t="str">
        <f aca="false">IFERROR(INDEX('Bank Schedule'!A:A, SMALL(IF('Bank Schedule'!$K$2:$K$825="Vacant", ROW('Bank Schedule'!$K$2:$K$825)), ROW(35:35))), "")</f>
        <v/>
      </c>
      <c r="B38" s="29" t="str">
        <f aca="false" t="array" ref="B38:B38">IFERROR(INDEX('Bank Schedule'!B:B, SMALL(IF('Bank Schedule'!$K$2:$K$825="Vacant", ROW('Bank Schedule'!$K$2:$K$825)), ROW(35:35))), "")</f>
        <v>CD</v>
      </c>
      <c r="C38" s="29" t="str">
        <f aca="false" t="array" ref="C38:C38">IFERROR(INDEX('Bank Schedule'!C:C, SMALL(IF('Bank Schedule'!$K$2:$K$825="Vacant", ROW('Bank Schedule'!$K$2:$K$825)), ROW(35:35))), "")</f>
        <v>MEL</v>
      </c>
      <c r="D38" s="29" t="n">
        <f aca="false" t="array" ref="D38:D38">IFERROR(INDEX('Bank Schedule'!D:D, SMALL(IF('Bank Schedule'!$K$2:$K$825="Vacant", ROW('Bank Schedule'!$K$2:$K$825)), ROW(35:35))), "")</f>
        <v>550300</v>
      </c>
      <c r="E38" s="29" t="str">
        <f aca="false" t="array" ref="E38:E38">IFERROR(INDEX('Bank Schedule'!E:E, SMALL(IF('Bank Schedule'!$K$2:$K$825="Vacant", ROW('Bank Schedule'!$K$2:$K$825)), ROW(35:35))), "")</f>
        <v>3/4/4a Little Portland Street</v>
      </c>
      <c r="F38" s="29" t="str">
        <f aca="false" t="array" ref="F38:F38">IFERROR(INDEX('Bank Schedule'!F:F, SMALL(IF('Bank Schedule'!$K$2:$K$825="Vacant", ROW('Bank Schedule'!$K$2:$K$825)), ROW(35:35))), "")</f>
        <v>Second Floor (East) </v>
      </c>
      <c r="G38" s="29" t="str">
        <f aca="false" t="array" ref="G38:G38">IFERROR(INDEX('Bank Schedule'!G:G, SMALL(IF('Bank Schedule'!$K$2:$K$825="Vacant", ROW('Bank Schedule'!$K$2:$K$825)), ROW(35:35))), "")</f>
        <v>Office</v>
      </c>
      <c r="H38" s="305" t="n">
        <f aca="false" t="array" ref="H38:H38">IFERROR(INDEX('Bank Schedule'!H:H, SMALL(IF('Bank Schedule'!$K$2:$K$825="Vacant", ROW('Bank Schedule'!$K$2:$K$825)), ROW(35:35))), "")</f>
        <v>130</v>
      </c>
      <c r="I38" s="29" t="n">
        <f aca="false" t="array" ref="I38:I38">IFERROR(INDEX('Bank Schedule'!I:I, SMALL(IF('Bank Schedule'!$K$2:$K$825="Vacant", ROW('Bank Schedule'!$K$2:$K$825)), ROW(35:35))), "")</f>
        <v>130</v>
      </c>
      <c r="J38" s="305" t="n">
        <f aca="false" t="array" ref="J38:J38">IFERROR(INDEX('Bank Schedule'!J:J, SMALL(IF('Bank Schedule'!$K$2:$K$825="Vacant", ROW('Bank Schedule'!$K$2:$K$825)), ROW(35:35))), "")</f>
        <v>250</v>
      </c>
      <c r="K38" s="29" t="str">
        <f aca="false" t="array" ref="K38:K38">IFERROR(INDEX('Bank Schedule'!K:K, SMALL(IF('Bank Schedule'!$K$2:$K$825="Vacant", ROW('Bank Schedule'!$K$2:$K$825)), ROW(35:35))), "")</f>
        <v>Vacant</v>
      </c>
      <c r="L38" s="29" t="str">
        <f aca="false">IFERROR(INDEX('Bank Schedule'!L:L, SMALL(IF('Bank Schedule'!$K$2:$K$825="Vacant", ROW('Bank Schedule'!$K$2:$K$825)), ROW(35:35))), "")</f>
        <v/>
      </c>
      <c r="M38" s="29" t="str">
        <f aca="false">IFERROR(INDEX('Bank Schedule'!M:M, SMALL(IF('Bank Schedule'!$K$2:$K$825="Vacant", ROW('Bank Schedule'!$K$2:$K$825)), ROW(35:35))), "")</f>
        <v/>
      </c>
      <c r="N38" s="307" t="n">
        <f aca="false" t="array" ref="N38:N38">IFERROR(INDEX('Bank Schedule'!N:N, SMALL(IF('Bank Schedule'!$K$2:$K$825="Vacant", ROW('Bank Schedule'!$K$2:$K$825)), ROW(35:35))), "")</f>
        <v>45173</v>
      </c>
      <c r="O38" s="29" t="str">
        <f aca="false">IFERROR(INDEX('Bank Schedule'!O:O, SMALL(IF('Bank Schedule'!$K$2:$K$825="Vacant", ROW('Bank Schedule'!$K$2:$K$825)), ROW(35:35))), "")</f>
        <v/>
      </c>
      <c r="P38" s="29" t="str">
        <f aca="false">IFERROR(INDEX('Bank Schedule'!P:P, SMALL(IF('Bank Schedule'!$K$2:$K$825="Vacant", ROW('Bank Schedule'!$K$2:$K$825)), ROW(35:35))), "")</f>
        <v/>
      </c>
      <c r="Q38" s="29" t="n">
        <f aca="false" t="array" ref="Q38:Q38">IFERROR(INDEX('Bank Schedule'!Q:Q, SMALL(IF('Bank Schedule'!$K$2:$K$825="Vacant", ROW('Bank Schedule'!$K$2:$K$825)), ROW(35:35))), "")</f>
        <v>0</v>
      </c>
      <c r="R38" s="29" t="n">
        <f aca="false" t="array" ref="R38:R38">IFERROR(INDEX('Bank Schedule'!R:R, SMALL(IF('Bank Schedule'!$K$2:$K$825="Vacant", ROW('Bank Schedule'!$K$2:$K$825)), ROW(35:35))), "")</f>
        <v>0</v>
      </c>
      <c r="S38" s="29" t="str">
        <f aca="false">IFERROR(INDEX('Bank Schedule'!S:S, SMALL(IF('Bank Schedule'!$K$2:$K$825="Vacant", ROW('Bank Schedule'!$K$2:$K$825)), ROW(35:35))), "")</f>
        <v/>
      </c>
      <c r="T38" s="309" t="n">
        <f aca="false" t="array" ref="T38:T38">IFERROR(INDEX('Bank Schedule'!T:T, SMALL(IF('Bank Schedule'!$K$2:$K$825="Vacant", ROW('Bank Schedule'!$K$2:$K$825)), ROW(35:35))), "")</f>
        <v>8120</v>
      </c>
      <c r="U38" s="309" t="n">
        <f aca="false" t="array" ref="U38:U38">IFERROR(INDEX('Bank Schedule'!U:U, SMALL(IF('Bank Schedule'!$K$2:$K$825="Vacant", ROW('Bank Schedule'!$K$2:$K$825)), ROW(35:35))), "")</f>
        <v>8120</v>
      </c>
      <c r="V38" s="309" t="n">
        <f aca="false" t="array" ref="V38:V38">IFERROR(INDEX('Bank Schedule'!V:V, SMALL(IF('Bank Schedule'!$K$2:$K$825="Vacant", ROW('Bank Schedule'!$K$2:$K$825)), ROW(35:35))), "")</f>
        <v>8000</v>
      </c>
      <c r="W38" s="309" t="n">
        <f aca="false" t="array" ref="W38:W38">IFERROR(INDEX('Bank Schedule'!W:W, SMALL(IF('Bank Schedule'!$K$2:$K$825="Vacant", ROW('Bank Schedule'!$K$2:$K$825)), ROW(35:35))), "")</f>
        <v>8000</v>
      </c>
      <c r="X38" s="309" t="n">
        <f aca="false" t="array" ref="X38:X38">IFERROR(INDEX('Bank Schedule'!X:X, SMALL(IF('Bank Schedule'!$K$2:$K$825="Vacant", ROW('Bank Schedule'!$K$2:$K$825)), ROW(35:35))), "")</f>
        <v>61.5384615384615</v>
      </c>
      <c r="Y38" s="310" t="n">
        <f aca="false" t="array" ref="Y38:Y38">IFERROR(INDEX('Bank Schedule'!Y:Y, SMALL(IF('Bank Schedule'!$K$2:$K$825="Vacant", ROW('Bank Schedule'!$K$2:$K$825)), ROW(35:35))), "")</f>
        <v>-0.0147783251231527</v>
      </c>
      <c r="Z38" s="29" t="str">
        <f aca="false" t="array" ref="Z38:Z38">IFERROR(INDEX('Bank Schedule'!Z:Z, SMALL(IF('Bank Schedule'!$K$2:$K$825="Vacant", ROW('Bank Schedule'!$K$2:$K$825)), ROW(35:35))), "")</f>
        <v>E</v>
      </c>
      <c r="AA38" s="29" t="str">
        <f aca="false">IFERROR(INDEX('Bank Schedule'!AA:AA, SMALL(IF('Bank Schedule'!$K$2:$K$825="Vacant", ROW('Bank Schedule'!$K$2:$K$825)), ROW(35:35))), "")</f>
        <v/>
      </c>
      <c r="AB38" s="29" t="str">
        <f aca="false">IFERROR(INDEX('Bank Schedule'!AB:AB, SMALL(IF('Bank Schedule'!$K$2:$K$825="Vacant", ROW('Bank Schedule'!$K$2:$K$825)), ROW(35:35))), "")</f>
        <v/>
      </c>
      <c r="AC38" s="29" t="str">
        <f aca="false" t="array" ref="AC38:AC38">IFERROR(INDEX('Bank Schedule'!AC:AC, SMALL(IF('Bank Schedule'!$K$2:$K$825="Vacant", ROW('Bank Schedule'!$K$2:$K$825)), ROW(35:35))), "")</f>
        <v>No</v>
      </c>
      <c r="AD38" s="29" t="str">
        <f aca="false" t="array" ref="AD38:AD38">IFERROR(INDEX('Bank Schedule'!AD:AD, SMALL(IF('Bank Schedule'!$K$2:$K$825="Vacant", ROW('Bank Schedule'!$K$2:$K$825)), ROW(35:35))), "")</f>
        <v>LEM marketing.</v>
      </c>
      <c r="AE38" s="281" t="str">
        <f aca="false">IFERROR(INDEX('Bank Schedule'!AE:AE, SMALL(IF('Bank Schedule'!$K$2:$K$825="Vacant", ROW('Bank Schedule'!$K$2:$K$825)), ROW(35:35))), "")</f>
        <v/>
      </c>
      <c r="AF38" s="29" t="str">
        <f aca="false">IFERROR(INDEX('Bank Schedule'!AF:AF, SMALL(IF('Bank Schedule'!$K$2:$K$825="Vacant", ROW('Bank Schedule'!$K$2:$K$825)), ROW(35:35))), "")</f>
        <v/>
      </c>
      <c r="AG38" s="29" t="str">
        <f aca="false">IFERROR(INDEX('Bank Schedule'!AG:AG, SMALL(IF('Bank Schedule'!$K$2:$K$825="Vacant", ROW('Bank Schedule'!$K$2:$K$825)), ROW(35:35))), "")</f>
        <v/>
      </c>
      <c r="AH38" s="29" t="str">
        <f aca="false">IFERROR(INDEX('Bank Schedule'!AH:AH, SMALL(IF('Bank Schedule'!$K$2:$K$825="Vacant", ROW('Bank Schedule'!$K$2:$K$825)), ROW(35:35))), "")</f>
        <v/>
      </c>
      <c r="AI38" s="4"/>
    </row>
    <row r="39" customFormat="false" ht="28.5" hidden="false" customHeight="true" outlineLevel="0" collapsed="false">
      <c r="A39" s="29" t="str">
        <f aca="false">IFERROR(INDEX('Bank Schedule'!A:A, SMALL(IF('Bank Schedule'!$K$2:$K$825="Vacant", ROW('Bank Schedule'!$K$2:$K$825)), ROW(36:36))), "")</f>
        <v/>
      </c>
      <c r="B39" s="29" t="str">
        <f aca="false" t="array" ref="B39:B39">IFERROR(INDEX('Bank Schedule'!B:B, SMALL(IF('Bank Schedule'!$K$2:$K$825="Vacant", ROW('Bank Schedule'!$K$2:$K$825)), ROW(36:36))), "")</f>
        <v>CD</v>
      </c>
      <c r="C39" s="29" t="str">
        <f aca="false" t="array" ref="C39:C39">IFERROR(INDEX('Bank Schedule'!C:C, SMALL(IF('Bank Schedule'!$K$2:$K$825="Vacant", ROW('Bank Schedule'!$K$2:$K$825)), ROW(36:36))), "")</f>
        <v>MEL</v>
      </c>
      <c r="D39" s="29" t="n">
        <f aca="false" t="array" ref="D39:D39">IFERROR(INDEX('Bank Schedule'!D:D, SMALL(IF('Bank Schedule'!$K$2:$K$825="Vacant", ROW('Bank Schedule'!$K$2:$K$825)), ROW(36:36))), "")</f>
        <v>550300</v>
      </c>
      <c r="E39" s="29" t="str">
        <f aca="false" t="array" ref="E39:E39">IFERROR(INDEX('Bank Schedule'!E:E, SMALL(IF('Bank Schedule'!$K$2:$K$825="Vacant", ROW('Bank Schedule'!$K$2:$K$825)), ROW(36:36))), "")</f>
        <v>3/4/4a Little Portland Street</v>
      </c>
      <c r="F39" s="29" t="str">
        <f aca="false" t="array" ref="F39:F39">IFERROR(INDEX('Bank Schedule'!F:F, SMALL(IF('Bank Schedule'!$K$2:$K$825="Vacant", ROW('Bank Schedule'!$K$2:$K$825)), ROW(36:36))), "")</f>
        <v>Second (Rear) &amp; Part Ground (Storage)</v>
      </c>
      <c r="G39" s="29" t="str">
        <f aca="false" t="array" ref="G39:G39">IFERROR(INDEX('Bank Schedule'!G:G, SMALL(IF('Bank Schedule'!$K$2:$K$825="Vacant", ROW('Bank Schedule'!$K$2:$K$825)), ROW(36:36))), "")</f>
        <v> Office &amp; Storage</v>
      </c>
      <c r="H39" s="305" t="n">
        <f aca="false" t="array" ref="H39:H39">IFERROR(INDEX('Bank Schedule'!H:H, SMALL(IF('Bank Schedule'!$K$2:$K$825="Vacant", ROW('Bank Schedule'!$K$2:$K$825)), ROW(36:36))), "")</f>
        <v>1074</v>
      </c>
      <c r="I39" s="29" t="n">
        <f aca="false" t="array" ref="I39:I39">IFERROR(INDEX('Bank Schedule'!I:I, SMALL(IF('Bank Schedule'!$K$2:$K$825="Vacant", ROW('Bank Schedule'!$K$2:$K$825)), ROW(36:36))), "")</f>
        <v>1074</v>
      </c>
      <c r="J39" s="305" t="n">
        <f aca="false" t="array" ref="J39:J39">IFERROR(INDEX('Bank Schedule'!J:J, SMALL(IF('Bank Schedule'!$K$2:$K$825="Vacant", ROW('Bank Schedule'!$K$2:$K$825)), ROW(36:36))), "")</f>
        <v>1000</v>
      </c>
      <c r="K39" s="29" t="str">
        <f aca="false" t="array" ref="K39:K39">IFERROR(INDEX('Bank Schedule'!K:K, SMALL(IF('Bank Schedule'!$K$2:$K$825="Vacant", ROW('Bank Schedule'!$K$2:$K$825)), ROW(36:36))), "")</f>
        <v>Vacant</v>
      </c>
      <c r="L39" s="29" t="str">
        <f aca="false">IFERROR(INDEX('Bank Schedule'!L:L, SMALL(IF('Bank Schedule'!$K$2:$K$825="Vacant", ROW('Bank Schedule'!$K$2:$K$825)), ROW(36:36))), "")</f>
        <v/>
      </c>
      <c r="M39" s="29" t="str">
        <f aca="false">IFERROR(INDEX('Bank Schedule'!M:M, SMALL(IF('Bank Schedule'!$K$2:$K$825="Vacant", ROW('Bank Schedule'!$K$2:$K$825)), ROW(36:36))), "")</f>
        <v/>
      </c>
      <c r="N39" s="307" t="n">
        <f aca="false" t="array" ref="N39:N39">IFERROR(INDEX('Bank Schedule'!N:N, SMALL(IF('Bank Schedule'!$K$2:$K$825="Vacant", ROW('Bank Schedule'!$K$2:$K$825)), ROW(36:36))), "")</f>
        <v>45003</v>
      </c>
      <c r="O39" s="29" t="str">
        <f aca="false">IFERROR(INDEX('Bank Schedule'!O:O, SMALL(IF('Bank Schedule'!$K$2:$K$825="Vacant", ROW('Bank Schedule'!$K$2:$K$825)), ROW(36:36))), "")</f>
        <v/>
      </c>
      <c r="P39" s="29" t="str">
        <f aca="false">IFERROR(INDEX('Bank Schedule'!P:P, SMALL(IF('Bank Schedule'!$K$2:$K$825="Vacant", ROW('Bank Schedule'!$K$2:$K$825)), ROW(36:36))), "")</f>
        <v/>
      </c>
      <c r="Q39" s="29" t="n">
        <f aca="false" t="array" ref="Q39:Q39">IFERROR(INDEX('Bank Schedule'!Q:Q, SMALL(IF('Bank Schedule'!$K$2:$K$825="Vacant", ROW('Bank Schedule'!$K$2:$K$825)), ROW(36:36))), "")</f>
        <v>0</v>
      </c>
      <c r="R39" s="29" t="n">
        <f aca="false" t="array" ref="R39:R39">IFERROR(INDEX('Bank Schedule'!R:R, SMALL(IF('Bank Schedule'!$K$2:$K$825="Vacant", ROW('Bank Schedule'!$K$2:$K$825)), ROW(36:36))), "")</f>
        <v>0</v>
      </c>
      <c r="S39" s="29" t="str">
        <f aca="false">IFERROR(INDEX('Bank Schedule'!S:S, SMALL(IF('Bank Schedule'!$K$2:$K$825="Vacant", ROW('Bank Schedule'!$K$2:$K$825)), ROW(36:36))), "")</f>
        <v/>
      </c>
      <c r="T39" s="309" t="n">
        <f aca="false" t="array" ref="T39:T39">IFERROR(INDEX('Bank Schedule'!T:T, SMALL(IF('Bank Schedule'!$K$2:$K$825="Vacant", ROW('Bank Schedule'!$K$2:$K$825)), ROW(36:36))), "")</f>
        <v>72100</v>
      </c>
      <c r="U39" s="309" t="n">
        <f aca="false" t="array" ref="U39:U39">IFERROR(INDEX('Bank Schedule'!U:U, SMALL(IF('Bank Schedule'!$K$2:$K$825="Vacant", ROW('Bank Schedule'!$K$2:$K$825)), ROW(36:36))), "")</f>
        <v>72100</v>
      </c>
      <c r="V39" s="309" t="n">
        <f aca="false" t="array" ref="V39:V39">IFERROR(INDEX('Bank Schedule'!V:V, SMALL(IF('Bank Schedule'!$K$2:$K$825="Vacant", ROW('Bank Schedule'!$K$2:$K$825)), ROW(36:36))), "")</f>
        <v>66100</v>
      </c>
      <c r="W39" s="309" t="n">
        <f aca="false" t="array" ref="W39:W39">IFERROR(INDEX('Bank Schedule'!W:W, SMALL(IF('Bank Schedule'!$K$2:$K$825="Vacant", ROW('Bank Schedule'!$K$2:$K$825)), ROW(36:36))), "")</f>
        <v>66100</v>
      </c>
      <c r="X39" s="309" t="n">
        <f aca="false" t="array" ref="X39:X39">IFERROR(INDEX('Bank Schedule'!X:X, SMALL(IF('Bank Schedule'!$K$2:$K$825="Vacant", ROW('Bank Schedule'!$K$2:$K$825)), ROW(36:36))), "")</f>
        <v>61.5456238361266</v>
      </c>
      <c r="Y39" s="310" t="n">
        <f aca="false" t="array" ref="Y39:Y39">IFERROR(INDEX('Bank Schedule'!Y:Y, SMALL(IF('Bank Schedule'!$K$2:$K$825="Vacant", ROW('Bank Schedule'!$K$2:$K$825)), ROW(36:36))), "")</f>
        <v>-0.0832177531206658</v>
      </c>
      <c r="Z39" s="29" t="str">
        <f aca="false" t="array" ref="Z39:Z39">IFERROR(INDEX('Bank Schedule'!Z:Z, SMALL(IF('Bank Schedule'!$K$2:$K$825="Vacant", ROW('Bank Schedule'!$K$2:$K$825)), ROW(36:36))), "")</f>
        <v>E</v>
      </c>
      <c r="AA39" s="29" t="str">
        <f aca="false" t="array" ref="AA39:AA39">IFERROR(INDEX('Bank Schedule'!AA:AA, SMALL(IF('Bank Schedule'!$K$2:$K$825="Vacant", ROW('Bank Schedule'!$K$2:$K$825)), ROW(36:36))), "")</f>
        <v>*</v>
      </c>
      <c r="AB39" s="29" t="str">
        <f aca="false">IFERROR(INDEX('Bank Schedule'!AB:AB, SMALL(IF('Bank Schedule'!$K$2:$K$825="Vacant", ROW('Bank Schedule'!$K$2:$K$825)), ROW(36:36))), "")</f>
        <v/>
      </c>
      <c r="AC39" s="29" t="str">
        <f aca="false" t="array" ref="AC39:AC39">IFERROR(INDEX('Bank Schedule'!AC:AC, SMALL(IF('Bank Schedule'!$K$2:$K$825="Vacant", ROW('Bank Schedule'!$K$2:$K$825)), ROW(36:36))), "")</f>
        <v>No</v>
      </c>
      <c r="AD39" s="29" t="str">
        <f aca="false" t="array" ref="AD39:AD39">IFERROR(INDEX('Bank Schedule'!AD:AD, SMALL(IF('Bank Schedule'!$K$2:$K$825="Vacant", ROW('Bank Schedule'!$K$2:$K$825)), ROW(36:36))), "")</f>
        <v>LEM marketing.</v>
      </c>
      <c r="AE39" s="281" t="n">
        <f aca="false" t="array" ref="AE39:AE39">IFERROR(INDEX('Bank Schedule'!AE:AE, SMALL(IF('Bank Schedule'!$K$2:$K$825="Vacant", ROW('Bank Schedule'!$K$2:$K$825)), ROW(36:36))), "")</f>
        <v>67.5</v>
      </c>
      <c r="AF39" s="29" t="n">
        <f aca="false" t="array" ref="AF39:AF39">IFERROR(INDEX('Bank Schedule'!AF:AF, SMALL(IF('Bank Schedule'!$K$2:$K$825="Vacant", ROW('Bank Schedule'!$K$2:$K$825)), ROW(36:36))), "")</f>
        <v>2</v>
      </c>
      <c r="AG39" s="29" t="n">
        <f aca="false" t="array" ref="AG39:AG39">IFERROR(INDEX('Bank Schedule'!AG:AG, SMALL(IF('Bank Schedule'!$K$2:$K$825="Vacant", ROW('Bank Schedule'!$K$2:$K$825)), ROW(36:36))), "")</f>
        <v>5</v>
      </c>
      <c r="AH39" s="29" t="str">
        <f aca="false">IFERROR(INDEX('Bank Schedule'!AH:AH, SMALL(IF('Bank Schedule'!$K$2:$K$825="Vacant", ROW('Bank Schedule'!$K$2:$K$825)), ROW(36:36))), "")</f>
        <v/>
      </c>
      <c r="AI39" s="4"/>
    </row>
    <row r="40" customFormat="false" ht="28.5" hidden="false" customHeight="true" outlineLevel="0" collapsed="false">
      <c r="A40" s="29" t="str">
        <f aca="false">IFERROR(INDEX('Bank Schedule'!A:A, SMALL(IF('Bank Schedule'!$K$2:$K$825="Vacant", ROW('Bank Schedule'!$K$2:$K$825)), ROW(37:37))), "")</f>
        <v/>
      </c>
      <c r="B40" s="29" t="str">
        <f aca="false" t="array" ref="B40:B40">IFERROR(INDEX('Bank Schedule'!B:B, SMALL(IF('Bank Schedule'!$K$2:$K$825="Vacant", ROW('Bank Schedule'!$K$2:$K$825)), ROW(37:37))), "")</f>
        <v>CD</v>
      </c>
      <c r="C40" s="29" t="str">
        <f aca="false" t="array" ref="C40:C40">IFERROR(INDEX('Bank Schedule'!C:C, SMALL(IF('Bank Schedule'!$K$2:$K$825="Vacant", ROW('Bank Schedule'!$K$2:$K$825)), ROW(37:37))), "")</f>
        <v>MEL</v>
      </c>
      <c r="D40" s="29" t="n">
        <f aca="false" t="array" ref="D40:D40">IFERROR(INDEX('Bank Schedule'!D:D, SMALL(IF('Bank Schedule'!$K$2:$K$825="Vacant", ROW('Bank Schedule'!$K$2:$K$825)), ROW(37:37))), "")</f>
        <v>551010</v>
      </c>
      <c r="E40" s="29" t="str">
        <f aca="false" t="array" ref="E40:E40">IFERROR(INDEX('Bank Schedule'!E:E, SMALL(IF('Bank Schedule'!$K$2:$K$825="Vacant", ROW('Bank Schedule'!$K$2:$K$825)), ROW(37:37))), "")</f>
        <v>9 Little Portland Street</v>
      </c>
      <c r="F40" s="29" t="str">
        <f aca="false" t="array" ref="F40:F40">IFERROR(INDEX('Bank Schedule'!F:F, SMALL(IF('Bank Schedule'!$K$2:$K$825="Vacant", ROW('Bank Schedule'!$K$2:$K$825)), ROW(37:37))), "")</f>
        <v>First Floor</v>
      </c>
      <c r="G40" s="29" t="str">
        <f aca="false" t="array" ref="G40:G40">IFERROR(INDEX('Bank Schedule'!G:G, SMALL(IF('Bank Schedule'!$K$2:$K$825="Vacant", ROW('Bank Schedule'!$K$2:$K$825)), ROW(37:37))), "")</f>
        <v>Office</v>
      </c>
      <c r="H40" s="305" t="n">
        <f aca="false" t="array" ref="H40:H40">IFERROR(INDEX('Bank Schedule'!H:H, SMALL(IF('Bank Schedule'!$K$2:$K$825="Vacant", ROW('Bank Schedule'!$K$2:$K$825)), ROW(37:37))), "")</f>
        <v>452</v>
      </c>
      <c r="I40" s="29" t="n">
        <f aca="false" t="array" ref="I40:I40">IFERROR(INDEX('Bank Schedule'!I:I, SMALL(IF('Bank Schedule'!$K$2:$K$825="Vacant", ROW('Bank Schedule'!$K$2:$K$825)), ROW(37:37))), "")</f>
        <v>452</v>
      </c>
      <c r="J40" s="305" t="n">
        <f aca="false" t="array" ref="J40:J40">IFERROR(INDEX('Bank Schedule'!J:J, SMALL(IF('Bank Schedule'!$K$2:$K$825="Vacant", ROW('Bank Schedule'!$K$2:$K$825)), ROW(37:37))), "")</f>
        <v>500</v>
      </c>
      <c r="K40" s="29" t="str">
        <f aca="false" t="array" ref="K40:K40">IFERROR(INDEX('Bank Schedule'!K:K, SMALL(IF('Bank Schedule'!$K$2:$K$825="Vacant", ROW('Bank Schedule'!$K$2:$K$825)), ROW(37:37))), "")</f>
        <v>Vacant</v>
      </c>
      <c r="L40" s="29" t="str">
        <f aca="false">IFERROR(INDEX('Bank Schedule'!L:L, SMALL(IF('Bank Schedule'!$K$2:$K$825="Vacant", ROW('Bank Schedule'!$K$2:$K$825)), ROW(37:37))), "")</f>
        <v/>
      </c>
      <c r="M40" s="29" t="str">
        <f aca="false">IFERROR(INDEX('Bank Schedule'!M:M, SMALL(IF('Bank Schedule'!$K$2:$K$825="Vacant", ROW('Bank Schedule'!$K$2:$K$825)), ROW(37:37))), "")</f>
        <v/>
      </c>
      <c r="N40" s="307" t="n">
        <f aca="false" t="array" ref="N40:N40">IFERROR(INDEX('Bank Schedule'!N:N, SMALL(IF('Bank Schedule'!$K$2:$K$825="Vacant", ROW('Bank Schedule'!$K$2:$K$825)), ROW(37:37))), "")</f>
        <v>43466</v>
      </c>
      <c r="O40" s="29" t="str">
        <f aca="false">IFERROR(INDEX('Bank Schedule'!O:O, SMALL(IF('Bank Schedule'!$K$2:$K$825="Vacant", ROW('Bank Schedule'!$K$2:$K$825)), ROW(37:37))), "")</f>
        <v/>
      </c>
      <c r="P40" s="29" t="str">
        <f aca="false">IFERROR(INDEX('Bank Schedule'!P:P, SMALL(IF('Bank Schedule'!$K$2:$K$825="Vacant", ROW('Bank Schedule'!$K$2:$K$825)), ROW(37:37))), "")</f>
        <v/>
      </c>
      <c r="Q40" s="29" t="n">
        <f aca="false" t="array" ref="Q40:Q40">IFERROR(INDEX('Bank Schedule'!Q:Q, SMALL(IF('Bank Schedule'!$K$2:$K$825="Vacant", ROW('Bank Schedule'!$K$2:$K$825)), ROW(37:37))), "")</f>
        <v>0</v>
      </c>
      <c r="R40" s="29" t="n">
        <f aca="false" t="array" ref="R40:R40">IFERROR(INDEX('Bank Schedule'!R:R, SMALL(IF('Bank Schedule'!$K$2:$K$825="Vacant", ROW('Bank Schedule'!$K$2:$K$825)), ROW(37:37))), "")</f>
        <v>0</v>
      </c>
      <c r="S40" s="29" t="str">
        <f aca="false">IFERROR(INDEX('Bank Schedule'!S:S, SMALL(IF('Bank Schedule'!$K$2:$K$825="Vacant", ROW('Bank Schedule'!$K$2:$K$825)), ROW(37:37))), "")</f>
        <v/>
      </c>
      <c r="T40" s="309" t="n">
        <f aca="false" t="array" ref="T40:T40">IFERROR(INDEX('Bank Schedule'!T:T, SMALL(IF('Bank Schedule'!$K$2:$K$825="Vacant", ROW('Bank Schedule'!$K$2:$K$825)), ROW(37:37))), "")</f>
        <v>24900</v>
      </c>
      <c r="U40" s="309" t="n">
        <f aca="false" t="array" ref="U40:U40">IFERROR(INDEX('Bank Schedule'!U:U, SMALL(IF('Bank Schedule'!$K$2:$K$825="Vacant", ROW('Bank Schedule'!$K$2:$K$825)), ROW(37:37))), "")</f>
        <v>24900</v>
      </c>
      <c r="V40" s="309" t="n">
        <f aca="false" t="array" ref="V40:V40">IFERROR(INDEX('Bank Schedule'!V:V, SMALL(IF('Bank Schedule'!$K$2:$K$825="Vacant", ROW('Bank Schedule'!$K$2:$K$825)), ROW(37:37))), "")</f>
        <v>24900</v>
      </c>
      <c r="W40" s="309" t="n">
        <f aca="false" t="array" ref="W40:W40">IFERROR(INDEX('Bank Schedule'!W:W, SMALL(IF('Bank Schedule'!$K$2:$K$825="Vacant", ROW('Bank Schedule'!$K$2:$K$825)), ROW(37:37))), "")</f>
        <v>24900</v>
      </c>
      <c r="X40" s="309" t="n">
        <f aca="false" t="array" ref="X40:X40">IFERROR(INDEX('Bank Schedule'!X:X, SMALL(IF('Bank Schedule'!$K$2:$K$825="Vacant", ROW('Bank Schedule'!$K$2:$K$825)), ROW(37:37))), "")</f>
        <v>55.0884955752212</v>
      </c>
      <c r="Y40" s="310" t="n">
        <f aca="false" t="array" ref="Y40:Y40">IFERROR(INDEX('Bank Schedule'!Y:Y, SMALL(IF('Bank Schedule'!$K$2:$K$825="Vacant", ROW('Bank Schedule'!$K$2:$K$825)), ROW(37:37))), "")</f>
        <v>0</v>
      </c>
      <c r="Z40" s="29" t="str">
        <f aca="false" t="array" ref="Z40:Z40">IFERROR(INDEX('Bank Schedule'!Z:Z, SMALL(IF('Bank Schedule'!$K$2:$K$825="Vacant", ROW('Bank Schedule'!$K$2:$K$825)), ROW(37:37))), "")</f>
        <v>E</v>
      </c>
      <c r="AA40" s="29" t="str">
        <f aca="false">IFERROR(INDEX('Bank Schedule'!AA:AA, SMALL(IF('Bank Schedule'!$K$2:$K$825="Vacant", ROW('Bank Schedule'!$K$2:$K$825)), ROW(37:37))), "")</f>
        <v/>
      </c>
      <c r="AB40" s="29" t="str">
        <f aca="false">IFERROR(INDEX('Bank Schedule'!AB:AB, SMALL(IF('Bank Schedule'!$K$2:$K$825="Vacant", ROW('Bank Schedule'!$K$2:$K$825)), ROW(37:37))), "")</f>
        <v/>
      </c>
      <c r="AC40" s="29" t="str">
        <f aca="false" t="array" ref="AC40:AC40">IFERROR(INDEX('Bank Schedule'!AC:AC, SMALL(IF('Bank Schedule'!$K$2:$K$825="Vacant", ROW('Bank Schedule'!$K$2:$K$825)), ROW(37:37))), "")</f>
        <v>No</v>
      </c>
      <c r="AD40" s="29" t="str">
        <f aca="false" t="array" ref="AD40:AD40">IFERROR(INDEX('Bank Schedule'!AD:AD, SMALL(IF('Bank Schedule'!$K$2:$K$825="Vacant", ROW('Bank Schedule'!$K$2:$K$825)), ROW(37:37))), "")</f>
        <v>To be refurbished.</v>
      </c>
      <c r="AE40" s="281" t="str">
        <f aca="false">IFERROR(INDEX('Bank Schedule'!AE:AE, SMALL(IF('Bank Schedule'!$K$2:$K$825="Vacant", ROW('Bank Schedule'!$K$2:$K$825)), ROW(37:37))), "")</f>
        <v/>
      </c>
      <c r="AF40" s="29" t="str">
        <f aca="false">IFERROR(INDEX('Bank Schedule'!AF:AF, SMALL(IF('Bank Schedule'!$K$2:$K$825="Vacant", ROW('Bank Schedule'!$K$2:$K$825)), ROW(37:37))), "")</f>
        <v/>
      </c>
      <c r="AG40" s="29" t="str">
        <f aca="false">IFERROR(INDEX('Bank Schedule'!AG:AG, SMALL(IF('Bank Schedule'!$K$2:$K$825="Vacant", ROW('Bank Schedule'!$K$2:$K$825)), ROW(37:37))), "")</f>
        <v/>
      </c>
      <c r="AH40" s="29" t="str">
        <f aca="false">IFERROR(INDEX('Bank Schedule'!AH:AH, SMALL(IF('Bank Schedule'!$K$2:$K$825="Vacant", ROW('Bank Schedule'!$K$2:$K$825)), ROW(37:37))), "")</f>
        <v/>
      </c>
      <c r="AI40" s="4"/>
    </row>
    <row r="41" customFormat="false" ht="28.5" hidden="false" customHeight="true" outlineLevel="0" collapsed="false">
      <c r="A41" s="29" t="str">
        <f aca="false">IFERROR(INDEX('Bank Schedule'!A:A, SMALL(IF('Bank Schedule'!$K$2:$K$825="Vacant", ROW('Bank Schedule'!$K$2:$K$825)), ROW(38:38))), "")</f>
        <v/>
      </c>
      <c r="B41" s="29" t="str">
        <f aca="false" t="array" ref="B41:B41">IFERROR(INDEX('Bank Schedule'!B:B, SMALL(IF('Bank Schedule'!$K$2:$K$825="Vacant", ROW('Bank Schedule'!$K$2:$K$825)), ROW(38:38))), "")</f>
        <v>CD</v>
      </c>
      <c r="C41" s="29" t="str">
        <f aca="false" t="array" ref="C41:C41">IFERROR(INDEX('Bank Schedule'!C:C, SMALL(IF('Bank Schedule'!$K$2:$K$825="Vacant", ROW('Bank Schedule'!$K$2:$K$825)), ROW(38:38))), "")</f>
        <v>MEL</v>
      </c>
      <c r="D41" s="29" t="n">
        <f aca="false" t="array" ref="D41:D41">IFERROR(INDEX('Bank Schedule'!D:D, SMALL(IF('Bank Schedule'!$K$2:$K$825="Vacant", ROW('Bank Schedule'!$K$2:$K$825)), ROW(38:38))), "")</f>
        <v>551010</v>
      </c>
      <c r="E41" s="29" t="str">
        <f aca="false" t="array" ref="E41:E41">IFERROR(INDEX('Bank Schedule'!E:E, SMALL(IF('Bank Schedule'!$K$2:$K$825="Vacant", ROW('Bank Schedule'!$K$2:$K$825)), ROW(38:38))), "")</f>
        <v>9 Little Portland Street</v>
      </c>
      <c r="F41" s="29" t="str">
        <f aca="false" t="array" ref="F41:F41">IFERROR(INDEX('Bank Schedule'!F:F, SMALL(IF('Bank Schedule'!$K$2:$K$825="Vacant", ROW('Bank Schedule'!$K$2:$K$825)), ROW(38:38))), "")</f>
        <v>Second Floor </v>
      </c>
      <c r="G41" s="29" t="str">
        <f aca="false" t="array" ref="G41:G41">IFERROR(INDEX('Bank Schedule'!G:G, SMALL(IF('Bank Schedule'!$K$2:$K$825="Vacant", ROW('Bank Schedule'!$K$2:$K$825)), ROW(38:38))), "")</f>
        <v>Office</v>
      </c>
      <c r="H41" s="305" t="n">
        <f aca="false" t="array" ref="H41:H41">IFERROR(INDEX('Bank Schedule'!H:H, SMALL(IF('Bank Schedule'!$K$2:$K$825="Vacant", ROW('Bank Schedule'!$K$2:$K$825)), ROW(38:38))), "")</f>
        <v>437</v>
      </c>
      <c r="I41" s="29" t="n">
        <f aca="false" t="array" ref="I41:I41">IFERROR(INDEX('Bank Schedule'!I:I, SMALL(IF('Bank Schedule'!$K$2:$K$825="Vacant", ROW('Bank Schedule'!$K$2:$K$825)), ROW(38:38))), "")</f>
        <v>437</v>
      </c>
      <c r="J41" s="305" t="n">
        <f aca="false" t="array" ref="J41:J41">IFERROR(INDEX('Bank Schedule'!J:J, SMALL(IF('Bank Schedule'!$K$2:$K$825="Vacant", ROW('Bank Schedule'!$K$2:$K$825)), ROW(38:38))), "")</f>
        <v>500</v>
      </c>
      <c r="K41" s="29" t="str">
        <f aca="false" t="array" ref="K41:K41">IFERROR(INDEX('Bank Schedule'!K:K, SMALL(IF('Bank Schedule'!$K$2:$K$825="Vacant", ROW('Bank Schedule'!$K$2:$K$825)), ROW(38:38))), "")</f>
        <v>Vacant</v>
      </c>
      <c r="L41" s="29" t="str">
        <f aca="false">IFERROR(INDEX('Bank Schedule'!L:L, SMALL(IF('Bank Schedule'!$K$2:$K$825="Vacant", ROW('Bank Schedule'!$K$2:$K$825)), ROW(38:38))), "")</f>
        <v/>
      </c>
      <c r="M41" s="29" t="str">
        <f aca="false">IFERROR(INDEX('Bank Schedule'!M:M, SMALL(IF('Bank Schedule'!$K$2:$K$825="Vacant", ROW('Bank Schedule'!$K$2:$K$825)), ROW(38:38))), "")</f>
        <v/>
      </c>
      <c r="N41" s="307" t="n">
        <f aca="false" t="array" ref="N41:N41">IFERROR(INDEX('Bank Schedule'!N:N, SMALL(IF('Bank Schedule'!$K$2:$K$825="Vacant", ROW('Bank Schedule'!$K$2:$K$825)), ROW(38:38))), "")</f>
        <v>43466</v>
      </c>
      <c r="O41" s="29" t="str">
        <f aca="false">IFERROR(INDEX('Bank Schedule'!O:O, SMALL(IF('Bank Schedule'!$K$2:$K$825="Vacant", ROW('Bank Schedule'!$K$2:$K$825)), ROW(38:38))), "")</f>
        <v/>
      </c>
      <c r="P41" s="29" t="str">
        <f aca="false">IFERROR(INDEX('Bank Schedule'!P:P, SMALL(IF('Bank Schedule'!$K$2:$K$825="Vacant", ROW('Bank Schedule'!$K$2:$K$825)), ROW(38:38))), "")</f>
        <v/>
      </c>
      <c r="Q41" s="29" t="n">
        <f aca="false" t="array" ref="Q41:Q41">IFERROR(INDEX('Bank Schedule'!Q:Q, SMALL(IF('Bank Schedule'!$K$2:$K$825="Vacant", ROW('Bank Schedule'!$K$2:$K$825)), ROW(38:38))), "")</f>
        <v>0</v>
      </c>
      <c r="R41" s="29" t="n">
        <f aca="false" t="array" ref="R41:R41">IFERROR(INDEX('Bank Schedule'!R:R, SMALL(IF('Bank Schedule'!$K$2:$K$825="Vacant", ROW('Bank Schedule'!$K$2:$K$825)), ROW(38:38))), "")</f>
        <v>0</v>
      </c>
      <c r="S41" s="29" t="str">
        <f aca="false">IFERROR(INDEX('Bank Schedule'!S:S, SMALL(IF('Bank Schedule'!$K$2:$K$825="Vacant", ROW('Bank Schedule'!$K$2:$K$825)), ROW(38:38))), "")</f>
        <v/>
      </c>
      <c r="T41" s="309" t="n">
        <f aca="false" t="array" ref="T41:T41">IFERROR(INDEX('Bank Schedule'!T:T, SMALL(IF('Bank Schedule'!$K$2:$K$825="Vacant", ROW('Bank Schedule'!$K$2:$K$825)), ROW(38:38))), "")</f>
        <v>24000</v>
      </c>
      <c r="U41" s="309" t="n">
        <f aca="false" t="array" ref="U41:U41">IFERROR(INDEX('Bank Schedule'!U:U, SMALL(IF('Bank Schedule'!$K$2:$K$825="Vacant", ROW('Bank Schedule'!$K$2:$K$825)), ROW(38:38))), "")</f>
        <v>24000</v>
      </c>
      <c r="V41" s="309" t="n">
        <f aca="false" t="array" ref="V41:V41">IFERROR(INDEX('Bank Schedule'!V:V, SMALL(IF('Bank Schedule'!$K$2:$K$825="Vacant", ROW('Bank Schedule'!$K$2:$K$825)), ROW(38:38))), "")</f>
        <v>24000</v>
      </c>
      <c r="W41" s="309" t="n">
        <f aca="false" t="array" ref="W41:W41">IFERROR(INDEX('Bank Schedule'!W:W, SMALL(IF('Bank Schedule'!$K$2:$K$825="Vacant", ROW('Bank Schedule'!$K$2:$K$825)), ROW(38:38))), "")</f>
        <v>24000</v>
      </c>
      <c r="X41" s="309" t="n">
        <f aca="false" t="array" ref="X41:X41">IFERROR(INDEX('Bank Schedule'!X:X, SMALL(IF('Bank Schedule'!$K$2:$K$825="Vacant", ROW('Bank Schedule'!$K$2:$K$825)), ROW(38:38))), "")</f>
        <v>54.9199084668192</v>
      </c>
      <c r="Y41" s="310" t="n">
        <f aca="false" t="array" ref="Y41:Y41">IFERROR(INDEX('Bank Schedule'!Y:Y, SMALL(IF('Bank Schedule'!$K$2:$K$825="Vacant", ROW('Bank Schedule'!$K$2:$K$825)), ROW(38:38))), "")</f>
        <v>0</v>
      </c>
      <c r="Z41" s="29" t="str">
        <f aca="false" t="array" ref="Z41:Z41">IFERROR(INDEX('Bank Schedule'!Z:Z, SMALL(IF('Bank Schedule'!$K$2:$K$825="Vacant", ROW('Bank Schedule'!$K$2:$K$825)), ROW(38:38))), "")</f>
        <v>E</v>
      </c>
      <c r="AA41" s="29" t="str">
        <f aca="false">IFERROR(INDEX('Bank Schedule'!AA:AA, SMALL(IF('Bank Schedule'!$K$2:$K$825="Vacant", ROW('Bank Schedule'!$K$2:$K$825)), ROW(38:38))), "")</f>
        <v/>
      </c>
      <c r="AB41" s="29" t="str">
        <f aca="false">IFERROR(INDEX('Bank Schedule'!AB:AB, SMALL(IF('Bank Schedule'!$K$2:$K$825="Vacant", ROW('Bank Schedule'!$K$2:$K$825)), ROW(38:38))), "")</f>
        <v/>
      </c>
      <c r="AC41" s="29" t="str">
        <f aca="false" t="array" ref="AC41:AC41">IFERROR(INDEX('Bank Schedule'!AC:AC, SMALL(IF('Bank Schedule'!$K$2:$K$825="Vacant", ROW('Bank Schedule'!$K$2:$K$825)), ROW(38:38))), "")</f>
        <v>No</v>
      </c>
      <c r="AD41" s="29" t="str">
        <f aca="false" t="array" ref="AD41:AD41">IFERROR(INDEX('Bank Schedule'!AD:AD, SMALL(IF('Bank Schedule'!$K$2:$K$825="Vacant", ROW('Bank Schedule'!$K$2:$K$825)), ROW(38:38))), "")</f>
        <v>To be refurbished.</v>
      </c>
      <c r="AE41" s="281" t="str">
        <f aca="false">IFERROR(INDEX('Bank Schedule'!AE:AE, SMALL(IF('Bank Schedule'!$K$2:$K$825="Vacant", ROW('Bank Schedule'!$K$2:$K$825)), ROW(38:38))), "")</f>
        <v/>
      </c>
      <c r="AF41" s="29" t="str">
        <f aca="false">IFERROR(INDEX('Bank Schedule'!AF:AF, SMALL(IF('Bank Schedule'!$K$2:$K$825="Vacant", ROW('Bank Schedule'!$K$2:$K$825)), ROW(38:38))), "")</f>
        <v/>
      </c>
      <c r="AG41" s="29" t="str">
        <f aca="false">IFERROR(INDEX('Bank Schedule'!AG:AG, SMALL(IF('Bank Schedule'!$K$2:$K$825="Vacant", ROW('Bank Schedule'!$K$2:$K$825)), ROW(38:38))), "")</f>
        <v/>
      </c>
      <c r="AH41" s="29" t="str">
        <f aca="false">IFERROR(INDEX('Bank Schedule'!AH:AH, SMALL(IF('Bank Schedule'!$K$2:$K$825="Vacant", ROW('Bank Schedule'!$K$2:$K$825)), ROW(38:38))), "")</f>
        <v/>
      </c>
      <c r="AI41" s="4"/>
    </row>
    <row r="42" customFormat="false" ht="28.5" hidden="false" customHeight="true" outlineLevel="0" collapsed="false">
      <c r="A42" s="29" t="str">
        <f aca="false">IFERROR(INDEX('Bank Schedule'!A:A, SMALL(IF('Bank Schedule'!$K$2:$K$825="Vacant", ROW('Bank Schedule'!$K$2:$K$825)), ROW(39:39))), "")</f>
        <v/>
      </c>
      <c r="B42" s="29" t="str">
        <f aca="false" t="array" ref="B42:B42">IFERROR(INDEX('Bank Schedule'!B:B, SMALL(IF('Bank Schedule'!$K$2:$K$825="Vacant", ROW('Bank Schedule'!$K$2:$K$825)), ROW(39:39))), "")</f>
        <v>WS</v>
      </c>
      <c r="C42" s="29" t="str">
        <f aca="false" t="array" ref="C42:C42">IFERROR(INDEX('Bank Schedule'!C:C, SMALL(IF('Bank Schedule'!$K$2:$K$825="Vacant", ROW('Bank Schedule'!$K$2:$K$825)), ROW(39:39))), "")</f>
        <v>MEL</v>
      </c>
      <c r="D42" s="29" t="n">
        <f aca="false" t="array" ref="D42:D42">IFERROR(INDEX('Bank Schedule'!D:D, SMALL(IF('Bank Schedule'!$K$2:$K$825="Vacant", ROW('Bank Schedule'!$K$2:$K$825)), ROW(39:39))), "")</f>
        <v>550960</v>
      </c>
      <c r="E42" s="29" t="str">
        <f aca="false" t="array" ref="E42:E42">IFERROR(INDEX('Bank Schedule'!E:E, SMALL(IF('Bank Schedule'!$K$2:$K$825="Vacant", ROW('Bank Schedule'!$K$2:$K$825)), ROW(39:39))), "")</f>
        <v>21 Little Portland Street</v>
      </c>
      <c r="F42" s="29" t="str">
        <f aca="false" t="array" ref="F42:F42">IFERROR(INDEX('Bank Schedule'!F:F, SMALL(IF('Bank Schedule'!$K$2:$K$825="Vacant", ROW('Bank Schedule'!$K$2:$K$825)), ROW(39:39))), "")</f>
        <v>First Floor</v>
      </c>
      <c r="G42" s="29" t="str">
        <f aca="false" t="array" ref="G42:G42">IFERROR(INDEX('Bank Schedule'!G:G, SMALL(IF('Bank Schedule'!$K$2:$K$825="Vacant", ROW('Bank Schedule'!$K$2:$K$825)), ROW(39:39))), "")</f>
        <v>Office</v>
      </c>
      <c r="H42" s="305" t="n">
        <f aca="false" t="array" ref="H42:H42">IFERROR(INDEX('Bank Schedule'!H:H, SMALL(IF('Bank Schedule'!$K$2:$K$825="Vacant", ROW('Bank Schedule'!$K$2:$K$825)), ROW(39:39))), "")</f>
        <v>1282</v>
      </c>
      <c r="I42" s="29" t="n">
        <f aca="false" t="array" ref="I42:I42">IFERROR(INDEX('Bank Schedule'!I:I, SMALL(IF('Bank Schedule'!$K$2:$K$825="Vacant", ROW('Bank Schedule'!$K$2:$K$825)), ROW(39:39))), "")</f>
        <v>1282</v>
      </c>
      <c r="J42" s="305" t="n">
        <f aca="false" t="array" ref="J42:J42">IFERROR(INDEX('Bank Schedule'!J:J, SMALL(IF('Bank Schedule'!$K$2:$K$825="Vacant", ROW('Bank Schedule'!$K$2:$K$825)), ROW(39:39))), "")</f>
        <v>1250</v>
      </c>
      <c r="K42" s="29" t="str">
        <f aca="false" t="array" ref="K42:K42">IFERROR(INDEX('Bank Schedule'!K:K, SMALL(IF('Bank Schedule'!$K$2:$K$825="Vacant", ROW('Bank Schedule'!$K$2:$K$825)), ROW(39:39))), "")</f>
        <v>Vacant</v>
      </c>
      <c r="L42" s="29" t="str">
        <f aca="false">IFERROR(INDEX('Bank Schedule'!L:L, SMALL(IF('Bank Schedule'!$K$2:$K$825="Vacant", ROW('Bank Schedule'!$K$2:$K$825)), ROW(39:39))), "")</f>
        <v/>
      </c>
      <c r="M42" s="29" t="str">
        <f aca="false">IFERROR(INDEX('Bank Schedule'!M:M, SMALL(IF('Bank Schedule'!$K$2:$K$825="Vacant", ROW('Bank Schedule'!$K$2:$K$825)), ROW(39:39))), "")</f>
        <v/>
      </c>
      <c r="N42" s="307" t="n">
        <f aca="false" t="array" ref="N42:N42">IFERROR(INDEX('Bank Schedule'!N:N, SMALL(IF('Bank Schedule'!$K$2:$K$825="Vacant", ROW('Bank Schedule'!$K$2:$K$825)), ROW(39:39))), "")</f>
        <v>44747</v>
      </c>
      <c r="O42" s="29" t="str">
        <f aca="false">IFERROR(INDEX('Bank Schedule'!O:O, SMALL(IF('Bank Schedule'!$K$2:$K$825="Vacant", ROW('Bank Schedule'!$K$2:$K$825)), ROW(39:39))), "")</f>
        <v/>
      </c>
      <c r="P42" s="29" t="str">
        <f aca="false">IFERROR(INDEX('Bank Schedule'!P:P, SMALL(IF('Bank Schedule'!$K$2:$K$825="Vacant", ROW('Bank Schedule'!$K$2:$K$825)), ROW(39:39))), "")</f>
        <v/>
      </c>
      <c r="Q42" s="29" t="n">
        <f aca="false" t="array" ref="Q42:Q42">IFERROR(INDEX('Bank Schedule'!Q:Q, SMALL(IF('Bank Schedule'!$K$2:$K$825="Vacant", ROW('Bank Schedule'!$K$2:$K$825)), ROW(39:39))), "")</f>
        <v>0</v>
      </c>
      <c r="R42" s="29" t="n">
        <f aca="false" t="array" ref="R42:R42">IFERROR(INDEX('Bank Schedule'!R:R, SMALL(IF('Bank Schedule'!$K$2:$K$825="Vacant", ROW('Bank Schedule'!$K$2:$K$825)), ROW(39:39))), "")</f>
        <v>0</v>
      </c>
      <c r="S42" s="29" t="str">
        <f aca="false">IFERROR(INDEX('Bank Schedule'!S:S, SMALL(IF('Bank Schedule'!$K$2:$K$825="Vacant", ROW('Bank Schedule'!$K$2:$K$825)), ROW(39:39))), "")</f>
        <v/>
      </c>
      <c r="T42" s="309" t="n">
        <f aca="false" t="array" ref="T42:T42">IFERROR(INDEX('Bank Schedule'!T:T, SMALL(IF('Bank Schedule'!$K$2:$K$825="Vacant", ROW('Bank Schedule'!$K$2:$K$825)), ROW(39:39))), "")</f>
        <v>70500</v>
      </c>
      <c r="U42" s="309" t="n">
        <f aca="false" t="array" ref="U42:U42">IFERROR(INDEX('Bank Schedule'!U:U, SMALL(IF('Bank Schedule'!$K$2:$K$825="Vacant", ROW('Bank Schedule'!$K$2:$K$825)), ROW(39:39))), "")</f>
        <v>70500</v>
      </c>
      <c r="V42" s="309" t="n">
        <f aca="false" t="array" ref="V42:V42">IFERROR(INDEX('Bank Schedule'!V:V, SMALL(IF('Bank Schedule'!$K$2:$K$825="Vacant", ROW('Bank Schedule'!$K$2:$K$825)), ROW(39:39))), "")</f>
        <v>70500</v>
      </c>
      <c r="W42" s="309" t="n">
        <f aca="false" t="array" ref="W42:W42">IFERROR(INDEX('Bank Schedule'!W:W, SMALL(IF('Bank Schedule'!$K$2:$K$825="Vacant", ROW('Bank Schedule'!$K$2:$K$825)), ROW(39:39))), "")</f>
        <v>70500</v>
      </c>
      <c r="X42" s="309" t="n">
        <f aca="false" t="array" ref="X42:X42">IFERROR(INDEX('Bank Schedule'!X:X, SMALL(IF('Bank Schedule'!$K$2:$K$825="Vacant", ROW('Bank Schedule'!$K$2:$K$825)), ROW(39:39))), "")</f>
        <v>54.9921996879875</v>
      </c>
      <c r="Y42" s="310" t="n">
        <f aca="false" t="array" ref="Y42:Y42">IFERROR(INDEX('Bank Schedule'!Y:Y, SMALL(IF('Bank Schedule'!$K$2:$K$825="Vacant", ROW('Bank Schedule'!$K$2:$K$825)), ROW(39:39))), "")</f>
        <v>0</v>
      </c>
      <c r="Z42" s="29" t="str">
        <f aca="false" t="array" ref="Z42:Z42">IFERROR(INDEX('Bank Schedule'!Z:Z, SMALL(IF('Bank Schedule'!$K$2:$K$825="Vacant", ROW('Bank Schedule'!$K$2:$K$825)), ROW(39:39))), "")</f>
        <v>D</v>
      </c>
      <c r="AA42" s="29" t="str">
        <f aca="false">IFERROR(INDEX('Bank Schedule'!AA:AA, SMALL(IF('Bank Schedule'!$K$2:$K$825="Vacant", ROW('Bank Schedule'!$K$2:$K$825)), ROW(39:39))), "")</f>
        <v/>
      </c>
      <c r="AB42" s="29" t="str">
        <f aca="false">IFERROR(INDEX('Bank Schedule'!AB:AB, SMALL(IF('Bank Schedule'!$K$2:$K$825="Vacant", ROW('Bank Schedule'!$K$2:$K$825)), ROW(39:39))), "")</f>
        <v/>
      </c>
      <c r="AC42" s="29" t="str">
        <f aca="false" t="array" ref="AC42:AC42">IFERROR(INDEX('Bank Schedule'!AC:AC, SMALL(IF('Bank Schedule'!$K$2:$K$825="Vacant", ROW('Bank Schedule'!$K$2:$K$825)), ROW(39:39))), "")</f>
        <v>No</v>
      </c>
      <c r="AD42" s="29" t="str">
        <f aca="false" t="array" ref="AD42:AD42">IFERROR(INDEX('Bank Schedule'!AD:AD, SMALL(IF('Bank Schedule'!$K$2:$K$825="Vacant", ROW('Bank Schedule'!$K$2:$K$825)), ROW(39:39))), "")</f>
        <v>To be refurbished.</v>
      </c>
      <c r="AE42" s="281" t="n">
        <f aca="false" t="array" ref="AE42:AE42">IFERROR(INDEX('Bank Schedule'!AE:AE, SMALL(IF('Bank Schedule'!$K$2:$K$825="Vacant", ROW('Bank Schedule'!$K$2:$K$825)), ROW(39:39))), "")</f>
        <v>67.5</v>
      </c>
      <c r="AF42" s="29" t="n">
        <f aca="false" t="array" ref="AF42:AF42">IFERROR(INDEX('Bank Schedule'!AF:AF, SMALL(IF('Bank Schedule'!$K$2:$K$825="Vacant", ROW('Bank Schedule'!$K$2:$K$825)), ROW(39:39))), "")</f>
        <v>6</v>
      </c>
      <c r="AG42" s="29" t="n">
        <f aca="false" t="array" ref="AG42:AG42">IFERROR(INDEX('Bank Schedule'!AG:AG, SMALL(IF('Bank Schedule'!$K$2:$K$825="Vacant", ROW('Bank Schedule'!$K$2:$K$825)), ROW(39:39))), "")</f>
        <v>7</v>
      </c>
      <c r="AH42" s="29" t="str">
        <f aca="false" t="array" ref="AH42:AH42">IFERROR(INDEX('Bank Schedule'!AH:AH, SMALL(IF('Bank Schedule'!$K$2:$K$825="Vacant", ROW('Bank Schedule'!$K$2:$K$825)), ROW(39:39))), "")</f>
        <v>LEM</v>
      </c>
      <c r="AI42" s="4"/>
    </row>
    <row r="43" customFormat="false" ht="28.5" hidden="false" customHeight="true" outlineLevel="0" collapsed="false">
      <c r="A43" s="29" t="str">
        <f aca="false">IFERROR(INDEX('Bank Schedule'!A:A, SMALL(IF('Bank Schedule'!$K$2:$K$825="Vacant", ROW('Bank Schedule'!$K$2:$K$825)), ROW(40:40))), "")</f>
        <v/>
      </c>
      <c r="B43" s="29" t="str">
        <f aca="false" t="array" ref="B43:B43">IFERROR(INDEX('Bank Schedule'!B:B, SMALL(IF('Bank Schedule'!$K$2:$K$825="Vacant", ROW('Bank Schedule'!$K$2:$K$825)), ROW(40:40))), "")</f>
        <v>WS</v>
      </c>
      <c r="C43" s="29" t="str">
        <f aca="false" t="array" ref="C43:C43">IFERROR(INDEX('Bank Schedule'!C:C, SMALL(IF('Bank Schedule'!$K$2:$K$825="Vacant", ROW('Bank Schedule'!$K$2:$K$825)), ROW(40:40))), "")</f>
        <v>MEL</v>
      </c>
      <c r="D43" s="29" t="n">
        <f aca="false" t="array" ref="D43:D43">IFERROR(INDEX('Bank Schedule'!D:D, SMALL(IF('Bank Schedule'!$K$2:$K$825="Vacant", ROW('Bank Schedule'!$K$2:$K$825)), ROW(40:40))), "")</f>
        <v>550370</v>
      </c>
      <c r="E43" s="29" t="str">
        <f aca="false" t="array" ref="E43:E43">IFERROR(INDEX('Bank Schedule'!E:E, SMALL(IF('Bank Schedule'!$K$2:$K$825="Vacant", ROW('Bank Schedule'!$K$2:$K$825)), ROW(40:40))), "")</f>
        <v>15-16 Margaret Street</v>
      </c>
      <c r="F43" s="29" t="str">
        <f aca="false" t="array" ref="F43:F43">IFERROR(INDEX('Bank Schedule'!F:F, SMALL(IF('Bank Schedule'!$K$2:$K$825="Vacant", ROW('Bank Schedule'!$K$2:$K$825)), ROW(40:40))), "")</f>
        <v>Lower Ground</v>
      </c>
      <c r="G43" s="29" t="str">
        <f aca="false" t="array" ref="G43:G43">IFERROR(INDEX('Bank Schedule'!G:G, SMALL(IF('Bank Schedule'!$K$2:$K$825="Vacant", ROW('Bank Schedule'!$K$2:$K$825)), ROW(40:40))), "")</f>
        <v>Office</v>
      </c>
      <c r="H43" s="305" t="n">
        <f aca="false" t="array" ref="H43:H43">IFERROR(INDEX('Bank Schedule'!H:H, SMALL(IF('Bank Schedule'!$K$2:$K$825="Vacant", ROW('Bank Schedule'!$K$2:$K$825)), ROW(40:40))), "")</f>
        <v>2161</v>
      </c>
      <c r="I43" s="29" t="n">
        <f aca="false" t="array" ref="I43:I43">IFERROR(INDEX('Bank Schedule'!I:I, SMALL(IF('Bank Schedule'!$K$2:$K$825="Vacant", ROW('Bank Schedule'!$K$2:$K$825)), ROW(40:40))), "")</f>
        <v>2161</v>
      </c>
      <c r="J43" s="305" t="n">
        <f aca="false" t="array" ref="J43:J43">IFERROR(INDEX('Bank Schedule'!J:J, SMALL(IF('Bank Schedule'!$K$2:$K$825="Vacant", ROW('Bank Schedule'!$K$2:$K$825)), ROW(40:40))), "")</f>
        <v>2000</v>
      </c>
      <c r="K43" s="29" t="str">
        <f aca="false" t="array" ref="K43:K43">IFERROR(INDEX('Bank Schedule'!K:K, SMALL(IF('Bank Schedule'!$K$2:$K$825="Vacant", ROW('Bank Schedule'!$K$2:$K$825)), ROW(40:40))), "")</f>
        <v>Vacant</v>
      </c>
      <c r="L43" s="29" t="str">
        <f aca="false">IFERROR(INDEX('Bank Schedule'!L:L, SMALL(IF('Bank Schedule'!$K$2:$K$825="Vacant", ROW('Bank Schedule'!$K$2:$K$825)), ROW(40:40))), "")</f>
        <v/>
      </c>
      <c r="M43" s="29" t="str">
        <f aca="false">IFERROR(INDEX('Bank Schedule'!M:M, SMALL(IF('Bank Schedule'!$K$2:$K$825="Vacant", ROW('Bank Schedule'!$K$2:$K$825)), ROW(40:40))), "")</f>
        <v/>
      </c>
      <c r="N43" s="307" t="n">
        <f aca="false" t="array" ref="N43:N43">IFERROR(INDEX('Bank Schedule'!N:N, SMALL(IF('Bank Schedule'!$K$2:$K$825="Vacant", ROW('Bank Schedule'!$K$2:$K$825)), ROW(40:40))), "")</f>
        <v>44063</v>
      </c>
      <c r="O43" s="29" t="str">
        <f aca="false">IFERROR(INDEX('Bank Schedule'!O:O, SMALL(IF('Bank Schedule'!$K$2:$K$825="Vacant", ROW('Bank Schedule'!$K$2:$K$825)), ROW(40:40))), "")</f>
        <v/>
      </c>
      <c r="P43" s="29" t="str">
        <f aca="false">IFERROR(INDEX('Bank Schedule'!P:P, SMALL(IF('Bank Schedule'!$K$2:$K$825="Vacant", ROW('Bank Schedule'!$K$2:$K$825)), ROW(40:40))), "")</f>
        <v/>
      </c>
      <c r="Q43" s="29" t="n">
        <f aca="false" t="array" ref="Q43:Q43">IFERROR(INDEX('Bank Schedule'!Q:Q, SMALL(IF('Bank Schedule'!$K$2:$K$825="Vacant", ROW('Bank Schedule'!$K$2:$K$825)), ROW(40:40))), "")</f>
        <v>0</v>
      </c>
      <c r="R43" s="29" t="n">
        <f aca="false" t="array" ref="R43:R43">IFERROR(INDEX('Bank Schedule'!R:R, SMALL(IF('Bank Schedule'!$K$2:$K$825="Vacant", ROW('Bank Schedule'!$K$2:$K$825)), ROW(40:40))), "")</f>
        <v>0</v>
      </c>
      <c r="S43" s="29" t="str">
        <f aca="false">IFERROR(INDEX('Bank Schedule'!S:S, SMALL(IF('Bank Schedule'!$K$2:$K$825="Vacant", ROW('Bank Schedule'!$K$2:$K$825)), ROW(40:40))), "")</f>
        <v/>
      </c>
      <c r="T43" s="309" t="n">
        <f aca="false" t="array" ref="T43:T43">IFERROR(INDEX('Bank Schedule'!T:T, SMALL(IF('Bank Schedule'!$K$2:$K$825="Vacant", ROW('Bank Schedule'!$K$2:$K$825)), ROW(40:40))), "")</f>
        <v>53800</v>
      </c>
      <c r="U43" s="309" t="n">
        <f aca="false" t="array" ref="U43:U43">IFERROR(INDEX('Bank Schedule'!U:U, SMALL(IF('Bank Schedule'!$K$2:$K$825="Vacant", ROW('Bank Schedule'!$K$2:$K$825)), ROW(40:40))), "")</f>
        <v>53800</v>
      </c>
      <c r="V43" s="309" t="n">
        <f aca="false" t="array" ref="V43:V43">IFERROR(INDEX('Bank Schedule'!V:V, SMALL(IF('Bank Schedule'!$K$2:$K$825="Vacant", ROW('Bank Schedule'!$K$2:$K$825)), ROW(40:40))), "")</f>
        <v>54000</v>
      </c>
      <c r="W43" s="309" t="n">
        <f aca="false" t="array" ref="W43:W43">IFERROR(INDEX('Bank Schedule'!W:W, SMALL(IF('Bank Schedule'!$K$2:$K$825="Vacant", ROW('Bank Schedule'!$K$2:$K$825)), ROW(40:40))), "")</f>
        <v>54000</v>
      </c>
      <c r="X43" s="309" t="n">
        <f aca="false" t="array" ref="X43:X43">IFERROR(INDEX('Bank Schedule'!X:X, SMALL(IF('Bank Schedule'!$K$2:$K$825="Vacant", ROW('Bank Schedule'!$K$2:$K$825)), ROW(40:40))), "")</f>
        <v>24.988431281814</v>
      </c>
      <c r="Y43" s="310" t="n">
        <f aca="false" t="array" ref="Y43:Y43">IFERROR(INDEX('Bank Schedule'!Y:Y, SMALL(IF('Bank Schedule'!$K$2:$K$825="Vacant", ROW('Bank Schedule'!$K$2:$K$825)), ROW(40:40))), "")</f>
        <v>0.00371747211895911</v>
      </c>
      <c r="Z43" s="29" t="str">
        <f aca="false" t="array" ref="Z43:Z43">IFERROR(INDEX('Bank Schedule'!Z:Z, SMALL(IF('Bank Schedule'!$K$2:$K$825="Vacant", ROW('Bank Schedule'!$K$2:$K$825)), ROW(40:40))), "")</f>
        <v>E</v>
      </c>
      <c r="AA43" s="29" t="str">
        <f aca="false">IFERROR(INDEX('Bank Schedule'!AA:AA, SMALL(IF('Bank Schedule'!$K$2:$K$825="Vacant", ROW('Bank Schedule'!$K$2:$K$825)), ROW(40:40))), "")</f>
        <v/>
      </c>
      <c r="AB43" s="29" t="str">
        <f aca="false">IFERROR(INDEX('Bank Schedule'!AB:AB, SMALL(IF('Bank Schedule'!$K$2:$K$825="Vacant", ROW('Bank Schedule'!$K$2:$K$825)), ROW(40:40))), "")</f>
        <v/>
      </c>
      <c r="AC43" s="29" t="str">
        <f aca="false" t="array" ref="AC43:AC43">IFERROR(INDEX('Bank Schedule'!AC:AC, SMALL(IF('Bank Schedule'!$K$2:$K$825="Vacant", ROW('Bank Schedule'!$K$2:$K$825)), ROW(40:40))), "")</f>
        <v>No</v>
      </c>
      <c r="AD43" s="29" t="str">
        <f aca="false" t="array" ref="AD43:AD43">IFERROR(INDEX('Bank Schedule'!AD:AD, SMALL(IF('Bank Schedule'!$K$2:$K$825="Vacant", ROW('Bank Schedule'!$K$2:$K$825)), ROW(40:40))), "")</f>
        <v>Under offer</v>
      </c>
      <c r="AE43" s="281" t="str">
        <f aca="false">IFERROR(INDEX('Bank Schedule'!AE:AE, SMALL(IF('Bank Schedule'!$K$2:$K$825="Vacant", ROW('Bank Schedule'!$K$2:$K$825)), ROW(40:40))), "")</f>
        <v/>
      </c>
      <c r="AF43" s="29" t="n">
        <f aca="false" t="array" ref="AF43:AF43">IFERROR(INDEX('Bank Schedule'!AF:AF, SMALL(IF('Bank Schedule'!$K$2:$K$825="Vacant", ROW('Bank Schedule'!$K$2:$K$825)), ROW(40:40))), "")</f>
        <v>3</v>
      </c>
      <c r="AG43" s="29" t="n">
        <f aca="false" t="array" ref="AG43:AG43">IFERROR(INDEX('Bank Schedule'!AG:AG, SMALL(IF('Bank Schedule'!$K$2:$K$825="Vacant", ROW('Bank Schedule'!$K$2:$K$825)), ROW(40:40))), "")</f>
        <v>9</v>
      </c>
      <c r="AH43" s="29" t="str">
        <f aca="false" t="array" ref="AH43:AH43">IFERROR(INDEX('Bank Schedule'!AH:AH, SMALL(IF('Bank Schedule'!$K$2:$K$825="Vacant", ROW('Bank Schedule'!$K$2:$K$825)), ROW(40:40))), "")</f>
        <v>LEM</v>
      </c>
      <c r="AI43" s="4"/>
    </row>
    <row r="44" customFormat="false" ht="28.5" hidden="false" customHeight="true" outlineLevel="0" collapsed="false">
      <c r="A44" s="29" t="str">
        <f aca="false">IFERROR(INDEX('Bank Schedule'!A:A, SMALL(IF('Bank Schedule'!$K$2:$K$825="Vacant", ROW('Bank Schedule'!$K$2:$K$825)), ROW(41:41))), "")</f>
        <v/>
      </c>
      <c r="B44" s="29" t="str">
        <f aca="false" t="array" ref="B44:B44">IFERROR(INDEX('Bank Schedule'!B:B, SMALL(IF('Bank Schedule'!$K$2:$K$825="Vacant", ROW('Bank Schedule'!$K$2:$K$825)), ROW(41:41))), "")</f>
        <v>WS</v>
      </c>
      <c r="C44" s="29" t="str">
        <f aca="false" t="array" ref="C44:C44">IFERROR(INDEX('Bank Schedule'!C:C, SMALL(IF('Bank Schedule'!$K$2:$K$825="Vacant", ROW('Bank Schedule'!$K$2:$K$825)), ROW(41:41))), "")</f>
        <v>MEL</v>
      </c>
      <c r="D44" s="29" t="n">
        <f aca="false" t="array" ref="D44:D44">IFERROR(INDEX('Bank Schedule'!D:D, SMALL(IF('Bank Schedule'!$K$2:$K$825="Vacant", ROW('Bank Schedule'!$K$2:$K$825)), ROW(41:41))), "")</f>
        <v>550370</v>
      </c>
      <c r="E44" s="29" t="str">
        <f aca="false" t="array" ref="E44:E44">IFERROR(INDEX('Bank Schedule'!E:E, SMALL(IF('Bank Schedule'!$K$2:$K$825="Vacant", ROW('Bank Schedule'!$K$2:$K$825)), ROW(41:41))), "")</f>
        <v>15-16 Margaret Street</v>
      </c>
      <c r="F44" s="29" t="str">
        <f aca="false" t="array" ref="F44:F44">IFERROR(INDEX('Bank Schedule'!F:F, SMALL(IF('Bank Schedule'!$K$2:$K$825="Vacant", ROW('Bank Schedule'!$K$2:$K$825)), ROW(41:41))), "")</f>
        <v>First Floor</v>
      </c>
      <c r="G44" s="29" t="str">
        <f aca="false" t="array" ref="G44:G44">IFERROR(INDEX('Bank Schedule'!G:G, SMALL(IF('Bank Schedule'!$K$2:$K$825="Vacant", ROW('Bank Schedule'!$K$2:$K$825)), ROW(41:41))), "")</f>
        <v>Office</v>
      </c>
      <c r="H44" s="305" t="n">
        <f aca="false" t="array" ref="H44:H44">IFERROR(INDEX('Bank Schedule'!H:H, SMALL(IF('Bank Schedule'!$K$2:$K$825="Vacant", ROW('Bank Schedule'!$K$2:$K$825)), ROW(41:41))), "")</f>
        <v>1606</v>
      </c>
      <c r="I44" s="29" t="n">
        <f aca="false" t="array" ref="I44:I44">IFERROR(INDEX('Bank Schedule'!I:I, SMALL(IF('Bank Schedule'!$K$2:$K$825="Vacant", ROW('Bank Schedule'!$K$2:$K$825)), ROW(41:41))), "")</f>
        <v>1606</v>
      </c>
      <c r="J44" s="305" t="n">
        <f aca="false" t="array" ref="J44:J44">IFERROR(INDEX('Bank Schedule'!J:J, SMALL(IF('Bank Schedule'!$K$2:$K$825="Vacant", ROW('Bank Schedule'!$K$2:$K$825)), ROW(41:41))), "")</f>
        <v>1500</v>
      </c>
      <c r="K44" s="29" t="str">
        <f aca="false" t="array" ref="K44:K44">IFERROR(INDEX('Bank Schedule'!K:K, SMALL(IF('Bank Schedule'!$K$2:$K$825="Vacant", ROW('Bank Schedule'!$K$2:$K$825)), ROW(41:41))), "")</f>
        <v>Vacant</v>
      </c>
      <c r="L44" s="29" t="str">
        <f aca="false">IFERROR(INDEX('Bank Schedule'!L:L, SMALL(IF('Bank Schedule'!$K$2:$K$825="Vacant", ROW('Bank Schedule'!$K$2:$K$825)), ROW(41:41))), "")</f>
        <v/>
      </c>
      <c r="M44" s="29" t="str">
        <f aca="false">IFERROR(INDEX('Bank Schedule'!M:M, SMALL(IF('Bank Schedule'!$K$2:$K$825="Vacant", ROW('Bank Schedule'!$K$2:$K$825)), ROW(41:41))), "")</f>
        <v/>
      </c>
      <c r="N44" s="307" t="n">
        <f aca="false" t="array" ref="N44:N44">IFERROR(INDEX('Bank Schedule'!N:N, SMALL(IF('Bank Schedule'!$K$2:$K$825="Vacant", ROW('Bank Schedule'!$K$2:$K$825)), ROW(41:41))), "")</f>
        <v>44403</v>
      </c>
      <c r="O44" s="29" t="str">
        <f aca="false">IFERROR(INDEX('Bank Schedule'!O:O, SMALL(IF('Bank Schedule'!$K$2:$K$825="Vacant", ROW('Bank Schedule'!$K$2:$K$825)), ROW(41:41))), "")</f>
        <v/>
      </c>
      <c r="P44" s="29" t="str">
        <f aca="false">IFERROR(INDEX('Bank Schedule'!P:P, SMALL(IF('Bank Schedule'!$K$2:$K$825="Vacant", ROW('Bank Schedule'!$K$2:$K$825)), ROW(41:41))), "")</f>
        <v/>
      </c>
      <c r="Q44" s="29" t="n">
        <f aca="false" t="array" ref="Q44:Q44">IFERROR(INDEX('Bank Schedule'!Q:Q, SMALL(IF('Bank Schedule'!$K$2:$K$825="Vacant", ROW('Bank Schedule'!$K$2:$K$825)), ROW(41:41))), "")</f>
        <v>0</v>
      </c>
      <c r="R44" s="29" t="n">
        <f aca="false" t="array" ref="R44:R44">IFERROR(INDEX('Bank Schedule'!R:R, SMALL(IF('Bank Schedule'!$K$2:$K$825="Vacant", ROW('Bank Schedule'!$K$2:$K$825)), ROW(41:41))), "")</f>
        <v>0</v>
      </c>
      <c r="S44" s="29" t="str">
        <f aca="false">IFERROR(INDEX('Bank Schedule'!S:S, SMALL(IF('Bank Schedule'!$K$2:$K$825="Vacant", ROW('Bank Schedule'!$K$2:$K$825)), ROW(41:41))), "")</f>
        <v/>
      </c>
      <c r="T44" s="309" t="n">
        <f aca="false" t="array" ref="T44:T44">IFERROR(INDEX('Bank Schedule'!T:T, SMALL(IF('Bank Schedule'!$K$2:$K$825="Vacant", ROW('Bank Schedule'!$K$2:$K$825)), ROW(41:41))), "")</f>
        <v>85800</v>
      </c>
      <c r="U44" s="309" t="n">
        <f aca="false" t="array" ref="U44:U44">IFERROR(INDEX('Bank Schedule'!U:U, SMALL(IF('Bank Schedule'!$K$2:$K$825="Vacant", ROW('Bank Schedule'!$K$2:$K$825)), ROW(41:41))), "")</f>
        <v>85800</v>
      </c>
      <c r="V44" s="309" t="n">
        <f aca="false" t="array" ref="V44:V44">IFERROR(INDEX('Bank Schedule'!V:V, SMALL(IF('Bank Schedule'!$K$2:$K$825="Vacant", ROW('Bank Schedule'!$K$2:$K$825)), ROW(41:41))), "")</f>
        <v>100400</v>
      </c>
      <c r="W44" s="309" t="n">
        <f aca="false" t="array" ref="W44:W44">IFERROR(INDEX('Bank Schedule'!W:W, SMALL(IF('Bank Schedule'!$K$2:$K$825="Vacant", ROW('Bank Schedule'!$K$2:$K$825)), ROW(41:41))), "")</f>
        <v>100400</v>
      </c>
      <c r="X44" s="309" t="n">
        <f aca="false" t="array" ref="X44:X44">IFERROR(INDEX('Bank Schedule'!X:X, SMALL(IF('Bank Schedule'!$K$2:$K$825="Vacant", ROW('Bank Schedule'!$K$2:$K$825)), ROW(41:41))), "")</f>
        <v>62.5155666251557</v>
      </c>
      <c r="Y44" s="310" t="n">
        <f aca="false" t="array" ref="Y44:Y44">IFERROR(INDEX('Bank Schedule'!Y:Y, SMALL(IF('Bank Schedule'!$K$2:$K$825="Vacant", ROW('Bank Schedule'!$K$2:$K$825)), ROW(41:41))), "")</f>
        <v>0.17016317016317</v>
      </c>
      <c r="Z44" s="29" t="str">
        <f aca="false" t="array" ref="Z44:Z44">IFERROR(INDEX('Bank Schedule'!Z:Z, SMALL(IF('Bank Schedule'!$K$2:$K$825="Vacant", ROW('Bank Schedule'!$K$2:$K$825)), ROW(41:41))), "")</f>
        <v>D</v>
      </c>
      <c r="AA44" s="29" t="str">
        <f aca="false">IFERROR(INDEX('Bank Schedule'!AA:AA, SMALL(IF('Bank Schedule'!$K$2:$K$825="Vacant", ROW('Bank Schedule'!$K$2:$K$825)), ROW(41:41))), "")</f>
        <v/>
      </c>
      <c r="AB44" s="29" t="str">
        <f aca="false">IFERROR(INDEX('Bank Schedule'!AB:AB, SMALL(IF('Bank Schedule'!$K$2:$K$825="Vacant", ROW('Bank Schedule'!$K$2:$K$825)), ROW(41:41))), "")</f>
        <v/>
      </c>
      <c r="AC44" s="29" t="str">
        <f aca="false" t="array" ref="AC44:AC44">IFERROR(INDEX('Bank Schedule'!AC:AC, SMALL(IF('Bank Schedule'!$K$2:$K$825="Vacant", ROW('Bank Schedule'!$K$2:$K$825)), ROW(41:41))), "")</f>
        <v>No</v>
      </c>
      <c r="AD44" s="29" t="str">
        <f aca="false" t="array" ref="AD44:AD44">IFERROR(INDEX('Bank Schedule'!AD:AD, SMALL(IF('Bank Schedule'!$K$2:$K$825="Vacant", ROW('Bank Schedule'!$K$2:$K$825)), ROW(41:41))), "")</f>
        <v>To be refurbished.</v>
      </c>
      <c r="AE44" s="281" t="n">
        <f aca="false" t="array" ref="AE44:AE44">IFERROR(INDEX('Bank Schedule'!AE:AE, SMALL(IF('Bank Schedule'!$K$2:$K$825="Vacant", ROW('Bank Schedule'!$K$2:$K$825)), ROW(41:41))), "")</f>
        <v>65</v>
      </c>
      <c r="AF44" s="29" t="n">
        <f aca="false" t="array" ref="AF44:AF44">IFERROR(INDEX('Bank Schedule'!AF:AF, SMALL(IF('Bank Schedule'!$K$2:$K$825="Vacant", ROW('Bank Schedule'!$K$2:$K$825)), ROW(41:41))), "")</f>
        <v>5</v>
      </c>
      <c r="AG44" s="29" t="n">
        <f aca="false" t="array" ref="AG44:AG44">IFERROR(INDEX('Bank Schedule'!AG:AG, SMALL(IF('Bank Schedule'!$K$2:$K$825="Vacant", ROW('Bank Schedule'!$K$2:$K$825)), ROW(41:41))), "")</f>
        <v>6</v>
      </c>
      <c r="AH44" s="29" t="str">
        <f aca="false" t="array" ref="AH44:AH44">IFERROR(INDEX('Bank Schedule'!AH:AH, SMALL(IF('Bank Schedule'!$K$2:$K$825="Vacant", ROW('Bank Schedule'!$K$2:$K$825)), ROW(41:41))), "")</f>
        <v>LEM</v>
      </c>
      <c r="AI44" s="4"/>
    </row>
    <row r="45" customFormat="false" ht="28.5" hidden="false" customHeight="true" outlineLevel="0" collapsed="false">
      <c r="A45" s="29" t="str">
        <f aca="false">IFERROR(INDEX('Bank Schedule'!A:A, SMALL(IF('Bank Schedule'!$K$2:$K$825="Vacant", ROW('Bank Schedule'!$K$2:$K$825)), ROW(42:42))), "")</f>
        <v/>
      </c>
      <c r="B45" s="29" t="str">
        <f aca="false" t="array" ref="B45:B45">IFERROR(INDEX('Bank Schedule'!B:B, SMALL(IF('Bank Schedule'!$K$2:$K$825="Vacant", ROW('Bank Schedule'!$K$2:$K$825)), ROW(42:42))), "")</f>
        <v>WS</v>
      </c>
      <c r="C45" s="29" t="str">
        <f aca="false" t="array" ref="C45:C45">IFERROR(INDEX('Bank Schedule'!C:C, SMALL(IF('Bank Schedule'!$K$2:$K$825="Vacant", ROW('Bank Schedule'!$K$2:$K$825)), ROW(42:42))), "")</f>
        <v>MEL</v>
      </c>
      <c r="D45" s="29" t="n">
        <f aca="false" t="array" ref="D45:D45">IFERROR(INDEX('Bank Schedule'!D:D, SMALL(IF('Bank Schedule'!$K$2:$K$825="Vacant", ROW('Bank Schedule'!$K$2:$K$825)), ROW(42:42))), "")</f>
        <v>550370</v>
      </c>
      <c r="E45" s="29" t="str">
        <f aca="false" t="array" ref="E45:E45">IFERROR(INDEX('Bank Schedule'!E:E, SMALL(IF('Bank Schedule'!$K$2:$K$825="Vacant", ROW('Bank Schedule'!$K$2:$K$825)), ROW(42:42))), "")</f>
        <v>15-16 Margaret Street</v>
      </c>
      <c r="F45" s="29" t="str">
        <f aca="false" t="array" ref="F45:F45">IFERROR(INDEX('Bank Schedule'!F:F, SMALL(IF('Bank Schedule'!$K$2:$K$825="Vacant", ROW('Bank Schedule'!$K$2:$K$825)), ROW(42:42))), "")</f>
        <v>Third Floor</v>
      </c>
      <c r="G45" s="29" t="str">
        <f aca="false" t="array" ref="G45:G45">IFERROR(INDEX('Bank Schedule'!G:G, SMALL(IF('Bank Schedule'!$K$2:$K$825="Vacant", ROW('Bank Schedule'!$K$2:$K$825)), ROW(42:42))), "")</f>
        <v>Office</v>
      </c>
      <c r="H45" s="305" t="n">
        <f aca="false" t="array" ref="H45:H45">IFERROR(INDEX('Bank Schedule'!H:H, SMALL(IF('Bank Schedule'!$K$2:$K$825="Vacant", ROW('Bank Schedule'!$K$2:$K$825)), ROW(42:42))), "")</f>
        <v>1129</v>
      </c>
      <c r="I45" s="29" t="n">
        <f aca="false" t="array" ref="I45:I45">IFERROR(INDEX('Bank Schedule'!I:I, SMALL(IF('Bank Schedule'!$K$2:$K$825="Vacant", ROW('Bank Schedule'!$K$2:$K$825)), ROW(42:42))), "")</f>
        <v>1129</v>
      </c>
      <c r="J45" s="305" t="n">
        <f aca="false" t="array" ref="J45:J45">IFERROR(INDEX('Bank Schedule'!J:J, SMALL(IF('Bank Schedule'!$K$2:$K$825="Vacant", ROW('Bank Schedule'!$K$2:$K$825)), ROW(42:42))), "")</f>
        <v>1000</v>
      </c>
      <c r="K45" s="29" t="str">
        <f aca="false" t="array" ref="K45:K45">IFERROR(INDEX('Bank Schedule'!K:K, SMALL(IF('Bank Schedule'!$K$2:$K$825="Vacant", ROW('Bank Schedule'!$K$2:$K$825)), ROW(42:42))), "")</f>
        <v>Vacant</v>
      </c>
      <c r="L45" s="29" t="str">
        <f aca="false">IFERROR(INDEX('Bank Schedule'!L:L, SMALL(IF('Bank Schedule'!$K$2:$K$825="Vacant", ROW('Bank Schedule'!$K$2:$K$825)), ROW(42:42))), "")</f>
        <v/>
      </c>
      <c r="M45" s="29" t="str">
        <f aca="false">IFERROR(INDEX('Bank Schedule'!M:M, SMALL(IF('Bank Schedule'!$K$2:$K$825="Vacant", ROW('Bank Schedule'!$K$2:$K$825)), ROW(42:42))), "")</f>
        <v/>
      </c>
      <c r="N45" s="307" t="n">
        <f aca="false" t="array" ref="N45:N45">IFERROR(INDEX('Bank Schedule'!N:N, SMALL(IF('Bank Schedule'!$K$2:$K$825="Vacant", ROW('Bank Schedule'!$K$2:$K$825)), ROW(42:42))), "")</f>
        <v>44097</v>
      </c>
      <c r="O45" s="29" t="str">
        <f aca="false">IFERROR(INDEX('Bank Schedule'!O:O, SMALL(IF('Bank Schedule'!$K$2:$K$825="Vacant", ROW('Bank Schedule'!$K$2:$K$825)), ROW(42:42))), "")</f>
        <v/>
      </c>
      <c r="P45" s="29" t="str">
        <f aca="false">IFERROR(INDEX('Bank Schedule'!P:P, SMALL(IF('Bank Schedule'!$K$2:$K$825="Vacant", ROW('Bank Schedule'!$K$2:$K$825)), ROW(42:42))), "")</f>
        <v/>
      </c>
      <c r="Q45" s="29" t="n">
        <f aca="false" t="array" ref="Q45:Q45">IFERROR(INDEX('Bank Schedule'!Q:Q, SMALL(IF('Bank Schedule'!$K$2:$K$825="Vacant", ROW('Bank Schedule'!$K$2:$K$825)), ROW(42:42))), "")</f>
        <v>0</v>
      </c>
      <c r="R45" s="29" t="n">
        <f aca="false" t="array" ref="R45:R45">IFERROR(INDEX('Bank Schedule'!R:R, SMALL(IF('Bank Schedule'!$K$2:$K$825="Vacant", ROW('Bank Schedule'!$K$2:$K$825)), ROW(42:42))), "")</f>
        <v>0</v>
      </c>
      <c r="S45" s="29" t="str">
        <f aca="false">IFERROR(INDEX('Bank Schedule'!S:S, SMALL(IF('Bank Schedule'!$K$2:$K$825="Vacant", ROW('Bank Schedule'!$K$2:$K$825)), ROW(42:42))), "")</f>
        <v/>
      </c>
      <c r="T45" s="309" t="n">
        <f aca="false" t="array" ref="T45:T45">IFERROR(INDEX('Bank Schedule'!T:T, SMALL(IF('Bank Schedule'!$K$2:$K$825="Vacant", ROW('Bank Schedule'!$K$2:$K$825)), ROW(42:42))), "")</f>
        <v>65600</v>
      </c>
      <c r="U45" s="309" t="n">
        <f aca="false" t="array" ref="U45:U45">IFERROR(INDEX('Bank Schedule'!U:U, SMALL(IF('Bank Schedule'!$K$2:$K$825="Vacant", ROW('Bank Schedule'!$K$2:$K$825)), ROW(42:42))), "")</f>
        <v>65600</v>
      </c>
      <c r="V45" s="309" t="n">
        <f aca="false" t="array" ref="V45:V45">IFERROR(INDEX('Bank Schedule'!V:V, SMALL(IF('Bank Schedule'!$K$2:$K$825="Vacant", ROW('Bank Schedule'!$K$2:$K$825)), ROW(42:42))), "")</f>
        <v>70600</v>
      </c>
      <c r="W45" s="309" t="n">
        <f aca="false" t="array" ref="W45:W45">IFERROR(INDEX('Bank Schedule'!W:W, SMALL(IF('Bank Schedule'!$K$2:$K$825="Vacant", ROW('Bank Schedule'!$K$2:$K$825)), ROW(42:42))), "")</f>
        <v>70600</v>
      </c>
      <c r="X45" s="309" t="n">
        <f aca="false" t="array" ref="X45:X45">IFERROR(INDEX('Bank Schedule'!X:X, SMALL(IF('Bank Schedule'!$K$2:$K$825="Vacant", ROW('Bank Schedule'!$K$2:$K$825)), ROW(42:42))), "")</f>
        <v>62.533215234721</v>
      </c>
      <c r="Y45" s="310" t="n">
        <f aca="false" t="array" ref="Y45:Y45">IFERROR(INDEX('Bank Schedule'!Y:Y, SMALL(IF('Bank Schedule'!$K$2:$K$825="Vacant", ROW('Bank Schedule'!$K$2:$K$825)), ROW(42:42))), "")</f>
        <v>0.076219512195122</v>
      </c>
      <c r="Z45" s="29" t="str">
        <f aca="false" t="array" ref="Z45:Z45">IFERROR(INDEX('Bank Schedule'!Z:Z, SMALL(IF('Bank Schedule'!$K$2:$K$825="Vacant", ROW('Bank Schedule'!$K$2:$K$825)), ROW(42:42))), "")</f>
        <v>D</v>
      </c>
      <c r="AA45" s="29" t="str">
        <f aca="false">IFERROR(INDEX('Bank Schedule'!AA:AA, SMALL(IF('Bank Schedule'!$K$2:$K$825="Vacant", ROW('Bank Schedule'!$K$2:$K$825)), ROW(42:42))), "")</f>
        <v/>
      </c>
      <c r="AB45" s="29" t="str">
        <f aca="false">IFERROR(INDEX('Bank Schedule'!AB:AB, SMALL(IF('Bank Schedule'!$K$2:$K$825="Vacant", ROW('Bank Schedule'!$K$2:$K$825)), ROW(42:42))), "")</f>
        <v/>
      </c>
      <c r="AC45" s="29" t="str">
        <f aca="false" t="array" ref="AC45:AC45">IFERROR(INDEX('Bank Schedule'!AC:AC, SMALL(IF('Bank Schedule'!$K$2:$K$825="Vacant", ROW('Bank Schedule'!$K$2:$K$825)), ROW(42:42))), "")</f>
        <v>No</v>
      </c>
      <c r="AD45" s="29" t="str">
        <f aca="false" t="array" ref="AD45:AD45">IFERROR(INDEX('Bank Schedule'!AD:AD, SMALL(IF('Bank Schedule'!$K$2:$K$825="Vacant", ROW('Bank Schedule'!$K$2:$K$825)), ROW(42:42))), "")</f>
        <v>To be refurbished.</v>
      </c>
      <c r="AE45" s="281" t="n">
        <f aca="false" t="array" ref="AE45:AE45">IFERROR(INDEX('Bank Schedule'!AE:AE, SMALL(IF('Bank Schedule'!$K$2:$K$825="Vacant", ROW('Bank Schedule'!$K$2:$K$825)), ROW(42:42))), "")</f>
        <v>65</v>
      </c>
      <c r="AF45" s="29" t="n">
        <f aca="false" t="array" ref="AF45:AF45">IFERROR(INDEX('Bank Schedule'!AF:AF, SMALL(IF('Bank Schedule'!$K$2:$K$825="Vacant", ROW('Bank Schedule'!$K$2:$K$825)), ROW(42:42))), "")</f>
        <v>8</v>
      </c>
      <c r="AG45" s="29" t="n">
        <f aca="false" t="array" ref="AG45:AG45">IFERROR(INDEX('Bank Schedule'!AG:AG, SMALL(IF('Bank Schedule'!$K$2:$K$825="Vacant", ROW('Bank Schedule'!$K$2:$K$825)), ROW(42:42))), "")</f>
        <v>10</v>
      </c>
      <c r="AH45" s="29" t="str">
        <f aca="false">IFERROR(INDEX('Bank Schedule'!AH:AH, SMALL(IF('Bank Schedule'!$K$2:$K$825="Vacant", ROW('Bank Schedule'!$K$2:$K$825)), ROW(42:42))), "")</f>
        <v/>
      </c>
      <c r="AI45" s="4"/>
    </row>
    <row r="46" customFormat="false" ht="28.5" hidden="false" customHeight="true" outlineLevel="0" collapsed="false">
      <c r="A46" s="29" t="str">
        <f aca="false">IFERROR(INDEX('Bank Schedule'!A:A, SMALL(IF('Bank Schedule'!$K$2:$K$825="Vacant", ROW('Bank Schedule'!$K$2:$K$825)), ROW(43:43))), "")</f>
        <v/>
      </c>
      <c r="B46" s="29" t="str">
        <f aca="false" t="array" ref="B46:B46">IFERROR(INDEX('Bank Schedule'!B:B, SMALL(IF('Bank Schedule'!$K$2:$K$825="Vacant", ROW('Bank Schedule'!$K$2:$K$825)), ROW(43:43))), "")</f>
        <v>WS</v>
      </c>
      <c r="C46" s="29" t="str">
        <f aca="false" t="array" ref="C46:C46">IFERROR(INDEX('Bank Schedule'!C:C, SMALL(IF('Bank Schedule'!$K$2:$K$825="Vacant", ROW('Bank Schedule'!$K$2:$K$825)), ROW(43:43))), "")</f>
        <v>MEL</v>
      </c>
      <c r="D46" s="29" t="n">
        <f aca="false" t="array" ref="D46:D46">IFERROR(INDEX('Bank Schedule'!D:D, SMALL(IF('Bank Schedule'!$K$2:$K$825="Vacant", ROW('Bank Schedule'!$K$2:$K$825)), ROW(43:43))), "")</f>
        <v>550370</v>
      </c>
      <c r="E46" s="29" t="str">
        <f aca="false" t="array" ref="E46:E46">IFERROR(INDEX('Bank Schedule'!E:E, SMALL(IF('Bank Schedule'!$K$2:$K$825="Vacant", ROW('Bank Schedule'!$K$2:$K$825)), ROW(43:43))), "")</f>
        <v>15-16 Margaret Street</v>
      </c>
      <c r="F46" s="29" t="str">
        <f aca="false" t="array" ref="F46:F46">IFERROR(INDEX('Bank Schedule'!F:F, SMALL(IF('Bank Schedule'!$K$2:$K$825="Vacant", ROW('Bank Schedule'!$K$2:$K$825)), ROW(43:43))), "")</f>
        <v>Fourth Floor</v>
      </c>
      <c r="G46" s="29" t="str">
        <f aca="false" t="array" ref="G46:G46">IFERROR(INDEX('Bank Schedule'!G:G, SMALL(IF('Bank Schedule'!$K$2:$K$825="Vacant", ROW('Bank Schedule'!$K$2:$K$825)), ROW(43:43))), "")</f>
        <v>Office</v>
      </c>
      <c r="H46" s="305" t="n">
        <f aca="false" t="array" ref="H46:H46">IFERROR(INDEX('Bank Schedule'!H:H, SMALL(IF('Bank Schedule'!$K$2:$K$825="Vacant", ROW('Bank Schedule'!$K$2:$K$825)), ROW(43:43))), "")</f>
        <v>856</v>
      </c>
      <c r="I46" s="29" t="n">
        <f aca="false" t="array" ref="I46:I46">IFERROR(INDEX('Bank Schedule'!I:I, SMALL(IF('Bank Schedule'!$K$2:$K$825="Vacant", ROW('Bank Schedule'!$K$2:$K$825)), ROW(43:43))), "")</f>
        <v>856</v>
      </c>
      <c r="J46" s="305" t="n">
        <f aca="false" t="array" ref="J46:J46">IFERROR(INDEX('Bank Schedule'!J:J, SMALL(IF('Bank Schedule'!$K$2:$K$825="Vacant", ROW('Bank Schedule'!$K$2:$K$825)), ROW(43:43))), "")</f>
        <v>1000</v>
      </c>
      <c r="K46" s="29" t="str">
        <f aca="false" t="array" ref="K46:K46">IFERROR(INDEX('Bank Schedule'!K:K, SMALL(IF('Bank Schedule'!$K$2:$K$825="Vacant", ROW('Bank Schedule'!$K$2:$K$825)), ROW(43:43))), "")</f>
        <v>Vacant</v>
      </c>
      <c r="L46" s="29" t="str">
        <f aca="false">IFERROR(INDEX('Bank Schedule'!L:L, SMALL(IF('Bank Schedule'!$K$2:$K$825="Vacant", ROW('Bank Schedule'!$K$2:$K$825)), ROW(43:43))), "")</f>
        <v/>
      </c>
      <c r="M46" s="29" t="str">
        <f aca="false">IFERROR(INDEX('Bank Schedule'!M:M, SMALL(IF('Bank Schedule'!$K$2:$K$825="Vacant", ROW('Bank Schedule'!$K$2:$K$825)), ROW(43:43))), "")</f>
        <v/>
      </c>
      <c r="N46" s="307" t="n">
        <f aca="false" t="array" ref="N46:N46">IFERROR(INDEX('Bank Schedule'!N:N, SMALL(IF('Bank Schedule'!$K$2:$K$825="Vacant", ROW('Bank Schedule'!$K$2:$K$825)), ROW(43:43))), "")</f>
        <v>44814</v>
      </c>
      <c r="O46" s="29" t="str">
        <f aca="false">IFERROR(INDEX('Bank Schedule'!O:O, SMALL(IF('Bank Schedule'!$K$2:$K$825="Vacant", ROW('Bank Schedule'!$K$2:$K$825)), ROW(43:43))), "")</f>
        <v/>
      </c>
      <c r="P46" s="29" t="str">
        <f aca="false">IFERROR(INDEX('Bank Schedule'!P:P, SMALL(IF('Bank Schedule'!$K$2:$K$825="Vacant", ROW('Bank Schedule'!$K$2:$K$825)), ROW(43:43))), "")</f>
        <v/>
      </c>
      <c r="Q46" s="29" t="n">
        <f aca="false" t="array" ref="Q46:Q46">IFERROR(INDEX('Bank Schedule'!Q:Q, SMALL(IF('Bank Schedule'!$K$2:$K$825="Vacant", ROW('Bank Schedule'!$K$2:$K$825)), ROW(43:43))), "")</f>
        <v>0</v>
      </c>
      <c r="R46" s="29" t="n">
        <f aca="false" t="array" ref="R46:R46">IFERROR(INDEX('Bank Schedule'!R:R, SMALL(IF('Bank Schedule'!$K$2:$K$825="Vacant", ROW('Bank Schedule'!$K$2:$K$825)), ROW(43:43))), "")</f>
        <v>0</v>
      </c>
      <c r="S46" s="29" t="str">
        <f aca="false">IFERROR(INDEX('Bank Schedule'!S:S, SMALL(IF('Bank Schedule'!$K$2:$K$825="Vacant", ROW('Bank Schedule'!$K$2:$K$825)), ROW(43:43))), "")</f>
        <v/>
      </c>
      <c r="T46" s="309" t="n">
        <f aca="false" t="array" ref="T46:T46">IFERROR(INDEX('Bank Schedule'!T:T, SMALL(IF('Bank Schedule'!$K$2:$K$825="Vacant", ROW('Bank Schedule'!$K$2:$K$825)), ROW(43:43))), "")</f>
        <v>45000</v>
      </c>
      <c r="U46" s="309" t="n">
        <f aca="false" t="array" ref="U46:U46">IFERROR(INDEX('Bank Schedule'!U:U, SMALL(IF('Bank Schedule'!$K$2:$K$825="Vacant", ROW('Bank Schedule'!$K$2:$K$825)), ROW(43:43))), "")</f>
        <v>45000</v>
      </c>
      <c r="V46" s="309" t="n">
        <f aca="false" t="array" ref="V46:V46">IFERROR(INDEX('Bank Schedule'!V:V, SMALL(IF('Bank Schedule'!$K$2:$K$825="Vacant", ROW('Bank Schedule'!$K$2:$K$825)), ROW(43:43))), "")</f>
        <v>53500</v>
      </c>
      <c r="W46" s="309" t="n">
        <f aca="false" t="array" ref="W46:W46">IFERROR(INDEX('Bank Schedule'!W:W, SMALL(IF('Bank Schedule'!$K$2:$K$825="Vacant", ROW('Bank Schedule'!$K$2:$K$825)), ROW(43:43))), "")</f>
        <v>53500</v>
      </c>
      <c r="X46" s="309" t="n">
        <f aca="false" t="array" ref="X46:X46">IFERROR(INDEX('Bank Schedule'!X:X, SMALL(IF('Bank Schedule'!$K$2:$K$825="Vacant", ROW('Bank Schedule'!$K$2:$K$825)), ROW(43:43))), "")</f>
        <v>62.5</v>
      </c>
      <c r="Y46" s="310" t="n">
        <f aca="false" t="array" ref="Y46:Y46">IFERROR(INDEX('Bank Schedule'!Y:Y, SMALL(IF('Bank Schedule'!$K$2:$K$825="Vacant", ROW('Bank Schedule'!$K$2:$K$825)), ROW(43:43))), "")</f>
        <v>0.188888888888889</v>
      </c>
      <c r="Z46" s="29" t="str">
        <f aca="false" t="array" ref="Z46:Z46">IFERROR(INDEX('Bank Schedule'!Z:Z, SMALL(IF('Bank Schedule'!$K$2:$K$825="Vacant", ROW('Bank Schedule'!$K$2:$K$825)), ROW(43:43))), "")</f>
        <v>E</v>
      </c>
      <c r="AA46" s="29" t="str">
        <f aca="false">IFERROR(INDEX('Bank Schedule'!AA:AA, SMALL(IF('Bank Schedule'!$K$2:$K$825="Vacant", ROW('Bank Schedule'!$K$2:$K$825)), ROW(43:43))), "")</f>
        <v/>
      </c>
      <c r="AB46" s="29" t="str">
        <f aca="false">IFERROR(INDEX('Bank Schedule'!AB:AB, SMALL(IF('Bank Schedule'!$K$2:$K$825="Vacant", ROW('Bank Schedule'!$K$2:$K$825)), ROW(43:43))), "")</f>
        <v/>
      </c>
      <c r="AC46" s="29" t="str">
        <f aca="false" t="array" ref="AC46:AC46">IFERROR(INDEX('Bank Schedule'!AC:AC, SMALL(IF('Bank Schedule'!$K$2:$K$825="Vacant", ROW('Bank Schedule'!$K$2:$K$825)), ROW(43:43))), "")</f>
        <v>No</v>
      </c>
      <c r="AD46" s="29" t="str">
        <f aca="false" t="array" ref="AD46:AD46">IFERROR(INDEX('Bank Schedule'!AD:AD, SMALL(IF('Bank Schedule'!$K$2:$K$825="Vacant", ROW('Bank Schedule'!$K$2:$K$825)), ROW(43:43))), "")</f>
        <v>To be refurbished.</v>
      </c>
      <c r="AE46" s="281" t="n">
        <f aca="false" t="array" ref="AE46:AE46">IFERROR(INDEX('Bank Schedule'!AE:AE, SMALL(IF('Bank Schedule'!$K$2:$K$825="Vacant", ROW('Bank Schedule'!$K$2:$K$825)), ROW(43:43))), "")</f>
        <v>65</v>
      </c>
      <c r="AF46" s="29" t="n">
        <f aca="false" t="array" ref="AF46:AF46">IFERROR(INDEX('Bank Schedule'!AF:AF, SMALL(IF('Bank Schedule'!$K$2:$K$825="Vacant", ROW('Bank Schedule'!$K$2:$K$825)), ROW(43:43))), "")</f>
        <v>4</v>
      </c>
      <c r="AG46" s="29" t="n">
        <f aca="false" t="array" ref="AG46:AG46">IFERROR(INDEX('Bank Schedule'!AG:AG, SMALL(IF('Bank Schedule'!$K$2:$K$825="Vacant", ROW('Bank Schedule'!$K$2:$K$825)), ROW(43:43))), "")</f>
        <v>4</v>
      </c>
      <c r="AH46" s="29" t="str">
        <f aca="false">IFERROR(INDEX('Bank Schedule'!AH:AH, SMALL(IF('Bank Schedule'!$K$2:$K$825="Vacant", ROW('Bank Schedule'!$K$2:$K$825)), ROW(43:43))), "")</f>
        <v/>
      </c>
      <c r="AI46" s="4"/>
    </row>
    <row r="47" customFormat="false" ht="28.5" hidden="false" customHeight="true" outlineLevel="0" collapsed="false">
      <c r="A47" s="29" t="str">
        <f aca="false">IFERROR(INDEX('Bank Schedule'!A:A, SMALL(IF('Bank Schedule'!$K$2:$K$825="Vacant", ROW('Bank Schedule'!$K$2:$K$825)), ROW(44:44))), "")</f>
        <v/>
      </c>
      <c r="B47" s="29" t="str">
        <f aca="false" t="array" ref="B47:B47">IFERROR(INDEX('Bank Schedule'!B:B, SMALL(IF('Bank Schedule'!$K$2:$K$825="Vacant", ROW('Bank Schedule'!$K$2:$K$825)), ROW(44:44))), "")</f>
        <v>WS</v>
      </c>
      <c r="C47" s="29" t="str">
        <f aca="false" t="array" ref="C47:C47">IFERROR(INDEX('Bank Schedule'!C:C, SMALL(IF('Bank Schedule'!$K$2:$K$825="Vacant", ROW('Bank Schedule'!$K$2:$K$825)), ROW(44:44))), "")</f>
        <v>MEL</v>
      </c>
      <c r="D47" s="29" t="n">
        <f aca="false" t="array" ref="D47:D47">IFERROR(INDEX('Bank Schedule'!D:D, SMALL(IF('Bank Schedule'!$K$2:$K$825="Vacant", ROW('Bank Schedule'!$K$2:$K$825)), ROW(44:44))), "")</f>
        <v>550370</v>
      </c>
      <c r="E47" s="29" t="str">
        <f aca="false" t="array" ref="E47:E47">IFERROR(INDEX('Bank Schedule'!E:E, SMALL(IF('Bank Schedule'!$K$2:$K$825="Vacant", ROW('Bank Schedule'!$K$2:$K$825)), ROW(44:44))), "")</f>
        <v>15-16 Margaret Street</v>
      </c>
      <c r="F47" s="29" t="str">
        <f aca="false" t="array" ref="F47:F47">IFERROR(INDEX('Bank Schedule'!F:F, SMALL(IF('Bank Schedule'!$K$2:$K$825="Vacant", ROW('Bank Schedule'!$K$2:$K$825)), ROW(44:44))), "")</f>
        <v>Fifth Floor</v>
      </c>
      <c r="G47" s="29" t="str">
        <f aca="false" t="array" ref="G47:G47">IFERROR(INDEX('Bank Schedule'!G:G, SMALL(IF('Bank Schedule'!$K$2:$K$825="Vacant", ROW('Bank Schedule'!$K$2:$K$825)), ROW(44:44))), "")</f>
        <v>Office</v>
      </c>
      <c r="H47" s="305" t="n">
        <f aca="false" t="array" ref="H47:H47">IFERROR(INDEX('Bank Schedule'!H:H, SMALL(IF('Bank Schedule'!$K$2:$K$825="Vacant", ROW('Bank Schedule'!$K$2:$K$825)), ROW(44:44))), "")</f>
        <v>766</v>
      </c>
      <c r="I47" s="29" t="n">
        <f aca="false" t="array" ref="I47:I47">IFERROR(INDEX('Bank Schedule'!I:I, SMALL(IF('Bank Schedule'!$K$2:$K$825="Vacant", ROW('Bank Schedule'!$K$2:$K$825)), ROW(44:44))), "")</f>
        <v>766</v>
      </c>
      <c r="J47" s="305" t="n">
        <f aca="false" t="array" ref="J47:J47">IFERROR(INDEX('Bank Schedule'!J:J, SMALL(IF('Bank Schedule'!$K$2:$K$825="Vacant", ROW('Bank Schedule'!$K$2:$K$825)), ROW(44:44))), "")</f>
        <v>750</v>
      </c>
      <c r="K47" s="29" t="str">
        <f aca="false" t="array" ref="K47:K47">IFERROR(INDEX('Bank Schedule'!K:K, SMALL(IF('Bank Schedule'!$K$2:$K$825="Vacant", ROW('Bank Schedule'!$K$2:$K$825)), ROW(44:44))), "")</f>
        <v>Vacant</v>
      </c>
      <c r="L47" s="29" t="str">
        <f aca="false">IFERROR(INDEX('Bank Schedule'!L:L, SMALL(IF('Bank Schedule'!$K$2:$K$825="Vacant", ROW('Bank Schedule'!$K$2:$K$825)), ROW(44:44))), "")</f>
        <v/>
      </c>
      <c r="M47" s="29" t="str">
        <f aca="false">IFERROR(INDEX('Bank Schedule'!M:M, SMALL(IF('Bank Schedule'!$K$2:$K$825="Vacant", ROW('Bank Schedule'!$K$2:$K$825)), ROW(44:44))), "")</f>
        <v/>
      </c>
      <c r="N47" s="307" t="n">
        <f aca="false" t="array" ref="N47:N47">IFERROR(INDEX('Bank Schedule'!N:N, SMALL(IF('Bank Schedule'!$K$2:$K$825="Vacant", ROW('Bank Schedule'!$K$2:$K$825)), ROW(44:44))), "")</f>
        <v>44063</v>
      </c>
      <c r="O47" s="29" t="str">
        <f aca="false">IFERROR(INDEX('Bank Schedule'!O:O, SMALL(IF('Bank Schedule'!$K$2:$K$825="Vacant", ROW('Bank Schedule'!$K$2:$K$825)), ROW(44:44))), "")</f>
        <v/>
      </c>
      <c r="P47" s="29" t="str">
        <f aca="false">IFERROR(INDEX('Bank Schedule'!P:P, SMALL(IF('Bank Schedule'!$K$2:$K$825="Vacant", ROW('Bank Schedule'!$K$2:$K$825)), ROW(44:44))), "")</f>
        <v/>
      </c>
      <c r="Q47" s="29" t="n">
        <f aca="false" t="array" ref="Q47:Q47">IFERROR(INDEX('Bank Schedule'!Q:Q, SMALL(IF('Bank Schedule'!$K$2:$K$825="Vacant", ROW('Bank Schedule'!$K$2:$K$825)), ROW(44:44))), "")</f>
        <v>0</v>
      </c>
      <c r="R47" s="29" t="n">
        <f aca="false" t="array" ref="R47:R47">IFERROR(INDEX('Bank Schedule'!R:R, SMALL(IF('Bank Schedule'!$K$2:$K$825="Vacant", ROW('Bank Schedule'!$K$2:$K$825)), ROW(44:44))), "")</f>
        <v>0</v>
      </c>
      <c r="S47" s="29" t="str">
        <f aca="false">IFERROR(INDEX('Bank Schedule'!S:S, SMALL(IF('Bank Schedule'!$K$2:$K$825="Vacant", ROW('Bank Schedule'!$K$2:$K$825)), ROW(44:44))), "")</f>
        <v/>
      </c>
      <c r="T47" s="309" t="n">
        <f aca="false" t="array" ref="T47:T47">IFERROR(INDEX('Bank Schedule'!T:T, SMALL(IF('Bank Schedule'!$K$2:$K$825="Vacant", ROW('Bank Schedule'!$K$2:$K$825)), ROW(44:44))), "")</f>
        <v>39300</v>
      </c>
      <c r="U47" s="309" t="n">
        <f aca="false" t="array" ref="U47:U47">IFERROR(INDEX('Bank Schedule'!U:U, SMALL(IF('Bank Schedule'!$K$2:$K$825="Vacant", ROW('Bank Schedule'!$K$2:$K$825)), ROW(44:44))), "")</f>
        <v>39300</v>
      </c>
      <c r="V47" s="309" t="n">
        <f aca="false" t="array" ref="V47:V47">IFERROR(INDEX('Bank Schedule'!V:V, SMALL(IF('Bank Schedule'!$K$2:$K$825="Vacant", ROW('Bank Schedule'!$K$2:$K$825)), ROW(44:44))), "")</f>
        <v>43100</v>
      </c>
      <c r="W47" s="309" t="n">
        <f aca="false" t="array" ref="W47:W47">IFERROR(INDEX('Bank Schedule'!W:W, SMALL(IF('Bank Schedule'!$K$2:$K$825="Vacant", ROW('Bank Schedule'!$K$2:$K$825)), ROW(44:44))), "")</f>
        <v>43100</v>
      </c>
      <c r="X47" s="309" t="n">
        <f aca="false" t="array" ref="X47:X47">IFERROR(INDEX('Bank Schedule'!X:X, SMALL(IF('Bank Schedule'!$K$2:$K$825="Vacant", ROW('Bank Schedule'!$K$2:$K$825)), ROW(44:44))), "")</f>
        <v>56.266318537859</v>
      </c>
      <c r="Y47" s="310" t="n">
        <f aca="false" t="array" ref="Y47:Y47">IFERROR(INDEX('Bank Schedule'!Y:Y, SMALL(IF('Bank Schedule'!$K$2:$K$825="Vacant", ROW('Bank Schedule'!$K$2:$K$825)), ROW(44:44))), "")</f>
        <v>0.0966921119592875</v>
      </c>
      <c r="Z47" s="29" t="str">
        <f aca="false" t="array" ref="Z47:Z47">IFERROR(INDEX('Bank Schedule'!Z:Z, SMALL(IF('Bank Schedule'!$K$2:$K$825="Vacant", ROW('Bank Schedule'!$K$2:$K$825)), ROW(44:44))), "")</f>
        <v>E</v>
      </c>
      <c r="AA47" s="29" t="str">
        <f aca="false">IFERROR(INDEX('Bank Schedule'!AA:AA, SMALL(IF('Bank Schedule'!$K$2:$K$825="Vacant", ROW('Bank Schedule'!$K$2:$K$825)), ROW(44:44))), "")</f>
        <v/>
      </c>
      <c r="AB47" s="29" t="str">
        <f aca="false">IFERROR(INDEX('Bank Schedule'!AB:AB, SMALL(IF('Bank Schedule'!$K$2:$K$825="Vacant", ROW('Bank Schedule'!$K$2:$K$825)), ROW(44:44))), "")</f>
        <v/>
      </c>
      <c r="AC47" s="29" t="str">
        <f aca="false" t="array" ref="AC47:AC47">IFERROR(INDEX('Bank Schedule'!AC:AC, SMALL(IF('Bank Schedule'!$K$2:$K$825="Vacant", ROW('Bank Schedule'!$K$2:$K$825)), ROW(44:44))), "")</f>
        <v>No</v>
      </c>
      <c r="AD47" s="29" t="str">
        <f aca="false" t="array" ref="AD47:AD47">IFERROR(INDEX('Bank Schedule'!AD:AD, SMALL(IF('Bank Schedule'!$K$2:$K$825="Vacant", ROW('Bank Schedule'!$K$2:$K$825)), ROW(44:44))), "")</f>
        <v>To be refurbished.</v>
      </c>
      <c r="AE47" s="281" t="n">
        <f aca="false" t="array" ref="AE47:AE47">IFERROR(INDEX('Bank Schedule'!AE:AE, SMALL(IF('Bank Schedule'!$K$2:$K$825="Vacant", ROW('Bank Schedule'!$K$2:$K$825)), ROW(44:44))), "")</f>
        <v>65</v>
      </c>
      <c r="AF47" s="29" t="n">
        <f aca="false" t="array" ref="AF47:AF47">IFERROR(INDEX('Bank Schedule'!AF:AF, SMALL(IF('Bank Schedule'!$K$2:$K$825="Vacant", ROW('Bank Schedule'!$K$2:$K$825)), ROW(44:44))), "")</f>
        <v>3</v>
      </c>
      <c r="AG47" s="29" t="n">
        <f aca="false" t="array" ref="AG47:AG47">IFERROR(INDEX('Bank Schedule'!AG:AG, SMALL(IF('Bank Schedule'!$K$2:$K$825="Vacant", ROW('Bank Schedule'!$K$2:$K$825)), ROW(44:44))), "")</f>
        <v>5</v>
      </c>
      <c r="AH47" s="29" t="str">
        <f aca="false">IFERROR(INDEX('Bank Schedule'!AH:AH, SMALL(IF('Bank Schedule'!$K$2:$K$825="Vacant", ROW('Bank Schedule'!$K$2:$K$825)), ROW(44:44))), "")</f>
        <v/>
      </c>
      <c r="AI47" s="4"/>
    </row>
    <row r="48" customFormat="false" ht="28.5" hidden="false" customHeight="true" outlineLevel="0" collapsed="false">
      <c r="A48" s="29" t="str">
        <f aca="false">IFERROR(INDEX('Bank Schedule'!A:A, SMALL(IF('Bank Schedule'!$K$2:$K$825="Vacant", ROW('Bank Schedule'!$K$2:$K$825)), ROW(45:45))), "")</f>
        <v/>
      </c>
      <c r="B48" s="29" t="str">
        <f aca="false" t="array" ref="B48:B48">IFERROR(INDEX('Bank Schedule'!B:B, SMALL(IF('Bank Schedule'!$K$2:$K$825="Vacant", ROW('Bank Schedule'!$K$2:$K$825)), ROW(45:45))), "")</f>
        <v>WS</v>
      </c>
      <c r="C48" s="29" t="str">
        <f aca="false" t="array" ref="C48:C48">IFERROR(INDEX('Bank Schedule'!C:C, SMALL(IF('Bank Schedule'!$K$2:$K$825="Vacant", ROW('Bank Schedule'!$K$2:$K$825)), ROW(45:45))), "")</f>
        <v>MEL</v>
      </c>
      <c r="D48" s="29" t="n">
        <f aca="false" t="array" ref="D48:D48">IFERROR(INDEX('Bank Schedule'!D:D, SMALL(IF('Bank Schedule'!$K$2:$K$825="Vacant", ROW('Bank Schedule'!$K$2:$K$825)), ROW(45:45))), "")</f>
        <v>550380</v>
      </c>
      <c r="E48" s="29" t="str">
        <f aca="false" t="array" ref="E48:E48">IFERROR(INDEX('Bank Schedule'!E:E, SMALL(IF('Bank Schedule'!$K$2:$K$825="Vacant", ROW('Bank Schedule'!$K$2:$K$825)), ROW(45:45))), "")</f>
        <v>17-18 Margaret Street</v>
      </c>
      <c r="F48" s="29" t="str">
        <f aca="false" t="array" ref="F48:F48">IFERROR(INDEX('Bank Schedule'!F:F, SMALL(IF('Bank Schedule'!$K$2:$K$825="Vacant", ROW('Bank Schedule'!$K$2:$K$825)), ROW(45:45))), "")</f>
        <v>Fourth Floor (RW)</v>
      </c>
      <c r="G48" s="29" t="str">
        <f aca="false" t="array" ref="G48:G48">IFERROR(INDEX('Bank Schedule'!G:G, SMALL(IF('Bank Schedule'!$K$2:$K$825="Vacant", ROW('Bank Schedule'!$K$2:$K$825)), ROW(45:45))), "")</f>
        <v>Office</v>
      </c>
      <c r="H48" s="305" t="n">
        <f aca="false" t="array" ref="H48:H48">IFERROR(INDEX('Bank Schedule'!H:H, SMALL(IF('Bank Schedule'!$K$2:$K$825="Vacant", ROW('Bank Schedule'!$K$2:$K$825)), ROW(45:45))), "")</f>
        <v>284</v>
      </c>
      <c r="I48" s="29" t="n">
        <f aca="false" t="array" ref="I48:I48">IFERROR(INDEX('Bank Schedule'!I:I, SMALL(IF('Bank Schedule'!$K$2:$K$825="Vacant", ROW('Bank Schedule'!$K$2:$K$825)), ROW(45:45))), "")</f>
        <v>284</v>
      </c>
      <c r="J48" s="305" t="n">
        <f aca="false" t="array" ref="J48:J48">IFERROR(INDEX('Bank Schedule'!J:J, SMALL(IF('Bank Schedule'!$K$2:$K$825="Vacant", ROW('Bank Schedule'!$K$2:$K$825)), ROW(45:45))), "")</f>
        <v>250</v>
      </c>
      <c r="K48" s="29" t="str">
        <f aca="false" t="array" ref="K48:K48">IFERROR(INDEX('Bank Schedule'!K:K, SMALL(IF('Bank Schedule'!$K$2:$K$825="Vacant", ROW('Bank Schedule'!$K$2:$K$825)), ROW(45:45))), "")</f>
        <v>Vacant</v>
      </c>
      <c r="L48" s="29" t="str">
        <f aca="false">IFERROR(INDEX('Bank Schedule'!L:L, SMALL(IF('Bank Schedule'!$K$2:$K$825="Vacant", ROW('Bank Schedule'!$K$2:$K$825)), ROW(45:45))), "")</f>
        <v/>
      </c>
      <c r="M48" s="29" t="str">
        <f aca="false">IFERROR(INDEX('Bank Schedule'!M:M, SMALL(IF('Bank Schedule'!$K$2:$K$825="Vacant", ROW('Bank Schedule'!$K$2:$K$825)), ROW(45:45))), "")</f>
        <v/>
      </c>
      <c r="N48" s="307" t="n">
        <f aca="false" t="array" ref="N48:N48">IFERROR(INDEX('Bank Schedule'!N:N, SMALL(IF('Bank Schedule'!$K$2:$K$825="Vacant", ROW('Bank Schedule'!$K$2:$K$825)), ROW(45:45))), "")</f>
        <v>43909</v>
      </c>
      <c r="O48" s="29" t="str">
        <f aca="false">IFERROR(INDEX('Bank Schedule'!O:O, SMALL(IF('Bank Schedule'!$K$2:$K$825="Vacant", ROW('Bank Schedule'!$K$2:$K$825)), ROW(45:45))), "")</f>
        <v/>
      </c>
      <c r="P48" s="29" t="str">
        <f aca="false">IFERROR(INDEX('Bank Schedule'!P:P, SMALL(IF('Bank Schedule'!$K$2:$K$825="Vacant", ROW('Bank Schedule'!$K$2:$K$825)), ROW(45:45))), "")</f>
        <v/>
      </c>
      <c r="Q48" s="29" t="n">
        <f aca="false" t="array" ref="Q48:Q48">IFERROR(INDEX('Bank Schedule'!Q:Q, SMALL(IF('Bank Schedule'!$K$2:$K$825="Vacant", ROW('Bank Schedule'!$K$2:$K$825)), ROW(45:45))), "")</f>
        <v>0</v>
      </c>
      <c r="R48" s="29" t="n">
        <f aca="false" t="array" ref="R48:R48">IFERROR(INDEX('Bank Schedule'!R:R, SMALL(IF('Bank Schedule'!$K$2:$K$825="Vacant", ROW('Bank Schedule'!$K$2:$K$825)), ROW(45:45))), "")</f>
        <v>0</v>
      </c>
      <c r="S48" s="29" t="str">
        <f aca="false">IFERROR(INDEX('Bank Schedule'!S:S, SMALL(IF('Bank Schedule'!$K$2:$K$825="Vacant", ROW('Bank Schedule'!$K$2:$K$825)), ROW(45:45))), "")</f>
        <v/>
      </c>
      <c r="T48" s="309" t="n">
        <f aca="false" t="array" ref="T48:T48">IFERROR(INDEX('Bank Schedule'!T:T, SMALL(IF('Bank Schedule'!$K$2:$K$825="Vacant", ROW('Bank Schedule'!$K$2:$K$825)), ROW(45:45))), "")</f>
        <v>16300</v>
      </c>
      <c r="U48" s="309" t="n">
        <f aca="false" t="array" ref="U48:U48">IFERROR(INDEX('Bank Schedule'!U:U, SMALL(IF('Bank Schedule'!$K$2:$K$825="Vacant", ROW('Bank Schedule'!$K$2:$K$825)), ROW(45:45))), "")</f>
        <v>16300</v>
      </c>
      <c r="V48" s="309" t="n">
        <f aca="false" t="array" ref="V48:V48">IFERROR(INDEX('Bank Schedule'!V:V, SMALL(IF('Bank Schedule'!$K$2:$K$825="Vacant", ROW('Bank Schedule'!$K$2:$K$825)), ROW(45:45))), "")</f>
        <v>16300</v>
      </c>
      <c r="W48" s="309" t="n">
        <f aca="false" t="array" ref="W48:W48">IFERROR(INDEX('Bank Schedule'!W:W, SMALL(IF('Bank Schedule'!$K$2:$K$825="Vacant", ROW('Bank Schedule'!$K$2:$K$825)), ROW(45:45))), "")</f>
        <v>16300</v>
      </c>
      <c r="X48" s="309" t="n">
        <f aca="false" t="array" ref="X48:X48">IFERROR(INDEX('Bank Schedule'!X:X, SMALL(IF('Bank Schedule'!$K$2:$K$825="Vacant", ROW('Bank Schedule'!$K$2:$K$825)), ROW(45:45))), "")</f>
        <v>57.3943661971831</v>
      </c>
      <c r="Y48" s="310" t="n">
        <f aca="false" t="array" ref="Y48:Y48">IFERROR(INDEX('Bank Schedule'!Y:Y, SMALL(IF('Bank Schedule'!$K$2:$K$825="Vacant", ROW('Bank Schedule'!$K$2:$K$825)), ROW(45:45))), "")</f>
        <v>0</v>
      </c>
      <c r="Z48" s="29" t="str">
        <f aca="false" t="array" ref="Z48:Z48">IFERROR(INDEX('Bank Schedule'!Z:Z, SMALL(IF('Bank Schedule'!$K$2:$K$825="Vacant", ROW('Bank Schedule'!$K$2:$K$825)), ROW(45:45))), "")</f>
        <v>E</v>
      </c>
      <c r="AA48" s="29" t="str">
        <f aca="false" t="array" ref="AA48:AA48">IFERROR(INDEX('Bank Schedule'!AA:AA, SMALL(IF('Bank Schedule'!$K$2:$K$825="Vacant", ROW('Bank Schedule'!$K$2:$K$825)), ROW(45:45))), "")</f>
        <v>*</v>
      </c>
      <c r="AB48" s="29" t="str">
        <f aca="false">IFERROR(INDEX('Bank Schedule'!AB:AB, SMALL(IF('Bank Schedule'!$K$2:$K$825="Vacant", ROW('Bank Schedule'!$K$2:$K$825)), ROW(45:45))), "")</f>
        <v/>
      </c>
      <c r="AC48" s="29" t="str">
        <f aca="false">IFERROR(INDEX('Bank Schedule'!AC:AC, SMALL(IF('Bank Schedule'!$K$2:$K$825="Vacant", ROW('Bank Schedule'!$K$2:$K$825)), ROW(45:45))), "")</f>
        <v/>
      </c>
      <c r="AD48" s="29" t="str">
        <f aca="false" t="array" ref="AD48:AD48">IFERROR(INDEX('Bank Schedule'!AD:AD, SMALL(IF('Bank Schedule'!$K$2:$K$825="Vacant", ROW('Bank Schedule'!$K$2:$K$825)), ROW(45:45))), "")</f>
        <v>To be refurbished.</v>
      </c>
      <c r="AE48" s="281" t="str">
        <f aca="false">IFERROR(INDEX('Bank Schedule'!AE:AE, SMALL(IF('Bank Schedule'!$K$2:$K$825="Vacant", ROW('Bank Schedule'!$K$2:$K$825)), ROW(45:45))), "")</f>
        <v/>
      </c>
      <c r="AF48" s="29" t="n">
        <f aca="false" t="array" ref="AF48:AF48">IFERROR(INDEX('Bank Schedule'!AF:AF, SMALL(IF('Bank Schedule'!$K$2:$K$825="Vacant", ROW('Bank Schedule'!$K$2:$K$825)), ROW(45:45))), "")</f>
        <v>1</v>
      </c>
      <c r="AG48" s="29" t="n">
        <f aca="false" t="array" ref="AG48:AG48">IFERROR(INDEX('Bank Schedule'!AG:AG, SMALL(IF('Bank Schedule'!$K$2:$K$825="Vacant", ROW('Bank Schedule'!$K$2:$K$825)), ROW(45:45))), "")</f>
        <v>2</v>
      </c>
      <c r="AH48" s="29" t="str">
        <f aca="false">IFERROR(INDEX('Bank Schedule'!AH:AH, SMALL(IF('Bank Schedule'!$K$2:$K$825="Vacant", ROW('Bank Schedule'!$K$2:$K$825)), ROW(45:45))), "")</f>
        <v/>
      </c>
      <c r="AI48" s="4"/>
    </row>
    <row r="49" customFormat="false" ht="28.5" hidden="false" customHeight="true" outlineLevel="0" collapsed="false">
      <c r="A49" s="29" t="str">
        <f aca="false">IFERROR(INDEX('Bank Schedule'!A:A, SMALL(IF('Bank Schedule'!$K$2:$K$825="Vacant", ROW('Bank Schedule'!$K$2:$K$825)), ROW(46:46))), "")</f>
        <v/>
      </c>
      <c r="B49" s="29" t="str">
        <f aca="false" t="array" ref="B49:B49">IFERROR(INDEX('Bank Schedule'!B:B, SMALL(IF('Bank Schedule'!$K$2:$K$825="Vacant", ROW('Bank Schedule'!$K$2:$K$825)), ROW(46:46))), "")</f>
        <v>WS</v>
      </c>
      <c r="C49" s="29" t="str">
        <f aca="false" t="array" ref="C49:C49">IFERROR(INDEX('Bank Schedule'!C:C, SMALL(IF('Bank Schedule'!$K$2:$K$825="Vacant", ROW('Bank Schedule'!$K$2:$K$825)), ROW(46:46))), "")</f>
        <v>MEL</v>
      </c>
      <c r="D49" s="29" t="n">
        <f aca="false" t="array" ref="D49:D49">IFERROR(INDEX('Bank Schedule'!D:D, SMALL(IF('Bank Schedule'!$K$2:$K$825="Vacant", ROW('Bank Schedule'!$K$2:$K$825)), ROW(46:46))), "")</f>
        <v>550380</v>
      </c>
      <c r="E49" s="29" t="str">
        <f aca="false" t="array" ref="E49:E49">IFERROR(INDEX('Bank Schedule'!E:E, SMALL(IF('Bank Schedule'!$K$2:$K$825="Vacant", ROW('Bank Schedule'!$K$2:$K$825)), ROW(46:46))), "")</f>
        <v>17-18 Margaret Street</v>
      </c>
      <c r="F49" s="29" t="str">
        <f aca="false" t="array" ref="F49:F49">IFERROR(INDEX('Bank Schedule'!F:F, SMALL(IF('Bank Schedule'!$K$2:$K$825="Vacant", ROW('Bank Schedule'!$K$2:$K$825)), ROW(46:46))), "")</f>
        <v>Fourth Floor (E)</v>
      </c>
      <c r="G49" s="29" t="str">
        <f aca="false" t="array" ref="G49:G49">IFERROR(INDEX('Bank Schedule'!G:G, SMALL(IF('Bank Schedule'!$K$2:$K$825="Vacant", ROW('Bank Schedule'!$K$2:$K$825)), ROW(46:46))), "")</f>
        <v>Office</v>
      </c>
      <c r="H49" s="305" t="n">
        <f aca="false" t="array" ref="H49:H49">IFERROR(INDEX('Bank Schedule'!H:H, SMALL(IF('Bank Schedule'!$K$2:$K$825="Vacant", ROW('Bank Schedule'!$K$2:$K$825)), ROW(46:46))), "")</f>
        <v>619</v>
      </c>
      <c r="I49" s="29" t="n">
        <f aca="false" t="array" ref="I49:I49">IFERROR(INDEX('Bank Schedule'!I:I, SMALL(IF('Bank Schedule'!$K$2:$K$825="Vacant", ROW('Bank Schedule'!$K$2:$K$825)), ROW(46:46))), "")</f>
        <v>619</v>
      </c>
      <c r="J49" s="305" t="n">
        <f aca="false" t="array" ref="J49:J49">IFERROR(INDEX('Bank Schedule'!J:J, SMALL(IF('Bank Schedule'!$K$2:$K$825="Vacant", ROW('Bank Schedule'!$K$2:$K$825)), ROW(46:46))), "")</f>
        <v>500</v>
      </c>
      <c r="K49" s="29" t="str">
        <f aca="false" t="array" ref="K49:K49">IFERROR(INDEX('Bank Schedule'!K:K, SMALL(IF('Bank Schedule'!$K$2:$K$825="Vacant", ROW('Bank Schedule'!$K$2:$K$825)), ROW(46:46))), "")</f>
        <v>Vacant</v>
      </c>
      <c r="L49" s="29" t="str">
        <f aca="false">IFERROR(INDEX('Bank Schedule'!L:L, SMALL(IF('Bank Schedule'!$K$2:$K$825="Vacant", ROW('Bank Schedule'!$K$2:$K$825)), ROW(46:46))), "")</f>
        <v/>
      </c>
      <c r="M49" s="29" t="str">
        <f aca="false">IFERROR(INDEX('Bank Schedule'!M:M, SMALL(IF('Bank Schedule'!$K$2:$K$825="Vacant", ROW('Bank Schedule'!$K$2:$K$825)), ROW(46:46))), "")</f>
        <v/>
      </c>
      <c r="N49" s="307" t="n">
        <f aca="false" t="array" ref="N49:N49">IFERROR(INDEX('Bank Schedule'!N:N, SMALL(IF('Bank Schedule'!$K$2:$K$825="Vacant", ROW('Bank Schedule'!$K$2:$K$825)), ROW(46:46))), "")</f>
        <v>45678</v>
      </c>
      <c r="O49" s="29" t="str">
        <f aca="false">IFERROR(INDEX('Bank Schedule'!O:O, SMALL(IF('Bank Schedule'!$K$2:$K$825="Vacant", ROW('Bank Schedule'!$K$2:$K$825)), ROW(46:46))), "")</f>
        <v/>
      </c>
      <c r="P49" s="29" t="str">
        <f aca="false">IFERROR(INDEX('Bank Schedule'!P:P, SMALL(IF('Bank Schedule'!$K$2:$K$825="Vacant", ROW('Bank Schedule'!$K$2:$K$825)), ROW(46:46))), "")</f>
        <v/>
      </c>
      <c r="Q49" s="29" t="n">
        <f aca="false" t="array" ref="Q49:Q49">IFERROR(INDEX('Bank Schedule'!Q:Q, SMALL(IF('Bank Schedule'!$K$2:$K$825="Vacant", ROW('Bank Schedule'!$K$2:$K$825)), ROW(46:46))), "")</f>
        <v>0</v>
      </c>
      <c r="R49" s="29" t="n">
        <f aca="false" t="array" ref="R49:R49">IFERROR(INDEX('Bank Schedule'!R:R, SMALL(IF('Bank Schedule'!$K$2:$K$825="Vacant", ROW('Bank Schedule'!$K$2:$K$825)), ROW(46:46))), "")</f>
        <v>0</v>
      </c>
      <c r="S49" s="29" t="str">
        <f aca="false">IFERROR(INDEX('Bank Schedule'!S:S, SMALL(IF('Bank Schedule'!$K$2:$K$825="Vacant", ROW('Bank Schedule'!$K$2:$K$825)), ROW(46:46))), "")</f>
        <v/>
      </c>
      <c r="T49" s="309" t="n">
        <f aca="false" t="array" ref="T49:T49">IFERROR(INDEX('Bank Schedule'!T:T, SMALL(IF('Bank Schedule'!$K$2:$K$825="Vacant", ROW('Bank Schedule'!$K$2:$K$825)), ROW(46:46))), "")</f>
        <v>35600</v>
      </c>
      <c r="U49" s="309" t="n">
        <f aca="false" t="array" ref="U49:U49">IFERROR(INDEX('Bank Schedule'!U:U, SMALL(IF('Bank Schedule'!$K$2:$K$825="Vacant", ROW('Bank Schedule'!$K$2:$K$825)), ROW(46:46))), "")</f>
        <v>35600</v>
      </c>
      <c r="V49" s="309" t="n">
        <f aca="false" t="array" ref="V49:V49">IFERROR(INDEX('Bank Schedule'!V:V, SMALL(IF('Bank Schedule'!$K$2:$K$825="Vacant", ROW('Bank Schedule'!$K$2:$K$825)), ROW(46:46))), "")</f>
        <v>35600</v>
      </c>
      <c r="W49" s="309" t="n">
        <f aca="false" t="array" ref="W49:W49">IFERROR(INDEX('Bank Schedule'!W:W, SMALL(IF('Bank Schedule'!$K$2:$K$825="Vacant", ROW('Bank Schedule'!$K$2:$K$825)), ROW(46:46))), "")</f>
        <v>35600</v>
      </c>
      <c r="X49" s="309" t="n">
        <f aca="false" t="array" ref="X49:X49">IFERROR(INDEX('Bank Schedule'!X:X, SMALL(IF('Bank Schedule'!$K$2:$K$825="Vacant", ROW('Bank Schedule'!$K$2:$K$825)), ROW(46:46))), "")</f>
        <v>57.5121163166397</v>
      </c>
      <c r="Y49" s="310" t="n">
        <f aca="false" t="array" ref="Y49:Y49">IFERROR(INDEX('Bank Schedule'!Y:Y, SMALL(IF('Bank Schedule'!$K$2:$K$825="Vacant", ROW('Bank Schedule'!$K$2:$K$825)), ROW(46:46))), "")</f>
        <v>0</v>
      </c>
      <c r="Z49" s="29" t="str">
        <f aca="false" t="array" ref="Z49:Z49">IFERROR(INDEX('Bank Schedule'!Z:Z, SMALL(IF('Bank Schedule'!$K$2:$K$825="Vacant", ROW('Bank Schedule'!$K$2:$K$825)), ROW(46:46))), "")</f>
        <v>E</v>
      </c>
      <c r="AA49" s="29" t="str">
        <f aca="false">IFERROR(INDEX('Bank Schedule'!AA:AA, SMALL(IF('Bank Schedule'!$K$2:$K$825="Vacant", ROW('Bank Schedule'!$K$2:$K$825)), ROW(46:46))), "")</f>
        <v/>
      </c>
      <c r="AB49" s="29" t="str">
        <f aca="false">IFERROR(INDEX('Bank Schedule'!AB:AB, SMALL(IF('Bank Schedule'!$K$2:$K$825="Vacant", ROW('Bank Schedule'!$K$2:$K$825)), ROW(46:46))), "")</f>
        <v/>
      </c>
      <c r="AC49" s="29" t="str">
        <f aca="false" t="array" ref="AC49:AC49">IFERROR(INDEX('Bank Schedule'!AC:AC, SMALL(IF('Bank Schedule'!$K$2:$K$825="Vacant", ROW('Bank Schedule'!$K$2:$K$825)), ROW(46:46))), "")</f>
        <v>No</v>
      </c>
      <c r="AD49" s="29" t="str">
        <f aca="false" t="array" ref="AD49:AD49">IFERROR(INDEX('Bank Schedule'!AD:AD, SMALL(IF('Bank Schedule'!$K$2:$K$825="Vacant", ROW('Bank Schedule'!$K$2:$K$825)), ROW(46:46))), "")</f>
        <v>LEM marketing.</v>
      </c>
      <c r="AE49" s="281" t="str">
        <f aca="false">IFERROR(INDEX('Bank Schedule'!AE:AE, SMALL(IF('Bank Schedule'!$K$2:$K$825="Vacant", ROW('Bank Schedule'!$K$2:$K$825)), ROW(46:46))), "")</f>
        <v/>
      </c>
      <c r="AF49" s="29" t="str">
        <f aca="false">IFERROR(INDEX('Bank Schedule'!AF:AF, SMALL(IF('Bank Schedule'!$K$2:$K$825="Vacant", ROW('Bank Schedule'!$K$2:$K$825)), ROW(46:46))), "")</f>
        <v/>
      </c>
      <c r="AG49" s="29" t="str">
        <f aca="false">IFERROR(INDEX('Bank Schedule'!AG:AG, SMALL(IF('Bank Schedule'!$K$2:$K$825="Vacant", ROW('Bank Schedule'!$K$2:$K$825)), ROW(46:46))), "")</f>
        <v/>
      </c>
      <c r="AH49" s="29" t="str">
        <f aca="false">IFERROR(INDEX('Bank Schedule'!AH:AH, SMALL(IF('Bank Schedule'!$K$2:$K$825="Vacant", ROW('Bank Schedule'!$K$2:$K$825)), ROW(46:46))), "")</f>
        <v/>
      </c>
      <c r="AI49" s="4"/>
    </row>
    <row r="50" customFormat="false" ht="28.5" hidden="false" customHeight="true" outlineLevel="0" collapsed="false">
      <c r="A50" s="29" t="str">
        <f aca="false">IFERROR(INDEX('Bank Schedule'!A:A, SMALL(IF('Bank Schedule'!$K$2:$K$825="Vacant", ROW('Bank Schedule'!$K$2:$K$825)), ROW(47:47))), "")</f>
        <v/>
      </c>
      <c r="B50" s="29" t="str">
        <f aca="false" t="array" ref="B50:B50">IFERROR(INDEX('Bank Schedule'!B:B, SMALL(IF('Bank Schedule'!$K$2:$K$825="Vacant", ROW('Bank Schedule'!$K$2:$K$825)), ROW(47:47))), "")</f>
        <v>WS</v>
      </c>
      <c r="C50" s="29" t="str">
        <f aca="false" t="array" ref="C50:C50">IFERROR(INDEX('Bank Schedule'!C:C, SMALL(IF('Bank Schedule'!$K$2:$K$825="Vacant", ROW('Bank Schedule'!$K$2:$K$825)), ROW(47:47))), "")</f>
        <v>MEL</v>
      </c>
      <c r="D50" s="29" t="n">
        <f aca="false" t="array" ref="D50:D50">IFERROR(INDEX('Bank Schedule'!D:D, SMALL(IF('Bank Schedule'!$K$2:$K$825="Vacant", ROW('Bank Schedule'!$K$2:$K$825)), ROW(47:47))), "")</f>
        <v>550380</v>
      </c>
      <c r="E50" s="29" t="str">
        <f aca="false" t="array" ref="E50:E50">IFERROR(INDEX('Bank Schedule'!E:E, SMALL(IF('Bank Schedule'!$K$2:$K$825="Vacant", ROW('Bank Schedule'!$K$2:$K$825)), ROW(47:47))), "")</f>
        <v>17-18 Margaret Street</v>
      </c>
      <c r="F50" s="29" t="str">
        <f aca="false" t="array" ref="F50:F50">IFERROR(INDEX('Bank Schedule'!F:F, SMALL(IF('Bank Schedule'!$K$2:$K$825="Vacant", ROW('Bank Schedule'!$K$2:$K$825)), ROW(47:47))), "")</f>
        <v>Fourth Floor (W)</v>
      </c>
      <c r="G50" s="29" t="str">
        <f aca="false" t="array" ref="G50:G50">IFERROR(INDEX('Bank Schedule'!G:G, SMALL(IF('Bank Schedule'!$K$2:$K$825="Vacant", ROW('Bank Schedule'!$K$2:$K$825)), ROW(47:47))), "")</f>
        <v>Office</v>
      </c>
      <c r="H50" s="305" t="n">
        <f aca="false" t="array" ref="H50:H50">IFERROR(INDEX('Bank Schedule'!H:H, SMALL(IF('Bank Schedule'!$K$2:$K$825="Vacant", ROW('Bank Schedule'!$K$2:$K$825)), ROW(47:47))), "")</f>
        <v>653</v>
      </c>
      <c r="I50" s="29" t="n">
        <f aca="false" t="array" ref="I50:I50">IFERROR(INDEX('Bank Schedule'!I:I, SMALL(IF('Bank Schedule'!$K$2:$K$825="Vacant", ROW('Bank Schedule'!$K$2:$K$825)), ROW(47:47))), "")</f>
        <v>653</v>
      </c>
      <c r="J50" s="305" t="n">
        <f aca="false" t="array" ref="J50:J50">IFERROR(INDEX('Bank Schedule'!J:J, SMALL(IF('Bank Schedule'!$K$2:$K$825="Vacant", ROW('Bank Schedule'!$K$2:$K$825)), ROW(47:47))), "")</f>
        <v>750</v>
      </c>
      <c r="K50" s="29" t="str">
        <f aca="false" t="array" ref="K50:K50">IFERROR(INDEX('Bank Schedule'!K:K, SMALL(IF('Bank Schedule'!$K$2:$K$825="Vacant", ROW('Bank Schedule'!$K$2:$K$825)), ROW(47:47))), "")</f>
        <v>Vacant</v>
      </c>
      <c r="L50" s="29" t="str">
        <f aca="false">IFERROR(INDEX('Bank Schedule'!L:L, SMALL(IF('Bank Schedule'!$K$2:$K$825="Vacant", ROW('Bank Schedule'!$K$2:$K$825)), ROW(47:47))), "")</f>
        <v/>
      </c>
      <c r="M50" s="29" t="str">
        <f aca="false">IFERROR(INDEX('Bank Schedule'!M:M, SMALL(IF('Bank Schedule'!$K$2:$K$825="Vacant", ROW('Bank Schedule'!$K$2:$K$825)), ROW(47:47))), "")</f>
        <v/>
      </c>
      <c r="N50" s="307" t="n">
        <f aca="false" t="array" ref="N50:N50">IFERROR(INDEX('Bank Schedule'!N:N, SMALL(IF('Bank Schedule'!$K$2:$K$825="Vacant", ROW('Bank Schedule'!$K$2:$K$825)), ROW(47:47))), "")</f>
        <v>44555</v>
      </c>
      <c r="O50" s="29" t="str">
        <f aca="false">IFERROR(INDEX('Bank Schedule'!O:O, SMALL(IF('Bank Schedule'!$K$2:$K$825="Vacant", ROW('Bank Schedule'!$K$2:$K$825)), ROW(47:47))), "")</f>
        <v/>
      </c>
      <c r="P50" s="29" t="str">
        <f aca="false">IFERROR(INDEX('Bank Schedule'!P:P, SMALL(IF('Bank Schedule'!$K$2:$K$825="Vacant", ROW('Bank Schedule'!$K$2:$K$825)), ROW(47:47))), "")</f>
        <v/>
      </c>
      <c r="Q50" s="29" t="n">
        <f aca="false" t="array" ref="Q50:Q50">IFERROR(INDEX('Bank Schedule'!Q:Q, SMALL(IF('Bank Schedule'!$K$2:$K$825="Vacant", ROW('Bank Schedule'!$K$2:$K$825)), ROW(47:47))), "")</f>
        <v>0</v>
      </c>
      <c r="R50" s="29" t="n">
        <f aca="false" t="array" ref="R50:R50">IFERROR(INDEX('Bank Schedule'!R:R, SMALL(IF('Bank Schedule'!$K$2:$K$825="Vacant", ROW('Bank Schedule'!$K$2:$K$825)), ROW(47:47))), "")</f>
        <v>0</v>
      </c>
      <c r="S50" s="29" t="str">
        <f aca="false">IFERROR(INDEX('Bank Schedule'!S:S, SMALL(IF('Bank Schedule'!$K$2:$K$825="Vacant", ROW('Bank Schedule'!$K$2:$K$825)), ROW(47:47))), "")</f>
        <v/>
      </c>
      <c r="T50" s="309" t="n">
        <f aca="false" t="array" ref="T50:T50">IFERROR(INDEX('Bank Schedule'!T:T, SMALL(IF('Bank Schedule'!$K$2:$K$825="Vacant", ROW('Bank Schedule'!$K$2:$K$825)), ROW(47:47))), "")</f>
        <v>37500</v>
      </c>
      <c r="U50" s="309" t="n">
        <f aca="false" t="array" ref="U50:U50">IFERROR(INDEX('Bank Schedule'!U:U, SMALL(IF('Bank Schedule'!$K$2:$K$825="Vacant", ROW('Bank Schedule'!$K$2:$K$825)), ROW(47:47))), "")</f>
        <v>37500</v>
      </c>
      <c r="V50" s="309" t="n">
        <f aca="false" t="array" ref="V50:V50">IFERROR(INDEX('Bank Schedule'!V:V, SMALL(IF('Bank Schedule'!$K$2:$K$825="Vacant", ROW('Bank Schedule'!$K$2:$K$825)), ROW(47:47))), "")</f>
        <v>37500</v>
      </c>
      <c r="W50" s="309" t="n">
        <f aca="false" t="array" ref="W50:W50">IFERROR(INDEX('Bank Schedule'!W:W, SMALL(IF('Bank Schedule'!$K$2:$K$825="Vacant", ROW('Bank Schedule'!$K$2:$K$825)), ROW(47:47))), "")</f>
        <v>37500</v>
      </c>
      <c r="X50" s="309" t="n">
        <f aca="false" t="array" ref="X50:X50">IFERROR(INDEX('Bank Schedule'!X:X, SMALL(IF('Bank Schedule'!$K$2:$K$825="Vacant", ROW('Bank Schedule'!$K$2:$K$825)), ROW(47:47))), "")</f>
        <v>57.427258805513</v>
      </c>
      <c r="Y50" s="310" t="n">
        <f aca="false" t="array" ref="Y50:Y50">IFERROR(INDEX('Bank Schedule'!Y:Y, SMALL(IF('Bank Schedule'!$K$2:$K$825="Vacant", ROW('Bank Schedule'!$K$2:$K$825)), ROW(47:47))), "")</f>
        <v>0</v>
      </c>
      <c r="Z50" s="29" t="str">
        <f aca="false" t="array" ref="Z50:Z50">IFERROR(INDEX('Bank Schedule'!Z:Z, SMALL(IF('Bank Schedule'!$K$2:$K$825="Vacant", ROW('Bank Schedule'!$K$2:$K$825)), ROW(47:47))), "")</f>
        <v>E</v>
      </c>
      <c r="AA50" s="29" t="str">
        <f aca="false">IFERROR(INDEX('Bank Schedule'!AA:AA, SMALL(IF('Bank Schedule'!$K$2:$K$825="Vacant", ROW('Bank Schedule'!$K$2:$K$825)), ROW(47:47))), "")</f>
        <v/>
      </c>
      <c r="AB50" s="29" t="str">
        <f aca="false">IFERROR(INDEX('Bank Schedule'!AB:AB, SMALL(IF('Bank Schedule'!$K$2:$K$825="Vacant", ROW('Bank Schedule'!$K$2:$K$825)), ROW(47:47))), "")</f>
        <v/>
      </c>
      <c r="AC50" s="29" t="str">
        <f aca="false" t="array" ref="AC50:AC50">IFERROR(INDEX('Bank Schedule'!AC:AC, SMALL(IF('Bank Schedule'!$K$2:$K$825="Vacant", ROW('Bank Schedule'!$K$2:$K$825)), ROW(47:47))), "")</f>
        <v>No</v>
      </c>
      <c r="AD50" s="29" t="str">
        <f aca="false" t="array" ref="AD50:AD50">IFERROR(INDEX('Bank Schedule'!AD:AD, SMALL(IF('Bank Schedule'!$K$2:$K$825="Vacant", ROW('Bank Schedule'!$K$2:$K$825)), ROW(47:47))), "")</f>
        <v>To be refurbished.</v>
      </c>
      <c r="AE50" s="281" t="n">
        <f aca="false" t="array" ref="AE50:AE50">IFERROR(INDEX('Bank Schedule'!AE:AE, SMALL(IF('Bank Schedule'!$K$2:$K$825="Vacant", ROW('Bank Schedule'!$K$2:$K$825)), ROW(47:47))), "")</f>
        <v>62.5</v>
      </c>
      <c r="AF50" s="29" t="n">
        <f aca="false" t="array" ref="AF50:AF50">IFERROR(INDEX('Bank Schedule'!AF:AF, SMALL(IF('Bank Schedule'!$K$2:$K$825="Vacant", ROW('Bank Schedule'!$K$2:$K$825)), ROW(47:47))), "")</f>
        <v>2</v>
      </c>
      <c r="AG50" s="29" t="n">
        <f aca="false" t="array" ref="AG50:AG50">IFERROR(INDEX('Bank Schedule'!AG:AG, SMALL(IF('Bank Schedule'!$K$2:$K$825="Vacant", ROW('Bank Schedule'!$K$2:$K$825)), ROW(47:47))), "")</f>
        <v>3</v>
      </c>
      <c r="AH50" s="29" t="str">
        <f aca="false" t="array" ref="AH50:AH50">IFERROR(INDEX('Bank Schedule'!AH:AH, SMALL(IF('Bank Schedule'!$K$2:$K$825="Vacant", ROW('Bank Schedule'!$K$2:$K$825)), ROW(47:47))), "")</f>
        <v>LEM</v>
      </c>
      <c r="AI50" s="4"/>
    </row>
    <row r="51" customFormat="false" ht="28.5" hidden="false" customHeight="true" outlineLevel="0" collapsed="false">
      <c r="A51" s="29" t="n">
        <f aca="false">IFERROR(INDEX('Bank Schedule'!A:A, SMALL(IF('Bank Schedule'!$K$2:$K$825="Vacant", ROW('Bank Schedule'!$K$2:$K$825)), ROW(48:48))), "")</f>
        <v>0</v>
      </c>
      <c r="B51" s="29" t="str">
        <f aca="false" t="array" ref="B51:B51">IFERROR(INDEX('Bank Schedule'!B:B, SMALL(IF('Bank Schedule'!$K$2:$K$825="Vacant", ROW('Bank Schedule'!$K$2:$K$825)), ROW(48:48))), "")</f>
        <v>WS</v>
      </c>
      <c r="C51" s="29" t="str">
        <f aca="false" t="array" ref="C51:C51">IFERROR(INDEX('Bank Schedule'!C:C, SMALL(IF('Bank Schedule'!$K$2:$K$825="Vacant", ROW('Bank Schedule'!$K$2:$K$825)), ROW(48:48))), "")</f>
        <v>MEL</v>
      </c>
      <c r="D51" s="29" t="n">
        <f aca="false" t="array" ref="D51:D51">IFERROR(INDEX('Bank Schedule'!D:D, SMALL(IF('Bank Schedule'!$K$2:$K$825="Vacant", ROW('Bank Schedule'!$K$2:$K$825)), ROW(48:48))), "")</f>
        <v>550950</v>
      </c>
      <c r="E51" s="29" t="str">
        <f aca="false" t="array" ref="E51:E51">IFERROR(INDEX('Bank Schedule'!E:E, SMALL(IF('Bank Schedule'!$K$2:$K$825="Vacant", ROW('Bank Schedule'!$K$2:$K$825)), ROW(48:48))), "")</f>
        <v>19 Margaret Street</v>
      </c>
      <c r="F51" s="29" t="str">
        <f aca="false" t="array" ref="F51:F51">IFERROR(INDEX('Bank Schedule'!F:F, SMALL(IF('Bank Schedule'!$K$2:$K$825="Vacant", ROW('Bank Schedule'!$K$2:$K$825)), ROW(48:48))), "")</f>
        <v>First Floor</v>
      </c>
      <c r="G51" s="29" t="str">
        <f aca="false" t="array" ref="G51:G51">IFERROR(INDEX('Bank Schedule'!G:G, SMALL(IF('Bank Schedule'!$K$2:$K$825="Vacant", ROW('Bank Schedule'!$K$2:$K$825)), ROW(48:48))), "")</f>
        <v>Office</v>
      </c>
      <c r="H51" s="305" t="n">
        <f aca="false" t="array" ref="H51:H51">IFERROR(INDEX('Bank Schedule'!H:H, SMALL(IF('Bank Schedule'!$K$2:$K$825="Vacant", ROW('Bank Schedule'!$K$2:$K$825)), ROW(48:48))), "")</f>
        <v>980</v>
      </c>
      <c r="I51" s="29" t="n">
        <f aca="false" t="array" ref="I51:I51">IFERROR(INDEX('Bank Schedule'!I:I, SMALL(IF('Bank Schedule'!$K$2:$K$825="Vacant", ROW('Bank Schedule'!$K$2:$K$825)), ROW(48:48))), "")</f>
        <v>980</v>
      </c>
      <c r="J51" s="305" t="n">
        <f aca="false" t="array" ref="J51:J51">IFERROR(INDEX('Bank Schedule'!J:J, SMALL(IF('Bank Schedule'!$K$2:$K$825="Vacant", ROW('Bank Schedule'!$K$2:$K$825)), ROW(48:48))), "")</f>
        <v>1000</v>
      </c>
      <c r="K51" s="29" t="str">
        <f aca="false" t="array" ref="K51:K51">IFERROR(INDEX('Bank Schedule'!K:K, SMALL(IF('Bank Schedule'!$K$2:$K$825="Vacant", ROW('Bank Schedule'!$K$2:$K$825)), ROW(48:48))), "")</f>
        <v>Vacant</v>
      </c>
      <c r="L51" s="306" t="n">
        <f aca="false">IFERROR(INDEX('Bank Schedule'!L:L, SMALL(IF('Bank Schedule'!$K$2:$K$825="Vacant", ROW('Bank Schedule'!$K$2:$K$825)), ROW(48:48))), "")</f>
        <v>0</v>
      </c>
      <c r="M51" s="306" t="n">
        <f aca="false">IFERROR(INDEX('Bank Schedule'!M:M, SMALL(IF('Bank Schedule'!$K$2:$K$825="Vacant", ROW('Bank Schedule'!$K$2:$K$825)), ROW(48:48))), "")</f>
        <v>0</v>
      </c>
      <c r="N51" s="307" t="n">
        <f aca="false" t="array" ref="N51:N51">IFERROR(INDEX('Bank Schedule'!N:N, SMALL(IF('Bank Schedule'!$K$2:$K$825="Vacant", ROW('Bank Schedule'!$K$2:$K$825)), ROW(48:48))), "")</f>
        <v>43323</v>
      </c>
      <c r="O51" s="306" t="n">
        <f aca="false">IFERROR(INDEX('Bank Schedule'!O:O, SMALL(IF('Bank Schedule'!$K$2:$K$825="Vacant", ROW('Bank Schedule'!$K$2:$K$825)), ROW(48:48))), "")</f>
        <v>0</v>
      </c>
      <c r="P51" s="306" t="n">
        <f aca="false">IFERROR(INDEX('Bank Schedule'!P:P, SMALL(IF('Bank Schedule'!$K$2:$K$825="Vacant", ROW('Bank Schedule'!$K$2:$K$825)), ROW(48:48))), "")</f>
        <v>0</v>
      </c>
      <c r="Q51" s="29" t="n">
        <f aca="false" t="array" ref="Q51:Q51">IFERROR(INDEX('Bank Schedule'!Q:Q, SMALL(IF('Bank Schedule'!$K$2:$K$825="Vacant", ROW('Bank Schedule'!$K$2:$K$825)), ROW(48:48))), "")</f>
        <v>0</v>
      </c>
      <c r="R51" s="29" t="n">
        <f aca="false" t="array" ref="R51:R51">IFERROR(INDEX('Bank Schedule'!R:R, SMALL(IF('Bank Schedule'!$K$2:$K$825="Vacant", ROW('Bank Schedule'!$K$2:$K$825)), ROW(48:48))), "")</f>
        <v>0</v>
      </c>
      <c r="S51" s="308" t="n">
        <f aca="false">IFERROR(INDEX('Bank Schedule'!S:S, SMALL(IF('Bank Schedule'!$K$2:$K$825="Vacant", ROW('Bank Schedule'!$K$2:$K$825)), ROW(48:48))), "")</f>
        <v>0</v>
      </c>
      <c r="T51" s="309" t="n">
        <f aca="false" t="array" ref="T51:T51">IFERROR(INDEX('Bank Schedule'!T:T, SMALL(IF('Bank Schedule'!$K$2:$K$825="Vacant", ROW('Bank Schedule'!$K$2:$K$825)), ROW(48:48))), "")</f>
        <v>53900</v>
      </c>
      <c r="U51" s="309" t="n">
        <f aca="false" t="array" ref="U51:U51">IFERROR(INDEX('Bank Schedule'!U:U, SMALL(IF('Bank Schedule'!$K$2:$K$825="Vacant", ROW('Bank Schedule'!$K$2:$K$825)), ROW(48:48))), "")</f>
        <v>53900</v>
      </c>
      <c r="V51" s="309" t="n">
        <f aca="false" t="array" ref="V51:V51">IFERROR(INDEX('Bank Schedule'!V:V, SMALL(IF('Bank Schedule'!$K$2:$K$825="Vacant", ROW('Bank Schedule'!$K$2:$K$825)), ROW(48:48))), "")</f>
        <v>56400</v>
      </c>
      <c r="W51" s="309" t="n">
        <f aca="false" t="array" ref="W51:W51">IFERROR(INDEX('Bank Schedule'!W:W, SMALL(IF('Bank Schedule'!$K$2:$K$825="Vacant", ROW('Bank Schedule'!$K$2:$K$825)), ROW(48:48))), "")</f>
        <v>56400</v>
      </c>
      <c r="X51" s="309" t="n">
        <f aca="false" t="array" ref="X51:X51">IFERROR(INDEX('Bank Schedule'!X:X, SMALL(IF('Bank Schedule'!$K$2:$K$825="Vacant", ROW('Bank Schedule'!$K$2:$K$825)), ROW(48:48))), "")</f>
        <v>57.5510204081633</v>
      </c>
      <c r="Y51" s="310" t="n">
        <f aca="false" t="array" ref="Y51:Y51">IFERROR(INDEX('Bank Schedule'!Y:Y, SMALL(IF('Bank Schedule'!$K$2:$K$825="Vacant", ROW('Bank Schedule'!$K$2:$K$825)), ROW(48:48))), "")</f>
        <v>0.0463821892393321</v>
      </c>
      <c r="Z51" s="29" t="str">
        <f aca="false" t="array" ref="Z51:Z51">IFERROR(INDEX('Bank Schedule'!Z:Z, SMALL(IF('Bank Schedule'!$K$2:$K$825="Vacant", ROW('Bank Schedule'!$K$2:$K$825)), ROW(48:48))), "")</f>
        <v>D</v>
      </c>
      <c r="AA51" s="308" t="n">
        <f aca="false">IFERROR(INDEX('Bank Schedule'!AA:AA, SMALL(IF('Bank Schedule'!$K$2:$K$825="Vacant", ROW('Bank Schedule'!$K$2:$K$825)), ROW(48:48))), "")</f>
        <v>0</v>
      </c>
      <c r="AB51" s="311" t="n">
        <f aca="false">IFERROR(INDEX('Bank Schedule'!AB:AB, SMALL(IF('Bank Schedule'!$K$2:$K$825="Vacant", ROW('Bank Schedule'!$K$2:$K$825)), ROW(48:48))), "")</f>
        <v>0</v>
      </c>
      <c r="AC51" s="29" t="str">
        <f aca="false" t="array" ref="AC51:AC51">IFERROR(INDEX('Bank Schedule'!AC:AC, SMALL(IF('Bank Schedule'!$K$2:$K$825="Vacant", ROW('Bank Schedule'!$K$2:$K$825)), ROW(48:48))), "")</f>
        <v>No</v>
      </c>
      <c r="AD51" s="29" t="str">
        <f aca="false" t="array" ref="AD51:AD51">IFERROR(INDEX('Bank Schedule'!AD:AD, SMALL(IF('Bank Schedule'!$K$2:$K$825="Vacant", ROW('Bank Schedule'!$K$2:$K$825)), ROW(48:48))), "")</f>
        <v>LEM Marketing.</v>
      </c>
      <c r="AE51" s="281" t="n">
        <f aca="false" t="array" ref="AE51:AE51">IFERROR(INDEX('Bank Schedule'!AE:AE, SMALL(IF('Bank Schedule'!$K$2:$K$825="Vacant", ROW('Bank Schedule'!$K$2:$K$825)), ROW(48:48))), "")</f>
        <v>61.5</v>
      </c>
      <c r="AF51" s="29" t="n">
        <f aca="false" t="array" ref="AF51:AF51">IFERROR(INDEX('Bank Schedule'!AF:AF, SMALL(IF('Bank Schedule'!$K$2:$K$825="Vacant", ROW('Bank Schedule'!$K$2:$K$825)), ROW(48:48))), "")</f>
        <v>4</v>
      </c>
      <c r="AG51" s="29" t="n">
        <f aca="false" t="array" ref="AG51:AG51">IFERROR(INDEX('Bank Schedule'!AG:AG, SMALL(IF('Bank Schedule'!$K$2:$K$825="Vacant", ROW('Bank Schedule'!$K$2:$K$825)), ROW(48:48))), "")</f>
        <v>6</v>
      </c>
      <c r="AH51" s="29" t="n">
        <f aca="false">IFERROR(INDEX('Bank Schedule'!AH:AH, SMALL(IF('Bank Schedule'!$K$2:$K$825="Vacant", ROW('Bank Schedule'!$K$2:$K$825)), ROW(48:48))), "")</f>
        <v>0</v>
      </c>
      <c r="AI51" s="4"/>
    </row>
    <row r="52" customFormat="false" ht="28.5" hidden="false" customHeight="true" outlineLevel="0" collapsed="false">
      <c r="A52" s="29" t="str">
        <f aca="false">IFERROR(INDEX('Bank Schedule'!A:A, SMALL(IF('Bank Schedule'!$K$2:$K$825="Vacant", ROW('Bank Schedule'!$K$2:$K$825)), ROW(49:49))), "")</f>
        <v/>
      </c>
      <c r="B52" s="29" t="str">
        <f aca="false" t="array" ref="B52:B52">IFERROR(INDEX('Bank Schedule'!B:B, SMALL(IF('Bank Schedule'!$K$2:$K$825="Vacant", ROW('Bank Schedule'!$K$2:$K$825)), ROW(49:49))), "")</f>
        <v>WS</v>
      </c>
      <c r="C52" s="29" t="str">
        <f aca="false" t="array" ref="C52:C52">IFERROR(INDEX('Bank Schedule'!C:C, SMALL(IF('Bank Schedule'!$K$2:$K$825="Vacant", ROW('Bank Schedule'!$K$2:$K$825)), ROW(49:49))), "")</f>
        <v>MEL</v>
      </c>
      <c r="D52" s="29" t="n">
        <f aca="false" t="array" ref="D52:D52">IFERROR(INDEX('Bank Schedule'!D:D, SMALL(IF('Bank Schedule'!$K$2:$K$825="Vacant", ROW('Bank Schedule'!$K$2:$K$825)), ROW(49:49))), "")</f>
        <v>550950</v>
      </c>
      <c r="E52" s="29" t="str">
        <f aca="false" t="array" ref="E52:E52">IFERROR(INDEX('Bank Schedule'!E:E, SMALL(IF('Bank Schedule'!$K$2:$K$825="Vacant", ROW('Bank Schedule'!$K$2:$K$825)), ROW(49:49))), "")</f>
        <v>19 Margaret Street</v>
      </c>
      <c r="F52" s="29" t="str">
        <f aca="false" t="array" ref="F52:F52">IFERROR(INDEX('Bank Schedule'!F:F, SMALL(IF('Bank Schedule'!$K$2:$K$825="Vacant", ROW('Bank Schedule'!$K$2:$K$825)), ROW(49:49))), "")</f>
        <v>Fifth Floor</v>
      </c>
      <c r="G52" s="29" t="str">
        <f aca="false" t="array" ref="G52:G52">IFERROR(INDEX('Bank Schedule'!G:G, SMALL(IF('Bank Schedule'!$K$2:$K$825="Vacant", ROW('Bank Schedule'!$K$2:$K$825)), ROW(49:49))), "")</f>
        <v>Office</v>
      </c>
      <c r="H52" s="305" t="n">
        <f aca="false" t="array" ref="H52:H52">IFERROR(INDEX('Bank Schedule'!H:H, SMALL(IF('Bank Schedule'!$K$2:$K$825="Vacant", ROW('Bank Schedule'!$K$2:$K$825)), ROW(49:49))), "")</f>
        <v>685</v>
      </c>
      <c r="I52" s="29" t="n">
        <f aca="false" t="array" ref="I52:I52">IFERROR(INDEX('Bank Schedule'!I:I, SMALL(IF('Bank Schedule'!$K$2:$K$825="Vacant", ROW('Bank Schedule'!$K$2:$K$825)), ROW(49:49))), "")</f>
        <v>685</v>
      </c>
      <c r="J52" s="305" t="n">
        <f aca="false" t="array" ref="J52:J52">IFERROR(INDEX('Bank Schedule'!J:J, SMALL(IF('Bank Schedule'!$K$2:$K$825="Vacant", ROW('Bank Schedule'!$K$2:$K$825)), ROW(49:49))), "")</f>
        <v>750</v>
      </c>
      <c r="K52" s="29" t="str">
        <f aca="false" t="array" ref="K52:K52">IFERROR(INDEX('Bank Schedule'!K:K, SMALL(IF('Bank Schedule'!$K$2:$K$825="Vacant", ROW('Bank Schedule'!$K$2:$K$825)), ROW(49:49))), "")</f>
        <v>Vacant</v>
      </c>
      <c r="L52" s="29" t="str">
        <f aca="false">IFERROR(INDEX('Bank Schedule'!L:L, SMALL(IF('Bank Schedule'!$K$2:$K$825="Vacant", ROW('Bank Schedule'!$K$2:$K$825)), ROW(49:49))), "")</f>
        <v/>
      </c>
      <c r="M52" s="29" t="str">
        <f aca="false">IFERROR(INDEX('Bank Schedule'!M:M, SMALL(IF('Bank Schedule'!$K$2:$K$825="Vacant", ROW('Bank Schedule'!$K$2:$K$825)), ROW(49:49))), "")</f>
        <v/>
      </c>
      <c r="N52" s="307" t="n">
        <f aca="false" t="array" ref="N52:N52">IFERROR(INDEX('Bank Schedule'!N:N, SMALL(IF('Bank Schedule'!$K$2:$K$825="Vacant", ROW('Bank Schedule'!$K$2:$K$825)), ROW(49:49))), "")</f>
        <v>45627</v>
      </c>
      <c r="O52" s="29" t="str">
        <f aca="false">IFERROR(INDEX('Bank Schedule'!O:O, SMALL(IF('Bank Schedule'!$K$2:$K$825="Vacant", ROW('Bank Schedule'!$K$2:$K$825)), ROW(49:49))), "")</f>
        <v/>
      </c>
      <c r="P52" s="29" t="str">
        <f aca="false">IFERROR(INDEX('Bank Schedule'!P:P, SMALL(IF('Bank Schedule'!$K$2:$K$825="Vacant", ROW('Bank Schedule'!$K$2:$K$825)), ROW(49:49))), "")</f>
        <v/>
      </c>
      <c r="Q52" s="29" t="n">
        <f aca="false" t="array" ref="Q52:Q52">IFERROR(INDEX('Bank Schedule'!Q:Q, SMALL(IF('Bank Schedule'!$K$2:$K$825="Vacant", ROW('Bank Schedule'!$K$2:$K$825)), ROW(49:49))), "")</f>
        <v>0</v>
      </c>
      <c r="R52" s="29" t="n">
        <f aca="false" t="array" ref="R52:R52">IFERROR(INDEX('Bank Schedule'!R:R, SMALL(IF('Bank Schedule'!$K$2:$K$825="Vacant", ROW('Bank Schedule'!$K$2:$K$825)), ROW(49:49))), "")</f>
        <v>0</v>
      </c>
      <c r="S52" s="29" t="str">
        <f aca="false">IFERROR(INDEX('Bank Schedule'!S:S, SMALL(IF('Bank Schedule'!$K$2:$K$825="Vacant", ROW('Bank Schedule'!$K$2:$K$825)), ROW(49:49))), "")</f>
        <v/>
      </c>
      <c r="T52" s="309" t="n">
        <f aca="false" t="array" ref="T52:T52">IFERROR(INDEX('Bank Schedule'!T:T, SMALL(IF('Bank Schedule'!$K$2:$K$825="Vacant", ROW('Bank Schedule'!$K$2:$K$825)), ROW(49:49))), "")</f>
        <v>37700</v>
      </c>
      <c r="U52" s="309" t="n">
        <f aca="false" t="array" ref="U52:U52">IFERROR(INDEX('Bank Schedule'!U:U, SMALL(IF('Bank Schedule'!$K$2:$K$825="Vacant", ROW('Bank Schedule'!$K$2:$K$825)), ROW(49:49))), "")</f>
        <v>37700</v>
      </c>
      <c r="V52" s="309" t="n">
        <f aca="false" t="array" ref="V52:V52">IFERROR(INDEX('Bank Schedule'!V:V, SMALL(IF('Bank Schedule'!$K$2:$K$825="Vacant", ROW('Bank Schedule'!$K$2:$K$825)), ROW(49:49))), "")</f>
        <v>39400</v>
      </c>
      <c r="W52" s="309" t="n">
        <f aca="false" t="array" ref="W52:W52">IFERROR(INDEX('Bank Schedule'!W:W, SMALL(IF('Bank Schedule'!$K$2:$K$825="Vacant", ROW('Bank Schedule'!$K$2:$K$825)), ROW(49:49))), "")</f>
        <v>39400</v>
      </c>
      <c r="X52" s="309" t="n">
        <f aca="false" t="array" ref="X52:X52">IFERROR(INDEX('Bank Schedule'!X:X, SMALL(IF('Bank Schedule'!$K$2:$K$825="Vacant", ROW('Bank Schedule'!$K$2:$K$825)), ROW(49:49))), "")</f>
        <v>57.5182481751825</v>
      </c>
      <c r="Y52" s="310" t="n">
        <f aca="false" t="array" ref="Y52:Y52">IFERROR(INDEX('Bank Schedule'!Y:Y, SMALL(IF('Bank Schedule'!$K$2:$K$825="Vacant", ROW('Bank Schedule'!$K$2:$K$825)), ROW(49:49))), "")</f>
        <v>0.0450928381962865</v>
      </c>
      <c r="Z52" s="29" t="str">
        <f aca="false" t="array" ref="Z52:Z52">IFERROR(INDEX('Bank Schedule'!Z:Z, SMALL(IF('Bank Schedule'!$K$2:$K$825="Vacant", ROW('Bank Schedule'!$K$2:$K$825)), ROW(49:49))), "")</f>
        <v>E</v>
      </c>
      <c r="AA52" s="29" t="str">
        <f aca="false">IFERROR(INDEX('Bank Schedule'!AA:AA, SMALL(IF('Bank Schedule'!$K$2:$K$825="Vacant", ROW('Bank Schedule'!$K$2:$K$825)), ROW(49:49))), "")</f>
        <v/>
      </c>
      <c r="AB52" s="29" t="str">
        <f aca="false">IFERROR(INDEX('Bank Schedule'!AB:AB, SMALL(IF('Bank Schedule'!$K$2:$K$825="Vacant", ROW('Bank Schedule'!$K$2:$K$825)), ROW(49:49))), "")</f>
        <v/>
      </c>
      <c r="AC52" s="29" t="str">
        <f aca="false" t="array" ref="AC52:AC52">IFERROR(INDEX('Bank Schedule'!AC:AC, SMALL(IF('Bank Schedule'!$K$2:$K$825="Vacant", ROW('Bank Schedule'!$K$2:$K$825)), ROW(49:49))), "")</f>
        <v>No</v>
      </c>
      <c r="AD52" s="29" t="str">
        <f aca="false" t="array" ref="AD52:AD52">IFERROR(INDEX('Bank Schedule'!AD:AD, SMALL(IF('Bank Schedule'!$K$2:$K$825="Vacant", ROW('Bank Schedule'!$K$2:$K$825)), ROW(49:49))), "")</f>
        <v>LEM marketing.</v>
      </c>
      <c r="AE52" s="281" t="str">
        <f aca="false">IFERROR(INDEX('Bank Schedule'!AE:AE, SMALL(IF('Bank Schedule'!$K$2:$K$825="Vacant", ROW('Bank Schedule'!$K$2:$K$825)), ROW(49:49))), "")</f>
        <v/>
      </c>
      <c r="AF52" s="29" t="str">
        <f aca="false">IFERROR(INDEX('Bank Schedule'!AF:AF, SMALL(IF('Bank Schedule'!$K$2:$K$825="Vacant", ROW('Bank Schedule'!$K$2:$K$825)), ROW(49:49))), "")</f>
        <v/>
      </c>
      <c r="AG52" s="29" t="str">
        <f aca="false">IFERROR(INDEX('Bank Schedule'!AG:AG, SMALL(IF('Bank Schedule'!$K$2:$K$825="Vacant", ROW('Bank Schedule'!$K$2:$K$825)), ROW(49:49))), "")</f>
        <v/>
      </c>
      <c r="AH52" s="29" t="str">
        <f aca="false">IFERROR(INDEX('Bank Schedule'!AH:AH, SMALL(IF('Bank Schedule'!$K$2:$K$825="Vacant", ROW('Bank Schedule'!$K$2:$K$825)), ROW(49:49))), "")</f>
        <v/>
      </c>
      <c r="AI52" s="4"/>
    </row>
    <row r="53" customFormat="false" ht="28.5" hidden="false" customHeight="true" outlineLevel="0" collapsed="false">
      <c r="A53" s="29" t="str">
        <f aca="false">IFERROR(INDEX('Bank Schedule'!A:A, SMALL(IF('Bank Schedule'!$K$2:$K$825="Vacant", ROW('Bank Schedule'!$K$2:$K$825)), ROW(50:50))), "")</f>
        <v/>
      </c>
      <c r="B53" s="29" t="str">
        <f aca="false" t="array" ref="B53:B53">IFERROR(INDEX('Bank Schedule'!B:B, SMALL(IF('Bank Schedule'!$K$2:$K$825="Vacant", ROW('Bank Schedule'!$K$2:$K$825)), ROW(50:50))), "")</f>
        <v>WS</v>
      </c>
      <c r="C53" s="29" t="str">
        <f aca="false" t="array" ref="C53:C53">IFERROR(INDEX('Bank Schedule'!C:C, SMALL(IF('Bank Schedule'!$K$2:$K$825="Vacant", ROW('Bank Schedule'!$K$2:$K$825)), ROW(50:50))), "")</f>
        <v>MEL</v>
      </c>
      <c r="D53" s="29" t="n">
        <f aca="false" t="array" ref="D53:D53">IFERROR(INDEX('Bank Schedule'!D:D, SMALL(IF('Bank Schedule'!$K$2:$K$825="Vacant", ROW('Bank Schedule'!$K$2:$K$825)), ROW(50:50))), "")</f>
        <v>550730</v>
      </c>
      <c r="E53" s="29" t="str">
        <f aca="false" t="array" ref="E53:E53">IFERROR(INDEX('Bank Schedule'!E:E, SMALL(IF('Bank Schedule'!$K$2:$K$825="Vacant", ROW('Bank Schedule'!$K$2:$K$825)), ROW(50:50))), "")</f>
        <v>20 Margaret Street</v>
      </c>
      <c r="F53" s="29" t="str">
        <f aca="false" t="array" ref="F53:F53">IFERROR(INDEX('Bank Schedule'!F:F, SMALL(IF('Bank Schedule'!$K$2:$K$825="Vacant", ROW('Bank Schedule'!$K$2:$K$825)), ROW(50:50))), "")</f>
        <v>First Floor</v>
      </c>
      <c r="G53" s="29" t="str">
        <f aca="false" t="array" ref="G53:G53">IFERROR(INDEX('Bank Schedule'!G:G, SMALL(IF('Bank Schedule'!$K$2:$K$825="Vacant", ROW('Bank Schedule'!$K$2:$K$825)), ROW(50:50))), "")</f>
        <v>Office</v>
      </c>
      <c r="H53" s="305" t="n">
        <f aca="false" t="array" ref="H53:H53">IFERROR(INDEX('Bank Schedule'!H:H, SMALL(IF('Bank Schedule'!$K$2:$K$825="Vacant", ROW('Bank Schedule'!$K$2:$K$825)), ROW(50:50))), "")</f>
        <v>804</v>
      </c>
      <c r="I53" s="29" t="n">
        <f aca="false" t="array" ref="I53:I53">IFERROR(INDEX('Bank Schedule'!I:I, SMALL(IF('Bank Schedule'!$K$2:$K$825="Vacant", ROW('Bank Schedule'!$K$2:$K$825)), ROW(50:50))), "")</f>
        <v>804</v>
      </c>
      <c r="J53" s="305" t="n">
        <f aca="false" t="array" ref="J53:J53">IFERROR(INDEX('Bank Schedule'!J:J, SMALL(IF('Bank Schedule'!$K$2:$K$825="Vacant", ROW('Bank Schedule'!$K$2:$K$825)), ROW(50:50))), "")</f>
        <v>750</v>
      </c>
      <c r="K53" s="29" t="str">
        <f aca="false" t="array" ref="K53:K53">IFERROR(INDEX('Bank Schedule'!K:K, SMALL(IF('Bank Schedule'!$K$2:$K$825="Vacant", ROW('Bank Schedule'!$K$2:$K$825)), ROW(50:50))), "")</f>
        <v>Vacant</v>
      </c>
      <c r="L53" s="29" t="str">
        <f aca="false">IFERROR(INDEX('Bank Schedule'!L:L, SMALL(IF('Bank Schedule'!$K$2:$K$825="Vacant", ROW('Bank Schedule'!$K$2:$K$825)), ROW(50:50))), "")</f>
        <v/>
      </c>
      <c r="M53" s="29" t="str">
        <f aca="false">IFERROR(INDEX('Bank Schedule'!M:M, SMALL(IF('Bank Schedule'!$K$2:$K$825="Vacant", ROW('Bank Schedule'!$K$2:$K$825)), ROW(50:50))), "")</f>
        <v/>
      </c>
      <c r="N53" s="307" t="n">
        <f aca="false" t="array" ref="N53:N53">IFERROR(INDEX('Bank Schedule'!N:N, SMALL(IF('Bank Schedule'!$K$2:$K$825="Vacant", ROW('Bank Schedule'!$K$2:$K$825)), ROW(50:50))), "")</f>
        <v>43132</v>
      </c>
      <c r="O53" s="29" t="str">
        <f aca="false">IFERROR(INDEX('Bank Schedule'!O:O, SMALL(IF('Bank Schedule'!$K$2:$K$825="Vacant", ROW('Bank Schedule'!$K$2:$K$825)), ROW(50:50))), "")</f>
        <v/>
      </c>
      <c r="P53" s="29" t="str">
        <f aca="false">IFERROR(INDEX('Bank Schedule'!P:P, SMALL(IF('Bank Schedule'!$K$2:$K$825="Vacant", ROW('Bank Schedule'!$K$2:$K$825)), ROW(50:50))), "")</f>
        <v/>
      </c>
      <c r="Q53" s="29" t="n">
        <f aca="false" t="array" ref="Q53:Q53">IFERROR(INDEX('Bank Schedule'!Q:Q, SMALL(IF('Bank Schedule'!$K$2:$K$825="Vacant", ROW('Bank Schedule'!$K$2:$K$825)), ROW(50:50))), "")</f>
        <v>0</v>
      </c>
      <c r="R53" s="29" t="n">
        <f aca="false" t="array" ref="R53:R53">IFERROR(INDEX('Bank Schedule'!R:R, SMALL(IF('Bank Schedule'!$K$2:$K$825="Vacant", ROW('Bank Schedule'!$K$2:$K$825)), ROW(50:50))), "")</f>
        <v>0</v>
      </c>
      <c r="S53" s="29" t="str">
        <f aca="false">IFERROR(INDEX('Bank Schedule'!S:S, SMALL(IF('Bank Schedule'!$K$2:$K$825="Vacant", ROW('Bank Schedule'!$K$2:$K$825)), ROW(50:50))), "")</f>
        <v/>
      </c>
      <c r="T53" s="309" t="n">
        <f aca="false" t="array" ref="T53:T53">IFERROR(INDEX('Bank Schedule'!T:T, SMALL(IF('Bank Schedule'!$K$2:$K$825="Vacant", ROW('Bank Schedule'!$K$2:$K$825)), ROW(50:50))), "")</f>
        <v>44200</v>
      </c>
      <c r="U53" s="309" t="n">
        <f aca="false" t="array" ref="U53:U53">IFERROR(INDEX('Bank Schedule'!U:U, SMALL(IF('Bank Schedule'!$K$2:$K$825="Vacant", ROW('Bank Schedule'!$K$2:$K$825)), ROW(50:50))), "")</f>
        <v>44200</v>
      </c>
      <c r="V53" s="309" t="n">
        <f aca="false" t="array" ref="V53:V53">IFERROR(INDEX('Bank Schedule'!V:V, SMALL(IF('Bank Schedule'!$K$2:$K$825="Vacant", ROW('Bank Schedule'!$K$2:$K$825)), ROW(50:50))), "")</f>
        <v>46200</v>
      </c>
      <c r="W53" s="309" t="n">
        <f aca="false" t="array" ref="W53:W53">IFERROR(INDEX('Bank Schedule'!W:W, SMALL(IF('Bank Schedule'!$K$2:$K$825="Vacant", ROW('Bank Schedule'!$K$2:$K$825)), ROW(50:50))), "")</f>
        <v>46200</v>
      </c>
      <c r="X53" s="309" t="n">
        <f aca="false" t="array" ref="X53:X53">IFERROR(INDEX('Bank Schedule'!X:X, SMALL(IF('Bank Schedule'!$K$2:$K$825="Vacant", ROW('Bank Schedule'!$K$2:$K$825)), ROW(50:50))), "")</f>
        <v>57.4626865671642</v>
      </c>
      <c r="Y53" s="310" t="n">
        <f aca="false" t="array" ref="Y53:Y53">IFERROR(INDEX('Bank Schedule'!Y:Y, SMALL(IF('Bank Schedule'!$K$2:$K$825="Vacant", ROW('Bank Schedule'!$K$2:$K$825)), ROW(50:50))), "")</f>
        <v>0.0452488687782805</v>
      </c>
      <c r="Z53" s="29" t="str">
        <f aca="false" t="array" ref="Z53:Z53">IFERROR(INDEX('Bank Schedule'!Z:Z, SMALL(IF('Bank Schedule'!$K$2:$K$825="Vacant", ROW('Bank Schedule'!$K$2:$K$825)), ROW(50:50))), "")</f>
        <v>E</v>
      </c>
      <c r="AA53" s="29" t="str">
        <f aca="false">IFERROR(INDEX('Bank Schedule'!AA:AA, SMALL(IF('Bank Schedule'!$K$2:$K$825="Vacant", ROW('Bank Schedule'!$K$2:$K$825)), ROW(50:50))), "")</f>
        <v/>
      </c>
      <c r="AB53" s="29" t="str">
        <f aca="false">IFERROR(INDEX('Bank Schedule'!AB:AB, SMALL(IF('Bank Schedule'!$K$2:$K$825="Vacant", ROW('Bank Schedule'!$K$2:$K$825)), ROW(50:50))), "")</f>
        <v/>
      </c>
      <c r="AC53" s="29" t="str">
        <f aca="false" t="array" ref="AC53:AC53">IFERROR(INDEX('Bank Schedule'!AC:AC, SMALL(IF('Bank Schedule'!$K$2:$K$825="Vacant", ROW('Bank Schedule'!$K$2:$K$825)), ROW(50:50))), "")</f>
        <v>No</v>
      </c>
      <c r="AD53" s="29" t="str">
        <f aca="false" t="array" ref="AD53:AD53">IFERROR(INDEX('Bank Schedule'!AD:AD, SMALL(IF('Bank Schedule'!$K$2:$K$825="Vacant", ROW('Bank Schedule'!$K$2:$K$825)), ROW(50:50))), "")</f>
        <v>To be refurbished.</v>
      </c>
      <c r="AE53" s="281" t="n">
        <f aca="false" t="array" ref="AE53:AE53">IFERROR(INDEX('Bank Schedule'!AE:AE, SMALL(IF('Bank Schedule'!$K$2:$K$825="Vacant", ROW('Bank Schedule'!$K$2:$K$825)), ROW(50:50))), "")</f>
        <v>62.5</v>
      </c>
      <c r="AF53" s="29" t="n">
        <f aca="false" t="array" ref="AF53:AF53">IFERROR(INDEX('Bank Schedule'!AF:AF, SMALL(IF('Bank Schedule'!$K$2:$K$825="Vacant", ROW('Bank Schedule'!$K$2:$K$825)), ROW(50:50))), "")</f>
        <v>1</v>
      </c>
      <c r="AG53" s="29" t="n">
        <f aca="false" t="array" ref="AG53:AG53">IFERROR(INDEX('Bank Schedule'!AG:AG, SMALL(IF('Bank Schedule'!$K$2:$K$825="Vacant", ROW('Bank Schedule'!$K$2:$K$825)), ROW(50:50))), "")</f>
        <v>3</v>
      </c>
      <c r="AH53" s="29" t="str">
        <f aca="false" t="array" ref="AH53:AH53">IFERROR(INDEX('Bank Schedule'!AH:AH, SMALL(IF('Bank Schedule'!$K$2:$K$825="Vacant", ROW('Bank Schedule'!$K$2:$K$825)), ROW(50:50))), "")</f>
        <v>LEM</v>
      </c>
      <c r="AI53" s="4"/>
    </row>
    <row r="54" customFormat="false" ht="28.5" hidden="false" customHeight="true" outlineLevel="0" collapsed="false">
      <c r="A54" s="29" t="str">
        <f aca="false">IFERROR(INDEX('Bank Schedule'!A:A, SMALL(IF('Bank Schedule'!$K$2:$K$825="Vacant", ROW('Bank Schedule'!$K$2:$K$825)), ROW(51:51))), "")</f>
        <v/>
      </c>
      <c r="B54" s="29" t="str">
        <f aca="false" t="array" ref="B54:B54">IFERROR(INDEX('Bank Schedule'!B:B, SMALL(IF('Bank Schedule'!$K$2:$K$825="Vacant", ROW('Bank Schedule'!$K$2:$K$825)), ROW(51:51))), "")</f>
        <v>WS</v>
      </c>
      <c r="C54" s="29" t="str">
        <f aca="false" t="array" ref="C54:C54">IFERROR(INDEX('Bank Schedule'!C:C, SMALL(IF('Bank Schedule'!$K$2:$K$825="Vacant", ROW('Bank Schedule'!$K$2:$K$825)), ROW(51:51))), "")</f>
        <v>MEL</v>
      </c>
      <c r="D54" s="29" t="n">
        <f aca="false" t="array" ref="D54:D54">IFERROR(INDEX('Bank Schedule'!D:D, SMALL(IF('Bank Schedule'!$K$2:$K$825="Vacant", ROW('Bank Schedule'!$K$2:$K$825)), ROW(51:51))), "")</f>
        <v>550730</v>
      </c>
      <c r="E54" s="29" t="str">
        <f aca="false" t="array" ref="E54:E54">IFERROR(INDEX('Bank Schedule'!E:E, SMALL(IF('Bank Schedule'!$K$2:$K$825="Vacant", ROW('Bank Schedule'!$K$2:$K$825)), ROW(51:51))), "")</f>
        <v>20 Margaret Street</v>
      </c>
      <c r="F54" s="29" t="str">
        <f aca="false" t="array" ref="F54:F54">IFERROR(INDEX('Bank Schedule'!F:F, SMALL(IF('Bank Schedule'!$K$2:$K$825="Vacant", ROW('Bank Schedule'!$K$2:$K$825)), ROW(51:51))), "")</f>
        <v>Second Floor</v>
      </c>
      <c r="G54" s="29" t="str">
        <f aca="false" t="array" ref="G54:G54">IFERROR(INDEX('Bank Schedule'!G:G, SMALL(IF('Bank Schedule'!$K$2:$K$825="Vacant", ROW('Bank Schedule'!$K$2:$K$825)), ROW(51:51))), "")</f>
        <v>Office</v>
      </c>
      <c r="H54" s="305" t="n">
        <f aca="false" t="array" ref="H54:H54">IFERROR(INDEX('Bank Schedule'!H:H, SMALL(IF('Bank Schedule'!$K$2:$K$825="Vacant", ROW('Bank Schedule'!$K$2:$K$825)), ROW(51:51))), "")</f>
        <v>813</v>
      </c>
      <c r="I54" s="29" t="n">
        <f aca="false" t="array" ref="I54:I54">IFERROR(INDEX('Bank Schedule'!I:I, SMALL(IF('Bank Schedule'!$K$2:$K$825="Vacant", ROW('Bank Schedule'!$K$2:$K$825)), ROW(51:51))), "")</f>
        <v>813</v>
      </c>
      <c r="J54" s="305" t="n">
        <f aca="false" t="array" ref="J54:J54">IFERROR(INDEX('Bank Schedule'!J:J, SMALL(IF('Bank Schedule'!$K$2:$K$825="Vacant", ROW('Bank Schedule'!$K$2:$K$825)), ROW(51:51))), "")</f>
        <v>750</v>
      </c>
      <c r="K54" s="29" t="str">
        <f aca="false" t="array" ref="K54:K54">IFERROR(INDEX('Bank Schedule'!K:K, SMALL(IF('Bank Schedule'!$K$2:$K$825="Vacant", ROW('Bank Schedule'!$K$2:$K$825)), ROW(51:51))), "")</f>
        <v>Vacant</v>
      </c>
      <c r="L54" s="29" t="str">
        <f aca="false">IFERROR(INDEX('Bank Schedule'!L:L, SMALL(IF('Bank Schedule'!$K$2:$K$825="Vacant", ROW('Bank Schedule'!$K$2:$K$825)), ROW(51:51))), "")</f>
        <v/>
      </c>
      <c r="M54" s="29" t="str">
        <f aca="false">IFERROR(INDEX('Bank Schedule'!M:M, SMALL(IF('Bank Schedule'!$K$2:$K$825="Vacant", ROW('Bank Schedule'!$K$2:$K$825)), ROW(51:51))), "")</f>
        <v/>
      </c>
      <c r="N54" s="307" t="n">
        <f aca="false" t="array" ref="N54:N54">IFERROR(INDEX('Bank Schedule'!N:N, SMALL(IF('Bank Schedule'!$K$2:$K$825="Vacant", ROW('Bank Schedule'!$K$2:$K$825)), ROW(51:51))), "")</f>
        <v>42819</v>
      </c>
      <c r="O54" s="29" t="str">
        <f aca="false">IFERROR(INDEX('Bank Schedule'!O:O, SMALL(IF('Bank Schedule'!$K$2:$K$825="Vacant", ROW('Bank Schedule'!$K$2:$K$825)), ROW(51:51))), "")</f>
        <v/>
      </c>
      <c r="P54" s="29" t="str">
        <f aca="false">IFERROR(INDEX('Bank Schedule'!P:P, SMALL(IF('Bank Schedule'!$K$2:$K$825="Vacant", ROW('Bank Schedule'!$K$2:$K$825)), ROW(51:51))), "")</f>
        <v/>
      </c>
      <c r="Q54" s="29" t="n">
        <f aca="false" t="array" ref="Q54:Q54">IFERROR(INDEX('Bank Schedule'!Q:Q, SMALL(IF('Bank Schedule'!$K$2:$K$825="Vacant", ROW('Bank Schedule'!$K$2:$K$825)), ROW(51:51))), "")</f>
        <v>0</v>
      </c>
      <c r="R54" s="29" t="n">
        <f aca="false" t="array" ref="R54:R54">IFERROR(INDEX('Bank Schedule'!R:R, SMALL(IF('Bank Schedule'!$K$2:$K$825="Vacant", ROW('Bank Schedule'!$K$2:$K$825)), ROW(51:51))), "")</f>
        <v>0</v>
      </c>
      <c r="S54" s="29" t="str">
        <f aca="false">IFERROR(INDEX('Bank Schedule'!S:S, SMALL(IF('Bank Schedule'!$K$2:$K$825="Vacant", ROW('Bank Schedule'!$K$2:$K$825)), ROW(51:51))), "")</f>
        <v/>
      </c>
      <c r="T54" s="309" t="n">
        <f aca="false" t="array" ref="T54:T54">IFERROR(INDEX('Bank Schedule'!T:T, SMALL(IF('Bank Schedule'!$K$2:$K$825="Vacant", ROW('Bank Schedule'!$K$2:$K$825)), ROW(51:51))), "")</f>
        <v>44700</v>
      </c>
      <c r="U54" s="309" t="n">
        <f aca="false" t="array" ref="U54:U54">IFERROR(INDEX('Bank Schedule'!U:U, SMALL(IF('Bank Schedule'!$K$2:$K$825="Vacant", ROW('Bank Schedule'!$K$2:$K$825)), ROW(51:51))), "")</f>
        <v>44700</v>
      </c>
      <c r="V54" s="309" t="n">
        <f aca="false" t="array" ref="V54:V54">IFERROR(INDEX('Bank Schedule'!V:V, SMALL(IF('Bank Schedule'!$K$2:$K$825="Vacant", ROW('Bank Schedule'!$K$2:$K$825)), ROW(51:51))), "")</f>
        <v>46700</v>
      </c>
      <c r="W54" s="309" t="n">
        <f aca="false" t="array" ref="W54:W54">IFERROR(INDEX('Bank Schedule'!W:W, SMALL(IF('Bank Schedule'!$K$2:$K$825="Vacant", ROW('Bank Schedule'!$K$2:$K$825)), ROW(51:51))), "")</f>
        <v>46700</v>
      </c>
      <c r="X54" s="309" t="n">
        <f aca="false" t="array" ref="X54:X54">IFERROR(INDEX('Bank Schedule'!X:X, SMALL(IF('Bank Schedule'!$K$2:$K$825="Vacant", ROW('Bank Schedule'!$K$2:$K$825)), ROW(51:51))), "")</f>
        <v>57.4415744157442</v>
      </c>
      <c r="Y54" s="310" t="n">
        <f aca="false" t="array" ref="Y54:Y54">IFERROR(INDEX('Bank Schedule'!Y:Y, SMALL(IF('Bank Schedule'!$K$2:$K$825="Vacant", ROW('Bank Schedule'!$K$2:$K$825)), ROW(51:51))), "")</f>
        <v>0.0447427293064877</v>
      </c>
      <c r="Z54" s="29" t="str">
        <f aca="false" t="array" ref="Z54:Z54">IFERROR(INDEX('Bank Schedule'!Z:Z, SMALL(IF('Bank Schedule'!$K$2:$K$825="Vacant", ROW('Bank Schedule'!$K$2:$K$825)), ROW(51:51))), "")</f>
        <v>E</v>
      </c>
      <c r="AA54" s="29" t="str">
        <f aca="false">IFERROR(INDEX('Bank Schedule'!AA:AA, SMALL(IF('Bank Schedule'!$K$2:$K$825="Vacant", ROW('Bank Schedule'!$K$2:$K$825)), ROW(51:51))), "")</f>
        <v/>
      </c>
      <c r="AB54" s="29" t="str">
        <f aca="false">IFERROR(INDEX('Bank Schedule'!AB:AB, SMALL(IF('Bank Schedule'!$K$2:$K$825="Vacant", ROW('Bank Schedule'!$K$2:$K$825)), ROW(51:51))), "")</f>
        <v/>
      </c>
      <c r="AC54" s="29" t="str">
        <f aca="false" t="array" ref="AC54:AC54">IFERROR(INDEX('Bank Schedule'!AC:AC, SMALL(IF('Bank Schedule'!$K$2:$K$825="Vacant", ROW('Bank Schedule'!$K$2:$K$825)), ROW(51:51))), "")</f>
        <v>No</v>
      </c>
      <c r="AD54" s="29" t="str">
        <f aca="false" t="array" ref="AD54:AD54">IFERROR(INDEX('Bank Schedule'!AD:AD, SMALL(IF('Bank Schedule'!$K$2:$K$825="Vacant", ROW('Bank Schedule'!$K$2:$K$825)), ROW(51:51))), "")</f>
        <v>To be refurbished.</v>
      </c>
      <c r="AE54" s="281" t="n">
        <f aca="false" t="array" ref="AE54:AE54">IFERROR(INDEX('Bank Schedule'!AE:AE, SMALL(IF('Bank Schedule'!$K$2:$K$825="Vacant", ROW('Bank Schedule'!$K$2:$K$825)), ROW(51:51))), "")</f>
        <v>62.5</v>
      </c>
      <c r="AF54" s="29" t="str">
        <f aca="false">IFERROR(INDEX('Bank Schedule'!AF:AF, SMALL(IF('Bank Schedule'!$K$2:$K$825="Vacant", ROW('Bank Schedule'!$K$2:$K$825)), ROW(51:51))), "")</f>
        <v/>
      </c>
      <c r="AG54" s="29" t="n">
        <f aca="false" t="array" ref="AG54:AG54">IFERROR(INDEX('Bank Schedule'!AG:AG, SMALL(IF('Bank Schedule'!$K$2:$K$825="Vacant", ROW('Bank Schedule'!$K$2:$K$825)), ROW(51:51))), "")</f>
        <v>2</v>
      </c>
      <c r="AH54" s="29" t="str">
        <f aca="false" t="array" ref="AH54:AH54">IFERROR(INDEX('Bank Schedule'!AH:AH, SMALL(IF('Bank Schedule'!$K$2:$K$825="Vacant", ROW('Bank Schedule'!$K$2:$K$825)), ROW(51:51))), "")</f>
        <v>LEM</v>
      </c>
      <c r="AI54" s="4"/>
    </row>
    <row r="55" customFormat="false" ht="28.5" hidden="false" customHeight="true" outlineLevel="0" collapsed="false">
      <c r="A55" s="29" t="n">
        <f aca="false">IFERROR(INDEX('Bank Schedule'!A:A, SMALL(IF('Bank Schedule'!$K$2:$K$825="Vacant", ROW('Bank Schedule'!$K$2:$K$825)), ROW(52:52))), "")</f>
        <v>0</v>
      </c>
      <c r="B55" s="29" t="str">
        <f aca="false" t="array" ref="B55:B55">IFERROR(INDEX('Bank Schedule'!B:B, SMALL(IF('Bank Schedule'!$K$2:$K$825="Vacant", ROW('Bank Schedule'!$K$2:$K$825)), ROW(52:52))), "")</f>
        <v>WS</v>
      </c>
      <c r="C55" s="29" t="str">
        <f aca="false" t="array" ref="C55:C55">IFERROR(INDEX('Bank Schedule'!C:C, SMALL(IF('Bank Schedule'!$K$2:$K$825="Vacant", ROW('Bank Schedule'!$K$2:$K$825)), ROW(52:52))), "")</f>
        <v>MEL</v>
      </c>
      <c r="D55" s="29" t="n">
        <f aca="false" t="array" ref="D55:D55">IFERROR(INDEX('Bank Schedule'!D:D, SMALL(IF('Bank Schedule'!$K$2:$K$825="Vacant", ROW('Bank Schedule'!$K$2:$K$825)), ROW(52:52))), "")</f>
        <v>550730</v>
      </c>
      <c r="E55" s="29" t="str">
        <f aca="false" t="array" ref="E55:E55">IFERROR(INDEX('Bank Schedule'!E:E, SMALL(IF('Bank Schedule'!$K$2:$K$825="Vacant", ROW('Bank Schedule'!$K$2:$K$825)), ROW(52:52))), "")</f>
        <v>20 Margaret Street</v>
      </c>
      <c r="F55" s="29" t="str">
        <f aca="false" t="array" ref="F55:F55">IFERROR(INDEX('Bank Schedule'!F:F, SMALL(IF('Bank Schedule'!$K$2:$K$825="Vacant", ROW('Bank Schedule'!$K$2:$K$825)), ROW(52:52))), "")</f>
        <v>Fourth Floor</v>
      </c>
      <c r="G55" s="29" t="str">
        <f aca="false" t="array" ref="G55:G55">IFERROR(INDEX('Bank Schedule'!G:G, SMALL(IF('Bank Schedule'!$K$2:$K$825="Vacant", ROW('Bank Schedule'!$K$2:$K$825)), ROW(52:52))), "")</f>
        <v>Office</v>
      </c>
      <c r="H55" s="305" t="n">
        <f aca="false" t="array" ref="H55:H55">IFERROR(INDEX('Bank Schedule'!H:H, SMALL(IF('Bank Schedule'!$K$2:$K$825="Vacant", ROW('Bank Schedule'!$K$2:$K$825)), ROW(52:52))), "")</f>
        <v>797</v>
      </c>
      <c r="I55" s="29" t="n">
        <f aca="false" t="array" ref="I55:I55">IFERROR(INDEX('Bank Schedule'!I:I, SMALL(IF('Bank Schedule'!$K$2:$K$825="Vacant", ROW('Bank Schedule'!$K$2:$K$825)), ROW(52:52))), "")</f>
        <v>797</v>
      </c>
      <c r="J55" s="305" t="n">
        <f aca="false" t="array" ref="J55:J55">IFERROR(INDEX('Bank Schedule'!J:J, SMALL(IF('Bank Schedule'!$K$2:$K$825="Vacant", ROW('Bank Schedule'!$K$2:$K$825)), ROW(52:52))), "")</f>
        <v>750</v>
      </c>
      <c r="K55" s="29" t="str">
        <f aca="false" t="array" ref="K55:K55">IFERROR(INDEX('Bank Schedule'!K:K, SMALL(IF('Bank Schedule'!$K$2:$K$825="Vacant", ROW('Bank Schedule'!$K$2:$K$825)), ROW(52:52))), "")</f>
        <v>Vacant</v>
      </c>
      <c r="L55" s="306" t="n">
        <f aca="false">IFERROR(INDEX('Bank Schedule'!L:L, SMALL(IF('Bank Schedule'!$K$2:$K$825="Vacant", ROW('Bank Schedule'!$K$2:$K$825)), ROW(52:52))), "")</f>
        <v>45412</v>
      </c>
      <c r="M55" s="306" t="n">
        <f aca="false">IFERROR(INDEX('Bank Schedule'!M:M, SMALL(IF('Bank Schedule'!$K$2:$K$825="Vacant", ROW('Bank Schedule'!$K$2:$K$825)), ROW(52:52))), "")</f>
        <v>47237</v>
      </c>
      <c r="N55" s="307" t="n">
        <f aca="false" t="array" ref="N55:N55">IFERROR(INDEX('Bank Schedule'!N:N, SMALL(IF('Bank Schedule'!$K$2:$K$825="Vacant", ROW('Bank Schedule'!$K$2:$K$825)), ROW(52:52))), "")</f>
        <v>44439</v>
      </c>
      <c r="O55" s="306" t="n">
        <f aca="false">IFERROR(INDEX('Bank Schedule'!O:O, SMALL(IF('Bank Schedule'!$K$2:$K$825="Vacant", ROW('Bank Schedule'!$K$2:$K$825)), ROW(52:52))), "")</f>
        <v>0</v>
      </c>
      <c r="P55" s="306" t="n">
        <f aca="false">IFERROR(INDEX('Bank Schedule'!P:P, SMALL(IF('Bank Schedule'!$K$2:$K$825="Vacant", ROW('Bank Schedule'!$K$2:$K$825)), ROW(52:52))), "")</f>
        <v>46326</v>
      </c>
      <c r="Q55" s="29" t="n">
        <f aca="false" t="array" ref="Q55:Q55">IFERROR(INDEX('Bank Schedule'!Q:Q, SMALL(IF('Bank Schedule'!$K$2:$K$825="Vacant", ROW('Bank Schedule'!$K$2:$K$825)), ROW(52:52))), "")</f>
        <v>0</v>
      </c>
      <c r="R55" s="29" t="n">
        <f aca="false" t="array" ref="R55:R55">IFERROR(INDEX('Bank Schedule'!R:R, SMALL(IF('Bank Schedule'!$K$2:$K$825="Vacant", ROW('Bank Schedule'!$K$2:$K$825)), ROW(52:52))), "")</f>
        <v>0</v>
      </c>
      <c r="S55" s="308" t="n">
        <f aca="false">IFERROR(INDEX('Bank Schedule'!S:S, SMALL(IF('Bank Schedule'!$K$2:$K$825="Vacant", ROW('Bank Schedule'!$K$2:$K$825)), ROW(52:52))), "")</f>
        <v>0</v>
      </c>
      <c r="T55" s="309" t="n">
        <f aca="false" t="array" ref="T55:T55">IFERROR(INDEX('Bank Schedule'!T:T, SMALL(IF('Bank Schedule'!$K$2:$K$825="Vacant", ROW('Bank Schedule'!$K$2:$K$825)), ROW(52:52))), "")</f>
        <v>43800</v>
      </c>
      <c r="U55" s="309" t="n">
        <f aca="false" t="array" ref="U55:U55">IFERROR(INDEX('Bank Schedule'!U:U, SMALL(IF('Bank Schedule'!$K$2:$K$825="Vacant", ROW('Bank Schedule'!$K$2:$K$825)), ROW(52:52))), "")</f>
        <v>43800</v>
      </c>
      <c r="V55" s="309" t="n">
        <f aca="false" t="array" ref="V55:V55">IFERROR(INDEX('Bank Schedule'!V:V, SMALL(IF('Bank Schedule'!$K$2:$K$825="Vacant", ROW('Bank Schedule'!$K$2:$K$825)), ROW(52:52))), "")</f>
        <v>45800</v>
      </c>
      <c r="W55" s="309" t="n">
        <f aca="false" t="array" ref="W55:W55">IFERROR(INDEX('Bank Schedule'!W:W, SMALL(IF('Bank Schedule'!$K$2:$K$825="Vacant", ROW('Bank Schedule'!$K$2:$K$825)), ROW(52:52))), "")</f>
        <v>45800</v>
      </c>
      <c r="X55" s="309" t="n">
        <f aca="false" t="array" ref="X55:X55">IFERROR(INDEX('Bank Schedule'!X:X, SMALL(IF('Bank Schedule'!$K$2:$K$825="Vacant", ROW('Bank Schedule'!$K$2:$K$825)), ROW(52:52))), "")</f>
        <v>57.465495608532</v>
      </c>
      <c r="Y55" s="310" t="n">
        <f aca="false" t="array" ref="Y55:Y55">IFERROR(INDEX('Bank Schedule'!Y:Y, SMALL(IF('Bank Schedule'!$K$2:$K$825="Vacant", ROW('Bank Schedule'!$K$2:$K$825)), ROW(52:52))), "")</f>
        <v>0.045662100456621</v>
      </c>
      <c r="Z55" s="29" t="str">
        <f aca="false" t="array" ref="Z55:Z55">IFERROR(INDEX('Bank Schedule'!Z:Z, SMALL(IF('Bank Schedule'!$K$2:$K$825="Vacant", ROW('Bank Schedule'!$K$2:$K$825)), ROW(52:52))), "")</f>
        <v>E</v>
      </c>
      <c r="AA55" s="308" t="n">
        <f aca="false">IFERROR(INDEX('Bank Schedule'!AA:AA, SMALL(IF('Bank Schedule'!$K$2:$K$825="Vacant", ROW('Bank Schedule'!$K$2:$K$825)), ROW(52:52))), "")</f>
        <v>0</v>
      </c>
      <c r="AB55" s="311" t="n">
        <f aca="false">IFERROR(INDEX('Bank Schedule'!AB:AB, SMALL(IF('Bank Schedule'!$K$2:$K$825="Vacant", ROW('Bank Schedule'!$K$2:$K$825)), ROW(52:52))), "")</f>
        <v>0</v>
      </c>
      <c r="AC55" s="29" t="str">
        <f aca="false" t="array" ref="AC55:AC55">IFERROR(INDEX('Bank Schedule'!AC:AC, SMALL(IF('Bank Schedule'!$K$2:$K$825="Vacant", ROW('Bank Schedule'!$K$2:$K$825)), ROW(52:52))), "")</f>
        <v>No</v>
      </c>
      <c r="AD55" s="29" t="str">
        <f aca="false" t="array" ref="AD55:AD55">IFERROR(INDEX('Bank Schedule'!AD:AD, SMALL(IF('Bank Schedule'!$K$2:$K$825="Vacant", ROW('Bank Schedule'!$K$2:$K$825)), ROW(52:52))), "")</f>
        <v>To be refurbished.</v>
      </c>
      <c r="AE55" s="281" t="n">
        <f aca="false" t="array" ref="AE55:AE55">IFERROR(INDEX('Bank Schedule'!AE:AE, SMALL(IF('Bank Schedule'!$K$2:$K$825="Vacant", ROW('Bank Schedule'!$K$2:$K$825)), ROW(52:52))), "")</f>
        <v>62.5</v>
      </c>
      <c r="AF55" s="29" t="n">
        <f aca="false">IFERROR(INDEX('Bank Schedule'!AF:AF, SMALL(IF('Bank Schedule'!$K$2:$K$825="Vacant", ROW('Bank Schedule'!$K$2:$K$825)), ROW(52:52))), "")</f>
        <v>0</v>
      </c>
      <c r="AG55" s="29" t="n">
        <f aca="false" t="array" ref="AG55:AG55">IFERROR(INDEX('Bank Schedule'!AG:AG, SMALL(IF('Bank Schedule'!$K$2:$K$825="Vacant", ROW('Bank Schedule'!$K$2:$K$825)), ROW(52:52))), "")</f>
        <v>2</v>
      </c>
      <c r="AH55" s="29" t="str">
        <f aca="false" t="array" ref="AH55:AH55">IFERROR(INDEX('Bank Schedule'!AH:AH, SMALL(IF('Bank Schedule'!$K$2:$K$825="Vacant", ROW('Bank Schedule'!$K$2:$K$825)), ROW(52:52))), "")</f>
        <v>LEM</v>
      </c>
      <c r="AI55" s="4"/>
    </row>
    <row r="56" customFormat="false" ht="28.5" hidden="false" customHeight="true" outlineLevel="0" collapsed="false">
      <c r="A56" s="29" t="str">
        <f aca="false">IFERROR(INDEX('Bank Schedule'!A:A, SMALL(IF('Bank Schedule'!$K$2:$K$825="Vacant", ROW('Bank Schedule'!$K$2:$K$825)), ROW(53:53))), "")</f>
        <v/>
      </c>
      <c r="B56" s="29" t="str">
        <f aca="false" t="array" ref="B56:B56">IFERROR(INDEX('Bank Schedule'!B:B, SMALL(IF('Bank Schedule'!$K$2:$K$825="Vacant", ROW('Bank Schedule'!$K$2:$K$825)), ROW(53:53))), "")</f>
        <v>SH</v>
      </c>
      <c r="C56" s="29" t="str">
        <f aca="false" t="array" ref="C56:C56">IFERROR(INDEX('Bank Schedule'!C:C, SMALL(IF('Bank Schedule'!$K$2:$K$825="Vacant", ROW('Bank Schedule'!$K$2:$K$825)), ROW(53:53))), "")</f>
        <v>MEL</v>
      </c>
      <c r="D56" s="29" t="n">
        <f aca="false" t="array" ref="D56:D56">IFERROR(INDEX('Bank Schedule'!D:D, SMALL(IF('Bank Schedule'!$K$2:$K$825="Vacant", ROW('Bank Schedule'!$K$2:$K$825)), ROW(53:53))), "")</f>
        <v>550550</v>
      </c>
      <c r="E56" s="29" t="str">
        <f aca="false" t="array" ref="E56:E56">IFERROR(INDEX('Bank Schedule'!E:E, SMALL(IF('Bank Schedule'!$K$2:$K$825="Vacant", ROW('Bank Schedule'!$K$2:$K$825)), ROW(53:53))), "")</f>
        <v>47,48 &amp; 50 Margaret Street</v>
      </c>
      <c r="F56" s="29" t="str">
        <f aca="false" t="array" ref="F56:F56">IFERROR(INDEX('Bank Schedule'!F:F, SMALL(IF('Bank Schedule'!$K$2:$K$825="Vacant", ROW('Bank Schedule'!$K$2:$K$825)), ROW(53:53))), "")</f>
        <v>Second Floor (East)</v>
      </c>
      <c r="G56" s="29" t="str">
        <f aca="false" t="array" ref="G56:G56">IFERROR(INDEX('Bank Schedule'!G:G, SMALL(IF('Bank Schedule'!$K$2:$K$825="Vacant", ROW('Bank Schedule'!$K$2:$K$825)), ROW(53:53))), "")</f>
        <v>Office</v>
      </c>
      <c r="H56" s="305" t="n">
        <f aca="false" t="array" ref="H56:H56">IFERROR(INDEX('Bank Schedule'!H:H, SMALL(IF('Bank Schedule'!$K$2:$K$825="Vacant", ROW('Bank Schedule'!$K$2:$K$825)), ROW(53:53))), "")</f>
        <v>2610</v>
      </c>
      <c r="I56" s="29" t="n">
        <f aca="false" t="array" ref="I56:I56">IFERROR(INDEX('Bank Schedule'!I:I, SMALL(IF('Bank Schedule'!$K$2:$K$825="Vacant", ROW('Bank Schedule'!$K$2:$K$825)), ROW(53:53))), "")</f>
        <v>2610</v>
      </c>
      <c r="J56" s="305" t="n">
        <f aca="false" t="array" ref="J56:J56">IFERROR(INDEX('Bank Schedule'!J:J, SMALL(IF('Bank Schedule'!$K$2:$K$825="Vacant", ROW('Bank Schedule'!$K$2:$K$825)), ROW(53:53))), "")</f>
        <v>2500</v>
      </c>
      <c r="K56" s="29" t="str">
        <f aca="false" t="array" ref="K56:K56">IFERROR(INDEX('Bank Schedule'!K:K, SMALL(IF('Bank Schedule'!$K$2:$K$825="Vacant", ROW('Bank Schedule'!$K$2:$K$825)), ROW(53:53))), "")</f>
        <v>Vacant</v>
      </c>
      <c r="L56" s="29" t="str">
        <f aca="false">IFERROR(INDEX('Bank Schedule'!L:L, SMALL(IF('Bank Schedule'!$K$2:$K$825="Vacant", ROW('Bank Schedule'!$K$2:$K$825)), ROW(53:53))), "")</f>
        <v/>
      </c>
      <c r="M56" s="29" t="str">
        <f aca="false">IFERROR(INDEX('Bank Schedule'!M:M, SMALL(IF('Bank Schedule'!$K$2:$K$825="Vacant", ROW('Bank Schedule'!$K$2:$K$825)), ROW(53:53))), "")</f>
        <v/>
      </c>
      <c r="N56" s="307" t="n">
        <f aca="false" t="array" ref="N56:N56">IFERROR(INDEX('Bank Schedule'!N:N, SMALL(IF('Bank Schedule'!$K$2:$K$825="Vacant", ROW('Bank Schedule'!$K$2:$K$825)), ROW(53:53))), "")</f>
        <v>43783</v>
      </c>
      <c r="O56" s="29" t="str">
        <f aca="false">IFERROR(INDEX('Bank Schedule'!O:O, SMALL(IF('Bank Schedule'!$K$2:$K$825="Vacant", ROW('Bank Schedule'!$K$2:$K$825)), ROW(53:53))), "")</f>
        <v/>
      </c>
      <c r="P56" s="29" t="str">
        <f aca="false">IFERROR(INDEX('Bank Schedule'!P:P, SMALL(IF('Bank Schedule'!$K$2:$K$825="Vacant", ROW('Bank Schedule'!$K$2:$K$825)), ROW(53:53))), "")</f>
        <v/>
      </c>
      <c r="Q56" s="29" t="n">
        <f aca="false" t="array" ref="Q56:Q56">IFERROR(INDEX('Bank Schedule'!Q:Q, SMALL(IF('Bank Schedule'!$K$2:$K$825="Vacant", ROW('Bank Schedule'!$K$2:$K$825)), ROW(53:53))), "")</f>
        <v>0</v>
      </c>
      <c r="R56" s="29" t="n">
        <f aca="false" t="array" ref="R56:R56">IFERROR(INDEX('Bank Schedule'!R:R, SMALL(IF('Bank Schedule'!$K$2:$K$825="Vacant", ROW('Bank Schedule'!$K$2:$K$825)), ROW(53:53))), "")</f>
        <v>0</v>
      </c>
      <c r="S56" s="29" t="str">
        <f aca="false">IFERROR(INDEX('Bank Schedule'!S:S, SMALL(IF('Bank Schedule'!$K$2:$K$825="Vacant", ROW('Bank Schedule'!$K$2:$K$825)), ROW(53:53))), "")</f>
        <v/>
      </c>
      <c r="T56" s="309" t="n">
        <f aca="false" t="array" ref="T56:T56">IFERROR(INDEX('Bank Schedule'!T:T, SMALL(IF('Bank Schedule'!$K$2:$K$825="Vacant", ROW('Bank Schedule'!$K$2:$K$825)), ROW(53:53))), "")</f>
        <v>182500</v>
      </c>
      <c r="U56" s="309" t="n">
        <f aca="false" t="array" ref="U56:U56">IFERROR(INDEX('Bank Schedule'!U:U, SMALL(IF('Bank Schedule'!$K$2:$K$825="Vacant", ROW('Bank Schedule'!$K$2:$K$825)), ROW(53:53))), "")</f>
        <v>182500</v>
      </c>
      <c r="V56" s="309" t="n">
        <f aca="false" t="array" ref="V56:V56">IFERROR(INDEX('Bank Schedule'!V:V, SMALL(IF('Bank Schedule'!$K$2:$K$825="Vacant", ROW('Bank Schedule'!$K$2:$K$825)), ROW(53:53))), "")</f>
        <v>169700</v>
      </c>
      <c r="W56" s="309" t="n">
        <f aca="false" t="array" ref="W56:W56">IFERROR(INDEX('Bank Schedule'!W:W, SMALL(IF('Bank Schedule'!$K$2:$K$825="Vacant", ROW('Bank Schedule'!$K$2:$K$825)), ROW(53:53))), "")</f>
        <v>169700</v>
      </c>
      <c r="X56" s="309" t="n">
        <f aca="false" t="array" ref="X56:X56">IFERROR(INDEX('Bank Schedule'!X:X, SMALL(IF('Bank Schedule'!$K$2:$K$825="Vacant", ROW('Bank Schedule'!$K$2:$K$825)), ROW(53:53))), "")</f>
        <v>65.0191570881226</v>
      </c>
      <c r="Y56" s="310" t="n">
        <f aca="false" t="array" ref="Y56:Y56">IFERROR(INDEX('Bank Schedule'!Y:Y, SMALL(IF('Bank Schedule'!$K$2:$K$825="Vacant", ROW('Bank Schedule'!$K$2:$K$825)), ROW(53:53))), "")</f>
        <v>-0.0701369863013699</v>
      </c>
      <c r="Z56" s="29" t="str">
        <f aca="false" t="array" ref="Z56:Z56">IFERROR(INDEX('Bank Schedule'!Z:Z, SMALL(IF('Bank Schedule'!$K$2:$K$825="Vacant", ROW('Bank Schedule'!$K$2:$K$825)), ROW(53:53))), "")</f>
        <v>C</v>
      </c>
      <c r="AA56" s="29" t="str">
        <f aca="false">IFERROR(INDEX('Bank Schedule'!AA:AA, SMALL(IF('Bank Schedule'!$K$2:$K$825="Vacant", ROW('Bank Schedule'!$K$2:$K$825)), ROW(53:53))), "")</f>
        <v/>
      </c>
      <c r="AB56" s="29" t="str">
        <f aca="false">IFERROR(INDEX('Bank Schedule'!AB:AB, SMALL(IF('Bank Schedule'!$K$2:$K$825="Vacant", ROW('Bank Schedule'!$K$2:$K$825)), ROW(53:53))), "")</f>
        <v/>
      </c>
      <c r="AC56" s="29" t="str">
        <f aca="false" t="array" ref="AC56:AC56">IFERROR(INDEX('Bank Schedule'!AC:AC, SMALL(IF('Bank Schedule'!$K$2:$K$825="Vacant", ROW('Bank Schedule'!$K$2:$K$825)), ROW(53:53))), "")</f>
        <v>No</v>
      </c>
      <c r="AD56" s="29" t="str">
        <f aca="false" t="array" ref="AD56:AD56">IFERROR(INDEX('Bank Schedule'!AD:AD, SMALL(IF('Bank Schedule'!$K$2:$K$825="Vacant", ROW('Bank Schedule'!$K$2:$K$825)), ROW(53:53))), "")</f>
        <v>Under offer</v>
      </c>
      <c r="AE56" s="281" t="n">
        <f aca="false" t="array" ref="AE56:AE56">IFERROR(INDEX('Bank Schedule'!AE:AE, SMALL(IF('Bank Schedule'!$K$2:$K$825="Vacant", ROW('Bank Schedule'!$K$2:$K$825)), ROW(53:53))), "")</f>
        <v>72.5</v>
      </c>
      <c r="AF56" s="29" t="n">
        <f aca="false" t="array" ref="AF56:AF56">IFERROR(INDEX('Bank Schedule'!AF:AF, SMALL(IF('Bank Schedule'!$K$2:$K$825="Vacant", ROW('Bank Schedule'!$K$2:$K$825)), ROW(53:53))), "")</f>
        <v>3</v>
      </c>
      <c r="AG56" s="29" t="n">
        <f aca="false" t="array" ref="AG56:AG56">IFERROR(INDEX('Bank Schedule'!AG:AG, SMALL(IF('Bank Schedule'!$K$2:$K$825="Vacant", ROW('Bank Schedule'!$K$2:$K$825)), ROW(53:53))), "")</f>
        <v>6</v>
      </c>
      <c r="AH56" s="29" t="str">
        <f aca="false">IFERROR(INDEX('Bank Schedule'!AH:AH, SMALL(IF('Bank Schedule'!$K$2:$K$825="Vacant", ROW('Bank Schedule'!$K$2:$K$825)), ROW(53:53))), "")</f>
        <v/>
      </c>
      <c r="AI56" s="4"/>
    </row>
    <row r="57" customFormat="false" ht="28.5" hidden="false" customHeight="true" outlineLevel="0" collapsed="false">
      <c r="A57" s="29" t="str">
        <f aca="false">IFERROR(INDEX('Bank Schedule'!A:A, SMALL(IF('Bank Schedule'!$K$2:$K$825="Vacant", ROW('Bank Schedule'!$K$2:$K$825)), ROW(54:54))), "")</f>
        <v/>
      </c>
      <c r="B57" s="29" t="str">
        <f aca="false" t="array" ref="B57:B57">IFERROR(INDEX('Bank Schedule'!B:B, SMALL(IF('Bank Schedule'!$K$2:$K$825="Vacant", ROW('Bank Schedule'!$K$2:$K$825)), ROW(54:54))), "")</f>
        <v>SH</v>
      </c>
      <c r="C57" s="29" t="str">
        <f aca="false" t="array" ref="C57:C57">IFERROR(INDEX('Bank Schedule'!C:C, SMALL(IF('Bank Schedule'!$K$2:$K$825="Vacant", ROW('Bank Schedule'!$K$2:$K$825)), ROW(54:54))), "")</f>
        <v>MEL</v>
      </c>
      <c r="D57" s="29" t="n">
        <f aca="false" t="array" ref="D57:D57">IFERROR(INDEX('Bank Schedule'!D:D, SMALL(IF('Bank Schedule'!$K$2:$K$825="Vacant", ROW('Bank Schedule'!$K$2:$K$825)), ROW(54:54))), "")</f>
        <v>550550</v>
      </c>
      <c r="E57" s="29" t="str">
        <f aca="false" t="array" ref="E57:E57">IFERROR(INDEX('Bank Schedule'!E:E, SMALL(IF('Bank Schedule'!$K$2:$K$825="Vacant", ROW('Bank Schedule'!$K$2:$K$825)), ROW(54:54))), "")</f>
        <v>47,48 &amp; 50 Margaret Street</v>
      </c>
      <c r="F57" s="29" t="str">
        <f aca="false" t="array" ref="F57:F57">IFERROR(INDEX('Bank Schedule'!F:F, SMALL(IF('Bank Schedule'!$K$2:$K$825="Vacant", ROW('Bank Schedule'!$K$2:$K$825)), ROW(54:54))), "")</f>
        <v>Third Floor (East)</v>
      </c>
      <c r="G57" s="29" t="str">
        <f aca="false" t="array" ref="G57:G57">IFERROR(INDEX('Bank Schedule'!G:G, SMALL(IF('Bank Schedule'!$K$2:$K$825="Vacant", ROW('Bank Schedule'!$K$2:$K$825)), ROW(54:54))), "")</f>
        <v>Office</v>
      </c>
      <c r="H57" s="305" t="n">
        <f aca="false" t="array" ref="H57:H57">IFERROR(INDEX('Bank Schedule'!H:H, SMALL(IF('Bank Schedule'!$K$2:$K$825="Vacant", ROW('Bank Schedule'!$K$2:$K$825)), ROW(54:54))), "")</f>
        <v>2508</v>
      </c>
      <c r="I57" s="29" t="n">
        <f aca="false" t="array" ref="I57:I57">IFERROR(INDEX('Bank Schedule'!I:I, SMALL(IF('Bank Schedule'!$K$2:$K$825="Vacant", ROW('Bank Schedule'!$K$2:$K$825)), ROW(54:54))), "")</f>
        <v>2508</v>
      </c>
      <c r="J57" s="305" t="n">
        <f aca="false" t="array" ref="J57:J57">IFERROR(INDEX('Bank Schedule'!J:J, SMALL(IF('Bank Schedule'!$K$2:$K$825="Vacant", ROW('Bank Schedule'!$K$2:$K$825)), ROW(54:54))), "")</f>
        <v>2500</v>
      </c>
      <c r="K57" s="29" t="str">
        <f aca="false" t="array" ref="K57:K57">IFERROR(INDEX('Bank Schedule'!K:K, SMALL(IF('Bank Schedule'!$K$2:$K$825="Vacant", ROW('Bank Schedule'!$K$2:$K$825)), ROW(54:54))), "")</f>
        <v>Vacant</v>
      </c>
      <c r="L57" s="29" t="str">
        <f aca="false">IFERROR(INDEX('Bank Schedule'!L:L, SMALL(IF('Bank Schedule'!$K$2:$K$825="Vacant", ROW('Bank Schedule'!$K$2:$K$825)), ROW(54:54))), "")</f>
        <v/>
      </c>
      <c r="M57" s="29" t="str">
        <f aca="false">IFERROR(INDEX('Bank Schedule'!M:M, SMALL(IF('Bank Schedule'!$K$2:$K$825="Vacant", ROW('Bank Schedule'!$K$2:$K$825)), ROW(54:54))), "")</f>
        <v/>
      </c>
      <c r="N57" s="307" t="n">
        <f aca="false" t="array" ref="N57:N57">IFERROR(INDEX('Bank Schedule'!N:N, SMALL(IF('Bank Schedule'!$K$2:$K$825="Vacant", ROW('Bank Schedule'!$K$2:$K$825)), ROW(54:54))), "")</f>
        <v>45504</v>
      </c>
      <c r="O57" s="29" t="str">
        <f aca="false">IFERROR(INDEX('Bank Schedule'!O:O, SMALL(IF('Bank Schedule'!$K$2:$K$825="Vacant", ROW('Bank Schedule'!$K$2:$K$825)), ROW(54:54))), "")</f>
        <v/>
      </c>
      <c r="P57" s="29" t="str">
        <f aca="false">IFERROR(INDEX('Bank Schedule'!P:P, SMALL(IF('Bank Schedule'!$K$2:$K$825="Vacant", ROW('Bank Schedule'!$K$2:$K$825)), ROW(54:54))), "")</f>
        <v/>
      </c>
      <c r="Q57" s="29" t="n">
        <f aca="false" t="array" ref="Q57:Q57">IFERROR(INDEX('Bank Schedule'!Q:Q, SMALL(IF('Bank Schedule'!$K$2:$K$825="Vacant", ROW('Bank Schedule'!$K$2:$K$825)), ROW(54:54))), "")</f>
        <v>0</v>
      </c>
      <c r="R57" s="29" t="n">
        <f aca="false" t="array" ref="R57:R57">IFERROR(INDEX('Bank Schedule'!R:R, SMALL(IF('Bank Schedule'!$K$2:$K$825="Vacant", ROW('Bank Schedule'!$K$2:$K$825)), ROW(54:54))), "")</f>
        <v>0</v>
      </c>
      <c r="S57" s="29" t="str">
        <f aca="false">IFERROR(INDEX('Bank Schedule'!S:S, SMALL(IF('Bank Schedule'!$K$2:$K$825="Vacant", ROW('Bank Schedule'!$K$2:$K$825)), ROW(54:54))), "")</f>
        <v/>
      </c>
      <c r="T57" s="309" t="n">
        <f aca="false" t="array" ref="T57:T57">IFERROR(INDEX('Bank Schedule'!T:T, SMALL(IF('Bank Schedule'!$K$2:$K$825="Vacant", ROW('Bank Schedule'!$K$2:$K$825)), ROW(54:54))), "")</f>
        <v>138800</v>
      </c>
      <c r="U57" s="309" t="n">
        <f aca="false" t="array" ref="U57:U57">IFERROR(INDEX('Bank Schedule'!U:U, SMALL(IF('Bank Schedule'!$K$2:$K$825="Vacant", ROW('Bank Schedule'!$K$2:$K$825)), ROW(54:54))), "")</f>
        <v>138800</v>
      </c>
      <c r="V57" s="309" t="n">
        <f aca="false" t="array" ref="V57:V57">IFERROR(INDEX('Bank Schedule'!V:V, SMALL(IF('Bank Schedule'!$K$2:$K$825="Vacant", ROW('Bank Schedule'!$K$2:$K$825)), ROW(54:54))), "")</f>
        <v>141700</v>
      </c>
      <c r="W57" s="309" t="n">
        <f aca="false" t="array" ref="W57:W57">IFERROR(INDEX('Bank Schedule'!W:W, SMALL(IF('Bank Schedule'!$K$2:$K$825="Vacant", ROW('Bank Schedule'!$K$2:$K$825)), ROW(54:54))), "")</f>
        <v>141700</v>
      </c>
      <c r="X57" s="309" t="n">
        <f aca="false" t="array" ref="X57:X57">IFERROR(INDEX('Bank Schedule'!X:X, SMALL(IF('Bank Schedule'!$K$2:$K$825="Vacant", ROW('Bank Schedule'!$K$2:$K$825)), ROW(54:54))), "")</f>
        <v>56.4992025518341</v>
      </c>
      <c r="Y57" s="310" t="n">
        <f aca="false" t="array" ref="Y57:Y57">IFERROR(INDEX('Bank Schedule'!Y:Y, SMALL(IF('Bank Schedule'!$K$2:$K$825="Vacant", ROW('Bank Schedule'!$K$2:$K$825)), ROW(54:54))), "")</f>
        <v>0.0208933717579251</v>
      </c>
      <c r="Z57" s="29" t="str">
        <f aca="false" t="array" ref="Z57:Z57">IFERROR(INDEX('Bank Schedule'!Z:Z, SMALL(IF('Bank Schedule'!$K$2:$K$825="Vacant", ROW('Bank Schedule'!$K$2:$K$825)), ROW(54:54))), "")</f>
        <v>C</v>
      </c>
      <c r="AA57" s="29" t="str">
        <f aca="false">IFERROR(INDEX('Bank Schedule'!AA:AA, SMALL(IF('Bank Schedule'!$K$2:$K$825="Vacant", ROW('Bank Schedule'!$K$2:$K$825)), ROW(54:54))), "")</f>
        <v/>
      </c>
      <c r="AB57" s="29" t="str">
        <f aca="false">IFERROR(INDEX('Bank Schedule'!AB:AB, SMALL(IF('Bank Schedule'!$K$2:$K$825="Vacant", ROW('Bank Schedule'!$K$2:$K$825)), ROW(54:54))), "")</f>
        <v/>
      </c>
      <c r="AC57" s="29" t="str">
        <f aca="false" t="array" ref="AC57:AC57">IFERROR(INDEX('Bank Schedule'!AC:AC, SMALL(IF('Bank Schedule'!$K$2:$K$825="Vacant", ROW('Bank Schedule'!$K$2:$K$825)), ROW(54:54))), "")</f>
        <v>No</v>
      </c>
      <c r="AD57" s="29" t="str">
        <f aca="false" t="array" ref="AD57:AD57">IFERROR(INDEX('Bank Schedule'!AD:AD, SMALL(IF('Bank Schedule'!$K$2:$K$825="Vacant", ROW('Bank Schedule'!$K$2:$K$825)), ROW(54:54))), "")</f>
        <v>To be refurbished.</v>
      </c>
      <c r="AE57" s="281" t="n">
        <f aca="false" t="array" ref="AE57:AE57">IFERROR(INDEX('Bank Schedule'!AE:AE, SMALL(IF('Bank Schedule'!$K$2:$K$825="Vacant", ROW('Bank Schedule'!$K$2:$K$825)), ROW(54:54))), "")</f>
        <v>72.5</v>
      </c>
      <c r="AF57" s="29" t="n">
        <f aca="false" t="array" ref="AF57:AF57">IFERROR(INDEX('Bank Schedule'!AF:AF, SMALL(IF('Bank Schedule'!$K$2:$K$825="Vacant", ROW('Bank Schedule'!$K$2:$K$825)), ROW(54:54))), "")</f>
        <v>3</v>
      </c>
      <c r="AG57" s="29" t="n">
        <f aca="false" t="array" ref="AG57:AG57">IFERROR(INDEX('Bank Schedule'!AG:AG, SMALL(IF('Bank Schedule'!$K$2:$K$825="Vacant", ROW('Bank Schedule'!$K$2:$K$825)), ROW(54:54))), "")</f>
        <v>7</v>
      </c>
      <c r="AH57" s="29" t="str">
        <f aca="false" t="array" ref="AH57:AH57">IFERROR(INDEX('Bank Schedule'!AH:AH, SMALL(IF('Bank Schedule'!$K$2:$K$825="Vacant", ROW('Bank Schedule'!$K$2:$K$825)), ROW(54:54))), "")</f>
        <v>LDG</v>
      </c>
      <c r="AI57" s="4"/>
    </row>
    <row r="58" customFormat="false" ht="28.5" hidden="false" customHeight="true" outlineLevel="0" collapsed="false">
      <c r="A58" s="29" t="str">
        <f aca="false">IFERROR(INDEX('Bank Schedule'!A:A, SMALL(IF('Bank Schedule'!$K$2:$K$825="Vacant", ROW('Bank Schedule'!$K$2:$K$825)), ROW(55:55))), "")</f>
        <v/>
      </c>
      <c r="B58" s="29" t="str">
        <f aca="false" t="array" ref="B58:B58">IFERROR(INDEX('Bank Schedule'!B:B, SMALL(IF('Bank Schedule'!$K$2:$K$825="Vacant", ROW('Bank Schedule'!$K$2:$K$825)), ROW(55:55))), "")</f>
        <v>SH</v>
      </c>
      <c r="C58" s="29" t="str">
        <f aca="false" t="array" ref="C58:C58">IFERROR(INDEX('Bank Schedule'!C:C, SMALL(IF('Bank Schedule'!$K$2:$K$825="Vacant", ROW('Bank Schedule'!$K$2:$K$825)), ROW(55:55))), "")</f>
        <v>MEL</v>
      </c>
      <c r="D58" s="29" t="n">
        <f aca="false" t="array" ref="D58:D58">IFERROR(INDEX('Bank Schedule'!D:D, SMALL(IF('Bank Schedule'!$K$2:$K$825="Vacant", ROW('Bank Schedule'!$K$2:$K$825)), ROW(55:55))), "")</f>
        <v>550550</v>
      </c>
      <c r="E58" s="29" t="str">
        <f aca="false" t="array" ref="E58:E58">IFERROR(INDEX('Bank Schedule'!E:E, SMALL(IF('Bank Schedule'!$K$2:$K$825="Vacant", ROW('Bank Schedule'!$K$2:$K$825)), ROW(55:55))), "")</f>
        <v>47,48 &amp; 50 Margaret Street</v>
      </c>
      <c r="F58" s="29" t="str">
        <f aca="false" t="array" ref="F58:F58">IFERROR(INDEX('Bank Schedule'!F:F, SMALL(IF('Bank Schedule'!$K$2:$K$825="Vacant", ROW('Bank Schedule'!$K$2:$K$825)), ROW(55:55))), "")</f>
        <v>Third Floor (West)</v>
      </c>
      <c r="G58" s="29" t="str">
        <f aca="false" t="array" ref="G58:G58">IFERROR(INDEX('Bank Schedule'!G:G, SMALL(IF('Bank Schedule'!$K$2:$K$825="Vacant", ROW('Bank Schedule'!$K$2:$K$825)), ROW(55:55))), "")</f>
        <v>Office</v>
      </c>
      <c r="H58" s="305" t="n">
        <f aca="false" t="array" ref="H58:H58">IFERROR(INDEX('Bank Schedule'!H:H, SMALL(IF('Bank Schedule'!$K$2:$K$825="Vacant", ROW('Bank Schedule'!$K$2:$K$825)), ROW(55:55))), "")</f>
        <v>389</v>
      </c>
      <c r="I58" s="29" t="n">
        <f aca="false" t="array" ref="I58:I58">IFERROR(INDEX('Bank Schedule'!I:I, SMALL(IF('Bank Schedule'!$K$2:$K$825="Vacant", ROW('Bank Schedule'!$K$2:$K$825)), ROW(55:55))), "")</f>
        <v>389</v>
      </c>
      <c r="J58" s="305" t="n">
        <f aca="false" t="array" ref="J58:J58">IFERROR(INDEX('Bank Schedule'!J:J, SMALL(IF('Bank Schedule'!$K$2:$K$825="Vacant", ROW('Bank Schedule'!$K$2:$K$825)), ROW(55:55))), "")</f>
        <v>500</v>
      </c>
      <c r="K58" s="29" t="str">
        <f aca="false" t="array" ref="K58:K58">IFERROR(INDEX('Bank Schedule'!K:K, SMALL(IF('Bank Schedule'!$K$2:$K$825="Vacant", ROW('Bank Schedule'!$K$2:$K$825)), ROW(55:55))), "")</f>
        <v>Vacant</v>
      </c>
      <c r="L58" s="29" t="str">
        <f aca="false">IFERROR(INDEX('Bank Schedule'!L:L, SMALL(IF('Bank Schedule'!$K$2:$K$825="Vacant", ROW('Bank Schedule'!$K$2:$K$825)), ROW(55:55))), "")</f>
        <v/>
      </c>
      <c r="M58" s="29" t="str">
        <f aca="false">IFERROR(INDEX('Bank Schedule'!M:M, SMALL(IF('Bank Schedule'!$K$2:$K$825="Vacant", ROW('Bank Schedule'!$K$2:$K$825)), ROW(55:55))), "")</f>
        <v/>
      </c>
      <c r="N58" s="307" t="n">
        <f aca="false" t="array" ref="N58:N58">IFERROR(INDEX('Bank Schedule'!N:N, SMALL(IF('Bank Schedule'!$K$2:$K$825="Vacant", ROW('Bank Schedule'!$K$2:$K$825)), ROW(55:55))), "")</f>
        <v>45635</v>
      </c>
      <c r="O58" s="29" t="str">
        <f aca="false">IFERROR(INDEX('Bank Schedule'!O:O, SMALL(IF('Bank Schedule'!$K$2:$K$825="Vacant", ROW('Bank Schedule'!$K$2:$K$825)), ROW(55:55))), "")</f>
        <v/>
      </c>
      <c r="P58" s="29" t="str">
        <f aca="false">IFERROR(INDEX('Bank Schedule'!P:P, SMALL(IF('Bank Schedule'!$K$2:$K$825="Vacant", ROW('Bank Schedule'!$K$2:$K$825)), ROW(55:55))), "")</f>
        <v/>
      </c>
      <c r="Q58" s="29" t="n">
        <f aca="false" t="array" ref="Q58:Q58">IFERROR(INDEX('Bank Schedule'!Q:Q, SMALL(IF('Bank Schedule'!$K$2:$K$825="Vacant", ROW('Bank Schedule'!$K$2:$K$825)), ROW(55:55))), "")</f>
        <v>0</v>
      </c>
      <c r="R58" s="29" t="n">
        <f aca="false" t="array" ref="R58:R58">IFERROR(INDEX('Bank Schedule'!R:R, SMALL(IF('Bank Schedule'!$K$2:$K$825="Vacant", ROW('Bank Schedule'!$K$2:$K$825)), ROW(55:55))), "")</f>
        <v>0</v>
      </c>
      <c r="S58" s="29" t="str">
        <f aca="false">IFERROR(INDEX('Bank Schedule'!S:S, SMALL(IF('Bank Schedule'!$K$2:$K$825="Vacant", ROW('Bank Schedule'!$K$2:$K$825)), ROW(55:55))), "")</f>
        <v/>
      </c>
      <c r="T58" s="309" t="n">
        <f aca="false" t="array" ref="T58:T58">IFERROR(INDEX('Bank Schedule'!T:T, SMALL(IF('Bank Schedule'!$K$2:$K$825="Vacant", ROW('Bank Schedule'!$K$2:$K$825)), ROW(55:55))), "")</f>
        <v>19500</v>
      </c>
      <c r="U58" s="309" t="n">
        <f aca="false" t="array" ref="U58:U58">IFERROR(INDEX('Bank Schedule'!U:U, SMALL(IF('Bank Schedule'!$K$2:$K$825="Vacant", ROW('Bank Schedule'!$K$2:$K$825)), ROW(55:55))), "")</f>
        <v>19500</v>
      </c>
      <c r="V58" s="309" t="n">
        <f aca="false" t="array" ref="V58:V58">IFERROR(INDEX('Bank Schedule'!V:V, SMALL(IF('Bank Schedule'!$K$2:$K$825="Vacant", ROW('Bank Schedule'!$K$2:$K$825)), ROW(55:55))), "")</f>
        <v>19500</v>
      </c>
      <c r="W58" s="309" t="n">
        <f aca="false" t="array" ref="W58:W58">IFERROR(INDEX('Bank Schedule'!W:W, SMALL(IF('Bank Schedule'!$K$2:$K$825="Vacant", ROW('Bank Schedule'!$K$2:$K$825)), ROW(55:55))), "")</f>
        <v>19500</v>
      </c>
      <c r="X58" s="309" t="n">
        <f aca="false" t="array" ref="X58:X58">IFERROR(INDEX('Bank Schedule'!X:X, SMALL(IF('Bank Schedule'!$K$2:$K$825="Vacant", ROW('Bank Schedule'!$K$2:$K$825)), ROW(55:55))), "")</f>
        <v>50.1285347043702</v>
      </c>
      <c r="Y58" s="310" t="n">
        <f aca="false" t="array" ref="Y58:Y58">IFERROR(INDEX('Bank Schedule'!Y:Y, SMALL(IF('Bank Schedule'!$K$2:$K$825="Vacant", ROW('Bank Schedule'!$K$2:$K$825)), ROW(55:55))), "")</f>
        <v>0</v>
      </c>
      <c r="Z58" s="29" t="str">
        <f aca="false" t="array" ref="Z58:Z58">IFERROR(INDEX('Bank Schedule'!Z:Z, SMALL(IF('Bank Schedule'!$K$2:$K$825="Vacant", ROW('Bank Schedule'!$K$2:$K$825)), ROW(55:55))), "")</f>
        <v>C</v>
      </c>
      <c r="AA58" s="29" t="str">
        <f aca="false">IFERROR(INDEX('Bank Schedule'!AA:AA, SMALL(IF('Bank Schedule'!$K$2:$K$825="Vacant", ROW('Bank Schedule'!$K$2:$K$825)), ROW(55:55))), "")</f>
        <v/>
      </c>
      <c r="AB58" s="29" t="str">
        <f aca="false">IFERROR(INDEX('Bank Schedule'!AB:AB, SMALL(IF('Bank Schedule'!$K$2:$K$825="Vacant", ROW('Bank Schedule'!$K$2:$K$825)), ROW(55:55))), "")</f>
        <v/>
      </c>
      <c r="AC58" s="29" t="str">
        <f aca="false" t="array" ref="AC58:AC58">IFERROR(INDEX('Bank Schedule'!AC:AC, SMALL(IF('Bank Schedule'!$K$2:$K$825="Vacant", ROW('Bank Schedule'!$K$2:$K$825)), ROW(55:55))), "")</f>
        <v>No</v>
      </c>
      <c r="AD58" s="29" t="str">
        <f aca="false" t="array" ref="AD58:AD58">IFERROR(INDEX('Bank Schedule'!AD:AD, SMALL(IF('Bank Schedule'!$K$2:$K$825="Vacant", ROW('Bank Schedule'!$K$2:$K$825)), ROW(55:55))), "")</f>
        <v>LEM marketing.</v>
      </c>
      <c r="AE58" s="281" t="str">
        <f aca="false">IFERROR(INDEX('Bank Schedule'!AE:AE, SMALL(IF('Bank Schedule'!$K$2:$K$825="Vacant", ROW('Bank Schedule'!$K$2:$K$825)), ROW(55:55))), "")</f>
        <v/>
      </c>
      <c r="AF58" s="29" t="str">
        <f aca="false">IFERROR(INDEX('Bank Schedule'!AF:AF, SMALL(IF('Bank Schedule'!$K$2:$K$825="Vacant", ROW('Bank Schedule'!$K$2:$K$825)), ROW(55:55))), "")</f>
        <v/>
      </c>
      <c r="AG58" s="29" t="str">
        <f aca="false">IFERROR(INDEX('Bank Schedule'!AG:AG, SMALL(IF('Bank Schedule'!$K$2:$K$825="Vacant", ROW('Bank Schedule'!$K$2:$K$825)), ROW(55:55))), "")</f>
        <v/>
      </c>
      <c r="AH58" s="29" t="str">
        <f aca="false">IFERROR(INDEX('Bank Schedule'!AH:AH, SMALL(IF('Bank Schedule'!$K$2:$K$825="Vacant", ROW('Bank Schedule'!$K$2:$K$825)), ROW(55:55))), "")</f>
        <v/>
      </c>
      <c r="AI58" s="4"/>
    </row>
    <row r="59" customFormat="false" ht="28.5" hidden="false" customHeight="true" outlineLevel="0" collapsed="false">
      <c r="A59" s="29" t="str">
        <f aca="false">IFERROR(INDEX('Bank Schedule'!A:A, SMALL(IF('Bank Schedule'!$K$2:$K$825="Vacant", ROW('Bank Schedule'!$K$2:$K$825)), ROW(56:56))), "")</f>
        <v/>
      </c>
      <c r="B59" s="29" t="str">
        <f aca="false" t="array" ref="B59:B59">IFERROR(INDEX('Bank Schedule'!B:B, SMALL(IF('Bank Schedule'!$K$2:$K$825="Vacant", ROW('Bank Schedule'!$K$2:$K$825)), ROW(56:56))), "")</f>
        <v>SH</v>
      </c>
      <c r="C59" s="29" t="str">
        <f aca="false" t="array" ref="C59:C59">IFERROR(INDEX('Bank Schedule'!C:C, SMALL(IF('Bank Schedule'!$K$2:$K$825="Vacant", ROW('Bank Schedule'!$K$2:$K$825)), ROW(56:56))), "")</f>
        <v>MEL</v>
      </c>
      <c r="D59" s="29" t="n">
        <f aca="false" t="array" ref="D59:D59">IFERROR(INDEX('Bank Schedule'!D:D, SMALL(IF('Bank Schedule'!$K$2:$K$825="Vacant", ROW('Bank Schedule'!$K$2:$K$825)), ROW(56:56))), "")</f>
        <v>550550</v>
      </c>
      <c r="E59" s="29" t="str">
        <f aca="false" t="array" ref="E59:E59">IFERROR(INDEX('Bank Schedule'!E:E, SMALL(IF('Bank Schedule'!$K$2:$K$825="Vacant", ROW('Bank Schedule'!$K$2:$K$825)), ROW(56:56))), "")</f>
        <v>47,48 &amp; 50 Margaret Street</v>
      </c>
      <c r="F59" s="29" t="str">
        <f aca="false" t="array" ref="F59:F59">IFERROR(INDEX('Bank Schedule'!F:F, SMALL(IF('Bank Schedule'!$K$2:$K$825="Vacant", ROW('Bank Schedule'!$K$2:$K$825)), ROW(56:56))), "")</f>
        <v>Fourth Floor (East)</v>
      </c>
      <c r="G59" s="29" t="str">
        <f aca="false" t="array" ref="G59:G59">IFERROR(INDEX('Bank Schedule'!G:G, SMALL(IF('Bank Schedule'!$K$2:$K$825="Vacant", ROW('Bank Schedule'!$K$2:$K$825)), ROW(56:56))), "")</f>
        <v>D1</v>
      </c>
      <c r="H59" s="305" t="n">
        <f aca="false" t="array" ref="H59:H59">IFERROR(INDEX('Bank Schedule'!H:H, SMALL(IF('Bank Schedule'!$K$2:$K$825="Vacant", ROW('Bank Schedule'!$K$2:$K$825)), ROW(56:56))), "")</f>
        <v>691</v>
      </c>
      <c r="I59" s="29" t="n">
        <f aca="false" t="array" ref="I59:I59">IFERROR(INDEX('Bank Schedule'!I:I, SMALL(IF('Bank Schedule'!$K$2:$K$825="Vacant", ROW('Bank Schedule'!$K$2:$K$825)), ROW(56:56))), "")</f>
        <v>691</v>
      </c>
      <c r="J59" s="305" t="n">
        <f aca="false" t="array" ref="J59:J59">IFERROR(INDEX('Bank Schedule'!J:J, SMALL(IF('Bank Schedule'!$K$2:$K$825="Vacant", ROW('Bank Schedule'!$K$2:$K$825)), ROW(56:56))), "")</f>
        <v>750</v>
      </c>
      <c r="K59" s="29" t="str">
        <f aca="false" t="array" ref="K59:K59">IFERROR(INDEX('Bank Schedule'!K:K, SMALL(IF('Bank Schedule'!$K$2:$K$825="Vacant", ROW('Bank Schedule'!$K$2:$K$825)), ROW(56:56))), "")</f>
        <v>Vacant</v>
      </c>
      <c r="L59" s="29" t="str">
        <f aca="false">IFERROR(INDEX('Bank Schedule'!L:L, SMALL(IF('Bank Schedule'!$K$2:$K$825="Vacant", ROW('Bank Schedule'!$K$2:$K$825)), ROW(56:56))), "")</f>
        <v/>
      </c>
      <c r="M59" s="29" t="str">
        <f aca="false">IFERROR(INDEX('Bank Schedule'!M:M, SMALL(IF('Bank Schedule'!$K$2:$K$825="Vacant", ROW('Bank Schedule'!$K$2:$K$825)), ROW(56:56))), "")</f>
        <v/>
      </c>
      <c r="N59" s="307" t="n">
        <f aca="false" t="array" ref="N59:N59">IFERROR(INDEX('Bank Schedule'!N:N, SMALL(IF('Bank Schedule'!$K$2:$K$825="Vacant", ROW('Bank Schedule'!$K$2:$K$825)), ROW(56:56))), "")</f>
        <v>45434</v>
      </c>
      <c r="O59" s="29" t="str">
        <f aca="false">IFERROR(INDEX('Bank Schedule'!O:O, SMALL(IF('Bank Schedule'!$K$2:$K$825="Vacant", ROW('Bank Schedule'!$K$2:$K$825)), ROW(56:56))), "")</f>
        <v/>
      </c>
      <c r="P59" s="29" t="str">
        <f aca="false">IFERROR(INDEX('Bank Schedule'!P:P, SMALL(IF('Bank Schedule'!$K$2:$K$825="Vacant", ROW('Bank Schedule'!$K$2:$K$825)), ROW(56:56))), "")</f>
        <v/>
      </c>
      <c r="Q59" s="29" t="n">
        <f aca="false" t="array" ref="Q59:Q59">IFERROR(INDEX('Bank Schedule'!Q:Q, SMALL(IF('Bank Schedule'!$K$2:$K$825="Vacant", ROW('Bank Schedule'!$K$2:$K$825)), ROW(56:56))), "")</f>
        <v>0</v>
      </c>
      <c r="R59" s="29" t="n">
        <f aca="false" t="array" ref="R59:R59">IFERROR(INDEX('Bank Schedule'!R:R, SMALL(IF('Bank Schedule'!$K$2:$K$825="Vacant", ROW('Bank Schedule'!$K$2:$K$825)), ROW(56:56))), "")</f>
        <v>0</v>
      </c>
      <c r="S59" s="29" t="str">
        <f aca="false">IFERROR(INDEX('Bank Schedule'!S:S, SMALL(IF('Bank Schedule'!$K$2:$K$825="Vacant", ROW('Bank Schedule'!$K$2:$K$825)), ROW(56:56))), "")</f>
        <v/>
      </c>
      <c r="T59" s="309" t="n">
        <f aca="false" t="array" ref="T59:T59">IFERROR(INDEX('Bank Schedule'!T:T, SMALL(IF('Bank Schedule'!$K$2:$K$825="Vacant", ROW('Bank Schedule'!$K$2:$K$825)), ROW(56:56))), "")</f>
        <v>42000</v>
      </c>
      <c r="U59" s="309" t="n">
        <f aca="false" t="array" ref="U59:U59">IFERROR(INDEX('Bank Schedule'!U:U, SMALL(IF('Bank Schedule'!$K$2:$K$825="Vacant", ROW('Bank Schedule'!$K$2:$K$825)), ROW(56:56))), "")</f>
        <v>42000</v>
      </c>
      <c r="V59" s="309" t="n">
        <f aca="false" t="array" ref="V59:V59">IFERROR(INDEX('Bank Schedule'!V:V, SMALL(IF('Bank Schedule'!$K$2:$K$825="Vacant", ROW('Bank Schedule'!$K$2:$K$825)), ROW(56:56))), "")</f>
        <v>41500</v>
      </c>
      <c r="W59" s="309" t="n">
        <f aca="false" t="array" ref="W59:W59">IFERROR(INDEX('Bank Schedule'!W:W, SMALL(IF('Bank Schedule'!$K$2:$K$825="Vacant", ROW('Bank Schedule'!$K$2:$K$825)), ROW(56:56))), "")</f>
        <v>41500</v>
      </c>
      <c r="X59" s="309" t="n">
        <f aca="false" t="array" ref="X59:X59">IFERROR(INDEX('Bank Schedule'!X:X, SMALL(IF('Bank Schedule'!$K$2:$K$825="Vacant", ROW('Bank Schedule'!$K$2:$K$825)), ROW(56:56))), "")</f>
        <v>60.0578871201158</v>
      </c>
      <c r="Y59" s="310" t="n">
        <f aca="false" t="array" ref="Y59:Y59">IFERROR(INDEX('Bank Schedule'!Y:Y, SMALL(IF('Bank Schedule'!$K$2:$K$825="Vacant", ROW('Bank Schedule'!$K$2:$K$825)), ROW(56:56))), "")</f>
        <v>-0.0119047619047619</v>
      </c>
      <c r="Z59" s="29" t="str">
        <f aca="false" t="array" ref="Z59:Z59">IFERROR(INDEX('Bank Schedule'!Z:Z, SMALL(IF('Bank Schedule'!$K$2:$K$825="Vacant", ROW('Bank Schedule'!$K$2:$K$825)), ROW(56:56))), "")</f>
        <v>C</v>
      </c>
      <c r="AA59" s="29" t="str">
        <f aca="false">IFERROR(INDEX('Bank Schedule'!AA:AA, SMALL(IF('Bank Schedule'!$K$2:$K$825="Vacant", ROW('Bank Schedule'!$K$2:$K$825)), ROW(56:56))), "")</f>
        <v/>
      </c>
      <c r="AB59" s="29" t="str">
        <f aca="false">IFERROR(INDEX('Bank Schedule'!AB:AB, SMALL(IF('Bank Schedule'!$K$2:$K$825="Vacant", ROW('Bank Schedule'!$K$2:$K$825)), ROW(56:56))), "")</f>
        <v/>
      </c>
      <c r="AC59" s="29" t="str">
        <f aca="false" t="array" ref="AC59:AC59">IFERROR(INDEX('Bank Schedule'!AC:AC, SMALL(IF('Bank Schedule'!$K$2:$K$825="Vacant", ROW('Bank Schedule'!$K$2:$K$825)), ROW(56:56))), "")</f>
        <v>No</v>
      </c>
      <c r="AD59" s="29" t="str">
        <f aca="false" t="array" ref="AD59:AD59">IFERROR(INDEX('Bank Schedule'!AD:AD, SMALL(IF('Bank Schedule'!$K$2:$K$825="Vacant", ROW('Bank Schedule'!$K$2:$K$825)), ROW(56:56))), "")</f>
        <v>Under offer</v>
      </c>
      <c r="AE59" s="281" t="n">
        <f aca="false" t="array" ref="AE59:AE59">IFERROR(INDEX('Bank Schedule'!AE:AE, SMALL(IF('Bank Schedule'!$K$2:$K$825="Vacant", ROW('Bank Schedule'!$K$2:$K$825)), ROW(56:56))), "")</f>
        <v>62.5</v>
      </c>
      <c r="AF59" s="29" t="n">
        <f aca="false" t="array" ref="AF59:AF59">IFERROR(INDEX('Bank Schedule'!AF:AF, SMALL(IF('Bank Schedule'!$K$2:$K$825="Vacant", ROW('Bank Schedule'!$K$2:$K$825)), ROW(56:56))), "")</f>
        <v>1</v>
      </c>
      <c r="AG59" s="29" t="n">
        <f aca="false" t="array" ref="AG59:AG59">IFERROR(INDEX('Bank Schedule'!AG:AG, SMALL(IF('Bank Schedule'!$K$2:$K$825="Vacant", ROW('Bank Schedule'!$K$2:$K$825)), ROW(56:56))), "")</f>
        <v>5</v>
      </c>
      <c r="AH59" s="29" t="str">
        <f aca="false">IFERROR(INDEX('Bank Schedule'!AH:AH, SMALL(IF('Bank Schedule'!$K$2:$K$825="Vacant", ROW('Bank Schedule'!$K$2:$K$825)), ROW(56:56))), "")</f>
        <v/>
      </c>
      <c r="AI59" s="4"/>
    </row>
    <row r="60" customFormat="false" ht="28.5" hidden="false" customHeight="true" outlineLevel="0" collapsed="false">
      <c r="A60" s="29" t="str">
        <f aca="false">IFERROR(INDEX('Bank Schedule'!A:A, SMALL(IF('Bank Schedule'!$K$2:$K$825="Vacant", ROW('Bank Schedule'!$K$2:$K$825)), ROW(57:57))), "")</f>
        <v/>
      </c>
      <c r="B60" s="29" t="str">
        <f aca="false" t="array" ref="B60:B60">IFERROR(INDEX('Bank Schedule'!B:B, SMALL(IF('Bank Schedule'!$K$2:$K$825="Vacant", ROW('Bank Schedule'!$K$2:$K$825)), ROW(57:57))), "")</f>
        <v>SH</v>
      </c>
      <c r="C60" s="29" t="str">
        <f aca="false" t="array" ref="C60:C60">IFERROR(INDEX('Bank Schedule'!C:C, SMALL(IF('Bank Schedule'!$K$2:$K$825="Vacant", ROW('Bank Schedule'!$K$2:$K$825)), ROW(57:57))), "")</f>
        <v>MEL</v>
      </c>
      <c r="D60" s="29" t="n">
        <f aca="false" t="array" ref="D60:D60">IFERROR(INDEX('Bank Schedule'!D:D, SMALL(IF('Bank Schedule'!$K$2:$K$825="Vacant", ROW('Bank Schedule'!$K$2:$K$825)), ROW(57:57))), "")</f>
        <v>550510</v>
      </c>
      <c r="E60" s="29" t="str">
        <f aca="false" t="array" ref="E60:E60">IFERROR(INDEX('Bank Schedule'!E:E, SMALL(IF('Bank Schedule'!$K$2:$K$825="Vacant", ROW('Bank Schedule'!$K$2:$K$825)), ROW(57:57))), "")</f>
        <v>51-53 Margaret Street</v>
      </c>
      <c r="F60" s="29" t="str">
        <f aca="false" t="array" ref="F60:F60">IFERROR(INDEX('Bank Schedule'!F:F, SMALL(IF('Bank Schedule'!$K$2:$K$825="Vacant", ROW('Bank Schedule'!$K$2:$K$825)), ROW(57:57))), "")</f>
        <v>First Floor (West)</v>
      </c>
      <c r="G60" s="29" t="str">
        <f aca="false" t="array" ref="G60:G60">IFERROR(INDEX('Bank Schedule'!G:G, SMALL(IF('Bank Schedule'!$K$2:$K$825="Vacant", ROW('Bank Schedule'!$K$2:$K$825)), ROW(57:57))), "")</f>
        <v>Office</v>
      </c>
      <c r="H60" s="305" t="n">
        <f aca="false" t="array" ref="H60:H60">IFERROR(INDEX('Bank Schedule'!H:H, SMALL(IF('Bank Schedule'!$K$2:$K$825="Vacant", ROW('Bank Schedule'!$K$2:$K$825)), ROW(57:57))), "")</f>
        <v>450</v>
      </c>
      <c r="I60" s="29" t="n">
        <f aca="false" t="array" ref="I60:I60">IFERROR(INDEX('Bank Schedule'!I:I, SMALL(IF('Bank Schedule'!$K$2:$K$825="Vacant", ROW('Bank Schedule'!$K$2:$K$825)), ROW(57:57))), "")</f>
        <v>450</v>
      </c>
      <c r="J60" s="305" t="n">
        <f aca="false" t="array" ref="J60:J60">IFERROR(INDEX('Bank Schedule'!J:J, SMALL(IF('Bank Schedule'!$K$2:$K$825="Vacant", ROW('Bank Schedule'!$K$2:$K$825)), ROW(57:57))), "")</f>
        <v>500</v>
      </c>
      <c r="K60" s="29" t="str">
        <f aca="false" t="array" ref="K60:K60">IFERROR(INDEX('Bank Schedule'!K:K, SMALL(IF('Bank Schedule'!$K$2:$K$825="Vacant", ROW('Bank Schedule'!$K$2:$K$825)), ROW(57:57))), "")</f>
        <v>Vacant</v>
      </c>
      <c r="L60" s="29" t="str">
        <f aca="false">IFERROR(INDEX('Bank Schedule'!L:L, SMALL(IF('Bank Schedule'!$K$2:$K$825="Vacant", ROW('Bank Schedule'!$K$2:$K$825)), ROW(57:57))), "")</f>
        <v/>
      </c>
      <c r="M60" s="29" t="str">
        <f aca="false">IFERROR(INDEX('Bank Schedule'!M:M, SMALL(IF('Bank Schedule'!$K$2:$K$825="Vacant", ROW('Bank Schedule'!$K$2:$K$825)), ROW(57:57))), "")</f>
        <v/>
      </c>
      <c r="N60" s="307" t="n">
        <f aca="false" t="array" ref="N60:N60">IFERROR(INDEX('Bank Schedule'!N:N, SMALL(IF('Bank Schedule'!$K$2:$K$825="Vacant", ROW('Bank Schedule'!$K$2:$K$825)), ROW(57:57))), "")</f>
        <v>42943</v>
      </c>
      <c r="O60" s="29" t="str">
        <f aca="false">IFERROR(INDEX('Bank Schedule'!O:O, SMALL(IF('Bank Schedule'!$K$2:$K$825="Vacant", ROW('Bank Schedule'!$K$2:$K$825)), ROW(57:57))), "")</f>
        <v/>
      </c>
      <c r="P60" s="29" t="str">
        <f aca="false">IFERROR(INDEX('Bank Schedule'!P:P, SMALL(IF('Bank Schedule'!$K$2:$K$825="Vacant", ROW('Bank Schedule'!$K$2:$K$825)), ROW(57:57))), "")</f>
        <v/>
      </c>
      <c r="Q60" s="29" t="n">
        <f aca="false" t="array" ref="Q60:Q60">IFERROR(INDEX('Bank Schedule'!Q:Q, SMALL(IF('Bank Schedule'!$K$2:$K$825="Vacant", ROW('Bank Schedule'!$K$2:$K$825)), ROW(57:57))), "")</f>
        <v>0</v>
      </c>
      <c r="R60" s="29" t="n">
        <f aca="false" t="array" ref="R60:R60">IFERROR(INDEX('Bank Schedule'!R:R, SMALL(IF('Bank Schedule'!$K$2:$K$825="Vacant", ROW('Bank Schedule'!$K$2:$K$825)), ROW(57:57))), "")</f>
        <v>0</v>
      </c>
      <c r="S60" s="29" t="str">
        <f aca="false">IFERROR(INDEX('Bank Schedule'!S:S, SMALL(IF('Bank Schedule'!$K$2:$K$825="Vacant", ROW('Bank Schedule'!$K$2:$K$825)), ROW(57:57))), "")</f>
        <v/>
      </c>
      <c r="T60" s="309" t="n">
        <f aca="false" t="array" ref="T60:T60">IFERROR(INDEX('Bank Schedule'!T:T, SMALL(IF('Bank Schedule'!$K$2:$K$825="Vacant", ROW('Bank Schedule'!$K$2:$K$825)), ROW(57:57))), "")</f>
        <v>23600</v>
      </c>
      <c r="U60" s="309" t="n">
        <f aca="false" t="array" ref="U60:U60">IFERROR(INDEX('Bank Schedule'!U:U, SMALL(IF('Bank Schedule'!$K$2:$K$825="Vacant", ROW('Bank Schedule'!$K$2:$K$825)), ROW(57:57))), "")</f>
        <v>23600</v>
      </c>
      <c r="V60" s="309" t="n">
        <f aca="false" t="array" ref="V60:V60">IFERROR(INDEX('Bank Schedule'!V:V, SMALL(IF('Bank Schedule'!$K$2:$K$825="Vacant", ROW('Bank Schedule'!$K$2:$K$825)), ROW(57:57))), "")</f>
        <v>24800</v>
      </c>
      <c r="W60" s="309" t="n">
        <f aca="false" t="array" ref="W60:W60">IFERROR(INDEX('Bank Schedule'!W:W, SMALL(IF('Bank Schedule'!$K$2:$K$825="Vacant", ROW('Bank Schedule'!$K$2:$K$825)), ROW(57:57))), "")</f>
        <v>24800</v>
      </c>
      <c r="X60" s="309" t="n">
        <f aca="false" t="array" ref="X60:X60">IFERROR(INDEX('Bank Schedule'!X:X, SMALL(IF('Bank Schedule'!$K$2:$K$825="Vacant", ROW('Bank Schedule'!$K$2:$K$825)), ROW(57:57))), "")</f>
        <v>55.1111111111111</v>
      </c>
      <c r="Y60" s="310" t="n">
        <f aca="false" t="array" ref="Y60:Y60">IFERROR(INDEX('Bank Schedule'!Y:Y, SMALL(IF('Bank Schedule'!$K$2:$K$825="Vacant", ROW('Bank Schedule'!$K$2:$K$825)), ROW(57:57))), "")</f>
        <v>0.0508474576271187</v>
      </c>
      <c r="Z60" s="29" t="str">
        <f aca="false" t="array" ref="Z60:Z60">IFERROR(INDEX('Bank Schedule'!Z:Z, SMALL(IF('Bank Schedule'!$K$2:$K$825="Vacant", ROW('Bank Schedule'!$K$2:$K$825)), ROW(57:57))), "")</f>
        <v>B</v>
      </c>
      <c r="AA60" s="29" t="str">
        <f aca="false">IFERROR(INDEX('Bank Schedule'!AA:AA, SMALL(IF('Bank Schedule'!$K$2:$K$825="Vacant", ROW('Bank Schedule'!$K$2:$K$825)), ROW(57:57))), "")</f>
        <v/>
      </c>
      <c r="AB60" s="29" t="str">
        <f aca="false">IFERROR(INDEX('Bank Schedule'!AB:AB, SMALL(IF('Bank Schedule'!$K$2:$K$825="Vacant", ROW('Bank Schedule'!$K$2:$K$825)), ROW(57:57))), "")</f>
        <v/>
      </c>
      <c r="AC60" s="29" t="str">
        <f aca="false" t="array" ref="AC60:AC60">IFERROR(INDEX('Bank Schedule'!AC:AC, SMALL(IF('Bank Schedule'!$K$2:$K$825="Vacant", ROW('Bank Schedule'!$K$2:$K$825)), ROW(57:57))), "")</f>
        <v>No</v>
      </c>
      <c r="AD60" s="29" t="str">
        <f aca="false" t="array" ref="AD60:AD60">IFERROR(INDEX('Bank Schedule'!AD:AD, SMALL(IF('Bank Schedule'!$K$2:$K$825="Vacant", ROW('Bank Schedule'!$K$2:$K$825)), ROW(57:57))), "")</f>
        <v>To be refurbished.</v>
      </c>
      <c r="AE60" s="281" t="str">
        <f aca="false">IFERROR(INDEX('Bank Schedule'!AE:AE, SMALL(IF('Bank Schedule'!$K$2:$K$825="Vacant", ROW('Bank Schedule'!$K$2:$K$825)), ROW(57:57))), "")</f>
        <v/>
      </c>
      <c r="AF60" s="29" t="n">
        <f aca="false" t="array" ref="AF60:AF60">IFERROR(INDEX('Bank Schedule'!AF:AF, SMALL(IF('Bank Schedule'!$K$2:$K$825="Vacant", ROW('Bank Schedule'!$K$2:$K$825)), ROW(57:57))), "")</f>
        <v>1</v>
      </c>
      <c r="AG60" s="29" t="n">
        <f aca="false" t="array" ref="AG60:AG60">IFERROR(INDEX('Bank Schedule'!AG:AG, SMALL(IF('Bank Schedule'!$K$2:$K$825="Vacant", ROW('Bank Schedule'!$K$2:$K$825)), ROW(57:57))), "")</f>
        <v>3</v>
      </c>
      <c r="AH60" s="29" t="str">
        <f aca="false" t="array" ref="AH60:AH60">IFERROR(INDEX('Bank Schedule'!AH:AH, SMALL(IF('Bank Schedule'!$K$2:$K$825="Vacant", ROW('Bank Schedule'!$K$2:$K$825)), ROW(57:57))), "")</f>
        <v>LEM / RIB</v>
      </c>
      <c r="AI60" s="4"/>
    </row>
    <row r="61" customFormat="false" ht="28.5" hidden="false" customHeight="true" outlineLevel="0" collapsed="false">
      <c r="A61" s="29" t="str">
        <f aca="false">IFERROR(INDEX('Bank Schedule'!A:A, SMALL(IF('Bank Schedule'!$K$2:$K$825="Vacant", ROW('Bank Schedule'!$K$2:$K$825)), ROW(58:58))), "")</f>
        <v/>
      </c>
      <c r="B61" s="29" t="str">
        <f aca="false" t="array" ref="B61:B61">IFERROR(INDEX('Bank Schedule'!B:B, SMALL(IF('Bank Schedule'!$K$2:$K$825="Vacant", ROW('Bank Schedule'!$K$2:$K$825)), ROW(58:58))), "")</f>
        <v>SH</v>
      </c>
      <c r="C61" s="29" t="str">
        <f aca="false" t="array" ref="C61:C61">IFERROR(INDEX('Bank Schedule'!C:C, SMALL(IF('Bank Schedule'!$K$2:$K$825="Vacant", ROW('Bank Schedule'!$K$2:$K$825)), ROW(58:58))), "")</f>
        <v>MEL</v>
      </c>
      <c r="D61" s="29" t="n">
        <f aca="false" t="array" ref="D61:D61">IFERROR(INDEX('Bank Schedule'!D:D, SMALL(IF('Bank Schedule'!$K$2:$K$825="Vacant", ROW('Bank Schedule'!$K$2:$K$825)), ROW(58:58))), "")</f>
        <v>550510</v>
      </c>
      <c r="E61" s="29" t="str">
        <f aca="false" t="array" ref="E61:E61">IFERROR(INDEX('Bank Schedule'!E:E, SMALL(IF('Bank Schedule'!$K$2:$K$825="Vacant", ROW('Bank Schedule'!$K$2:$K$825)), ROW(58:58))), "")</f>
        <v>51-53 Margaret Street</v>
      </c>
      <c r="F61" s="29" t="str">
        <f aca="false" t="array" ref="F61:F61">IFERROR(INDEX('Bank Schedule'!F:F, SMALL(IF('Bank Schedule'!$K$2:$K$825="Vacant", ROW('Bank Schedule'!$K$2:$K$825)), ROW(58:58))), "")</f>
        <v>Second Floor (West)</v>
      </c>
      <c r="G61" s="29" t="str">
        <f aca="false" t="array" ref="G61:G61">IFERROR(INDEX('Bank Schedule'!G:G, SMALL(IF('Bank Schedule'!$K$2:$K$825="Vacant", ROW('Bank Schedule'!$K$2:$K$825)), ROW(58:58))), "")</f>
        <v>Office</v>
      </c>
      <c r="H61" s="305" t="n">
        <f aca="false" t="array" ref="H61:H61">IFERROR(INDEX('Bank Schedule'!H:H, SMALL(IF('Bank Schedule'!$K$2:$K$825="Vacant", ROW('Bank Schedule'!$K$2:$K$825)), ROW(58:58))), "")</f>
        <v>500</v>
      </c>
      <c r="I61" s="29" t="n">
        <f aca="false" t="array" ref="I61:I61">IFERROR(INDEX('Bank Schedule'!I:I, SMALL(IF('Bank Schedule'!$K$2:$K$825="Vacant", ROW('Bank Schedule'!$K$2:$K$825)), ROW(58:58))), "")</f>
        <v>500</v>
      </c>
      <c r="J61" s="305" t="n">
        <f aca="false" t="array" ref="J61:J61">IFERROR(INDEX('Bank Schedule'!J:J, SMALL(IF('Bank Schedule'!$K$2:$K$825="Vacant", ROW('Bank Schedule'!$K$2:$K$825)), ROW(58:58))), "")</f>
        <v>500</v>
      </c>
      <c r="K61" s="29" t="str">
        <f aca="false" t="array" ref="K61:K61">IFERROR(INDEX('Bank Schedule'!K:K, SMALL(IF('Bank Schedule'!$K$2:$K$825="Vacant", ROW('Bank Schedule'!$K$2:$K$825)), ROW(58:58))), "")</f>
        <v>Vacant</v>
      </c>
      <c r="L61" s="29" t="str">
        <f aca="false">IFERROR(INDEX('Bank Schedule'!L:L, SMALL(IF('Bank Schedule'!$K$2:$K$825="Vacant", ROW('Bank Schedule'!$K$2:$K$825)), ROW(58:58))), "")</f>
        <v/>
      </c>
      <c r="M61" s="29" t="str">
        <f aca="false">IFERROR(INDEX('Bank Schedule'!M:M, SMALL(IF('Bank Schedule'!$K$2:$K$825="Vacant", ROW('Bank Schedule'!$K$2:$K$825)), ROW(58:58))), "")</f>
        <v/>
      </c>
      <c r="N61" s="307" t="n">
        <f aca="false" t="array" ref="N61:N61">IFERROR(INDEX('Bank Schedule'!N:N, SMALL(IF('Bank Schedule'!$K$2:$K$825="Vacant", ROW('Bank Schedule'!$K$2:$K$825)), ROW(58:58))), "")</f>
        <v>43820</v>
      </c>
      <c r="O61" s="29" t="str">
        <f aca="false">IFERROR(INDEX('Bank Schedule'!O:O, SMALL(IF('Bank Schedule'!$K$2:$K$825="Vacant", ROW('Bank Schedule'!$K$2:$K$825)), ROW(58:58))), "")</f>
        <v/>
      </c>
      <c r="P61" s="29" t="str">
        <f aca="false">IFERROR(INDEX('Bank Schedule'!P:P, SMALL(IF('Bank Schedule'!$K$2:$K$825="Vacant", ROW('Bank Schedule'!$K$2:$K$825)), ROW(58:58))), "")</f>
        <v/>
      </c>
      <c r="Q61" s="29" t="n">
        <f aca="false" t="array" ref="Q61:Q61">IFERROR(INDEX('Bank Schedule'!Q:Q, SMALL(IF('Bank Schedule'!$K$2:$K$825="Vacant", ROW('Bank Schedule'!$K$2:$K$825)), ROW(58:58))), "")</f>
        <v>0</v>
      </c>
      <c r="R61" s="29" t="n">
        <f aca="false" t="array" ref="R61:R61">IFERROR(INDEX('Bank Schedule'!R:R, SMALL(IF('Bank Schedule'!$K$2:$K$825="Vacant", ROW('Bank Schedule'!$K$2:$K$825)), ROW(58:58))), "")</f>
        <v>0</v>
      </c>
      <c r="S61" s="29" t="str">
        <f aca="false">IFERROR(INDEX('Bank Schedule'!S:S, SMALL(IF('Bank Schedule'!$K$2:$K$825="Vacant", ROW('Bank Schedule'!$K$2:$K$825)), ROW(58:58))), "")</f>
        <v/>
      </c>
      <c r="T61" s="309" t="n">
        <f aca="false" t="array" ref="T61:T61">IFERROR(INDEX('Bank Schedule'!T:T, SMALL(IF('Bank Schedule'!$K$2:$K$825="Vacant", ROW('Bank Schedule'!$K$2:$K$825)), ROW(58:58))), "")</f>
        <v>26300</v>
      </c>
      <c r="U61" s="309" t="n">
        <f aca="false" t="array" ref="U61:U61">IFERROR(INDEX('Bank Schedule'!U:U, SMALL(IF('Bank Schedule'!$K$2:$K$825="Vacant", ROW('Bank Schedule'!$K$2:$K$825)), ROW(58:58))), "")</f>
        <v>26300</v>
      </c>
      <c r="V61" s="309" t="n">
        <f aca="false" t="array" ref="V61:V61">IFERROR(INDEX('Bank Schedule'!V:V, SMALL(IF('Bank Schedule'!$K$2:$K$825="Vacant", ROW('Bank Schedule'!$K$2:$K$825)), ROW(58:58))), "")</f>
        <v>27500</v>
      </c>
      <c r="W61" s="309" t="n">
        <f aca="false" t="array" ref="W61:W61">IFERROR(INDEX('Bank Schedule'!W:W, SMALL(IF('Bank Schedule'!$K$2:$K$825="Vacant", ROW('Bank Schedule'!$K$2:$K$825)), ROW(58:58))), "")</f>
        <v>27500</v>
      </c>
      <c r="X61" s="309" t="n">
        <f aca="false" t="array" ref="X61:X61">IFERROR(INDEX('Bank Schedule'!X:X, SMALL(IF('Bank Schedule'!$K$2:$K$825="Vacant", ROW('Bank Schedule'!$K$2:$K$825)), ROW(58:58))), "")</f>
        <v>55</v>
      </c>
      <c r="Y61" s="310" t="n">
        <f aca="false" t="array" ref="Y61:Y61">IFERROR(INDEX('Bank Schedule'!Y:Y, SMALL(IF('Bank Schedule'!$K$2:$K$825="Vacant", ROW('Bank Schedule'!$K$2:$K$825)), ROW(58:58))), "")</f>
        <v>0.0456273764258555</v>
      </c>
      <c r="Z61" s="29" t="str">
        <f aca="false" t="array" ref="Z61:Z61">IFERROR(INDEX('Bank Schedule'!Z:Z, SMALL(IF('Bank Schedule'!$K$2:$K$825="Vacant", ROW('Bank Schedule'!$K$2:$K$825)), ROW(58:58))), "")</f>
        <v>E</v>
      </c>
      <c r="AA61" s="29" t="str">
        <f aca="false">IFERROR(INDEX('Bank Schedule'!AA:AA, SMALL(IF('Bank Schedule'!$K$2:$K$825="Vacant", ROW('Bank Schedule'!$K$2:$K$825)), ROW(58:58))), "")</f>
        <v/>
      </c>
      <c r="AB61" s="29" t="str">
        <f aca="false">IFERROR(INDEX('Bank Schedule'!AB:AB, SMALL(IF('Bank Schedule'!$K$2:$K$825="Vacant", ROW('Bank Schedule'!$K$2:$K$825)), ROW(58:58))), "")</f>
        <v/>
      </c>
      <c r="AC61" s="29" t="str">
        <f aca="false" t="array" ref="AC61:AC61">IFERROR(INDEX('Bank Schedule'!AC:AC, SMALL(IF('Bank Schedule'!$K$2:$K$825="Vacant", ROW('Bank Schedule'!$K$2:$K$825)), ROW(58:58))), "")</f>
        <v>No</v>
      </c>
      <c r="AD61" s="29" t="str">
        <f aca="false" t="array" ref="AD61:AD61">IFERROR(INDEX('Bank Schedule'!AD:AD, SMALL(IF('Bank Schedule'!$K$2:$K$825="Vacant", ROW('Bank Schedule'!$K$2:$K$825)), ROW(58:58))), "")</f>
        <v>LEM marketing.</v>
      </c>
      <c r="AE61" s="281" t="n">
        <f aca="false" t="array" ref="AE61:AE61">IFERROR(INDEX('Bank Schedule'!AE:AE, SMALL(IF('Bank Schedule'!$K$2:$K$825="Vacant", ROW('Bank Schedule'!$K$2:$K$825)), ROW(58:58))), "")</f>
        <v>58.5</v>
      </c>
      <c r="AF61" s="29" t="n">
        <f aca="false" t="array" ref="AF61:AF61">IFERROR(INDEX('Bank Schedule'!AF:AF, SMALL(IF('Bank Schedule'!$K$2:$K$825="Vacant", ROW('Bank Schedule'!$K$2:$K$825)), ROW(58:58))), "")</f>
        <v>1</v>
      </c>
      <c r="AG61" s="29" t="n">
        <f aca="false" t="array" ref="AG61:AG61">IFERROR(INDEX('Bank Schedule'!AG:AG, SMALL(IF('Bank Schedule'!$K$2:$K$825="Vacant", ROW('Bank Schedule'!$K$2:$K$825)), ROW(58:58))), "")</f>
        <v>4</v>
      </c>
      <c r="AH61" s="29" t="str">
        <f aca="false" t="array" ref="AH61:AH61">IFERROR(INDEX('Bank Schedule'!AH:AH, SMALL(IF('Bank Schedule'!$K$2:$K$825="Vacant", ROW('Bank Schedule'!$K$2:$K$825)), ROW(58:58))), "")</f>
        <v>LEM / RIB</v>
      </c>
      <c r="AI61" s="4"/>
    </row>
    <row r="62" customFormat="false" ht="28.5" hidden="false" customHeight="true" outlineLevel="0" collapsed="false">
      <c r="A62" s="29" t="str">
        <f aca="false">IFERROR(INDEX('Bank Schedule'!A:A, SMALL(IF('Bank Schedule'!$K$2:$K$825="Vacant", ROW('Bank Schedule'!$K$2:$K$825)), ROW(59:59))), "")</f>
        <v/>
      </c>
      <c r="B62" s="29" t="str">
        <f aca="false" t="array" ref="B62:B62">IFERROR(INDEX('Bank Schedule'!B:B, SMALL(IF('Bank Schedule'!$K$2:$K$825="Vacant", ROW('Bank Schedule'!$K$2:$K$825)), ROW(59:59))), "")</f>
        <v>SH</v>
      </c>
      <c r="C62" s="29" t="str">
        <f aca="false" t="array" ref="C62:C62">IFERROR(INDEX('Bank Schedule'!C:C, SMALL(IF('Bank Schedule'!$K$2:$K$825="Vacant", ROW('Bank Schedule'!$K$2:$K$825)), ROW(59:59))), "")</f>
        <v>MEL</v>
      </c>
      <c r="D62" s="29" t="n">
        <f aca="false" t="array" ref="D62:D62">IFERROR(INDEX('Bank Schedule'!D:D, SMALL(IF('Bank Schedule'!$K$2:$K$825="Vacant", ROW('Bank Schedule'!$K$2:$K$825)), ROW(59:59))), "")</f>
        <v>550510</v>
      </c>
      <c r="E62" s="29" t="str">
        <f aca="false" t="array" ref="E62:E62">IFERROR(INDEX('Bank Schedule'!E:E, SMALL(IF('Bank Schedule'!$K$2:$K$825="Vacant", ROW('Bank Schedule'!$K$2:$K$825)), ROW(59:59))), "")</f>
        <v>51-53 Margaret Street</v>
      </c>
      <c r="F62" s="29" t="str">
        <f aca="false" t="array" ref="F62:F62">IFERROR(INDEX('Bank Schedule'!F:F, SMALL(IF('Bank Schedule'!$K$2:$K$825="Vacant", ROW('Bank Schedule'!$K$2:$K$825)), ROW(59:59))), "")</f>
        <v>Third Floor (East)</v>
      </c>
      <c r="G62" s="29" t="str">
        <f aca="false" t="array" ref="G62:G62">IFERROR(INDEX('Bank Schedule'!G:G, SMALL(IF('Bank Schedule'!$K$2:$K$825="Vacant", ROW('Bank Schedule'!$K$2:$K$825)), ROW(59:59))), "")</f>
        <v>Office</v>
      </c>
      <c r="H62" s="305" t="n">
        <f aca="false" t="array" ref="H62:H62">IFERROR(INDEX('Bank Schedule'!H:H, SMALL(IF('Bank Schedule'!$K$2:$K$825="Vacant", ROW('Bank Schedule'!$K$2:$K$825)), ROW(59:59))), "")</f>
        <v>591</v>
      </c>
      <c r="I62" s="29" t="n">
        <f aca="false" t="array" ref="I62:I62">IFERROR(INDEX('Bank Schedule'!I:I, SMALL(IF('Bank Schedule'!$K$2:$K$825="Vacant", ROW('Bank Schedule'!$K$2:$K$825)), ROW(59:59))), "")</f>
        <v>591</v>
      </c>
      <c r="J62" s="305" t="n">
        <f aca="false" t="array" ref="J62:J62">IFERROR(INDEX('Bank Schedule'!J:J, SMALL(IF('Bank Schedule'!$K$2:$K$825="Vacant", ROW('Bank Schedule'!$K$2:$K$825)), ROW(59:59))), "")</f>
        <v>500</v>
      </c>
      <c r="K62" s="29" t="str">
        <f aca="false" t="array" ref="K62:K62">IFERROR(INDEX('Bank Schedule'!K:K, SMALL(IF('Bank Schedule'!$K$2:$K$825="Vacant", ROW('Bank Schedule'!$K$2:$K$825)), ROW(59:59))), "")</f>
        <v>Vacant</v>
      </c>
      <c r="L62" s="29" t="str">
        <f aca="false">IFERROR(INDEX('Bank Schedule'!L:L, SMALL(IF('Bank Schedule'!$K$2:$K$825="Vacant", ROW('Bank Schedule'!$K$2:$K$825)), ROW(59:59))), "")</f>
        <v/>
      </c>
      <c r="M62" s="29" t="str">
        <f aca="false">IFERROR(INDEX('Bank Schedule'!M:M, SMALL(IF('Bank Schedule'!$K$2:$K$825="Vacant", ROW('Bank Schedule'!$K$2:$K$825)), ROW(59:59))), "")</f>
        <v/>
      </c>
      <c r="N62" s="307" t="n">
        <f aca="false" t="array" ref="N62:N62">IFERROR(INDEX('Bank Schedule'!N:N, SMALL(IF('Bank Schedule'!$K$2:$K$825="Vacant", ROW('Bank Schedule'!$K$2:$K$825)), ROW(59:59))), "")</f>
        <v>44119</v>
      </c>
      <c r="O62" s="29" t="str">
        <f aca="false">IFERROR(INDEX('Bank Schedule'!O:O, SMALL(IF('Bank Schedule'!$K$2:$K$825="Vacant", ROW('Bank Schedule'!$K$2:$K$825)), ROW(59:59))), "")</f>
        <v/>
      </c>
      <c r="P62" s="29" t="str">
        <f aca="false">IFERROR(INDEX('Bank Schedule'!P:P, SMALL(IF('Bank Schedule'!$K$2:$K$825="Vacant", ROW('Bank Schedule'!$K$2:$K$825)), ROW(59:59))), "")</f>
        <v/>
      </c>
      <c r="Q62" s="29" t="n">
        <f aca="false" t="array" ref="Q62:Q62">IFERROR(INDEX('Bank Schedule'!Q:Q, SMALL(IF('Bank Schedule'!$K$2:$K$825="Vacant", ROW('Bank Schedule'!$K$2:$K$825)), ROW(59:59))), "")</f>
        <v>0</v>
      </c>
      <c r="R62" s="29" t="n">
        <f aca="false" t="array" ref="R62:R62">IFERROR(INDEX('Bank Schedule'!R:R, SMALL(IF('Bank Schedule'!$K$2:$K$825="Vacant", ROW('Bank Schedule'!$K$2:$K$825)), ROW(59:59))), "")</f>
        <v>0</v>
      </c>
      <c r="S62" s="29" t="str">
        <f aca="false">IFERROR(INDEX('Bank Schedule'!S:S, SMALL(IF('Bank Schedule'!$K$2:$K$825="Vacant", ROW('Bank Schedule'!$K$2:$K$825)), ROW(59:59))), "")</f>
        <v/>
      </c>
      <c r="T62" s="309" t="n">
        <f aca="false" t="array" ref="T62:T62">IFERROR(INDEX('Bank Schedule'!T:T, SMALL(IF('Bank Schedule'!$K$2:$K$825="Vacant", ROW('Bank Schedule'!$K$2:$K$825)), ROW(59:59))), "")</f>
        <v>31000</v>
      </c>
      <c r="U62" s="309" t="n">
        <f aca="false" t="array" ref="U62:U62">IFERROR(INDEX('Bank Schedule'!U:U, SMALL(IF('Bank Schedule'!$K$2:$K$825="Vacant", ROW('Bank Schedule'!$K$2:$K$825)), ROW(59:59))), "")</f>
        <v>31000</v>
      </c>
      <c r="V62" s="309" t="n">
        <f aca="false" t="array" ref="V62:V62">IFERROR(INDEX('Bank Schedule'!V:V, SMALL(IF('Bank Schedule'!$K$2:$K$825="Vacant", ROW('Bank Schedule'!$K$2:$K$825)), ROW(59:59))), "")</f>
        <v>32500</v>
      </c>
      <c r="W62" s="309" t="n">
        <f aca="false" t="array" ref="W62:W62">IFERROR(INDEX('Bank Schedule'!W:W, SMALL(IF('Bank Schedule'!$K$2:$K$825="Vacant", ROW('Bank Schedule'!$K$2:$K$825)), ROW(59:59))), "")</f>
        <v>32500</v>
      </c>
      <c r="X62" s="309" t="n">
        <f aca="false" t="array" ref="X62:X62">IFERROR(INDEX('Bank Schedule'!X:X, SMALL(IF('Bank Schedule'!$K$2:$K$825="Vacant", ROW('Bank Schedule'!$K$2:$K$825)), ROW(59:59))), "")</f>
        <v>54.9915397631134</v>
      </c>
      <c r="Y62" s="310" t="n">
        <f aca="false" t="array" ref="Y62:Y62">IFERROR(INDEX('Bank Schedule'!Y:Y, SMALL(IF('Bank Schedule'!$K$2:$K$825="Vacant", ROW('Bank Schedule'!$K$2:$K$825)), ROW(59:59))), "")</f>
        <v>0.0483870967741936</v>
      </c>
      <c r="Z62" s="29" t="str">
        <f aca="false" t="array" ref="Z62:Z62">IFERROR(INDEX('Bank Schedule'!Z:Z, SMALL(IF('Bank Schedule'!$K$2:$K$825="Vacant", ROW('Bank Schedule'!$K$2:$K$825)), ROW(59:59))), "")</f>
        <v>E</v>
      </c>
      <c r="AA62" s="29" t="str">
        <f aca="false">IFERROR(INDEX('Bank Schedule'!AA:AA, SMALL(IF('Bank Schedule'!$K$2:$K$825="Vacant", ROW('Bank Schedule'!$K$2:$K$825)), ROW(59:59))), "")</f>
        <v/>
      </c>
      <c r="AB62" s="29" t="str">
        <f aca="false">IFERROR(INDEX('Bank Schedule'!AB:AB, SMALL(IF('Bank Schedule'!$K$2:$K$825="Vacant", ROW('Bank Schedule'!$K$2:$K$825)), ROW(59:59))), "")</f>
        <v/>
      </c>
      <c r="AC62" s="29" t="str">
        <f aca="false" t="array" ref="AC62:AC62">IFERROR(INDEX('Bank Schedule'!AC:AC, SMALL(IF('Bank Schedule'!$K$2:$K$825="Vacant", ROW('Bank Schedule'!$K$2:$K$825)), ROW(59:59))), "")</f>
        <v>No</v>
      </c>
      <c r="AD62" s="29" t="str">
        <f aca="false" t="array" ref="AD62:AD62">IFERROR(INDEX('Bank Schedule'!AD:AD, SMALL(IF('Bank Schedule'!$K$2:$K$825="Vacant", ROW('Bank Schedule'!$K$2:$K$825)), ROW(59:59))), "")</f>
        <v>LEM marketing.</v>
      </c>
      <c r="AE62" s="281" t="n">
        <f aca="false" t="array" ref="AE62:AE62">IFERROR(INDEX('Bank Schedule'!AE:AE, SMALL(IF('Bank Schedule'!$K$2:$K$825="Vacant", ROW('Bank Schedule'!$K$2:$K$825)), ROW(59:59))), "")</f>
        <v>58.5</v>
      </c>
      <c r="AF62" s="29" t="n">
        <f aca="false" t="array" ref="AF62:AF62">IFERROR(INDEX('Bank Schedule'!AF:AF, SMALL(IF('Bank Schedule'!$K$2:$K$825="Vacant", ROW('Bank Schedule'!$K$2:$K$825)), ROW(59:59))), "")</f>
        <v>2</v>
      </c>
      <c r="AG62" s="29" t="n">
        <f aca="false" t="array" ref="AG62:AG62">IFERROR(INDEX('Bank Schedule'!AG:AG, SMALL(IF('Bank Schedule'!$K$2:$K$825="Vacant", ROW('Bank Schedule'!$K$2:$K$825)), ROW(59:59))), "")</f>
        <v>2</v>
      </c>
      <c r="AH62" s="29" t="str">
        <f aca="false" t="array" ref="AH62:AH62">IFERROR(INDEX('Bank Schedule'!AH:AH, SMALL(IF('Bank Schedule'!$K$2:$K$825="Vacant", ROW('Bank Schedule'!$K$2:$K$825)), ROW(59:59))), "")</f>
        <v>LEM/LDG</v>
      </c>
      <c r="AI62" s="4"/>
    </row>
    <row r="63" customFormat="false" ht="28.5" hidden="false" customHeight="true" outlineLevel="0" collapsed="false">
      <c r="A63" s="29" t="str">
        <f aca="false">IFERROR(INDEX('Bank Schedule'!A:A, SMALL(IF('Bank Schedule'!$K$2:$K$825="Vacant", ROW('Bank Schedule'!$K$2:$K$825)), ROW(60:60))), "")</f>
        <v/>
      </c>
      <c r="B63" s="29" t="str">
        <f aca="false" t="array" ref="B63:B63">IFERROR(INDEX('Bank Schedule'!B:B, SMALL(IF('Bank Schedule'!$K$2:$K$825="Vacant", ROW('Bank Schedule'!$K$2:$K$825)), ROW(60:60))), "")</f>
        <v>SH</v>
      </c>
      <c r="C63" s="29" t="str">
        <f aca="false" t="array" ref="C63:C63">IFERROR(INDEX('Bank Schedule'!C:C, SMALL(IF('Bank Schedule'!$K$2:$K$825="Vacant", ROW('Bank Schedule'!$K$2:$K$825)), ROW(60:60))), "")</f>
        <v>MEL</v>
      </c>
      <c r="D63" s="29" t="n">
        <f aca="false" t="array" ref="D63:D63">IFERROR(INDEX('Bank Schedule'!D:D, SMALL(IF('Bank Schedule'!$K$2:$K$825="Vacant", ROW('Bank Schedule'!$K$2:$K$825)), ROW(60:60))), "")</f>
        <v>550510</v>
      </c>
      <c r="E63" s="29" t="str">
        <f aca="false" t="array" ref="E63:E63">IFERROR(INDEX('Bank Schedule'!E:E, SMALL(IF('Bank Schedule'!$K$2:$K$825="Vacant", ROW('Bank Schedule'!$K$2:$K$825)), ROW(60:60))), "")</f>
        <v>51-53 Margaret Street</v>
      </c>
      <c r="F63" s="29" t="str">
        <f aca="false" t="array" ref="F63:F63">IFERROR(INDEX('Bank Schedule'!F:F, SMALL(IF('Bank Schedule'!$K$2:$K$825="Vacant", ROW('Bank Schedule'!$K$2:$K$825)), ROW(60:60))), "")</f>
        <v>Fourth Floor (West)</v>
      </c>
      <c r="G63" s="29" t="str">
        <f aca="false" t="array" ref="G63:G63">IFERROR(INDEX('Bank Schedule'!G:G, SMALL(IF('Bank Schedule'!$K$2:$K$825="Vacant", ROW('Bank Schedule'!$K$2:$K$825)), ROW(60:60))), "")</f>
        <v>Office</v>
      </c>
      <c r="H63" s="305" t="n">
        <f aca="false" t="array" ref="H63:H63">IFERROR(INDEX('Bank Schedule'!H:H, SMALL(IF('Bank Schedule'!$K$2:$K$825="Vacant", ROW('Bank Schedule'!$K$2:$K$825)), ROW(60:60))), "")</f>
        <v>450</v>
      </c>
      <c r="I63" s="29" t="n">
        <f aca="false" t="array" ref="I63:I63">IFERROR(INDEX('Bank Schedule'!I:I, SMALL(IF('Bank Schedule'!$K$2:$K$825="Vacant", ROW('Bank Schedule'!$K$2:$K$825)), ROW(60:60))), "")</f>
        <v>450</v>
      </c>
      <c r="J63" s="305" t="n">
        <f aca="false" t="array" ref="J63:J63">IFERROR(INDEX('Bank Schedule'!J:J, SMALL(IF('Bank Schedule'!$K$2:$K$825="Vacant", ROW('Bank Schedule'!$K$2:$K$825)), ROW(60:60))), "")</f>
        <v>500</v>
      </c>
      <c r="K63" s="29" t="str">
        <f aca="false" t="array" ref="K63:K63">IFERROR(INDEX('Bank Schedule'!K:K, SMALL(IF('Bank Schedule'!$K$2:$K$825="Vacant", ROW('Bank Schedule'!$K$2:$K$825)), ROW(60:60))), "")</f>
        <v>Vacant</v>
      </c>
      <c r="L63" s="29" t="str">
        <f aca="false">IFERROR(INDEX('Bank Schedule'!L:L, SMALL(IF('Bank Schedule'!$K$2:$K$825="Vacant", ROW('Bank Schedule'!$K$2:$K$825)), ROW(60:60))), "")</f>
        <v/>
      </c>
      <c r="M63" s="29" t="str">
        <f aca="false">IFERROR(INDEX('Bank Schedule'!M:M, SMALL(IF('Bank Schedule'!$K$2:$K$825="Vacant", ROW('Bank Schedule'!$K$2:$K$825)), ROW(60:60))), "")</f>
        <v/>
      </c>
      <c r="N63" s="307" t="n">
        <f aca="false" t="array" ref="N63:N63">IFERROR(INDEX('Bank Schedule'!N:N, SMALL(IF('Bank Schedule'!$K$2:$K$825="Vacant", ROW('Bank Schedule'!$K$2:$K$825)), ROW(60:60))), "")</f>
        <v>43389</v>
      </c>
      <c r="O63" s="29" t="str">
        <f aca="false">IFERROR(INDEX('Bank Schedule'!O:O, SMALL(IF('Bank Schedule'!$K$2:$K$825="Vacant", ROW('Bank Schedule'!$K$2:$K$825)), ROW(60:60))), "")</f>
        <v/>
      </c>
      <c r="P63" s="29" t="str">
        <f aca="false">IFERROR(INDEX('Bank Schedule'!P:P, SMALL(IF('Bank Schedule'!$K$2:$K$825="Vacant", ROW('Bank Schedule'!$K$2:$K$825)), ROW(60:60))), "")</f>
        <v/>
      </c>
      <c r="Q63" s="29" t="n">
        <f aca="false" t="array" ref="Q63:Q63">IFERROR(INDEX('Bank Schedule'!Q:Q, SMALL(IF('Bank Schedule'!$K$2:$K$825="Vacant", ROW('Bank Schedule'!$K$2:$K$825)), ROW(60:60))), "")</f>
        <v>0</v>
      </c>
      <c r="R63" s="29" t="n">
        <f aca="false" t="array" ref="R63:R63">IFERROR(INDEX('Bank Schedule'!R:R, SMALL(IF('Bank Schedule'!$K$2:$K$825="Vacant", ROW('Bank Schedule'!$K$2:$K$825)), ROW(60:60))), "")</f>
        <v>0</v>
      </c>
      <c r="S63" s="29" t="str">
        <f aca="false">IFERROR(INDEX('Bank Schedule'!S:S, SMALL(IF('Bank Schedule'!$K$2:$K$825="Vacant", ROW('Bank Schedule'!$K$2:$K$825)), ROW(60:60))), "")</f>
        <v/>
      </c>
      <c r="T63" s="309" t="n">
        <f aca="false" t="array" ref="T63:T63">IFERROR(INDEX('Bank Schedule'!T:T, SMALL(IF('Bank Schedule'!$K$2:$K$825="Vacant", ROW('Bank Schedule'!$K$2:$K$825)), ROW(60:60))), "")</f>
        <v>23600</v>
      </c>
      <c r="U63" s="309" t="n">
        <f aca="false" t="array" ref="U63:U63">IFERROR(INDEX('Bank Schedule'!U:U, SMALL(IF('Bank Schedule'!$K$2:$K$825="Vacant", ROW('Bank Schedule'!$K$2:$K$825)), ROW(60:60))), "")</f>
        <v>23600</v>
      </c>
      <c r="V63" s="309" t="n">
        <f aca="false" t="array" ref="V63:V63">IFERROR(INDEX('Bank Schedule'!V:V, SMALL(IF('Bank Schedule'!$K$2:$K$825="Vacant", ROW('Bank Schedule'!$K$2:$K$825)), ROW(60:60))), "")</f>
        <v>24800</v>
      </c>
      <c r="W63" s="309" t="n">
        <f aca="false" t="array" ref="W63:W63">IFERROR(INDEX('Bank Schedule'!W:W, SMALL(IF('Bank Schedule'!$K$2:$K$825="Vacant", ROW('Bank Schedule'!$K$2:$K$825)), ROW(60:60))), "")</f>
        <v>24800</v>
      </c>
      <c r="X63" s="309" t="n">
        <f aca="false" t="array" ref="X63:X63">IFERROR(INDEX('Bank Schedule'!X:X, SMALL(IF('Bank Schedule'!$K$2:$K$825="Vacant", ROW('Bank Schedule'!$K$2:$K$825)), ROW(60:60))), "")</f>
        <v>55.1111111111111</v>
      </c>
      <c r="Y63" s="310" t="n">
        <f aca="false" t="array" ref="Y63:Y63">IFERROR(INDEX('Bank Schedule'!Y:Y, SMALL(IF('Bank Schedule'!$K$2:$K$825="Vacant", ROW('Bank Schedule'!$K$2:$K$825)), ROW(60:60))), "")</f>
        <v>0.0508474576271187</v>
      </c>
      <c r="Z63" s="29" t="str">
        <f aca="false" t="array" ref="Z63:Z63">IFERROR(INDEX('Bank Schedule'!Z:Z, SMALL(IF('Bank Schedule'!$K$2:$K$825="Vacant", ROW('Bank Schedule'!$K$2:$K$825)), ROW(60:60))), "")</f>
        <v>E</v>
      </c>
      <c r="AA63" s="29" t="str">
        <f aca="false">IFERROR(INDEX('Bank Schedule'!AA:AA, SMALL(IF('Bank Schedule'!$K$2:$K$825="Vacant", ROW('Bank Schedule'!$K$2:$K$825)), ROW(60:60))), "")</f>
        <v/>
      </c>
      <c r="AB63" s="29" t="str">
        <f aca="false">IFERROR(INDEX('Bank Schedule'!AB:AB, SMALL(IF('Bank Schedule'!$K$2:$K$825="Vacant", ROW('Bank Schedule'!$K$2:$K$825)), ROW(60:60))), "")</f>
        <v/>
      </c>
      <c r="AC63" s="29" t="str">
        <f aca="false" t="array" ref="AC63:AC63">IFERROR(INDEX('Bank Schedule'!AC:AC, SMALL(IF('Bank Schedule'!$K$2:$K$825="Vacant", ROW('Bank Schedule'!$K$2:$K$825)), ROW(60:60))), "")</f>
        <v>No</v>
      </c>
      <c r="AD63" s="29" t="str">
        <f aca="false" t="array" ref="AD63:AD63">IFERROR(INDEX('Bank Schedule'!AD:AD, SMALL(IF('Bank Schedule'!$K$2:$K$825="Vacant", ROW('Bank Schedule'!$K$2:$K$825)), ROW(60:60))), "")</f>
        <v>LEM marketing.</v>
      </c>
      <c r="AE63" s="281" t="n">
        <f aca="false" t="array" ref="AE63:AE63">IFERROR(INDEX('Bank Schedule'!AE:AE, SMALL(IF('Bank Schedule'!$K$2:$K$825="Vacant", ROW('Bank Schedule'!$K$2:$K$825)), ROW(60:60))), "")</f>
        <v>58.5</v>
      </c>
      <c r="AF63" s="29" t="n">
        <f aca="false" t="array" ref="AF63:AF63">IFERROR(INDEX('Bank Schedule'!AF:AF, SMALL(IF('Bank Schedule'!$K$2:$K$825="Vacant", ROW('Bank Schedule'!$K$2:$K$825)), ROW(60:60))), "")</f>
        <v>1</v>
      </c>
      <c r="AG63" s="29" t="n">
        <f aca="false" t="array" ref="AG63:AG63">IFERROR(INDEX('Bank Schedule'!AG:AG, SMALL(IF('Bank Schedule'!$K$2:$K$825="Vacant", ROW('Bank Schedule'!$K$2:$K$825)), ROW(60:60))), "")</f>
        <v>1</v>
      </c>
      <c r="AH63" s="29" t="str">
        <f aca="false">IFERROR(INDEX('Bank Schedule'!AH:AH, SMALL(IF('Bank Schedule'!$K$2:$K$825="Vacant", ROW('Bank Schedule'!$K$2:$K$825)), ROW(60:60))), "")</f>
        <v/>
      </c>
      <c r="AI63" s="4"/>
    </row>
    <row r="64" customFormat="false" ht="28.5" hidden="false" customHeight="true" outlineLevel="0" collapsed="false">
      <c r="A64" s="29" t="str">
        <f aca="false">IFERROR(INDEX('Bank Schedule'!A:A, SMALL(IF('Bank Schedule'!$K$2:$K$825="Vacant", ROW('Bank Schedule'!$K$2:$K$825)), ROW(61:61))), "")</f>
        <v/>
      </c>
      <c r="B64" s="29" t="str">
        <f aca="false" t="array" ref="B64:B64">IFERROR(INDEX('Bank Schedule'!B:B, SMALL(IF('Bank Schedule'!$K$2:$K$825="Vacant", ROW('Bank Schedule'!$K$2:$K$825)), ROW(61:61))), "")</f>
        <v>CM</v>
      </c>
      <c r="C64" s="29" t="str">
        <f aca="false" t="array" ref="C64:C64">IFERROR(INDEX('Bank Schedule'!C:C, SMALL(IF('Bank Schedule'!$K$2:$K$825="Vacant", ROW('Bank Schedule'!$K$2:$K$825)), ROW(61:61))), "")</f>
        <v>MEL</v>
      </c>
      <c r="D64" s="29" t="n">
        <f aca="false" t="array" ref="D64:D64">IFERROR(INDEX('Bank Schedule'!D:D, SMALL(IF('Bank Schedule'!$K$2:$K$825="Vacant", ROW('Bank Schedule'!$K$2:$K$825)), ROW(61:61))), "")</f>
        <v>550610</v>
      </c>
      <c r="E64" s="29" t="str">
        <f aca="false" t="array" ref="E64:E64">IFERROR(INDEX('Bank Schedule'!E:E, SMALL(IF('Bank Schedule'!$K$2:$K$825="Vacant", ROW('Bank Schedule'!$K$2:$K$825)), ROW(61:61))), "")</f>
        <v>63-64 Margaret Street</v>
      </c>
      <c r="F64" s="29" t="str">
        <f aca="false" t="array" ref="F64:F64">IFERROR(INDEX('Bank Schedule'!F:F, SMALL(IF('Bank Schedule'!$K$2:$K$825="Vacant", ROW('Bank Schedule'!$K$2:$K$825)), ROW(61:61))), "")</f>
        <v>Second Floor (West)</v>
      </c>
      <c r="G64" s="29" t="str">
        <f aca="false" t="array" ref="G64:G64">IFERROR(INDEX('Bank Schedule'!G:G, SMALL(IF('Bank Schedule'!$K$2:$K$825="Vacant", ROW('Bank Schedule'!$K$2:$K$825)), ROW(61:61))), "")</f>
        <v>Office</v>
      </c>
      <c r="H64" s="305" t="n">
        <f aca="false" t="array" ref="H64:H64">IFERROR(INDEX('Bank Schedule'!H:H, SMALL(IF('Bank Schedule'!$K$2:$K$825="Vacant", ROW('Bank Schedule'!$K$2:$K$825)), ROW(61:61))), "")</f>
        <v>727</v>
      </c>
      <c r="I64" s="29" t="n">
        <f aca="false" t="array" ref="I64:I64">IFERROR(INDEX('Bank Schedule'!I:I, SMALL(IF('Bank Schedule'!$K$2:$K$825="Vacant", ROW('Bank Schedule'!$K$2:$K$825)), ROW(61:61))), "")</f>
        <v>727</v>
      </c>
      <c r="J64" s="305" t="n">
        <f aca="false" t="array" ref="J64:J64">IFERROR(INDEX('Bank Schedule'!J:J, SMALL(IF('Bank Schedule'!$K$2:$K$825="Vacant", ROW('Bank Schedule'!$K$2:$K$825)), ROW(61:61))), "")</f>
        <v>750</v>
      </c>
      <c r="K64" s="29" t="str">
        <f aca="false" t="array" ref="K64:K64">IFERROR(INDEX('Bank Schedule'!K:K, SMALL(IF('Bank Schedule'!$K$2:$K$825="Vacant", ROW('Bank Schedule'!$K$2:$K$825)), ROW(61:61))), "")</f>
        <v>Vacant</v>
      </c>
      <c r="L64" s="29" t="str">
        <f aca="false">IFERROR(INDEX('Bank Schedule'!L:L, SMALL(IF('Bank Schedule'!$K$2:$K$825="Vacant", ROW('Bank Schedule'!$K$2:$K$825)), ROW(61:61))), "")</f>
        <v/>
      </c>
      <c r="M64" s="29" t="str">
        <f aca="false">IFERROR(INDEX('Bank Schedule'!M:M, SMALL(IF('Bank Schedule'!$K$2:$K$825="Vacant", ROW('Bank Schedule'!$K$2:$K$825)), ROW(61:61))), "")</f>
        <v/>
      </c>
      <c r="N64" s="307" t="n">
        <f aca="false" t="array" ref="N64:N64">IFERROR(INDEX('Bank Schedule'!N:N, SMALL(IF('Bank Schedule'!$K$2:$K$825="Vacant", ROW('Bank Schedule'!$K$2:$K$825)), ROW(61:61))), "")</f>
        <v>43080</v>
      </c>
      <c r="O64" s="29" t="str">
        <f aca="false">IFERROR(INDEX('Bank Schedule'!O:O, SMALL(IF('Bank Schedule'!$K$2:$K$825="Vacant", ROW('Bank Schedule'!$K$2:$K$825)), ROW(61:61))), "")</f>
        <v/>
      </c>
      <c r="P64" s="29" t="str">
        <f aca="false">IFERROR(INDEX('Bank Schedule'!P:P, SMALL(IF('Bank Schedule'!$K$2:$K$825="Vacant", ROW('Bank Schedule'!$K$2:$K$825)), ROW(61:61))), "")</f>
        <v/>
      </c>
      <c r="Q64" s="29" t="n">
        <f aca="false" t="array" ref="Q64:Q64">IFERROR(INDEX('Bank Schedule'!Q:Q, SMALL(IF('Bank Schedule'!$K$2:$K$825="Vacant", ROW('Bank Schedule'!$K$2:$K$825)), ROW(61:61))), "")</f>
        <v>0</v>
      </c>
      <c r="R64" s="29" t="n">
        <f aca="false" t="array" ref="R64:R64">IFERROR(INDEX('Bank Schedule'!R:R, SMALL(IF('Bank Schedule'!$K$2:$K$825="Vacant", ROW('Bank Schedule'!$K$2:$K$825)), ROW(61:61))), "")</f>
        <v>0</v>
      </c>
      <c r="S64" s="29" t="str">
        <f aca="false">IFERROR(INDEX('Bank Schedule'!S:S, SMALL(IF('Bank Schedule'!$K$2:$K$825="Vacant", ROW('Bank Schedule'!$K$2:$K$825)), ROW(61:61))), "")</f>
        <v/>
      </c>
      <c r="T64" s="309" t="n">
        <f aca="false" t="array" ref="T64:T64">IFERROR(INDEX('Bank Schedule'!T:T, SMALL(IF('Bank Schedule'!$K$2:$K$825="Vacant", ROW('Bank Schedule'!$K$2:$K$825)), ROW(61:61))), "")</f>
        <v>35000</v>
      </c>
      <c r="U64" s="309" t="n">
        <f aca="false" t="array" ref="U64:U64">IFERROR(INDEX('Bank Schedule'!U:U, SMALL(IF('Bank Schedule'!$K$2:$K$825="Vacant", ROW('Bank Schedule'!$K$2:$K$825)), ROW(61:61))), "")</f>
        <v>35000</v>
      </c>
      <c r="V64" s="309" t="n">
        <f aca="false" t="array" ref="V64:V64">IFERROR(INDEX('Bank Schedule'!V:V, SMALL(IF('Bank Schedule'!$K$2:$K$825="Vacant", ROW('Bank Schedule'!$K$2:$K$825)), ROW(61:61))), "")</f>
        <v>41800</v>
      </c>
      <c r="W64" s="309" t="n">
        <f aca="false" t="array" ref="W64:W64">IFERROR(INDEX('Bank Schedule'!W:W, SMALL(IF('Bank Schedule'!$K$2:$K$825="Vacant", ROW('Bank Schedule'!$K$2:$K$825)), ROW(61:61))), "")</f>
        <v>41800</v>
      </c>
      <c r="X64" s="309" t="n">
        <f aca="false" t="array" ref="X64:X64">IFERROR(INDEX('Bank Schedule'!X:X, SMALL(IF('Bank Schedule'!$K$2:$K$825="Vacant", ROW('Bank Schedule'!$K$2:$K$825)), ROW(61:61))), "")</f>
        <v>57.4965612104539</v>
      </c>
      <c r="Y64" s="310" t="n">
        <f aca="false" t="array" ref="Y64:Y64">IFERROR(INDEX('Bank Schedule'!Y:Y, SMALL(IF('Bank Schedule'!$K$2:$K$825="Vacant", ROW('Bank Schedule'!$K$2:$K$825)), ROW(61:61))), "")</f>
        <v>0.194285714285714</v>
      </c>
      <c r="Z64" s="29" t="str">
        <f aca="false" t="array" ref="Z64:Z64">IFERROR(INDEX('Bank Schedule'!Z:Z, SMALL(IF('Bank Schedule'!$K$2:$K$825="Vacant", ROW('Bank Schedule'!$K$2:$K$825)), ROW(61:61))), "")</f>
        <v>D</v>
      </c>
      <c r="AA64" s="29" t="str">
        <f aca="false">IFERROR(INDEX('Bank Schedule'!AA:AA, SMALL(IF('Bank Schedule'!$K$2:$K$825="Vacant", ROW('Bank Schedule'!$K$2:$K$825)), ROW(61:61))), "")</f>
        <v/>
      </c>
      <c r="AB64" s="29" t="str">
        <f aca="false">IFERROR(INDEX('Bank Schedule'!AB:AB, SMALL(IF('Bank Schedule'!$K$2:$K$825="Vacant", ROW('Bank Schedule'!$K$2:$K$825)), ROW(61:61))), "")</f>
        <v/>
      </c>
      <c r="AC64" s="29" t="str">
        <f aca="false" t="array" ref="AC64:AC64">IFERROR(INDEX('Bank Schedule'!AC:AC, SMALL(IF('Bank Schedule'!$K$2:$K$825="Vacant", ROW('Bank Schedule'!$K$2:$K$825)), ROW(61:61))), "")</f>
        <v>No</v>
      </c>
      <c r="AD64" s="29" t="str">
        <f aca="false" t="array" ref="AD64:AD64">IFERROR(INDEX('Bank Schedule'!AD:AD, SMALL(IF('Bank Schedule'!$K$2:$K$825="Vacant", ROW('Bank Schedule'!$K$2:$K$825)), ROW(61:61))), "")</f>
        <v>To be refurbished.</v>
      </c>
      <c r="AE64" s="281" t="n">
        <f aca="false" t="array" ref="AE64:AE64">IFERROR(INDEX('Bank Schedule'!AE:AE, SMALL(IF('Bank Schedule'!$K$2:$K$825="Vacant", ROW('Bank Schedule'!$K$2:$K$825)), ROW(61:61))), "")</f>
        <v>62.5</v>
      </c>
      <c r="AF64" s="29" t="n">
        <f aca="false" t="array" ref="AF64:AF64">IFERROR(INDEX('Bank Schedule'!AF:AF, SMALL(IF('Bank Schedule'!$K$2:$K$825="Vacant", ROW('Bank Schedule'!$K$2:$K$825)), ROW(61:61))), "")</f>
        <v>1</v>
      </c>
      <c r="AG64" s="29" t="n">
        <f aca="false" t="array" ref="AG64:AG64">IFERROR(INDEX('Bank Schedule'!AG:AG, SMALL(IF('Bank Schedule'!$K$2:$K$825="Vacant", ROW('Bank Schedule'!$K$2:$K$825)), ROW(61:61))), "")</f>
        <v>1</v>
      </c>
      <c r="AH64" s="29" t="str">
        <f aca="false">IFERROR(INDEX('Bank Schedule'!AH:AH, SMALL(IF('Bank Schedule'!$K$2:$K$825="Vacant", ROW('Bank Schedule'!$K$2:$K$825)), ROW(61:61))), "")</f>
        <v/>
      </c>
      <c r="AI64" s="4"/>
    </row>
    <row r="65" customFormat="false" ht="28.5" hidden="false" customHeight="true" outlineLevel="0" collapsed="false">
      <c r="A65" s="29" t="str">
        <f aca="false">IFERROR(INDEX('Bank Schedule'!A:A, SMALL(IF('Bank Schedule'!$K$2:$K$825="Vacant", ROW('Bank Schedule'!$K$2:$K$825)), ROW(62:62))), "")</f>
        <v/>
      </c>
      <c r="B65" s="29" t="str">
        <f aca="false" t="array" ref="B65:B65">IFERROR(INDEX('Bank Schedule'!B:B, SMALL(IF('Bank Schedule'!$K$2:$K$825="Vacant", ROW('Bank Schedule'!$K$2:$K$825)), ROW(62:62))), "")</f>
        <v>CM</v>
      </c>
      <c r="C65" s="29" t="str">
        <f aca="false" t="array" ref="C65:C65">IFERROR(INDEX('Bank Schedule'!C:C, SMALL(IF('Bank Schedule'!$K$2:$K$825="Vacant", ROW('Bank Schedule'!$K$2:$K$825)), ROW(62:62))), "")</f>
        <v>MEL</v>
      </c>
      <c r="D65" s="29" t="n">
        <f aca="false" t="array" ref="D65:D65">IFERROR(INDEX('Bank Schedule'!D:D, SMALL(IF('Bank Schedule'!$K$2:$K$825="Vacant", ROW('Bank Schedule'!$K$2:$K$825)), ROW(62:62))), "")</f>
        <v>550610</v>
      </c>
      <c r="E65" s="29" t="str">
        <f aca="false" t="array" ref="E65:E65">IFERROR(INDEX('Bank Schedule'!E:E, SMALL(IF('Bank Schedule'!$K$2:$K$825="Vacant", ROW('Bank Schedule'!$K$2:$K$825)), ROW(62:62))), "")</f>
        <v>63-64 Margaret Street</v>
      </c>
      <c r="F65" s="29" t="str">
        <f aca="false" t="array" ref="F65:F65">IFERROR(INDEX('Bank Schedule'!F:F, SMALL(IF('Bank Schedule'!$K$2:$K$825="Vacant", ROW('Bank Schedule'!$K$2:$K$825)), ROW(62:62))), "")</f>
        <v>Third Floor (East)</v>
      </c>
      <c r="G65" s="29" t="str">
        <f aca="false" t="array" ref="G65:G65">IFERROR(INDEX('Bank Schedule'!G:G, SMALL(IF('Bank Schedule'!$K$2:$K$825="Vacant", ROW('Bank Schedule'!$K$2:$K$825)), ROW(62:62))), "")</f>
        <v>Office</v>
      </c>
      <c r="H65" s="305" t="n">
        <f aca="false" t="array" ref="H65:H65">IFERROR(INDEX('Bank Schedule'!H:H, SMALL(IF('Bank Schedule'!$K$2:$K$825="Vacant", ROW('Bank Schedule'!$K$2:$K$825)), ROW(62:62))), "")</f>
        <v>760</v>
      </c>
      <c r="I65" s="29" t="n">
        <f aca="false" t="array" ref="I65:I65">IFERROR(INDEX('Bank Schedule'!I:I, SMALL(IF('Bank Schedule'!$K$2:$K$825="Vacant", ROW('Bank Schedule'!$K$2:$K$825)), ROW(62:62))), "")</f>
        <v>760</v>
      </c>
      <c r="J65" s="305" t="n">
        <f aca="false" t="array" ref="J65:J65">IFERROR(INDEX('Bank Schedule'!J:J, SMALL(IF('Bank Schedule'!$K$2:$K$825="Vacant", ROW('Bank Schedule'!$K$2:$K$825)), ROW(62:62))), "")</f>
        <v>750</v>
      </c>
      <c r="K65" s="29" t="str">
        <f aca="false" t="array" ref="K65:K65">IFERROR(INDEX('Bank Schedule'!K:K, SMALL(IF('Bank Schedule'!$K$2:$K$825="Vacant", ROW('Bank Schedule'!$K$2:$K$825)), ROW(62:62))), "")</f>
        <v>Vacant</v>
      </c>
      <c r="L65" s="29" t="str">
        <f aca="false">IFERROR(INDEX('Bank Schedule'!L:L, SMALL(IF('Bank Schedule'!$K$2:$K$825="Vacant", ROW('Bank Schedule'!$K$2:$K$825)), ROW(62:62))), "")</f>
        <v/>
      </c>
      <c r="M65" s="29" t="str">
        <f aca="false">IFERROR(INDEX('Bank Schedule'!M:M, SMALL(IF('Bank Schedule'!$K$2:$K$825="Vacant", ROW('Bank Schedule'!$K$2:$K$825)), ROW(62:62))), "")</f>
        <v/>
      </c>
      <c r="N65" s="307" t="n">
        <f aca="false" t="array" ref="N65:N65">IFERROR(INDEX('Bank Schedule'!N:N, SMALL(IF('Bank Schedule'!$K$2:$K$825="Vacant", ROW('Bank Schedule'!$K$2:$K$825)), ROW(62:62))), "")</f>
        <v>43593</v>
      </c>
      <c r="O65" s="29" t="str">
        <f aca="false">IFERROR(INDEX('Bank Schedule'!O:O, SMALL(IF('Bank Schedule'!$K$2:$K$825="Vacant", ROW('Bank Schedule'!$K$2:$K$825)), ROW(62:62))), "")</f>
        <v/>
      </c>
      <c r="P65" s="29" t="str">
        <f aca="false">IFERROR(INDEX('Bank Schedule'!P:P, SMALL(IF('Bank Schedule'!$K$2:$K$825="Vacant", ROW('Bank Schedule'!$K$2:$K$825)), ROW(62:62))), "")</f>
        <v/>
      </c>
      <c r="Q65" s="29" t="n">
        <f aca="false" t="array" ref="Q65:Q65">IFERROR(INDEX('Bank Schedule'!Q:Q, SMALL(IF('Bank Schedule'!$K$2:$K$825="Vacant", ROW('Bank Schedule'!$K$2:$K$825)), ROW(62:62))), "")</f>
        <v>0</v>
      </c>
      <c r="R65" s="29" t="n">
        <f aca="false" t="array" ref="R65:R65">IFERROR(INDEX('Bank Schedule'!R:R, SMALL(IF('Bank Schedule'!$K$2:$K$825="Vacant", ROW('Bank Schedule'!$K$2:$K$825)), ROW(62:62))), "")</f>
        <v>0</v>
      </c>
      <c r="S65" s="29" t="str">
        <f aca="false">IFERROR(INDEX('Bank Schedule'!S:S, SMALL(IF('Bank Schedule'!$K$2:$K$825="Vacant", ROW('Bank Schedule'!$K$2:$K$825)), ROW(62:62))), "")</f>
        <v/>
      </c>
      <c r="T65" s="309" t="n">
        <f aca="false" t="array" ref="T65:T65">IFERROR(INDEX('Bank Schedule'!T:T, SMALL(IF('Bank Schedule'!$K$2:$K$825="Vacant", ROW('Bank Schedule'!$K$2:$K$825)), ROW(62:62))), "")</f>
        <v>40000</v>
      </c>
      <c r="U65" s="309" t="n">
        <f aca="false" t="array" ref="U65:U65">IFERROR(INDEX('Bank Schedule'!U:U, SMALL(IF('Bank Schedule'!$K$2:$K$825="Vacant", ROW('Bank Schedule'!$K$2:$K$825)), ROW(62:62))), "")</f>
        <v>40000</v>
      </c>
      <c r="V65" s="309" t="n">
        <f aca="false" t="array" ref="V65:V65">IFERROR(INDEX('Bank Schedule'!V:V, SMALL(IF('Bank Schedule'!$K$2:$K$825="Vacant", ROW('Bank Schedule'!$K$2:$K$825)), ROW(62:62))), "")</f>
        <v>43700</v>
      </c>
      <c r="W65" s="309" t="n">
        <f aca="false" t="array" ref="W65:W65">IFERROR(INDEX('Bank Schedule'!W:W, SMALL(IF('Bank Schedule'!$K$2:$K$825="Vacant", ROW('Bank Schedule'!$K$2:$K$825)), ROW(62:62))), "")</f>
        <v>43700</v>
      </c>
      <c r="X65" s="309" t="n">
        <f aca="false" t="array" ref="X65:X65">IFERROR(INDEX('Bank Schedule'!X:X, SMALL(IF('Bank Schedule'!$K$2:$K$825="Vacant", ROW('Bank Schedule'!$K$2:$K$825)), ROW(62:62))), "")</f>
        <v>57.5</v>
      </c>
      <c r="Y65" s="310" t="n">
        <f aca="false" t="array" ref="Y65:Y65">IFERROR(INDEX('Bank Schedule'!Y:Y, SMALL(IF('Bank Schedule'!$K$2:$K$825="Vacant", ROW('Bank Schedule'!$K$2:$K$825)), ROW(62:62))), "")</f>
        <v>0.0925</v>
      </c>
      <c r="Z65" s="29" t="str">
        <f aca="false" t="array" ref="Z65:Z65">IFERROR(INDEX('Bank Schedule'!Z:Z, SMALL(IF('Bank Schedule'!$K$2:$K$825="Vacant", ROW('Bank Schedule'!$K$2:$K$825)), ROW(62:62))), "")</f>
        <v>D</v>
      </c>
      <c r="AA65" s="29" t="str">
        <f aca="false">IFERROR(INDEX('Bank Schedule'!AA:AA, SMALL(IF('Bank Schedule'!$K$2:$K$825="Vacant", ROW('Bank Schedule'!$K$2:$K$825)), ROW(62:62))), "")</f>
        <v/>
      </c>
      <c r="AB65" s="29" t="str">
        <f aca="false">IFERROR(INDEX('Bank Schedule'!AB:AB, SMALL(IF('Bank Schedule'!$K$2:$K$825="Vacant", ROW('Bank Schedule'!$K$2:$K$825)), ROW(62:62))), "")</f>
        <v/>
      </c>
      <c r="AC65" s="29" t="str">
        <f aca="false" t="array" ref="AC65:AC65">IFERROR(INDEX('Bank Schedule'!AC:AC, SMALL(IF('Bank Schedule'!$K$2:$K$825="Vacant", ROW('Bank Schedule'!$K$2:$K$825)), ROW(62:62))), "")</f>
        <v>No</v>
      </c>
      <c r="AD65" s="29" t="str">
        <f aca="false" t="array" ref="AD65:AD65">IFERROR(INDEX('Bank Schedule'!AD:AD, SMALL(IF('Bank Schedule'!$K$2:$K$825="Vacant", ROW('Bank Schedule'!$K$2:$K$825)), ROW(62:62))), "")</f>
        <v>To be refurbished.</v>
      </c>
      <c r="AE65" s="281" t="n">
        <f aca="false" t="array" ref="AE65:AE65">IFERROR(INDEX('Bank Schedule'!AE:AE, SMALL(IF('Bank Schedule'!$K$2:$K$825="Vacant", ROW('Bank Schedule'!$K$2:$K$825)), ROW(62:62))), "")</f>
        <v>62.5</v>
      </c>
      <c r="AF65" s="29" t="n">
        <f aca="false" t="array" ref="AF65:AF65">IFERROR(INDEX('Bank Schedule'!AF:AF, SMALL(IF('Bank Schedule'!$K$2:$K$825="Vacant", ROW('Bank Schedule'!$K$2:$K$825)), ROW(62:62))), "")</f>
        <v>4</v>
      </c>
      <c r="AG65" s="29" t="n">
        <f aca="false" t="array" ref="AG65:AG65">IFERROR(INDEX('Bank Schedule'!AG:AG, SMALL(IF('Bank Schedule'!$K$2:$K$825="Vacant", ROW('Bank Schedule'!$K$2:$K$825)), ROW(62:62))), "")</f>
        <v>5</v>
      </c>
      <c r="AH65" s="29" t="str">
        <f aca="false" t="array" ref="AH65:AH65">IFERROR(INDEX('Bank Schedule'!AH:AH, SMALL(IF('Bank Schedule'!$K$2:$K$825="Vacant", ROW('Bank Schedule'!$K$2:$K$825)), ROW(62:62))), "")</f>
        <v>LEM</v>
      </c>
      <c r="AI65" s="4"/>
    </row>
    <row r="66" customFormat="false" ht="28.5" hidden="false" customHeight="true" outlineLevel="0" collapsed="false">
      <c r="A66" s="29" t="str">
        <f aca="false">IFERROR(INDEX('Bank Schedule'!A:A, SMALL(IF('Bank Schedule'!$K$2:$K$825="Vacant", ROW('Bank Schedule'!$K$2:$K$825)), ROW(63:63))), "")</f>
        <v/>
      </c>
      <c r="B66" s="29" t="str">
        <f aca="false" t="array" ref="B66:B66">IFERROR(INDEX('Bank Schedule'!B:B, SMALL(IF('Bank Schedule'!$K$2:$K$825="Vacant", ROW('Bank Schedule'!$K$2:$K$825)), ROW(63:63))), "")</f>
        <v>CM</v>
      </c>
      <c r="C66" s="29" t="str">
        <f aca="false" t="array" ref="C66:C66">IFERROR(INDEX('Bank Schedule'!C:C, SMALL(IF('Bank Schedule'!$K$2:$K$825="Vacant", ROW('Bank Schedule'!$K$2:$K$825)), ROW(63:63))), "")</f>
        <v>MEL</v>
      </c>
      <c r="D66" s="29" t="n">
        <f aca="false" t="array" ref="D66:D66">IFERROR(INDEX('Bank Schedule'!D:D, SMALL(IF('Bank Schedule'!$K$2:$K$825="Vacant", ROW('Bank Schedule'!$K$2:$K$825)), ROW(63:63))), "")</f>
        <v>550610</v>
      </c>
      <c r="E66" s="29" t="str">
        <f aca="false" t="array" ref="E66:E66">IFERROR(INDEX('Bank Schedule'!E:E, SMALL(IF('Bank Schedule'!$K$2:$K$825="Vacant", ROW('Bank Schedule'!$K$2:$K$825)), ROW(63:63))), "")</f>
        <v>63-64 Margaret Street</v>
      </c>
      <c r="F66" s="29" t="str">
        <f aca="false" t="array" ref="F66:F66">IFERROR(INDEX('Bank Schedule'!F:F, SMALL(IF('Bank Schedule'!$K$2:$K$825="Vacant", ROW('Bank Schedule'!$K$2:$K$825)), ROW(63:63))), "")</f>
        <v>Third Floor (West)</v>
      </c>
      <c r="G66" s="29" t="str">
        <f aca="false" t="array" ref="G66:G66">IFERROR(INDEX('Bank Schedule'!G:G, SMALL(IF('Bank Schedule'!$K$2:$K$825="Vacant", ROW('Bank Schedule'!$K$2:$K$825)), ROW(63:63))), "")</f>
        <v>Office</v>
      </c>
      <c r="H66" s="305" t="n">
        <f aca="false" t="array" ref="H66:H66">IFERROR(INDEX('Bank Schedule'!H:H, SMALL(IF('Bank Schedule'!$K$2:$K$825="Vacant", ROW('Bank Schedule'!$K$2:$K$825)), ROW(63:63))), "")</f>
        <v>666</v>
      </c>
      <c r="I66" s="29" t="n">
        <f aca="false" t="array" ref="I66:I66">IFERROR(INDEX('Bank Schedule'!I:I, SMALL(IF('Bank Schedule'!$K$2:$K$825="Vacant", ROW('Bank Schedule'!$K$2:$K$825)), ROW(63:63))), "")</f>
        <v>666</v>
      </c>
      <c r="J66" s="305" t="n">
        <f aca="false" t="array" ref="J66:J66">IFERROR(INDEX('Bank Schedule'!J:J, SMALL(IF('Bank Schedule'!$K$2:$K$825="Vacant", ROW('Bank Schedule'!$K$2:$K$825)), ROW(63:63))), "")</f>
        <v>750</v>
      </c>
      <c r="K66" s="29" t="str">
        <f aca="false" t="array" ref="K66:K66">IFERROR(INDEX('Bank Schedule'!K:K, SMALL(IF('Bank Schedule'!$K$2:$K$825="Vacant", ROW('Bank Schedule'!$K$2:$K$825)), ROW(63:63))), "")</f>
        <v>Vacant</v>
      </c>
      <c r="L66" s="29" t="str">
        <f aca="false">IFERROR(INDEX('Bank Schedule'!L:L, SMALL(IF('Bank Schedule'!$K$2:$K$825="Vacant", ROW('Bank Schedule'!$K$2:$K$825)), ROW(63:63))), "")</f>
        <v/>
      </c>
      <c r="M66" s="29" t="str">
        <f aca="false">IFERROR(INDEX('Bank Schedule'!M:M, SMALL(IF('Bank Schedule'!$K$2:$K$825="Vacant", ROW('Bank Schedule'!$K$2:$K$825)), ROW(63:63))), "")</f>
        <v/>
      </c>
      <c r="N66" s="307" t="n">
        <f aca="false" t="array" ref="N66:N66">IFERROR(INDEX('Bank Schedule'!N:N, SMALL(IF('Bank Schedule'!$K$2:$K$825="Vacant", ROW('Bank Schedule'!$K$2:$K$825)), ROW(63:63))), "")</f>
        <v>42905</v>
      </c>
      <c r="O66" s="29" t="str">
        <f aca="false">IFERROR(INDEX('Bank Schedule'!O:O, SMALL(IF('Bank Schedule'!$K$2:$K$825="Vacant", ROW('Bank Schedule'!$K$2:$K$825)), ROW(63:63))), "")</f>
        <v/>
      </c>
      <c r="P66" s="29" t="str">
        <f aca="false">IFERROR(INDEX('Bank Schedule'!P:P, SMALL(IF('Bank Schedule'!$K$2:$K$825="Vacant", ROW('Bank Schedule'!$K$2:$K$825)), ROW(63:63))), "")</f>
        <v/>
      </c>
      <c r="Q66" s="29" t="n">
        <f aca="false" t="array" ref="Q66:Q66">IFERROR(INDEX('Bank Schedule'!Q:Q, SMALL(IF('Bank Schedule'!$K$2:$K$825="Vacant", ROW('Bank Schedule'!$K$2:$K$825)), ROW(63:63))), "")</f>
        <v>0</v>
      </c>
      <c r="R66" s="29" t="n">
        <f aca="false" t="array" ref="R66:R66">IFERROR(INDEX('Bank Schedule'!R:R, SMALL(IF('Bank Schedule'!$K$2:$K$825="Vacant", ROW('Bank Schedule'!$K$2:$K$825)), ROW(63:63))), "")</f>
        <v>0</v>
      </c>
      <c r="S66" s="29" t="str">
        <f aca="false">IFERROR(INDEX('Bank Schedule'!S:S, SMALL(IF('Bank Schedule'!$K$2:$K$825="Vacant", ROW('Bank Schedule'!$K$2:$K$825)), ROW(63:63))), "")</f>
        <v/>
      </c>
      <c r="T66" s="309" t="n">
        <f aca="false" t="array" ref="T66:T66">IFERROR(INDEX('Bank Schedule'!T:T, SMALL(IF('Bank Schedule'!$K$2:$K$825="Vacant", ROW('Bank Schedule'!$K$2:$K$825)), ROW(63:63))), "")</f>
        <v>35000</v>
      </c>
      <c r="U66" s="309" t="n">
        <f aca="false" t="array" ref="U66:U66">IFERROR(INDEX('Bank Schedule'!U:U, SMALL(IF('Bank Schedule'!$K$2:$K$825="Vacant", ROW('Bank Schedule'!$K$2:$K$825)), ROW(63:63))), "")</f>
        <v>35000</v>
      </c>
      <c r="V66" s="309" t="n">
        <f aca="false" t="array" ref="V66:V66">IFERROR(INDEX('Bank Schedule'!V:V, SMALL(IF('Bank Schedule'!$K$2:$K$825="Vacant", ROW('Bank Schedule'!$K$2:$K$825)), ROW(63:63))), "")</f>
        <v>38300</v>
      </c>
      <c r="W66" s="309" t="n">
        <f aca="false" t="array" ref="W66:W66">IFERROR(INDEX('Bank Schedule'!W:W, SMALL(IF('Bank Schedule'!$K$2:$K$825="Vacant", ROW('Bank Schedule'!$K$2:$K$825)), ROW(63:63))), "")</f>
        <v>38300</v>
      </c>
      <c r="X66" s="309" t="n">
        <f aca="false" t="array" ref="X66:X66">IFERROR(INDEX('Bank Schedule'!X:X, SMALL(IF('Bank Schedule'!$K$2:$K$825="Vacant", ROW('Bank Schedule'!$K$2:$K$825)), ROW(63:63))), "")</f>
        <v>57.5075075075075</v>
      </c>
      <c r="Y66" s="310" t="n">
        <f aca="false" t="array" ref="Y66:Y66">IFERROR(INDEX('Bank Schedule'!Y:Y, SMALL(IF('Bank Schedule'!$K$2:$K$825="Vacant", ROW('Bank Schedule'!$K$2:$K$825)), ROW(63:63))), "")</f>
        <v>0.0942857142857143</v>
      </c>
      <c r="Z66" s="29" t="str">
        <f aca="false" t="array" ref="Z66:Z66">IFERROR(INDEX('Bank Schedule'!Z:Z, SMALL(IF('Bank Schedule'!$K$2:$K$825="Vacant", ROW('Bank Schedule'!$K$2:$K$825)), ROW(63:63))), "")</f>
        <v>D</v>
      </c>
      <c r="AA66" s="29" t="str">
        <f aca="false">IFERROR(INDEX('Bank Schedule'!AA:AA, SMALL(IF('Bank Schedule'!$K$2:$K$825="Vacant", ROW('Bank Schedule'!$K$2:$K$825)), ROW(63:63))), "")</f>
        <v/>
      </c>
      <c r="AB66" s="29" t="str">
        <f aca="false">IFERROR(INDEX('Bank Schedule'!AB:AB, SMALL(IF('Bank Schedule'!$K$2:$K$825="Vacant", ROW('Bank Schedule'!$K$2:$K$825)), ROW(63:63))), "")</f>
        <v/>
      </c>
      <c r="AC66" s="29" t="str">
        <f aca="false" t="array" ref="AC66:AC66">IFERROR(INDEX('Bank Schedule'!AC:AC, SMALL(IF('Bank Schedule'!$K$2:$K$825="Vacant", ROW('Bank Schedule'!$K$2:$K$825)), ROW(63:63))), "")</f>
        <v>No</v>
      </c>
      <c r="AD66" s="29" t="str">
        <f aca="false" t="array" ref="AD66:AD66">IFERROR(INDEX('Bank Schedule'!AD:AD, SMALL(IF('Bank Schedule'!$K$2:$K$825="Vacant", ROW('Bank Schedule'!$K$2:$K$825)), ROW(63:63))), "")</f>
        <v>To be refurbished.</v>
      </c>
      <c r="AE66" s="281" t="n">
        <f aca="false" t="array" ref="AE66:AE66">IFERROR(INDEX('Bank Schedule'!AE:AE, SMALL(IF('Bank Schedule'!$K$2:$K$825="Vacant", ROW('Bank Schedule'!$K$2:$K$825)), ROW(63:63))), "")</f>
        <v>62.5</v>
      </c>
      <c r="AF66" s="29" t="n">
        <f aca="false" t="array" ref="AF66:AF66">IFERROR(INDEX('Bank Schedule'!AF:AF, SMALL(IF('Bank Schedule'!$K$2:$K$825="Vacant", ROW('Bank Schedule'!$K$2:$K$825)), ROW(63:63))), "")</f>
        <v>0</v>
      </c>
      <c r="AG66" s="29" t="n">
        <f aca="false" t="array" ref="AG66:AG66">IFERROR(INDEX('Bank Schedule'!AG:AG, SMALL(IF('Bank Schedule'!$K$2:$K$825="Vacant", ROW('Bank Schedule'!$K$2:$K$825)), ROW(63:63))), "")</f>
        <v>1</v>
      </c>
      <c r="AH66" s="29" t="str">
        <f aca="false" t="array" ref="AH66:AH66">IFERROR(INDEX('Bank Schedule'!AH:AH, SMALL(IF('Bank Schedule'!$K$2:$K$825="Vacant", ROW('Bank Schedule'!$K$2:$K$825)), ROW(63:63))), "")</f>
        <v>LEM</v>
      </c>
      <c r="AI66" s="4"/>
    </row>
    <row r="67" customFormat="false" ht="28.5" hidden="false" customHeight="true" outlineLevel="0" collapsed="false">
      <c r="A67" s="29" t="str">
        <f aca="false">IFERROR(INDEX('Bank Schedule'!A:A, SMALL(IF('Bank Schedule'!$K$2:$K$825="Vacant", ROW('Bank Schedule'!$K$2:$K$825)), ROW(64:64))), "")</f>
        <v/>
      </c>
      <c r="B67" s="29" t="str">
        <f aca="false" t="array" ref="B67:B67">IFERROR(INDEX('Bank Schedule'!B:B, SMALL(IF('Bank Schedule'!$K$2:$K$825="Vacant", ROW('Bank Schedule'!$K$2:$K$825)), ROW(64:64))), "")</f>
        <v>CM</v>
      </c>
      <c r="C67" s="29" t="str">
        <f aca="false" t="array" ref="C67:C67">IFERROR(INDEX('Bank Schedule'!C:C, SMALL(IF('Bank Schedule'!$K$2:$K$825="Vacant", ROW('Bank Schedule'!$K$2:$K$825)), ROW(64:64))), "")</f>
        <v>MEL</v>
      </c>
      <c r="D67" s="29" t="n">
        <f aca="false" t="array" ref="D67:D67">IFERROR(INDEX('Bank Schedule'!D:D, SMALL(IF('Bank Schedule'!$K$2:$K$825="Vacant", ROW('Bank Schedule'!$K$2:$K$825)), ROW(64:64))), "")</f>
        <v>550610</v>
      </c>
      <c r="E67" s="29" t="str">
        <f aca="false" t="array" ref="E67:E67">IFERROR(INDEX('Bank Schedule'!E:E, SMALL(IF('Bank Schedule'!$K$2:$K$825="Vacant", ROW('Bank Schedule'!$K$2:$K$825)), ROW(64:64))), "")</f>
        <v>63-64 Margaret Street</v>
      </c>
      <c r="F67" s="29" t="str">
        <f aca="false" t="array" ref="F67:F67">IFERROR(INDEX('Bank Schedule'!F:F, SMALL(IF('Bank Schedule'!$K$2:$K$825="Vacant", ROW('Bank Schedule'!$K$2:$K$825)), ROW(64:64))), "")</f>
        <v>Fourth Floor (East)</v>
      </c>
      <c r="G67" s="29" t="str">
        <f aca="false" t="array" ref="G67:G67">IFERROR(INDEX('Bank Schedule'!G:G, SMALL(IF('Bank Schedule'!$K$2:$K$825="Vacant", ROW('Bank Schedule'!$K$2:$K$825)), ROW(64:64))), "")</f>
        <v>Office</v>
      </c>
      <c r="H67" s="305" t="n">
        <f aca="false" t="array" ref="H67:H67">IFERROR(INDEX('Bank Schedule'!H:H, SMALL(IF('Bank Schedule'!$K$2:$K$825="Vacant", ROW('Bank Schedule'!$K$2:$K$825)), ROW(64:64))), "")</f>
        <v>767</v>
      </c>
      <c r="I67" s="29" t="n">
        <f aca="false" t="array" ref="I67:I67">IFERROR(INDEX('Bank Schedule'!I:I, SMALL(IF('Bank Schedule'!$K$2:$K$825="Vacant", ROW('Bank Schedule'!$K$2:$K$825)), ROW(64:64))), "")</f>
        <v>767</v>
      </c>
      <c r="J67" s="305" t="n">
        <f aca="false" t="array" ref="J67:J67">IFERROR(INDEX('Bank Schedule'!J:J, SMALL(IF('Bank Schedule'!$K$2:$K$825="Vacant", ROW('Bank Schedule'!$K$2:$K$825)), ROW(64:64))), "")</f>
        <v>750</v>
      </c>
      <c r="K67" s="29" t="str">
        <f aca="false" t="array" ref="K67:K67">IFERROR(INDEX('Bank Schedule'!K:K, SMALL(IF('Bank Schedule'!$K$2:$K$825="Vacant", ROW('Bank Schedule'!$K$2:$K$825)), ROW(64:64))), "")</f>
        <v>Vacant</v>
      </c>
      <c r="L67" s="29" t="str">
        <f aca="false">IFERROR(INDEX('Bank Schedule'!L:L, SMALL(IF('Bank Schedule'!$K$2:$K$825="Vacant", ROW('Bank Schedule'!$K$2:$K$825)), ROW(64:64))), "")</f>
        <v/>
      </c>
      <c r="M67" s="29" t="str">
        <f aca="false">IFERROR(INDEX('Bank Schedule'!M:M, SMALL(IF('Bank Schedule'!$K$2:$K$825="Vacant", ROW('Bank Schedule'!$K$2:$K$825)), ROW(64:64))), "")</f>
        <v/>
      </c>
      <c r="N67" s="307" t="n">
        <f aca="false" t="array" ref="N67:N67">IFERROR(INDEX('Bank Schedule'!N:N, SMALL(IF('Bank Schedule'!$K$2:$K$825="Vacant", ROW('Bank Schedule'!$K$2:$K$825)), ROW(64:64))), "")</f>
        <v>45719</v>
      </c>
      <c r="O67" s="29" t="str">
        <f aca="false">IFERROR(INDEX('Bank Schedule'!O:O, SMALL(IF('Bank Schedule'!$K$2:$K$825="Vacant", ROW('Bank Schedule'!$K$2:$K$825)), ROW(64:64))), "")</f>
        <v/>
      </c>
      <c r="P67" s="29" t="str">
        <f aca="false">IFERROR(INDEX('Bank Schedule'!P:P, SMALL(IF('Bank Schedule'!$K$2:$K$825="Vacant", ROW('Bank Schedule'!$K$2:$K$825)), ROW(64:64))), "")</f>
        <v/>
      </c>
      <c r="Q67" s="29" t="n">
        <f aca="false" t="array" ref="Q67:Q67">IFERROR(INDEX('Bank Schedule'!Q:Q, SMALL(IF('Bank Schedule'!$K$2:$K$825="Vacant", ROW('Bank Schedule'!$K$2:$K$825)), ROW(64:64))), "")</f>
        <v>0</v>
      </c>
      <c r="R67" s="29" t="n">
        <f aca="false" t="array" ref="R67:R67">IFERROR(INDEX('Bank Schedule'!R:R, SMALL(IF('Bank Schedule'!$K$2:$K$825="Vacant", ROW('Bank Schedule'!$K$2:$K$825)), ROW(64:64))), "")</f>
        <v>0</v>
      </c>
      <c r="S67" s="29" t="str">
        <f aca="false">IFERROR(INDEX('Bank Schedule'!S:S, SMALL(IF('Bank Schedule'!$K$2:$K$825="Vacant", ROW('Bank Schedule'!$K$2:$K$825)), ROW(64:64))), "")</f>
        <v/>
      </c>
      <c r="T67" s="309" t="n">
        <f aca="false" t="array" ref="T67:T67">IFERROR(INDEX('Bank Schedule'!T:T, SMALL(IF('Bank Schedule'!$K$2:$K$825="Vacant", ROW('Bank Schedule'!$K$2:$K$825)), ROW(64:64))), "")</f>
        <v>40000</v>
      </c>
      <c r="U67" s="309" t="n">
        <f aca="false" t="array" ref="U67:U67">IFERROR(INDEX('Bank Schedule'!U:U, SMALL(IF('Bank Schedule'!$K$2:$K$825="Vacant", ROW('Bank Schedule'!$K$2:$K$825)), ROW(64:64))), "")</f>
        <v>40000</v>
      </c>
      <c r="V67" s="309" t="n">
        <f aca="false" t="array" ref="V67:V67">IFERROR(INDEX('Bank Schedule'!V:V, SMALL(IF('Bank Schedule'!$K$2:$K$825="Vacant", ROW('Bank Schedule'!$K$2:$K$825)), ROW(64:64))), "")</f>
        <v>44100</v>
      </c>
      <c r="W67" s="309" t="n">
        <f aca="false" t="array" ref="W67:W67">IFERROR(INDEX('Bank Schedule'!W:W, SMALL(IF('Bank Schedule'!$K$2:$K$825="Vacant", ROW('Bank Schedule'!$K$2:$K$825)), ROW(64:64))), "")</f>
        <v>44100</v>
      </c>
      <c r="X67" s="309" t="n">
        <f aca="false" t="array" ref="X67:X67">IFERROR(INDEX('Bank Schedule'!X:X, SMALL(IF('Bank Schedule'!$K$2:$K$825="Vacant", ROW('Bank Schedule'!$K$2:$K$825)), ROW(64:64))), "")</f>
        <v>57.496740547588</v>
      </c>
      <c r="Y67" s="310" t="n">
        <f aca="false" t="array" ref="Y67:Y67">IFERROR(INDEX('Bank Schedule'!Y:Y, SMALL(IF('Bank Schedule'!$K$2:$K$825="Vacant", ROW('Bank Schedule'!$K$2:$K$825)), ROW(64:64))), "")</f>
        <v>0.1025</v>
      </c>
      <c r="Z67" s="29" t="str">
        <f aca="false" t="array" ref="Z67:Z67">IFERROR(INDEX('Bank Schedule'!Z:Z, SMALL(IF('Bank Schedule'!$K$2:$K$825="Vacant", ROW('Bank Schedule'!$K$2:$K$825)), ROW(64:64))), "")</f>
        <v>D</v>
      </c>
      <c r="AA67" s="29" t="str">
        <f aca="false">IFERROR(INDEX('Bank Schedule'!AA:AA, SMALL(IF('Bank Schedule'!$K$2:$K$825="Vacant", ROW('Bank Schedule'!$K$2:$K$825)), ROW(64:64))), "")</f>
        <v/>
      </c>
      <c r="AB67" s="29" t="str">
        <f aca="false">IFERROR(INDEX('Bank Schedule'!AB:AB, SMALL(IF('Bank Schedule'!$K$2:$K$825="Vacant", ROW('Bank Schedule'!$K$2:$K$825)), ROW(64:64))), "")</f>
        <v/>
      </c>
      <c r="AC67" s="29" t="str">
        <f aca="false" t="array" ref="AC67:AC67">IFERROR(INDEX('Bank Schedule'!AC:AC, SMALL(IF('Bank Schedule'!$K$2:$K$825="Vacant", ROW('Bank Schedule'!$K$2:$K$825)), ROW(64:64))), "")</f>
        <v>No</v>
      </c>
      <c r="AD67" s="29" t="str">
        <f aca="false" t="array" ref="AD67:AD67">IFERROR(INDEX('Bank Schedule'!AD:AD, SMALL(IF('Bank Schedule'!$K$2:$K$825="Vacant", ROW('Bank Schedule'!$K$2:$K$825)), ROW(64:64))), "")</f>
        <v>To be refurbished.</v>
      </c>
      <c r="AE67" s="281" t="str">
        <f aca="false">IFERROR(INDEX('Bank Schedule'!AE:AE, SMALL(IF('Bank Schedule'!$K$2:$K$825="Vacant", ROW('Bank Schedule'!$K$2:$K$825)), ROW(64:64))), "")</f>
        <v/>
      </c>
      <c r="AF67" s="29" t="str">
        <f aca="false">IFERROR(INDEX('Bank Schedule'!AF:AF, SMALL(IF('Bank Schedule'!$K$2:$K$825="Vacant", ROW('Bank Schedule'!$K$2:$K$825)), ROW(64:64))), "")</f>
        <v/>
      </c>
      <c r="AG67" s="29" t="n">
        <f aca="false" t="array" ref="AG67:AG67">IFERROR(INDEX('Bank Schedule'!AG:AG, SMALL(IF('Bank Schedule'!$K$2:$K$825="Vacant", ROW('Bank Schedule'!$K$2:$K$825)), ROW(64:64))), "")</f>
        <v>1</v>
      </c>
      <c r="AH67" s="29" t="str">
        <f aca="false">IFERROR(INDEX('Bank Schedule'!AH:AH, SMALL(IF('Bank Schedule'!$K$2:$K$825="Vacant", ROW('Bank Schedule'!$K$2:$K$825)), ROW(64:64))), "")</f>
        <v/>
      </c>
      <c r="AI67" s="4"/>
    </row>
    <row r="68" customFormat="false" ht="28.5" hidden="false" customHeight="true" outlineLevel="0" collapsed="false">
      <c r="A68" s="29" t="n">
        <f aca="false">IFERROR(INDEX('Bank Schedule'!A:A, SMALL(IF('Bank Schedule'!$K$2:$K$825="Vacant", ROW('Bank Schedule'!$K$2:$K$825)), ROW(65:65))), "")</f>
        <v>0</v>
      </c>
      <c r="B68" s="29" t="str">
        <f aca="false" t="array" ref="B68:B68">IFERROR(INDEX('Bank Schedule'!B:B, SMALL(IF('Bank Schedule'!$K$2:$K$825="Vacant", ROW('Bank Schedule'!$K$2:$K$825)), ROW(65:65))), "")</f>
        <v>CM</v>
      </c>
      <c r="C68" s="29" t="str">
        <f aca="false" t="array" ref="C68:C68">IFERROR(INDEX('Bank Schedule'!C:C, SMALL(IF('Bank Schedule'!$K$2:$K$825="Vacant", ROW('Bank Schedule'!$K$2:$K$825)), ROW(65:65))), "")</f>
        <v>MEL</v>
      </c>
      <c r="D68" s="29" t="n">
        <f aca="false" t="array" ref="D68:D68">IFERROR(INDEX('Bank Schedule'!D:D, SMALL(IF('Bank Schedule'!$K$2:$K$825="Vacant", ROW('Bank Schedule'!$K$2:$K$825)), ROW(65:65))), "")</f>
        <v>550610</v>
      </c>
      <c r="E68" s="29" t="str">
        <f aca="false" t="array" ref="E68:E68">IFERROR(INDEX('Bank Schedule'!E:E, SMALL(IF('Bank Schedule'!$K$2:$K$825="Vacant", ROW('Bank Schedule'!$K$2:$K$825)), ROW(65:65))), "")</f>
        <v>63-64 Margaret Street</v>
      </c>
      <c r="F68" s="29" t="str">
        <f aca="false" t="array" ref="F68:F68">IFERROR(INDEX('Bank Schedule'!F:F, SMALL(IF('Bank Schedule'!$K$2:$K$825="Vacant", ROW('Bank Schedule'!$K$2:$K$825)), ROW(65:65))), "")</f>
        <v>Fourth Floor (West)</v>
      </c>
      <c r="G68" s="29" t="str">
        <f aca="false" t="array" ref="G68:G68">IFERROR(INDEX('Bank Schedule'!G:G, SMALL(IF('Bank Schedule'!$K$2:$K$825="Vacant", ROW('Bank Schedule'!$K$2:$K$825)), ROW(65:65))), "")</f>
        <v>Office</v>
      </c>
      <c r="H68" s="305" t="n">
        <f aca="false" t="array" ref="H68:H68">IFERROR(INDEX('Bank Schedule'!H:H, SMALL(IF('Bank Schedule'!$K$2:$K$825="Vacant", ROW('Bank Schedule'!$K$2:$K$825)), ROW(65:65))), "")</f>
        <v>645</v>
      </c>
      <c r="I68" s="29" t="n">
        <f aca="false" t="array" ref="I68:I68">IFERROR(INDEX('Bank Schedule'!I:I, SMALL(IF('Bank Schedule'!$K$2:$K$825="Vacant", ROW('Bank Schedule'!$K$2:$K$825)), ROW(65:65))), "")</f>
        <v>645</v>
      </c>
      <c r="J68" s="305" t="n">
        <f aca="false" t="array" ref="J68:J68">IFERROR(INDEX('Bank Schedule'!J:J, SMALL(IF('Bank Schedule'!$K$2:$K$825="Vacant", ROW('Bank Schedule'!$K$2:$K$825)), ROW(65:65))), "")</f>
        <v>750</v>
      </c>
      <c r="K68" s="29" t="str">
        <f aca="false" t="array" ref="K68:K68">IFERROR(INDEX('Bank Schedule'!K:K, SMALL(IF('Bank Schedule'!$K$2:$K$825="Vacant", ROW('Bank Schedule'!$K$2:$K$825)), ROW(65:65))), "")</f>
        <v>Vacant</v>
      </c>
      <c r="L68" s="306" t="n">
        <f aca="false">IFERROR(INDEX('Bank Schedule'!L:L, SMALL(IF('Bank Schedule'!$K$2:$K$825="Vacant", ROW('Bank Schedule'!$K$2:$K$825)), ROW(65:65))), "")</f>
        <v>45384</v>
      </c>
      <c r="M68" s="306" t="n">
        <f aca="false">IFERROR(INDEX('Bank Schedule'!M:M, SMALL(IF('Bank Schedule'!$K$2:$K$825="Vacant", ROW('Bank Schedule'!$K$2:$K$825)), ROW(65:65))), "")</f>
        <v>47209</v>
      </c>
      <c r="N68" s="307" t="n">
        <f aca="false" t="array" ref="N68:N68">IFERROR(INDEX('Bank Schedule'!N:N, SMALL(IF('Bank Schedule'!$K$2:$K$825="Vacant", ROW('Bank Schedule'!$K$2:$K$825)), ROW(65:65))), "")</f>
        <v>44263</v>
      </c>
      <c r="O68" s="306" t="n">
        <f aca="false">IFERROR(INDEX('Bank Schedule'!O:O, SMALL(IF('Bank Schedule'!$K$2:$K$825="Vacant", ROW('Bank Schedule'!$K$2:$K$825)), ROW(65:65))), "")</f>
        <v>0</v>
      </c>
      <c r="P68" s="306" t="n">
        <f aca="false">IFERROR(INDEX('Bank Schedule'!P:P, SMALL(IF('Bank Schedule'!$K$2:$K$825="Vacant", ROW('Bank Schedule'!$K$2:$K$825)), ROW(65:65))), "")</f>
        <v>46478</v>
      </c>
      <c r="Q68" s="29" t="n">
        <f aca="false" t="array" ref="Q68:Q68">IFERROR(INDEX('Bank Schedule'!Q:Q, SMALL(IF('Bank Schedule'!$K$2:$K$825="Vacant", ROW('Bank Schedule'!$K$2:$K$825)), ROW(65:65))), "")</f>
        <v>0</v>
      </c>
      <c r="R68" s="29" t="n">
        <f aca="false" t="array" ref="R68:R68">IFERROR(INDEX('Bank Schedule'!R:R, SMALL(IF('Bank Schedule'!$K$2:$K$825="Vacant", ROW('Bank Schedule'!$K$2:$K$825)), ROW(65:65))), "")</f>
        <v>0</v>
      </c>
      <c r="S68" s="308" t="n">
        <f aca="false">IFERROR(INDEX('Bank Schedule'!S:S, SMALL(IF('Bank Schedule'!$K$2:$K$825="Vacant", ROW('Bank Schedule'!$K$2:$K$825)), ROW(65:65))), "")</f>
        <v>0</v>
      </c>
      <c r="T68" s="309" t="n">
        <f aca="false" t="array" ref="T68:T68">IFERROR(INDEX('Bank Schedule'!T:T, SMALL(IF('Bank Schedule'!$K$2:$K$825="Vacant", ROW('Bank Schedule'!$K$2:$K$825)), ROW(65:65))), "")</f>
        <v>35000</v>
      </c>
      <c r="U68" s="309" t="n">
        <f aca="false" t="array" ref="U68:U68">IFERROR(INDEX('Bank Schedule'!U:U, SMALL(IF('Bank Schedule'!$K$2:$K$825="Vacant", ROW('Bank Schedule'!$K$2:$K$825)), ROW(65:65))), "")</f>
        <v>35000</v>
      </c>
      <c r="V68" s="309" t="n">
        <f aca="false" t="array" ref="V68:V68">IFERROR(INDEX('Bank Schedule'!V:V, SMALL(IF('Bank Schedule'!$K$2:$K$825="Vacant", ROW('Bank Schedule'!$K$2:$K$825)), ROW(65:65))), "")</f>
        <v>37100</v>
      </c>
      <c r="W68" s="309" t="n">
        <f aca="false" t="array" ref="W68:W68">IFERROR(INDEX('Bank Schedule'!W:W, SMALL(IF('Bank Schedule'!$K$2:$K$825="Vacant", ROW('Bank Schedule'!$K$2:$K$825)), ROW(65:65))), "")</f>
        <v>37100</v>
      </c>
      <c r="X68" s="309" t="n">
        <f aca="false" t="array" ref="X68:X68">IFERROR(INDEX('Bank Schedule'!X:X, SMALL(IF('Bank Schedule'!$K$2:$K$825="Vacant", ROW('Bank Schedule'!$K$2:$K$825)), ROW(65:65))), "")</f>
        <v>57.5193798449612</v>
      </c>
      <c r="Y68" s="310" t="n">
        <f aca="false" t="array" ref="Y68:Y68">IFERROR(INDEX('Bank Schedule'!Y:Y, SMALL(IF('Bank Schedule'!$K$2:$K$825="Vacant", ROW('Bank Schedule'!$K$2:$K$825)), ROW(65:65))), "")</f>
        <v>0.06</v>
      </c>
      <c r="Z68" s="29" t="str">
        <f aca="false" t="array" ref="Z68:Z68">IFERROR(INDEX('Bank Schedule'!Z:Z, SMALL(IF('Bank Schedule'!$K$2:$K$825="Vacant", ROW('Bank Schedule'!$K$2:$K$825)), ROW(65:65))), "")</f>
        <v>D</v>
      </c>
      <c r="AA68" s="308" t="n">
        <f aca="false">IFERROR(INDEX('Bank Schedule'!AA:AA, SMALL(IF('Bank Schedule'!$K$2:$K$825="Vacant", ROW('Bank Schedule'!$K$2:$K$825)), ROW(65:65))), "")</f>
        <v>0</v>
      </c>
      <c r="AB68" s="311" t="n">
        <f aca="false">IFERROR(INDEX('Bank Schedule'!AB:AB, SMALL(IF('Bank Schedule'!$K$2:$K$825="Vacant", ROW('Bank Schedule'!$K$2:$K$825)), ROW(65:65))), "")</f>
        <v>0</v>
      </c>
      <c r="AC68" s="29" t="str">
        <f aca="false" t="array" ref="AC68:AC68">IFERROR(INDEX('Bank Schedule'!AC:AC, SMALL(IF('Bank Schedule'!$K$2:$K$825="Vacant", ROW('Bank Schedule'!$K$2:$K$825)), ROW(65:65))), "")</f>
        <v>No</v>
      </c>
      <c r="AD68" s="29" t="str">
        <f aca="false" t="array" ref="AD68:AD68">IFERROR(INDEX('Bank Schedule'!AD:AD, SMALL(IF('Bank Schedule'!$K$2:$K$825="Vacant", ROW('Bank Schedule'!$K$2:$K$825)), ROW(65:65))), "")</f>
        <v>To be refurbished.</v>
      </c>
      <c r="AE68" s="281" t="n">
        <f aca="false" t="array" ref="AE68:AE68">IFERROR(INDEX('Bank Schedule'!AE:AE, SMALL(IF('Bank Schedule'!$K$2:$K$825="Vacant", ROW('Bank Schedule'!$K$2:$K$825)), ROW(65:65))), "")</f>
        <v>60</v>
      </c>
      <c r="AF68" s="29" t="n">
        <f aca="false">IFERROR(INDEX('Bank Schedule'!AF:AF, SMALL(IF('Bank Schedule'!$K$2:$K$825="Vacant", ROW('Bank Schedule'!$K$2:$K$825)), ROW(65:65))), "")</f>
        <v>0</v>
      </c>
      <c r="AG68" s="29" t="n">
        <f aca="false">IFERROR(INDEX('Bank Schedule'!AG:AG, SMALL(IF('Bank Schedule'!$K$2:$K$825="Vacant", ROW('Bank Schedule'!$K$2:$K$825)), ROW(65:65))), "")</f>
        <v>0</v>
      </c>
      <c r="AH68" s="29" t="n">
        <f aca="false">IFERROR(INDEX('Bank Schedule'!AH:AH, SMALL(IF('Bank Schedule'!$K$2:$K$825="Vacant", ROW('Bank Schedule'!$K$2:$K$825)), ROW(65:65))), "")</f>
        <v>0</v>
      </c>
      <c r="AI68" s="4"/>
    </row>
    <row r="69" customFormat="false" ht="28.5" hidden="false" customHeight="true" outlineLevel="0" collapsed="false">
      <c r="A69" s="29" t="str">
        <f aca="false">IFERROR(INDEX('Bank Schedule'!A:A, SMALL(IF('Bank Schedule'!$K$2:$K$825="Vacant", ROW('Bank Schedule'!$K$2:$K$825)), ROW(66:66))), "")</f>
        <v/>
      </c>
      <c r="B69" s="29" t="str">
        <f aca="false" t="array" ref="B69:B69">IFERROR(INDEX('Bank Schedule'!B:B, SMALL(IF('Bank Schedule'!$K$2:$K$825="Vacant", ROW('Bank Schedule'!$K$2:$K$825)), ROW(66:66))), "")</f>
        <v>CM</v>
      </c>
      <c r="C69" s="29" t="str">
        <f aca="false" t="array" ref="C69:C69">IFERROR(INDEX('Bank Schedule'!C:C, SMALL(IF('Bank Schedule'!$K$2:$K$825="Vacant", ROW('Bank Schedule'!$K$2:$K$825)), ROW(66:66))), "")</f>
        <v>MEL</v>
      </c>
      <c r="D69" s="29" t="n">
        <f aca="false" t="array" ref="D69:D69">IFERROR(INDEX('Bank Schedule'!D:D, SMALL(IF('Bank Schedule'!$K$2:$K$825="Vacant", ROW('Bank Schedule'!$K$2:$K$825)), ROW(66:66))), "")</f>
        <v>550610</v>
      </c>
      <c r="E69" s="29" t="str">
        <f aca="false" t="array" ref="E69:E69">IFERROR(INDEX('Bank Schedule'!E:E, SMALL(IF('Bank Schedule'!$K$2:$K$825="Vacant", ROW('Bank Schedule'!$K$2:$K$825)), ROW(66:66))), "")</f>
        <v>63-64 Margaret Street</v>
      </c>
      <c r="F69" s="29" t="str">
        <f aca="false" t="array" ref="F69:F69">IFERROR(INDEX('Bank Schedule'!F:F, SMALL(IF('Bank Schedule'!$K$2:$K$825="Vacant", ROW('Bank Schedule'!$K$2:$K$825)), ROW(66:66))), "")</f>
        <v>Fifth Floor (East)</v>
      </c>
      <c r="G69" s="29" t="str">
        <f aca="false" t="array" ref="G69:G69">IFERROR(INDEX('Bank Schedule'!G:G, SMALL(IF('Bank Schedule'!$K$2:$K$825="Vacant", ROW('Bank Schedule'!$K$2:$K$825)), ROW(66:66))), "")</f>
        <v>Office</v>
      </c>
      <c r="H69" s="305" t="n">
        <f aca="false" t="array" ref="H69:H69">IFERROR(INDEX('Bank Schedule'!H:H, SMALL(IF('Bank Schedule'!$K$2:$K$825="Vacant", ROW('Bank Schedule'!$K$2:$K$825)), ROW(66:66))), "")</f>
        <v>767</v>
      </c>
      <c r="I69" s="29" t="n">
        <f aca="false" t="array" ref="I69:I69">IFERROR(INDEX('Bank Schedule'!I:I, SMALL(IF('Bank Schedule'!$K$2:$K$825="Vacant", ROW('Bank Schedule'!$K$2:$K$825)), ROW(66:66))), "")</f>
        <v>767</v>
      </c>
      <c r="J69" s="305" t="n">
        <f aca="false" t="array" ref="J69:J69">IFERROR(INDEX('Bank Schedule'!J:J, SMALL(IF('Bank Schedule'!$K$2:$K$825="Vacant", ROW('Bank Schedule'!$K$2:$K$825)), ROW(66:66))), "")</f>
        <v>750</v>
      </c>
      <c r="K69" s="29" t="str">
        <f aca="false" t="array" ref="K69:K69">IFERROR(INDEX('Bank Schedule'!K:K, SMALL(IF('Bank Schedule'!$K$2:$K$825="Vacant", ROW('Bank Schedule'!$K$2:$K$825)), ROW(66:66))), "")</f>
        <v>Vacant</v>
      </c>
      <c r="L69" s="29" t="str">
        <f aca="false">IFERROR(INDEX('Bank Schedule'!L:L, SMALL(IF('Bank Schedule'!$K$2:$K$825="Vacant", ROW('Bank Schedule'!$K$2:$K$825)), ROW(66:66))), "")</f>
        <v/>
      </c>
      <c r="M69" s="29" t="str">
        <f aca="false">IFERROR(INDEX('Bank Schedule'!M:M, SMALL(IF('Bank Schedule'!$K$2:$K$825="Vacant", ROW('Bank Schedule'!$K$2:$K$825)), ROW(66:66))), "")</f>
        <v/>
      </c>
      <c r="N69" s="307" t="n">
        <f aca="false" t="array" ref="N69:N69">IFERROR(INDEX('Bank Schedule'!N:N, SMALL(IF('Bank Schedule'!$K$2:$K$825="Vacant", ROW('Bank Schedule'!$K$2:$K$825)), ROW(66:66))), "")</f>
        <v>44263</v>
      </c>
      <c r="O69" s="29" t="str">
        <f aca="false">IFERROR(INDEX('Bank Schedule'!O:O, SMALL(IF('Bank Schedule'!$K$2:$K$825="Vacant", ROW('Bank Schedule'!$K$2:$K$825)), ROW(66:66))), "")</f>
        <v/>
      </c>
      <c r="P69" s="29" t="str">
        <f aca="false">IFERROR(INDEX('Bank Schedule'!P:P, SMALL(IF('Bank Schedule'!$K$2:$K$825="Vacant", ROW('Bank Schedule'!$K$2:$K$825)), ROW(66:66))), "")</f>
        <v/>
      </c>
      <c r="Q69" s="29" t="n">
        <f aca="false" t="array" ref="Q69:Q69">IFERROR(INDEX('Bank Schedule'!Q:Q, SMALL(IF('Bank Schedule'!$K$2:$K$825="Vacant", ROW('Bank Schedule'!$K$2:$K$825)), ROW(66:66))), "")</f>
        <v>0</v>
      </c>
      <c r="R69" s="29" t="n">
        <f aca="false" t="array" ref="R69:R69">IFERROR(INDEX('Bank Schedule'!R:R, SMALL(IF('Bank Schedule'!$K$2:$K$825="Vacant", ROW('Bank Schedule'!$K$2:$K$825)), ROW(66:66))), "")</f>
        <v>0</v>
      </c>
      <c r="S69" s="29" t="str">
        <f aca="false">IFERROR(INDEX('Bank Schedule'!S:S, SMALL(IF('Bank Schedule'!$K$2:$K$825="Vacant", ROW('Bank Schedule'!$K$2:$K$825)), ROW(66:66))), "")</f>
        <v/>
      </c>
      <c r="T69" s="309" t="n">
        <f aca="false" t="array" ref="T69:T69">IFERROR(INDEX('Bank Schedule'!T:T, SMALL(IF('Bank Schedule'!$K$2:$K$825="Vacant", ROW('Bank Schedule'!$K$2:$K$825)), ROW(66:66))), "")</f>
        <v>40000</v>
      </c>
      <c r="U69" s="309" t="n">
        <f aca="false" t="array" ref="U69:U69">IFERROR(INDEX('Bank Schedule'!U:U, SMALL(IF('Bank Schedule'!$K$2:$K$825="Vacant", ROW('Bank Schedule'!$K$2:$K$825)), ROW(66:66))), "")</f>
        <v>40000</v>
      </c>
      <c r="V69" s="309" t="n">
        <f aca="false" t="array" ref="V69:V69">IFERROR(INDEX('Bank Schedule'!V:V, SMALL(IF('Bank Schedule'!$K$2:$K$825="Vacant", ROW('Bank Schedule'!$K$2:$K$825)), ROW(66:66))), "")</f>
        <v>44100</v>
      </c>
      <c r="W69" s="309" t="n">
        <f aca="false" t="array" ref="W69:W69">IFERROR(INDEX('Bank Schedule'!W:W, SMALL(IF('Bank Schedule'!$K$2:$K$825="Vacant", ROW('Bank Schedule'!$K$2:$K$825)), ROW(66:66))), "")</f>
        <v>44100</v>
      </c>
      <c r="X69" s="309" t="n">
        <f aca="false" t="array" ref="X69:X69">IFERROR(INDEX('Bank Schedule'!X:X, SMALL(IF('Bank Schedule'!$K$2:$K$825="Vacant", ROW('Bank Schedule'!$K$2:$K$825)), ROW(66:66))), "")</f>
        <v>57.496740547588</v>
      </c>
      <c r="Y69" s="310" t="n">
        <f aca="false" t="array" ref="Y69:Y69">IFERROR(INDEX('Bank Schedule'!Y:Y, SMALL(IF('Bank Schedule'!$K$2:$K$825="Vacant", ROW('Bank Schedule'!$K$2:$K$825)), ROW(66:66))), "")</f>
        <v>0.1025</v>
      </c>
      <c r="Z69" s="29" t="str">
        <f aca="false" t="array" ref="Z69:Z69">IFERROR(INDEX('Bank Schedule'!Z:Z, SMALL(IF('Bank Schedule'!$K$2:$K$825="Vacant", ROW('Bank Schedule'!$K$2:$K$825)), ROW(66:66))), "")</f>
        <v>D</v>
      </c>
      <c r="AA69" s="29" t="str">
        <f aca="false">IFERROR(INDEX('Bank Schedule'!AA:AA, SMALL(IF('Bank Schedule'!$K$2:$K$825="Vacant", ROW('Bank Schedule'!$K$2:$K$825)), ROW(66:66))), "")</f>
        <v/>
      </c>
      <c r="AB69" s="29" t="str">
        <f aca="false">IFERROR(INDEX('Bank Schedule'!AB:AB, SMALL(IF('Bank Schedule'!$K$2:$K$825="Vacant", ROW('Bank Schedule'!$K$2:$K$825)), ROW(66:66))), "")</f>
        <v/>
      </c>
      <c r="AC69" s="29" t="str">
        <f aca="false" t="array" ref="AC69:AC69">IFERROR(INDEX('Bank Schedule'!AC:AC, SMALL(IF('Bank Schedule'!$K$2:$K$825="Vacant", ROW('Bank Schedule'!$K$2:$K$825)), ROW(66:66))), "")</f>
        <v>No</v>
      </c>
      <c r="AD69" s="29" t="str">
        <f aca="false" t="array" ref="AD69:AD69">IFERROR(INDEX('Bank Schedule'!AD:AD, SMALL(IF('Bank Schedule'!$K$2:$K$825="Vacant", ROW('Bank Schedule'!$K$2:$K$825)), ROW(66:66))), "")</f>
        <v>To be refurbished.</v>
      </c>
      <c r="AE69" s="281" t="n">
        <f aca="false" t="array" ref="AE69:AE69">IFERROR(INDEX('Bank Schedule'!AE:AE, SMALL(IF('Bank Schedule'!$K$2:$K$825="Vacant", ROW('Bank Schedule'!$K$2:$K$825)), ROW(66:66))), "")</f>
        <v>60</v>
      </c>
      <c r="AF69" s="29" t="str">
        <f aca="false">IFERROR(INDEX('Bank Schedule'!AF:AF, SMALL(IF('Bank Schedule'!$K$2:$K$825="Vacant", ROW('Bank Schedule'!$K$2:$K$825)), ROW(66:66))), "")</f>
        <v/>
      </c>
      <c r="AG69" s="29" t="str">
        <f aca="false">IFERROR(INDEX('Bank Schedule'!AG:AG, SMALL(IF('Bank Schedule'!$K$2:$K$825="Vacant", ROW('Bank Schedule'!$K$2:$K$825)), ROW(66:66))), "")</f>
        <v/>
      </c>
      <c r="AH69" s="29" t="str">
        <f aca="false">IFERROR(INDEX('Bank Schedule'!AH:AH, SMALL(IF('Bank Schedule'!$K$2:$K$825="Vacant", ROW('Bank Schedule'!$K$2:$K$825)), ROW(66:66))), "")</f>
        <v/>
      </c>
      <c r="AI69" s="4"/>
    </row>
    <row r="70" customFormat="false" ht="28.5" hidden="false" customHeight="true" outlineLevel="0" collapsed="false">
      <c r="A70" s="29" t="str">
        <f aca="false">IFERROR(INDEX('Bank Schedule'!A:A, SMALL(IF('Bank Schedule'!$K$2:$K$825="Vacant", ROW('Bank Schedule'!$K$2:$K$825)), ROW(67:67))), "")</f>
        <v/>
      </c>
      <c r="B70" s="29" t="str">
        <f aca="false" t="array" ref="B70:B70">IFERROR(INDEX('Bank Schedule'!B:B, SMALL(IF('Bank Schedule'!$K$2:$K$825="Vacant", ROW('Bank Schedule'!$K$2:$K$825)), ROW(67:67))), "")</f>
        <v>CM</v>
      </c>
      <c r="C70" s="29" t="str">
        <f aca="false" t="array" ref="C70:C70">IFERROR(INDEX('Bank Schedule'!C:C, SMALL(IF('Bank Schedule'!$K$2:$K$825="Vacant", ROW('Bank Schedule'!$K$2:$K$825)), ROW(67:67))), "")</f>
        <v>MEL</v>
      </c>
      <c r="D70" s="29" t="n">
        <f aca="false" t="array" ref="D70:D70">IFERROR(INDEX('Bank Schedule'!D:D, SMALL(IF('Bank Schedule'!$K$2:$K$825="Vacant", ROW('Bank Schedule'!$K$2:$K$825)), ROW(67:67))), "")</f>
        <v>550610</v>
      </c>
      <c r="E70" s="29" t="str">
        <f aca="false" t="array" ref="E70:E70">IFERROR(INDEX('Bank Schedule'!E:E, SMALL(IF('Bank Schedule'!$K$2:$K$825="Vacant", ROW('Bank Schedule'!$K$2:$K$825)), ROW(67:67))), "")</f>
        <v>63-64 Margaret Street</v>
      </c>
      <c r="F70" s="29" t="str">
        <f aca="false" t="array" ref="F70:F70">IFERROR(INDEX('Bank Schedule'!F:F, SMALL(IF('Bank Schedule'!$K$2:$K$825="Vacant", ROW('Bank Schedule'!$K$2:$K$825)), ROW(67:67))), "")</f>
        <v>Fifth Floor (West)</v>
      </c>
      <c r="G70" s="29" t="str">
        <f aca="false" t="array" ref="G70:G70">IFERROR(INDEX('Bank Schedule'!G:G, SMALL(IF('Bank Schedule'!$K$2:$K$825="Vacant", ROW('Bank Schedule'!$K$2:$K$825)), ROW(67:67))), "")</f>
        <v>Office</v>
      </c>
      <c r="H70" s="305" t="n">
        <f aca="false" t="array" ref="H70:H70">IFERROR(INDEX('Bank Schedule'!H:H, SMALL(IF('Bank Schedule'!$K$2:$K$825="Vacant", ROW('Bank Schedule'!$K$2:$K$825)), ROW(67:67))), "")</f>
        <v>534</v>
      </c>
      <c r="I70" s="29" t="n">
        <f aca="false" t="array" ref="I70:I70">IFERROR(INDEX('Bank Schedule'!I:I, SMALL(IF('Bank Schedule'!$K$2:$K$825="Vacant", ROW('Bank Schedule'!$K$2:$K$825)), ROW(67:67))), "")</f>
        <v>534</v>
      </c>
      <c r="J70" s="305" t="n">
        <f aca="false" t="array" ref="J70:J70">IFERROR(INDEX('Bank Schedule'!J:J, SMALL(IF('Bank Schedule'!$K$2:$K$825="Vacant", ROW('Bank Schedule'!$K$2:$K$825)), ROW(67:67))), "")</f>
        <v>500</v>
      </c>
      <c r="K70" s="29" t="str">
        <f aca="false" t="array" ref="K70:K70">IFERROR(INDEX('Bank Schedule'!K:K, SMALL(IF('Bank Schedule'!$K$2:$K$825="Vacant", ROW('Bank Schedule'!$K$2:$K$825)), ROW(67:67))), "")</f>
        <v>Vacant</v>
      </c>
      <c r="L70" s="29" t="str">
        <f aca="false">IFERROR(INDEX('Bank Schedule'!L:L, SMALL(IF('Bank Schedule'!$K$2:$K$825="Vacant", ROW('Bank Schedule'!$K$2:$K$825)), ROW(67:67))), "")</f>
        <v/>
      </c>
      <c r="M70" s="29" t="str">
        <f aca="false">IFERROR(INDEX('Bank Schedule'!M:M, SMALL(IF('Bank Schedule'!$K$2:$K$825="Vacant", ROW('Bank Schedule'!$K$2:$K$825)), ROW(67:67))), "")</f>
        <v/>
      </c>
      <c r="N70" s="307" t="n">
        <f aca="false" t="array" ref="N70:N70">IFERROR(INDEX('Bank Schedule'!N:N, SMALL(IF('Bank Schedule'!$K$2:$K$825="Vacant", ROW('Bank Schedule'!$K$2:$K$825)), ROW(67:67))), "")</f>
        <v>43061</v>
      </c>
      <c r="O70" s="29" t="str">
        <f aca="false">IFERROR(INDEX('Bank Schedule'!O:O, SMALL(IF('Bank Schedule'!$K$2:$K$825="Vacant", ROW('Bank Schedule'!$K$2:$K$825)), ROW(67:67))), "")</f>
        <v/>
      </c>
      <c r="P70" s="29" t="str">
        <f aca="false">IFERROR(INDEX('Bank Schedule'!P:P, SMALL(IF('Bank Schedule'!$K$2:$K$825="Vacant", ROW('Bank Schedule'!$K$2:$K$825)), ROW(67:67))), "")</f>
        <v/>
      </c>
      <c r="Q70" s="29" t="n">
        <f aca="false" t="array" ref="Q70:Q70">IFERROR(INDEX('Bank Schedule'!Q:Q, SMALL(IF('Bank Schedule'!$K$2:$K$825="Vacant", ROW('Bank Schedule'!$K$2:$K$825)), ROW(67:67))), "")</f>
        <v>0</v>
      </c>
      <c r="R70" s="29" t="n">
        <f aca="false" t="array" ref="R70:R70">IFERROR(INDEX('Bank Schedule'!R:R, SMALL(IF('Bank Schedule'!$K$2:$K$825="Vacant", ROW('Bank Schedule'!$K$2:$K$825)), ROW(67:67))), "")</f>
        <v>0</v>
      </c>
      <c r="S70" s="29" t="str">
        <f aca="false">IFERROR(INDEX('Bank Schedule'!S:S, SMALL(IF('Bank Schedule'!$K$2:$K$825="Vacant", ROW('Bank Schedule'!$K$2:$K$825)), ROW(67:67))), "")</f>
        <v/>
      </c>
      <c r="T70" s="309" t="n">
        <f aca="false" t="array" ref="T70:T70">IFERROR(INDEX('Bank Schedule'!T:T, SMALL(IF('Bank Schedule'!$K$2:$K$825="Vacant", ROW('Bank Schedule'!$K$2:$K$825)), ROW(67:67))), "")</f>
        <v>30500</v>
      </c>
      <c r="U70" s="309" t="n">
        <f aca="false" t="array" ref="U70:U70">IFERROR(INDEX('Bank Schedule'!U:U, SMALL(IF('Bank Schedule'!$K$2:$K$825="Vacant", ROW('Bank Schedule'!$K$2:$K$825)), ROW(67:67))), "")</f>
        <v>30500</v>
      </c>
      <c r="V70" s="309" t="n">
        <f aca="false" t="array" ref="V70:V70">IFERROR(INDEX('Bank Schedule'!V:V, SMALL(IF('Bank Schedule'!$K$2:$K$825="Vacant", ROW('Bank Schedule'!$K$2:$K$825)), ROW(67:67))), "")</f>
        <v>30700</v>
      </c>
      <c r="W70" s="309" t="n">
        <f aca="false" t="array" ref="W70:W70">IFERROR(INDEX('Bank Schedule'!W:W, SMALL(IF('Bank Schedule'!$K$2:$K$825="Vacant", ROW('Bank Schedule'!$K$2:$K$825)), ROW(67:67))), "")</f>
        <v>30700</v>
      </c>
      <c r="X70" s="309" t="n">
        <f aca="false" t="array" ref="X70:X70">IFERROR(INDEX('Bank Schedule'!X:X, SMALL(IF('Bank Schedule'!$K$2:$K$825="Vacant", ROW('Bank Schedule'!$K$2:$K$825)), ROW(67:67))), "")</f>
        <v>57.4906367041199</v>
      </c>
      <c r="Y70" s="310" t="n">
        <f aca="false" t="array" ref="Y70:Y70">IFERROR(INDEX('Bank Schedule'!Y:Y, SMALL(IF('Bank Schedule'!$K$2:$K$825="Vacant", ROW('Bank Schedule'!$K$2:$K$825)), ROW(67:67))), "")</f>
        <v>0.00655737704918033</v>
      </c>
      <c r="Z70" s="29" t="str">
        <f aca="false" t="array" ref="Z70:Z70">IFERROR(INDEX('Bank Schedule'!Z:Z, SMALL(IF('Bank Schedule'!$K$2:$K$825="Vacant", ROW('Bank Schedule'!$K$2:$K$825)), ROW(67:67))), "")</f>
        <v>D</v>
      </c>
      <c r="AA70" s="29" t="str">
        <f aca="false">IFERROR(INDEX('Bank Schedule'!AA:AA, SMALL(IF('Bank Schedule'!$K$2:$K$825="Vacant", ROW('Bank Schedule'!$K$2:$K$825)), ROW(67:67))), "")</f>
        <v/>
      </c>
      <c r="AB70" s="29" t="str">
        <f aca="false">IFERROR(INDEX('Bank Schedule'!AB:AB, SMALL(IF('Bank Schedule'!$K$2:$K$825="Vacant", ROW('Bank Schedule'!$K$2:$K$825)), ROW(67:67))), "")</f>
        <v/>
      </c>
      <c r="AC70" s="29" t="str">
        <f aca="false" t="array" ref="AC70:AC70">IFERROR(INDEX('Bank Schedule'!AC:AC, SMALL(IF('Bank Schedule'!$K$2:$K$825="Vacant", ROW('Bank Schedule'!$K$2:$K$825)), ROW(67:67))), "")</f>
        <v>No</v>
      </c>
      <c r="AD70" s="29" t="str">
        <f aca="false" t="array" ref="AD70:AD70">IFERROR(INDEX('Bank Schedule'!AD:AD, SMALL(IF('Bank Schedule'!$K$2:$K$825="Vacant", ROW('Bank Schedule'!$K$2:$K$825)), ROW(67:67))), "")</f>
        <v>To be refurbished.</v>
      </c>
      <c r="AE70" s="281" t="n">
        <f aca="false" t="array" ref="AE70:AE70">IFERROR(INDEX('Bank Schedule'!AE:AE, SMALL(IF('Bank Schedule'!$K$2:$K$825="Vacant", ROW('Bank Schedule'!$K$2:$K$825)), ROW(67:67))), "")</f>
        <v>60</v>
      </c>
      <c r="AF70" s="29" t="str">
        <f aca="false">IFERROR(INDEX('Bank Schedule'!AF:AF, SMALL(IF('Bank Schedule'!$K$2:$K$825="Vacant", ROW('Bank Schedule'!$K$2:$K$825)), ROW(67:67))), "")</f>
        <v/>
      </c>
      <c r="AG70" s="29" t="str">
        <f aca="false">IFERROR(INDEX('Bank Schedule'!AG:AG, SMALL(IF('Bank Schedule'!$K$2:$K$825="Vacant", ROW('Bank Schedule'!$K$2:$K$825)), ROW(67:67))), "")</f>
        <v/>
      </c>
      <c r="AH70" s="29" t="str">
        <f aca="false">IFERROR(INDEX('Bank Schedule'!AH:AH, SMALL(IF('Bank Schedule'!$K$2:$K$825="Vacant", ROW('Bank Schedule'!$K$2:$K$825)), ROW(67:67))), "")</f>
        <v/>
      </c>
      <c r="AI70" s="4"/>
    </row>
    <row r="71" customFormat="false" ht="28.5" hidden="false" customHeight="true" outlineLevel="0" collapsed="false">
      <c r="A71" s="29" t="str">
        <f aca="false">IFERROR(INDEX('Bank Schedule'!A:A, SMALL(IF('Bank Schedule'!$K$2:$K$825="Vacant", ROW('Bank Schedule'!$K$2:$K$825)), ROW(68:68))), "")</f>
        <v/>
      </c>
      <c r="B71" s="29" t="str">
        <f aca="false" t="array" ref="B71:B71">IFERROR(INDEX('Bank Schedule'!B:B, SMALL(IF('Bank Schedule'!$K$2:$K$825="Vacant", ROW('Bank Schedule'!$K$2:$K$825)), ROW(68:68))), "")</f>
        <v>CM</v>
      </c>
      <c r="C71" s="29" t="str">
        <f aca="false" t="array" ref="C71:C71">IFERROR(INDEX('Bank Schedule'!C:C, SMALL(IF('Bank Schedule'!$K$2:$K$825="Vacant", ROW('Bank Schedule'!$K$2:$K$825)), ROW(68:68))), "")</f>
        <v>MEL</v>
      </c>
      <c r="D71" s="29" t="n">
        <f aca="false" t="array" ref="D71:D71">IFERROR(INDEX('Bank Schedule'!D:D, SMALL(IF('Bank Schedule'!$K$2:$K$825="Vacant", ROW('Bank Schedule'!$K$2:$K$825)), ROW(68:68))), "")</f>
        <v>550620</v>
      </c>
      <c r="E71" s="29" t="str">
        <f aca="false" t="array" ref="E71:E71">IFERROR(INDEX('Bank Schedule'!E:E, SMALL(IF('Bank Schedule'!$K$2:$K$825="Vacant", ROW('Bank Schedule'!$K$2:$K$825)), ROW(68:68))), "")</f>
        <v>65 Margaret Street</v>
      </c>
      <c r="F71" s="29" t="str">
        <f aca="false" t="array" ref="F71:F71">IFERROR(INDEX('Bank Schedule'!F:F, SMALL(IF('Bank Schedule'!$K$2:$K$825="Vacant", ROW('Bank Schedule'!$K$2:$K$825)), ROW(68:68))), "")</f>
        <v>Second Floor</v>
      </c>
      <c r="G71" s="29" t="str">
        <f aca="false" t="array" ref="G71:G71">IFERROR(INDEX('Bank Schedule'!G:G, SMALL(IF('Bank Schedule'!$K$2:$K$825="Vacant", ROW('Bank Schedule'!$K$2:$K$825)), ROW(68:68))), "")</f>
        <v>Office</v>
      </c>
      <c r="H71" s="305" t="n">
        <f aca="false" t="array" ref="H71:H71">IFERROR(INDEX('Bank Schedule'!H:H, SMALL(IF('Bank Schedule'!$K$2:$K$825="Vacant", ROW('Bank Schedule'!$K$2:$K$825)), ROW(68:68))), "")</f>
        <v>375</v>
      </c>
      <c r="I71" s="29" t="n">
        <f aca="false" t="array" ref="I71:I71">IFERROR(INDEX('Bank Schedule'!I:I, SMALL(IF('Bank Schedule'!$K$2:$K$825="Vacant", ROW('Bank Schedule'!$K$2:$K$825)), ROW(68:68))), "")</f>
        <v>375</v>
      </c>
      <c r="J71" s="305" t="n">
        <f aca="false" t="array" ref="J71:J71">IFERROR(INDEX('Bank Schedule'!J:J, SMALL(IF('Bank Schedule'!$K$2:$K$825="Vacant", ROW('Bank Schedule'!$K$2:$K$825)), ROW(68:68))), "")</f>
        <v>500</v>
      </c>
      <c r="K71" s="29" t="str">
        <f aca="false" t="array" ref="K71:K71">IFERROR(INDEX('Bank Schedule'!K:K, SMALL(IF('Bank Schedule'!$K$2:$K$825="Vacant", ROW('Bank Schedule'!$K$2:$K$825)), ROW(68:68))), "")</f>
        <v>Vacant</v>
      </c>
      <c r="L71" s="29" t="str">
        <f aca="false">IFERROR(INDEX('Bank Schedule'!L:L, SMALL(IF('Bank Schedule'!$K$2:$K$825="Vacant", ROW('Bank Schedule'!$K$2:$K$825)), ROW(68:68))), "")</f>
        <v/>
      </c>
      <c r="M71" s="29" t="str">
        <f aca="false">IFERROR(INDEX('Bank Schedule'!M:M, SMALL(IF('Bank Schedule'!$K$2:$K$825="Vacant", ROW('Bank Schedule'!$K$2:$K$825)), ROW(68:68))), "")</f>
        <v/>
      </c>
      <c r="N71" s="307" t="n">
        <f aca="false" t="array" ref="N71:N71">IFERROR(INDEX('Bank Schedule'!N:N, SMALL(IF('Bank Schedule'!$K$2:$K$825="Vacant", ROW('Bank Schedule'!$K$2:$K$825)), ROW(68:68))), "")</f>
        <v>45407</v>
      </c>
      <c r="O71" s="29" t="str">
        <f aca="false">IFERROR(INDEX('Bank Schedule'!O:O, SMALL(IF('Bank Schedule'!$K$2:$K$825="Vacant", ROW('Bank Schedule'!$K$2:$K$825)), ROW(68:68))), "")</f>
        <v/>
      </c>
      <c r="P71" s="29" t="str">
        <f aca="false">IFERROR(INDEX('Bank Schedule'!P:P, SMALL(IF('Bank Schedule'!$K$2:$K$825="Vacant", ROW('Bank Schedule'!$K$2:$K$825)), ROW(68:68))), "")</f>
        <v/>
      </c>
      <c r="Q71" s="29" t="n">
        <f aca="false" t="array" ref="Q71:Q71">IFERROR(INDEX('Bank Schedule'!Q:Q, SMALL(IF('Bank Schedule'!$K$2:$K$825="Vacant", ROW('Bank Schedule'!$K$2:$K$825)), ROW(68:68))), "")</f>
        <v>0</v>
      </c>
      <c r="R71" s="29" t="n">
        <f aca="false" t="array" ref="R71:R71">IFERROR(INDEX('Bank Schedule'!R:R, SMALL(IF('Bank Schedule'!$K$2:$K$825="Vacant", ROW('Bank Schedule'!$K$2:$K$825)), ROW(68:68))), "")</f>
        <v>0</v>
      </c>
      <c r="S71" s="29" t="str">
        <f aca="false">IFERROR(INDEX('Bank Schedule'!S:S, SMALL(IF('Bank Schedule'!$K$2:$K$825="Vacant", ROW('Bank Schedule'!$K$2:$K$825)), ROW(68:68))), "")</f>
        <v/>
      </c>
      <c r="T71" s="309" t="n">
        <f aca="false" t="array" ref="T71:T71">IFERROR(INDEX('Bank Schedule'!T:T, SMALL(IF('Bank Schedule'!$K$2:$K$825="Vacant", ROW('Bank Schedule'!$K$2:$K$825)), ROW(68:68))), "")</f>
        <v>21000</v>
      </c>
      <c r="U71" s="309" t="n">
        <f aca="false" t="array" ref="U71:U71">IFERROR(INDEX('Bank Schedule'!U:U, SMALL(IF('Bank Schedule'!$K$2:$K$825="Vacant", ROW('Bank Schedule'!$K$2:$K$825)), ROW(68:68))), "")</f>
        <v>21000</v>
      </c>
      <c r="V71" s="309" t="n">
        <f aca="false" t="array" ref="V71:V71">IFERROR(INDEX('Bank Schedule'!V:V, SMALL(IF('Bank Schedule'!$K$2:$K$825="Vacant", ROW('Bank Schedule'!$K$2:$K$825)), ROW(68:68))), "")</f>
        <v>21600</v>
      </c>
      <c r="W71" s="309" t="n">
        <f aca="false" t="array" ref="W71:W71">IFERROR(INDEX('Bank Schedule'!W:W, SMALL(IF('Bank Schedule'!$K$2:$K$825="Vacant", ROW('Bank Schedule'!$K$2:$K$825)), ROW(68:68))), "")</f>
        <v>21600</v>
      </c>
      <c r="X71" s="309" t="n">
        <f aca="false" t="array" ref="X71:X71">IFERROR(INDEX('Bank Schedule'!X:X, SMALL(IF('Bank Schedule'!$K$2:$K$825="Vacant", ROW('Bank Schedule'!$K$2:$K$825)), ROW(68:68))), "")</f>
        <v>57.6</v>
      </c>
      <c r="Y71" s="310" t="n">
        <f aca="false" t="array" ref="Y71:Y71">IFERROR(INDEX('Bank Schedule'!Y:Y, SMALL(IF('Bank Schedule'!$K$2:$K$825="Vacant", ROW('Bank Schedule'!$K$2:$K$825)), ROW(68:68))), "")</f>
        <v>0.0285714285714286</v>
      </c>
      <c r="Z71" s="29" t="str">
        <f aca="false" t="array" ref="Z71:Z71">IFERROR(INDEX('Bank Schedule'!Z:Z, SMALL(IF('Bank Schedule'!$K$2:$K$825="Vacant", ROW('Bank Schedule'!$K$2:$K$825)), ROW(68:68))), "")</f>
        <v>D</v>
      </c>
      <c r="AA71" s="29" t="str">
        <f aca="false">IFERROR(INDEX('Bank Schedule'!AA:AA, SMALL(IF('Bank Schedule'!$K$2:$K$825="Vacant", ROW('Bank Schedule'!$K$2:$K$825)), ROW(68:68))), "")</f>
        <v/>
      </c>
      <c r="AB71" s="29" t="str">
        <f aca="false">IFERROR(INDEX('Bank Schedule'!AB:AB, SMALL(IF('Bank Schedule'!$K$2:$K$825="Vacant", ROW('Bank Schedule'!$K$2:$K$825)), ROW(68:68))), "")</f>
        <v/>
      </c>
      <c r="AC71" s="29" t="str">
        <f aca="false" t="array" ref="AC71:AC71">IFERROR(INDEX('Bank Schedule'!AC:AC, SMALL(IF('Bank Schedule'!$K$2:$K$825="Vacant", ROW('Bank Schedule'!$K$2:$K$825)), ROW(68:68))), "")</f>
        <v>No</v>
      </c>
      <c r="AD71" s="29" t="str">
        <f aca="false" t="array" ref="AD71:AD71">IFERROR(INDEX('Bank Schedule'!AD:AD, SMALL(IF('Bank Schedule'!$K$2:$K$825="Vacant", ROW('Bank Schedule'!$K$2:$K$825)), ROW(68:68))), "")</f>
        <v>To be refurbished.</v>
      </c>
      <c r="AE71" s="281" t="str">
        <f aca="false">IFERROR(INDEX('Bank Schedule'!AE:AE, SMALL(IF('Bank Schedule'!$K$2:$K$825="Vacant", ROW('Bank Schedule'!$K$2:$K$825)), ROW(68:68))), "")</f>
        <v/>
      </c>
      <c r="AF71" s="29" t="n">
        <f aca="false" t="array" ref="AF71:AF71">IFERROR(INDEX('Bank Schedule'!AF:AF, SMALL(IF('Bank Schedule'!$K$2:$K$825="Vacant", ROW('Bank Schedule'!$K$2:$K$825)), ROW(68:68))), "")</f>
        <v>4</v>
      </c>
      <c r="AG71" s="29" t="n">
        <f aca="false" t="array" ref="AG71:AG71">IFERROR(INDEX('Bank Schedule'!AG:AG, SMALL(IF('Bank Schedule'!$K$2:$K$825="Vacant", ROW('Bank Schedule'!$K$2:$K$825)), ROW(68:68))), "")</f>
        <v>8</v>
      </c>
      <c r="AH71" s="29" t="str">
        <f aca="false">IFERROR(INDEX('Bank Schedule'!AH:AH, SMALL(IF('Bank Schedule'!$K$2:$K$825="Vacant", ROW('Bank Schedule'!$K$2:$K$825)), ROW(68:68))), "")</f>
        <v/>
      </c>
      <c r="AI71" s="4"/>
    </row>
    <row r="72" customFormat="false" ht="28.5" hidden="false" customHeight="true" outlineLevel="0" collapsed="false">
      <c r="A72" s="29" t="str">
        <f aca="false">IFERROR(INDEX('Bank Schedule'!A:A, SMALL(IF('Bank Schedule'!$K$2:$K$825="Vacant", ROW('Bank Schedule'!$K$2:$K$825)), ROW(69:69))), "")</f>
        <v/>
      </c>
      <c r="B72" s="29" t="str">
        <f aca="false" t="array" ref="B72:B72">IFERROR(INDEX('Bank Schedule'!B:B, SMALL(IF('Bank Schedule'!$K$2:$K$825="Vacant", ROW('Bank Schedule'!$K$2:$K$825)), ROW(69:69))), "")</f>
        <v>CD</v>
      </c>
      <c r="C72" s="29" t="str">
        <f aca="false" t="array" ref="C72:C72">IFERROR(INDEX('Bank Schedule'!C:C, SMALL(IF('Bank Schedule'!$K$2:$K$825="Vacant", ROW('Bank Schedule'!$K$2:$K$825)), ROW(69:69))), "")</f>
        <v>MEL</v>
      </c>
      <c r="D72" s="29" t="n">
        <f aca="false" t="array" ref="D72:D72">IFERROR(INDEX('Bank Schedule'!D:D, SMALL(IF('Bank Schedule'!$K$2:$K$825="Vacant", ROW('Bank Schedule'!$K$2:$K$825)), ROW(69:69))), "")</f>
        <v>550640</v>
      </c>
      <c r="E72" s="29" t="str">
        <f aca="false" t="array" ref="E72:E72">IFERROR(INDEX('Bank Schedule'!E:E, SMALL(IF('Bank Schedule'!$K$2:$K$825="Vacant", ROW('Bank Schedule'!$K$2:$K$825)), ROW(69:69))), "")</f>
        <v>75-77 Margaret Street</v>
      </c>
      <c r="F72" s="29" t="str">
        <f aca="false" t="array" ref="F72:F72">IFERROR(INDEX('Bank Schedule'!F:F, SMALL(IF('Bank Schedule'!$K$2:$K$825="Vacant", ROW('Bank Schedule'!$K$2:$K$825)), ROW(69:69))), "")</f>
        <v>First Floor (Rear)</v>
      </c>
      <c r="G72" s="29" t="str">
        <f aca="false" t="array" ref="G72:G72">IFERROR(INDEX('Bank Schedule'!G:G, SMALL(IF('Bank Schedule'!$K$2:$K$825="Vacant", ROW('Bank Schedule'!$K$2:$K$825)), ROW(69:69))), "")</f>
        <v>Office</v>
      </c>
      <c r="H72" s="305" t="n">
        <f aca="false" t="array" ref="H72:H72">IFERROR(INDEX('Bank Schedule'!H:H, SMALL(IF('Bank Schedule'!$K$2:$K$825="Vacant", ROW('Bank Schedule'!$K$2:$K$825)), ROW(69:69))), "")</f>
        <v>1218</v>
      </c>
      <c r="I72" s="29" t="n">
        <f aca="false" t="array" ref="I72:I72">IFERROR(INDEX('Bank Schedule'!I:I, SMALL(IF('Bank Schedule'!$K$2:$K$825="Vacant", ROW('Bank Schedule'!$K$2:$K$825)), ROW(69:69))), "")</f>
        <v>1218</v>
      </c>
      <c r="J72" s="305" t="n">
        <f aca="false" t="array" ref="J72:J72">IFERROR(INDEX('Bank Schedule'!J:J, SMALL(IF('Bank Schedule'!$K$2:$K$825="Vacant", ROW('Bank Schedule'!$K$2:$K$825)), ROW(69:69))), "")</f>
        <v>1250</v>
      </c>
      <c r="K72" s="29" t="str">
        <f aca="false" t="array" ref="K72:K72">IFERROR(INDEX('Bank Schedule'!K:K, SMALL(IF('Bank Schedule'!$K$2:$K$825="Vacant", ROW('Bank Schedule'!$K$2:$K$825)), ROW(69:69))), "")</f>
        <v>Vacant</v>
      </c>
      <c r="L72" s="29" t="str">
        <f aca="false">IFERROR(INDEX('Bank Schedule'!L:L, SMALL(IF('Bank Schedule'!$K$2:$K$825="Vacant", ROW('Bank Schedule'!$K$2:$K$825)), ROW(69:69))), "")</f>
        <v/>
      </c>
      <c r="M72" s="29" t="str">
        <f aca="false">IFERROR(INDEX('Bank Schedule'!M:M, SMALL(IF('Bank Schedule'!$K$2:$K$825="Vacant", ROW('Bank Schedule'!$K$2:$K$825)), ROW(69:69))), "")</f>
        <v/>
      </c>
      <c r="N72" s="307" t="n">
        <f aca="false" t="array" ref="N72:N72">IFERROR(INDEX('Bank Schedule'!N:N, SMALL(IF('Bank Schedule'!$K$2:$K$825="Vacant", ROW('Bank Schedule'!$K$2:$K$825)), ROW(69:69))), "")</f>
        <v>42705</v>
      </c>
      <c r="O72" s="29" t="str">
        <f aca="false">IFERROR(INDEX('Bank Schedule'!O:O, SMALL(IF('Bank Schedule'!$K$2:$K$825="Vacant", ROW('Bank Schedule'!$K$2:$K$825)), ROW(69:69))), "")</f>
        <v/>
      </c>
      <c r="P72" s="29" t="str">
        <f aca="false">IFERROR(INDEX('Bank Schedule'!P:P, SMALL(IF('Bank Schedule'!$K$2:$K$825="Vacant", ROW('Bank Schedule'!$K$2:$K$825)), ROW(69:69))), "")</f>
        <v/>
      </c>
      <c r="Q72" s="29" t="n">
        <f aca="false" t="array" ref="Q72:Q72">IFERROR(INDEX('Bank Schedule'!Q:Q, SMALL(IF('Bank Schedule'!$K$2:$K$825="Vacant", ROW('Bank Schedule'!$K$2:$K$825)), ROW(69:69))), "")</f>
        <v>0</v>
      </c>
      <c r="R72" s="29" t="n">
        <f aca="false" t="array" ref="R72:R72">IFERROR(INDEX('Bank Schedule'!R:R, SMALL(IF('Bank Schedule'!$K$2:$K$825="Vacant", ROW('Bank Schedule'!$K$2:$K$825)), ROW(69:69))), "")</f>
        <v>0</v>
      </c>
      <c r="S72" s="29" t="str">
        <f aca="false">IFERROR(INDEX('Bank Schedule'!S:S, SMALL(IF('Bank Schedule'!$K$2:$K$825="Vacant", ROW('Bank Schedule'!$K$2:$K$825)), ROW(69:69))), "")</f>
        <v/>
      </c>
      <c r="T72" s="309" t="n">
        <f aca="false" t="array" ref="T72:T72">IFERROR(INDEX('Bank Schedule'!T:T, SMALL(IF('Bank Schedule'!$K$2:$K$825="Vacant", ROW('Bank Schedule'!$K$2:$K$825)), ROW(69:69))), "")</f>
        <v>61500</v>
      </c>
      <c r="U72" s="309" t="n">
        <f aca="false" t="array" ref="U72:U72">IFERROR(INDEX('Bank Schedule'!U:U, SMALL(IF('Bank Schedule'!$K$2:$K$825="Vacant", ROW('Bank Schedule'!$K$2:$K$825)), ROW(69:69))), "")</f>
        <v>61500</v>
      </c>
      <c r="V72" s="309" t="n">
        <f aca="false" t="array" ref="V72:V72">IFERROR(INDEX('Bank Schedule'!V:V, SMALL(IF('Bank Schedule'!$K$2:$K$825="Vacant", ROW('Bank Schedule'!$K$2:$K$825)), ROW(69:69))), "")</f>
        <v>63900</v>
      </c>
      <c r="W72" s="309" t="n">
        <f aca="false" t="array" ref="W72:W72">IFERROR(INDEX('Bank Schedule'!W:W, SMALL(IF('Bank Schedule'!$K$2:$K$825="Vacant", ROW('Bank Schedule'!$K$2:$K$825)), ROW(69:69))), "")</f>
        <v>63900</v>
      </c>
      <c r="X72" s="309" t="n">
        <f aca="false" t="array" ref="X72:X72">IFERROR(INDEX('Bank Schedule'!X:X, SMALL(IF('Bank Schedule'!$K$2:$K$825="Vacant", ROW('Bank Schedule'!$K$2:$K$825)), ROW(69:69))), "")</f>
        <v>52.4630541871921</v>
      </c>
      <c r="Y72" s="310" t="n">
        <f aca="false" t="array" ref="Y72:Y72">IFERROR(INDEX('Bank Schedule'!Y:Y, SMALL(IF('Bank Schedule'!$K$2:$K$825="Vacant", ROW('Bank Schedule'!$K$2:$K$825)), ROW(69:69))), "")</f>
        <v>0.0390243902439024</v>
      </c>
      <c r="Z72" s="29" t="str">
        <f aca="false" t="array" ref="Z72:Z72">IFERROR(INDEX('Bank Schedule'!Z:Z, SMALL(IF('Bank Schedule'!$K$2:$K$825="Vacant", ROW('Bank Schedule'!$K$2:$K$825)), ROW(69:69))), "")</f>
        <v>D</v>
      </c>
      <c r="AA72" s="29" t="str">
        <f aca="false">IFERROR(INDEX('Bank Schedule'!AA:AA, SMALL(IF('Bank Schedule'!$K$2:$K$825="Vacant", ROW('Bank Schedule'!$K$2:$K$825)), ROW(69:69))), "")</f>
        <v/>
      </c>
      <c r="AB72" s="29" t="str">
        <f aca="false">IFERROR(INDEX('Bank Schedule'!AB:AB, SMALL(IF('Bank Schedule'!$K$2:$K$825="Vacant", ROW('Bank Schedule'!$K$2:$K$825)), ROW(69:69))), "")</f>
        <v/>
      </c>
      <c r="AC72" s="29" t="str">
        <f aca="false" t="array" ref="AC72:AC72">IFERROR(INDEX('Bank Schedule'!AC:AC, SMALL(IF('Bank Schedule'!$K$2:$K$825="Vacant", ROW('Bank Schedule'!$K$2:$K$825)), ROW(69:69))), "")</f>
        <v>No</v>
      </c>
      <c r="AD72" s="29" t="str">
        <f aca="false" t="array" ref="AD72:AD72">IFERROR(INDEX('Bank Schedule'!AD:AD, SMALL(IF('Bank Schedule'!$K$2:$K$825="Vacant", ROW('Bank Schedule'!$K$2:$K$825)), ROW(69:69))), "")</f>
        <v>To be refurbished.</v>
      </c>
      <c r="AE72" s="281" t="n">
        <f aca="false" t="array" ref="AE72:AE72">IFERROR(INDEX('Bank Schedule'!AE:AE, SMALL(IF('Bank Schedule'!$K$2:$K$825="Vacant", ROW('Bank Schedule'!$K$2:$K$825)), ROW(69:69))), "")</f>
        <v>62.5</v>
      </c>
      <c r="AF72" s="29" t="str">
        <f aca="false">IFERROR(INDEX('Bank Schedule'!AF:AF, SMALL(IF('Bank Schedule'!$K$2:$K$825="Vacant", ROW('Bank Schedule'!$K$2:$K$825)), ROW(69:69))), "")</f>
        <v/>
      </c>
      <c r="AG72" s="29" t="str">
        <f aca="false">IFERROR(INDEX('Bank Schedule'!AG:AG, SMALL(IF('Bank Schedule'!$K$2:$K$825="Vacant", ROW('Bank Schedule'!$K$2:$K$825)), ROW(69:69))), "")</f>
        <v/>
      </c>
      <c r="AH72" s="29" t="str">
        <f aca="false">IFERROR(INDEX('Bank Schedule'!AH:AH, SMALL(IF('Bank Schedule'!$K$2:$K$825="Vacant", ROW('Bank Schedule'!$K$2:$K$825)), ROW(69:69))), "")</f>
        <v/>
      </c>
      <c r="AI72" s="4"/>
    </row>
    <row r="73" customFormat="false" ht="28.5" hidden="false" customHeight="true" outlineLevel="0" collapsed="false">
      <c r="A73" s="29" t="str">
        <f aca="false">IFERROR(INDEX('Bank Schedule'!A:A, SMALL(IF('Bank Schedule'!$K$2:$K$825="Vacant", ROW('Bank Schedule'!$K$2:$K$825)), ROW(70:70))), "")</f>
        <v/>
      </c>
      <c r="B73" s="29" t="str">
        <f aca="false" t="array" ref="B73:B73">IFERROR(INDEX('Bank Schedule'!B:B, SMALL(IF('Bank Schedule'!$K$2:$K$825="Vacant", ROW('Bank Schedule'!$K$2:$K$825)), ROW(70:70))), "")</f>
        <v>CD</v>
      </c>
      <c r="C73" s="29" t="str">
        <f aca="false" t="array" ref="C73:C73">IFERROR(INDEX('Bank Schedule'!C:C, SMALL(IF('Bank Schedule'!$K$2:$K$825="Vacant", ROW('Bank Schedule'!$K$2:$K$825)), ROW(70:70))), "")</f>
        <v>MEL</v>
      </c>
      <c r="D73" s="29" t="n">
        <f aca="false" t="array" ref="D73:D73">IFERROR(INDEX('Bank Schedule'!D:D, SMALL(IF('Bank Schedule'!$K$2:$K$825="Vacant", ROW('Bank Schedule'!$K$2:$K$825)), ROW(70:70))), "")</f>
        <v>550640</v>
      </c>
      <c r="E73" s="29" t="str">
        <f aca="false" t="array" ref="E73:E73">IFERROR(INDEX('Bank Schedule'!E:E, SMALL(IF('Bank Schedule'!$K$2:$K$825="Vacant", ROW('Bank Schedule'!$K$2:$K$825)), ROW(70:70))), "")</f>
        <v>75-77 Margaret Street</v>
      </c>
      <c r="F73" s="29" t="str">
        <f aca="false" t="array" ref="F73:F73">IFERROR(INDEX('Bank Schedule'!F:F, SMALL(IF('Bank Schedule'!$K$2:$K$825="Vacant", ROW('Bank Schedule'!$K$2:$K$825)), ROW(70:70))), "")</f>
        <v>Second Floor (Front)</v>
      </c>
      <c r="G73" s="29" t="str">
        <f aca="false" t="array" ref="G73:G73">IFERROR(INDEX('Bank Schedule'!G:G, SMALL(IF('Bank Schedule'!$K$2:$K$825="Vacant", ROW('Bank Schedule'!$K$2:$K$825)), ROW(70:70))), "")</f>
        <v>Office</v>
      </c>
      <c r="H73" s="305" t="n">
        <f aca="false" t="array" ref="H73:H73">IFERROR(INDEX('Bank Schedule'!H:H, SMALL(IF('Bank Schedule'!$K$2:$K$825="Vacant", ROW('Bank Schedule'!$K$2:$K$825)), ROW(70:70))), "")</f>
        <v>2256</v>
      </c>
      <c r="I73" s="29" t="n">
        <f aca="false" t="array" ref="I73:I73">IFERROR(INDEX('Bank Schedule'!I:I, SMALL(IF('Bank Schedule'!$K$2:$K$825="Vacant", ROW('Bank Schedule'!$K$2:$K$825)), ROW(70:70))), "")</f>
        <v>2256</v>
      </c>
      <c r="J73" s="305" t="n">
        <f aca="false" t="array" ref="J73:J73">IFERROR(INDEX('Bank Schedule'!J:J, SMALL(IF('Bank Schedule'!$K$2:$K$825="Vacant", ROW('Bank Schedule'!$K$2:$K$825)), ROW(70:70))), "")</f>
        <v>2250</v>
      </c>
      <c r="K73" s="29" t="str">
        <f aca="false" t="array" ref="K73:K73">IFERROR(INDEX('Bank Schedule'!K:K, SMALL(IF('Bank Schedule'!$K$2:$K$825="Vacant", ROW('Bank Schedule'!$K$2:$K$825)), ROW(70:70))), "")</f>
        <v>Vacant</v>
      </c>
      <c r="L73" s="29" t="str">
        <f aca="false">IFERROR(INDEX('Bank Schedule'!L:L, SMALL(IF('Bank Schedule'!$K$2:$K$825="Vacant", ROW('Bank Schedule'!$K$2:$K$825)), ROW(70:70))), "")</f>
        <v/>
      </c>
      <c r="M73" s="29" t="str">
        <f aca="false">IFERROR(INDEX('Bank Schedule'!M:M, SMALL(IF('Bank Schedule'!$K$2:$K$825="Vacant", ROW('Bank Schedule'!$K$2:$K$825)), ROW(70:70))), "")</f>
        <v/>
      </c>
      <c r="N73" s="307" t="n">
        <f aca="false" t="array" ref="N73:N73">IFERROR(INDEX('Bank Schedule'!N:N, SMALL(IF('Bank Schedule'!$K$2:$K$825="Vacant", ROW('Bank Schedule'!$K$2:$K$825)), ROW(70:70))), "")</f>
        <v>44782</v>
      </c>
      <c r="O73" s="29" t="str">
        <f aca="false">IFERROR(INDEX('Bank Schedule'!O:O, SMALL(IF('Bank Schedule'!$K$2:$K$825="Vacant", ROW('Bank Schedule'!$K$2:$K$825)), ROW(70:70))), "")</f>
        <v/>
      </c>
      <c r="P73" s="29" t="str">
        <f aca="false">IFERROR(INDEX('Bank Schedule'!P:P, SMALL(IF('Bank Schedule'!$K$2:$K$825="Vacant", ROW('Bank Schedule'!$K$2:$K$825)), ROW(70:70))), "")</f>
        <v/>
      </c>
      <c r="Q73" s="29" t="n">
        <f aca="false" t="array" ref="Q73:Q73">IFERROR(INDEX('Bank Schedule'!Q:Q, SMALL(IF('Bank Schedule'!$K$2:$K$825="Vacant", ROW('Bank Schedule'!$K$2:$K$825)), ROW(70:70))), "")</f>
        <v>0</v>
      </c>
      <c r="R73" s="29" t="n">
        <f aca="false" t="array" ref="R73:R73">IFERROR(INDEX('Bank Schedule'!R:R, SMALL(IF('Bank Schedule'!$K$2:$K$825="Vacant", ROW('Bank Schedule'!$K$2:$K$825)), ROW(70:70))), "")</f>
        <v>0</v>
      </c>
      <c r="S73" s="29" t="str">
        <f aca="false">IFERROR(INDEX('Bank Schedule'!S:S, SMALL(IF('Bank Schedule'!$K$2:$K$825="Vacant", ROW('Bank Schedule'!$K$2:$K$825)), ROW(70:70))), "")</f>
        <v/>
      </c>
      <c r="T73" s="309" t="n">
        <f aca="false" t="array" ref="T73:T73">IFERROR(INDEX('Bank Schedule'!T:T, SMALL(IF('Bank Schedule'!$K$2:$K$825="Vacant", ROW('Bank Schedule'!$K$2:$K$825)), ROW(70:70))), "")</f>
        <v>129200</v>
      </c>
      <c r="U73" s="309" t="n">
        <f aca="false" t="array" ref="U73:U73">IFERROR(INDEX('Bank Schedule'!U:U, SMALL(IF('Bank Schedule'!$K$2:$K$825="Vacant", ROW('Bank Schedule'!$K$2:$K$825)), ROW(70:70))), "")</f>
        <v>129200</v>
      </c>
      <c r="V73" s="309" t="n">
        <f aca="false" t="array" ref="V73:V73">IFERROR(INDEX('Bank Schedule'!V:V, SMALL(IF('Bank Schedule'!$K$2:$K$825="Vacant", ROW('Bank Schedule'!$K$2:$K$825)), ROW(70:70))), "")</f>
        <v>129700</v>
      </c>
      <c r="W73" s="309" t="n">
        <f aca="false" t="array" ref="W73:W73">IFERROR(INDEX('Bank Schedule'!W:W, SMALL(IF('Bank Schedule'!$K$2:$K$825="Vacant", ROW('Bank Schedule'!$K$2:$K$825)), ROW(70:70))), "")</f>
        <v>129700</v>
      </c>
      <c r="X73" s="309" t="n">
        <f aca="false" t="array" ref="X73:X73">IFERROR(INDEX('Bank Schedule'!X:X, SMALL(IF('Bank Schedule'!$K$2:$K$825="Vacant", ROW('Bank Schedule'!$K$2:$K$825)), ROW(70:70))), "")</f>
        <v>57.491134751773</v>
      </c>
      <c r="Y73" s="310" t="n">
        <f aca="false" t="array" ref="Y73:Y73">IFERROR(INDEX('Bank Schedule'!Y:Y, SMALL(IF('Bank Schedule'!$K$2:$K$825="Vacant", ROW('Bank Schedule'!$K$2:$K$825)), ROW(70:70))), "")</f>
        <v>0.00386996904024768</v>
      </c>
      <c r="Z73" s="29" t="str">
        <f aca="false" t="array" ref="Z73:Z73">IFERROR(INDEX('Bank Schedule'!Z:Z, SMALL(IF('Bank Schedule'!$K$2:$K$825="Vacant", ROW('Bank Schedule'!$K$2:$K$825)), ROW(70:70))), "")</f>
        <v>D</v>
      </c>
      <c r="AA73" s="29" t="str">
        <f aca="false">IFERROR(INDEX('Bank Schedule'!AA:AA, SMALL(IF('Bank Schedule'!$K$2:$K$825="Vacant", ROW('Bank Schedule'!$K$2:$K$825)), ROW(70:70))), "")</f>
        <v/>
      </c>
      <c r="AB73" s="29" t="str">
        <f aca="false">IFERROR(INDEX('Bank Schedule'!AB:AB, SMALL(IF('Bank Schedule'!$K$2:$K$825="Vacant", ROW('Bank Schedule'!$K$2:$K$825)), ROW(70:70))), "")</f>
        <v/>
      </c>
      <c r="AC73" s="29" t="str">
        <f aca="false" t="array" ref="AC73:AC73">IFERROR(INDEX('Bank Schedule'!AC:AC, SMALL(IF('Bank Schedule'!$K$2:$K$825="Vacant", ROW('Bank Schedule'!$K$2:$K$825)), ROW(70:70))), "")</f>
        <v>No</v>
      </c>
      <c r="AD73" s="29" t="str">
        <f aca="false" t="array" ref="AD73:AD73">IFERROR(INDEX('Bank Schedule'!AD:AD, SMALL(IF('Bank Schedule'!$K$2:$K$825="Vacant", ROW('Bank Schedule'!$K$2:$K$825)), ROW(70:70))), "")</f>
        <v>To be refurbished.</v>
      </c>
      <c r="AE73" s="281" t="n">
        <f aca="false" t="array" ref="AE73:AE73">IFERROR(INDEX('Bank Schedule'!AE:AE, SMALL(IF('Bank Schedule'!$K$2:$K$825="Vacant", ROW('Bank Schedule'!$K$2:$K$825)), ROW(70:70))), "")</f>
        <v>62.5</v>
      </c>
      <c r="AF73" s="29" t="n">
        <f aca="false" t="array" ref="AF73:AF73">IFERROR(INDEX('Bank Schedule'!AF:AF, SMALL(IF('Bank Schedule'!$K$2:$K$825="Vacant", ROW('Bank Schedule'!$K$2:$K$825)), ROW(70:70))), "")</f>
        <v>1</v>
      </c>
      <c r="AG73" s="29" t="n">
        <f aca="false" t="array" ref="AG73:AG73">IFERROR(INDEX('Bank Schedule'!AG:AG, SMALL(IF('Bank Schedule'!$K$2:$K$825="Vacant", ROW('Bank Schedule'!$K$2:$K$825)), ROW(70:70))), "")</f>
        <v>1</v>
      </c>
      <c r="AH73" s="29" t="str">
        <f aca="false">IFERROR(INDEX('Bank Schedule'!AH:AH, SMALL(IF('Bank Schedule'!$K$2:$K$825="Vacant", ROW('Bank Schedule'!$K$2:$K$825)), ROW(70:70))), "")</f>
        <v/>
      </c>
      <c r="AI73" s="4"/>
    </row>
    <row r="74" customFormat="false" ht="28.5" hidden="false" customHeight="true" outlineLevel="0" collapsed="false">
      <c r="A74" s="29" t="str">
        <f aca="false">IFERROR(INDEX('Bank Schedule'!A:A, SMALL(IF('Bank Schedule'!$K$2:$K$825="Vacant", ROW('Bank Schedule'!$K$2:$K$825)), ROW(71:71))), "")</f>
        <v/>
      </c>
      <c r="B74" s="29" t="str">
        <f aca="false" t="array" ref="B74:B74">IFERROR(INDEX('Bank Schedule'!B:B, SMALL(IF('Bank Schedule'!$K$2:$K$825="Vacant", ROW('Bank Schedule'!$K$2:$K$825)), ROW(71:71))), "")</f>
        <v>CD</v>
      </c>
      <c r="C74" s="29" t="str">
        <f aca="false" t="array" ref="C74:C74">IFERROR(INDEX('Bank Schedule'!C:C, SMALL(IF('Bank Schedule'!$K$2:$K$825="Vacant", ROW('Bank Schedule'!$K$2:$K$825)), ROW(71:71))), "")</f>
        <v>MEL</v>
      </c>
      <c r="D74" s="29" t="n">
        <f aca="false" t="array" ref="D74:D74">IFERROR(INDEX('Bank Schedule'!D:D, SMALL(IF('Bank Schedule'!$K$2:$K$825="Vacant", ROW('Bank Schedule'!$K$2:$K$825)), ROW(71:71))), "")</f>
        <v>550640</v>
      </c>
      <c r="E74" s="29" t="str">
        <f aca="false" t="array" ref="E74:E74">IFERROR(INDEX('Bank Schedule'!E:E, SMALL(IF('Bank Schedule'!$K$2:$K$825="Vacant", ROW('Bank Schedule'!$K$2:$K$825)), ROW(71:71))), "")</f>
        <v>75-77 Margaret Street</v>
      </c>
      <c r="F74" s="29" t="str">
        <f aca="false" t="array" ref="F74:F74">IFERROR(INDEX('Bank Schedule'!F:F, SMALL(IF('Bank Schedule'!$K$2:$K$825="Vacant", ROW('Bank Schedule'!$K$2:$K$825)), ROW(71:71))), "")</f>
        <v>Second Floor (Rear)</v>
      </c>
      <c r="G74" s="29" t="str">
        <f aca="false" t="array" ref="G74:G74">IFERROR(INDEX('Bank Schedule'!G:G, SMALL(IF('Bank Schedule'!$K$2:$K$825="Vacant", ROW('Bank Schedule'!$K$2:$K$825)), ROW(71:71))), "")</f>
        <v>Office</v>
      </c>
      <c r="H74" s="305" t="n">
        <f aca="false" t="array" ref="H74:H74">IFERROR(INDEX('Bank Schedule'!H:H, SMALL(IF('Bank Schedule'!$K$2:$K$825="Vacant", ROW('Bank Schedule'!$K$2:$K$825)), ROW(71:71))), "")</f>
        <v>1218</v>
      </c>
      <c r="I74" s="29" t="n">
        <f aca="false" t="array" ref="I74:I74">IFERROR(INDEX('Bank Schedule'!I:I, SMALL(IF('Bank Schedule'!$K$2:$K$825="Vacant", ROW('Bank Schedule'!$K$2:$K$825)), ROW(71:71))), "")</f>
        <v>1218</v>
      </c>
      <c r="J74" s="305" t="n">
        <f aca="false" t="array" ref="J74:J74">IFERROR(INDEX('Bank Schedule'!J:J, SMALL(IF('Bank Schedule'!$K$2:$K$825="Vacant", ROW('Bank Schedule'!$K$2:$K$825)), ROW(71:71))), "")</f>
        <v>1250</v>
      </c>
      <c r="K74" s="29" t="str">
        <f aca="false" t="array" ref="K74:K74">IFERROR(INDEX('Bank Schedule'!K:K, SMALL(IF('Bank Schedule'!$K$2:$K$825="Vacant", ROW('Bank Schedule'!$K$2:$K$825)), ROW(71:71))), "")</f>
        <v>Vacant</v>
      </c>
      <c r="L74" s="29" t="str">
        <f aca="false">IFERROR(INDEX('Bank Schedule'!L:L, SMALL(IF('Bank Schedule'!$K$2:$K$825="Vacant", ROW('Bank Schedule'!$K$2:$K$825)), ROW(71:71))), "")</f>
        <v/>
      </c>
      <c r="M74" s="29" t="str">
        <f aca="false">IFERROR(INDEX('Bank Schedule'!M:M, SMALL(IF('Bank Schedule'!$K$2:$K$825="Vacant", ROW('Bank Schedule'!$K$2:$K$825)), ROW(71:71))), "")</f>
        <v/>
      </c>
      <c r="N74" s="307" t="n">
        <f aca="false" t="array" ref="N74:N74">IFERROR(INDEX('Bank Schedule'!N:N, SMALL(IF('Bank Schedule'!$K$2:$K$825="Vacant", ROW('Bank Schedule'!$K$2:$K$825)), ROW(71:71))), "")</f>
        <v>42513</v>
      </c>
      <c r="O74" s="29" t="str">
        <f aca="false">IFERROR(INDEX('Bank Schedule'!O:O, SMALL(IF('Bank Schedule'!$K$2:$K$825="Vacant", ROW('Bank Schedule'!$K$2:$K$825)), ROW(71:71))), "")</f>
        <v/>
      </c>
      <c r="P74" s="29" t="str">
        <f aca="false">IFERROR(INDEX('Bank Schedule'!P:P, SMALL(IF('Bank Schedule'!$K$2:$K$825="Vacant", ROW('Bank Schedule'!$K$2:$K$825)), ROW(71:71))), "")</f>
        <v/>
      </c>
      <c r="Q74" s="29" t="n">
        <f aca="false" t="array" ref="Q74:Q74">IFERROR(INDEX('Bank Schedule'!Q:Q, SMALL(IF('Bank Schedule'!$K$2:$K$825="Vacant", ROW('Bank Schedule'!$K$2:$K$825)), ROW(71:71))), "")</f>
        <v>0</v>
      </c>
      <c r="R74" s="29" t="n">
        <f aca="false" t="array" ref="R74:R74">IFERROR(INDEX('Bank Schedule'!R:R, SMALL(IF('Bank Schedule'!$K$2:$K$825="Vacant", ROW('Bank Schedule'!$K$2:$K$825)), ROW(71:71))), "")</f>
        <v>0</v>
      </c>
      <c r="S74" s="29" t="str">
        <f aca="false">IFERROR(INDEX('Bank Schedule'!S:S, SMALL(IF('Bank Schedule'!$K$2:$K$825="Vacant", ROW('Bank Schedule'!$K$2:$K$825)), ROW(71:71))), "")</f>
        <v/>
      </c>
      <c r="T74" s="309" t="n">
        <f aca="false" t="array" ref="T74:T74">IFERROR(INDEX('Bank Schedule'!T:T, SMALL(IF('Bank Schedule'!$K$2:$K$825="Vacant", ROW('Bank Schedule'!$K$2:$K$825)), ROW(71:71))), "")</f>
        <v>59700</v>
      </c>
      <c r="U74" s="309" t="n">
        <f aca="false" t="array" ref="U74:U74">IFERROR(INDEX('Bank Schedule'!U:U, SMALL(IF('Bank Schedule'!$K$2:$K$825="Vacant", ROW('Bank Schedule'!$K$2:$K$825)), ROW(71:71))), "")</f>
        <v>59700</v>
      </c>
      <c r="V74" s="309" t="n">
        <f aca="false" t="array" ref="V74:V74">IFERROR(INDEX('Bank Schedule'!V:V, SMALL(IF('Bank Schedule'!$K$2:$K$825="Vacant", ROW('Bank Schedule'!$K$2:$K$825)), ROW(71:71))), "")</f>
        <v>63900</v>
      </c>
      <c r="W74" s="309" t="n">
        <f aca="false" t="array" ref="W74:W74">IFERROR(INDEX('Bank Schedule'!W:W, SMALL(IF('Bank Schedule'!$K$2:$K$825="Vacant", ROW('Bank Schedule'!$K$2:$K$825)), ROW(71:71))), "")</f>
        <v>63900</v>
      </c>
      <c r="X74" s="309" t="n">
        <f aca="false" t="array" ref="X74:X74">IFERROR(INDEX('Bank Schedule'!X:X, SMALL(IF('Bank Schedule'!$K$2:$K$825="Vacant", ROW('Bank Schedule'!$K$2:$K$825)), ROW(71:71))), "")</f>
        <v>52.4630541871921</v>
      </c>
      <c r="Y74" s="310" t="n">
        <f aca="false" t="array" ref="Y74:Y74">IFERROR(INDEX('Bank Schedule'!Y:Y, SMALL(IF('Bank Schedule'!$K$2:$K$825="Vacant", ROW('Bank Schedule'!$K$2:$K$825)), ROW(71:71))), "")</f>
        <v>0.0703517587939699</v>
      </c>
      <c r="Z74" s="29" t="str">
        <f aca="false" t="array" ref="Z74:Z74">IFERROR(INDEX('Bank Schedule'!Z:Z, SMALL(IF('Bank Schedule'!$K$2:$K$825="Vacant", ROW('Bank Schedule'!$K$2:$K$825)), ROW(71:71))), "")</f>
        <v>E</v>
      </c>
      <c r="AA74" s="29" t="str">
        <f aca="false">IFERROR(INDEX('Bank Schedule'!AA:AA, SMALL(IF('Bank Schedule'!$K$2:$K$825="Vacant", ROW('Bank Schedule'!$K$2:$K$825)), ROW(71:71))), "")</f>
        <v/>
      </c>
      <c r="AB74" s="29" t="str">
        <f aca="false">IFERROR(INDEX('Bank Schedule'!AB:AB, SMALL(IF('Bank Schedule'!$K$2:$K$825="Vacant", ROW('Bank Schedule'!$K$2:$K$825)), ROW(71:71))), "")</f>
        <v/>
      </c>
      <c r="AC74" s="29" t="str">
        <f aca="false" t="array" ref="AC74:AC74">IFERROR(INDEX('Bank Schedule'!AC:AC, SMALL(IF('Bank Schedule'!$K$2:$K$825="Vacant", ROW('Bank Schedule'!$K$2:$K$825)), ROW(71:71))), "")</f>
        <v>No</v>
      </c>
      <c r="AD74" s="29" t="str">
        <f aca="false" t="array" ref="AD74:AD74">IFERROR(INDEX('Bank Schedule'!AD:AD, SMALL(IF('Bank Schedule'!$K$2:$K$825="Vacant", ROW('Bank Schedule'!$K$2:$K$825)), ROW(71:71))), "")</f>
        <v>To be refurbished.</v>
      </c>
      <c r="AE74" s="281" t="n">
        <f aca="false" t="array" ref="AE74:AE74">IFERROR(INDEX('Bank Schedule'!AE:AE, SMALL(IF('Bank Schedule'!$K$2:$K$825="Vacant", ROW('Bank Schedule'!$K$2:$K$825)), ROW(71:71))), "")</f>
        <v>62.5</v>
      </c>
      <c r="AF74" s="29" t="str">
        <f aca="false">IFERROR(INDEX('Bank Schedule'!AF:AF, SMALL(IF('Bank Schedule'!$K$2:$K$825="Vacant", ROW('Bank Schedule'!$K$2:$K$825)), ROW(71:71))), "")</f>
        <v/>
      </c>
      <c r="AG74" s="29" t="str">
        <f aca="false">IFERROR(INDEX('Bank Schedule'!AG:AG, SMALL(IF('Bank Schedule'!$K$2:$K$825="Vacant", ROW('Bank Schedule'!$K$2:$K$825)), ROW(71:71))), "")</f>
        <v/>
      </c>
      <c r="AH74" s="29" t="str">
        <f aca="false">IFERROR(INDEX('Bank Schedule'!AH:AH, SMALL(IF('Bank Schedule'!$K$2:$K$825="Vacant", ROW('Bank Schedule'!$K$2:$K$825)), ROW(71:71))), "")</f>
        <v/>
      </c>
      <c r="AI74" s="4"/>
    </row>
    <row r="75" customFormat="false" ht="28.5" hidden="false" customHeight="true" outlineLevel="0" collapsed="false">
      <c r="A75" s="29" t="str">
        <f aca="false">IFERROR(INDEX('Bank Schedule'!A:A, SMALL(IF('Bank Schedule'!$K$2:$K$825="Vacant", ROW('Bank Schedule'!$K$2:$K$825)), ROW(72:72))), "")</f>
        <v/>
      </c>
      <c r="B75" s="29" t="str">
        <f aca="false" t="array" ref="B75:B75">IFERROR(INDEX('Bank Schedule'!B:B, SMALL(IF('Bank Schedule'!$K$2:$K$825="Vacant", ROW('Bank Schedule'!$K$2:$K$825)), ROW(72:72))), "")</f>
        <v>CD</v>
      </c>
      <c r="C75" s="29" t="str">
        <f aca="false" t="array" ref="C75:C75">IFERROR(INDEX('Bank Schedule'!C:C, SMALL(IF('Bank Schedule'!$K$2:$K$825="Vacant", ROW('Bank Schedule'!$K$2:$K$825)), ROW(72:72))), "")</f>
        <v>MEL</v>
      </c>
      <c r="D75" s="29" t="n">
        <f aca="false" t="array" ref="D75:D75">IFERROR(INDEX('Bank Schedule'!D:D, SMALL(IF('Bank Schedule'!$K$2:$K$825="Vacant", ROW('Bank Schedule'!$K$2:$K$825)), ROW(72:72))), "")</f>
        <v>550640</v>
      </c>
      <c r="E75" s="29" t="str">
        <f aca="false" t="array" ref="E75:E75">IFERROR(INDEX('Bank Schedule'!E:E, SMALL(IF('Bank Schedule'!$K$2:$K$825="Vacant", ROW('Bank Schedule'!$K$2:$K$825)), ROW(72:72))), "")</f>
        <v>75-77 Margaret Street</v>
      </c>
      <c r="F75" s="29" t="str">
        <f aca="false" t="array" ref="F75:F75">IFERROR(INDEX('Bank Schedule'!F:F, SMALL(IF('Bank Schedule'!$K$2:$K$825="Vacant", ROW('Bank Schedule'!$K$2:$K$825)), ROW(72:72))), "")</f>
        <v>Fourth Floor</v>
      </c>
      <c r="G75" s="29" t="str">
        <f aca="false" t="array" ref="G75:G75">IFERROR(INDEX('Bank Schedule'!G:G, SMALL(IF('Bank Schedule'!$K$2:$K$825="Vacant", ROW('Bank Schedule'!$K$2:$K$825)), ROW(72:72))), "")</f>
        <v>Office</v>
      </c>
      <c r="H75" s="305" t="n">
        <f aca="false" t="array" ref="H75:H75">IFERROR(INDEX('Bank Schedule'!H:H, SMALL(IF('Bank Schedule'!$K$2:$K$825="Vacant", ROW('Bank Schedule'!$K$2:$K$825)), ROW(72:72))), "")</f>
        <v>2080</v>
      </c>
      <c r="I75" s="29" t="n">
        <f aca="false" t="array" ref="I75:I75">IFERROR(INDEX('Bank Schedule'!I:I, SMALL(IF('Bank Schedule'!$K$2:$K$825="Vacant", ROW('Bank Schedule'!$K$2:$K$825)), ROW(72:72))), "")</f>
        <v>2080</v>
      </c>
      <c r="J75" s="305" t="n">
        <f aca="false" t="array" ref="J75:J75">IFERROR(INDEX('Bank Schedule'!J:J, SMALL(IF('Bank Schedule'!$K$2:$K$825="Vacant", ROW('Bank Schedule'!$K$2:$K$825)), ROW(72:72))), "")</f>
        <v>2000</v>
      </c>
      <c r="K75" s="29" t="str">
        <f aca="false" t="array" ref="K75:K75">IFERROR(INDEX('Bank Schedule'!K:K, SMALL(IF('Bank Schedule'!$K$2:$K$825="Vacant", ROW('Bank Schedule'!$K$2:$K$825)), ROW(72:72))), "")</f>
        <v>Vacant</v>
      </c>
      <c r="L75" s="29" t="str">
        <f aca="false">IFERROR(INDEX('Bank Schedule'!L:L, SMALL(IF('Bank Schedule'!$K$2:$K$825="Vacant", ROW('Bank Schedule'!$K$2:$K$825)), ROW(72:72))), "")</f>
        <v/>
      </c>
      <c r="M75" s="29" t="str">
        <f aca="false">IFERROR(INDEX('Bank Schedule'!M:M, SMALL(IF('Bank Schedule'!$K$2:$K$825="Vacant", ROW('Bank Schedule'!$K$2:$K$825)), ROW(72:72))), "")</f>
        <v/>
      </c>
      <c r="N75" s="307" t="n">
        <f aca="false" t="array" ref="N75:N75">IFERROR(INDEX('Bank Schedule'!N:N, SMALL(IF('Bank Schedule'!$K$2:$K$825="Vacant", ROW('Bank Schedule'!$K$2:$K$825)), ROW(72:72))), "")</f>
        <v>44647</v>
      </c>
      <c r="O75" s="29" t="str">
        <f aca="false">IFERROR(INDEX('Bank Schedule'!O:O, SMALL(IF('Bank Schedule'!$K$2:$K$825="Vacant", ROW('Bank Schedule'!$K$2:$K$825)), ROW(72:72))), "")</f>
        <v/>
      </c>
      <c r="P75" s="29" t="str">
        <f aca="false">IFERROR(INDEX('Bank Schedule'!P:P, SMALL(IF('Bank Schedule'!$K$2:$K$825="Vacant", ROW('Bank Schedule'!$K$2:$K$825)), ROW(72:72))), "")</f>
        <v/>
      </c>
      <c r="Q75" s="29" t="n">
        <f aca="false" t="array" ref="Q75:Q75">IFERROR(INDEX('Bank Schedule'!Q:Q, SMALL(IF('Bank Schedule'!$K$2:$K$825="Vacant", ROW('Bank Schedule'!$K$2:$K$825)), ROW(72:72))), "")</f>
        <v>0</v>
      </c>
      <c r="R75" s="29" t="n">
        <f aca="false" t="array" ref="R75:R75">IFERROR(INDEX('Bank Schedule'!R:R, SMALL(IF('Bank Schedule'!$K$2:$K$825="Vacant", ROW('Bank Schedule'!$K$2:$K$825)), ROW(72:72))), "")</f>
        <v>0</v>
      </c>
      <c r="S75" s="29" t="str">
        <f aca="false">IFERROR(INDEX('Bank Schedule'!S:S, SMALL(IF('Bank Schedule'!$K$2:$K$825="Vacant", ROW('Bank Schedule'!$K$2:$K$825)), ROW(72:72))), "")</f>
        <v/>
      </c>
      <c r="T75" s="309" t="n">
        <f aca="false" t="array" ref="T75:T75">IFERROR(INDEX('Bank Schedule'!T:T, SMALL(IF('Bank Schedule'!$K$2:$K$825="Vacant", ROW('Bank Schedule'!$K$2:$K$825)), ROW(72:72))), "")</f>
        <v>117900</v>
      </c>
      <c r="U75" s="309" t="n">
        <f aca="false" t="array" ref="U75:U75">IFERROR(INDEX('Bank Schedule'!U:U, SMALL(IF('Bank Schedule'!$K$2:$K$825="Vacant", ROW('Bank Schedule'!$K$2:$K$825)), ROW(72:72))), "")</f>
        <v>117900</v>
      </c>
      <c r="V75" s="309" t="n">
        <f aca="false" t="array" ref="V75:V75">IFERROR(INDEX('Bank Schedule'!V:V, SMALL(IF('Bank Schedule'!$K$2:$K$825="Vacant", ROW('Bank Schedule'!$K$2:$K$825)), ROW(72:72))), "")</f>
        <v>119600</v>
      </c>
      <c r="W75" s="309" t="n">
        <f aca="false" t="array" ref="W75:W75">IFERROR(INDEX('Bank Schedule'!W:W, SMALL(IF('Bank Schedule'!$K$2:$K$825="Vacant", ROW('Bank Schedule'!$K$2:$K$825)), ROW(72:72))), "")</f>
        <v>119600</v>
      </c>
      <c r="X75" s="309" t="n">
        <f aca="false" t="array" ref="X75:X75">IFERROR(INDEX('Bank Schedule'!X:X, SMALL(IF('Bank Schedule'!$K$2:$K$825="Vacant", ROW('Bank Schedule'!$K$2:$K$825)), ROW(72:72))), "")</f>
        <v>57.5</v>
      </c>
      <c r="Y75" s="310" t="n">
        <f aca="false" t="array" ref="Y75:Y75">IFERROR(INDEX('Bank Schedule'!Y:Y, SMALL(IF('Bank Schedule'!$K$2:$K$825="Vacant", ROW('Bank Schedule'!$K$2:$K$825)), ROW(72:72))), "")</f>
        <v>0.0144189991518236</v>
      </c>
      <c r="Z75" s="29" t="str">
        <f aca="false" t="array" ref="Z75:Z75">IFERROR(INDEX('Bank Schedule'!Z:Z, SMALL(IF('Bank Schedule'!$K$2:$K$825="Vacant", ROW('Bank Schedule'!$K$2:$K$825)), ROW(72:72))), "")</f>
        <v>D</v>
      </c>
      <c r="AA75" s="29" t="str">
        <f aca="false">IFERROR(INDEX('Bank Schedule'!AA:AA, SMALL(IF('Bank Schedule'!$K$2:$K$825="Vacant", ROW('Bank Schedule'!$K$2:$K$825)), ROW(72:72))), "")</f>
        <v/>
      </c>
      <c r="AB75" s="29" t="str">
        <f aca="false">IFERROR(INDEX('Bank Schedule'!AB:AB, SMALL(IF('Bank Schedule'!$K$2:$K$825="Vacant", ROW('Bank Schedule'!$K$2:$K$825)), ROW(72:72))), "")</f>
        <v/>
      </c>
      <c r="AC75" s="29" t="str">
        <f aca="false" t="array" ref="AC75:AC75">IFERROR(INDEX('Bank Schedule'!AC:AC, SMALL(IF('Bank Schedule'!$K$2:$K$825="Vacant", ROW('Bank Schedule'!$K$2:$K$825)), ROW(72:72))), "")</f>
        <v>No</v>
      </c>
      <c r="AD75" s="29" t="str">
        <f aca="false" t="array" ref="AD75:AD75">IFERROR(INDEX('Bank Schedule'!AD:AD, SMALL(IF('Bank Schedule'!$K$2:$K$825="Vacant", ROW('Bank Schedule'!$K$2:$K$825)), ROW(72:72))), "")</f>
        <v>To be refurbished.</v>
      </c>
      <c r="AE75" s="281" t="n">
        <f aca="false" t="array" ref="AE75:AE75">IFERROR(INDEX('Bank Schedule'!AE:AE, SMALL(IF('Bank Schedule'!$K$2:$K$825="Vacant", ROW('Bank Schedule'!$K$2:$K$825)), ROW(72:72))), "")</f>
        <v>63</v>
      </c>
      <c r="AF75" s="29" t="n">
        <f aca="false" t="array" ref="AF75:AF75">IFERROR(INDEX('Bank Schedule'!AF:AF, SMALL(IF('Bank Schedule'!$K$2:$K$825="Vacant", ROW('Bank Schedule'!$K$2:$K$825)), ROW(72:72))), "")</f>
        <v>1</v>
      </c>
      <c r="AG75" s="29" t="n">
        <f aca="false" t="array" ref="AG75:AG75">IFERROR(INDEX('Bank Schedule'!AG:AG, SMALL(IF('Bank Schedule'!$K$2:$K$825="Vacant", ROW('Bank Schedule'!$K$2:$K$825)), ROW(72:72))), "")</f>
        <v>4</v>
      </c>
      <c r="AH75" s="29" t="str">
        <f aca="false" t="array" ref="AH75:AH75">IFERROR(INDEX('Bank Schedule'!AH:AH, SMALL(IF('Bank Schedule'!$K$2:$K$825="Vacant", ROW('Bank Schedule'!$K$2:$K$825)), ROW(72:72))), "")</f>
        <v>LEM / LDG</v>
      </c>
      <c r="AI75" s="4"/>
    </row>
    <row r="76" customFormat="false" ht="28.5" hidden="false" customHeight="true" outlineLevel="0" collapsed="false">
      <c r="A76" s="29" t="n">
        <f aca="false">IFERROR(INDEX('Bank Schedule'!A:A, SMALL(IF('Bank Schedule'!$K$2:$K$825="Vacant", ROW('Bank Schedule'!$K$2:$K$825)), ROW(73:73))), "")</f>
        <v>0</v>
      </c>
      <c r="B76" s="29" t="str">
        <f aca="false" t="array" ref="B76:B76">IFERROR(INDEX('Bank Schedule'!B:B, SMALL(IF('Bank Schedule'!$K$2:$K$825="Vacant", ROW('Bank Schedule'!$K$2:$K$825)), ROW(73:73))), "")</f>
        <v>CD</v>
      </c>
      <c r="C76" s="29" t="str">
        <f aca="false" t="array" ref="C76:C76">IFERROR(INDEX('Bank Schedule'!C:C, SMALL(IF('Bank Schedule'!$K$2:$K$825="Vacant", ROW('Bank Schedule'!$K$2:$K$825)), ROW(73:73))), "")</f>
        <v>MEL</v>
      </c>
      <c r="D76" s="29" t="n">
        <f aca="false" t="array" ref="D76:D76">IFERROR(INDEX('Bank Schedule'!D:D, SMALL(IF('Bank Schedule'!$K$2:$K$825="Vacant", ROW('Bank Schedule'!$K$2:$K$825)), ROW(73:73))), "")</f>
        <v>550640</v>
      </c>
      <c r="E76" s="29" t="str">
        <f aca="false" t="array" ref="E76:E76">IFERROR(INDEX('Bank Schedule'!E:E, SMALL(IF('Bank Schedule'!$K$2:$K$825="Vacant", ROW('Bank Schedule'!$K$2:$K$825)), ROW(73:73))), "")</f>
        <v>75-77 Margaret Street</v>
      </c>
      <c r="F76" s="29" t="str">
        <f aca="false" t="array" ref="F76:F76">IFERROR(INDEX('Bank Schedule'!F:F, SMALL(IF('Bank Schedule'!$K$2:$K$825="Vacant", ROW('Bank Schedule'!$K$2:$K$825)), ROW(73:73))), "")</f>
        <v>Fifth Floor</v>
      </c>
      <c r="G76" s="29" t="str">
        <f aca="false" t="array" ref="G76:G76">IFERROR(INDEX('Bank Schedule'!G:G, SMALL(IF('Bank Schedule'!$K$2:$K$825="Vacant", ROW('Bank Schedule'!$K$2:$K$825)), ROW(73:73))), "")</f>
        <v>Office</v>
      </c>
      <c r="H76" s="305" t="n">
        <f aca="false" t="array" ref="H76:H76">IFERROR(INDEX('Bank Schedule'!H:H, SMALL(IF('Bank Schedule'!$K$2:$K$825="Vacant", ROW('Bank Schedule'!$K$2:$K$825)), ROW(73:73))), "")</f>
        <v>1713</v>
      </c>
      <c r="I76" s="29" t="n">
        <f aca="false" t="array" ref="I76:I76">IFERROR(INDEX('Bank Schedule'!I:I, SMALL(IF('Bank Schedule'!$K$2:$K$825="Vacant", ROW('Bank Schedule'!$K$2:$K$825)), ROW(73:73))), "")</f>
        <v>1713</v>
      </c>
      <c r="J76" s="305" t="n">
        <f aca="false" t="array" ref="J76:J76">IFERROR(INDEX('Bank Schedule'!J:J, SMALL(IF('Bank Schedule'!$K$2:$K$825="Vacant", ROW('Bank Schedule'!$K$2:$K$825)), ROW(73:73))), "")</f>
        <v>1750</v>
      </c>
      <c r="K76" s="29" t="str">
        <f aca="false" t="array" ref="K76:K76">IFERROR(INDEX('Bank Schedule'!K:K, SMALL(IF('Bank Schedule'!$K$2:$K$825="Vacant", ROW('Bank Schedule'!$K$2:$K$825)), ROW(73:73))), "")</f>
        <v>Vacant</v>
      </c>
      <c r="L76" s="306" t="n">
        <f aca="false">IFERROR(INDEX('Bank Schedule'!L:L, SMALL(IF('Bank Schedule'!$K$2:$K$825="Vacant", ROW('Bank Schedule'!$K$2:$K$825)), ROW(73:73))), "")</f>
        <v>45622</v>
      </c>
      <c r="M76" s="306" t="n">
        <f aca="false">IFERROR(INDEX('Bank Schedule'!M:M, SMALL(IF('Bank Schedule'!$K$2:$K$825="Vacant", ROW('Bank Schedule'!$K$2:$K$825)), ROW(73:73))), "")</f>
        <v>47447</v>
      </c>
      <c r="N76" s="307" t="n">
        <f aca="false" t="array" ref="N76:N76">IFERROR(INDEX('Bank Schedule'!N:N, SMALL(IF('Bank Schedule'!$K$2:$K$825="Vacant", ROW('Bank Schedule'!$K$2:$K$825)), ROW(73:73))), "")</f>
        <v>45195</v>
      </c>
      <c r="O76" s="306" t="n">
        <f aca="false">IFERROR(INDEX('Bank Schedule'!O:O, SMALL(IF('Bank Schedule'!$K$2:$K$825="Vacant", ROW('Bank Schedule'!$K$2:$K$825)), ROW(73:73))), "")</f>
        <v>0</v>
      </c>
      <c r="P76" s="306" t="n">
        <f aca="false">IFERROR(INDEX('Bank Schedule'!P:P, SMALL(IF('Bank Schedule'!$K$2:$K$825="Vacant", ROW('Bank Schedule'!$K$2:$K$825)), ROW(73:73))), "")</f>
        <v>46716</v>
      </c>
      <c r="Q76" s="29" t="n">
        <f aca="false" t="array" ref="Q76:Q76">IFERROR(INDEX('Bank Schedule'!Q:Q, SMALL(IF('Bank Schedule'!$K$2:$K$825="Vacant", ROW('Bank Schedule'!$K$2:$K$825)), ROW(73:73))), "")</f>
        <v>0</v>
      </c>
      <c r="R76" s="29" t="n">
        <f aca="false" t="array" ref="R76:R76">IFERROR(INDEX('Bank Schedule'!R:R, SMALL(IF('Bank Schedule'!$K$2:$K$825="Vacant", ROW('Bank Schedule'!$K$2:$K$825)), ROW(73:73))), "")</f>
        <v>0</v>
      </c>
      <c r="S76" s="308" t="n">
        <f aca="false">IFERROR(INDEX('Bank Schedule'!S:S, SMALL(IF('Bank Schedule'!$K$2:$K$825="Vacant", ROW('Bank Schedule'!$K$2:$K$825)), ROW(73:73))), "")</f>
        <v>0</v>
      </c>
      <c r="T76" s="309" t="n">
        <f aca="false" t="array" ref="T76:T76">IFERROR(INDEX('Bank Schedule'!T:T, SMALL(IF('Bank Schedule'!$K$2:$K$825="Vacant", ROW('Bank Schedule'!$K$2:$K$825)), ROW(73:73))), "")</f>
        <v>94300</v>
      </c>
      <c r="U76" s="309" t="n">
        <f aca="false" t="array" ref="U76:U76">IFERROR(INDEX('Bank Schedule'!U:U, SMALL(IF('Bank Schedule'!$K$2:$K$825="Vacant", ROW('Bank Schedule'!$K$2:$K$825)), ROW(73:73))), "")</f>
        <v>94300</v>
      </c>
      <c r="V76" s="309" t="n">
        <f aca="false" t="array" ref="V76:V76">IFERROR(INDEX('Bank Schedule'!V:V, SMALL(IF('Bank Schedule'!$K$2:$K$825="Vacant", ROW('Bank Schedule'!$K$2:$K$825)), ROW(73:73))), "")</f>
        <v>98500</v>
      </c>
      <c r="W76" s="309" t="n">
        <f aca="false" t="array" ref="W76:W76">IFERROR(INDEX('Bank Schedule'!W:W, SMALL(IF('Bank Schedule'!$K$2:$K$825="Vacant", ROW('Bank Schedule'!$K$2:$K$825)), ROW(73:73))), "")</f>
        <v>98500</v>
      </c>
      <c r="X76" s="309" t="n">
        <f aca="false" t="array" ref="X76:X76">IFERROR(INDEX('Bank Schedule'!X:X, SMALL(IF('Bank Schedule'!$K$2:$K$825="Vacant", ROW('Bank Schedule'!$K$2:$K$825)), ROW(73:73))), "")</f>
        <v>57.5014594279043</v>
      </c>
      <c r="Y76" s="310" t="n">
        <f aca="false" t="array" ref="Y76:Y76">IFERROR(INDEX('Bank Schedule'!Y:Y, SMALL(IF('Bank Schedule'!$K$2:$K$825="Vacant", ROW('Bank Schedule'!$K$2:$K$825)), ROW(73:73))), "")</f>
        <v>0.0445387062566278</v>
      </c>
      <c r="Z76" s="29" t="str">
        <f aca="false" t="array" ref="Z76:Z76">IFERROR(INDEX('Bank Schedule'!Z:Z, SMALL(IF('Bank Schedule'!$K$2:$K$825="Vacant", ROW('Bank Schedule'!$K$2:$K$825)), ROW(73:73))), "")</f>
        <v>E</v>
      </c>
      <c r="AA76" s="308" t="n">
        <f aca="false">IFERROR(INDEX('Bank Schedule'!AA:AA, SMALL(IF('Bank Schedule'!$K$2:$K$825="Vacant", ROW('Bank Schedule'!$K$2:$K$825)), ROW(73:73))), "")</f>
        <v>0</v>
      </c>
      <c r="AB76" s="311" t="n">
        <f aca="false">IFERROR(INDEX('Bank Schedule'!AB:AB, SMALL(IF('Bank Schedule'!$K$2:$K$825="Vacant", ROW('Bank Schedule'!$K$2:$K$825)), ROW(73:73))), "")</f>
        <v>0</v>
      </c>
      <c r="AC76" s="29" t="str">
        <f aca="false" t="array" ref="AC76:AC76">IFERROR(INDEX('Bank Schedule'!AC:AC, SMALL(IF('Bank Schedule'!$K$2:$K$825="Vacant", ROW('Bank Schedule'!$K$2:$K$825)), ROW(73:73))), "")</f>
        <v>No</v>
      </c>
      <c r="AD76" s="29" t="str">
        <f aca="false" t="array" ref="AD76:AD76">IFERROR(INDEX('Bank Schedule'!AD:AD, SMALL(IF('Bank Schedule'!$K$2:$K$825="Vacant", ROW('Bank Schedule'!$K$2:$K$825)), ROW(73:73))), "")</f>
        <v>To be refurbished.</v>
      </c>
      <c r="AE76" s="281" t="n">
        <f aca="false" t="array" ref="AE76:AE76">IFERROR(INDEX('Bank Schedule'!AE:AE, SMALL(IF('Bank Schedule'!$K$2:$K$825="Vacant", ROW('Bank Schedule'!$K$2:$K$825)), ROW(73:73))), "")</f>
        <v>65</v>
      </c>
      <c r="AF76" s="29" t="n">
        <f aca="false" t="array" ref="AF76:AF76">IFERROR(INDEX('Bank Schedule'!AF:AF, SMALL(IF('Bank Schedule'!$K$2:$K$825="Vacant", ROW('Bank Schedule'!$K$2:$K$825)), ROW(73:73))), "")</f>
        <v>1</v>
      </c>
      <c r="AG76" s="29" t="n">
        <f aca="false" t="array" ref="AG76:AG76">IFERROR(INDEX('Bank Schedule'!AG:AG, SMALL(IF('Bank Schedule'!$K$2:$K$825="Vacant", ROW('Bank Schedule'!$K$2:$K$825)), ROW(73:73))), "")</f>
        <v>1</v>
      </c>
      <c r="AH76" s="29" t="str">
        <f aca="false">IFERROR(INDEX('Bank Schedule'!AH:AH, SMALL(IF('Bank Schedule'!$K$2:$K$825="Vacant", ROW('Bank Schedule'!$K$2:$K$825)), ROW(73:73))), "")</f>
        <v>LEM/LDG</v>
      </c>
      <c r="AI76" s="4"/>
    </row>
    <row r="77" customFormat="false" ht="28.5" hidden="false" customHeight="true" outlineLevel="0" collapsed="false">
      <c r="A77" s="29" t="str">
        <f aca="false">IFERROR(INDEX('Bank Schedule'!A:A, SMALL(IF('Bank Schedule'!$K$2:$K$825="Vacant", ROW('Bank Schedule'!$K$2:$K$825)), ROW(74:74))), "")</f>
        <v/>
      </c>
      <c r="B77" s="29" t="str">
        <f aca="false" t="array" ref="B77:B77">IFERROR(INDEX('Bank Schedule'!B:B, SMALL(IF('Bank Schedule'!$K$2:$K$825="Vacant", ROW('Bank Schedule'!$K$2:$K$825)), ROW(74:74))), "")</f>
        <v>JM</v>
      </c>
      <c r="C77" s="29" t="str">
        <f aca="false" t="array" ref="C77:C77">IFERROR(INDEX('Bank Schedule'!C:C, SMALL(IF('Bank Schedule'!$K$2:$K$825="Vacant", ROW('Bank Schedule'!$K$2:$K$825)), ROW(74:74))), "")</f>
        <v>MEL</v>
      </c>
      <c r="D77" s="29" t="n">
        <f aca="false" t="array" ref="D77:D77">IFERROR(INDEX('Bank Schedule'!D:D, SMALL(IF('Bank Schedule'!$K$2:$K$825="Vacant", ROW('Bank Schedule'!$K$2:$K$825)), ROW(74:74))), "")</f>
        <v>550630</v>
      </c>
      <c r="E77" s="29" t="str">
        <f aca="false" t="array" ref="E77:E77">IFERROR(INDEX('Bank Schedule'!E:E, SMALL(IF('Bank Schedule'!$K$2:$K$825="Vacant", ROW('Bank Schedule'!$K$2:$K$825)), ROW(74:74))), "")</f>
        <v>Sackville House - 78 Margaret Street</v>
      </c>
      <c r="F77" s="29" t="str">
        <f aca="false" t="array" ref="F77:F77">IFERROR(INDEX('Bank Schedule'!F:F, SMALL(IF('Bank Schedule'!$K$2:$K$825="Vacant", ROW('Bank Schedule'!$K$2:$K$825)), ROW(74:74))), "")</f>
        <v>Ground</v>
      </c>
      <c r="G77" s="29" t="str">
        <f aca="false" t="array" ref="G77:G77">IFERROR(INDEX('Bank Schedule'!G:G, SMALL(IF('Bank Schedule'!$K$2:$K$825="Vacant", ROW('Bank Schedule'!$K$2:$K$825)), ROW(74:74))), "")</f>
        <v>Office</v>
      </c>
      <c r="H77" s="305" t="n">
        <f aca="false" t="array" ref="H77:H77">IFERROR(INDEX('Bank Schedule'!H:H, SMALL(IF('Bank Schedule'!$K$2:$K$825="Vacant", ROW('Bank Schedule'!$K$2:$K$825)), ROW(74:74))), "")</f>
        <v>1010</v>
      </c>
      <c r="I77" s="29" t="n">
        <f aca="false" t="array" ref="I77:I77">IFERROR(INDEX('Bank Schedule'!I:I, SMALL(IF('Bank Schedule'!$K$2:$K$825="Vacant", ROW('Bank Schedule'!$K$2:$K$825)), ROW(74:74))), "")</f>
        <v>1010</v>
      </c>
      <c r="J77" s="305" t="n">
        <f aca="false" t="array" ref="J77:J77">IFERROR(INDEX('Bank Schedule'!J:J, SMALL(IF('Bank Schedule'!$K$2:$K$825="Vacant", ROW('Bank Schedule'!$K$2:$K$825)), ROW(74:74))), "")</f>
        <v>1000</v>
      </c>
      <c r="K77" s="29" t="str">
        <f aca="false" t="array" ref="K77:K77">IFERROR(INDEX('Bank Schedule'!K:K, SMALL(IF('Bank Schedule'!$K$2:$K$825="Vacant", ROW('Bank Schedule'!$K$2:$K$825)), ROW(74:74))), "")</f>
        <v>Vacant</v>
      </c>
      <c r="L77" s="29" t="str">
        <f aca="false">IFERROR(INDEX('Bank Schedule'!L:L, SMALL(IF('Bank Schedule'!$K$2:$K$825="Vacant", ROW('Bank Schedule'!$K$2:$K$825)), ROW(74:74))), "")</f>
        <v/>
      </c>
      <c r="M77" s="29" t="str">
        <f aca="false">IFERROR(INDEX('Bank Schedule'!M:M, SMALL(IF('Bank Schedule'!$K$2:$K$825="Vacant", ROW('Bank Schedule'!$K$2:$K$825)), ROW(74:74))), "")</f>
        <v/>
      </c>
      <c r="N77" s="307" t="n">
        <f aca="false" t="array" ref="N77:N77">IFERROR(INDEX('Bank Schedule'!N:N, SMALL(IF('Bank Schedule'!$K$2:$K$825="Vacant", ROW('Bank Schedule'!$K$2:$K$825)), ROW(74:74))), "")</f>
        <v>42794</v>
      </c>
      <c r="O77" s="29" t="str">
        <f aca="false">IFERROR(INDEX('Bank Schedule'!O:O, SMALL(IF('Bank Schedule'!$K$2:$K$825="Vacant", ROW('Bank Schedule'!$K$2:$K$825)), ROW(74:74))), "")</f>
        <v/>
      </c>
      <c r="P77" s="29" t="str">
        <f aca="false">IFERROR(INDEX('Bank Schedule'!P:P, SMALL(IF('Bank Schedule'!$K$2:$K$825="Vacant", ROW('Bank Schedule'!$K$2:$K$825)), ROW(74:74))), "")</f>
        <v/>
      </c>
      <c r="Q77" s="29" t="n">
        <f aca="false" t="array" ref="Q77:Q77">IFERROR(INDEX('Bank Schedule'!Q:Q, SMALL(IF('Bank Schedule'!$K$2:$K$825="Vacant", ROW('Bank Schedule'!$K$2:$K$825)), ROW(74:74))), "")</f>
        <v>0</v>
      </c>
      <c r="R77" s="29" t="n">
        <f aca="false" t="array" ref="R77:R77">IFERROR(INDEX('Bank Schedule'!R:R, SMALL(IF('Bank Schedule'!$K$2:$K$825="Vacant", ROW('Bank Schedule'!$K$2:$K$825)), ROW(74:74))), "")</f>
        <v>0</v>
      </c>
      <c r="S77" s="29" t="str">
        <f aca="false">IFERROR(INDEX('Bank Schedule'!S:S, SMALL(IF('Bank Schedule'!$K$2:$K$825="Vacant", ROW('Bank Schedule'!$K$2:$K$825)), ROW(74:74))), "")</f>
        <v/>
      </c>
      <c r="T77" s="309" t="n">
        <f aca="false" t="array" ref="T77:T77">IFERROR(INDEX('Bank Schedule'!T:T, SMALL(IF('Bank Schedule'!$K$2:$K$825="Vacant", ROW('Bank Schedule'!$K$2:$K$825)), ROW(74:74))), "")</f>
        <v>55600</v>
      </c>
      <c r="U77" s="309" t="n">
        <f aca="false" t="array" ref="U77:U77">IFERROR(INDEX('Bank Schedule'!U:U, SMALL(IF('Bank Schedule'!$K$2:$K$825="Vacant", ROW('Bank Schedule'!$K$2:$K$825)), ROW(74:74))), "")</f>
        <v>55600</v>
      </c>
      <c r="V77" s="309" t="n">
        <f aca="false" t="array" ref="V77:V77">IFERROR(INDEX('Bank Schedule'!V:V, SMALL(IF('Bank Schedule'!$K$2:$K$825="Vacant", ROW('Bank Schedule'!$K$2:$K$825)), ROW(74:74))), "")</f>
        <v>58100</v>
      </c>
      <c r="W77" s="309" t="n">
        <f aca="false" t="array" ref="W77:W77">IFERROR(INDEX('Bank Schedule'!W:W, SMALL(IF('Bank Schedule'!$K$2:$K$825="Vacant", ROW('Bank Schedule'!$K$2:$K$825)), ROW(74:74))), "")</f>
        <v>58100</v>
      </c>
      <c r="X77" s="309" t="n">
        <f aca="false" t="array" ref="X77:X77">IFERROR(INDEX('Bank Schedule'!X:X, SMALL(IF('Bank Schedule'!$K$2:$K$825="Vacant", ROW('Bank Schedule'!$K$2:$K$825)), ROW(74:74))), "")</f>
        <v>57.5247524752475</v>
      </c>
      <c r="Y77" s="310" t="n">
        <f aca="false" t="array" ref="Y77:Y77">IFERROR(INDEX('Bank Schedule'!Y:Y, SMALL(IF('Bank Schedule'!$K$2:$K$825="Vacant", ROW('Bank Schedule'!$K$2:$K$825)), ROW(74:74))), "")</f>
        <v>0.0449640287769784</v>
      </c>
      <c r="Z77" s="29" t="str">
        <f aca="false" t="array" ref="Z77:Z77">IFERROR(INDEX('Bank Schedule'!Z:Z, SMALL(IF('Bank Schedule'!$K$2:$K$825="Vacant", ROW('Bank Schedule'!$K$2:$K$825)), ROW(74:74))), "")</f>
        <v>D</v>
      </c>
      <c r="AA77" s="29" t="str">
        <f aca="false">IFERROR(INDEX('Bank Schedule'!AA:AA, SMALL(IF('Bank Schedule'!$K$2:$K$825="Vacant", ROW('Bank Schedule'!$K$2:$K$825)), ROW(74:74))), "")</f>
        <v/>
      </c>
      <c r="AB77" s="29" t="str">
        <f aca="false">IFERROR(INDEX('Bank Schedule'!AB:AB, SMALL(IF('Bank Schedule'!$K$2:$K$825="Vacant", ROW('Bank Schedule'!$K$2:$K$825)), ROW(74:74))), "")</f>
        <v/>
      </c>
      <c r="AC77" s="29" t="str">
        <f aca="false" t="array" ref="AC77:AC77">IFERROR(INDEX('Bank Schedule'!AC:AC, SMALL(IF('Bank Schedule'!$K$2:$K$825="Vacant", ROW('Bank Schedule'!$K$2:$K$825)), ROW(74:74))), "")</f>
        <v>No</v>
      </c>
      <c r="AD77" s="29" t="str">
        <f aca="false" t="array" ref="AD77:AD77">IFERROR(INDEX('Bank Schedule'!AD:AD, SMALL(IF('Bank Schedule'!$K$2:$K$825="Vacant", ROW('Bank Schedule'!$K$2:$K$825)), ROW(74:74))), "")</f>
        <v>Mothballed.</v>
      </c>
      <c r="AE77" s="281" t="str">
        <f aca="false">IFERROR(INDEX('Bank Schedule'!AE:AE, SMALL(IF('Bank Schedule'!$K$2:$K$825="Vacant", ROW('Bank Schedule'!$K$2:$K$825)), ROW(74:74))), "")</f>
        <v/>
      </c>
      <c r="AF77" s="29" t="str">
        <f aca="false">IFERROR(INDEX('Bank Schedule'!AF:AF, SMALL(IF('Bank Schedule'!$K$2:$K$825="Vacant", ROW('Bank Schedule'!$K$2:$K$825)), ROW(74:74))), "")</f>
        <v/>
      </c>
      <c r="AG77" s="29" t="str">
        <f aca="false">IFERROR(INDEX('Bank Schedule'!AG:AG, SMALL(IF('Bank Schedule'!$K$2:$K$825="Vacant", ROW('Bank Schedule'!$K$2:$K$825)), ROW(74:74))), "")</f>
        <v/>
      </c>
      <c r="AH77" s="29" t="str">
        <f aca="false">IFERROR(INDEX('Bank Schedule'!AH:AH, SMALL(IF('Bank Schedule'!$K$2:$K$825="Vacant", ROW('Bank Schedule'!$K$2:$K$825)), ROW(74:74))), "")</f>
        <v/>
      </c>
      <c r="AI77" s="4"/>
    </row>
    <row r="78" customFormat="false" ht="28.5" hidden="false" customHeight="true" outlineLevel="0" collapsed="false">
      <c r="A78" s="29" t="str">
        <f aca="false">IFERROR(INDEX('Bank Schedule'!A:A, SMALL(IF('Bank Schedule'!$K$2:$K$825="Vacant", ROW('Bank Schedule'!$K$2:$K$825)), ROW(75:75))), "")</f>
        <v/>
      </c>
      <c r="B78" s="29" t="str">
        <f aca="false" t="array" ref="B78:B78">IFERROR(INDEX('Bank Schedule'!B:B, SMALL(IF('Bank Schedule'!$K$2:$K$825="Vacant", ROW('Bank Schedule'!$K$2:$K$825)), ROW(75:75))), "")</f>
        <v>JM</v>
      </c>
      <c r="C78" s="29" t="str">
        <f aca="false" t="array" ref="C78:C78">IFERROR(INDEX('Bank Schedule'!C:C, SMALL(IF('Bank Schedule'!$K$2:$K$825="Vacant", ROW('Bank Schedule'!$K$2:$K$825)), ROW(75:75))), "")</f>
        <v>MEL</v>
      </c>
      <c r="D78" s="29" t="n">
        <f aca="false" t="array" ref="D78:D78">IFERROR(INDEX('Bank Schedule'!D:D, SMALL(IF('Bank Schedule'!$K$2:$K$825="Vacant", ROW('Bank Schedule'!$K$2:$K$825)), ROW(75:75))), "")</f>
        <v>550630</v>
      </c>
      <c r="E78" s="29" t="str">
        <f aca="false" t="array" ref="E78:E78">IFERROR(INDEX('Bank Schedule'!E:E, SMALL(IF('Bank Schedule'!$K$2:$K$825="Vacant", ROW('Bank Schedule'!$K$2:$K$825)), ROW(75:75))), "")</f>
        <v>Sackville House - 78 Margaret Street</v>
      </c>
      <c r="F78" s="29" t="str">
        <f aca="false" t="array" ref="F78:F78">IFERROR(INDEX('Bank Schedule'!F:F, SMALL(IF('Bank Schedule'!$K$2:$K$825="Vacant", ROW('Bank Schedule'!$K$2:$K$825)), ROW(75:75))), "")</f>
        <v>First Floor</v>
      </c>
      <c r="G78" s="29" t="str">
        <f aca="false" t="array" ref="G78:G78">IFERROR(INDEX('Bank Schedule'!G:G, SMALL(IF('Bank Schedule'!$K$2:$K$825="Vacant", ROW('Bank Schedule'!$K$2:$K$825)), ROW(75:75))), "")</f>
        <v>Office</v>
      </c>
      <c r="H78" s="305" t="n">
        <f aca="false" t="array" ref="H78:H78">IFERROR(INDEX('Bank Schedule'!H:H, SMALL(IF('Bank Schedule'!$K$2:$K$825="Vacant", ROW('Bank Schedule'!$K$2:$K$825)), ROW(75:75))), "")</f>
        <v>971</v>
      </c>
      <c r="I78" s="29" t="n">
        <f aca="false" t="array" ref="I78:I78">IFERROR(INDEX('Bank Schedule'!I:I, SMALL(IF('Bank Schedule'!$K$2:$K$825="Vacant", ROW('Bank Schedule'!$K$2:$K$825)), ROW(75:75))), "")</f>
        <v>971</v>
      </c>
      <c r="J78" s="305" t="n">
        <f aca="false" t="array" ref="J78:J78">IFERROR(INDEX('Bank Schedule'!J:J, SMALL(IF('Bank Schedule'!$K$2:$K$825="Vacant", ROW('Bank Schedule'!$K$2:$K$825)), ROW(75:75))), "")</f>
        <v>1000</v>
      </c>
      <c r="K78" s="29" t="str">
        <f aca="false" t="array" ref="K78:K78">IFERROR(INDEX('Bank Schedule'!K:K, SMALL(IF('Bank Schedule'!$K$2:$K$825="Vacant", ROW('Bank Schedule'!$K$2:$K$825)), ROW(75:75))), "")</f>
        <v>Vacant</v>
      </c>
      <c r="L78" s="29" t="str">
        <f aca="false">IFERROR(INDEX('Bank Schedule'!L:L, SMALL(IF('Bank Schedule'!$K$2:$K$825="Vacant", ROW('Bank Schedule'!$K$2:$K$825)), ROW(75:75))), "")</f>
        <v/>
      </c>
      <c r="M78" s="29" t="str">
        <f aca="false">IFERROR(INDEX('Bank Schedule'!M:M, SMALL(IF('Bank Schedule'!$K$2:$K$825="Vacant", ROW('Bank Schedule'!$K$2:$K$825)), ROW(75:75))), "")</f>
        <v/>
      </c>
      <c r="N78" s="307" t="n">
        <f aca="false" t="array" ref="N78:N78">IFERROR(INDEX('Bank Schedule'!N:N, SMALL(IF('Bank Schedule'!$K$2:$K$825="Vacant", ROW('Bank Schedule'!$K$2:$K$825)), ROW(75:75))), "")</f>
        <v>44071</v>
      </c>
      <c r="O78" s="29" t="str">
        <f aca="false">IFERROR(INDEX('Bank Schedule'!O:O, SMALL(IF('Bank Schedule'!$K$2:$K$825="Vacant", ROW('Bank Schedule'!$K$2:$K$825)), ROW(75:75))), "")</f>
        <v/>
      </c>
      <c r="P78" s="29" t="str">
        <f aca="false">IFERROR(INDEX('Bank Schedule'!P:P, SMALL(IF('Bank Schedule'!$K$2:$K$825="Vacant", ROW('Bank Schedule'!$K$2:$K$825)), ROW(75:75))), "")</f>
        <v/>
      </c>
      <c r="Q78" s="29" t="n">
        <f aca="false" t="array" ref="Q78:Q78">IFERROR(INDEX('Bank Schedule'!Q:Q, SMALL(IF('Bank Schedule'!$K$2:$K$825="Vacant", ROW('Bank Schedule'!$K$2:$K$825)), ROW(75:75))), "")</f>
        <v>0</v>
      </c>
      <c r="R78" s="29" t="n">
        <f aca="false" t="array" ref="R78:R78">IFERROR(INDEX('Bank Schedule'!R:R, SMALL(IF('Bank Schedule'!$K$2:$K$825="Vacant", ROW('Bank Schedule'!$K$2:$K$825)), ROW(75:75))), "")</f>
        <v>0</v>
      </c>
      <c r="S78" s="29" t="str">
        <f aca="false">IFERROR(INDEX('Bank Schedule'!S:S, SMALL(IF('Bank Schedule'!$K$2:$K$825="Vacant", ROW('Bank Schedule'!$K$2:$K$825)), ROW(75:75))), "")</f>
        <v/>
      </c>
      <c r="T78" s="309" t="n">
        <f aca="false" t="array" ref="T78:T78">IFERROR(INDEX('Bank Schedule'!T:T, SMALL(IF('Bank Schedule'!$K$2:$K$825="Vacant", ROW('Bank Schedule'!$K$2:$K$825)), ROW(75:75))), "")</f>
        <v>53400</v>
      </c>
      <c r="U78" s="309" t="n">
        <f aca="false" t="array" ref="U78:U78">IFERROR(INDEX('Bank Schedule'!U:U, SMALL(IF('Bank Schedule'!$K$2:$K$825="Vacant", ROW('Bank Schedule'!$K$2:$K$825)), ROW(75:75))), "")</f>
        <v>53400</v>
      </c>
      <c r="V78" s="309" t="n">
        <f aca="false" t="array" ref="V78:V78">IFERROR(INDEX('Bank Schedule'!V:V, SMALL(IF('Bank Schedule'!$K$2:$K$825="Vacant", ROW('Bank Schedule'!$K$2:$K$825)), ROW(75:75))), "")</f>
        <v>55800</v>
      </c>
      <c r="W78" s="309" t="n">
        <f aca="false" t="array" ref="W78:W78">IFERROR(INDEX('Bank Schedule'!W:W, SMALL(IF('Bank Schedule'!$K$2:$K$825="Vacant", ROW('Bank Schedule'!$K$2:$K$825)), ROW(75:75))), "")</f>
        <v>55800</v>
      </c>
      <c r="X78" s="309" t="n">
        <f aca="false" t="array" ref="X78:X78">IFERROR(INDEX('Bank Schedule'!X:X, SMALL(IF('Bank Schedule'!$K$2:$K$825="Vacant", ROW('Bank Schedule'!$K$2:$K$825)), ROW(75:75))), "")</f>
        <v>57.4665293511844</v>
      </c>
      <c r="Y78" s="310" t="n">
        <f aca="false" t="array" ref="Y78:Y78">IFERROR(INDEX('Bank Schedule'!Y:Y, SMALL(IF('Bank Schedule'!$K$2:$K$825="Vacant", ROW('Bank Schedule'!$K$2:$K$825)), ROW(75:75))), "")</f>
        <v>0.0449438202247191</v>
      </c>
      <c r="Z78" s="29" t="str">
        <f aca="false" t="array" ref="Z78:Z78">IFERROR(INDEX('Bank Schedule'!Z:Z, SMALL(IF('Bank Schedule'!$K$2:$K$825="Vacant", ROW('Bank Schedule'!$K$2:$K$825)), ROW(75:75))), "")</f>
        <v>D</v>
      </c>
      <c r="AA78" s="29" t="str">
        <f aca="false">IFERROR(INDEX('Bank Schedule'!AA:AA, SMALL(IF('Bank Schedule'!$K$2:$K$825="Vacant", ROW('Bank Schedule'!$K$2:$K$825)), ROW(75:75))), "")</f>
        <v/>
      </c>
      <c r="AB78" s="29" t="str">
        <f aca="false">IFERROR(INDEX('Bank Schedule'!AB:AB, SMALL(IF('Bank Schedule'!$K$2:$K$825="Vacant", ROW('Bank Schedule'!$K$2:$K$825)), ROW(75:75))), "")</f>
        <v/>
      </c>
      <c r="AC78" s="29" t="str">
        <f aca="false" t="array" ref="AC78:AC78">IFERROR(INDEX('Bank Schedule'!AC:AC, SMALL(IF('Bank Schedule'!$K$2:$K$825="Vacant", ROW('Bank Schedule'!$K$2:$K$825)), ROW(75:75))), "")</f>
        <v>No</v>
      </c>
      <c r="AD78" s="29" t="str">
        <f aca="false" t="array" ref="AD78:AD78">IFERROR(INDEX('Bank Schedule'!AD:AD, SMALL(IF('Bank Schedule'!$K$2:$K$825="Vacant", ROW('Bank Schedule'!$K$2:$K$825)), ROW(75:75))), "")</f>
        <v>Mothballed.</v>
      </c>
      <c r="AE78" s="281" t="str">
        <f aca="false">IFERROR(INDEX('Bank Schedule'!AE:AE, SMALL(IF('Bank Schedule'!$K$2:$K$825="Vacant", ROW('Bank Schedule'!$K$2:$K$825)), ROW(75:75))), "")</f>
        <v/>
      </c>
      <c r="AF78" s="29" t="str">
        <f aca="false">IFERROR(INDEX('Bank Schedule'!AF:AF, SMALL(IF('Bank Schedule'!$K$2:$K$825="Vacant", ROW('Bank Schedule'!$K$2:$K$825)), ROW(75:75))), "")</f>
        <v/>
      </c>
      <c r="AG78" s="29" t="str">
        <f aca="false">IFERROR(INDEX('Bank Schedule'!AG:AG, SMALL(IF('Bank Schedule'!$K$2:$K$825="Vacant", ROW('Bank Schedule'!$K$2:$K$825)), ROW(75:75))), "")</f>
        <v/>
      </c>
      <c r="AH78" s="29" t="str">
        <f aca="false">IFERROR(INDEX('Bank Schedule'!AH:AH, SMALL(IF('Bank Schedule'!$K$2:$K$825="Vacant", ROW('Bank Schedule'!$K$2:$K$825)), ROW(75:75))), "")</f>
        <v/>
      </c>
      <c r="AI78" s="4"/>
    </row>
    <row r="79" customFormat="false" ht="28.5" hidden="false" customHeight="true" outlineLevel="0" collapsed="false">
      <c r="A79" s="29" t="str">
        <f aca="false">IFERROR(INDEX('Bank Schedule'!A:A, SMALL(IF('Bank Schedule'!$K$2:$K$825="Vacant", ROW('Bank Schedule'!$K$2:$K$825)), ROW(76:76))), "")</f>
        <v/>
      </c>
      <c r="B79" s="29" t="str">
        <f aca="false" t="array" ref="B79:B79">IFERROR(INDEX('Bank Schedule'!B:B, SMALL(IF('Bank Schedule'!$K$2:$K$825="Vacant", ROW('Bank Schedule'!$K$2:$K$825)), ROW(76:76))), "")</f>
        <v>JM</v>
      </c>
      <c r="C79" s="29" t="str">
        <f aca="false" t="array" ref="C79:C79">IFERROR(INDEX('Bank Schedule'!C:C, SMALL(IF('Bank Schedule'!$K$2:$K$825="Vacant", ROW('Bank Schedule'!$K$2:$K$825)), ROW(76:76))), "")</f>
        <v>MEL</v>
      </c>
      <c r="D79" s="29" t="n">
        <f aca="false" t="array" ref="D79:D79">IFERROR(INDEX('Bank Schedule'!D:D, SMALL(IF('Bank Schedule'!$K$2:$K$825="Vacant", ROW('Bank Schedule'!$K$2:$K$825)), ROW(76:76))), "")</f>
        <v>550630</v>
      </c>
      <c r="E79" s="29" t="str">
        <f aca="false" t="array" ref="E79:E79">IFERROR(INDEX('Bank Schedule'!E:E, SMALL(IF('Bank Schedule'!$K$2:$K$825="Vacant", ROW('Bank Schedule'!$K$2:$K$825)), ROW(76:76))), "")</f>
        <v>Sackville House - 78 Margaret Street</v>
      </c>
      <c r="F79" s="29" t="str">
        <f aca="false" t="array" ref="F79:F79">IFERROR(INDEX('Bank Schedule'!F:F, SMALL(IF('Bank Schedule'!$K$2:$K$825="Vacant", ROW('Bank Schedule'!$K$2:$K$825)), ROW(76:76))), "")</f>
        <v>Second Floor</v>
      </c>
      <c r="G79" s="29" t="str">
        <f aca="false" t="array" ref="G79:G79">IFERROR(INDEX('Bank Schedule'!G:G, SMALL(IF('Bank Schedule'!$K$2:$K$825="Vacant", ROW('Bank Schedule'!$K$2:$K$825)), ROW(76:76))), "")</f>
        <v>Office</v>
      </c>
      <c r="H79" s="305" t="n">
        <f aca="false" t="array" ref="H79:H79">IFERROR(INDEX('Bank Schedule'!H:H, SMALL(IF('Bank Schedule'!$K$2:$K$825="Vacant", ROW('Bank Schedule'!$K$2:$K$825)), ROW(76:76))), "")</f>
        <v>1000</v>
      </c>
      <c r="I79" s="29" t="n">
        <f aca="false" t="array" ref="I79:I79">IFERROR(INDEX('Bank Schedule'!I:I, SMALL(IF('Bank Schedule'!$K$2:$K$825="Vacant", ROW('Bank Schedule'!$K$2:$K$825)), ROW(76:76))), "")</f>
        <v>1000</v>
      </c>
      <c r="J79" s="305" t="n">
        <f aca="false" t="array" ref="J79:J79">IFERROR(INDEX('Bank Schedule'!J:J, SMALL(IF('Bank Schedule'!$K$2:$K$825="Vacant", ROW('Bank Schedule'!$K$2:$K$825)), ROW(76:76))), "")</f>
        <v>1000</v>
      </c>
      <c r="K79" s="29" t="str">
        <f aca="false" t="array" ref="K79:K79">IFERROR(INDEX('Bank Schedule'!K:K, SMALL(IF('Bank Schedule'!$K$2:$K$825="Vacant", ROW('Bank Schedule'!$K$2:$K$825)), ROW(76:76))), "")</f>
        <v>Vacant</v>
      </c>
      <c r="L79" s="29" t="str">
        <f aca="false">IFERROR(INDEX('Bank Schedule'!L:L, SMALL(IF('Bank Schedule'!$K$2:$K$825="Vacant", ROW('Bank Schedule'!$K$2:$K$825)), ROW(76:76))), "")</f>
        <v/>
      </c>
      <c r="M79" s="29" t="str">
        <f aca="false">IFERROR(INDEX('Bank Schedule'!M:M, SMALL(IF('Bank Schedule'!$K$2:$K$825="Vacant", ROW('Bank Schedule'!$K$2:$K$825)), ROW(76:76))), "")</f>
        <v/>
      </c>
      <c r="N79" s="307" t="n">
        <f aca="false" t="array" ref="N79:N79">IFERROR(INDEX('Bank Schedule'!N:N, SMALL(IF('Bank Schedule'!$K$2:$K$825="Vacant", ROW('Bank Schedule'!$K$2:$K$825)), ROW(76:76))), "")</f>
        <v>43261</v>
      </c>
      <c r="O79" s="29" t="str">
        <f aca="false">IFERROR(INDEX('Bank Schedule'!O:O, SMALL(IF('Bank Schedule'!$K$2:$K$825="Vacant", ROW('Bank Schedule'!$K$2:$K$825)), ROW(76:76))), "")</f>
        <v/>
      </c>
      <c r="P79" s="29" t="str">
        <f aca="false">IFERROR(INDEX('Bank Schedule'!P:P, SMALL(IF('Bank Schedule'!$K$2:$K$825="Vacant", ROW('Bank Schedule'!$K$2:$K$825)), ROW(76:76))), "")</f>
        <v/>
      </c>
      <c r="Q79" s="29" t="n">
        <f aca="false" t="array" ref="Q79:Q79">IFERROR(INDEX('Bank Schedule'!Q:Q, SMALL(IF('Bank Schedule'!$K$2:$K$825="Vacant", ROW('Bank Schedule'!$K$2:$K$825)), ROW(76:76))), "")</f>
        <v>0</v>
      </c>
      <c r="R79" s="29" t="n">
        <f aca="false" t="array" ref="R79:R79">IFERROR(INDEX('Bank Schedule'!R:R, SMALL(IF('Bank Schedule'!$K$2:$K$825="Vacant", ROW('Bank Schedule'!$K$2:$K$825)), ROW(76:76))), "")</f>
        <v>0</v>
      </c>
      <c r="S79" s="29" t="str">
        <f aca="false">IFERROR(INDEX('Bank Schedule'!S:S, SMALL(IF('Bank Schedule'!$K$2:$K$825="Vacant", ROW('Bank Schedule'!$K$2:$K$825)), ROW(76:76))), "")</f>
        <v/>
      </c>
      <c r="T79" s="309" t="n">
        <f aca="false" t="array" ref="T79:T79">IFERROR(INDEX('Bank Schedule'!T:T, SMALL(IF('Bank Schedule'!$K$2:$K$825="Vacant", ROW('Bank Schedule'!$K$2:$K$825)), ROW(76:76))), "")</f>
        <v>52500</v>
      </c>
      <c r="U79" s="309" t="n">
        <f aca="false" t="array" ref="U79:U79">IFERROR(INDEX('Bank Schedule'!U:U, SMALL(IF('Bank Schedule'!$K$2:$K$825="Vacant", ROW('Bank Schedule'!$K$2:$K$825)), ROW(76:76))), "")</f>
        <v>52500</v>
      </c>
      <c r="V79" s="309" t="n">
        <f aca="false" t="array" ref="V79:V79">IFERROR(INDEX('Bank Schedule'!V:V, SMALL(IF('Bank Schedule'!$K$2:$K$825="Vacant", ROW('Bank Schedule'!$K$2:$K$825)), ROW(76:76))), "")</f>
        <v>55000</v>
      </c>
      <c r="W79" s="309" t="n">
        <f aca="false" t="array" ref="W79:W79">IFERROR(INDEX('Bank Schedule'!W:W, SMALL(IF('Bank Schedule'!$K$2:$K$825="Vacant", ROW('Bank Schedule'!$K$2:$K$825)), ROW(76:76))), "")</f>
        <v>55000</v>
      </c>
      <c r="X79" s="309" t="n">
        <f aca="false" t="array" ref="X79:X79">IFERROR(INDEX('Bank Schedule'!X:X, SMALL(IF('Bank Schedule'!$K$2:$K$825="Vacant", ROW('Bank Schedule'!$K$2:$K$825)), ROW(76:76))), "")</f>
        <v>55</v>
      </c>
      <c r="Y79" s="310" t="n">
        <f aca="false" t="array" ref="Y79:Y79">IFERROR(INDEX('Bank Schedule'!Y:Y, SMALL(IF('Bank Schedule'!$K$2:$K$825="Vacant", ROW('Bank Schedule'!$K$2:$K$825)), ROW(76:76))), "")</f>
        <v>0.0476190476190476</v>
      </c>
      <c r="Z79" s="29" t="str">
        <f aca="false" t="array" ref="Z79:Z79">IFERROR(INDEX('Bank Schedule'!Z:Z, SMALL(IF('Bank Schedule'!$K$2:$K$825="Vacant", ROW('Bank Schedule'!$K$2:$K$825)), ROW(76:76))), "")</f>
        <v>D</v>
      </c>
      <c r="AA79" s="29" t="str">
        <f aca="false">IFERROR(INDEX('Bank Schedule'!AA:AA, SMALL(IF('Bank Schedule'!$K$2:$K$825="Vacant", ROW('Bank Schedule'!$K$2:$K$825)), ROW(76:76))), "")</f>
        <v/>
      </c>
      <c r="AB79" s="29" t="str">
        <f aca="false">IFERROR(INDEX('Bank Schedule'!AB:AB, SMALL(IF('Bank Schedule'!$K$2:$K$825="Vacant", ROW('Bank Schedule'!$K$2:$K$825)), ROW(76:76))), "")</f>
        <v/>
      </c>
      <c r="AC79" s="29" t="str">
        <f aca="false" t="array" ref="AC79:AC79">IFERROR(INDEX('Bank Schedule'!AC:AC, SMALL(IF('Bank Schedule'!$K$2:$K$825="Vacant", ROW('Bank Schedule'!$K$2:$K$825)), ROW(76:76))), "")</f>
        <v>No</v>
      </c>
      <c r="AD79" s="29" t="str">
        <f aca="false" t="array" ref="AD79:AD79">IFERROR(INDEX('Bank Schedule'!AD:AD, SMALL(IF('Bank Schedule'!$K$2:$K$825="Vacant", ROW('Bank Schedule'!$K$2:$K$825)), ROW(76:76))), "")</f>
        <v>Mothballed.</v>
      </c>
      <c r="AE79" s="281" t="str">
        <f aca="false">IFERROR(INDEX('Bank Schedule'!AE:AE, SMALL(IF('Bank Schedule'!$K$2:$K$825="Vacant", ROW('Bank Schedule'!$K$2:$K$825)), ROW(76:76))), "")</f>
        <v/>
      </c>
      <c r="AF79" s="29" t="str">
        <f aca="false">IFERROR(INDEX('Bank Schedule'!AF:AF, SMALL(IF('Bank Schedule'!$K$2:$K$825="Vacant", ROW('Bank Schedule'!$K$2:$K$825)), ROW(76:76))), "")</f>
        <v/>
      </c>
      <c r="AG79" s="29" t="str">
        <f aca="false">IFERROR(INDEX('Bank Schedule'!AG:AG, SMALL(IF('Bank Schedule'!$K$2:$K$825="Vacant", ROW('Bank Schedule'!$K$2:$K$825)), ROW(76:76))), "")</f>
        <v/>
      </c>
      <c r="AH79" s="29" t="str">
        <f aca="false">IFERROR(INDEX('Bank Schedule'!AH:AH, SMALL(IF('Bank Schedule'!$K$2:$K$825="Vacant", ROW('Bank Schedule'!$K$2:$K$825)), ROW(76:76))), "")</f>
        <v/>
      </c>
      <c r="AI79" s="4"/>
    </row>
    <row r="80" customFormat="false" ht="28.5" hidden="false" customHeight="true" outlineLevel="0" collapsed="false">
      <c r="A80" s="29" t="str">
        <f aca="false">IFERROR(INDEX('Bank Schedule'!A:A, SMALL(IF('Bank Schedule'!$K$2:$K$825="Vacant", ROW('Bank Schedule'!$K$2:$K$825)), ROW(77:77))), "")</f>
        <v/>
      </c>
      <c r="B80" s="29" t="str">
        <f aca="false" t="array" ref="B80:B80">IFERROR(INDEX('Bank Schedule'!B:B, SMALL(IF('Bank Schedule'!$K$2:$K$825="Vacant", ROW('Bank Schedule'!$K$2:$K$825)), ROW(77:77))), "")</f>
        <v>JM</v>
      </c>
      <c r="C80" s="29" t="str">
        <f aca="false" t="array" ref="C80:C80">IFERROR(INDEX('Bank Schedule'!C:C, SMALL(IF('Bank Schedule'!$K$2:$K$825="Vacant", ROW('Bank Schedule'!$K$2:$K$825)), ROW(77:77))), "")</f>
        <v>MEL</v>
      </c>
      <c r="D80" s="29" t="n">
        <f aca="false" t="array" ref="D80:D80">IFERROR(INDEX('Bank Schedule'!D:D, SMALL(IF('Bank Schedule'!$K$2:$K$825="Vacant", ROW('Bank Schedule'!$K$2:$K$825)), ROW(77:77))), "")</f>
        <v>550690</v>
      </c>
      <c r="E80" s="29" t="str">
        <f aca="false" t="array" ref="E80:E80">IFERROR(INDEX('Bank Schedule'!E:E, SMALL(IF('Bank Schedule'!$K$2:$K$825="Vacant", ROW('Bank Schedule'!$K$2:$K$825)), ROW(77:77))), "")</f>
        <v>Kenilworth House - 79-80 Margaret Street</v>
      </c>
      <c r="F80" s="29" t="str">
        <f aca="false" t="array" ref="F80:F80">IFERROR(INDEX('Bank Schedule'!F:F, SMALL(IF('Bank Schedule'!$K$2:$K$825="Vacant", ROW('Bank Schedule'!$K$2:$K$825)), ROW(77:77))), "")</f>
        <v>First Floor (East)</v>
      </c>
      <c r="G80" s="29" t="str">
        <f aca="false" t="array" ref="G80:G80">IFERROR(INDEX('Bank Schedule'!G:G, SMALL(IF('Bank Schedule'!$K$2:$K$825="Vacant", ROW('Bank Schedule'!$K$2:$K$825)), ROW(77:77))), "")</f>
        <v>Showroom/ Office</v>
      </c>
      <c r="H80" s="305" t="n">
        <f aca="false" t="array" ref="H80:H80">IFERROR(INDEX('Bank Schedule'!H:H, SMALL(IF('Bank Schedule'!$K$2:$K$825="Vacant", ROW('Bank Schedule'!$K$2:$K$825)), ROW(77:77))), "")</f>
        <v>1143</v>
      </c>
      <c r="I80" s="29" t="n">
        <f aca="false" t="array" ref="I80:I80">IFERROR(INDEX('Bank Schedule'!I:I, SMALL(IF('Bank Schedule'!$K$2:$K$825="Vacant", ROW('Bank Schedule'!$K$2:$K$825)), ROW(77:77))), "")</f>
        <v>1143</v>
      </c>
      <c r="J80" s="305" t="n">
        <f aca="false" t="array" ref="J80:J80">IFERROR(INDEX('Bank Schedule'!J:J, SMALL(IF('Bank Schedule'!$K$2:$K$825="Vacant", ROW('Bank Schedule'!$K$2:$K$825)), ROW(77:77))), "")</f>
        <v>1000</v>
      </c>
      <c r="K80" s="29" t="str">
        <f aca="false" t="array" ref="K80:K80">IFERROR(INDEX('Bank Schedule'!K:K, SMALL(IF('Bank Schedule'!$K$2:$K$825="Vacant", ROW('Bank Schedule'!$K$2:$K$825)), ROW(77:77))), "")</f>
        <v>Vacant</v>
      </c>
      <c r="L80" s="29" t="str">
        <f aca="false">IFERROR(INDEX('Bank Schedule'!L:L, SMALL(IF('Bank Schedule'!$K$2:$K$825="Vacant", ROW('Bank Schedule'!$K$2:$K$825)), ROW(77:77))), "")</f>
        <v/>
      </c>
      <c r="M80" s="29" t="str">
        <f aca="false">IFERROR(INDEX('Bank Schedule'!M:M, SMALL(IF('Bank Schedule'!$K$2:$K$825="Vacant", ROW('Bank Schedule'!$K$2:$K$825)), ROW(77:77))), "")</f>
        <v/>
      </c>
      <c r="N80" s="307" t="n">
        <f aca="false" t="array" ref="N80:N80">IFERROR(INDEX('Bank Schedule'!N:N, SMALL(IF('Bank Schedule'!$K$2:$K$825="Vacant", ROW('Bank Schedule'!$K$2:$K$825)), ROW(77:77))), "")</f>
        <v>44293</v>
      </c>
      <c r="O80" s="29" t="str">
        <f aca="false">IFERROR(INDEX('Bank Schedule'!O:O, SMALL(IF('Bank Schedule'!$K$2:$K$825="Vacant", ROW('Bank Schedule'!$K$2:$K$825)), ROW(77:77))), "")</f>
        <v/>
      </c>
      <c r="P80" s="29" t="str">
        <f aca="false">IFERROR(INDEX('Bank Schedule'!P:P, SMALL(IF('Bank Schedule'!$K$2:$K$825="Vacant", ROW('Bank Schedule'!$K$2:$K$825)), ROW(77:77))), "")</f>
        <v/>
      </c>
      <c r="Q80" s="29" t="n">
        <f aca="false" t="array" ref="Q80:Q80">IFERROR(INDEX('Bank Schedule'!Q:Q, SMALL(IF('Bank Schedule'!$K$2:$K$825="Vacant", ROW('Bank Schedule'!$K$2:$K$825)), ROW(77:77))), "")</f>
        <v>0</v>
      </c>
      <c r="R80" s="29" t="n">
        <f aca="false" t="array" ref="R80:R80">IFERROR(INDEX('Bank Schedule'!R:R, SMALL(IF('Bank Schedule'!$K$2:$K$825="Vacant", ROW('Bank Schedule'!$K$2:$K$825)), ROW(77:77))), "")</f>
        <v>0</v>
      </c>
      <c r="S80" s="29" t="str">
        <f aca="false">IFERROR(INDEX('Bank Schedule'!S:S, SMALL(IF('Bank Schedule'!$K$2:$K$825="Vacant", ROW('Bank Schedule'!$K$2:$K$825)), ROW(77:77))), "")</f>
        <v/>
      </c>
      <c r="T80" s="309" t="n">
        <f aca="false" t="array" ref="T80:T80">IFERROR(INDEX('Bank Schedule'!T:T, SMALL(IF('Bank Schedule'!$K$2:$K$825="Vacant", ROW('Bank Schedule'!$K$2:$K$825)), ROW(77:77))), "")</f>
        <v>73600</v>
      </c>
      <c r="U80" s="309" t="n">
        <f aca="false" t="array" ref="U80:U80">IFERROR(INDEX('Bank Schedule'!U:U, SMALL(IF('Bank Schedule'!$K$2:$K$825="Vacant", ROW('Bank Schedule'!$K$2:$K$825)), ROW(77:77))), "")</f>
        <v>73600</v>
      </c>
      <c r="V80" s="309" t="n">
        <f aca="false" t="array" ref="V80:V80">IFERROR(INDEX('Bank Schedule'!V:V, SMALL(IF('Bank Schedule'!$K$2:$K$825="Vacant", ROW('Bank Schedule'!$K$2:$K$825)), ROW(77:77))), "")</f>
        <v>74300</v>
      </c>
      <c r="W80" s="309" t="n">
        <f aca="false" t="array" ref="W80:W80">IFERROR(INDEX('Bank Schedule'!W:W, SMALL(IF('Bank Schedule'!$K$2:$K$825="Vacant", ROW('Bank Schedule'!$K$2:$K$825)), ROW(77:77))), "")</f>
        <v>74300</v>
      </c>
      <c r="X80" s="309" t="n">
        <f aca="false" t="array" ref="X80:X80">IFERROR(INDEX('Bank Schedule'!X:X, SMALL(IF('Bank Schedule'!$K$2:$K$825="Vacant", ROW('Bank Schedule'!$K$2:$K$825)), ROW(77:77))), "")</f>
        <v>65.0043744531934</v>
      </c>
      <c r="Y80" s="310" t="n">
        <f aca="false" t="array" ref="Y80:Y80">IFERROR(INDEX('Bank Schedule'!Y:Y, SMALL(IF('Bank Schedule'!$K$2:$K$825="Vacant", ROW('Bank Schedule'!$K$2:$K$825)), ROW(77:77))), "")</f>
        <v>0.00951086956521739</v>
      </c>
      <c r="Z80" s="29" t="str">
        <f aca="false" t="array" ref="Z80:Z80">IFERROR(INDEX('Bank Schedule'!Z:Z, SMALL(IF('Bank Schedule'!$K$2:$K$825="Vacant", ROW('Bank Schedule'!$K$2:$K$825)), ROW(77:77))), "")</f>
        <v>D</v>
      </c>
      <c r="AA80" s="29" t="str">
        <f aca="false">IFERROR(INDEX('Bank Schedule'!AA:AA, SMALL(IF('Bank Schedule'!$K$2:$K$825="Vacant", ROW('Bank Schedule'!$K$2:$K$825)), ROW(77:77))), "")</f>
        <v/>
      </c>
      <c r="AB80" s="29" t="str">
        <f aca="false">IFERROR(INDEX('Bank Schedule'!AB:AB, SMALL(IF('Bank Schedule'!$K$2:$K$825="Vacant", ROW('Bank Schedule'!$K$2:$K$825)), ROW(77:77))), "")</f>
        <v/>
      </c>
      <c r="AC80" s="29" t="str">
        <f aca="false" t="array" ref="AC80:AC80">IFERROR(INDEX('Bank Schedule'!AC:AC, SMALL(IF('Bank Schedule'!$K$2:$K$825="Vacant", ROW('Bank Schedule'!$K$2:$K$825)), ROW(77:77))), "")</f>
        <v>No</v>
      </c>
      <c r="AD80" s="29" t="str">
        <f aca="false" t="array" ref="AD80:AD80">IFERROR(INDEX('Bank Schedule'!AD:AD, SMALL(IF('Bank Schedule'!$K$2:$K$825="Vacant", ROW('Bank Schedule'!$K$2:$K$825)), ROW(77:77))), "")</f>
        <v>Mothballed.</v>
      </c>
      <c r="AE80" s="281" t="str">
        <f aca="false">IFERROR(INDEX('Bank Schedule'!AE:AE, SMALL(IF('Bank Schedule'!$K$2:$K$825="Vacant", ROW('Bank Schedule'!$K$2:$K$825)), ROW(77:77))), "")</f>
        <v/>
      </c>
      <c r="AF80" s="29" t="str">
        <f aca="false">IFERROR(INDEX('Bank Schedule'!AF:AF, SMALL(IF('Bank Schedule'!$K$2:$K$825="Vacant", ROW('Bank Schedule'!$K$2:$K$825)), ROW(77:77))), "")</f>
        <v/>
      </c>
      <c r="AG80" s="29" t="n">
        <f aca="false" t="array" ref="AG80:AG80">IFERROR(INDEX('Bank Schedule'!AG:AG, SMALL(IF('Bank Schedule'!$K$2:$K$825="Vacant", ROW('Bank Schedule'!$K$2:$K$825)), ROW(77:77))), "")</f>
        <v>3</v>
      </c>
      <c r="AH80" s="29" t="str">
        <f aca="false">IFERROR(INDEX('Bank Schedule'!AH:AH, SMALL(IF('Bank Schedule'!$K$2:$K$825="Vacant", ROW('Bank Schedule'!$K$2:$K$825)), ROW(77:77))), "")</f>
        <v/>
      </c>
      <c r="AI80" s="4"/>
    </row>
    <row r="81" customFormat="false" ht="28.5" hidden="false" customHeight="true" outlineLevel="0" collapsed="false">
      <c r="A81" s="29" t="str">
        <f aca="false">IFERROR(INDEX('Bank Schedule'!A:A, SMALL(IF('Bank Schedule'!$K$2:$K$825="Vacant", ROW('Bank Schedule'!$K$2:$K$825)), ROW(78:78))), "")</f>
        <v/>
      </c>
      <c r="B81" s="29" t="str">
        <f aca="false" t="array" ref="B81:B81">IFERROR(INDEX('Bank Schedule'!B:B, SMALL(IF('Bank Schedule'!$K$2:$K$825="Vacant", ROW('Bank Schedule'!$K$2:$K$825)), ROW(78:78))), "")</f>
        <v>JM</v>
      </c>
      <c r="C81" s="29" t="str">
        <f aca="false" t="array" ref="C81:C81">IFERROR(INDEX('Bank Schedule'!C:C, SMALL(IF('Bank Schedule'!$K$2:$K$825="Vacant", ROW('Bank Schedule'!$K$2:$K$825)), ROW(78:78))), "")</f>
        <v>MEL</v>
      </c>
      <c r="D81" s="29" t="n">
        <f aca="false" t="array" ref="D81:D81">IFERROR(INDEX('Bank Schedule'!D:D, SMALL(IF('Bank Schedule'!$K$2:$K$825="Vacant", ROW('Bank Schedule'!$K$2:$K$825)), ROW(78:78))), "")</f>
        <v>550690</v>
      </c>
      <c r="E81" s="29" t="str">
        <f aca="false" t="array" ref="E81:E81">IFERROR(INDEX('Bank Schedule'!E:E, SMALL(IF('Bank Schedule'!$K$2:$K$825="Vacant", ROW('Bank Schedule'!$K$2:$K$825)), ROW(78:78))), "")</f>
        <v>Kenilworth House - 79-80 Margaret Street</v>
      </c>
      <c r="F81" s="29" t="str">
        <f aca="false" t="array" ref="F81:F81">IFERROR(INDEX('Bank Schedule'!F:F, SMALL(IF('Bank Schedule'!$K$2:$K$825="Vacant", ROW('Bank Schedule'!$K$2:$K$825)), ROW(78:78))), "")</f>
        <v>First Floor (West)</v>
      </c>
      <c r="G81" s="29" t="str">
        <f aca="false" t="array" ref="G81:G81">IFERROR(INDEX('Bank Schedule'!G:G, SMALL(IF('Bank Schedule'!$K$2:$K$825="Vacant", ROW('Bank Schedule'!$K$2:$K$825)), ROW(78:78))), "")</f>
        <v>Office</v>
      </c>
      <c r="H81" s="305" t="n">
        <f aca="false" t="array" ref="H81:H81">IFERROR(INDEX('Bank Schedule'!H:H, SMALL(IF('Bank Schedule'!$K$2:$K$825="Vacant", ROW('Bank Schedule'!$K$2:$K$825)), ROW(78:78))), "")</f>
        <v>805</v>
      </c>
      <c r="I81" s="29" t="n">
        <f aca="false" t="array" ref="I81:I81">IFERROR(INDEX('Bank Schedule'!I:I, SMALL(IF('Bank Schedule'!$K$2:$K$825="Vacant", ROW('Bank Schedule'!$K$2:$K$825)), ROW(78:78))), "")</f>
        <v>805</v>
      </c>
      <c r="J81" s="305" t="n">
        <f aca="false" t="array" ref="J81:J81">IFERROR(INDEX('Bank Schedule'!J:J, SMALL(IF('Bank Schedule'!$K$2:$K$825="Vacant", ROW('Bank Schedule'!$K$2:$K$825)), ROW(78:78))), "")</f>
        <v>1000</v>
      </c>
      <c r="K81" s="29" t="str">
        <f aca="false" t="array" ref="K81:K81">IFERROR(INDEX('Bank Schedule'!K:K, SMALL(IF('Bank Schedule'!$K$2:$K$825="Vacant", ROW('Bank Schedule'!$K$2:$K$825)), ROW(78:78))), "")</f>
        <v>Vacant</v>
      </c>
      <c r="L81" s="29" t="str">
        <f aca="false">IFERROR(INDEX('Bank Schedule'!L:L, SMALL(IF('Bank Schedule'!$K$2:$K$825="Vacant", ROW('Bank Schedule'!$K$2:$K$825)), ROW(78:78))), "")</f>
        <v/>
      </c>
      <c r="M81" s="29" t="str">
        <f aca="false">IFERROR(INDEX('Bank Schedule'!M:M, SMALL(IF('Bank Schedule'!$K$2:$K$825="Vacant", ROW('Bank Schedule'!$K$2:$K$825)), ROW(78:78))), "")</f>
        <v/>
      </c>
      <c r="N81" s="307" t="n">
        <f aca="false" t="array" ref="N81:N81">IFERROR(INDEX('Bank Schedule'!N:N, SMALL(IF('Bank Schedule'!$K$2:$K$825="Vacant", ROW('Bank Schedule'!$K$2:$K$825)), ROW(78:78))), "")</f>
        <v>44336</v>
      </c>
      <c r="O81" s="29" t="str">
        <f aca="false">IFERROR(INDEX('Bank Schedule'!O:O, SMALL(IF('Bank Schedule'!$K$2:$K$825="Vacant", ROW('Bank Schedule'!$K$2:$K$825)), ROW(78:78))), "")</f>
        <v/>
      </c>
      <c r="P81" s="29" t="str">
        <f aca="false">IFERROR(INDEX('Bank Schedule'!P:P, SMALL(IF('Bank Schedule'!$K$2:$K$825="Vacant", ROW('Bank Schedule'!$K$2:$K$825)), ROW(78:78))), "")</f>
        <v/>
      </c>
      <c r="Q81" s="29" t="n">
        <f aca="false" t="array" ref="Q81:Q81">IFERROR(INDEX('Bank Schedule'!Q:Q, SMALL(IF('Bank Schedule'!$K$2:$K$825="Vacant", ROW('Bank Schedule'!$K$2:$K$825)), ROW(78:78))), "")</f>
        <v>0</v>
      </c>
      <c r="R81" s="29" t="n">
        <f aca="false" t="array" ref="R81:R81">IFERROR(INDEX('Bank Schedule'!R:R, SMALL(IF('Bank Schedule'!$K$2:$K$825="Vacant", ROW('Bank Schedule'!$K$2:$K$825)), ROW(78:78))), "")</f>
        <v>0</v>
      </c>
      <c r="S81" s="29" t="str">
        <f aca="false">IFERROR(INDEX('Bank Schedule'!S:S, SMALL(IF('Bank Schedule'!$K$2:$K$825="Vacant", ROW('Bank Schedule'!$K$2:$K$825)), ROW(78:78))), "")</f>
        <v/>
      </c>
      <c r="T81" s="309" t="n">
        <f aca="false" t="array" ref="T81:T81">IFERROR(INDEX('Bank Schedule'!T:T, SMALL(IF('Bank Schedule'!$K$2:$K$825="Vacant", ROW('Bank Schedule'!$K$2:$K$825)), ROW(78:78))), "")</f>
        <v>45600</v>
      </c>
      <c r="U81" s="309" t="n">
        <f aca="false" t="array" ref="U81:U81">IFERROR(INDEX('Bank Schedule'!U:U, SMALL(IF('Bank Schedule'!$K$2:$K$825="Vacant", ROW('Bank Schedule'!$K$2:$K$825)), ROW(78:78))), "")</f>
        <v>45600</v>
      </c>
      <c r="V81" s="309" t="n">
        <f aca="false" t="array" ref="V81:V81">IFERROR(INDEX('Bank Schedule'!V:V, SMALL(IF('Bank Schedule'!$K$2:$K$825="Vacant", ROW('Bank Schedule'!$K$2:$K$825)), ROW(78:78))), "")</f>
        <v>52300</v>
      </c>
      <c r="W81" s="309" t="n">
        <f aca="false" t="array" ref="W81:W81">IFERROR(INDEX('Bank Schedule'!W:W, SMALL(IF('Bank Schedule'!$K$2:$K$825="Vacant", ROW('Bank Schedule'!$K$2:$K$825)), ROW(78:78))), "")</f>
        <v>52300</v>
      </c>
      <c r="X81" s="309" t="n">
        <f aca="false" t="array" ref="X81:X81">IFERROR(INDEX('Bank Schedule'!X:X, SMALL(IF('Bank Schedule'!$K$2:$K$825="Vacant", ROW('Bank Schedule'!$K$2:$K$825)), ROW(78:78))), "")</f>
        <v>64.9689440993789</v>
      </c>
      <c r="Y81" s="310" t="n">
        <f aca="false" t="array" ref="Y81:Y81">IFERROR(INDEX('Bank Schedule'!Y:Y, SMALL(IF('Bank Schedule'!$K$2:$K$825="Vacant", ROW('Bank Schedule'!$K$2:$K$825)), ROW(78:78))), "")</f>
        <v>0.146929824561404</v>
      </c>
      <c r="Z81" s="29" t="str">
        <f aca="false" t="array" ref="Z81:Z81">IFERROR(INDEX('Bank Schedule'!Z:Z, SMALL(IF('Bank Schedule'!$K$2:$K$825="Vacant", ROW('Bank Schedule'!$K$2:$K$825)), ROW(78:78))), "")</f>
        <v>D</v>
      </c>
      <c r="AA81" s="29" t="str">
        <f aca="false">IFERROR(INDEX('Bank Schedule'!AA:AA, SMALL(IF('Bank Schedule'!$K$2:$K$825="Vacant", ROW('Bank Schedule'!$K$2:$K$825)), ROW(78:78))), "")</f>
        <v/>
      </c>
      <c r="AB81" s="29" t="str">
        <f aca="false">IFERROR(INDEX('Bank Schedule'!AB:AB, SMALL(IF('Bank Schedule'!$K$2:$K$825="Vacant", ROW('Bank Schedule'!$K$2:$K$825)), ROW(78:78))), "")</f>
        <v/>
      </c>
      <c r="AC81" s="29" t="str">
        <f aca="false" t="array" ref="AC81:AC81">IFERROR(INDEX('Bank Schedule'!AC:AC, SMALL(IF('Bank Schedule'!$K$2:$K$825="Vacant", ROW('Bank Schedule'!$K$2:$K$825)), ROW(78:78))), "")</f>
        <v>No</v>
      </c>
      <c r="AD81" s="29" t="str">
        <f aca="false" t="array" ref="AD81:AD81">IFERROR(INDEX('Bank Schedule'!AD:AD, SMALL(IF('Bank Schedule'!$K$2:$K$825="Vacant", ROW('Bank Schedule'!$K$2:$K$825)), ROW(78:78))), "")</f>
        <v>Mothballed.</v>
      </c>
      <c r="AE81" s="281" t="str">
        <f aca="false">IFERROR(INDEX('Bank Schedule'!AE:AE, SMALL(IF('Bank Schedule'!$K$2:$K$825="Vacant", ROW('Bank Schedule'!$K$2:$K$825)), ROW(78:78))), "")</f>
        <v/>
      </c>
      <c r="AF81" s="29" t="str">
        <f aca="false">IFERROR(INDEX('Bank Schedule'!AF:AF, SMALL(IF('Bank Schedule'!$K$2:$K$825="Vacant", ROW('Bank Schedule'!$K$2:$K$825)), ROW(78:78))), "")</f>
        <v/>
      </c>
      <c r="AG81" s="29" t="str">
        <f aca="false">IFERROR(INDEX('Bank Schedule'!AG:AG, SMALL(IF('Bank Schedule'!$K$2:$K$825="Vacant", ROW('Bank Schedule'!$K$2:$K$825)), ROW(78:78))), "")</f>
        <v/>
      </c>
      <c r="AH81" s="29" t="str">
        <f aca="false">IFERROR(INDEX('Bank Schedule'!AH:AH, SMALL(IF('Bank Schedule'!$K$2:$K$825="Vacant", ROW('Bank Schedule'!$K$2:$K$825)), ROW(78:78))), "")</f>
        <v/>
      </c>
      <c r="AI81" s="4"/>
    </row>
    <row r="82" customFormat="false" ht="28.5" hidden="false" customHeight="true" outlineLevel="0" collapsed="false">
      <c r="A82" s="29" t="str">
        <f aca="false">IFERROR(INDEX('Bank Schedule'!A:A, SMALL(IF('Bank Schedule'!$K$2:$K$825="Vacant", ROW('Bank Schedule'!$K$2:$K$825)), ROW(79:79))), "")</f>
        <v/>
      </c>
      <c r="B82" s="29" t="str">
        <f aca="false" t="array" ref="B82:B82">IFERROR(INDEX('Bank Schedule'!B:B, SMALL(IF('Bank Schedule'!$K$2:$K$825="Vacant", ROW('Bank Schedule'!$K$2:$K$825)), ROW(79:79))), "")</f>
        <v>JM</v>
      </c>
      <c r="C82" s="29" t="str">
        <f aca="false" t="array" ref="C82:C82">IFERROR(INDEX('Bank Schedule'!C:C, SMALL(IF('Bank Schedule'!$K$2:$K$825="Vacant", ROW('Bank Schedule'!$K$2:$K$825)), ROW(79:79))), "")</f>
        <v>MEL</v>
      </c>
      <c r="D82" s="29" t="n">
        <f aca="false" t="array" ref="D82:D82">IFERROR(INDEX('Bank Schedule'!D:D, SMALL(IF('Bank Schedule'!$K$2:$K$825="Vacant", ROW('Bank Schedule'!$K$2:$K$825)), ROW(79:79))), "")</f>
        <v>550690</v>
      </c>
      <c r="E82" s="29" t="str">
        <f aca="false" t="array" ref="E82:E82">IFERROR(INDEX('Bank Schedule'!E:E, SMALL(IF('Bank Schedule'!$K$2:$K$825="Vacant", ROW('Bank Schedule'!$K$2:$K$825)), ROW(79:79))), "")</f>
        <v>Kenilworth House - 79-80 Margaret Street</v>
      </c>
      <c r="F82" s="29" t="str">
        <f aca="false" t="array" ref="F82:F82">IFERROR(INDEX('Bank Schedule'!F:F, SMALL(IF('Bank Schedule'!$K$2:$K$825="Vacant", ROW('Bank Schedule'!$K$2:$K$825)), ROW(79:79))), "")</f>
        <v>Second Floor (East)</v>
      </c>
      <c r="G82" s="29" t="str">
        <f aca="false" t="array" ref="G82:G82">IFERROR(INDEX('Bank Schedule'!G:G, SMALL(IF('Bank Schedule'!$K$2:$K$825="Vacant", ROW('Bank Schedule'!$K$2:$K$825)), ROW(79:79))), "")</f>
        <v>Office</v>
      </c>
      <c r="H82" s="305" t="n">
        <f aca="false" t="array" ref="H82:H82">IFERROR(INDEX('Bank Schedule'!H:H, SMALL(IF('Bank Schedule'!$K$2:$K$825="Vacant", ROW('Bank Schedule'!$K$2:$K$825)), ROW(79:79))), "")</f>
        <v>1171</v>
      </c>
      <c r="I82" s="29" t="n">
        <f aca="false" t="array" ref="I82:I82">IFERROR(INDEX('Bank Schedule'!I:I, SMALL(IF('Bank Schedule'!$K$2:$K$825="Vacant", ROW('Bank Schedule'!$K$2:$K$825)), ROW(79:79))), "")</f>
        <v>1171</v>
      </c>
      <c r="J82" s="305" t="n">
        <f aca="false" t="array" ref="J82:J82">IFERROR(INDEX('Bank Schedule'!J:J, SMALL(IF('Bank Schedule'!$K$2:$K$825="Vacant", ROW('Bank Schedule'!$K$2:$K$825)), ROW(79:79))), "")</f>
        <v>1000</v>
      </c>
      <c r="K82" s="29" t="str">
        <f aca="false" t="array" ref="K82:K82">IFERROR(INDEX('Bank Schedule'!K:K, SMALL(IF('Bank Schedule'!$K$2:$K$825="Vacant", ROW('Bank Schedule'!$K$2:$K$825)), ROW(79:79))), "")</f>
        <v>Vacant</v>
      </c>
      <c r="L82" s="29" t="str">
        <f aca="false">IFERROR(INDEX('Bank Schedule'!L:L, SMALL(IF('Bank Schedule'!$K$2:$K$825="Vacant", ROW('Bank Schedule'!$K$2:$K$825)), ROW(79:79))), "")</f>
        <v/>
      </c>
      <c r="M82" s="29" t="str">
        <f aca="false">IFERROR(INDEX('Bank Schedule'!M:M, SMALL(IF('Bank Schedule'!$K$2:$K$825="Vacant", ROW('Bank Schedule'!$K$2:$K$825)), ROW(79:79))), "")</f>
        <v/>
      </c>
      <c r="N82" s="307" t="n">
        <f aca="false" t="array" ref="N82:N82">IFERROR(INDEX('Bank Schedule'!N:N, SMALL(IF('Bank Schedule'!$K$2:$K$825="Vacant", ROW('Bank Schedule'!$K$2:$K$825)), ROW(79:79))), "")</f>
        <v>44049</v>
      </c>
      <c r="O82" s="29" t="str">
        <f aca="false">IFERROR(INDEX('Bank Schedule'!O:O, SMALL(IF('Bank Schedule'!$K$2:$K$825="Vacant", ROW('Bank Schedule'!$K$2:$K$825)), ROW(79:79))), "")</f>
        <v/>
      </c>
      <c r="P82" s="29" t="str">
        <f aca="false">IFERROR(INDEX('Bank Schedule'!P:P, SMALL(IF('Bank Schedule'!$K$2:$K$825="Vacant", ROW('Bank Schedule'!$K$2:$K$825)), ROW(79:79))), "")</f>
        <v/>
      </c>
      <c r="Q82" s="29" t="n">
        <f aca="false" t="array" ref="Q82:Q82">IFERROR(INDEX('Bank Schedule'!Q:Q, SMALL(IF('Bank Schedule'!$K$2:$K$825="Vacant", ROW('Bank Schedule'!$K$2:$K$825)), ROW(79:79))), "")</f>
        <v>0</v>
      </c>
      <c r="R82" s="29" t="n">
        <f aca="false" t="array" ref="R82:R82">IFERROR(INDEX('Bank Schedule'!R:R, SMALL(IF('Bank Schedule'!$K$2:$K$825="Vacant", ROW('Bank Schedule'!$K$2:$K$825)), ROW(79:79))), "")</f>
        <v>0</v>
      </c>
      <c r="S82" s="29" t="str">
        <f aca="false">IFERROR(INDEX('Bank Schedule'!S:S, SMALL(IF('Bank Schedule'!$K$2:$K$825="Vacant", ROW('Bank Schedule'!$K$2:$K$825)), ROW(79:79))), "")</f>
        <v/>
      </c>
      <c r="T82" s="309" t="n">
        <f aca="false" t="array" ref="T82:T82">IFERROR(INDEX('Bank Schedule'!T:T, SMALL(IF('Bank Schedule'!$K$2:$K$825="Vacant", ROW('Bank Schedule'!$K$2:$K$825)), ROW(79:79))), "")</f>
        <v>72300</v>
      </c>
      <c r="U82" s="309" t="n">
        <f aca="false" t="array" ref="U82:U82">IFERROR(INDEX('Bank Schedule'!U:U, SMALL(IF('Bank Schedule'!$K$2:$K$825="Vacant", ROW('Bank Schedule'!$K$2:$K$825)), ROW(79:79))), "")</f>
        <v>72300</v>
      </c>
      <c r="V82" s="309" t="n">
        <f aca="false" t="array" ref="V82:V82">IFERROR(INDEX('Bank Schedule'!V:V, SMALL(IF('Bank Schedule'!$K$2:$K$825="Vacant", ROW('Bank Schedule'!$K$2:$K$825)), ROW(79:79))), "")</f>
        <v>76100</v>
      </c>
      <c r="W82" s="309" t="n">
        <f aca="false" t="array" ref="W82:W82">IFERROR(INDEX('Bank Schedule'!W:W, SMALL(IF('Bank Schedule'!$K$2:$K$825="Vacant", ROW('Bank Schedule'!$K$2:$K$825)), ROW(79:79))), "")</f>
        <v>76100</v>
      </c>
      <c r="X82" s="309" t="n">
        <f aca="false" t="array" ref="X82:X82">IFERROR(INDEX('Bank Schedule'!X:X, SMALL(IF('Bank Schedule'!$K$2:$K$825="Vacant", ROW('Bank Schedule'!$K$2:$K$825)), ROW(79:79))), "")</f>
        <v>64.9871904355252</v>
      </c>
      <c r="Y82" s="310" t="n">
        <f aca="false" t="array" ref="Y82:Y82">IFERROR(INDEX('Bank Schedule'!Y:Y, SMALL(IF('Bank Schedule'!$K$2:$K$825="Vacant", ROW('Bank Schedule'!$K$2:$K$825)), ROW(79:79))), "")</f>
        <v>0.0525587828492393</v>
      </c>
      <c r="Z82" s="29" t="str">
        <f aca="false" t="array" ref="Z82:Z82">IFERROR(INDEX('Bank Schedule'!Z:Z, SMALL(IF('Bank Schedule'!$K$2:$K$825="Vacant", ROW('Bank Schedule'!$K$2:$K$825)), ROW(79:79))), "")</f>
        <v>D</v>
      </c>
      <c r="AA82" s="29" t="str">
        <f aca="false">IFERROR(INDEX('Bank Schedule'!AA:AA, SMALL(IF('Bank Schedule'!$K$2:$K$825="Vacant", ROW('Bank Schedule'!$K$2:$K$825)), ROW(79:79))), "")</f>
        <v/>
      </c>
      <c r="AB82" s="29" t="str">
        <f aca="false">IFERROR(INDEX('Bank Schedule'!AB:AB, SMALL(IF('Bank Schedule'!$K$2:$K$825="Vacant", ROW('Bank Schedule'!$K$2:$K$825)), ROW(79:79))), "")</f>
        <v/>
      </c>
      <c r="AC82" s="29" t="str">
        <f aca="false" t="array" ref="AC82:AC82">IFERROR(INDEX('Bank Schedule'!AC:AC, SMALL(IF('Bank Schedule'!$K$2:$K$825="Vacant", ROW('Bank Schedule'!$K$2:$K$825)), ROW(79:79))), "")</f>
        <v>No</v>
      </c>
      <c r="AD82" s="29" t="str">
        <f aca="false" t="array" ref="AD82:AD82">IFERROR(INDEX('Bank Schedule'!AD:AD, SMALL(IF('Bank Schedule'!$K$2:$K$825="Vacant", ROW('Bank Schedule'!$K$2:$K$825)), ROW(79:79))), "")</f>
        <v>Mothballed.</v>
      </c>
      <c r="AE82" s="281" t="str">
        <f aca="false">IFERROR(INDEX('Bank Schedule'!AE:AE, SMALL(IF('Bank Schedule'!$K$2:$K$825="Vacant", ROW('Bank Schedule'!$K$2:$K$825)), ROW(79:79))), "")</f>
        <v/>
      </c>
      <c r="AF82" s="29" t="str">
        <f aca="false">IFERROR(INDEX('Bank Schedule'!AF:AF, SMALL(IF('Bank Schedule'!$K$2:$K$825="Vacant", ROW('Bank Schedule'!$K$2:$K$825)), ROW(79:79))), "")</f>
        <v/>
      </c>
      <c r="AG82" s="29" t="str">
        <f aca="false">IFERROR(INDEX('Bank Schedule'!AG:AG, SMALL(IF('Bank Schedule'!$K$2:$K$825="Vacant", ROW('Bank Schedule'!$K$2:$K$825)), ROW(79:79))), "")</f>
        <v/>
      </c>
      <c r="AH82" s="29" t="str">
        <f aca="false">IFERROR(INDEX('Bank Schedule'!AH:AH, SMALL(IF('Bank Schedule'!$K$2:$K$825="Vacant", ROW('Bank Schedule'!$K$2:$K$825)), ROW(79:79))), "")</f>
        <v/>
      </c>
      <c r="AI82" s="4"/>
    </row>
    <row r="83" customFormat="false" ht="28.5" hidden="false" customHeight="true" outlineLevel="0" collapsed="false">
      <c r="A83" s="29" t="str">
        <f aca="false">IFERROR(INDEX('Bank Schedule'!A:A, SMALL(IF('Bank Schedule'!$K$2:$K$825="Vacant", ROW('Bank Schedule'!$K$2:$K$825)), ROW(80:80))), "")</f>
        <v/>
      </c>
      <c r="B83" s="29" t="str">
        <f aca="false" t="array" ref="B83:B83">IFERROR(INDEX('Bank Schedule'!B:B, SMALL(IF('Bank Schedule'!$K$2:$K$825="Vacant", ROW('Bank Schedule'!$K$2:$K$825)), ROW(80:80))), "")</f>
        <v>JM</v>
      </c>
      <c r="C83" s="29" t="str">
        <f aca="false" t="array" ref="C83:C83">IFERROR(INDEX('Bank Schedule'!C:C, SMALL(IF('Bank Schedule'!$K$2:$K$825="Vacant", ROW('Bank Schedule'!$K$2:$K$825)), ROW(80:80))), "")</f>
        <v>MEL</v>
      </c>
      <c r="D83" s="29" t="n">
        <f aca="false" t="array" ref="D83:D83">IFERROR(INDEX('Bank Schedule'!D:D, SMALL(IF('Bank Schedule'!$K$2:$K$825="Vacant", ROW('Bank Schedule'!$K$2:$K$825)), ROW(80:80))), "")</f>
        <v>550690</v>
      </c>
      <c r="E83" s="29" t="str">
        <f aca="false" t="array" ref="E83:E83">IFERROR(INDEX('Bank Schedule'!E:E, SMALL(IF('Bank Schedule'!$K$2:$K$825="Vacant", ROW('Bank Schedule'!$K$2:$K$825)), ROW(80:80))), "")</f>
        <v>Kenilworth House - 79-80 Margaret Street</v>
      </c>
      <c r="F83" s="29" t="str">
        <f aca="false" t="array" ref="F83:F83">IFERROR(INDEX('Bank Schedule'!F:F, SMALL(IF('Bank Schedule'!$K$2:$K$825="Vacant", ROW('Bank Schedule'!$K$2:$K$825)), ROW(80:80))), "")</f>
        <v>Second Floor (West)</v>
      </c>
      <c r="G83" s="29" t="str">
        <f aca="false" t="array" ref="G83:G83">IFERROR(INDEX('Bank Schedule'!G:G, SMALL(IF('Bank Schedule'!$K$2:$K$825="Vacant", ROW('Bank Schedule'!$K$2:$K$825)), ROW(80:80))), "")</f>
        <v>Office</v>
      </c>
      <c r="H83" s="305" t="n">
        <f aca="false" t="array" ref="H83:H83">IFERROR(INDEX('Bank Schedule'!H:H, SMALL(IF('Bank Schedule'!$K$2:$K$825="Vacant", ROW('Bank Schedule'!$K$2:$K$825)), ROW(80:80))), "")</f>
        <v>793</v>
      </c>
      <c r="I83" s="29" t="n">
        <f aca="false" t="array" ref="I83:I83">IFERROR(INDEX('Bank Schedule'!I:I, SMALL(IF('Bank Schedule'!$K$2:$K$825="Vacant", ROW('Bank Schedule'!$K$2:$K$825)), ROW(80:80))), "")</f>
        <v>793</v>
      </c>
      <c r="J83" s="305" t="n">
        <f aca="false" t="array" ref="J83:J83">IFERROR(INDEX('Bank Schedule'!J:J, SMALL(IF('Bank Schedule'!$K$2:$K$825="Vacant", ROW('Bank Schedule'!$K$2:$K$825)), ROW(80:80))), "")</f>
        <v>750</v>
      </c>
      <c r="K83" s="29" t="str">
        <f aca="false" t="array" ref="K83:K83">IFERROR(INDEX('Bank Schedule'!K:K, SMALL(IF('Bank Schedule'!$K$2:$K$825="Vacant", ROW('Bank Schedule'!$K$2:$K$825)), ROW(80:80))), "")</f>
        <v>Vacant</v>
      </c>
      <c r="L83" s="29" t="str">
        <f aca="false">IFERROR(INDEX('Bank Schedule'!L:L, SMALL(IF('Bank Schedule'!$K$2:$K$825="Vacant", ROW('Bank Schedule'!$K$2:$K$825)), ROW(80:80))), "")</f>
        <v/>
      </c>
      <c r="M83" s="29" t="str">
        <f aca="false">IFERROR(INDEX('Bank Schedule'!M:M, SMALL(IF('Bank Schedule'!$K$2:$K$825="Vacant", ROW('Bank Schedule'!$K$2:$K$825)), ROW(80:80))), "")</f>
        <v/>
      </c>
      <c r="N83" s="307" t="n">
        <f aca="false" t="array" ref="N83:N83">IFERROR(INDEX('Bank Schedule'!N:N, SMALL(IF('Bank Schedule'!$K$2:$K$825="Vacant", ROW('Bank Schedule'!$K$2:$K$825)), ROW(80:80))), "")</f>
        <v>44805</v>
      </c>
      <c r="O83" s="29" t="str">
        <f aca="false">IFERROR(INDEX('Bank Schedule'!O:O, SMALL(IF('Bank Schedule'!$K$2:$K$825="Vacant", ROW('Bank Schedule'!$K$2:$K$825)), ROW(80:80))), "")</f>
        <v/>
      </c>
      <c r="P83" s="29" t="str">
        <f aca="false">IFERROR(INDEX('Bank Schedule'!P:P, SMALL(IF('Bank Schedule'!$K$2:$K$825="Vacant", ROW('Bank Schedule'!$K$2:$K$825)), ROW(80:80))), "")</f>
        <v/>
      </c>
      <c r="Q83" s="29" t="n">
        <f aca="false" t="array" ref="Q83:Q83">IFERROR(INDEX('Bank Schedule'!Q:Q, SMALL(IF('Bank Schedule'!$K$2:$K$825="Vacant", ROW('Bank Schedule'!$K$2:$K$825)), ROW(80:80))), "")</f>
        <v>0</v>
      </c>
      <c r="R83" s="29" t="n">
        <f aca="false" t="array" ref="R83:R83">IFERROR(INDEX('Bank Schedule'!R:R, SMALL(IF('Bank Schedule'!$K$2:$K$825="Vacant", ROW('Bank Schedule'!$K$2:$K$825)), ROW(80:80))), "")</f>
        <v>0</v>
      </c>
      <c r="S83" s="29" t="str">
        <f aca="false">IFERROR(INDEX('Bank Schedule'!S:S, SMALL(IF('Bank Schedule'!$K$2:$K$825="Vacant", ROW('Bank Schedule'!$K$2:$K$825)), ROW(80:80))), "")</f>
        <v/>
      </c>
      <c r="T83" s="309" t="n">
        <f aca="false" t="array" ref="T83:T83">IFERROR(INDEX('Bank Schedule'!T:T, SMALL(IF('Bank Schedule'!$K$2:$K$825="Vacant", ROW('Bank Schedule'!$K$2:$K$825)), ROW(80:80))), "")</f>
        <v>46300</v>
      </c>
      <c r="U83" s="309" t="n">
        <f aca="false" t="array" ref="U83:U83">IFERROR(INDEX('Bank Schedule'!U:U, SMALL(IF('Bank Schedule'!$K$2:$K$825="Vacant", ROW('Bank Schedule'!$K$2:$K$825)), ROW(80:80))), "")</f>
        <v>46300</v>
      </c>
      <c r="V83" s="309" t="n">
        <f aca="false" t="array" ref="V83:V83">IFERROR(INDEX('Bank Schedule'!V:V, SMALL(IF('Bank Schedule'!$K$2:$K$825="Vacant", ROW('Bank Schedule'!$K$2:$K$825)), ROW(80:80))), "")</f>
        <v>51500</v>
      </c>
      <c r="W83" s="309" t="n">
        <f aca="false" t="array" ref="W83:W83">IFERROR(INDEX('Bank Schedule'!W:W, SMALL(IF('Bank Schedule'!$K$2:$K$825="Vacant", ROW('Bank Schedule'!$K$2:$K$825)), ROW(80:80))), "")</f>
        <v>51500</v>
      </c>
      <c r="X83" s="309" t="n">
        <f aca="false" t="array" ref="X83:X83">IFERROR(INDEX('Bank Schedule'!X:X, SMALL(IF('Bank Schedule'!$K$2:$K$825="Vacant", ROW('Bank Schedule'!$K$2:$K$825)), ROW(80:80))), "")</f>
        <v>64.9432534678436</v>
      </c>
      <c r="Y83" s="310" t="n">
        <f aca="false" t="array" ref="Y83:Y83">IFERROR(INDEX('Bank Schedule'!Y:Y, SMALL(IF('Bank Schedule'!$K$2:$K$825="Vacant", ROW('Bank Schedule'!$K$2:$K$825)), ROW(80:80))), "")</f>
        <v>0.11231101511879</v>
      </c>
      <c r="Z83" s="29" t="str">
        <f aca="false" t="array" ref="Z83:Z83">IFERROR(INDEX('Bank Schedule'!Z:Z, SMALL(IF('Bank Schedule'!$K$2:$K$825="Vacant", ROW('Bank Schedule'!$K$2:$K$825)), ROW(80:80))), "")</f>
        <v>D</v>
      </c>
      <c r="AA83" s="29" t="str">
        <f aca="false">IFERROR(INDEX('Bank Schedule'!AA:AA, SMALL(IF('Bank Schedule'!$K$2:$K$825="Vacant", ROW('Bank Schedule'!$K$2:$K$825)), ROW(80:80))), "")</f>
        <v/>
      </c>
      <c r="AB83" s="29" t="str">
        <f aca="false">IFERROR(INDEX('Bank Schedule'!AB:AB, SMALL(IF('Bank Schedule'!$K$2:$K$825="Vacant", ROW('Bank Schedule'!$K$2:$K$825)), ROW(80:80))), "")</f>
        <v/>
      </c>
      <c r="AC83" s="29" t="str">
        <f aca="false" t="array" ref="AC83:AC83">IFERROR(INDEX('Bank Schedule'!AC:AC, SMALL(IF('Bank Schedule'!$K$2:$K$825="Vacant", ROW('Bank Schedule'!$K$2:$K$825)), ROW(80:80))), "")</f>
        <v>No</v>
      </c>
      <c r="AD83" s="29" t="str">
        <f aca="false" t="array" ref="AD83:AD83">IFERROR(INDEX('Bank Schedule'!AD:AD, SMALL(IF('Bank Schedule'!$K$2:$K$825="Vacant", ROW('Bank Schedule'!$K$2:$K$825)), ROW(80:80))), "")</f>
        <v>Mothballed.</v>
      </c>
      <c r="AE83" s="281" t="str">
        <f aca="false">IFERROR(INDEX('Bank Schedule'!AE:AE, SMALL(IF('Bank Schedule'!$K$2:$K$825="Vacant", ROW('Bank Schedule'!$K$2:$K$825)), ROW(80:80))), "")</f>
        <v/>
      </c>
      <c r="AF83" s="29" t="str">
        <f aca="false">IFERROR(INDEX('Bank Schedule'!AF:AF, SMALL(IF('Bank Schedule'!$K$2:$K$825="Vacant", ROW('Bank Schedule'!$K$2:$K$825)), ROW(80:80))), "")</f>
        <v/>
      </c>
      <c r="AG83" s="29" t="str">
        <f aca="false">IFERROR(INDEX('Bank Schedule'!AG:AG, SMALL(IF('Bank Schedule'!$K$2:$K$825="Vacant", ROW('Bank Schedule'!$K$2:$K$825)), ROW(80:80))), "")</f>
        <v/>
      </c>
      <c r="AH83" s="29" t="str">
        <f aca="false">IFERROR(INDEX('Bank Schedule'!AH:AH, SMALL(IF('Bank Schedule'!$K$2:$K$825="Vacant", ROW('Bank Schedule'!$K$2:$K$825)), ROW(80:80))), "")</f>
        <v/>
      </c>
      <c r="AI83" s="4"/>
    </row>
    <row r="84" customFormat="false" ht="28.5" hidden="false" customHeight="true" outlineLevel="0" collapsed="false">
      <c r="A84" s="29" t="str">
        <f aca="false">IFERROR(INDEX('Bank Schedule'!A:A, SMALL(IF('Bank Schedule'!$K$2:$K$825="Vacant", ROW('Bank Schedule'!$K$2:$K$825)), ROW(81:81))), "")</f>
        <v/>
      </c>
      <c r="B84" s="29" t="str">
        <f aca="false" t="array" ref="B84:B84">IFERROR(INDEX('Bank Schedule'!B:B, SMALL(IF('Bank Schedule'!$K$2:$K$825="Vacant", ROW('Bank Schedule'!$K$2:$K$825)), ROW(81:81))), "")</f>
        <v>JM</v>
      </c>
      <c r="C84" s="29" t="str">
        <f aca="false" t="array" ref="C84:C84">IFERROR(INDEX('Bank Schedule'!C:C, SMALL(IF('Bank Schedule'!$K$2:$K$825="Vacant", ROW('Bank Schedule'!$K$2:$K$825)), ROW(81:81))), "")</f>
        <v>MEL</v>
      </c>
      <c r="D84" s="29" t="n">
        <f aca="false" t="array" ref="D84:D84">IFERROR(INDEX('Bank Schedule'!D:D, SMALL(IF('Bank Schedule'!$K$2:$K$825="Vacant", ROW('Bank Schedule'!$K$2:$K$825)), ROW(81:81))), "")</f>
        <v>550690</v>
      </c>
      <c r="E84" s="29" t="str">
        <f aca="false" t="array" ref="E84:E84">IFERROR(INDEX('Bank Schedule'!E:E, SMALL(IF('Bank Schedule'!$K$2:$K$825="Vacant", ROW('Bank Schedule'!$K$2:$K$825)), ROW(81:81))), "")</f>
        <v>Kenilworth House - 79-80 Margaret Street</v>
      </c>
      <c r="F84" s="29" t="str">
        <f aca="false" t="array" ref="F84:F84">IFERROR(INDEX('Bank Schedule'!F:F, SMALL(IF('Bank Schedule'!$K$2:$K$825="Vacant", ROW('Bank Schedule'!$K$2:$K$825)), ROW(81:81))), "")</f>
        <v>Third Floor (East)</v>
      </c>
      <c r="G84" s="29" t="str">
        <f aca="false" t="array" ref="G84:G84">IFERROR(INDEX('Bank Schedule'!G:G, SMALL(IF('Bank Schedule'!$K$2:$K$825="Vacant", ROW('Bank Schedule'!$K$2:$K$825)), ROW(81:81))), "")</f>
        <v>Office</v>
      </c>
      <c r="H84" s="305" t="n">
        <f aca="false" t="array" ref="H84:H84">IFERROR(INDEX('Bank Schedule'!H:H, SMALL(IF('Bank Schedule'!$K$2:$K$825="Vacant", ROW('Bank Schedule'!$K$2:$K$825)), ROW(81:81))), "")</f>
        <v>1030</v>
      </c>
      <c r="I84" s="29" t="n">
        <f aca="false" t="array" ref="I84:I84">IFERROR(INDEX('Bank Schedule'!I:I, SMALL(IF('Bank Schedule'!$K$2:$K$825="Vacant", ROW('Bank Schedule'!$K$2:$K$825)), ROW(81:81))), "")</f>
        <v>1030</v>
      </c>
      <c r="J84" s="305" t="n">
        <f aca="false" t="array" ref="J84:J84">IFERROR(INDEX('Bank Schedule'!J:J, SMALL(IF('Bank Schedule'!$K$2:$K$825="Vacant", ROW('Bank Schedule'!$K$2:$K$825)), ROW(81:81))), "")</f>
        <v>1000</v>
      </c>
      <c r="K84" s="29" t="str">
        <f aca="false" t="array" ref="K84:K84">IFERROR(INDEX('Bank Schedule'!K:K, SMALL(IF('Bank Schedule'!$K$2:$K$825="Vacant", ROW('Bank Schedule'!$K$2:$K$825)), ROW(81:81))), "")</f>
        <v>Vacant</v>
      </c>
      <c r="L84" s="29" t="str">
        <f aca="false">IFERROR(INDEX('Bank Schedule'!L:L, SMALL(IF('Bank Schedule'!$K$2:$K$825="Vacant", ROW('Bank Schedule'!$K$2:$K$825)), ROW(81:81))), "")</f>
        <v/>
      </c>
      <c r="M84" s="29" t="str">
        <f aca="false">IFERROR(INDEX('Bank Schedule'!M:M, SMALL(IF('Bank Schedule'!$K$2:$K$825="Vacant", ROW('Bank Schedule'!$K$2:$K$825)), ROW(81:81))), "")</f>
        <v/>
      </c>
      <c r="N84" s="307" t="n">
        <f aca="false" t="array" ref="N84:N84">IFERROR(INDEX('Bank Schedule'!N:N, SMALL(IF('Bank Schedule'!$K$2:$K$825="Vacant", ROW('Bank Schedule'!$K$2:$K$825)), ROW(81:81))), "")</f>
        <v>43914</v>
      </c>
      <c r="O84" s="29" t="str">
        <f aca="false">IFERROR(INDEX('Bank Schedule'!O:O, SMALL(IF('Bank Schedule'!$K$2:$K$825="Vacant", ROW('Bank Schedule'!$K$2:$K$825)), ROW(81:81))), "")</f>
        <v/>
      </c>
      <c r="P84" s="29" t="str">
        <f aca="false">IFERROR(INDEX('Bank Schedule'!P:P, SMALL(IF('Bank Schedule'!$K$2:$K$825="Vacant", ROW('Bank Schedule'!$K$2:$K$825)), ROW(81:81))), "")</f>
        <v/>
      </c>
      <c r="Q84" s="29" t="n">
        <f aca="false" t="array" ref="Q84:Q84">IFERROR(INDEX('Bank Schedule'!Q:Q, SMALL(IF('Bank Schedule'!$K$2:$K$825="Vacant", ROW('Bank Schedule'!$K$2:$K$825)), ROW(81:81))), "")</f>
        <v>0</v>
      </c>
      <c r="R84" s="29" t="n">
        <f aca="false" t="array" ref="R84:R84">IFERROR(INDEX('Bank Schedule'!R:R, SMALL(IF('Bank Schedule'!$K$2:$K$825="Vacant", ROW('Bank Schedule'!$K$2:$K$825)), ROW(81:81))), "")</f>
        <v>0</v>
      </c>
      <c r="S84" s="29" t="str">
        <f aca="false">IFERROR(INDEX('Bank Schedule'!S:S, SMALL(IF('Bank Schedule'!$K$2:$K$825="Vacant", ROW('Bank Schedule'!$K$2:$K$825)), ROW(81:81))), "")</f>
        <v/>
      </c>
      <c r="T84" s="309" t="n">
        <f aca="false" t="array" ref="T84:T84">IFERROR(INDEX('Bank Schedule'!T:T, SMALL(IF('Bank Schedule'!$K$2:$K$825="Vacant", ROW('Bank Schedule'!$K$2:$K$825)), ROW(81:81))), "")</f>
        <v>63800</v>
      </c>
      <c r="U84" s="309" t="n">
        <f aca="false" t="array" ref="U84:U84">IFERROR(INDEX('Bank Schedule'!U:U, SMALL(IF('Bank Schedule'!$K$2:$K$825="Vacant", ROW('Bank Schedule'!$K$2:$K$825)), ROW(81:81))), "")</f>
        <v>63800</v>
      </c>
      <c r="V84" s="309" t="n">
        <f aca="false" t="array" ref="V84:V84">IFERROR(INDEX('Bank Schedule'!V:V, SMALL(IF('Bank Schedule'!$K$2:$K$825="Vacant", ROW('Bank Schedule'!$K$2:$K$825)), ROW(81:81))), "")</f>
        <v>67000</v>
      </c>
      <c r="W84" s="309" t="n">
        <f aca="false" t="array" ref="W84:W84">IFERROR(INDEX('Bank Schedule'!W:W, SMALL(IF('Bank Schedule'!$K$2:$K$825="Vacant", ROW('Bank Schedule'!$K$2:$K$825)), ROW(81:81))), "")</f>
        <v>67000</v>
      </c>
      <c r="X84" s="309" t="n">
        <f aca="false" t="array" ref="X84:X84">IFERROR(INDEX('Bank Schedule'!X:X, SMALL(IF('Bank Schedule'!$K$2:$K$825="Vacant", ROW('Bank Schedule'!$K$2:$K$825)), ROW(81:81))), "")</f>
        <v>65.0485436893204</v>
      </c>
      <c r="Y84" s="310" t="n">
        <f aca="false" t="array" ref="Y84:Y84">IFERROR(INDEX('Bank Schedule'!Y:Y, SMALL(IF('Bank Schedule'!$K$2:$K$825="Vacant", ROW('Bank Schedule'!$K$2:$K$825)), ROW(81:81))), "")</f>
        <v>0.0501567398119122</v>
      </c>
      <c r="Z84" s="29" t="str">
        <f aca="false" t="array" ref="Z84:Z84">IFERROR(INDEX('Bank Schedule'!Z:Z, SMALL(IF('Bank Schedule'!$K$2:$K$825="Vacant", ROW('Bank Schedule'!$K$2:$K$825)), ROW(81:81))), "")</f>
        <v>D</v>
      </c>
      <c r="AA84" s="29" t="str">
        <f aca="false">IFERROR(INDEX('Bank Schedule'!AA:AA, SMALL(IF('Bank Schedule'!$K$2:$K$825="Vacant", ROW('Bank Schedule'!$K$2:$K$825)), ROW(81:81))), "")</f>
        <v/>
      </c>
      <c r="AB84" s="29" t="str">
        <f aca="false">IFERROR(INDEX('Bank Schedule'!AB:AB, SMALL(IF('Bank Schedule'!$K$2:$K$825="Vacant", ROW('Bank Schedule'!$K$2:$K$825)), ROW(81:81))), "")</f>
        <v/>
      </c>
      <c r="AC84" s="29" t="str">
        <f aca="false" t="array" ref="AC84:AC84">IFERROR(INDEX('Bank Schedule'!AC:AC, SMALL(IF('Bank Schedule'!$K$2:$K$825="Vacant", ROW('Bank Schedule'!$K$2:$K$825)), ROW(81:81))), "")</f>
        <v>No</v>
      </c>
      <c r="AD84" s="29" t="str">
        <f aca="false" t="array" ref="AD84:AD84">IFERROR(INDEX('Bank Schedule'!AD:AD, SMALL(IF('Bank Schedule'!$K$2:$K$825="Vacant", ROW('Bank Schedule'!$K$2:$K$825)), ROW(81:81))), "")</f>
        <v>Mothballed.</v>
      </c>
      <c r="AE84" s="281" t="str">
        <f aca="false">IFERROR(INDEX('Bank Schedule'!AE:AE, SMALL(IF('Bank Schedule'!$K$2:$K$825="Vacant", ROW('Bank Schedule'!$K$2:$K$825)), ROW(81:81))), "")</f>
        <v/>
      </c>
      <c r="AF84" s="29" t="str">
        <f aca="false">IFERROR(INDEX('Bank Schedule'!AF:AF, SMALL(IF('Bank Schedule'!$K$2:$K$825="Vacant", ROW('Bank Schedule'!$K$2:$K$825)), ROW(81:81))), "")</f>
        <v/>
      </c>
      <c r="AG84" s="29" t="str">
        <f aca="false">IFERROR(INDEX('Bank Schedule'!AG:AG, SMALL(IF('Bank Schedule'!$K$2:$K$825="Vacant", ROW('Bank Schedule'!$K$2:$K$825)), ROW(81:81))), "")</f>
        <v/>
      </c>
      <c r="AH84" s="29" t="str">
        <f aca="false">IFERROR(INDEX('Bank Schedule'!AH:AH, SMALL(IF('Bank Schedule'!$K$2:$K$825="Vacant", ROW('Bank Schedule'!$K$2:$K$825)), ROW(81:81))), "")</f>
        <v/>
      </c>
      <c r="AI84" s="4"/>
    </row>
    <row r="85" customFormat="false" ht="28.5" hidden="false" customHeight="true" outlineLevel="0" collapsed="false">
      <c r="A85" s="29" t="str">
        <f aca="false">IFERROR(INDEX('Bank Schedule'!A:A, SMALL(IF('Bank Schedule'!$K$2:$K$825="Vacant", ROW('Bank Schedule'!$K$2:$K$825)), ROW(82:82))), "")</f>
        <v/>
      </c>
      <c r="B85" s="29" t="str">
        <f aca="false" t="array" ref="B85:B85">IFERROR(INDEX('Bank Schedule'!B:B, SMALL(IF('Bank Schedule'!$K$2:$K$825="Vacant", ROW('Bank Schedule'!$K$2:$K$825)), ROW(82:82))), "")</f>
        <v>JM</v>
      </c>
      <c r="C85" s="29" t="str">
        <f aca="false" t="array" ref="C85:C85">IFERROR(INDEX('Bank Schedule'!C:C, SMALL(IF('Bank Schedule'!$K$2:$K$825="Vacant", ROW('Bank Schedule'!$K$2:$K$825)), ROW(82:82))), "")</f>
        <v>MEL</v>
      </c>
      <c r="D85" s="29" t="n">
        <f aca="false" t="array" ref="D85:D85">IFERROR(INDEX('Bank Schedule'!D:D, SMALL(IF('Bank Schedule'!$K$2:$K$825="Vacant", ROW('Bank Schedule'!$K$2:$K$825)), ROW(82:82))), "")</f>
        <v>550690</v>
      </c>
      <c r="E85" s="29" t="str">
        <f aca="false" t="array" ref="E85:E85">IFERROR(INDEX('Bank Schedule'!E:E, SMALL(IF('Bank Schedule'!$K$2:$K$825="Vacant", ROW('Bank Schedule'!$K$2:$K$825)), ROW(82:82))), "")</f>
        <v>Kenilworth House - 79-80 Margaret Street</v>
      </c>
      <c r="F85" s="29" t="str">
        <f aca="false" t="array" ref="F85:F85">IFERROR(INDEX('Bank Schedule'!F:F, SMALL(IF('Bank Schedule'!$K$2:$K$825="Vacant", ROW('Bank Schedule'!$K$2:$K$825)), ROW(82:82))), "")</f>
        <v>Third Floor (West)</v>
      </c>
      <c r="G85" s="29" t="str">
        <f aca="false" t="array" ref="G85:G85">IFERROR(INDEX('Bank Schedule'!G:G, SMALL(IF('Bank Schedule'!$K$2:$K$825="Vacant", ROW('Bank Schedule'!$K$2:$K$825)), ROW(82:82))), "")</f>
        <v>Office</v>
      </c>
      <c r="H85" s="305" t="n">
        <f aca="false" t="array" ref="H85:H85">IFERROR(INDEX('Bank Schedule'!H:H, SMALL(IF('Bank Schedule'!$K$2:$K$825="Vacant", ROW('Bank Schedule'!$K$2:$K$825)), ROW(82:82))), "")</f>
        <v>731</v>
      </c>
      <c r="I85" s="29" t="n">
        <f aca="false" t="array" ref="I85:I85">IFERROR(INDEX('Bank Schedule'!I:I, SMALL(IF('Bank Schedule'!$K$2:$K$825="Vacant", ROW('Bank Schedule'!$K$2:$K$825)), ROW(82:82))), "")</f>
        <v>731</v>
      </c>
      <c r="J85" s="305" t="n">
        <f aca="false" t="array" ref="J85:J85">IFERROR(INDEX('Bank Schedule'!J:J, SMALL(IF('Bank Schedule'!$K$2:$K$825="Vacant", ROW('Bank Schedule'!$K$2:$K$825)), ROW(82:82))), "")</f>
        <v>750</v>
      </c>
      <c r="K85" s="29" t="str">
        <f aca="false" t="array" ref="K85:K85">IFERROR(INDEX('Bank Schedule'!K:K, SMALL(IF('Bank Schedule'!$K$2:$K$825="Vacant", ROW('Bank Schedule'!$K$2:$K$825)), ROW(82:82))), "")</f>
        <v>Vacant</v>
      </c>
      <c r="L85" s="29" t="str">
        <f aca="false">IFERROR(INDEX('Bank Schedule'!L:L, SMALL(IF('Bank Schedule'!$K$2:$K$825="Vacant", ROW('Bank Schedule'!$K$2:$K$825)), ROW(82:82))), "")</f>
        <v/>
      </c>
      <c r="M85" s="29" t="str">
        <f aca="false">IFERROR(INDEX('Bank Schedule'!M:M, SMALL(IF('Bank Schedule'!$K$2:$K$825="Vacant", ROW('Bank Schedule'!$K$2:$K$825)), ROW(82:82))), "")</f>
        <v/>
      </c>
      <c r="N85" s="307" t="n">
        <f aca="false" t="array" ref="N85:N85">IFERROR(INDEX('Bank Schedule'!N:N, SMALL(IF('Bank Schedule'!$K$2:$K$825="Vacant", ROW('Bank Schedule'!$K$2:$K$825)), ROW(82:82))), "")</f>
        <v>44321</v>
      </c>
      <c r="O85" s="29" t="str">
        <f aca="false">IFERROR(INDEX('Bank Schedule'!O:O, SMALL(IF('Bank Schedule'!$K$2:$K$825="Vacant", ROW('Bank Schedule'!$K$2:$K$825)), ROW(82:82))), "")</f>
        <v/>
      </c>
      <c r="P85" s="29" t="str">
        <f aca="false">IFERROR(INDEX('Bank Schedule'!P:P, SMALL(IF('Bank Schedule'!$K$2:$K$825="Vacant", ROW('Bank Schedule'!$K$2:$K$825)), ROW(82:82))), "")</f>
        <v/>
      </c>
      <c r="Q85" s="29" t="n">
        <f aca="false" t="array" ref="Q85:Q85">IFERROR(INDEX('Bank Schedule'!Q:Q, SMALL(IF('Bank Schedule'!$K$2:$K$825="Vacant", ROW('Bank Schedule'!$K$2:$K$825)), ROW(82:82))), "")</f>
        <v>0</v>
      </c>
      <c r="R85" s="29" t="n">
        <f aca="false" t="array" ref="R85:R85">IFERROR(INDEX('Bank Schedule'!R:R, SMALL(IF('Bank Schedule'!$K$2:$K$825="Vacant", ROW('Bank Schedule'!$K$2:$K$825)), ROW(82:82))), "")</f>
        <v>0</v>
      </c>
      <c r="S85" s="29" t="str">
        <f aca="false">IFERROR(INDEX('Bank Schedule'!S:S, SMALL(IF('Bank Schedule'!$K$2:$K$825="Vacant", ROW('Bank Schedule'!$K$2:$K$825)), ROW(82:82))), "")</f>
        <v/>
      </c>
      <c r="T85" s="309" t="n">
        <f aca="false" t="array" ref="T85:T85">IFERROR(INDEX('Bank Schedule'!T:T, SMALL(IF('Bank Schedule'!$K$2:$K$825="Vacant", ROW('Bank Schedule'!$K$2:$K$825)), ROW(82:82))), "")</f>
        <v>46100</v>
      </c>
      <c r="U85" s="309" t="n">
        <f aca="false" t="array" ref="U85:U85">IFERROR(INDEX('Bank Schedule'!U:U, SMALL(IF('Bank Schedule'!$K$2:$K$825="Vacant", ROW('Bank Schedule'!$K$2:$K$825)), ROW(82:82))), "")</f>
        <v>46100</v>
      </c>
      <c r="V85" s="309" t="n">
        <f aca="false" t="array" ref="V85:V85">IFERROR(INDEX('Bank Schedule'!V:V, SMALL(IF('Bank Schedule'!$K$2:$K$825="Vacant", ROW('Bank Schedule'!$K$2:$K$825)), ROW(82:82))), "")</f>
        <v>47500</v>
      </c>
      <c r="W85" s="309" t="n">
        <f aca="false" t="array" ref="W85:W85">IFERROR(INDEX('Bank Schedule'!W:W, SMALL(IF('Bank Schedule'!$K$2:$K$825="Vacant", ROW('Bank Schedule'!$K$2:$K$825)), ROW(82:82))), "")</f>
        <v>47500</v>
      </c>
      <c r="X85" s="309" t="n">
        <f aca="false" t="array" ref="X85:X85">IFERROR(INDEX('Bank Schedule'!X:X, SMALL(IF('Bank Schedule'!$K$2:$K$825="Vacant", ROW('Bank Schedule'!$K$2:$K$825)), ROW(82:82))), "")</f>
        <v>64.9794801641587</v>
      </c>
      <c r="Y85" s="310" t="n">
        <f aca="false" t="array" ref="Y85:Y85">IFERROR(INDEX('Bank Schedule'!Y:Y, SMALL(IF('Bank Schedule'!$K$2:$K$825="Vacant", ROW('Bank Schedule'!$K$2:$K$825)), ROW(82:82))), "")</f>
        <v>0.0303687635574837</v>
      </c>
      <c r="Z85" s="29" t="str">
        <f aca="false" t="array" ref="Z85:Z85">IFERROR(INDEX('Bank Schedule'!Z:Z, SMALL(IF('Bank Schedule'!$K$2:$K$825="Vacant", ROW('Bank Schedule'!$K$2:$K$825)), ROW(82:82))), "")</f>
        <v>D</v>
      </c>
      <c r="AA85" s="29" t="str">
        <f aca="false">IFERROR(INDEX('Bank Schedule'!AA:AA, SMALL(IF('Bank Schedule'!$K$2:$K$825="Vacant", ROW('Bank Schedule'!$K$2:$K$825)), ROW(82:82))), "")</f>
        <v/>
      </c>
      <c r="AB85" s="29" t="str">
        <f aca="false">IFERROR(INDEX('Bank Schedule'!AB:AB, SMALL(IF('Bank Schedule'!$K$2:$K$825="Vacant", ROW('Bank Schedule'!$K$2:$K$825)), ROW(82:82))), "")</f>
        <v/>
      </c>
      <c r="AC85" s="29" t="str">
        <f aca="false" t="array" ref="AC85:AC85">IFERROR(INDEX('Bank Schedule'!AC:AC, SMALL(IF('Bank Schedule'!$K$2:$K$825="Vacant", ROW('Bank Schedule'!$K$2:$K$825)), ROW(82:82))), "")</f>
        <v>No</v>
      </c>
      <c r="AD85" s="29" t="str">
        <f aca="false" t="array" ref="AD85:AD85">IFERROR(INDEX('Bank Schedule'!AD:AD, SMALL(IF('Bank Schedule'!$K$2:$K$825="Vacant", ROW('Bank Schedule'!$K$2:$K$825)), ROW(82:82))), "")</f>
        <v>Mothballed.</v>
      </c>
      <c r="AE85" s="281" t="str">
        <f aca="false">IFERROR(INDEX('Bank Schedule'!AE:AE, SMALL(IF('Bank Schedule'!$K$2:$K$825="Vacant", ROW('Bank Schedule'!$K$2:$K$825)), ROW(82:82))), "")</f>
        <v/>
      </c>
      <c r="AF85" s="29" t="str">
        <f aca="false">IFERROR(INDEX('Bank Schedule'!AF:AF, SMALL(IF('Bank Schedule'!$K$2:$K$825="Vacant", ROW('Bank Schedule'!$K$2:$K$825)), ROW(82:82))), "")</f>
        <v/>
      </c>
      <c r="AG85" s="29" t="str">
        <f aca="false">IFERROR(INDEX('Bank Schedule'!AG:AG, SMALL(IF('Bank Schedule'!$K$2:$K$825="Vacant", ROW('Bank Schedule'!$K$2:$K$825)), ROW(82:82))), "")</f>
        <v/>
      </c>
      <c r="AH85" s="29" t="str">
        <f aca="false">IFERROR(INDEX('Bank Schedule'!AH:AH, SMALL(IF('Bank Schedule'!$K$2:$K$825="Vacant", ROW('Bank Schedule'!$K$2:$K$825)), ROW(82:82))), "")</f>
        <v/>
      </c>
      <c r="AI85" s="4"/>
    </row>
    <row r="86" customFormat="false" ht="28.5" hidden="false" customHeight="true" outlineLevel="0" collapsed="false">
      <c r="A86" s="29" t="n">
        <f aca="false">IFERROR(INDEX('Bank Schedule'!A:A, SMALL(IF('Bank Schedule'!$K$2:$K$825="Vacant", ROW('Bank Schedule'!$K$2:$K$825)), ROW(83:83))), "")</f>
        <v>0</v>
      </c>
      <c r="B86" s="29" t="str">
        <f aca="false" t="array" ref="B86:B86">IFERROR(INDEX('Bank Schedule'!B:B, SMALL(IF('Bank Schedule'!$K$2:$K$825="Vacant", ROW('Bank Schedule'!$K$2:$K$825)), ROW(83:83))), "")</f>
        <v>JM</v>
      </c>
      <c r="C86" s="29" t="str">
        <f aca="false" t="array" ref="C86:C86">IFERROR(INDEX('Bank Schedule'!C:C, SMALL(IF('Bank Schedule'!$K$2:$K$825="Vacant", ROW('Bank Schedule'!$K$2:$K$825)), ROW(83:83))), "")</f>
        <v>MEL</v>
      </c>
      <c r="D86" s="29" t="n">
        <f aca="false" t="array" ref="D86:D86">IFERROR(INDEX('Bank Schedule'!D:D, SMALL(IF('Bank Schedule'!$K$2:$K$825="Vacant", ROW('Bank Schedule'!$K$2:$K$825)), ROW(83:83))), "")</f>
        <v>550690</v>
      </c>
      <c r="E86" s="29" t="str">
        <f aca="false" t="array" ref="E86:E86">IFERROR(INDEX('Bank Schedule'!E:E, SMALL(IF('Bank Schedule'!$K$2:$K$825="Vacant", ROW('Bank Schedule'!$K$2:$K$825)), ROW(83:83))), "")</f>
        <v>Kenilworth House - 79-80 Margaret Street</v>
      </c>
      <c r="F86" s="29" t="str">
        <f aca="false" t="array" ref="F86:F86">IFERROR(INDEX('Bank Schedule'!F:F, SMALL(IF('Bank Schedule'!$K$2:$K$825="Vacant", ROW('Bank Schedule'!$K$2:$K$825)), ROW(83:83))), "")</f>
        <v>Fourth Floor (East)</v>
      </c>
      <c r="G86" s="29" t="str">
        <f aca="false" t="array" ref="G86:G86">IFERROR(INDEX('Bank Schedule'!G:G, SMALL(IF('Bank Schedule'!$K$2:$K$825="Vacant", ROW('Bank Schedule'!$K$2:$K$825)), ROW(83:83))), "")</f>
        <v>Office</v>
      </c>
      <c r="H86" s="305" t="n">
        <f aca="false" t="array" ref="H86:H86">IFERROR(INDEX('Bank Schedule'!H:H, SMALL(IF('Bank Schedule'!$K$2:$K$825="Vacant", ROW('Bank Schedule'!$K$2:$K$825)), ROW(83:83))), "")</f>
        <v>949</v>
      </c>
      <c r="I86" s="29" t="n">
        <f aca="false" t="array" ref="I86:I86">IFERROR(INDEX('Bank Schedule'!I:I, SMALL(IF('Bank Schedule'!$K$2:$K$825="Vacant", ROW('Bank Schedule'!$K$2:$K$825)), ROW(83:83))), "")</f>
        <v>949</v>
      </c>
      <c r="J86" s="305" t="n">
        <f aca="false" t="array" ref="J86:J86">IFERROR(INDEX('Bank Schedule'!J:J, SMALL(IF('Bank Schedule'!$K$2:$K$825="Vacant", ROW('Bank Schedule'!$K$2:$K$825)), ROW(83:83))), "")</f>
        <v>1000</v>
      </c>
      <c r="K86" s="29" t="str">
        <f aca="false" t="array" ref="K86:K86">IFERROR(INDEX('Bank Schedule'!K:K, SMALL(IF('Bank Schedule'!$K$2:$K$825="Vacant", ROW('Bank Schedule'!$K$2:$K$825)), ROW(83:83))), "")</f>
        <v>Vacant</v>
      </c>
      <c r="L86" s="306" t="n">
        <f aca="false">IFERROR(INDEX('Bank Schedule'!L:L, SMALL(IF('Bank Schedule'!$K$2:$K$825="Vacant", ROW('Bank Schedule'!$K$2:$K$825)), ROW(83:83))), "")</f>
        <v>45699</v>
      </c>
      <c r="M86" s="306" t="n">
        <f aca="false">IFERROR(INDEX('Bank Schedule'!M:M, SMALL(IF('Bank Schedule'!$K$2:$K$825="Vacant", ROW('Bank Schedule'!$K$2:$K$825)), ROW(83:83))), "")</f>
        <v>47524</v>
      </c>
      <c r="N86" s="307" t="n">
        <f aca="false" t="array" ref="N86:N86">IFERROR(INDEX('Bank Schedule'!N:N, SMALL(IF('Bank Schedule'!$K$2:$K$825="Vacant", ROW('Bank Schedule'!$K$2:$K$825)), ROW(83:83))), "")</f>
        <v>42550</v>
      </c>
      <c r="O86" s="306" t="n">
        <f aca="false">IFERROR(INDEX('Bank Schedule'!O:O, SMALL(IF('Bank Schedule'!$K$2:$K$825="Vacant", ROW('Bank Schedule'!$K$2:$K$825)), ROW(83:83))), "")</f>
        <v>0</v>
      </c>
      <c r="P86" s="306" t="n">
        <f aca="false">IFERROR(INDEX('Bank Schedule'!P:P, SMALL(IF('Bank Schedule'!$K$2:$K$825="Vacant", ROW('Bank Schedule'!$K$2:$K$825)), ROW(83:83))), "")</f>
        <v>46793</v>
      </c>
      <c r="Q86" s="29" t="n">
        <f aca="false" t="array" ref="Q86:Q86">IFERROR(INDEX('Bank Schedule'!Q:Q, SMALL(IF('Bank Schedule'!$K$2:$K$825="Vacant", ROW('Bank Schedule'!$K$2:$K$825)), ROW(83:83))), "")</f>
        <v>0</v>
      </c>
      <c r="R86" s="29" t="n">
        <f aca="false" t="array" ref="R86:R86">IFERROR(INDEX('Bank Schedule'!R:R, SMALL(IF('Bank Schedule'!$K$2:$K$825="Vacant", ROW('Bank Schedule'!$K$2:$K$825)), ROW(83:83))), "")</f>
        <v>0</v>
      </c>
      <c r="S86" s="308" t="n">
        <f aca="false">IFERROR(INDEX('Bank Schedule'!S:S, SMALL(IF('Bank Schedule'!$K$2:$K$825="Vacant", ROW('Bank Schedule'!$K$2:$K$825)), ROW(83:83))), "")</f>
        <v>0</v>
      </c>
      <c r="T86" s="309" t="n">
        <f aca="false" t="array" ref="T86:T86">IFERROR(INDEX('Bank Schedule'!T:T, SMALL(IF('Bank Schedule'!$K$2:$K$825="Vacant", ROW('Bank Schedule'!$K$2:$K$825)), ROW(83:83))), "")</f>
        <v>55600</v>
      </c>
      <c r="U86" s="309" t="n">
        <f aca="false" t="array" ref="U86:U86">IFERROR(INDEX('Bank Schedule'!U:U, SMALL(IF('Bank Schedule'!$K$2:$K$825="Vacant", ROW('Bank Schedule'!$K$2:$K$825)), ROW(83:83))), "")</f>
        <v>55600</v>
      </c>
      <c r="V86" s="309" t="n">
        <f aca="false" t="array" ref="V86:V86">IFERROR(INDEX('Bank Schedule'!V:V, SMALL(IF('Bank Schedule'!$K$2:$K$825="Vacant", ROW('Bank Schedule'!$K$2:$K$825)), ROW(83:83))), "")</f>
        <v>59300</v>
      </c>
      <c r="W86" s="309" t="n">
        <f aca="false" t="array" ref="W86:W86">IFERROR(INDEX('Bank Schedule'!W:W, SMALL(IF('Bank Schedule'!$K$2:$K$825="Vacant", ROW('Bank Schedule'!$K$2:$K$825)), ROW(83:83))), "")</f>
        <v>59300</v>
      </c>
      <c r="X86" s="309" t="n">
        <f aca="false" t="array" ref="X86:X86">IFERROR(INDEX('Bank Schedule'!X:X, SMALL(IF('Bank Schedule'!$K$2:$K$825="Vacant", ROW('Bank Schedule'!$K$2:$K$825)), ROW(83:83))), "")</f>
        <v>62.4868282402529</v>
      </c>
      <c r="Y86" s="310" t="n">
        <f aca="false" t="array" ref="Y86:Y86">IFERROR(INDEX('Bank Schedule'!Y:Y, SMALL(IF('Bank Schedule'!$K$2:$K$825="Vacant", ROW('Bank Schedule'!$K$2:$K$825)), ROW(83:83))), "")</f>
        <v>0.0665467625899281</v>
      </c>
      <c r="Z86" s="29" t="str">
        <f aca="false" t="array" ref="Z86:Z86">IFERROR(INDEX('Bank Schedule'!Z:Z, SMALL(IF('Bank Schedule'!$K$2:$K$825="Vacant", ROW('Bank Schedule'!$K$2:$K$825)), ROW(83:83))), "")</f>
        <v>D</v>
      </c>
      <c r="AA86" s="308" t="n">
        <f aca="false">IFERROR(INDEX('Bank Schedule'!AA:AA, SMALL(IF('Bank Schedule'!$K$2:$K$825="Vacant", ROW('Bank Schedule'!$K$2:$K$825)), ROW(83:83))), "")</f>
        <v>0</v>
      </c>
      <c r="AB86" s="311" t="n">
        <f aca="false">IFERROR(INDEX('Bank Schedule'!AB:AB, SMALL(IF('Bank Schedule'!$K$2:$K$825="Vacant", ROW('Bank Schedule'!$K$2:$K$825)), ROW(83:83))), "")</f>
        <v>0</v>
      </c>
      <c r="AC86" s="29" t="str">
        <f aca="false" t="array" ref="AC86:AC86">IFERROR(INDEX('Bank Schedule'!AC:AC, SMALL(IF('Bank Schedule'!$K$2:$K$825="Vacant", ROW('Bank Schedule'!$K$2:$K$825)), ROW(83:83))), "")</f>
        <v>No</v>
      </c>
      <c r="AD86" s="29" t="str">
        <f aca="false" t="array" ref="AD86:AD86">IFERROR(INDEX('Bank Schedule'!AD:AD, SMALL(IF('Bank Schedule'!$K$2:$K$825="Vacant", ROW('Bank Schedule'!$K$2:$K$825)), ROW(83:83))), "")</f>
        <v>Mothballed.</v>
      </c>
      <c r="AE86" s="281" t="n">
        <f aca="false">IFERROR(INDEX('Bank Schedule'!AE:AE, SMALL(IF('Bank Schedule'!$K$2:$K$825="Vacant", ROW('Bank Schedule'!$K$2:$K$825)), ROW(83:83))), "")</f>
        <v>68</v>
      </c>
      <c r="AF86" s="29" t="n">
        <f aca="false">IFERROR(INDEX('Bank Schedule'!AF:AF, SMALL(IF('Bank Schedule'!$K$2:$K$825="Vacant", ROW('Bank Schedule'!$K$2:$K$825)), ROW(83:83))), "")</f>
        <v>1</v>
      </c>
      <c r="AG86" s="29" t="n">
        <f aca="false">IFERROR(INDEX('Bank Schedule'!AG:AG, SMALL(IF('Bank Schedule'!$K$2:$K$825="Vacant", ROW('Bank Schedule'!$K$2:$K$825)), ROW(83:83))), "")</f>
        <v>13</v>
      </c>
      <c r="AH86" s="29" t="str">
        <f aca="false">IFERROR(INDEX('Bank Schedule'!AH:AH, SMALL(IF('Bank Schedule'!$K$2:$K$825="Vacant", ROW('Bank Schedule'!$K$2:$K$825)), ROW(83:83))), "")</f>
        <v>LEM / Colliers</v>
      </c>
      <c r="AI86" s="4"/>
    </row>
    <row r="87" customFormat="false" ht="28.5" hidden="false" customHeight="true" outlineLevel="0" collapsed="false">
      <c r="A87" s="29" t="n">
        <f aca="false">IFERROR(INDEX('Bank Schedule'!A:A, SMALL(IF('Bank Schedule'!$K$2:$K$825="Vacant", ROW('Bank Schedule'!$K$2:$K$825)), ROW(84:84))), "")</f>
        <v>0</v>
      </c>
      <c r="B87" s="29" t="str">
        <f aca="false" t="array" ref="B87:B87">IFERROR(INDEX('Bank Schedule'!B:B, SMALL(IF('Bank Schedule'!$K$2:$K$825="Vacant", ROW('Bank Schedule'!$K$2:$K$825)), ROW(84:84))), "")</f>
        <v>JM</v>
      </c>
      <c r="C87" s="29" t="str">
        <f aca="false" t="array" ref="C87:C87">IFERROR(INDEX('Bank Schedule'!C:C, SMALL(IF('Bank Schedule'!$K$2:$K$825="Vacant", ROW('Bank Schedule'!$K$2:$K$825)), ROW(84:84))), "")</f>
        <v>MEL</v>
      </c>
      <c r="D87" s="29" t="n">
        <f aca="false" t="array" ref="D87:D87">IFERROR(INDEX('Bank Schedule'!D:D, SMALL(IF('Bank Schedule'!$K$2:$K$825="Vacant", ROW('Bank Schedule'!$K$2:$K$825)), ROW(84:84))), "")</f>
        <v>550690</v>
      </c>
      <c r="E87" s="29" t="str">
        <f aca="false" t="array" ref="E87:E87">IFERROR(INDEX('Bank Schedule'!E:E, SMALL(IF('Bank Schedule'!$K$2:$K$825="Vacant", ROW('Bank Schedule'!$K$2:$K$825)), ROW(84:84))), "")</f>
        <v>Kenilworth House - 79-80 Margaret Street</v>
      </c>
      <c r="F87" s="29" t="str">
        <f aca="false" t="array" ref="F87:F87">IFERROR(INDEX('Bank Schedule'!F:F, SMALL(IF('Bank Schedule'!$K$2:$K$825="Vacant", ROW('Bank Schedule'!$K$2:$K$825)), ROW(84:84))), "")</f>
        <v>Fourth Floor (West)</v>
      </c>
      <c r="G87" s="29" t="str">
        <f aca="false" t="array" ref="G87:G87">IFERROR(INDEX('Bank Schedule'!G:G, SMALL(IF('Bank Schedule'!$K$2:$K$825="Vacant", ROW('Bank Schedule'!$K$2:$K$825)), ROW(84:84))), "")</f>
        <v>Office</v>
      </c>
      <c r="H87" s="305" t="n">
        <f aca="false" t="array" ref="H87:H87">IFERROR(INDEX('Bank Schedule'!H:H, SMALL(IF('Bank Schedule'!$K$2:$K$825="Vacant", ROW('Bank Schedule'!$K$2:$K$825)), ROW(84:84))), "")</f>
        <v>601</v>
      </c>
      <c r="I87" s="29" t="n">
        <f aca="false" t="array" ref="I87:I87">IFERROR(INDEX('Bank Schedule'!I:I, SMALL(IF('Bank Schedule'!$K$2:$K$825="Vacant", ROW('Bank Schedule'!$K$2:$K$825)), ROW(84:84))), "")</f>
        <v>601</v>
      </c>
      <c r="J87" s="305" t="n">
        <f aca="false" t="array" ref="J87:J87">IFERROR(INDEX('Bank Schedule'!J:J, SMALL(IF('Bank Schedule'!$K$2:$K$825="Vacant", ROW('Bank Schedule'!$K$2:$K$825)), ROW(84:84))), "")</f>
        <v>500</v>
      </c>
      <c r="K87" s="29" t="str">
        <f aca="false" t="array" ref="K87:K87">IFERROR(INDEX('Bank Schedule'!K:K, SMALL(IF('Bank Schedule'!$K$2:$K$825="Vacant", ROW('Bank Schedule'!$K$2:$K$825)), ROW(84:84))), "")</f>
        <v>Vacant</v>
      </c>
      <c r="L87" s="306" t="n">
        <f aca="false">IFERROR(INDEX('Bank Schedule'!L:L, SMALL(IF('Bank Schedule'!$K$2:$K$825="Vacant", ROW('Bank Schedule'!$K$2:$K$825)), ROW(84:84))), "")</f>
        <v>44452</v>
      </c>
      <c r="M87" s="306" t="n">
        <f aca="false">IFERROR(INDEX('Bank Schedule'!M:M, SMALL(IF('Bank Schedule'!$K$2:$K$825="Vacant", ROW('Bank Schedule'!$K$2:$K$825)), ROW(84:84))), "")</f>
        <v>46277</v>
      </c>
      <c r="N87" s="307" t="n">
        <f aca="false" t="array" ref="N87:N87">IFERROR(INDEX('Bank Schedule'!N:N, SMALL(IF('Bank Schedule'!$K$2:$K$825="Vacant", ROW('Bank Schedule'!$K$2:$K$825)), ROW(84:84))), "")</f>
        <v>44027</v>
      </c>
      <c r="O87" s="306" t="n">
        <f aca="false">IFERROR(INDEX('Bank Schedule'!O:O, SMALL(IF('Bank Schedule'!$K$2:$K$825="Vacant", ROW('Bank Schedule'!$K$2:$K$825)), ROW(84:84))), "")</f>
        <v>0</v>
      </c>
      <c r="P87" s="306" t="n">
        <f aca="false">IFERROR(INDEX('Bank Schedule'!P:P, SMALL(IF('Bank Schedule'!$K$2:$K$825="Vacant", ROW('Bank Schedule'!$K$2:$K$825)), ROW(84:84))), "")</f>
        <v>0</v>
      </c>
      <c r="Q87" s="29" t="n">
        <f aca="false" t="array" ref="Q87:Q87">IFERROR(INDEX('Bank Schedule'!Q:Q, SMALL(IF('Bank Schedule'!$K$2:$K$825="Vacant", ROW('Bank Schedule'!$K$2:$K$825)), ROW(84:84))), "")</f>
        <v>0</v>
      </c>
      <c r="R87" s="29" t="n">
        <f aca="false" t="array" ref="R87:R87">IFERROR(INDEX('Bank Schedule'!R:R, SMALL(IF('Bank Schedule'!$K$2:$K$825="Vacant", ROW('Bank Schedule'!$K$2:$K$825)), ROW(84:84))), "")</f>
        <v>0</v>
      </c>
      <c r="S87" s="308" t="n">
        <f aca="false">IFERROR(INDEX('Bank Schedule'!S:S, SMALL(IF('Bank Schedule'!$K$2:$K$825="Vacant", ROW('Bank Schedule'!$K$2:$K$825)), ROW(84:84))), "")</f>
        <v>0</v>
      </c>
      <c r="T87" s="309" t="n">
        <f aca="false" t="array" ref="T87:T87">IFERROR(INDEX('Bank Schedule'!T:T, SMALL(IF('Bank Schedule'!$K$2:$K$825="Vacant", ROW('Bank Schedule'!$K$2:$K$825)), ROW(84:84))), "")</f>
        <v>36800</v>
      </c>
      <c r="U87" s="309" t="n">
        <f aca="false" t="array" ref="U87:U87">IFERROR(INDEX('Bank Schedule'!U:U, SMALL(IF('Bank Schedule'!$K$2:$K$825="Vacant", ROW('Bank Schedule'!$K$2:$K$825)), ROW(84:84))), "")</f>
        <v>36800</v>
      </c>
      <c r="V87" s="309" t="n">
        <f aca="false" t="array" ref="V87:V87">IFERROR(INDEX('Bank Schedule'!V:V, SMALL(IF('Bank Schedule'!$K$2:$K$825="Vacant", ROW('Bank Schedule'!$K$2:$K$825)), ROW(84:84))), "")</f>
        <v>37600</v>
      </c>
      <c r="W87" s="309" t="n">
        <f aca="false" t="array" ref="W87:W87">IFERROR(INDEX('Bank Schedule'!W:W, SMALL(IF('Bank Schedule'!$K$2:$K$825="Vacant", ROW('Bank Schedule'!$K$2:$K$825)), ROW(84:84))), "")</f>
        <v>37600</v>
      </c>
      <c r="X87" s="309" t="n">
        <f aca="false" t="array" ref="X87:X87">IFERROR(INDEX('Bank Schedule'!X:X, SMALL(IF('Bank Schedule'!$K$2:$K$825="Vacant", ROW('Bank Schedule'!$K$2:$K$825)), ROW(84:84))), "")</f>
        <v>62.5623960066556</v>
      </c>
      <c r="Y87" s="310" t="n">
        <f aca="false" t="array" ref="Y87:Y87">IFERROR(INDEX('Bank Schedule'!Y:Y, SMALL(IF('Bank Schedule'!$K$2:$K$825="Vacant", ROW('Bank Schedule'!$K$2:$K$825)), ROW(84:84))), "")</f>
        <v>0.0217391304347826</v>
      </c>
      <c r="Z87" s="29" t="str">
        <f aca="false" t="array" ref="Z87:Z87">IFERROR(INDEX('Bank Schedule'!Z:Z, SMALL(IF('Bank Schedule'!$K$2:$K$825="Vacant", ROW('Bank Schedule'!$K$2:$K$825)), ROW(84:84))), "")</f>
        <v>D</v>
      </c>
      <c r="AA87" s="308" t="n">
        <f aca="false">IFERROR(INDEX('Bank Schedule'!AA:AA, SMALL(IF('Bank Schedule'!$K$2:$K$825="Vacant", ROW('Bank Schedule'!$K$2:$K$825)), ROW(84:84))), "")</f>
        <v>0</v>
      </c>
      <c r="AB87" s="311" t="n">
        <f aca="false">IFERROR(INDEX('Bank Schedule'!AB:AB, SMALL(IF('Bank Schedule'!$K$2:$K$825="Vacant", ROW('Bank Schedule'!$K$2:$K$825)), ROW(84:84))), "")</f>
        <v>0</v>
      </c>
      <c r="AC87" s="29" t="str">
        <f aca="false" t="array" ref="AC87:AC87">IFERROR(INDEX('Bank Schedule'!AC:AC, SMALL(IF('Bank Schedule'!$K$2:$K$825="Vacant", ROW('Bank Schedule'!$K$2:$K$825)), ROW(84:84))), "")</f>
        <v>No</v>
      </c>
      <c r="AD87" s="29" t="str">
        <f aca="false" t="array" ref="AD87:AD87">IFERROR(INDEX('Bank Schedule'!AD:AD, SMALL(IF('Bank Schedule'!$K$2:$K$825="Vacant", ROW('Bank Schedule'!$K$2:$K$825)), ROW(84:84))), "")</f>
        <v>Mothballed.</v>
      </c>
      <c r="AE87" s="281" t="n">
        <f aca="false">IFERROR(INDEX('Bank Schedule'!AE:AE, SMALL(IF('Bank Schedule'!$K$2:$K$825="Vacant", ROW('Bank Schedule'!$K$2:$K$825)), ROW(84:84))), "")</f>
        <v>0</v>
      </c>
      <c r="AF87" s="29" t="n">
        <f aca="false">IFERROR(INDEX('Bank Schedule'!AF:AF, SMALL(IF('Bank Schedule'!$K$2:$K$825="Vacant", ROW('Bank Schedule'!$K$2:$K$825)), ROW(84:84))), "")</f>
        <v>0</v>
      </c>
      <c r="AG87" s="29" t="n">
        <f aca="false">IFERROR(INDEX('Bank Schedule'!AG:AG, SMALL(IF('Bank Schedule'!$K$2:$K$825="Vacant", ROW('Bank Schedule'!$K$2:$K$825)), ROW(84:84))), "")</f>
        <v>0</v>
      </c>
      <c r="AH87" s="29" t="n">
        <f aca="false">IFERROR(INDEX('Bank Schedule'!AH:AH, SMALL(IF('Bank Schedule'!$K$2:$K$825="Vacant", ROW('Bank Schedule'!$K$2:$K$825)), ROW(84:84))), "")</f>
        <v>0</v>
      </c>
      <c r="AI87" s="4"/>
    </row>
    <row r="88" customFormat="false" ht="28.5" hidden="false" customHeight="true" outlineLevel="0" collapsed="false">
      <c r="A88" s="29" t="n">
        <f aca="false">IFERROR(INDEX('Bank Schedule'!A:A, SMALL(IF('Bank Schedule'!$K$2:$K$825="Vacant", ROW('Bank Schedule'!$K$2:$K$825)), ROW(85:85))), "")</f>
        <v>0</v>
      </c>
      <c r="B88" s="29" t="str">
        <f aca="false" t="array" ref="B88:B88">IFERROR(INDEX('Bank Schedule'!B:B, SMALL(IF('Bank Schedule'!$K$2:$K$825="Vacant", ROW('Bank Schedule'!$K$2:$K$825)), ROW(85:85))), "")</f>
        <v>JM</v>
      </c>
      <c r="C88" s="29" t="str">
        <f aca="false" t="array" ref="C88:C88">IFERROR(INDEX('Bank Schedule'!C:C, SMALL(IF('Bank Schedule'!$K$2:$K$825="Vacant", ROW('Bank Schedule'!$K$2:$K$825)), ROW(85:85))), "")</f>
        <v>MEL</v>
      </c>
      <c r="D88" s="29" t="n">
        <f aca="false" t="array" ref="D88:D88">IFERROR(INDEX('Bank Schedule'!D:D, SMALL(IF('Bank Schedule'!$K$2:$K$825="Vacant", ROW('Bank Schedule'!$K$2:$K$825)), ROW(85:85))), "")</f>
        <v>550690</v>
      </c>
      <c r="E88" s="29" t="str">
        <f aca="false" t="array" ref="E88:E88">IFERROR(INDEX('Bank Schedule'!E:E, SMALL(IF('Bank Schedule'!$K$2:$K$825="Vacant", ROW('Bank Schedule'!$K$2:$K$825)), ROW(85:85))), "")</f>
        <v>Kenilworth House - 79-80 Margaret Street</v>
      </c>
      <c r="F88" s="29" t="str">
        <f aca="false" t="array" ref="F88:F88">IFERROR(INDEX('Bank Schedule'!F:F, SMALL(IF('Bank Schedule'!$K$2:$K$825="Vacant", ROW('Bank Schedule'!$K$2:$K$825)), ROW(85:85))), "")</f>
        <v>Fifth Floor (East)</v>
      </c>
      <c r="G88" s="29" t="str">
        <f aca="false" t="array" ref="G88:G88">IFERROR(INDEX('Bank Schedule'!G:G, SMALL(IF('Bank Schedule'!$K$2:$K$825="Vacant", ROW('Bank Schedule'!$K$2:$K$825)), ROW(85:85))), "")</f>
        <v>Office</v>
      </c>
      <c r="H88" s="305" t="n">
        <f aca="false" t="array" ref="H88:H88">IFERROR(INDEX('Bank Schedule'!H:H, SMALL(IF('Bank Schedule'!$K$2:$K$825="Vacant", ROW('Bank Schedule'!$K$2:$K$825)), ROW(85:85))), "")</f>
        <v>730</v>
      </c>
      <c r="I88" s="29" t="n">
        <f aca="false" t="array" ref="I88:I88">IFERROR(INDEX('Bank Schedule'!I:I, SMALL(IF('Bank Schedule'!$K$2:$K$825="Vacant", ROW('Bank Schedule'!$K$2:$K$825)), ROW(85:85))), "")</f>
        <v>730</v>
      </c>
      <c r="J88" s="305" t="n">
        <f aca="false" t="array" ref="J88:J88">IFERROR(INDEX('Bank Schedule'!J:J, SMALL(IF('Bank Schedule'!$K$2:$K$825="Vacant", ROW('Bank Schedule'!$K$2:$K$825)), ROW(85:85))), "")</f>
        <v>750</v>
      </c>
      <c r="K88" s="29" t="str">
        <f aca="false" t="array" ref="K88:K88">IFERROR(INDEX('Bank Schedule'!K:K, SMALL(IF('Bank Schedule'!$K$2:$K$825="Vacant", ROW('Bank Schedule'!$K$2:$K$825)), ROW(85:85))), "")</f>
        <v>Vacant</v>
      </c>
      <c r="L88" s="306" t="n">
        <f aca="false">IFERROR(INDEX('Bank Schedule'!L:L, SMALL(IF('Bank Schedule'!$K$2:$K$825="Vacant", ROW('Bank Schedule'!$K$2:$K$825)), ROW(85:85))), "")</f>
        <v>0</v>
      </c>
      <c r="M88" s="306" t="n">
        <f aca="false">IFERROR(INDEX('Bank Schedule'!M:M, SMALL(IF('Bank Schedule'!$K$2:$K$825="Vacant", ROW('Bank Schedule'!$K$2:$K$825)), ROW(85:85))), "")</f>
        <v>0</v>
      </c>
      <c r="N88" s="307" t="n">
        <f aca="false" t="array" ref="N88:N88">IFERROR(INDEX('Bank Schedule'!N:N, SMALL(IF('Bank Schedule'!$K$2:$K$825="Vacant", ROW('Bank Schedule'!$K$2:$K$825)), ROW(85:85))), "")</f>
        <v>42723</v>
      </c>
      <c r="O88" s="306" t="n">
        <f aca="false">IFERROR(INDEX('Bank Schedule'!O:O, SMALL(IF('Bank Schedule'!$K$2:$K$825="Vacant", ROW('Bank Schedule'!$K$2:$K$825)), ROW(85:85))), "")</f>
        <v>0</v>
      </c>
      <c r="P88" s="306" t="n">
        <f aca="false">IFERROR(INDEX('Bank Schedule'!P:P, SMALL(IF('Bank Schedule'!$K$2:$K$825="Vacant", ROW('Bank Schedule'!$K$2:$K$825)), ROW(85:85))), "")</f>
        <v>0</v>
      </c>
      <c r="Q88" s="29" t="n">
        <f aca="false" t="array" ref="Q88:Q88">IFERROR(INDEX('Bank Schedule'!Q:Q, SMALL(IF('Bank Schedule'!$K$2:$K$825="Vacant", ROW('Bank Schedule'!$K$2:$K$825)), ROW(85:85))), "")</f>
        <v>0</v>
      </c>
      <c r="R88" s="29" t="n">
        <f aca="false" t="array" ref="R88:R88">IFERROR(INDEX('Bank Schedule'!R:R, SMALL(IF('Bank Schedule'!$K$2:$K$825="Vacant", ROW('Bank Schedule'!$K$2:$K$825)), ROW(85:85))), "")</f>
        <v>0</v>
      </c>
      <c r="S88" s="308" t="n">
        <f aca="false">IFERROR(INDEX('Bank Schedule'!S:S, SMALL(IF('Bank Schedule'!$K$2:$K$825="Vacant", ROW('Bank Schedule'!$K$2:$K$825)), ROW(85:85))), "")</f>
        <v>0</v>
      </c>
      <c r="T88" s="309" t="n">
        <f aca="false" t="array" ref="T88:T88">IFERROR(INDEX('Bank Schedule'!T:T, SMALL(IF('Bank Schedule'!$K$2:$K$825="Vacant", ROW('Bank Schedule'!$K$2:$K$825)), ROW(85:85))), "")</f>
        <v>44700</v>
      </c>
      <c r="U88" s="309" t="n">
        <f aca="false" t="array" ref="U88:U88">IFERROR(INDEX('Bank Schedule'!U:U, SMALL(IF('Bank Schedule'!$K$2:$K$825="Vacant", ROW('Bank Schedule'!$K$2:$K$825)), ROW(85:85))), "")</f>
        <v>44700</v>
      </c>
      <c r="V88" s="309" t="n">
        <f aca="false" t="array" ref="V88:V88">IFERROR(INDEX('Bank Schedule'!V:V, SMALL(IF('Bank Schedule'!$K$2:$K$825="Vacant", ROW('Bank Schedule'!$K$2:$K$825)), ROW(85:85))), "")</f>
        <v>45600</v>
      </c>
      <c r="W88" s="309" t="n">
        <f aca="false" t="array" ref="W88:W88">IFERROR(INDEX('Bank Schedule'!W:W, SMALL(IF('Bank Schedule'!$K$2:$K$825="Vacant", ROW('Bank Schedule'!$K$2:$K$825)), ROW(85:85))), "")</f>
        <v>45600</v>
      </c>
      <c r="X88" s="309" t="n">
        <f aca="false" t="array" ref="X88:X88">IFERROR(INDEX('Bank Schedule'!X:X, SMALL(IF('Bank Schedule'!$K$2:$K$825="Vacant", ROW('Bank Schedule'!$K$2:$K$825)), ROW(85:85))), "")</f>
        <v>62.4657534246575</v>
      </c>
      <c r="Y88" s="310" t="n">
        <f aca="false" t="array" ref="Y88:Y88">IFERROR(INDEX('Bank Schedule'!Y:Y, SMALL(IF('Bank Schedule'!$K$2:$K$825="Vacant", ROW('Bank Schedule'!$K$2:$K$825)), ROW(85:85))), "")</f>
        <v>0.0201342281879195</v>
      </c>
      <c r="Z88" s="29" t="str">
        <f aca="false" t="array" ref="Z88:Z88">IFERROR(INDEX('Bank Schedule'!Z:Z, SMALL(IF('Bank Schedule'!$K$2:$K$825="Vacant", ROW('Bank Schedule'!$K$2:$K$825)), ROW(85:85))), "")</f>
        <v>D</v>
      </c>
      <c r="AA88" s="308" t="n">
        <f aca="false">IFERROR(INDEX('Bank Schedule'!AA:AA, SMALL(IF('Bank Schedule'!$K$2:$K$825="Vacant", ROW('Bank Schedule'!$K$2:$K$825)), ROW(85:85))), "")</f>
        <v>0</v>
      </c>
      <c r="AB88" s="311" t="n">
        <f aca="false">IFERROR(INDEX('Bank Schedule'!AB:AB, SMALL(IF('Bank Schedule'!$K$2:$K$825="Vacant", ROW('Bank Schedule'!$K$2:$K$825)), ROW(85:85))), "")</f>
        <v>0</v>
      </c>
      <c r="AC88" s="29" t="str">
        <f aca="false" t="array" ref="AC88:AC88">IFERROR(INDEX('Bank Schedule'!AC:AC, SMALL(IF('Bank Schedule'!$K$2:$K$825="Vacant", ROW('Bank Schedule'!$K$2:$K$825)), ROW(85:85))), "")</f>
        <v>No</v>
      </c>
      <c r="AD88" s="29" t="str">
        <f aca="false" t="array" ref="AD88:AD88">IFERROR(INDEX('Bank Schedule'!AD:AD, SMALL(IF('Bank Schedule'!$K$2:$K$825="Vacant", ROW('Bank Schedule'!$K$2:$K$825)), ROW(85:85))), "")</f>
        <v>Mothballed.</v>
      </c>
      <c r="AE88" s="281" t="n">
        <f aca="false">IFERROR(INDEX('Bank Schedule'!AE:AE, SMALL(IF('Bank Schedule'!$K$2:$K$825="Vacant", ROW('Bank Schedule'!$K$2:$K$825)), ROW(85:85))), "")</f>
        <v>65</v>
      </c>
      <c r="AF88" s="29" t="n">
        <f aca="false">IFERROR(INDEX('Bank Schedule'!AF:AF, SMALL(IF('Bank Schedule'!$K$2:$K$825="Vacant", ROW('Bank Schedule'!$K$2:$K$825)), ROW(85:85))), "")</f>
        <v>4</v>
      </c>
      <c r="AG88" s="29" t="n">
        <f aca="false">IFERROR(INDEX('Bank Schedule'!AG:AG, SMALL(IF('Bank Schedule'!$K$2:$K$825="Vacant", ROW('Bank Schedule'!$K$2:$K$825)), ROW(85:85))), "")</f>
        <v>6</v>
      </c>
      <c r="AH88" s="29" t="n">
        <f aca="false">IFERROR(INDEX('Bank Schedule'!AH:AH, SMALL(IF('Bank Schedule'!$K$2:$K$825="Vacant", ROW('Bank Schedule'!$K$2:$K$825)), ROW(85:85))), "")</f>
        <v>0</v>
      </c>
      <c r="AI88" s="4"/>
    </row>
    <row r="89" customFormat="false" ht="28.5" hidden="false" customHeight="true" outlineLevel="0" collapsed="false">
      <c r="A89" s="29" t="str">
        <f aca="false">IFERROR(INDEX('Bank Schedule'!A:A, SMALL(IF('Bank Schedule'!$K$2:$K$825="Vacant", ROW('Bank Schedule'!$K$2:$K$825)), ROW(86:86))), "")</f>
        <v/>
      </c>
      <c r="B89" s="29" t="str">
        <f aca="false" t="array" ref="B89:B89">IFERROR(INDEX('Bank Schedule'!B:B, SMALL(IF('Bank Schedule'!$K$2:$K$825="Vacant", ROW('Bank Schedule'!$K$2:$K$825)), ROW(86:86))), "")</f>
        <v>JM</v>
      </c>
      <c r="C89" s="29" t="str">
        <f aca="false" t="array" ref="C89:C89">IFERROR(INDEX('Bank Schedule'!C:C, SMALL(IF('Bank Schedule'!$K$2:$K$825="Vacant", ROW('Bank Schedule'!$K$2:$K$825)), ROW(86:86))), "")</f>
        <v>MEL</v>
      </c>
      <c r="D89" s="29" t="n">
        <f aca="false" t="array" ref="D89:D89">IFERROR(INDEX('Bank Schedule'!D:D, SMALL(IF('Bank Schedule'!$K$2:$K$825="Vacant", ROW('Bank Schedule'!$K$2:$K$825)), ROW(86:86))), "")</f>
        <v>550690</v>
      </c>
      <c r="E89" s="29" t="str">
        <f aca="false" t="array" ref="E89:E89">IFERROR(INDEX('Bank Schedule'!E:E, SMALL(IF('Bank Schedule'!$K$2:$K$825="Vacant", ROW('Bank Schedule'!$K$2:$K$825)), ROW(86:86))), "")</f>
        <v>Kenilworth House - 79-80 Margaret Street</v>
      </c>
      <c r="F89" s="29" t="str">
        <f aca="false" t="array" ref="F89:F89">IFERROR(INDEX('Bank Schedule'!F:F, SMALL(IF('Bank Schedule'!$K$2:$K$825="Vacant", ROW('Bank Schedule'!$K$2:$K$825)), ROW(86:86))), "")</f>
        <v>Fifth Floor (West)</v>
      </c>
      <c r="G89" s="29" t="str">
        <f aca="false" t="array" ref="G89:G89">IFERROR(INDEX('Bank Schedule'!G:G, SMALL(IF('Bank Schedule'!$K$2:$K$825="Vacant", ROW('Bank Schedule'!$K$2:$K$825)), ROW(86:86))), "")</f>
        <v>Office</v>
      </c>
      <c r="H89" s="305" t="n">
        <f aca="false" t="array" ref="H89:H89">IFERROR(INDEX('Bank Schedule'!H:H, SMALL(IF('Bank Schedule'!$K$2:$K$825="Vacant", ROW('Bank Schedule'!$K$2:$K$825)), ROW(86:86))), "")</f>
        <v>462</v>
      </c>
      <c r="I89" s="29" t="n">
        <f aca="false" t="array" ref="I89:I89">IFERROR(INDEX('Bank Schedule'!I:I, SMALL(IF('Bank Schedule'!$K$2:$K$825="Vacant", ROW('Bank Schedule'!$K$2:$K$825)), ROW(86:86))), "")</f>
        <v>462</v>
      </c>
      <c r="J89" s="305" t="n">
        <f aca="false" t="array" ref="J89:J89">IFERROR(INDEX('Bank Schedule'!J:J, SMALL(IF('Bank Schedule'!$K$2:$K$825="Vacant", ROW('Bank Schedule'!$K$2:$K$825)), ROW(86:86))), "")</f>
        <v>500</v>
      </c>
      <c r="K89" s="29" t="str">
        <f aca="false" t="array" ref="K89:K89">IFERROR(INDEX('Bank Schedule'!K:K, SMALL(IF('Bank Schedule'!$K$2:$K$825="Vacant", ROW('Bank Schedule'!$K$2:$K$825)), ROW(86:86))), "")</f>
        <v>Vacant</v>
      </c>
      <c r="L89" s="29" t="str">
        <f aca="false">IFERROR(INDEX('Bank Schedule'!L:L, SMALL(IF('Bank Schedule'!$K$2:$K$825="Vacant", ROW('Bank Schedule'!$K$2:$K$825)), ROW(86:86))), "")</f>
        <v/>
      </c>
      <c r="M89" s="29" t="str">
        <f aca="false">IFERROR(INDEX('Bank Schedule'!M:M, SMALL(IF('Bank Schedule'!$K$2:$K$825="Vacant", ROW('Bank Schedule'!$K$2:$K$825)), ROW(86:86))), "")</f>
        <v/>
      </c>
      <c r="N89" s="307" t="n">
        <f aca="false" t="array" ref="N89:N89">IFERROR(INDEX('Bank Schedule'!N:N, SMALL(IF('Bank Schedule'!$K$2:$K$825="Vacant", ROW('Bank Schedule'!$K$2:$K$825)), ROW(86:86))), "")</f>
        <v>43824</v>
      </c>
      <c r="O89" s="29" t="str">
        <f aca="false">IFERROR(INDEX('Bank Schedule'!O:O, SMALL(IF('Bank Schedule'!$K$2:$K$825="Vacant", ROW('Bank Schedule'!$K$2:$K$825)), ROW(86:86))), "")</f>
        <v/>
      </c>
      <c r="P89" s="29" t="str">
        <f aca="false">IFERROR(INDEX('Bank Schedule'!P:P, SMALL(IF('Bank Schedule'!$K$2:$K$825="Vacant", ROW('Bank Schedule'!$K$2:$K$825)), ROW(86:86))), "")</f>
        <v/>
      </c>
      <c r="Q89" s="29" t="n">
        <f aca="false" t="array" ref="Q89:Q89">IFERROR(INDEX('Bank Schedule'!Q:Q, SMALL(IF('Bank Schedule'!$K$2:$K$825="Vacant", ROW('Bank Schedule'!$K$2:$K$825)), ROW(86:86))), "")</f>
        <v>0</v>
      </c>
      <c r="R89" s="29" t="n">
        <f aca="false" t="array" ref="R89:R89">IFERROR(INDEX('Bank Schedule'!R:R, SMALL(IF('Bank Schedule'!$K$2:$K$825="Vacant", ROW('Bank Schedule'!$K$2:$K$825)), ROW(86:86))), "")</f>
        <v>0</v>
      </c>
      <c r="S89" s="29" t="str">
        <f aca="false">IFERROR(INDEX('Bank Schedule'!S:S, SMALL(IF('Bank Schedule'!$K$2:$K$825="Vacant", ROW('Bank Schedule'!$K$2:$K$825)), ROW(86:86))), "")</f>
        <v/>
      </c>
      <c r="T89" s="309" t="n">
        <f aca="false" t="array" ref="T89:T89">IFERROR(INDEX('Bank Schedule'!T:T, SMALL(IF('Bank Schedule'!$K$2:$K$825="Vacant", ROW('Bank Schedule'!$K$2:$K$825)), ROW(86:86))), "")</f>
        <v>27300</v>
      </c>
      <c r="U89" s="309" t="n">
        <f aca="false" t="array" ref="U89:U89">IFERROR(INDEX('Bank Schedule'!U:U, SMALL(IF('Bank Schedule'!$K$2:$K$825="Vacant", ROW('Bank Schedule'!$K$2:$K$825)), ROW(86:86))), "")</f>
        <v>27300</v>
      </c>
      <c r="V89" s="309" t="n">
        <f aca="false" t="array" ref="V89:V89">IFERROR(INDEX('Bank Schedule'!V:V, SMALL(IF('Bank Schedule'!$K$2:$K$825="Vacant", ROW('Bank Schedule'!$K$2:$K$825)), ROW(86:86))), "")</f>
        <v>28900</v>
      </c>
      <c r="W89" s="309" t="n">
        <f aca="false" t="array" ref="W89:W89">IFERROR(INDEX('Bank Schedule'!W:W, SMALL(IF('Bank Schedule'!$K$2:$K$825="Vacant", ROW('Bank Schedule'!$K$2:$K$825)), ROW(86:86))), "")</f>
        <v>28900</v>
      </c>
      <c r="X89" s="309" t="n">
        <f aca="false" t="array" ref="X89:X89">IFERROR(INDEX('Bank Schedule'!X:X, SMALL(IF('Bank Schedule'!$K$2:$K$825="Vacant", ROW('Bank Schedule'!$K$2:$K$825)), ROW(86:86))), "")</f>
        <v>62.5541125541126</v>
      </c>
      <c r="Y89" s="310" t="n">
        <f aca="false" t="array" ref="Y89:Y89">IFERROR(INDEX('Bank Schedule'!Y:Y, SMALL(IF('Bank Schedule'!$K$2:$K$825="Vacant", ROW('Bank Schedule'!$K$2:$K$825)), ROW(86:86))), "")</f>
        <v>0.0586080586080586</v>
      </c>
      <c r="Z89" s="29" t="str">
        <f aca="false" t="array" ref="Z89:Z89">IFERROR(INDEX('Bank Schedule'!Z:Z, SMALL(IF('Bank Schedule'!$K$2:$K$825="Vacant", ROW('Bank Schedule'!$K$2:$K$825)), ROW(86:86))), "")</f>
        <v>D</v>
      </c>
      <c r="AA89" s="29" t="str">
        <f aca="false">IFERROR(INDEX('Bank Schedule'!AA:AA, SMALL(IF('Bank Schedule'!$K$2:$K$825="Vacant", ROW('Bank Schedule'!$K$2:$K$825)), ROW(86:86))), "")</f>
        <v/>
      </c>
      <c r="AB89" s="29" t="str">
        <f aca="false">IFERROR(INDEX('Bank Schedule'!AB:AB, SMALL(IF('Bank Schedule'!$K$2:$K$825="Vacant", ROW('Bank Schedule'!$K$2:$K$825)), ROW(86:86))), "")</f>
        <v/>
      </c>
      <c r="AC89" s="29" t="str">
        <f aca="false" t="array" ref="AC89:AC89">IFERROR(INDEX('Bank Schedule'!AC:AC, SMALL(IF('Bank Schedule'!$K$2:$K$825="Vacant", ROW('Bank Schedule'!$K$2:$K$825)), ROW(86:86))), "")</f>
        <v>No</v>
      </c>
      <c r="AD89" s="29" t="str">
        <f aca="false" t="array" ref="AD89:AD89">IFERROR(INDEX('Bank Schedule'!AD:AD, SMALL(IF('Bank Schedule'!$K$2:$K$825="Vacant", ROW('Bank Schedule'!$K$2:$K$825)), ROW(86:86))), "")</f>
        <v>Mothballed.</v>
      </c>
      <c r="AE89" s="281" t="str">
        <f aca="false">IFERROR(INDEX('Bank Schedule'!AE:AE, SMALL(IF('Bank Schedule'!$K$2:$K$825="Vacant", ROW('Bank Schedule'!$K$2:$K$825)), ROW(86:86))), "")</f>
        <v/>
      </c>
      <c r="AF89" s="29" t="str">
        <f aca="false">IFERROR(INDEX('Bank Schedule'!AF:AF, SMALL(IF('Bank Schedule'!$K$2:$K$825="Vacant", ROW('Bank Schedule'!$K$2:$K$825)), ROW(86:86))), "")</f>
        <v/>
      </c>
      <c r="AG89" s="29" t="str">
        <f aca="false">IFERROR(INDEX('Bank Schedule'!AG:AG, SMALL(IF('Bank Schedule'!$K$2:$K$825="Vacant", ROW('Bank Schedule'!$K$2:$K$825)), ROW(86:86))), "")</f>
        <v/>
      </c>
      <c r="AH89" s="29" t="str">
        <f aca="false">IFERROR(INDEX('Bank Schedule'!AH:AH, SMALL(IF('Bank Schedule'!$K$2:$K$825="Vacant", ROW('Bank Schedule'!$K$2:$K$825)), ROW(86:86))), "")</f>
        <v/>
      </c>
      <c r="AI89" s="4"/>
    </row>
    <row r="90" customFormat="false" ht="28.5" hidden="false" customHeight="true" outlineLevel="0" collapsed="false">
      <c r="A90" s="29" t="str">
        <f aca="false">IFERROR(INDEX('Bank Schedule'!A:A, SMALL(IF('Bank Schedule'!$K$2:$K$825="Vacant", ROW('Bank Schedule'!$K$2:$K$825)), ROW(87:87))), "")</f>
        <v/>
      </c>
      <c r="B90" s="29" t="str">
        <f aca="false" t="array" ref="B90:B90">IFERROR(INDEX('Bank Schedule'!B:B, SMALL(IF('Bank Schedule'!$K$2:$K$825="Vacant", ROW('Bank Schedule'!$K$2:$K$825)), ROW(87:87))), "")</f>
        <v>JM</v>
      </c>
      <c r="C90" s="29" t="str">
        <f aca="false" t="array" ref="C90:C90">IFERROR(INDEX('Bank Schedule'!C:C, SMALL(IF('Bank Schedule'!$K$2:$K$825="Vacant", ROW('Bank Schedule'!$K$2:$K$825)), ROW(87:87))), "")</f>
        <v>MEL</v>
      </c>
      <c r="D90" s="29" t="n">
        <f aca="false" t="array" ref="D90:D90">IFERROR(INDEX('Bank Schedule'!D:D, SMALL(IF('Bank Schedule'!$K$2:$K$825="Vacant", ROW('Bank Schedule'!$K$2:$K$825)), ROW(87:87))), "")</f>
        <v>550940</v>
      </c>
      <c r="E90" s="29" t="str">
        <f aca="false" t="array" ref="E90:E90">IFERROR(INDEX('Bank Schedule'!E:E, SMALL(IF('Bank Schedule'!$K$2:$K$825="Vacant", ROW('Bank Schedule'!$K$2:$K$825)), ROW(87:87))), "")</f>
        <v>Radiant House, 34-38 Mortimer Street &amp; 3-4 Bywell Place</v>
      </c>
      <c r="F90" s="29" t="str">
        <f aca="false" t="array" ref="F90:F90">IFERROR(INDEX('Bank Schedule'!F:F, SMALL(IF('Bank Schedule'!$K$2:$K$825="Vacant", ROW('Bank Schedule'!$K$2:$K$825)), ROW(87:87))), "")</f>
        <v>Part Ground, First to Fourth Floor (34)</v>
      </c>
      <c r="G90" s="29" t="str">
        <f aca="false" t="array" ref="G90:G90">IFERROR(INDEX('Bank Schedule'!G:G, SMALL(IF('Bank Schedule'!$K$2:$K$825="Vacant", ROW('Bank Schedule'!$K$2:$K$825)), ROW(87:87))), "")</f>
        <v>Office</v>
      </c>
      <c r="H90" s="305" t="n">
        <f aca="false" t="array" ref="H90:H90">IFERROR(INDEX('Bank Schedule'!H:H, SMALL(IF('Bank Schedule'!$K$2:$K$825="Vacant", ROW('Bank Schedule'!$K$2:$K$825)), ROW(87:87))), "")</f>
        <v>2274</v>
      </c>
      <c r="I90" s="29" t="n">
        <f aca="false" t="array" ref="I90:I90">IFERROR(INDEX('Bank Schedule'!I:I, SMALL(IF('Bank Schedule'!$K$2:$K$825="Vacant", ROW('Bank Schedule'!$K$2:$K$825)), ROW(87:87))), "")</f>
        <v>2274</v>
      </c>
      <c r="J90" s="305" t="n">
        <f aca="false" t="array" ref="J90:J90">IFERROR(INDEX('Bank Schedule'!J:J, SMALL(IF('Bank Schedule'!$K$2:$K$825="Vacant", ROW('Bank Schedule'!$K$2:$K$825)), ROW(87:87))), "")</f>
        <v>2250</v>
      </c>
      <c r="K90" s="29" t="str">
        <f aca="false" t="array" ref="K90:K90">IFERROR(INDEX('Bank Schedule'!K:K, SMALL(IF('Bank Schedule'!$K$2:$K$825="Vacant", ROW('Bank Schedule'!$K$2:$K$825)), ROW(87:87))), "")</f>
        <v>Vacant</v>
      </c>
      <c r="L90" s="29" t="str">
        <f aca="false">IFERROR(INDEX('Bank Schedule'!L:L, SMALL(IF('Bank Schedule'!$K$2:$K$825="Vacant", ROW('Bank Schedule'!$K$2:$K$825)), ROW(87:87))), "")</f>
        <v/>
      </c>
      <c r="M90" s="29" t="str">
        <f aca="false">IFERROR(INDEX('Bank Schedule'!M:M, SMALL(IF('Bank Schedule'!$K$2:$K$825="Vacant", ROW('Bank Schedule'!$K$2:$K$825)), ROW(87:87))), "")</f>
        <v/>
      </c>
      <c r="N90" s="307" t="n">
        <f aca="false" t="array" ref="N90:N90">IFERROR(INDEX('Bank Schedule'!N:N, SMALL(IF('Bank Schedule'!$K$2:$K$825="Vacant", ROW('Bank Schedule'!$K$2:$K$825)), ROW(87:87))), "")</f>
        <v>44280</v>
      </c>
      <c r="O90" s="29" t="str">
        <f aca="false">IFERROR(INDEX('Bank Schedule'!O:O, SMALL(IF('Bank Schedule'!$K$2:$K$825="Vacant", ROW('Bank Schedule'!$K$2:$K$825)), ROW(87:87))), "")</f>
        <v/>
      </c>
      <c r="P90" s="29" t="str">
        <f aca="false">IFERROR(INDEX('Bank Schedule'!P:P, SMALL(IF('Bank Schedule'!$K$2:$K$825="Vacant", ROW('Bank Schedule'!$K$2:$K$825)), ROW(87:87))), "")</f>
        <v/>
      </c>
      <c r="Q90" s="29" t="n">
        <f aca="false" t="array" ref="Q90:Q90">IFERROR(INDEX('Bank Schedule'!Q:Q, SMALL(IF('Bank Schedule'!$K$2:$K$825="Vacant", ROW('Bank Schedule'!$K$2:$K$825)), ROW(87:87))), "")</f>
        <v>0</v>
      </c>
      <c r="R90" s="29" t="n">
        <f aca="false" t="array" ref="R90:R90">IFERROR(INDEX('Bank Schedule'!R:R, SMALL(IF('Bank Schedule'!$K$2:$K$825="Vacant", ROW('Bank Schedule'!$K$2:$K$825)), ROW(87:87))), "")</f>
        <v>0</v>
      </c>
      <c r="S90" s="29" t="str">
        <f aca="false">IFERROR(INDEX('Bank Schedule'!S:S, SMALL(IF('Bank Schedule'!$K$2:$K$825="Vacant", ROW('Bank Schedule'!$K$2:$K$825)), ROW(87:87))), "")</f>
        <v/>
      </c>
      <c r="T90" s="309" t="n">
        <f aca="false" t="array" ref="T90:T90">IFERROR(INDEX('Bank Schedule'!T:T, SMALL(IF('Bank Schedule'!$K$2:$K$825="Vacant", ROW('Bank Schedule'!$K$2:$K$825)), ROW(87:87))), "")</f>
        <v>124700</v>
      </c>
      <c r="U90" s="309" t="n">
        <f aca="false" t="array" ref="U90:U90">IFERROR(INDEX('Bank Schedule'!U:U, SMALL(IF('Bank Schedule'!$K$2:$K$825="Vacant", ROW('Bank Schedule'!$K$2:$K$825)), ROW(87:87))), "")</f>
        <v>124700</v>
      </c>
      <c r="V90" s="309" t="n">
        <f aca="false" t="array" ref="V90:V90">IFERROR(INDEX('Bank Schedule'!V:V, SMALL(IF('Bank Schedule'!$K$2:$K$825="Vacant", ROW('Bank Schedule'!$K$2:$K$825)), ROW(87:87))), "")</f>
        <v>125100</v>
      </c>
      <c r="W90" s="309" t="n">
        <f aca="false" t="array" ref="W90:W90">IFERROR(INDEX('Bank Schedule'!W:W, SMALL(IF('Bank Schedule'!$K$2:$K$825="Vacant", ROW('Bank Schedule'!$K$2:$K$825)), ROW(87:87))), "")</f>
        <v>125100</v>
      </c>
      <c r="X90" s="309" t="n">
        <f aca="false" t="array" ref="X90:X90">IFERROR(INDEX('Bank Schedule'!X:X, SMALL(IF('Bank Schedule'!$K$2:$K$825="Vacant", ROW('Bank Schedule'!$K$2:$K$825)), ROW(87:87))), "")</f>
        <v>55.0131926121372</v>
      </c>
      <c r="Y90" s="310" t="n">
        <f aca="false" t="array" ref="Y90:Y90">IFERROR(INDEX('Bank Schedule'!Y:Y, SMALL(IF('Bank Schedule'!$K$2:$K$825="Vacant", ROW('Bank Schedule'!$K$2:$K$825)), ROW(87:87))), "")</f>
        <v>0.00320769847634322</v>
      </c>
      <c r="Z90" s="29" t="str">
        <f aca="false" t="array" ref="Z90:Z90">IFERROR(INDEX('Bank Schedule'!Z:Z, SMALL(IF('Bank Schedule'!$K$2:$K$825="Vacant", ROW('Bank Schedule'!$K$2:$K$825)), ROW(87:87))), "")</f>
        <v>E</v>
      </c>
      <c r="AA90" s="29" t="str">
        <f aca="false">IFERROR(INDEX('Bank Schedule'!AA:AA, SMALL(IF('Bank Schedule'!$K$2:$K$825="Vacant", ROW('Bank Schedule'!$K$2:$K$825)), ROW(87:87))), "")</f>
        <v/>
      </c>
      <c r="AB90" s="29" t="str">
        <f aca="false">IFERROR(INDEX('Bank Schedule'!AB:AB, SMALL(IF('Bank Schedule'!$K$2:$K$825="Vacant", ROW('Bank Schedule'!$K$2:$K$825)), ROW(87:87))), "")</f>
        <v/>
      </c>
      <c r="AC90" s="29" t="str">
        <f aca="false" t="array" ref="AC90:AC90">IFERROR(INDEX('Bank Schedule'!AC:AC, SMALL(IF('Bank Schedule'!$K$2:$K$825="Vacant", ROW('Bank Schedule'!$K$2:$K$825)), ROW(87:87))), "")</f>
        <v>Yes</v>
      </c>
      <c r="AD90" s="29" t="str">
        <f aca="false" t="array" ref="AD90:AD90">IFERROR(INDEX('Bank Schedule'!AD:AD, SMALL(IF('Bank Schedule'!$K$2:$K$825="Vacant", ROW('Bank Schedule'!$K$2:$K$825)), ROW(87:87))), "")</f>
        <v>LEM marketing.</v>
      </c>
      <c r="AE90" s="281" t="str">
        <f aca="false">IFERROR(INDEX('Bank Schedule'!AE:AE, SMALL(IF('Bank Schedule'!$K$2:$K$825="Vacant", ROW('Bank Schedule'!$K$2:$K$825)), ROW(87:87))), "")</f>
        <v/>
      </c>
      <c r="AF90" s="29" t="str">
        <f aca="false">IFERROR(INDEX('Bank Schedule'!AF:AF, SMALL(IF('Bank Schedule'!$K$2:$K$825="Vacant", ROW('Bank Schedule'!$K$2:$K$825)), ROW(87:87))), "")</f>
        <v/>
      </c>
      <c r="AG90" s="29" t="str">
        <f aca="false">IFERROR(INDEX('Bank Schedule'!AG:AG, SMALL(IF('Bank Schedule'!$K$2:$K$825="Vacant", ROW('Bank Schedule'!$K$2:$K$825)), ROW(87:87))), "")</f>
        <v/>
      </c>
      <c r="AH90" s="29" t="str">
        <f aca="false">IFERROR(INDEX('Bank Schedule'!AH:AH, SMALL(IF('Bank Schedule'!$K$2:$K$825="Vacant", ROW('Bank Schedule'!$K$2:$K$825)), ROW(87:87))), "")</f>
        <v/>
      </c>
      <c r="AI90" s="4"/>
    </row>
    <row r="91" customFormat="false" ht="28.5" hidden="false" customHeight="true" outlineLevel="0" collapsed="false">
      <c r="A91" s="29" t="str">
        <f aca="false">IFERROR(INDEX('Bank Schedule'!A:A, SMALL(IF('Bank Schedule'!$K$2:$K$825="Vacant", ROW('Bank Schedule'!$K$2:$K$825)), ROW(88:88))), "")</f>
        <v/>
      </c>
      <c r="B91" s="29" t="str">
        <f aca="false" t="array" ref="B91:B91">IFERROR(INDEX('Bank Schedule'!B:B, SMALL(IF('Bank Schedule'!$K$2:$K$825="Vacant", ROW('Bank Schedule'!$K$2:$K$825)), ROW(88:88))), "")</f>
        <v>JM</v>
      </c>
      <c r="C91" s="29" t="str">
        <f aca="false" t="array" ref="C91:C91">IFERROR(INDEX('Bank Schedule'!C:C, SMALL(IF('Bank Schedule'!$K$2:$K$825="Vacant", ROW('Bank Schedule'!$K$2:$K$825)), ROW(88:88))), "")</f>
        <v>MEL</v>
      </c>
      <c r="D91" s="29" t="n">
        <f aca="false" t="array" ref="D91:D91">IFERROR(INDEX('Bank Schedule'!D:D, SMALL(IF('Bank Schedule'!$K$2:$K$825="Vacant", ROW('Bank Schedule'!$K$2:$K$825)), ROW(88:88))), "")</f>
        <v>550940</v>
      </c>
      <c r="E91" s="29" t="str">
        <f aca="false" t="array" ref="E91:E91">IFERROR(INDEX('Bank Schedule'!E:E, SMALL(IF('Bank Schedule'!$K$2:$K$825="Vacant", ROW('Bank Schedule'!$K$2:$K$825)), ROW(88:88))), "")</f>
        <v>Radiant House, 34-38 Mortimer Street &amp; 3-4 Bywell Place</v>
      </c>
      <c r="F91" s="29" t="str">
        <f aca="false" t="array" ref="F91:F91">IFERROR(INDEX('Bank Schedule'!F:F, SMALL(IF('Bank Schedule'!$K$2:$K$825="Vacant", ROW('Bank Schedule'!$K$2:$K$825)), ROW(88:88))), "")</f>
        <v>First (36-38)</v>
      </c>
      <c r="G91" s="29" t="str">
        <f aca="false" t="array" ref="G91:G91">IFERROR(INDEX('Bank Schedule'!G:G, SMALL(IF('Bank Schedule'!$K$2:$K$825="Vacant", ROW('Bank Schedule'!$K$2:$K$825)), ROW(88:88))), "")</f>
        <v>Office</v>
      </c>
      <c r="H91" s="305" t="n">
        <f aca="false" t="array" ref="H91:H91">IFERROR(INDEX('Bank Schedule'!H:H, SMALL(IF('Bank Schedule'!$K$2:$K$825="Vacant", ROW('Bank Schedule'!$K$2:$K$825)), ROW(88:88))), "")</f>
        <v>1201</v>
      </c>
      <c r="I91" s="29" t="n">
        <f aca="false" t="array" ref="I91:I91">IFERROR(INDEX('Bank Schedule'!I:I, SMALL(IF('Bank Schedule'!$K$2:$K$825="Vacant", ROW('Bank Schedule'!$K$2:$K$825)), ROW(88:88))), "")</f>
        <v>1201</v>
      </c>
      <c r="J91" s="305" t="n">
        <f aca="false" t="array" ref="J91:J91">IFERROR(INDEX('Bank Schedule'!J:J, SMALL(IF('Bank Schedule'!$K$2:$K$825="Vacant", ROW('Bank Schedule'!$K$2:$K$825)), ROW(88:88))), "")</f>
        <v>1250</v>
      </c>
      <c r="K91" s="29" t="str">
        <f aca="false" t="array" ref="K91:K91">IFERROR(INDEX('Bank Schedule'!K:K, SMALL(IF('Bank Schedule'!$K$2:$K$825="Vacant", ROW('Bank Schedule'!$K$2:$K$825)), ROW(88:88))), "")</f>
        <v>Vacant</v>
      </c>
      <c r="L91" s="29" t="str">
        <f aca="false">IFERROR(INDEX('Bank Schedule'!L:L, SMALL(IF('Bank Schedule'!$K$2:$K$825="Vacant", ROW('Bank Schedule'!$K$2:$K$825)), ROW(88:88))), "")</f>
        <v/>
      </c>
      <c r="M91" s="29" t="str">
        <f aca="false">IFERROR(INDEX('Bank Schedule'!M:M, SMALL(IF('Bank Schedule'!$K$2:$K$825="Vacant", ROW('Bank Schedule'!$K$2:$K$825)), ROW(88:88))), "")</f>
        <v/>
      </c>
      <c r="N91" s="307" t="n">
        <f aca="false" t="array" ref="N91:N91">IFERROR(INDEX('Bank Schedule'!N:N, SMALL(IF('Bank Schedule'!$K$2:$K$825="Vacant", ROW('Bank Schedule'!$K$2:$K$825)), ROW(88:88))), "")</f>
        <v>45521</v>
      </c>
      <c r="O91" s="29" t="str">
        <f aca="false">IFERROR(INDEX('Bank Schedule'!O:O, SMALL(IF('Bank Schedule'!$K$2:$K$825="Vacant", ROW('Bank Schedule'!$K$2:$K$825)), ROW(88:88))), "")</f>
        <v/>
      </c>
      <c r="P91" s="29" t="str">
        <f aca="false">IFERROR(INDEX('Bank Schedule'!P:P, SMALL(IF('Bank Schedule'!$K$2:$K$825="Vacant", ROW('Bank Schedule'!$K$2:$K$825)), ROW(88:88))), "")</f>
        <v/>
      </c>
      <c r="Q91" s="29" t="n">
        <f aca="false" t="array" ref="Q91:Q91">IFERROR(INDEX('Bank Schedule'!Q:Q, SMALL(IF('Bank Schedule'!$K$2:$K$825="Vacant", ROW('Bank Schedule'!$K$2:$K$825)), ROW(88:88))), "")</f>
        <v>0</v>
      </c>
      <c r="R91" s="29" t="n">
        <f aca="false" t="array" ref="R91:R91">IFERROR(INDEX('Bank Schedule'!R:R, SMALL(IF('Bank Schedule'!$K$2:$K$825="Vacant", ROW('Bank Schedule'!$K$2:$K$825)), ROW(88:88))), "")</f>
        <v>0</v>
      </c>
      <c r="S91" s="29" t="str">
        <f aca="false">IFERROR(INDEX('Bank Schedule'!S:S, SMALL(IF('Bank Schedule'!$K$2:$K$825="Vacant", ROW('Bank Schedule'!$K$2:$K$825)), ROW(88:88))), "")</f>
        <v/>
      </c>
      <c r="T91" s="309" t="n">
        <f aca="false" t="array" ref="T91:T91">IFERROR(INDEX('Bank Schedule'!T:T, SMALL(IF('Bank Schedule'!$K$2:$K$825="Vacant", ROW('Bank Schedule'!$K$2:$K$825)), ROW(88:88))), "")</f>
        <v>64100</v>
      </c>
      <c r="U91" s="309" t="n">
        <f aca="false" t="array" ref="U91:U91">IFERROR(INDEX('Bank Schedule'!U:U, SMALL(IF('Bank Schedule'!$K$2:$K$825="Vacant", ROW('Bank Schedule'!$K$2:$K$825)), ROW(88:88))), "")</f>
        <v>64100</v>
      </c>
      <c r="V91" s="309" t="n">
        <f aca="false" t="array" ref="V91:V91">IFERROR(INDEX('Bank Schedule'!V:V, SMALL(IF('Bank Schedule'!$K$2:$K$825="Vacant", ROW('Bank Schedule'!$K$2:$K$825)), ROW(88:88))), "")</f>
        <v>63100</v>
      </c>
      <c r="W91" s="309" t="n">
        <f aca="false" t="array" ref="W91:W91">IFERROR(INDEX('Bank Schedule'!W:W, SMALL(IF('Bank Schedule'!$K$2:$K$825="Vacant", ROW('Bank Schedule'!$K$2:$K$825)), ROW(88:88))), "")</f>
        <v>63100</v>
      </c>
      <c r="X91" s="309" t="n">
        <f aca="false" t="array" ref="X91:X91">IFERROR(INDEX('Bank Schedule'!X:X, SMALL(IF('Bank Schedule'!$K$2:$K$825="Vacant", ROW('Bank Schedule'!$K$2:$K$825)), ROW(88:88))), "")</f>
        <v>52.5395503746878</v>
      </c>
      <c r="Y91" s="310" t="n">
        <f aca="false" t="array" ref="Y91:Y91">IFERROR(INDEX('Bank Schedule'!Y:Y, SMALL(IF('Bank Schedule'!$K$2:$K$825="Vacant", ROW('Bank Schedule'!$K$2:$K$825)), ROW(88:88))), "")</f>
        <v>-0.015600624024961</v>
      </c>
      <c r="Z91" s="29" t="str">
        <f aca="false" t="array" ref="Z91:Z91">IFERROR(INDEX('Bank Schedule'!Z:Z, SMALL(IF('Bank Schedule'!$K$2:$K$825="Vacant", ROW('Bank Schedule'!$K$2:$K$825)), ROW(88:88))), "")</f>
        <v>D</v>
      </c>
      <c r="AA91" s="29" t="str">
        <f aca="false">IFERROR(INDEX('Bank Schedule'!AA:AA, SMALL(IF('Bank Schedule'!$K$2:$K$825="Vacant", ROW('Bank Schedule'!$K$2:$K$825)), ROW(88:88))), "")</f>
        <v/>
      </c>
      <c r="AB91" s="29" t="str">
        <f aca="false">IFERROR(INDEX('Bank Schedule'!AB:AB, SMALL(IF('Bank Schedule'!$K$2:$K$825="Vacant", ROW('Bank Schedule'!$K$2:$K$825)), ROW(88:88))), "")</f>
        <v/>
      </c>
      <c r="AC91" s="29" t="str">
        <f aca="false" t="array" ref="AC91:AC91">IFERROR(INDEX('Bank Schedule'!AC:AC, SMALL(IF('Bank Schedule'!$K$2:$K$825="Vacant", ROW('Bank Schedule'!$K$2:$K$825)), ROW(88:88))), "")</f>
        <v>No</v>
      </c>
      <c r="AD91" s="29" t="str">
        <f aca="false" t="array" ref="AD91:AD91">IFERROR(INDEX('Bank Schedule'!AD:AD, SMALL(IF('Bank Schedule'!$K$2:$K$825="Vacant", ROW('Bank Schedule'!$K$2:$K$825)), ROW(88:88))), "")</f>
        <v>LEM marketing.</v>
      </c>
      <c r="AE91" s="281" t="str">
        <f aca="false">IFERROR(INDEX('Bank Schedule'!AE:AE, SMALL(IF('Bank Schedule'!$K$2:$K$825="Vacant", ROW('Bank Schedule'!$K$2:$K$825)), ROW(88:88))), "")</f>
        <v/>
      </c>
      <c r="AF91" s="29" t="str">
        <f aca="false">IFERROR(INDEX('Bank Schedule'!AF:AF, SMALL(IF('Bank Schedule'!$K$2:$K$825="Vacant", ROW('Bank Schedule'!$K$2:$K$825)), ROW(88:88))), "")</f>
        <v/>
      </c>
      <c r="AG91" s="29" t="n">
        <f aca="false" t="array" ref="AG91:AG91">IFERROR(INDEX('Bank Schedule'!AG:AG, SMALL(IF('Bank Schedule'!$K$2:$K$825="Vacant", ROW('Bank Schedule'!$K$2:$K$825)), ROW(88:88))), "")</f>
        <v>2</v>
      </c>
      <c r="AH91" s="29" t="str">
        <f aca="false">IFERROR(INDEX('Bank Schedule'!AH:AH, SMALL(IF('Bank Schedule'!$K$2:$K$825="Vacant", ROW('Bank Schedule'!$K$2:$K$825)), ROW(88:88))), "")</f>
        <v/>
      </c>
      <c r="AI91" s="4"/>
    </row>
    <row r="92" customFormat="false" ht="28.5" hidden="false" customHeight="true" outlineLevel="0" collapsed="false">
      <c r="A92" s="29" t="str">
        <f aca="false">IFERROR(INDEX('Bank Schedule'!A:A, SMALL(IF('Bank Schedule'!$K$2:$K$825="Vacant", ROW('Bank Schedule'!$K$2:$K$825)), ROW(89:89))), "")</f>
        <v/>
      </c>
      <c r="B92" s="29" t="str">
        <f aca="false" t="array" ref="B92:B92">IFERROR(INDEX('Bank Schedule'!B:B, SMALL(IF('Bank Schedule'!$K$2:$K$825="Vacant", ROW('Bank Schedule'!$K$2:$K$825)), ROW(89:89))), "")</f>
        <v>JM</v>
      </c>
      <c r="C92" s="29" t="str">
        <f aca="false" t="array" ref="C92:C92">IFERROR(INDEX('Bank Schedule'!C:C, SMALL(IF('Bank Schedule'!$K$2:$K$825="Vacant", ROW('Bank Schedule'!$K$2:$K$825)), ROW(89:89))), "")</f>
        <v>MEL</v>
      </c>
      <c r="D92" s="29" t="n">
        <f aca="false" t="array" ref="D92:D92">IFERROR(INDEX('Bank Schedule'!D:D, SMALL(IF('Bank Schedule'!$K$2:$K$825="Vacant", ROW('Bank Schedule'!$K$2:$K$825)), ROW(89:89))), "")</f>
        <v>550940</v>
      </c>
      <c r="E92" s="29" t="str">
        <f aca="false" t="array" ref="E92:E92">IFERROR(INDEX('Bank Schedule'!E:E, SMALL(IF('Bank Schedule'!$K$2:$K$825="Vacant", ROW('Bank Schedule'!$K$2:$K$825)), ROW(89:89))), "")</f>
        <v>Radiant House, 34-38 Mortimer Street &amp; 3-4 Bywell Place</v>
      </c>
      <c r="F92" s="29" t="str">
        <f aca="false" t="array" ref="F92:F92">IFERROR(INDEX('Bank Schedule'!F:F, SMALL(IF('Bank Schedule'!$K$2:$K$825="Vacant", ROW('Bank Schedule'!$K$2:$K$825)), ROW(89:89))), "")</f>
        <v>Second (36-38)</v>
      </c>
      <c r="G92" s="29" t="str">
        <f aca="false" t="array" ref="G92:G92">IFERROR(INDEX('Bank Schedule'!G:G, SMALL(IF('Bank Schedule'!$K$2:$K$825="Vacant", ROW('Bank Schedule'!$K$2:$K$825)), ROW(89:89))), "")</f>
        <v>Office</v>
      </c>
      <c r="H92" s="305" t="n">
        <f aca="false" t="array" ref="H92:H92">IFERROR(INDEX('Bank Schedule'!H:H, SMALL(IF('Bank Schedule'!$K$2:$K$825="Vacant", ROW('Bank Schedule'!$K$2:$K$825)), ROW(89:89))), "")</f>
        <v>1255</v>
      </c>
      <c r="I92" s="29" t="n">
        <f aca="false" t="array" ref="I92:I92">IFERROR(INDEX('Bank Schedule'!I:I, SMALL(IF('Bank Schedule'!$K$2:$K$825="Vacant", ROW('Bank Schedule'!$K$2:$K$825)), ROW(89:89))), "")</f>
        <v>1255</v>
      </c>
      <c r="J92" s="305" t="n">
        <f aca="false" t="array" ref="J92:J92">IFERROR(INDEX('Bank Schedule'!J:J, SMALL(IF('Bank Schedule'!$K$2:$K$825="Vacant", ROW('Bank Schedule'!$K$2:$K$825)), ROW(89:89))), "")</f>
        <v>1250</v>
      </c>
      <c r="K92" s="29" t="str">
        <f aca="false" t="array" ref="K92:K92">IFERROR(INDEX('Bank Schedule'!K:K, SMALL(IF('Bank Schedule'!$K$2:$K$825="Vacant", ROW('Bank Schedule'!$K$2:$K$825)), ROW(89:89))), "")</f>
        <v>Vacant</v>
      </c>
      <c r="L92" s="29" t="str">
        <f aca="false">IFERROR(INDEX('Bank Schedule'!L:L, SMALL(IF('Bank Schedule'!$K$2:$K$825="Vacant", ROW('Bank Schedule'!$K$2:$K$825)), ROW(89:89))), "")</f>
        <v/>
      </c>
      <c r="M92" s="29" t="str">
        <f aca="false">IFERROR(INDEX('Bank Schedule'!M:M, SMALL(IF('Bank Schedule'!$K$2:$K$825="Vacant", ROW('Bank Schedule'!$K$2:$K$825)), ROW(89:89))), "")</f>
        <v/>
      </c>
      <c r="N92" s="307" t="n">
        <f aca="false" t="array" ref="N92:N92">IFERROR(INDEX('Bank Schedule'!N:N, SMALL(IF('Bank Schedule'!$K$2:$K$825="Vacant", ROW('Bank Schedule'!$K$2:$K$825)), ROW(89:89))), "")</f>
        <v>44320</v>
      </c>
      <c r="O92" s="29" t="str">
        <f aca="false">IFERROR(INDEX('Bank Schedule'!O:O, SMALL(IF('Bank Schedule'!$K$2:$K$825="Vacant", ROW('Bank Schedule'!$K$2:$K$825)), ROW(89:89))), "")</f>
        <v/>
      </c>
      <c r="P92" s="29" t="str">
        <f aca="false">IFERROR(INDEX('Bank Schedule'!P:P, SMALL(IF('Bank Schedule'!$K$2:$K$825="Vacant", ROW('Bank Schedule'!$K$2:$K$825)), ROW(89:89))), "")</f>
        <v/>
      </c>
      <c r="Q92" s="29" t="n">
        <f aca="false" t="array" ref="Q92:Q92">IFERROR(INDEX('Bank Schedule'!Q:Q, SMALL(IF('Bank Schedule'!$K$2:$K$825="Vacant", ROW('Bank Schedule'!$K$2:$K$825)), ROW(89:89))), "")</f>
        <v>0</v>
      </c>
      <c r="R92" s="29" t="n">
        <f aca="false" t="array" ref="R92:R92">IFERROR(INDEX('Bank Schedule'!R:R, SMALL(IF('Bank Schedule'!$K$2:$K$825="Vacant", ROW('Bank Schedule'!$K$2:$K$825)), ROW(89:89))), "")</f>
        <v>0</v>
      </c>
      <c r="S92" s="29" t="str">
        <f aca="false">IFERROR(INDEX('Bank Schedule'!S:S, SMALL(IF('Bank Schedule'!$K$2:$K$825="Vacant", ROW('Bank Schedule'!$K$2:$K$825)), ROW(89:89))), "")</f>
        <v/>
      </c>
      <c r="T92" s="309" t="n">
        <f aca="false" t="array" ref="T92:T92">IFERROR(INDEX('Bank Schedule'!T:T, SMALL(IF('Bank Schedule'!$K$2:$K$825="Vacant", ROW('Bank Schedule'!$K$2:$K$825)), ROW(89:89))), "")</f>
        <v>67300</v>
      </c>
      <c r="U92" s="309" t="n">
        <f aca="false" t="array" ref="U92:U92">IFERROR(INDEX('Bank Schedule'!U:U, SMALL(IF('Bank Schedule'!$K$2:$K$825="Vacant", ROW('Bank Schedule'!$K$2:$K$825)), ROW(89:89))), "")</f>
        <v>67300</v>
      </c>
      <c r="V92" s="309" t="n">
        <f aca="false" t="array" ref="V92:V92">IFERROR(INDEX('Bank Schedule'!V:V, SMALL(IF('Bank Schedule'!$K$2:$K$825="Vacant", ROW('Bank Schedule'!$K$2:$K$825)), ROW(89:89))), "")</f>
        <v>69000</v>
      </c>
      <c r="W92" s="309" t="n">
        <f aca="false" t="array" ref="W92:W92">IFERROR(INDEX('Bank Schedule'!W:W, SMALL(IF('Bank Schedule'!$K$2:$K$825="Vacant", ROW('Bank Schedule'!$K$2:$K$825)), ROW(89:89))), "")</f>
        <v>69000</v>
      </c>
      <c r="X92" s="309" t="n">
        <f aca="false" t="array" ref="X92:X92">IFERROR(INDEX('Bank Schedule'!X:X, SMALL(IF('Bank Schedule'!$K$2:$K$825="Vacant", ROW('Bank Schedule'!$K$2:$K$825)), ROW(89:89))), "")</f>
        <v>54.9800796812749</v>
      </c>
      <c r="Y92" s="310" t="n">
        <f aca="false" t="array" ref="Y92:Y92">IFERROR(INDEX('Bank Schedule'!Y:Y, SMALL(IF('Bank Schedule'!$K$2:$K$825="Vacant", ROW('Bank Schedule'!$K$2:$K$825)), ROW(89:89))), "")</f>
        <v>0.025260029717682</v>
      </c>
      <c r="Z92" s="29" t="str">
        <f aca="false" t="array" ref="Z92:Z92">IFERROR(INDEX('Bank Schedule'!Z:Z, SMALL(IF('Bank Schedule'!$K$2:$K$825="Vacant", ROW('Bank Schedule'!$K$2:$K$825)), ROW(89:89))), "")</f>
        <v>D</v>
      </c>
      <c r="AA92" s="29" t="str">
        <f aca="false">IFERROR(INDEX('Bank Schedule'!AA:AA, SMALL(IF('Bank Schedule'!$K$2:$K$825="Vacant", ROW('Bank Schedule'!$K$2:$K$825)), ROW(89:89))), "")</f>
        <v/>
      </c>
      <c r="AB92" s="29" t="str">
        <f aca="false">IFERROR(INDEX('Bank Schedule'!AB:AB, SMALL(IF('Bank Schedule'!$K$2:$K$825="Vacant", ROW('Bank Schedule'!$K$2:$K$825)), ROW(89:89))), "")</f>
        <v/>
      </c>
      <c r="AC92" s="29" t="str">
        <f aca="false" t="array" ref="AC92:AC92">IFERROR(INDEX('Bank Schedule'!AC:AC, SMALL(IF('Bank Schedule'!$K$2:$K$825="Vacant", ROW('Bank Schedule'!$K$2:$K$825)), ROW(89:89))), "")</f>
        <v>No</v>
      </c>
      <c r="AD92" s="29" t="str">
        <f aca="false" t="array" ref="AD92:AD92">IFERROR(INDEX('Bank Schedule'!AD:AD, SMALL(IF('Bank Schedule'!$K$2:$K$825="Vacant", ROW('Bank Schedule'!$K$2:$K$825)), ROW(89:89))), "")</f>
        <v>To be refurbished.</v>
      </c>
      <c r="AE92" s="281" t="str">
        <f aca="false">IFERROR(INDEX('Bank Schedule'!AE:AE, SMALL(IF('Bank Schedule'!$K$2:$K$825="Vacant", ROW('Bank Schedule'!$K$2:$K$825)), ROW(89:89))), "")</f>
        <v/>
      </c>
      <c r="AF92" s="29" t="str">
        <f aca="false">IFERROR(INDEX('Bank Schedule'!AF:AF, SMALL(IF('Bank Schedule'!$K$2:$K$825="Vacant", ROW('Bank Schedule'!$K$2:$K$825)), ROW(89:89))), "")</f>
        <v/>
      </c>
      <c r="AG92" s="29" t="n">
        <f aca="false" t="array" ref="AG92:AG92">IFERROR(INDEX('Bank Schedule'!AG:AG, SMALL(IF('Bank Schedule'!$K$2:$K$825="Vacant", ROW('Bank Schedule'!$K$2:$K$825)), ROW(89:89))), "")</f>
        <v>2</v>
      </c>
      <c r="AH92" s="29" t="str">
        <f aca="false">IFERROR(INDEX('Bank Schedule'!AH:AH, SMALL(IF('Bank Schedule'!$K$2:$K$825="Vacant", ROW('Bank Schedule'!$K$2:$K$825)), ROW(89:89))), "")</f>
        <v/>
      </c>
      <c r="AI92" s="4"/>
    </row>
    <row r="93" customFormat="false" ht="28.5" hidden="false" customHeight="true" outlineLevel="0" collapsed="false">
      <c r="A93" s="29" t="str">
        <f aca="false">IFERROR(INDEX('Bank Schedule'!A:A, SMALL(IF('Bank Schedule'!$K$2:$K$825="Vacant", ROW('Bank Schedule'!$K$2:$K$825)), ROW(90:90))), "")</f>
        <v/>
      </c>
      <c r="B93" s="29" t="str">
        <f aca="false" t="array" ref="B93:B93">IFERROR(INDEX('Bank Schedule'!B:B, SMALL(IF('Bank Schedule'!$K$2:$K$825="Vacant", ROW('Bank Schedule'!$K$2:$K$825)), ROW(90:90))), "")</f>
        <v>JM</v>
      </c>
      <c r="C93" s="29" t="str">
        <f aca="false" t="array" ref="C93:C93">IFERROR(INDEX('Bank Schedule'!C:C, SMALL(IF('Bank Schedule'!$K$2:$K$825="Vacant", ROW('Bank Schedule'!$K$2:$K$825)), ROW(90:90))), "")</f>
        <v>MEL</v>
      </c>
      <c r="D93" s="29" t="n">
        <f aca="false" t="array" ref="D93:D93">IFERROR(INDEX('Bank Schedule'!D:D, SMALL(IF('Bank Schedule'!$K$2:$K$825="Vacant", ROW('Bank Schedule'!$K$2:$K$825)), ROW(90:90))), "")</f>
        <v>550940</v>
      </c>
      <c r="E93" s="29" t="str">
        <f aca="false" t="array" ref="E93:E93">IFERROR(INDEX('Bank Schedule'!E:E, SMALL(IF('Bank Schedule'!$K$2:$K$825="Vacant", ROW('Bank Schedule'!$K$2:$K$825)), ROW(90:90))), "")</f>
        <v>Radiant House, 34-38 Mortimer Street &amp; 3-4 Bywell Place</v>
      </c>
      <c r="F93" s="29" t="str">
        <f aca="false" t="array" ref="F93:F93">IFERROR(INDEX('Bank Schedule'!F:F, SMALL(IF('Bank Schedule'!$K$2:$K$825="Vacant", ROW('Bank Schedule'!$K$2:$K$825)), ROW(90:90))), "")</f>
        <v>Third (36-38)</v>
      </c>
      <c r="G93" s="29" t="str">
        <f aca="false" t="array" ref="G93:G93">IFERROR(INDEX('Bank Schedule'!G:G, SMALL(IF('Bank Schedule'!$K$2:$K$825="Vacant", ROW('Bank Schedule'!$K$2:$K$825)), ROW(90:90))), "")</f>
        <v>Office</v>
      </c>
      <c r="H93" s="305" t="n">
        <f aca="false" t="array" ref="H93:H93">IFERROR(INDEX('Bank Schedule'!H:H, SMALL(IF('Bank Schedule'!$K$2:$K$825="Vacant", ROW('Bank Schedule'!$K$2:$K$825)), ROW(90:90))), "")</f>
        <v>1252</v>
      </c>
      <c r="I93" s="29" t="n">
        <f aca="false" t="array" ref="I93:I93">IFERROR(INDEX('Bank Schedule'!I:I, SMALL(IF('Bank Schedule'!$K$2:$K$825="Vacant", ROW('Bank Schedule'!$K$2:$K$825)), ROW(90:90))), "")</f>
        <v>1252</v>
      </c>
      <c r="J93" s="305" t="n">
        <f aca="false" t="array" ref="J93:J93">IFERROR(INDEX('Bank Schedule'!J:J, SMALL(IF('Bank Schedule'!$K$2:$K$825="Vacant", ROW('Bank Schedule'!$K$2:$K$825)), ROW(90:90))), "")</f>
        <v>1250</v>
      </c>
      <c r="K93" s="29" t="str">
        <f aca="false" t="array" ref="K93:K93">IFERROR(INDEX('Bank Schedule'!K:K, SMALL(IF('Bank Schedule'!$K$2:$K$825="Vacant", ROW('Bank Schedule'!$K$2:$K$825)), ROW(90:90))), "")</f>
        <v>Vacant</v>
      </c>
      <c r="L93" s="29" t="str">
        <f aca="false">IFERROR(INDEX('Bank Schedule'!L:L, SMALL(IF('Bank Schedule'!$K$2:$K$825="Vacant", ROW('Bank Schedule'!$K$2:$K$825)), ROW(90:90))), "")</f>
        <v/>
      </c>
      <c r="M93" s="29" t="str">
        <f aca="false">IFERROR(INDEX('Bank Schedule'!M:M, SMALL(IF('Bank Schedule'!$K$2:$K$825="Vacant", ROW('Bank Schedule'!$K$2:$K$825)), ROW(90:90))), "")</f>
        <v/>
      </c>
      <c r="N93" s="307" t="n">
        <f aca="false" t="array" ref="N93:N93">IFERROR(INDEX('Bank Schedule'!N:N, SMALL(IF('Bank Schedule'!$K$2:$K$825="Vacant", ROW('Bank Schedule'!$K$2:$K$825)), ROW(90:90))), "")</f>
        <v>44622</v>
      </c>
      <c r="O93" s="29" t="str">
        <f aca="false">IFERROR(INDEX('Bank Schedule'!O:O, SMALL(IF('Bank Schedule'!$K$2:$K$825="Vacant", ROW('Bank Schedule'!$K$2:$K$825)), ROW(90:90))), "")</f>
        <v/>
      </c>
      <c r="P93" s="29" t="str">
        <f aca="false">IFERROR(INDEX('Bank Schedule'!P:P, SMALL(IF('Bank Schedule'!$K$2:$K$825="Vacant", ROW('Bank Schedule'!$K$2:$K$825)), ROW(90:90))), "")</f>
        <v/>
      </c>
      <c r="Q93" s="29" t="n">
        <f aca="false" t="array" ref="Q93:Q93">IFERROR(INDEX('Bank Schedule'!Q:Q, SMALL(IF('Bank Schedule'!$K$2:$K$825="Vacant", ROW('Bank Schedule'!$K$2:$K$825)), ROW(90:90))), "")</f>
        <v>0</v>
      </c>
      <c r="R93" s="29" t="n">
        <f aca="false" t="array" ref="R93:R93">IFERROR(INDEX('Bank Schedule'!R:R, SMALL(IF('Bank Schedule'!$K$2:$K$825="Vacant", ROW('Bank Schedule'!$K$2:$K$825)), ROW(90:90))), "")</f>
        <v>0</v>
      </c>
      <c r="S93" s="29" t="str">
        <f aca="false">IFERROR(INDEX('Bank Schedule'!S:S, SMALL(IF('Bank Schedule'!$K$2:$K$825="Vacant", ROW('Bank Schedule'!$K$2:$K$825)), ROW(90:90))), "")</f>
        <v/>
      </c>
      <c r="T93" s="309" t="n">
        <f aca="false" t="array" ref="T93:T93">IFERROR(INDEX('Bank Schedule'!T:T, SMALL(IF('Bank Schedule'!$K$2:$K$825="Vacant", ROW('Bank Schedule'!$K$2:$K$825)), ROW(90:90))), "")</f>
        <v>67600</v>
      </c>
      <c r="U93" s="309" t="n">
        <f aca="false" t="array" ref="U93:U93">IFERROR(INDEX('Bank Schedule'!U:U, SMALL(IF('Bank Schedule'!$K$2:$K$825="Vacant", ROW('Bank Schedule'!$K$2:$K$825)), ROW(90:90))), "")</f>
        <v>67600</v>
      </c>
      <c r="V93" s="309" t="n">
        <f aca="false" t="array" ref="V93:V93">IFERROR(INDEX('Bank Schedule'!V:V, SMALL(IF('Bank Schedule'!$K$2:$K$825="Vacant", ROW('Bank Schedule'!$K$2:$K$825)), ROW(90:90))), "")</f>
        <v>68900</v>
      </c>
      <c r="W93" s="309" t="n">
        <f aca="false" t="array" ref="W93:W93">IFERROR(INDEX('Bank Schedule'!W:W, SMALL(IF('Bank Schedule'!$K$2:$K$825="Vacant", ROW('Bank Schedule'!$K$2:$K$825)), ROW(90:90))), "")</f>
        <v>68900</v>
      </c>
      <c r="X93" s="309" t="n">
        <f aca="false" t="array" ref="X93:X93">IFERROR(INDEX('Bank Schedule'!X:X, SMALL(IF('Bank Schedule'!$K$2:$K$825="Vacant", ROW('Bank Schedule'!$K$2:$K$825)), ROW(90:90))), "")</f>
        <v>55.0319488817891</v>
      </c>
      <c r="Y93" s="310" t="n">
        <f aca="false" t="array" ref="Y93:Y93">IFERROR(INDEX('Bank Schedule'!Y:Y, SMALL(IF('Bank Schedule'!$K$2:$K$825="Vacant", ROW('Bank Schedule'!$K$2:$K$825)), ROW(90:90))), "")</f>
        <v>0.0192307692307692</v>
      </c>
      <c r="Z93" s="29" t="str">
        <f aca="false" t="array" ref="Z93:Z93">IFERROR(INDEX('Bank Schedule'!Z:Z, SMALL(IF('Bank Schedule'!$K$2:$K$825="Vacant", ROW('Bank Schedule'!$K$2:$K$825)), ROW(90:90))), "")</f>
        <v>E</v>
      </c>
      <c r="AA93" s="29" t="str">
        <f aca="false">IFERROR(INDEX('Bank Schedule'!AA:AA, SMALL(IF('Bank Schedule'!$K$2:$K$825="Vacant", ROW('Bank Schedule'!$K$2:$K$825)), ROW(90:90))), "")</f>
        <v/>
      </c>
      <c r="AB93" s="29" t="str">
        <f aca="false">IFERROR(INDEX('Bank Schedule'!AB:AB, SMALL(IF('Bank Schedule'!$K$2:$K$825="Vacant", ROW('Bank Schedule'!$K$2:$K$825)), ROW(90:90))), "")</f>
        <v/>
      </c>
      <c r="AC93" s="29" t="str">
        <f aca="false" t="array" ref="AC93:AC93">IFERROR(INDEX('Bank Schedule'!AC:AC, SMALL(IF('Bank Schedule'!$K$2:$K$825="Vacant", ROW('Bank Schedule'!$K$2:$K$825)), ROW(90:90))), "")</f>
        <v>No</v>
      </c>
      <c r="AD93" s="29" t="str">
        <f aca="false" t="array" ref="AD93:AD93">IFERROR(INDEX('Bank Schedule'!AD:AD, SMALL(IF('Bank Schedule'!$K$2:$K$825="Vacant", ROW('Bank Schedule'!$K$2:$K$825)), ROW(90:90))), "")</f>
        <v>To be refurbished.</v>
      </c>
      <c r="AE93" s="281" t="str">
        <f aca="false">IFERROR(INDEX('Bank Schedule'!AE:AE, SMALL(IF('Bank Schedule'!$K$2:$K$825="Vacant", ROW('Bank Schedule'!$K$2:$K$825)), ROW(90:90))), "")</f>
        <v/>
      </c>
      <c r="AF93" s="29" t="str">
        <f aca="false">IFERROR(INDEX('Bank Schedule'!AF:AF, SMALL(IF('Bank Schedule'!$K$2:$K$825="Vacant", ROW('Bank Schedule'!$K$2:$K$825)), ROW(90:90))), "")</f>
        <v/>
      </c>
      <c r="AG93" s="29" t="n">
        <f aca="false" t="array" ref="AG93:AG93">IFERROR(INDEX('Bank Schedule'!AG:AG, SMALL(IF('Bank Schedule'!$K$2:$K$825="Vacant", ROW('Bank Schedule'!$K$2:$K$825)), ROW(90:90))), "")</f>
        <v>2</v>
      </c>
      <c r="AH93" s="29" t="str">
        <f aca="false">IFERROR(INDEX('Bank Schedule'!AH:AH, SMALL(IF('Bank Schedule'!$K$2:$K$825="Vacant", ROW('Bank Schedule'!$K$2:$K$825)), ROW(90:90))), "")</f>
        <v/>
      </c>
      <c r="AI93" s="4"/>
    </row>
    <row r="94" customFormat="false" ht="28.5" hidden="false" customHeight="true" outlineLevel="0" collapsed="false">
      <c r="A94" s="29" t="str">
        <f aca="false">IFERROR(INDEX('Bank Schedule'!A:A, SMALL(IF('Bank Schedule'!$K$2:$K$825="Vacant", ROW('Bank Schedule'!$K$2:$K$825)), ROW(91:91))), "")</f>
        <v/>
      </c>
      <c r="B94" s="29" t="str">
        <f aca="false" t="array" ref="B94:B94">IFERROR(INDEX('Bank Schedule'!B:B, SMALL(IF('Bank Schedule'!$K$2:$K$825="Vacant", ROW('Bank Schedule'!$K$2:$K$825)), ROW(91:91))), "")</f>
        <v>JM</v>
      </c>
      <c r="C94" s="29" t="str">
        <f aca="false" t="array" ref="C94:C94">IFERROR(INDEX('Bank Schedule'!C:C, SMALL(IF('Bank Schedule'!$K$2:$K$825="Vacant", ROW('Bank Schedule'!$K$2:$K$825)), ROW(91:91))), "")</f>
        <v>MEL</v>
      </c>
      <c r="D94" s="29" t="n">
        <f aca="false" t="array" ref="D94:D94">IFERROR(INDEX('Bank Schedule'!D:D, SMALL(IF('Bank Schedule'!$K$2:$K$825="Vacant", ROW('Bank Schedule'!$K$2:$K$825)), ROW(91:91))), "")</f>
        <v>550940</v>
      </c>
      <c r="E94" s="29" t="str">
        <f aca="false" t="array" ref="E94:E94">IFERROR(INDEX('Bank Schedule'!E:E, SMALL(IF('Bank Schedule'!$K$2:$K$825="Vacant", ROW('Bank Schedule'!$K$2:$K$825)), ROW(91:91))), "")</f>
        <v>Radiant House, 34-38 Mortimer Street &amp; 3-4 Bywell Place</v>
      </c>
      <c r="F94" s="29" t="str">
        <f aca="false" t="array" ref="F94:F94">IFERROR(INDEX('Bank Schedule'!F:F, SMALL(IF('Bank Schedule'!$K$2:$K$825="Vacant", ROW('Bank Schedule'!$K$2:$K$825)), ROW(91:91))), "")</f>
        <v>Second, 3-4 Bywell Place</v>
      </c>
      <c r="G94" s="29" t="str">
        <f aca="false" t="array" ref="G94:G94">IFERROR(INDEX('Bank Schedule'!G:G, SMALL(IF('Bank Schedule'!$K$2:$K$825="Vacant", ROW('Bank Schedule'!$K$2:$K$825)), ROW(91:91))), "")</f>
        <v>Office</v>
      </c>
      <c r="H94" s="305" t="n">
        <f aca="false" t="array" ref="H94:H94">IFERROR(INDEX('Bank Schedule'!H:H, SMALL(IF('Bank Schedule'!$K$2:$K$825="Vacant", ROW('Bank Schedule'!$K$2:$K$825)), ROW(91:91))), "")</f>
        <v>781</v>
      </c>
      <c r="I94" s="29" t="n">
        <f aca="false" t="array" ref="I94:I94">IFERROR(INDEX('Bank Schedule'!I:I, SMALL(IF('Bank Schedule'!$K$2:$K$825="Vacant", ROW('Bank Schedule'!$K$2:$K$825)), ROW(91:91))), "")</f>
        <v>781</v>
      </c>
      <c r="J94" s="305" t="n">
        <f aca="false" t="array" ref="J94:J94">IFERROR(INDEX('Bank Schedule'!J:J, SMALL(IF('Bank Schedule'!$K$2:$K$825="Vacant", ROW('Bank Schedule'!$K$2:$K$825)), ROW(91:91))), "")</f>
        <v>750</v>
      </c>
      <c r="K94" s="29" t="str">
        <f aca="false" t="array" ref="K94:K94">IFERROR(INDEX('Bank Schedule'!K:K, SMALL(IF('Bank Schedule'!$K$2:$K$825="Vacant", ROW('Bank Schedule'!$K$2:$K$825)), ROW(91:91))), "")</f>
        <v>Vacant</v>
      </c>
      <c r="L94" s="29" t="str">
        <f aca="false">IFERROR(INDEX('Bank Schedule'!L:L, SMALL(IF('Bank Schedule'!$K$2:$K$825="Vacant", ROW('Bank Schedule'!$K$2:$K$825)), ROW(91:91))), "")</f>
        <v/>
      </c>
      <c r="M94" s="29" t="str">
        <f aca="false">IFERROR(INDEX('Bank Schedule'!M:M, SMALL(IF('Bank Schedule'!$K$2:$K$825="Vacant", ROW('Bank Schedule'!$K$2:$K$825)), ROW(91:91))), "")</f>
        <v/>
      </c>
      <c r="N94" s="307" t="n">
        <f aca="false" t="array" ref="N94:N94">IFERROR(INDEX('Bank Schedule'!N:N, SMALL(IF('Bank Schedule'!$K$2:$K$825="Vacant", ROW('Bank Schedule'!$K$2:$K$825)), ROW(91:91))), "")</f>
        <v>45383</v>
      </c>
      <c r="O94" s="29" t="str">
        <f aca="false">IFERROR(INDEX('Bank Schedule'!O:O, SMALL(IF('Bank Schedule'!$K$2:$K$825="Vacant", ROW('Bank Schedule'!$K$2:$K$825)), ROW(91:91))), "")</f>
        <v/>
      </c>
      <c r="P94" s="29" t="str">
        <f aca="false">IFERROR(INDEX('Bank Schedule'!P:P, SMALL(IF('Bank Schedule'!$K$2:$K$825="Vacant", ROW('Bank Schedule'!$K$2:$K$825)), ROW(91:91))), "")</f>
        <v/>
      </c>
      <c r="Q94" s="29" t="n">
        <f aca="false" t="array" ref="Q94:Q94">IFERROR(INDEX('Bank Schedule'!Q:Q, SMALL(IF('Bank Schedule'!$K$2:$K$825="Vacant", ROW('Bank Schedule'!$K$2:$K$825)), ROW(91:91))), "")</f>
        <v>0</v>
      </c>
      <c r="R94" s="29" t="n">
        <f aca="false" t="array" ref="R94:R94">IFERROR(INDEX('Bank Schedule'!R:R, SMALL(IF('Bank Schedule'!$K$2:$K$825="Vacant", ROW('Bank Schedule'!$K$2:$K$825)), ROW(91:91))), "")</f>
        <v>0</v>
      </c>
      <c r="S94" s="29" t="str">
        <f aca="false">IFERROR(INDEX('Bank Schedule'!S:S, SMALL(IF('Bank Schedule'!$K$2:$K$825="Vacant", ROW('Bank Schedule'!$K$2:$K$825)), ROW(91:91))), "")</f>
        <v/>
      </c>
      <c r="T94" s="309" t="n">
        <f aca="false" t="array" ref="T94:T94">IFERROR(INDEX('Bank Schedule'!T:T, SMALL(IF('Bank Schedule'!$K$2:$K$825="Vacant", ROW('Bank Schedule'!$K$2:$K$825)), ROW(91:91))), "")</f>
        <v>37300</v>
      </c>
      <c r="U94" s="309" t="n">
        <f aca="false" t="array" ref="U94:U94">IFERROR(INDEX('Bank Schedule'!U:U, SMALL(IF('Bank Schedule'!$K$2:$K$825="Vacant", ROW('Bank Schedule'!$K$2:$K$825)), ROW(91:91))), "")</f>
        <v>37300</v>
      </c>
      <c r="V94" s="309" t="n">
        <f aca="false" t="array" ref="V94:V94">IFERROR(INDEX('Bank Schedule'!V:V, SMALL(IF('Bank Schedule'!$K$2:$K$825="Vacant", ROW('Bank Schedule'!$K$2:$K$825)), ROW(91:91))), "")</f>
        <v>33200</v>
      </c>
      <c r="W94" s="309" t="n">
        <f aca="false" t="array" ref="W94:W94">IFERROR(INDEX('Bank Schedule'!W:W, SMALL(IF('Bank Schedule'!$K$2:$K$825="Vacant", ROW('Bank Schedule'!$K$2:$K$825)), ROW(91:91))), "")</f>
        <v>33200</v>
      </c>
      <c r="X94" s="309" t="n">
        <f aca="false" t="array" ref="X94:X94">IFERROR(INDEX('Bank Schedule'!X:X, SMALL(IF('Bank Schedule'!$K$2:$K$825="Vacant", ROW('Bank Schedule'!$K$2:$K$825)), ROW(91:91))), "")</f>
        <v>42.5096030729834</v>
      </c>
      <c r="Y94" s="310" t="n">
        <f aca="false" t="array" ref="Y94:Y94">IFERROR(INDEX('Bank Schedule'!Y:Y, SMALL(IF('Bank Schedule'!$K$2:$K$825="Vacant", ROW('Bank Schedule'!$K$2:$K$825)), ROW(91:91))), "")</f>
        <v>-0.109919571045576</v>
      </c>
      <c r="Z94" s="29" t="str">
        <f aca="false" t="array" ref="Z94:Z94">IFERROR(INDEX('Bank Schedule'!Z:Z, SMALL(IF('Bank Schedule'!$K$2:$K$825="Vacant", ROW('Bank Schedule'!$K$2:$K$825)), ROW(91:91))), "")</f>
        <v>B</v>
      </c>
      <c r="AA94" s="29" t="str">
        <f aca="false" t="array" ref="AA94:AA94">IFERROR(INDEX('Bank Schedule'!AA:AA, SMALL(IF('Bank Schedule'!$K$2:$K$825="Vacant", ROW('Bank Schedule'!$K$2:$K$825)), ROW(91:91))), "")</f>
        <v>*</v>
      </c>
      <c r="AB94" s="29" t="str">
        <f aca="false">IFERROR(INDEX('Bank Schedule'!AB:AB, SMALL(IF('Bank Schedule'!$K$2:$K$825="Vacant", ROW('Bank Schedule'!$K$2:$K$825)), ROW(91:91))), "")</f>
        <v/>
      </c>
      <c r="AC94" s="29" t="str">
        <f aca="false" t="array" ref="AC94:AC94">IFERROR(INDEX('Bank Schedule'!AC:AC, SMALL(IF('Bank Schedule'!$K$2:$K$825="Vacant", ROW('Bank Schedule'!$K$2:$K$825)), ROW(91:91))), "")</f>
        <v>No</v>
      </c>
      <c r="AD94" s="29" t="str">
        <f aca="false" t="array" ref="AD94:AD94">IFERROR(INDEX('Bank Schedule'!AD:AD, SMALL(IF('Bank Schedule'!$K$2:$K$825="Vacant", ROW('Bank Schedule'!$K$2:$K$825)), ROW(91:91))), "")</f>
        <v>LEM marketing.</v>
      </c>
      <c r="AE94" s="281" t="str">
        <f aca="false">IFERROR(INDEX('Bank Schedule'!AE:AE, SMALL(IF('Bank Schedule'!$K$2:$K$825="Vacant", ROW('Bank Schedule'!$K$2:$K$825)), ROW(91:91))), "")</f>
        <v/>
      </c>
      <c r="AF94" s="29" t="str">
        <f aca="false">IFERROR(INDEX('Bank Schedule'!AF:AF, SMALL(IF('Bank Schedule'!$K$2:$K$825="Vacant", ROW('Bank Schedule'!$K$2:$K$825)), ROW(91:91))), "")</f>
        <v/>
      </c>
      <c r="AG94" s="29" t="str">
        <f aca="false">IFERROR(INDEX('Bank Schedule'!AG:AG, SMALL(IF('Bank Schedule'!$K$2:$K$825="Vacant", ROW('Bank Schedule'!$K$2:$K$825)), ROW(91:91))), "")</f>
        <v/>
      </c>
      <c r="AH94" s="29" t="str">
        <f aca="false">IFERROR(INDEX('Bank Schedule'!AH:AH, SMALL(IF('Bank Schedule'!$K$2:$K$825="Vacant", ROW('Bank Schedule'!$K$2:$K$825)), ROW(91:91))), "")</f>
        <v/>
      </c>
      <c r="AI94" s="4"/>
    </row>
    <row r="95" customFormat="false" ht="28.5" hidden="false" customHeight="true" outlineLevel="0" collapsed="false">
      <c r="A95" s="29" t="str">
        <f aca="false">IFERROR(INDEX('Bank Schedule'!A:A, SMALL(IF('Bank Schedule'!$K$2:$K$825="Vacant", ROW('Bank Schedule'!$K$2:$K$825)), ROW(92:92))), "")</f>
        <v/>
      </c>
      <c r="B95" s="29" t="str">
        <f aca="false" t="array" ref="B95:B95">IFERROR(INDEX('Bank Schedule'!B:B, SMALL(IF('Bank Schedule'!$K$2:$K$825="Vacant", ROW('Bank Schedule'!$K$2:$K$825)), ROW(92:92))), "")</f>
        <v>WS</v>
      </c>
      <c r="C95" s="29" t="str">
        <f aca="false" t="array" ref="C95:C95">IFERROR(INDEX('Bank Schedule'!C:C, SMALL(IF('Bank Schedule'!$K$2:$K$825="Vacant", ROW('Bank Schedule'!$K$2:$K$825)), ROW(92:92))), "")</f>
        <v>MEL</v>
      </c>
      <c r="D95" s="29" t="n">
        <f aca="false" t="array" ref="D95:D95">IFERROR(INDEX('Bank Schedule'!D:D, SMALL(IF('Bank Schedule'!$K$2:$K$825="Vacant", ROW('Bank Schedule'!$K$2:$K$825)), ROW(92:92))), "")</f>
        <v>550870</v>
      </c>
      <c r="E95" s="29" t="str">
        <f aca="false" t="array" ref="E95:E95">IFERROR(INDEX('Bank Schedule'!E:E, SMALL(IF('Bank Schedule'!$K$2:$K$825="Vacant", ROW('Bank Schedule'!$K$2:$K$825)), ROW(92:92))), "")</f>
        <v>67 - 81 Mortimer Street</v>
      </c>
      <c r="F95" s="29" t="str">
        <f aca="false" t="array" ref="F95:F95">IFERROR(INDEX('Bank Schedule'!F:F, SMALL(IF('Bank Schedule'!$K$2:$K$825="Vacant", ROW('Bank Schedule'!$K$2:$K$825)), ROW(92:92))), "")</f>
        <v>Second Floor (West)</v>
      </c>
      <c r="G95" s="29" t="str">
        <f aca="false" t="array" ref="G95:G95">IFERROR(INDEX('Bank Schedule'!G:G, SMALL(IF('Bank Schedule'!$K$2:$K$825="Vacant", ROW('Bank Schedule'!$K$2:$K$825)), ROW(92:92))), "")</f>
        <v>Office</v>
      </c>
      <c r="H95" s="305" t="n">
        <f aca="false" t="array" ref="H95:H95">IFERROR(INDEX('Bank Schedule'!H:H, SMALL(IF('Bank Schedule'!$K$2:$K$825="Vacant", ROW('Bank Schedule'!$K$2:$K$825)), ROW(92:92))), "")</f>
        <v>1395</v>
      </c>
      <c r="I95" s="29" t="n">
        <f aca="false" t="array" ref="I95:I95">IFERROR(INDEX('Bank Schedule'!I:I, SMALL(IF('Bank Schedule'!$K$2:$K$825="Vacant", ROW('Bank Schedule'!$K$2:$K$825)), ROW(92:92))), "")</f>
        <v>1395</v>
      </c>
      <c r="J95" s="305" t="n">
        <f aca="false" t="array" ref="J95:J95">IFERROR(INDEX('Bank Schedule'!J:J, SMALL(IF('Bank Schedule'!$K$2:$K$825="Vacant", ROW('Bank Schedule'!$K$2:$K$825)), ROW(92:92))), "")</f>
        <v>1500</v>
      </c>
      <c r="K95" s="29" t="str">
        <f aca="false" t="array" ref="K95:K95">IFERROR(INDEX('Bank Schedule'!K:K, SMALL(IF('Bank Schedule'!$K$2:$K$825="Vacant", ROW('Bank Schedule'!$K$2:$K$825)), ROW(92:92))), "")</f>
        <v>Vacant</v>
      </c>
      <c r="L95" s="29" t="str">
        <f aca="false">IFERROR(INDEX('Bank Schedule'!L:L, SMALL(IF('Bank Schedule'!$K$2:$K$825="Vacant", ROW('Bank Schedule'!$K$2:$K$825)), ROW(92:92))), "")</f>
        <v/>
      </c>
      <c r="M95" s="29" t="str">
        <f aca="false">IFERROR(INDEX('Bank Schedule'!M:M, SMALL(IF('Bank Schedule'!$K$2:$K$825="Vacant", ROW('Bank Schedule'!$K$2:$K$825)), ROW(92:92))), "")</f>
        <v/>
      </c>
      <c r="N95" s="307" t="n">
        <f aca="false" t="array" ref="N95:N95">IFERROR(INDEX('Bank Schedule'!N:N, SMALL(IF('Bank Schedule'!$K$2:$K$825="Vacant", ROW('Bank Schedule'!$K$2:$K$825)), ROW(92:92))), "")</f>
        <v>45837</v>
      </c>
      <c r="O95" s="29" t="str">
        <f aca="false">IFERROR(INDEX('Bank Schedule'!O:O, SMALL(IF('Bank Schedule'!$K$2:$K$825="Vacant", ROW('Bank Schedule'!$K$2:$K$825)), ROW(92:92))), "")</f>
        <v/>
      </c>
      <c r="P95" s="29" t="str">
        <f aca="false">IFERROR(INDEX('Bank Schedule'!P:P, SMALL(IF('Bank Schedule'!$K$2:$K$825="Vacant", ROW('Bank Schedule'!$K$2:$K$825)), ROW(92:92))), "")</f>
        <v/>
      </c>
      <c r="Q95" s="29" t="n">
        <f aca="false" t="array" ref="Q95:Q95">IFERROR(INDEX('Bank Schedule'!Q:Q, SMALL(IF('Bank Schedule'!$K$2:$K$825="Vacant", ROW('Bank Schedule'!$K$2:$K$825)), ROW(92:92))), "")</f>
        <v>0</v>
      </c>
      <c r="R95" s="29" t="n">
        <f aca="false" t="array" ref="R95:R95">IFERROR(INDEX('Bank Schedule'!R:R, SMALL(IF('Bank Schedule'!$K$2:$K$825="Vacant", ROW('Bank Schedule'!$K$2:$K$825)), ROW(92:92))), "")</f>
        <v>0</v>
      </c>
      <c r="S95" s="29" t="str">
        <f aca="false">IFERROR(INDEX('Bank Schedule'!S:S, SMALL(IF('Bank Schedule'!$K$2:$K$825="Vacant", ROW('Bank Schedule'!$K$2:$K$825)), ROW(92:92))), "")</f>
        <v/>
      </c>
      <c r="T95" s="309" t="n">
        <f aca="false" t="array" ref="T95:T95">IFERROR(INDEX('Bank Schedule'!T:T, SMALL(IF('Bank Schedule'!$K$2:$K$825="Vacant", ROW('Bank Schedule'!$K$2:$K$825)), ROW(92:92))), "")</f>
        <v>76700</v>
      </c>
      <c r="U95" s="309" t="n">
        <f aca="false" t="array" ref="U95:U95">IFERROR(INDEX('Bank Schedule'!U:U, SMALL(IF('Bank Schedule'!$K$2:$K$825="Vacant", ROW('Bank Schedule'!$K$2:$K$825)), ROW(92:92))), "")</f>
        <v>76700</v>
      </c>
      <c r="V95" s="309" t="n">
        <f aca="false" t="array" ref="V95:V95">IFERROR(INDEX('Bank Schedule'!V:V, SMALL(IF('Bank Schedule'!$K$2:$K$825="Vacant", ROW('Bank Schedule'!$K$2:$K$825)), ROW(92:92))), "")</f>
        <v>76700</v>
      </c>
      <c r="W95" s="309" t="n">
        <f aca="false" t="array" ref="W95:W95">IFERROR(INDEX('Bank Schedule'!W:W, SMALL(IF('Bank Schedule'!$K$2:$K$825="Vacant", ROW('Bank Schedule'!$K$2:$K$825)), ROW(92:92))), "")</f>
        <v>76700</v>
      </c>
      <c r="X95" s="309" t="n">
        <f aca="false" t="array" ref="X95:X95">IFERROR(INDEX('Bank Schedule'!X:X, SMALL(IF('Bank Schedule'!$K$2:$K$825="Vacant", ROW('Bank Schedule'!$K$2:$K$825)), ROW(92:92))), "")</f>
        <v>54.9820788530466</v>
      </c>
      <c r="Y95" s="310" t="n">
        <f aca="false" t="array" ref="Y95:Y95">IFERROR(INDEX('Bank Schedule'!Y:Y, SMALL(IF('Bank Schedule'!$K$2:$K$825="Vacant", ROW('Bank Schedule'!$K$2:$K$825)), ROW(92:92))), "")</f>
        <v>0</v>
      </c>
      <c r="Z95" s="29" t="str">
        <f aca="false" t="array" ref="Z95:Z95">IFERROR(INDEX('Bank Schedule'!Z:Z, SMALL(IF('Bank Schedule'!$K$2:$K$825="Vacant", ROW('Bank Schedule'!$K$2:$K$825)), ROW(92:92))), "")</f>
        <v>E</v>
      </c>
      <c r="AA95" s="29" t="str">
        <f aca="false">IFERROR(INDEX('Bank Schedule'!AA:AA, SMALL(IF('Bank Schedule'!$K$2:$K$825="Vacant", ROW('Bank Schedule'!$K$2:$K$825)), ROW(92:92))), "")</f>
        <v/>
      </c>
      <c r="AB95" s="29" t="str">
        <f aca="false">IFERROR(INDEX('Bank Schedule'!AB:AB, SMALL(IF('Bank Schedule'!$K$2:$K$825="Vacant", ROW('Bank Schedule'!$K$2:$K$825)), ROW(92:92))), "")</f>
        <v/>
      </c>
      <c r="AC95" s="29" t="str">
        <f aca="false" t="array" ref="AC95:AC95">IFERROR(INDEX('Bank Schedule'!AC:AC, SMALL(IF('Bank Schedule'!$K$2:$K$825="Vacant", ROW('Bank Schedule'!$K$2:$K$825)), ROW(92:92))), "")</f>
        <v>No</v>
      </c>
      <c r="AD95" s="29" t="str">
        <f aca="false" t="array" ref="AD95:AD95">IFERROR(INDEX('Bank Schedule'!AD:AD, SMALL(IF('Bank Schedule'!$K$2:$K$825="Vacant", ROW('Bank Schedule'!$K$2:$K$825)), ROW(92:92))), "")</f>
        <v>Under offer.</v>
      </c>
      <c r="AE95" s="281" t="str">
        <f aca="false">IFERROR(INDEX('Bank Schedule'!AE:AE, SMALL(IF('Bank Schedule'!$K$2:$K$825="Vacant", ROW('Bank Schedule'!$K$2:$K$825)), ROW(92:92))), "")</f>
        <v/>
      </c>
      <c r="AF95" s="29" t="str">
        <f aca="false">IFERROR(INDEX('Bank Schedule'!AF:AF, SMALL(IF('Bank Schedule'!$K$2:$K$825="Vacant", ROW('Bank Schedule'!$K$2:$K$825)), ROW(92:92))), "")</f>
        <v/>
      </c>
      <c r="AG95" s="29" t="str">
        <f aca="false">IFERROR(INDEX('Bank Schedule'!AG:AG, SMALL(IF('Bank Schedule'!$K$2:$K$825="Vacant", ROW('Bank Schedule'!$K$2:$K$825)), ROW(92:92))), "")</f>
        <v/>
      </c>
      <c r="AH95" s="29" t="str">
        <f aca="false">IFERROR(INDEX('Bank Schedule'!AH:AH, SMALL(IF('Bank Schedule'!$K$2:$K$825="Vacant", ROW('Bank Schedule'!$K$2:$K$825)), ROW(92:92))), "")</f>
        <v/>
      </c>
      <c r="AI95" s="4"/>
    </row>
    <row r="96" customFormat="false" ht="28.5" hidden="false" customHeight="true" outlineLevel="0" collapsed="false">
      <c r="A96" s="29" t="str">
        <f aca="false">IFERROR(INDEX('Bank Schedule'!A:A, SMALL(IF('Bank Schedule'!$K$2:$K$825="Vacant", ROW('Bank Schedule'!$K$2:$K$825)), ROW(93:93))), "")</f>
        <v/>
      </c>
      <c r="B96" s="29" t="str">
        <f aca="false" t="array" ref="B96:B96">IFERROR(INDEX('Bank Schedule'!B:B, SMALL(IF('Bank Schedule'!$K$2:$K$825="Vacant", ROW('Bank Schedule'!$K$2:$K$825)), ROW(93:93))), "")</f>
        <v>WS</v>
      </c>
      <c r="C96" s="29" t="str">
        <f aca="false" t="array" ref="C96:C96">IFERROR(INDEX('Bank Schedule'!C:C, SMALL(IF('Bank Schedule'!$K$2:$K$825="Vacant", ROW('Bank Schedule'!$K$2:$K$825)), ROW(93:93))), "")</f>
        <v>MEL</v>
      </c>
      <c r="D96" s="29" t="n">
        <f aca="false" t="array" ref="D96:D96">IFERROR(INDEX('Bank Schedule'!D:D, SMALL(IF('Bank Schedule'!$K$2:$K$825="Vacant", ROW('Bank Schedule'!$K$2:$K$825)), ROW(93:93))), "")</f>
        <v>550870</v>
      </c>
      <c r="E96" s="29" t="str">
        <f aca="false" t="array" ref="E96:E96">IFERROR(INDEX('Bank Schedule'!E:E, SMALL(IF('Bank Schedule'!$K$2:$K$825="Vacant", ROW('Bank Schedule'!$K$2:$K$825)), ROW(93:93))), "")</f>
        <v>67 - 81 Mortimer Street</v>
      </c>
      <c r="F96" s="29" t="str">
        <f aca="false" t="array" ref="F96:F96">IFERROR(INDEX('Bank Schedule'!F:F, SMALL(IF('Bank Schedule'!$K$2:$K$825="Vacant", ROW('Bank Schedule'!$K$2:$K$825)), ROW(93:93))), "")</f>
        <v>Third Floor (East)</v>
      </c>
      <c r="G96" s="29" t="str">
        <f aca="false" t="array" ref="G96:G96">IFERROR(INDEX('Bank Schedule'!G:G, SMALL(IF('Bank Schedule'!$K$2:$K$825="Vacant", ROW('Bank Schedule'!$K$2:$K$825)), ROW(93:93))), "")</f>
        <v>Office</v>
      </c>
      <c r="H96" s="305" t="n">
        <f aca="false" t="array" ref="H96:H96">IFERROR(INDEX('Bank Schedule'!H:H, SMALL(IF('Bank Schedule'!$K$2:$K$825="Vacant", ROW('Bank Schedule'!$K$2:$K$825)), ROW(93:93))), "")</f>
        <v>1371</v>
      </c>
      <c r="I96" s="29" t="n">
        <f aca="false" t="array" ref="I96:I96">IFERROR(INDEX('Bank Schedule'!I:I, SMALL(IF('Bank Schedule'!$K$2:$K$825="Vacant", ROW('Bank Schedule'!$K$2:$K$825)), ROW(93:93))), "")</f>
        <v>1371</v>
      </c>
      <c r="J96" s="305" t="n">
        <f aca="false" t="array" ref="J96:J96">IFERROR(INDEX('Bank Schedule'!J:J, SMALL(IF('Bank Schedule'!$K$2:$K$825="Vacant", ROW('Bank Schedule'!$K$2:$K$825)), ROW(93:93))), "")</f>
        <v>1250</v>
      </c>
      <c r="K96" s="29" t="str">
        <f aca="false" t="array" ref="K96:K96">IFERROR(INDEX('Bank Schedule'!K:K, SMALL(IF('Bank Schedule'!$K$2:$K$825="Vacant", ROW('Bank Schedule'!$K$2:$K$825)), ROW(93:93))), "")</f>
        <v>Vacant</v>
      </c>
      <c r="L96" s="29" t="str">
        <f aca="false">IFERROR(INDEX('Bank Schedule'!L:L, SMALL(IF('Bank Schedule'!$K$2:$K$825="Vacant", ROW('Bank Schedule'!$K$2:$K$825)), ROW(93:93))), "")</f>
        <v/>
      </c>
      <c r="M96" s="29" t="str">
        <f aca="false">IFERROR(INDEX('Bank Schedule'!M:M, SMALL(IF('Bank Schedule'!$K$2:$K$825="Vacant", ROW('Bank Schedule'!$K$2:$K$825)), ROW(93:93))), "")</f>
        <v/>
      </c>
      <c r="N96" s="307" t="n">
        <f aca="false" t="array" ref="N96:N96">IFERROR(INDEX('Bank Schedule'!N:N, SMALL(IF('Bank Schedule'!$K$2:$K$825="Vacant", ROW('Bank Schedule'!$K$2:$K$825)), ROW(93:93))), "")</f>
        <v>44647</v>
      </c>
      <c r="O96" s="29" t="str">
        <f aca="false">IFERROR(INDEX('Bank Schedule'!O:O, SMALL(IF('Bank Schedule'!$K$2:$K$825="Vacant", ROW('Bank Schedule'!$K$2:$K$825)), ROW(93:93))), "")</f>
        <v/>
      </c>
      <c r="P96" s="29" t="str">
        <f aca="false">IFERROR(INDEX('Bank Schedule'!P:P, SMALL(IF('Bank Schedule'!$K$2:$K$825="Vacant", ROW('Bank Schedule'!$K$2:$K$825)), ROW(93:93))), "")</f>
        <v/>
      </c>
      <c r="Q96" s="29" t="n">
        <f aca="false" t="array" ref="Q96:Q96">IFERROR(INDEX('Bank Schedule'!Q:Q, SMALL(IF('Bank Schedule'!$K$2:$K$825="Vacant", ROW('Bank Schedule'!$K$2:$K$825)), ROW(93:93))), "")</f>
        <v>0</v>
      </c>
      <c r="R96" s="29" t="n">
        <f aca="false" t="array" ref="R96:R96">IFERROR(INDEX('Bank Schedule'!R:R, SMALL(IF('Bank Schedule'!$K$2:$K$825="Vacant", ROW('Bank Schedule'!$K$2:$K$825)), ROW(93:93))), "")</f>
        <v>0</v>
      </c>
      <c r="S96" s="29" t="str">
        <f aca="false">IFERROR(INDEX('Bank Schedule'!S:S, SMALL(IF('Bank Schedule'!$K$2:$K$825="Vacant", ROW('Bank Schedule'!$K$2:$K$825)), ROW(93:93))), "")</f>
        <v/>
      </c>
      <c r="T96" s="309" t="n">
        <f aca="false" t="array" ref="T96:T96">IFERROR(INDEX('Bank Schedule'!T:T, SMALL(IF('Bank Schedule'!$K$2:$K$825="Vacant", ROW('Bank Schedule'!$K$2:$K$825)), ROW(93:93))), "")</f>
        <v>75400</v>
      </c>
      <c r="U96" s="309" t="n">
        <f aca="false" t="array" ref="U96:U96">IFERROR(INDEX('Bank Schedule'!U:U, SMALL(IF('Bank Schedule'!$K$2:$K$825="Vacant", ROW('Bank Schedule'!$K$2:$K$825)), ROW(93:93))), "")</f>
        <v>75400</v>
      </c>
      <c r="V96" s="309" t="n">
        <f aca="false" t="array" ref="V96:V96">IFERROR(INDEX('Bank Schedule'!V:V, SMALL(IF('Bank Schedule'!$K$2:$K$825="Vacant", ROW('Bank Schedule'!$K$2:$K$825)), ROW(93:93))), "")</f>
        <v>75400</v>
      </c>
      <c r="W96" s="309" t="n">
        <f aca="false" t="array" ref="W96:W96">IFERROR(INDEX('Bank Schedule'!W:W, SMALL(IF('Bank Schedule'!$K$2:$K$825="Vacant", ROW('Bank Schedule'!$K$2:$K$825)), ROW(93:93))), "")</f>
        <v>75400</v>
      </c>
      <c r="X96" s="309" t="n">
        <f aca="false" t="array" ref="X96:X96">IFERROR(INDEX('Bank Schedule'!X:X, SMALL(IF('Bank Schedule'!$K$2:$K$825="Vacant", ROW('Bank Schedule'!$K$2:$K$825)), ROW(93:93))), "")</f>
        <v>54.9963530269876</v>
      </c>
      <c r="Y96" s="310" t="n">
        <f aca="false" t="array" ref="Y96:Y96">IFERROR(INDEX('Bank Schedule'!Y:Y, SMALL(IF('Bank Schedule'!$K$2:$K$825="Vacant", ROW('Bank Schedule'!$K$2:$K$825)), ROW(93:93))), "")</f>
        <v>0</v>
      </c>
      <c r="Z96" s="29" t="str">
        <f aca="false" t="array" ref="Z96:Z96">IFERROR(INDEX('Bank Schedule'!Z:Z, SMALL(IF('Bank Schedule'!$K$2:$K$825="Vacant", ROW('Bank Schedule'!$K$2:$K$825)), ROW(93:93))), "")</f>
        <v>B</v>
      </c>
      <c r="AA96" s="29" t="str">
        <f aca="false">IFERROR(INDEX('Bank Schedule'!AA:AA, SMALL(IF('Bank Schedule'!$K$2:$K$825="Vacant", ROW('Bank Schedule'!$K$2:$K$825)), ROW(93:93))), "")</f>
        <v/>
      </c>
      <c r="AB96" s="29" t="str">
        <f aca="false">IFERROR(INDEX('Bank Schedule'!AB:AB, SMALL(IF('Bank Schedule'!$K$2:$K$825="Vacant", ROW('Bank Schedule'!$K$2:$K$825)), ROW(93:93))), "")</f>
        <v/>
      </c>
      <c r="AC96" s="29" t="str">
        <f aca="false" t="array" ref="AC96:AC96">IFERROR(INDEX('Bank Schedule'!AC:AC, SMALL(IF('Bank Schedule'!$K$2:$K$825="Vacant", ROW('Bank Schedule'!$K$2:$K$825)), ROW(93:93))), "")</f>
        <v>No</v>
      </c>
      <c r="AD96" s="29" t="str">
        <f aca="false" t="array" ref="AD96:AD96">IFERROR(INDEX('Bank Schedule'!AD:AD, SMALL(IF('Bank Schedule'!$K$2:$K$825="Vacant", ROW('Bank Schedule'!$K$2:$K$825)), ROW(93:93))), "")</f>
        <v>Under offer</v>
      </c>
      <c r="AE96" s="281" t="n">
        <f aca="false" t="array" ref="AE96:AE96">IFERROR(INDEX('Bank Schedule'!AE:AE, SMALL(IF('Bank Schedule'!$K$2:$K$825="Vacant", ROW('Bank Schedule'!$K$2:$K$825)), ROW(93:93))), "")</f>
        <v>62</v>
      </c>
      <c r="AF96" s="29" t="str">
        <f aca="false">IFERROR(INDEX('Bank Schedule'!AF:AF, SMALL(IF('Bank Schedule'!$K$2:$K$825="Vacant", ROW('Bank Schedule'!$K$2:$K$825)), ROW(93:93))), "")</f>
        <v/>
      </c>
      <c r="AG96" s="29" t="n">
        <f aca="false" t="array" ref="AG96:AG96">IFERROR(INDEX('Bank Schedule'!AG:AG, SMALL(IF('Bank Schedule'!$K$2:$K$825="Vacant", ROW('Bank Schedule'!$K$2:$K$825)), ROW(93:93))), "")</f>
        <v>2</v>
      </c>
      <c r="AH96" s="29" t="str">
        <f aca="false">IFERROR(INDEX('Bank Schedule'!AH:AH, SMALL(IF('Bank Schedule'!$K$2:$K$825="Vacant", ROW('Bank Schedule'!$K$2:$K$825)), ROW(93:93))), "")</f>
        <v/>
      </c>
      <c r="AI96" s="4"/>
    </row>
    <row r="97" customFormat="false" ht="28.5" hidden="false" customHeight="true" outlineLevel="0" collapsed="false">
      <c r="A97" s="29" t="str">
        <f aca="false">IFERROR(INDEX('Bank Schedule'!A:A, SMALL(IF('Bank Schedule'!$K$2:$K$825="Vacant", ROW('Bank Schedule'!$K$2:$K$825)), ROW(94:94))), "")</f>
        <v/>
      </c>
      <c r="B97" s="29" t="str">
        <f aca="false" t="array" ref="B97:B97">IFERROR(INDEX('Bank Schedule'!B:B, SMALL(IF('Bank Schedule'!$K$2:$K$825="Vacant", ROW('Bank Schedule'!$K$2:$K$825)), ROW(94:94))), "")</f>
        <v>WS</v>
      </c>
      <c r="C97" s="29" t="str">
        <f aca="false" t="array" ref="C97:C97">IFERROR(INDEX('Bank Schedule'!C:C, SMALL(IF('Bank Schedule'!$K$2:$K$825="Vacant", ROW('Bank Schedule'!$K$2:$K$825)), ROW(94:94))), "")</f>
        <v>MEL</v>
      </c>
      <c r="D97" s="29" t="n">
        <f aca="false" t="array" ref="D97:D97">IFERROR(INDEX('Bank Schedule'!D:D, SMALL(IF('Bank Schedule'!$K$2:$K$825="Vacant", ROW('Bank Schedule'!$K$2:$K$825)), ROW(94:94))), "")</f>
        <v>550870</v>
      </c>
      <c r="E97" s="29" t="str">
        <f aca="false" t="array" ref="E97:E97">IFERROR(INDEX('Bank Schedule'!E:E, SMALL(IF('Bank Schedule'!$K$2:$K$825="Vacant", ROW('Bank Schedule'!$K$2:$K$825)), ROW(94:94))), "")</f>
        <v>67 - 81 Mortimer Street</v>
      </c>
      <c r="F97" s="29" t="str">
        <f aca="false" t="array" ref="F97:F97">IFERROR(INDEX('Bank Schedule'!F:F, SMALL(IF('Bank Schedule'!$K$2:$K$825="Vacant", ROW('Bank Schedule'!$K$2:$K$825)), ROW(94:94))), "")</f>
        <v>Third Floor (West)</v>
      </c>
      <c r="G97" s="29" t="str">
        <f aca="false" t="array" ref="G97:G97">IFERROR(INDEX('Bank Schedule'!G:G, SMALL(IF('Bank Schedule'!$K$2:$K$825="Vacant", ROW('Bank Schedule'!$K$2:$K$825)), ROW(94:94))), "")</f>
        <v>Office</v>
      </c>
      <c r="H97" s="305" t="n">
        <f aca="false" t="array" ref="H97:H97">IFERROR(INDEX('Bank Schedule'!H:H, SMALL(IF('Bank Schedule'!$K$2:$K$825="Vacant", ROW('Bank Schedule'!$K$2:$K$825)), ROW(94:94))), "")</f>
        <v>1204</v>
      </c>
      <c r="I97" s="29" t="n">
        <f aca="false" t="array" ref="I97:I97">IFERROR(INDEX('Bank Schedule'!I:I, SMALL(IF('Bank Schedule'!$K$2:$K$825="Vacant", ROW('Bank Schedule'!$K$2:$K$825)), ROW(94:94))), "")</f>
        <v>1204</v>
      </c>
      <c r="J97" s="305" t="n">
        <f aca="false" t="array" ref="J97:J97">IFERROR(INDEX('Bank Schedule'!J:J, SMALL(IF('Bank Schedule'!$K$2:$K$825="Vacant", ROW('Bank Schedule'!$K$2:$K$825)), ROW(94:94))), "")</f>
        <v>1250</v>
      </c>
      <c r="K97" s="29" t="str">
        <f aca="false" t="array" ref="K97:K97">IFERROR(INDEX('Bank Schedule'!K:K, SMALL(IF('Bank Schedule'!$K$2:$K$825="Vacant", ROW('Bank Schedule'!$K$2:$K$825)), ROW(94:94))), "")</f>
        <v>Vacant</v>
      </c>
      <c r="L97" s="29" t="str">
        <f aca="false">IFERROR(INDEX('Bank Schedule'!L:L, SMALL(IF('Bank Schedule'!$K$2:$K$825="Vacant", ROW('Bank Schedule'!$K$2:$K$825)), ROW(94:94))), "")</f>
        <v/>
      </c>
      <c r="M97" s="29" t="str">
        <f aca="false">IFERROR(INDEX('Bank Schedule'!M:M, SMALL(IF('Bank Schedule'!$K$2:$K$825="Vacant", ROW('Bank Schedule'!$K$2:$K$825)), ROW(94:94))), "")</f>
        <v/>
      </c>
      <c r="N97" s="307" t="n">
        <f aca="false" t="array" ref="N97:N97">IFERROR(INDEX('Bank Schedule'!N:N, SMALL(IF('Bank Schedule'!$K$2:$K$825="Vacant", ROW('Bank Schedule'!$K$2:$K$825)), ROW(94:94))), "")</f>
        <v>42983</v>
      </c>
      <c r="O97" s="29" t="str">
        <f aca="false">IFERROR(INDEX('Bank Schedule'!O:O, SMALL(IF('Bank Schedule'!$K$2:$K$825="Vacant", ROW('Bank Schedule'!$K$2:$K$825)), ROW(94:94))), "")</f>
        <v/>
      </c>
      <c r="P97" s="29" t="str">
        <f aca="false">IFERROR(INDEX('Bank Schedule'!P:P, SMALL(IF('Bank Schedule'!$K$2:$K$825="Vacant", ROW('Bank Schedule'!$K$2:$K$825)), ROW(94:94))), "")</f>
        <v/>
      </c>
      <c r="Q97" s="29" t="n">
        <f aca="false" t="array" ref="Q97:Q97">IFERROR(INDEX('Bank Schedule'!Q:Q, SMALL(IF('Bank Schedule'!$K$2:$K$825="Vacant", ROW('Bank Schedule'!$K$2:$K$825)), ROW(94:94))), "")</f>
        <v>0</v>
      </c>
      <c r="R97" s="29" t="n">
        <f aca="false" t="array" ref="R97:R97">IFERROR(INDEX('Bank Schedule'!R:R, SMALL(IF('Bank Schedule'!$K$2:$K$825="Vacant", ROW('Bank Schedule'!$K$2:$K$825)), ROW(94:94))), "")</f>
        <v>0</v>
      </c>
      <c r="S97" s="29" t="str">
        <f aca="false">IFERROR(INDEX('Bank Schedule'!S:S, SMALL(IF('Bank Schedule'!$K$2:$K$825="Vacant", ROW('Bank Schedule'!$K$2:$K$825)), ROW(94:94))), "")</f>
        <v/>
      </c>
      <c r="T97" s="309" t="n">
        <f aca="false" t="array" ref="T97:T97">IFERROR(INDEX('Bank Schedule'!T:T, SMALL(IF('Bank Schedule'!$K$2:$K$825="Vacant", ROW('Bank Schedule'!$K$2:$K$825)), ROW(94:94))), "")</f>
        <v>66200</v>
      </c>
      <c r="U97" s="309" t="n">
        <f aca="false" t="array" ref="U97:U97">IFERROR(INDEX('Bank Schedule'!U:U, SMALL(IF('Bank Schedule'!$K$2:$K$825="Vacant", ROW('Bank Schedule'!$K$2:$K$825)), ROW(94:94))), "")</f>
        <v>66200</v>
      </c>
      <c r="V97" s="309" t="n">
        <f aca="false" t="array" ref="V97:V97">IFERROR(INDEX('Bank Schedule'!V:V, SMALL(IF('Bank Schedule'!$K$2:$K$825="Vacant", ROW('Bank Schedule'!$K$2:$K$825)), ROW(94:94))), "")</f>
        <v>66200</v>
      </c>
      <c r="W97" s="309" t="n">
        <f aca="false" t="array" ref="W97:W97">IFERROR(INDEX('Bank Schedule'!W:W, SMALL(IF('Bank Schedule'!$K$2:$K$825="Vacant", ROW('Bank Schedule'!$K$2:$K$825)), ROW(94:94))), "")</f>
        <v>66200</v>
      </c>
      <c r="X97" s="309" t="n">
        <f aca="false" t="array" ref="X97:X97">IFERROR(INDEX('Bank Schedule'!X:X, SMALL(IF('Bank Schedule'!$K$2:$K$825="Vacant", ROW('Bank Schedule'!$K$2:$K$825)), ROW(94:94))), "")</f>
        <v>54.9833887043189</v>
      </c>
      <c r="Y97" s="310" t="n">
        <f aca="false" t="array" ref="Y97:Y97">IFERROR(INDEX('Bank Schedule'!Y:Y, SMALL(IF('Bank Schedule'!$K$2:$K$825="Vacant", ROW('Bank Schedule'!$K$2:$K$825)), ROW(94:94))), "")</f>
        <v>0</v>
      </c>
      <c r="Z97" s="29" t="str">
        <f aca="false" t="array" ref="Z97:Z97">IFERROR(INDEX('Bank Schedule'!Z:Z, SMALL(IF('Bank Schedule'!$K$2:$K$825="Vacant", ROW('Bank Schedule'!$K$2:$K$825)), ROW(94:94))), "")</f>
        <v>B</v>
      </c>
      <c r="AA97" s="29" t="str">
        <f aca="false">IFERROR(INDEX('Bank Schedule'!AA:AA, SMALL(IF('Bank Schedule'!$K$2:$K$825="Vacant", ROW('Bank Schedule'!$K$2:$K$825)), ROW(94:94))), "")</f>
        <v/>
      </c>
      <c r="AB97" s="29" t="str">
        <f aca="false">IFERROR(INDEX('Bank Schedule'!AB:AB, SMALL(IF('Bank Schedule'!$K$2:$K$825="Vacant", ROW('Bank Schedule'!$K$2:$K$825)), ROW(94:94))), "")</f>
        <v/>
      </c>
      <c r="AC97" s="29" t="str">
        <f aca="false" t="array" ref="AC97:AC97">IFERROR(INDEX('Bank Schedule'!AC:AC, SMALL(IF('Bank Schedule'!$K$2:$K$825="Vacant", ROW('Bank Schedule'!$K$2:$K$825)), ROW(94:94))), "")</f>
        <v>No</v>
      </c>
      <c r="AD97" s="29" t="str">
        <f aca="false" t="array" ref="AD97:AD97">IFERROR(INDEX('Bank Schedule'!AD:AD, SMALL(IF('Bank Schedule'!$K$2:$K$825="Vacant", ROW('Bank Schedule'!$K$2:$K$825)), ROW(94:94))), "")</f>
        <v>Under offer</v>
      </c>
      <c r="AE97" s="281" t="n">
        <f aca="false" t="array" ref="AE97:AE97">IFERROR(INDEX('Bank Schedule'!AE:AE, SMALL(IF('Bank Schedule'!$K$2:$K$825="Vacant", ROW('Bank Schedule'!$K$2:$K$825)), ROW(94:94))), "")</f>
        <v>62</v>
      </c>
      <c r="AF97" s="29" t="str">
        <f aca="false">IFERROR(INDEX('Bank Schedule'!AF:AF, SMALL(IF('Bank Schedule'!$K$2:$K$825="Vacant", ROW('Bank Schedule'!$K$2:$K$825)), ROW(94:94))), "")</f>
        <v/>
      </c>
      <c r="AG97" s="29" t="n">
        <f aca="false" t="array" ref="AG97:AG97">IFERROR(INDEX('Bank Schedule'!AG:AG, SMALL(IF('Bank Schedule'!$K$2:$K$825="Vacant", ROW('Bank Schedule'!$K$2:$K$825)), ROW(94:94))), "")</f>
        <v>2</v>
      </c>
      <c r="AH97" s="29" t="str">
        <f aca="false">IFERROR(INDEX('Bank Schedule'!AH:AH, SMALL(IF('Bank Schedule'!$K$2:$K$825="Vacant", ROW('Bank Schedule'!$K$2:$K$825)), ROW(94:94))), "")</f>
        <v/>
      </c>
      <c r="AI97" s="4"/>
    </row>
    <row r="98" customFormat="false" ht="28.5" hidden="false" customHeight="true" outlineLevel="0" collapsed="false">
      <c r="A98" s="29" t="str">
        <f aca="false">IFERROR(INDEX('Bank Schedule'!A:A, SMALL(IF('Bank Schedule'!$K$2:$K$825="Vacant", ROW('Bank Schedule'!$K$2:$K$825)), ROW(95:95))), "")</f>
        <v/>
      </c>
      <c r="B98" s="29" t="str">
        <f aca="false" t="array" ref="B98:B98">IFERROR(INDEX('Bank Schedule'!B:B, SMALL(IF('Bank Schedule'!$K$2:$K$825="Vacant", ROW('Bank Schedule'!$K$2:$K$825)), ROW(95:95))), "")</f>
        <v>JM</v>
      </c>
      <c r="C98" s="29" t="str">
        <f aca="false" t="array" ref="C98:C98">IFERROR(INDEX('Bank Schedule'!C:C, SMALL(IF('Bank Schedule'!$K$2:$K$825="Vacant", ROW('Bank Schedule'!$K$2:$K$825)), ROW(95:95))), "")</f>
        <v>MEL</v>
      </c>
      <c r="D98" s="29" t="n">
        <f aca="false" t="array" ref="D98:D98">IFERROR(INDEX('Bank Schedule'!D:D, SMALL(IF('Bank Schedule'!$K$2:$K$825="Vacant", ROW('Bank Schedule'!$K$2:$K$825)), ROW(95:95))), "")</f>
        <v>100670</v>
      </c>
      <c r="E98" s="29" t="str">
        <f aca="false" t="array" ref="E98:E98">IFERROR(INDEX('Bank Schedule'!E:E, SMALL(IF('Bank Schedule'!$K$2:$K$825="Vacant", ROW('Bank Schedule'!$K$2:$K$825)), ROW(95:95))), "")</f>
        <v>146/148 Oxford Street</v>
      </c>
      <c r="F98" s="29" t="str">
        <f aca="false" t="array" ref="F98:F98">IFERROR(INDEX('Bank Schedule'!F:F, SMALL(IF('Bank Schedule'!$K$2:$K$825="Vacant", ROW('Bank Schedule'!$K$2:$K$825)), ROW(95:95))), "")</f>
        <v>First to Fourth Floors</v>
      </c>
      <c r="G98" s="29" t="str">
        <f aca="false" t="array" ref="G98:G98">IFERROR(INDEX('Bank Schedule'!G:G, SMALL(IF('Bank Schedule'!$K$2:$K$825="Vacant", ROW('Bank Schedule'!$K$2:$K$825)), ROW(95:95))), "")</f>
        <v>Educational</v>
      </c>
      <c r="H98" s="305" t="n">
        <f aca="false" t="array" ref="H98:H98">IFERROR(INDEX('Bank Schedule'!H:H, SMALL(IF('Bank Schedule'!$K$2:$K$825="Vacant", ROW('Bank Schedule'!$K$2:$K$825)), ROW(95:95))), "")</f>
        <v>2964</v>
      </c>
      <c r="I98" s="29" t="n">
        <f aca="false" t="array" ref="I98:I98">IFERROR(INDEX('Bank Schedule'!I:I, SMALL(IF('Bank Schedule'!$K$2:$K$825="Vacant", ROW('Bank Schedule'!$K$2:$K$825)), ROW(95:95))), "")</f>
        <v>2964</v>
      </c>
      <c r="J98" s="305" t="n">
        <f aca="false" t="array" ref="J98:J98">IFERROR(INDEX('Bank Schedule'!J:J, SMALL(IF('Bank Schedule'!$K$2:$K$825="Vacant", ROW('Bank Schedule'!$K$2:$K$825)), ROW(95:95))), "")</f>
        <v>3000</v>
      </c>
      <c r="K98" s="29" t="str">
        <f aca="false" t="array" ref="K98:K98">IFERROR(INDEX('Bank Schedule'!K:K, SMALL(IF('Bank Schedule'!$K$2:$K$825="Vacant", ROW('Bank Schedule'!$K$2:$K$825)), ROW(95:95))), "")</f>
        <v>Vacant</v>
      </c>
      <c r="L98" s="29" t="str">
        <f aca="false">IFERROR(INDEX('Bank Schedule'!L:L, SMALL(IF('Bank Schedule'!$K$2:$K$825="Vacant", ROW('Bank Schedule'!$K$2:$K$825)), ROW(95:95))), "")</f>
        <v/>
      </c>
      <c r="M98" s="29" t="str">
        <f aca="false">IFERROR(INDEX('Bank Schedule'!M:M, SMALL(IF('Bank Schedule'!$K$2:$K$825="Vacant", ROW('Bank Schedule'!$K$2:$K$825)), ROW(95:95))), "")</f>
        <v/>
      </c>
      <c r="N98" s="307" t="n">
        <f aca="false" t="array" ref="N98:N98">IFERROR(INDEX('Bank Schedule'!N:N, SMALL(IF('Bank Schedule'!$K$2:$K$825="Vacant", ROW('Bank Schedule'!$K$2:$K$825)), ROW(95:95))), "")</f>
        <v>42593</v>
      </c>
      <c r="O98" s="29" t="str">
        <f aca="false">IFERROR(INDEX('Bank Schedule'!O:O, SMALL(IF('Bank Schedule'!$K$2:$K$825="Vacant", ROW('Bank Schedule'!$K$2:$K$825)), ROW(95:95))), "")</f>
        <v/>
      </c>
      <c r="P98" s="29" t="str">
        <f aca="false">IFERROR(INDEX('Bank Schedule'!P:P, SMALL(IF('Bank Schedule'!$K$2:$K$825="Vacant", ROW('Bank Schedule'!$K$2:$K$825)), ROW(95:95))), "")</f>
        <v/>
      </c>
      <c r="Q98" s="29" t="n">
        <f aca="false" t="array" ref="Q98:Q98">IFERROR(INDEX('Bank Schedule'!Q:Q, SMALL(IF('Bank Schedule'!$K$2:$K$825="Vacant", ROW('Bank Schedule'!$K$2:$K$825)), ROW(95:95))), "")</f>
        <v>0</v>
      </c>
      <c r="R98" s="29" t="n">
        <f aca="false" t="array" ref="R98:R98">IFERROR(INDEX('Bank Schedule'!R:R, SMALL(IF('Bank Schedule'!$K$2:$K$825="Vacant", ROW('Bank Schedule'!$K$2:$K$825)), ROW(95:95))), "")</f>
        <v>0</v>
      </c>
      <c r="S98" s="29" t="str">
        <f aca="false">IFERROR(INDEX('Bank Schedule'!S:S, SMALL(IF('Bank Schedule'!$K$2:$K$825="Vacant", ROW('Bank Schedule'!$K$2:$K$825)), ROW(95:95))), "")</f>
        <v/>
      </c>
      <c r="T98" s="309" t="n">
        <f aca="false" t="array" ref="T98:T98">IFERROR(INDEX('Bank Schedule'!T:T, SMALL(IF('Bank Schedule'!$K$2:$K$825="Vacant", ROW('Bank Schedule'!$K$2:$K$825)), ROW(95:95))), "")</f>
        <v>115000</v>
      </c>
      <c r="U98" s="309" t="n">
        <f aca="false" t="array" ref="U98:U98">IFERROR(INDEX('Bank Schedule'!U:U, SMALL(IF('Bank Schedule'!$K$2:$K$825="Vacant", ROW('Bank Schedule'!$K$2:$K$825)), ROW(95:95))), "")</f>
        <v>115000</v>
      </c>
      <c r="V98" s="309" t="n">
        <f aca="false" t="array" ref="V98:V98">IFERROR(INDEX('Bank Schedule'!V:V, SMALL(IF('Bank Schedule'!$K$2:$K$825="Vacant", ROW('Bank Schedule'!$K$2:$K$825)), ROW(95:95))), "")</f>
        <v>115000</v>
      </c>
      <c r="W98" s="309" t="n">
        <f aca="false" t="array" ref="W98:W98">IFERROR(INDEX('Bank Schedule'!W:W, SMALL(IF('Bank Schedule'!$K$2:$K$825="Vacant", ROW('Bank Schedule'!$K$2:$K$825)), ROW(95:95))), "")</f>
        <v>115000</v>
      </c>
      <c r="X98" s="309" t="n">
        <f aca="false" t="array" ref="X98:X98">IFERROR(INDEX('Bank Schedule'!X:X, SMALL(IF('Bank Schedule'!$K$2:$K$825="Vacant", ROW('Bank Schedule'!$K$2:$K$825)), ROW(95:95))), "")</f>
        <v>38.7989203778677</v>
      </c>
      <c r="Y98" s="310" t="n">
        <f aca="false" t="array" ref="Y98:Y98">IFERROR(INDEX('Bank Schedule'!Y:Y, SMALL(IF('Bank Schedule'!$K$2:$K$825="Vacant", ROW('Bank Schedule'!$K$2:$K$825)), ROW(95:95))), "")</f>
        <v>0</v>
      </c>
      <c r="Z98" s="29" t="str">
        <f aca="false" t="array" ref="Z98:Z98">IFERROR(INDEX('Bank Schedule'!Z:Z, SMALL(IF('Bank Schedule'!$K$2:$K$825="Vacant", ROW('Bank Schedule'!$K$2:$K$825)), ROW(95:95))), "")</f>
        <v>E</v>
      </c>
      <c r="AA98" s="29" t="str">
        <f aca="false">IFERROR(INDEX('Bank Schedule'!AA:AA, SMALL(IF('Bank Schedule'!$K$2:$K$825="Vacant", ROW('Bank Schedule'!$K$2:$K$825)), ROW(95:95))), "")</f>
        <v/>
      </c>
      <c r="AB98" s="29" t="str">
        <f aca="false">IFERROR(INDEX('Bank Schedule'!AB:AB, SMALL(IF('Bank Schedule'!$K$2:$K$825="Vacant", ROW('Bank Schedule'!$K$2:$K$825)), ROW(95:95))), "")</f>
        <v/>
      </c>
      <c r="AC98" s="29" t="str">
        <f aca="false" t="array" ref="AC98:AC98">IFERROR(INDEX('Bank Schedule'!AC:AC, SMALL(IF('Bank Schedule'!$K$2:$K$825="Vacant", ROW('Bank Schedule'!$K$2:$K$825)), ROW(95:95))), "")</f>
        <v>No</v>
      </c>
      <c r="AD98" s="29" t="str">
        <f aca="false" t="array" ref="AD98:AD98">IFERROR(INDEX('Bank Schedule'!AD:AD, SMALL(IF('Bank Schedule'!$K$2:$K$825="Vacant", ROW('Bank Schedule'!$K$2:$K$825)), ROW(95:95))), "")</f>
        <v>To be refurbished.</v>
      </c>
      <c r="AE98" s="281" t="str">
        <f aca="false">IFERROR(INDEX('Bank Schedule'!AE:AE, SMALL(IF('Bank Schedule'!$K$2:$K$825="Vacant", ROW('Bank Schedule'!$K$2:$K$825)), ROW(95:95))), "")</f>
        <v/>
      </c>
      <c r="AF98" s="29" t="str">
        <f aca="false">IFERROR(INDEX('Bank Schedule'!AF:AF, SMALL(IF('Bank Schedule'!$K$2:$K$825="Vacant", ROW('Bank Schedule'!$K$2:$K$825)), ROW(95:95))), "")</f>
        <v/>
      </c>
      <c r="AG98" s="29" t="str">
        <f aca="false">IFERROR(INDEX('Bank Schedule'!AG:AG, SMALL(IF('Bank Schedule'!$K$2:$K$825="Vacant", ROW('Bank Schedule'!$K$2:$K$825)), ROW(95:95))), "")</f>
        <v/>
      </c>
      <c r="AH98" s="29" t="str">
        <f aca="false">IFERROR(INDEX('Bank Schedule'!AH:AH, SMALL(IF('Bank Schedule'!$K$2:$K$825="Vacant", ROW('Bank Schedule'!$K$2:$K$825)), ROW(95:95))), "")</f>
        <v/>
      </c>
      <c r="AI98" s="4"/>
    </row>
    <row r="99" customFormat="false" ht="28.5" hidden="false" customHeight="true" outlineLevel="0" collapsed="false">
      <c r="A99" s="29" t="str">
        <f aca="false">IFERROR(INDEX('Bank Schedule'!A:A, SMALL(IF('Bank Schedule'!$K$2:$K$825="Vacant", ROW('Bank Schedule'!$K$2:$K$825)), ROW(96:96))), "")</f>
        <v/>
      </c>
      <c r="B99" s="29" t="str">
        <f aca="false" t="array" ref="B99:B99">IFERROR(INDEX('Bank Schedule'!B:B, SMALL(IF('Bank Schedule'!$K$2:$K$825="Vacant", ROW('Bank Schedule'!$K$2:$K$825)), ROW(96:96))), "")</f>
        <v>JM</v>
      </c>
      <c r="C99" s="29" t="str">
        <f aca="false" t="array" ref="C99:C99">IFERROR(INDEX('Bank Schedule'!C:C, SMALL(IF('Bank Schedule'!$K$2:$K$825="Vacant", ROW('Bank Schedule'!$K$2:$K$825)), ROW(96:96))), "")</f>
        <v>MEL</v>
      </c>
      <c r="D99" s="29" t="n">
        <f aca="false" t="array" ref="D99:D99">IFERROR(INDEX('Bank Schedule'!D:D, SMALL(IF('Bank Schedule'!$K$2:$K$825="Vacant", ROW('Bank Schedule'!$K$2:$K$825)), ROW(96:96))), "")</f>
        <v>100650</v>
      </c>
      <c r="E99" s="29" t="str">
        <f aca="false" t="array" ref="E99:E99">IFERROR(INDEX('Bank Schedule'!E:E, SMALL(IF('Bank Schedule'!$K$2:$K$825="Vacant", ROW('Bank Schedule'!$K$2:$K$825)), ROW(96:96))), "")</f>
        <v>50-60 Eastcastle Street</v>
      </c>
      <c r="F99" s="29" t="str">
        <f aca="false" t="array" ref="F99:F99">IFERROR(INDEX('Bank Schedule'!F:F, SMALL(IF('Bank Schedule'!$K$2:$K$825="Vacant", ROW('Bank Schedule'!$K$2:$K$825)), ROW(96:96))), "")</f>
        <v>Basement 56-57 Eastcastle St.</v>
      </c>
      <c r="G99" s="29" t="str">
        <f aca="false" t="array" ref="G99:G99">IFERROR(INDEX('Bank Schedule'!G:G, SMALL(IF('Bank Schedule'!$K$2:$K$825="Vacant", ROW('Bank Schedule'!$K$2:$K$825)), ROW(96:96))), "")</f>
        <v>Showroom</v>
      </c>
      <c r="H99" s="305" t="n">
        <f aca="false" t="array" ref="H99:H99">IFERROR(INDEX('Bank Schedule'!H:H, SMALL(IF('Bank Schedule'!$K$2:$K$825="Vacant", ROW('Bank Schedule'!$K$2:$K$825)), ROW(96:96))), "")</f>
        <v>1716</v>
      </c>
      <c r="I99" s="29" t="n">
        <f aca="false" t="array" ref="I99:I99">IFERROR(INDEX('Bank Schedule'!I:I, SMALL(IF('Bank Schedule'!$K$2:$K$825="Vacant", ROW('Bank Schedule'!$K$2:$K$825)), ROW(96:96))), "")</f>
        <v>1716</v>
      </c>
      <c r="J99" s="305" t="n">
        <f aca="false" t="array" ref="J99:J99">IFERROR(INDEX('Bank Schedule'!J:J, SMALL(IF('Bank Schedule'!$K$2:$K$825="Vacant", ROW('Bank Schedule'!$K$2:$K$825)), ROW(96:96))), "")</f>
        <v>1750</v>
      </c>
      <c r="K99" s="29" t="str">
        <f aca="false" t="array" ref="K99:K99">IFERROR(INDEX('Bank Schedule'!K:K, SMALL(IF('Bank Schedule'!$K$2:$K$825="Vacant", ROW('Bank Schedule'!$K$2:$K$825)), ROW(96:96))), "")</f>
        <v>Vacant</v>
      </c>
      <c r="L99" s="29" t="str">
        <f aca="false">IFERROR(INDEX('Bank Schedule'!L:L, SMALL(IF('Bank Schedule'!$K$2:$K$825="Vacant", ROW('Bank Schedule'!$K$2:$K$825)), ROW(96:96))), "")</f>
        <v/>
      </c>
      <c r="M99" s="29" t="str">
        <f aca="false">IFERROR(INDEX('Bank Schedule'!M:M, SMALL(IF('Bank Schedule'!$K$2:$K$825="Vacant", ROW('Bank Schedule'!$K$2:$K$825)), ROW(96:96))), "")</f>
        <v/>
      </c>
      <c r="N99" s="307" t="str">
        <f aca="false">IFERROR(INDEX('Bank Schedule'!N:N, SMALL(IF('Bank Schedule'!$K$2:$K$825="Vacant", ROW('Bank Schedule'!$K$2:$K$825)), ROW(96:96))), "")</f>
        <v/>
      </c>
      <c r="O99" s="29" t="str">
        <f aca="false">IFERROR(INDEX('Bank Schedule'!O:O, SMALL(IF('Bank Schedule'!$K$2:$K$825="Vacant", ROW('Bank Schedule'!$K$2:$K$825)), ROW(96:96))), "")</f>
        <v/>
      </c>
      <c r="P99" s="29" t="str">
        <f aca="false">IFERROR(INDEX('Bank Schedule'!P:P, SMALL(IF('Bank Schedule'!$K$2:$K$825="Vacant", ROW('Bank Schedule'!$K$2:$K$825)), ROW(96:96))), "")</f>
        <v/>
      </c>
      <c r="Q99" s="29" t="n">
        <f aca="false" t="array" ref="Q99:Q99">IFERROR(INDEX('Bank Schedule'!Q:Q, SMALL(IF('Bank Schedule'!$K$2:$K$825="Vacant", ROW('Bank Schedule'!$K$2:$K$825)), ROW(96:96))), "")</f>
        <v>0</v>
      </c>
      <c r="R99" s="29" t="n">
        <f aca="false" t="array" ref="R99:R99">IFERROR(INDEX('Bank Schedule'!R:R, SMALL(IF('Bank Schedule'!$K$2:$K$825="Vacant", ROW('Bank Schedule'!$K$2:$K$825)), ROW(96:96))), "")</f>
        <v>0</v>
      </c>
      <c r="S99" s="29" t="str">
        <f aca="false">IFERROR(INDEX('Bank Schedule'!S:S, SMALL(IF('Bank Schedule'!$K$2:$K$825="Vacant", ROW('Bank Schedule'!$K$2:$K$825)), ROW(96:96))), "")</f>
        <v/>
      </c>
      <c r="T99" s="309" t="n">
        <f aca="false" t="array" ref="T99:T99">IFERROR(INDEX('Bank Schedule'!T:T, SMALL(IF('Bank Schedule'!$K$2:$K$825="Vacant", ROW('Bank Schedule'!$K$2:$K$825)), ROW(96:96))), "")</f>
        <v>107600</v>
      </c>
      <c r="U99" s="309" t="n">
        <f aca="false" t="array" ref="U99:U99">IFERROR(INDEX('Bank Schedule'!U:U, SMALL(IF('Bank Schedule'!$K$2:$K$825="Vacant", ROW('Bank Schedule'!$K$2:$K$825)), ROW(96:96))), "")</f>
        <v>107600</v>
      </c>
      <c r="V99" s="309" t="n">
        <f aca="false" t="array" ref="V99:V99">IFERROR(INDEX('Bank Schedule'!V:V, SMALL(IF('Bank Schedule'!$K$2:$K$825="Vacant", ROW('Bank Schedule'!$K$2:$K$825)), ROW(96:96))), "")</f>
        <v>107600</v>
      </c>
      <c r="W99" s="309" t="n">
        <f aca="false" t="array" ref="W99:W99">IFERROR(INDEX('Bank Schedule'!W:W, SMALL(IF('Bank Schedule'!$K$2:$K$825="Vacant", ROW('Bank Schedule'!$K$2:$K$825)), ROW(96:96))), "")</f>
        <v>107600</v>
      </c>
      <c r="X99" s="309" t="n">
        <f aca="false" t="array" ref="X99:X99">IFERROR(INDEX('Bank Schedule'!X:X, SMALL(IF('Bank Schedule'!$K$2:$K$825="Vacant", ROW('Bank Schedule'!$K$2:$K$825)), ROW(96:96))), "")</f>
        <v>62.7039627039627</v>
      </c>
      <c r="Y99" s="310" t="n">
        <f aca="false" t="array" ref="Y99:Y99">IFERROR(INDEX('Bank Schedule'!Y:Y, SMALL(IF('Bank Schedule'!$K$2:$K$825="Vacant", ROW('Bank Schedule'!$K$2:$K$825)), ROW(96:96))), "")</f>
        <v>0</v>
      </c>
      <c r="Z99" s="29" t="str">
        <f aca="false" t="array" ref="Z99:Z99">IFERROR(INDEX('Bank Schedule'!Z:Z, SMALL(IF('Bank Schedule'!$K$2:$K$825="Vacant", ROW('Bank Schedule'!$K$2:$K$825)), ROW(96:96))), "")</f>
        <v>D</v>
      </c>
      <c r="AA99" s="29" t="str">
        <f aca="false">IFERROR(INDEX('Bank Schedule'!AA:AA, SMALL(IF('Bank Schedule'!$K$2:$K$825="Vacant", ROW('Bank Schedule'!$K$2:$K$825)), ROW(96:96))), "")</f>
        <v/>
      </c>
      <c r="AB99" s="29" t="str">
        <f aca="false">IFERROR(INDEX('Bank Schedule'!AB:AB, SMALL(IF('Bank Schedule'!$K$2:$K$825="Vacant", ROW('Bank Schedule'!$K$2:$K$825)), ROW(96:96))), "")</f>
        <v/>
      </c>
      <c r="AC99" s="29" t="str">
        <f aca="false" t="array" ref="AC99:AC99">IFERROR(INDEX('Bank Schedule'!AC:AC, SMALL(IF('Bank Schedule'!$K$2:$K$825="Vacant", ROW('Bank Schedule'!$K$2:$K$825)), ROW(96:96))), "")</f>
        <v>No</v>
      </c>
      <c r="AD99" s="29" t="str">
        <f aca="false" t="array" ref="AD99:AD99">IFERROR(INDEX('Bank Schedule'!AD:AD, SMALL(IF('Bank Schedule'!$K$2:$K$825="Vacant", ROW('Bank Schedule'!$K$2:$K$825)), ROW(96:96))), "")</f>
        <v>Mothballed.</v>
      </c>
      <c r="AE99" s="281" t="str">
        <f aca="false">IFERROR(INDEX('Bank Schedule'!AE:AE, SMALL(IF('Bank Schedule'!$K$2:$K$825="Vacant", ROW('Bank Schedule'!$K$2:$K$825)), ROW(96:96))), "")</f>
        <v/>
      </c>
      <c r="AF99" s="29" t="str">
        <f aca="false">IFERROR(INDEX('Bank Schedule'!AF:AF, SMALL(IF('Bank Schedule'!$K$2:$K$825="Vacant", ROW('Bank Schedule'!$K$2:$K$825)), ROW(96:96))), "")</f>
        <v/>
      </c>
      <c r="AG99" s="29" t="str">
        <f aca="false">IFERROR(INDEX('Bank Schedule'!AG:AG, SMALL(IF('Bank Schedule'!$K$2:$K$825="Vacant", ROW('Bank Schedule'!$K$2:$K$825)), ROW(96:96))), "")</f>
        <v/>
      </c>
      <c r="AH99" s="29" t="str">
        <f aca="false">IFERROR(INDEX('Bank Schedule'!AH:AH, SMALL(IF('Bank Schedule'!$K$2:$K$825="Vacant", ROW('Bank Schedule'!$K$2:$K$825)), ROW(96:96))), "")</f>
        <v/>
      </c>
      <c r="AI99" s="4"/>
    </row>
    <row r="100" customFormat="false" ht="28.5" hidden="false" customHeight="true" outlineLevel="0" collapsed="false">
      <c r="A100" s="29" t="str">
        <f aca="false">IFERROR(INDEX('Bank Schedule'!A:A, SMALL(IF('Bank Schedule'!$K$2:$K$825="Vacant", ROW('Bank Schedule'!$K$2:$K$825)), ROW(97:97))), "")</f>
        <v/>
      </c>
      <c r="B100" s="29" t="str">
        <f aca="false" t="array" ref="B100:B100">IFERROR(INDEX('Bank Schedule'!B:B, SMALL(IF('Bank Schedule'!$K$2:$K$825="Vacant", ROW('Bank Schedule'!$K$2:$K$825)), ROW(97:97))), "")</f>
        <v>JM</v>
      </c>
      <c r="C100" s="29" t="str">
        <f aca="false" t="array" ref="C100:C100">IFERROR(INDEX('Bank Schedule'!C:C, SMALL(IF('Bank Schedule'!$K$2:$K$825="Vacant", ROW('Bank Schedule'!$K$2:$K$825)), ROW(97:97))), "")</f>
        <v>MEL</v>
      </c>
      <c r="D100" s="29" t="n">
        <f aca="false" t="array" ref="D100:D100">IFERROR(INDEX('Bank Schedule'!D:D, SMALL(IF('Bank Schedule'!$K$2:$K$825="Vacant", ROW('Bank Schedule'!$K$2:$K$825)), ROW(97:97))), "")</f>
        <v>100650</v>
      </c>
      <c r="E100" s="29" t="str">
        <f aca="false" t="array" ref="E100:E100">IFERROR(INDEX('Bank Schedule'!E:E, SMALL(IF('Bank Schedule'!$K$2:$K$825="Vacant", ROW('Bank Schedule'!$K$2:$K$825)), ROW(97:97))), "")</f>
        <v>50-60 Eastcastle Street</v>
      </c>
      <c r="F100" s="29" t="str">
        <f aca="false" t="array" ref="F100:F100">IFERROR(INDEX('Bank Schedule'!F:F, SMALL(IF('Bank Schedule'!$K$2:$K$825="Vacant", ROW('Bank Schedule'!$K$2:$K$825)), ROW(97:97))), "")</f>
        <v>First Floor (100)</v>
      </c>
      <c r="G100" s="29" t="str">
        <f aca="false" t="array" ref="G100:G100">IFERROR(INDEX('Bank Schedule'!G:G, SMALL(IF('Bank Schedule'!$K$2:$K$825="Vacant", ROW('Bank Schedule'!$K$2:$K$825)), ROW(97:97))), "")</f>
        <v>Office</v>
      </c>
      <c r="H100" s="305" t="n">
        <f aca="false" t="array" ref="H100:H100">IFERROR(INDEX('Bank Schedule'!H:H, SMALL(IF('Bank Schedule'!$K$2:$K$825="Vacant", ROW('Bank Schedule'!$K$2:$K$825)), ROW(97:97))), "")</f>
        <v>1200</v>
      </c>
      <c r="I100" s="29" t="n">
        <f aca="false" t="array" ref="I100:I100">IFERROR(INDEX('Bank Schedule'!I:I, SMALL(IF('Bank Schedule'!$K$2:$K$825="Vacant", ROW('Bank Schedule'!$K$2:$K$825)), ROW(97:97))), "")</f>
        <v>1200</v>
      </c>
      <c r="J100" s="305" t="n">
        <f aca="false" t="array" ref="J100:J100">IFERROR(INDEX('Bank Schedule'!J:J, SMALL(IF('Bank Schedule'!$K$2:$K$825="Vacant", ROW('Bank Schedule'!$K$2:$K$825)), ROW(97:97))), "")</f>
        <v>1250</v>
      </c>
      <c r="K100" s="29" t="str">
        <f aca="false" t="array" ref="K100:K100">IFERROR(INDEX('Bank Schedule'!K:K, SMALL(IF('Bank Schedule'!$K$2:$K$825="Vacant", ROW('Bank Schedule'!$K$2:$K$825)), ROW(97:97))), "")</f>
        <v>Vacant</v>
      </c>
      <c r="L100" s="29" t="str">
        <f aca="false">IFERROR(INDEX('Bank Schedule'!L:L, SMALL(IF('Bank Schedule'!$K$2:$K$825="Vacant", ROW('Bank Schedule'!$K$2:$K$825)), ROW(97:97))), "")</f>
        <v/>
      </c>
      <c r="M100" s="29" t="str">
        <f aca="false">IFERROR(INDEX('Bank Schedule'!M:M, SMALL(IF('Bank Schedule'!$K$2:$K$825="Vacant", ROW('Bank Schedule'!$K$2:$K$825)), ROW(97:97))), "")</f>
        <v/>
      </c>
      <c r="N100" s="307" t="n">
        <f aca="false" t="array" ref="N100:N100">IFERROR(INDEX('Bank Schedule'!N:N, SMALL(IF('Bank Schedule'!$K$2:$K$825="Vacant", ROW('Bank Schedule'!$K$2:$K$825)), ROW(97:97))), "")</f>
        <v>45793</v>
      </c>
      <c r="O100" s="29" t="str">
        <f aca="false">IFERROR(INDEX('Bank Schedule'!O:O, SMALL(IF('Bank Schedule'!$K$2:$K$825="Vacant", ROW('Bank Schedule'!$K$2:$K$825)), ROW(97:97))), "")</f>
        <v/>
      </c>
      <c r="P100" s="29" t="str">
        <f aca="false">IFERROR(INDEX('Bank Schedule'!P:P, SMALL(IF('Bank Schedule'!$K$2:$K$825="Vacant", ROW('Bank Schedule'!$K$2:$K$825)), ROW(97:97))), "")</f>
        <v/>
      </c>
      <c r="Q100" s="29" t="n">
        <f aca="false" t="array" ref="Q100:Q100">IFERROR(INDEX('Bank Schedule'!Q:Q, SMALL(IF('Bank Schedule'!$K$2:$K$825="Vacant", ROW('Bank Schedule'!$K$2:$K$825)), ROW(97:97))), "")</f>
        <v>0</v>
      </c>
      <c r="R100" s="29" t="n">
        <f aca="false" t="array" ref="R100:R100">IFERROR(INDEX('Bank Schedule'!R:R, SMALL(IF('Bank Schedule'!$K$2:$K$825="Vacant", ROW('Bank Schedule'!$K$2:$K$825)), ROW(97:97))), "")</f>
        <v>0</v>
      </c>
      <c r="S100" s="29" t="str">
        <f aca="false">IFERROR(INDEX('Bank Schedule'!S:S, SMALL(IF('Bank Schedule'!$K$2:$K$825="Vacant", ROW('Bank Schedule'!$K$2:$K$825)), ROW(97:97))), "")</f>
        <v/>
      </c>
      <c r="T100" s="309" t="n">
        <f aca="false" t="array" ref="T100:T100">IFERROR(INDEX('Bank Schedule'!T:T, SMALL(IF('Bank Schedule'!$K$2:$K$825="Vacant", ROW('Bank Schedule'!$K$2:$K$825)), ROW(97:97))), "")</f>
        <v>72000</v>
      </c>
      <c r="U100" s="309" t="n">
        <f aca="false" t="array" ref="U100:U100">IFERROR(INDEX('Bank Schedule'!U:U, SMALL(IF('Bank Schedule'!$K$2:$K$825="Vacant", ROW('Bank Schedule'!$K$2:$K$825)), ROW(97:97))), "")</f>
        <v>72000</v>
      </c>
      <c r="V100" s="309" t="n">
        <f aca="false" t="array" ref="V100:V100">IFERROR(INDEX('Bank Schedule'!V:V, SMALL(IF('Bank Schedule'!$K$2:$K$825="Vacant", ROW('Bank Schedule'!$K$2:$K$825)), ROW(97:97))), "")</f>
        <v>69000</v>
      </c>
      <c r="W100" s="309" t="n">
        <f aca="false" t="array" ref="W100:W100">IFERROR(INDEX('Bank Schedule'!W:W, SMALL(IF('Bank Schedule'!$K$2:$K$825="Vacant", ROW('Bank Schedule'!$K$2:$K$825)), ROW(97:97))), "")</f>
        <v>69000</v>
      </c>
      <c r="X100" s="309" t="n">
        <f aca="false" t="array" ref="X100:X100">IFERROR(INDEX('Bank Schedule'!X:X, SMALL(IF('Bank Schedule'!$K$2:$K$825="Vacant", ROW('Bank Schedule'!$K$2:$K$825)), ROW(97:97))), "")</f>
        <v>57.5</v>
      </c>
      <c r="Y100" s="310" t="n">
        <f aca="false" t="array" ref="Y100:Y100">IFERROR(INDEX('Bank Schedule'!Y:Y, SMALL(IF('Bank Schedule'!$K$2:$K$825="Vacant", ROW('Bank Schedule'!$K$2:$K$825)), ROW(97:97))), "")</f>
        <v>-0.0416666666666667</v>
      </c>
      <c r="Z100" s="29" t="str">
        <f aca="false" t="array" ref="Z100:Z100">IFERROR(INDEX('Bank Schedule'!Z:Z, SMALL(IF('Bank Schedule'!$K$2:$K$825="Vacant", ROW('Bank Schedule'!$K$2:$K$825)), ROW(97:97))), "")</f>
        <v>D</v>
      </c>
      <c r="AA100" s="29" t="str">
        <f aca="false">IFERROR(INDEX('Bank Schedule'!AA:AA, SMALL(IF('Bank Schedule'!$K$2:$K$825="Vacant", ROW('Bank Schedule'!$K$2:$K$825)), ROW(97:97))), "")</f>
        <v/>
      </c>
      <c r="AB100" s="29" t="str">
        <f aca="false">IFERROR(INDEX('Bank Schedule'!AB:AB, SMALL(IF('Bank Schedule'!$K$2:$K$825="Vacant", ROW('Bank Schedule'!$K$2:$K$825)), ROW(97:97))), "")</f>
        <v/>
      </c>
      <c r="AC100" s="29" t="str">
        <f aca="false" t="array" ref="AC100:AC100">IFERROR(INDEX('Bank Schedule'!AC:AC, SMALL(IF('Bank Schedule'!$K$2:$K$825="Vacant", ROW('Bank Schedule'!$K$2:$K$825)), ROW(97:97))), "")</f>
        <v>No</v>
      </c>
      <c r="AD100" s="29" t="str">
        <f aca="false" t="array" ref="AD100:AD100">IFERROR(INDEX('Bank Schedule'!AD:AD, SMALL(IF('Bank Schedule'!$K$2:$K$825="Vacant", ROW('Bank Schedule'!$K$2:$K$825)), ROW(97:97))), "")</f>
        <v>LEM marketing.</v>
      </c>
      <c r="AE100" s="281" t="str">
        <f aca="false">IFERROR(INDEX('Bank Schedule'!AE:AE, SMALL(IF('Bank Schedule'!$K$2:$K$825="Vacant", ROW('Bank Schedule'!$K$2:$K$825)), ROW(97:97))), "")</f>
        <v/>
      </c>
      <c r="AF100" s="29" t="str">
        <f aca="false">IFERROR(INDEX('Bank Schedule'!AF:AF, SMALL(IF('Bank Schedule'!$K$2:$K$825="Vacant", ROW('Bank Schedule'!$K$2:$K$825)), ROW(97:97))), "")</f>
        <v/>
      </c>
      <c r="AG100" s="29" t="n">
        <f aca="false" t="array" ref="AG100:AG100">IFERROR(INDEX('Bank Schedule'!AG:AG, SMALL(IF('Bank Schedule'!$K$2:$K$825="Vacant", ROW('Bank Schedule'!$K$2:$K$825)), ROW(97:97))), "")</f>
        <v>8</v>
      </c>
      <c r="AH100" s="29" t="str">
        <f aca="false">IFERROR(INDEX('Bank Schedule'!AH:AH, SMALL(IF('Bank Schedule'!$K$2:$K$825="Vacant", ROW('Bank Schedule'!$K$2:$K$825)), ROW(97:97))), "")</f>
        <v/>
      </c>
      <c r="AI100" s="4"/>
    </row>
    <row r="101" customFormat="false" ht="28.5" hidden="false" customHeight="true" outlineLevel="0" collapsed="false">
      <c r="A101" s="29" t="str">
        <f aca="false">IFERROR(INDEX('Bank Schedule'!A:A, SMALL(IF('Bank Schedule'!$K$2:$K$825="Vacant", ROW('Bank Schedule'!$K$2:$K$825)), ROW(98:98))), "")</f>
        <v/>
      </c>
      <c r="B101" s="29" t="str">
        <f aca="false" t="array" ref="B101:B101">IFERROR(INDEX('Bank Schedule'!B:B, SMALL(IF('Bank Schedule'!$K$2:$K$825="Vacant", ROW('Bank Schedule'!$K$2:$K$825)), ROW(98:98))), "")</f>
        <v>JM</v>
      </c>
      <c r="C101" s="29" t="str">
        <f aca="false" t="array" ref="C101:C101">IFERROR(INDEX('Bank Schedule'!C:C, SMALL(IF('Bank Schedule'!$K$2:$K$825="Vacant", ROW('Bank Schedule'!$K$2:$K$825)), ROW(98:98))), "")</f>
        <v>MEL</v>
      </c>
      <c r="D101" s="29" t="n">
        <f aca="false" t="array" ref="D101:D101">IFERROR(INDEX('Bank Schedule'!D:D, SMALL(IF('Bank Schedule'!$K$2:$K$825="Vacant", ROW('Bank Schedule'!$K$2:$K$825)), ROW(98:98))), "")</f>
        <v>100650</v>
      </c>
      <c r="E101" s="29" t="str">
        <f aca="false" t="array" ref="E101:E101">IFERROR(INDEX('Bank Schedule'!E:E, SMALL(IF('Bank Schedule'!$K$2:$K$825="Vacant", ROW('Bank Schedule'!$K$2:$K$825)), ROW(98:98))), "")</f>
        <v>50-60 Eastcastle Street</v>
      </c>
      <c r="F101" s="29" t="str">
        <f aca="false" t="array" ref="F101:F101">IFERROR(INDEX('Bank Schedule'!F:F, SMALL(IF('Bank Schedule'!$K$2:$K$825="Vacant", ROW('Bank Schedule'!$K$2:$K$825)), ROW(98:98))), "")</f>
        <v>First Floor  (140)</v>
      </c>
      <c r="G101" s="29" t="str">
        <f aca="false" t="array" ref="G101:G101">IFERROR(INDEX('Bank Schedule'!G:G, SMALL(IF('Bank Schedule'!$K$2:$K$825="Vacant", ROW('Bank Schedule'!$K$2:$K$825)), ROW(98:98))), "")</f>
        <v>Showroom/ Office</v>
      </c>
      <c r="H101" s="305" t="n">
        <f aca="false" t="array" ref="H101:H101">IFERROR(INDEX('Bank Schedule'!H:H, SMALL(IF('Bank Schedule'!$K$2:$K$825="Vacant", ROW('Bank Schedule'!$K$2:$K$825)), ROW(98:98))), "")</f>
        <v>1372</v>
      </c>
      <c r="I101" s="29" t="n">
        <f aca="false" t="array" ref="I101:I101">IFERROR(INDEX('Bank Schedule'!I:I, SMALL(IF('Bank Schedule'!$K$2:$K$825="Vacant", ROW('Bank Schedule'!$K$2:$K$825)), ROW(98:98))), "")</f>
        <v>1372</v>
      </c>
      <c r="J101" s="305" t="n">
        <f aca="false" t="array" ref="J101:J101">IFERROR(INDEX('Bank Schedule'!J:J, SMALL(IF('Bank Schedule'!$K$2:$K$825="Vacant", ROW('Bank Schedule'!$K$2:$K$825)), ROW(98:98))), "")</f>
        <v>1250</v>
      </c>
      <c r="K101" s="29" t="str">
        <f aca="false" t="array" ref="K101:K101">IFERROR(INDEX('Bank Schedule'!K:K, SMALL(IF('Bank Schedule'!$K$2:$K$825="Vacant", ROW('Bank Schedule'!$K$2:$K$825)), ROW(98:98))), "")</f>
        <v>Vacant</v>
      </c>
      <c r="L101" s="29" t="str">
        <f aca="false">IFERROR(INDEX('Bank Schedule'!L:L, SMALL(IF('Bank Schedule'!$K$2:$K$825="Vacant", ROW('Bank Schedule'!$K$2:$K$825)), ROW(98:98))), "")</f>
        <v/>
      </c>
      <c r="M101" s="29" t="str">
        <f aca="false">IFERROR(INDEX('Bank Schedule'!M:M, SMALL(IF('Bank Schedule'!$K$2:$K$825="Vacant", ROW('Bank Schedule'!$K$2:$K$825)), ROW(98:98))), "")</f>
        <v/>
      </c>
      <c r="N101" s="307" t="n">
        <f aca="false" t="array" ref="N101:N101">IFERROR(INDEX('Bank Schedule'!N:N, SMALL(IF('Bank Schedule'!$K$2:$K$825="Vacant", ROW('Bank Schedule'!$K$2:$K$825)), ROW(98:98))), "")</f>
        <v>45672</v>
      </c>
      <c r="O101" s="29" t="str">
        <f aca="false">IFERROR(INDEX('Bank Schedule'!O:O, SMALL(IF('Bank Schedule'!$K$2:$K$825="Vacant", ROW('Bank Schedule'!$K$2:$K$825)), ROW(98:98))), "")</f>
        <v/>
      </c>
      <c r="P101" s="29" t="str">
        <f aca="false">IFERROR(INDEX('Bank Schedule'!P:P, SMALL(IF('Bank Schedule'!$K$2:$K$825="Vacant", ROW('Bank Schedule'!$K$2:$K$825)), ROW(98:98))), "")</f>
        <v/>
      </c>
      <c r="Q101" s="29" t="n">
        <f aca="false" t="array" ref="Q101:Q101">IFERROR(INDEX('Bank Schedule'!Q:Q, SMALL(IF('Bank Schedule'!$K$2:$K$825="Vacant", ROW('Bank Schedule'!$K$2:$K$825)), ROW(98:98))), "")</f>
        <v>0</v>
      </c>
      <c r="R101" s="29" t="n">
        <f aca="false" t="array" ref="R101:R101">IFERROR(INDEX('Bank Schedule'!R:R, SMALL(IF('Bank Schedule'!$K$2:$K$825="Vacant", ROW('Bank Schedule'!$K$2:$K$825)), ROW(98:98))), "")</f>
        <v>0</v>
      </c>
      <c r="S101" s="29" t="str">
        <f aca="false">IFERROR(INDEX('Bank Schedule'!S:S, SMALL(IF('Bank Schedule'!$K$2:$K$825="Vacant", ROW('Bank Schedule'!$K$2:$K$825)), ROW(98:98))), "")</f>
        <v/>
      </c>
      <c r="T101" s="309" t="n">
        <f aca="false" t="array" ref="T101:T101">IFERROR(INDEX('Bank Schedule'!T:T, SMALL(IF('Bank Schedule'!$K$2:$K$825="Vacant", ROW('Bank Schedule'!$K$2:$K$825)), ROW(98:98))), "")</f>
        <v>82300</v>
      </c>
      <c r="U101" s="309" t="n">
        <f aca="false" t="array" ref="U101:U101">IFERROR(INDEX('Bank Schedule'!U:U, SMALL(IF('Bank Schedule'!$K$2:$K$825="Vacant", ROW('Bank Schedule'!$K$2:$K$825)), ROW(98:98))), "")</f>
        <v>82300</v>
      </c>
      <c r="V101" s="309" t="n">
        <f aca="false" t="array" ref="V101:V101">IFERROR(INDEX('Bank Schedule'!V:V, SMALL(IF('Bank Schedule'!$K$2:$K$825="Vacant", ROW('Bank Schedule'!$K$2:$K$825)), ROW(98:98))), "")</f>
        <v>78900</v>
      </c>
      <c r="W101" s="309" t="n">
        <f aca="false" t="array" ref="W101:W101">IFERROR(INDEX('Bank Schedule'!W:W, SMALL(IF('Bank Schedule'!$K$2:$K$825="Vacant", ROW('Bank Schedule'!$K$2:$K$825)), ROW(98:98))), "")</f>
        <v>78900</v>
      </c>
      <c r="X101" s="309" t="n">
        <f aca="false" t="array" ref="X101:X101">IFERROR(INDEX('Bank Schedule'!X:X, SMALL(IF('Bank Schedule'!$K$2:$K$825="Vacant", ROW('Bank Schedule'!$K$2:$K$825)), ROW(98:98))), "")</f>
        <v>57.5072886297376</v>
      </c>
      <c r="Y101" s="310" t="n">
        <f aca="false" t="array" ref="Y101:Y101">IFERROR(INDEX('Bank Schedule'!Y:Y, SMALL(IF('Bank Schedule'!$K$2:$K$825="Vacant", ROW('Bank Schedule'!$K$2:$K$825)), ROW(98:98))), "")</f>
        <v>-0.0413122721749696</v>
      </c>
      <c r="Z101" s="29" t="str">
        <f aca="false" t="array" ref="Z101:Z101">IFERROR(INDEX('Bank Schedule'!Z:Z, SMALL(IF('Bank Schedule'!$K$2:$K$825="Vacant", ROW('Bank Schedule'!$K$2:$K$825)), ROW(98:98))), "")</f>
        <v>D</v>
      </c>
      <c r="AA101" s="29" t="str">
        <f aca="false">IFERROR(INDEX('Bank Schedule'!AA:AA, SMALL(IF('Bank Schedule'!$K$2:$K$825="Vacant", ROW('Bank Schedule'!$K$2:$K$825)), ROW(98:98))), "")</f>
        <v/>
      </c>
      <c r="AB101" s="29" t="str">
        <f aca="false">IFERROR(INDEX('Bank Schedule'!AB:AB, SMALL(IF('Bank Schedule'!$K$2:$K$825="Vacant", ROW('Bank Schedule'!$K$2:$K$825)), ROW(98:98))), "")</f>
        <v/>
      </c>
      <c r="AC101" s="29" t="str">
        <f aca="false" t="array" ref="AC101:AC101">IFERROR(INDEX('Bank Schedule'!AC:AC, SMALL(IF('Bank Schedule'!$K$2:$K$825="Vacant", ROW('Bank Schedule'!$K$2:$K$825)), ROW(98:98))), "")</f>
        <v>No</v>
      </c>
      <c r="AD101" s="29" t="str">
        <f aca="false" t="array" ref="AD101:AD101">IFERROR(INDEX('Bank Schedule'!AD:AD, SMALL(IF('Bank Schedule'!$K$2:$K$825="Vacant", ROW('Bank Schedule'!$K$2:$K$825)), ROW(98:98))), "")</f>
        <v>LEM marketing.</v>
      </c>
      <c r="AE101" s="281" t="str">
        <f aca="false">IFERROR(INDEX('Bank Schedule'!AE:AE, SMALL(IF('Bank Schedule'!$K$2:$K$825="Vacant", ROW('Bank Schedule'!$K$2:$K$825)), ROW(98:98))), "")</f>
        <v/>
      </c>
      <c r="AF101" s="29" t="str">
        <f aca="false">IFERROR(INDEX('Bank Schedule'!AF:AF, SMALL(IF('Bank Schedule'!$K$2:$K$825="Vacant", ROW('Bank Schedule'!$K$2:$K$825)), ROW(98:98))), "")</f>
        <v/>
      </c>
      <c r="AG101" s="29" t="str">
        <f aca="false">IFERROR(INDEX('Bank Schedule'!AG:AG, SMALL(IF('Bank Schedule'!$K$2:$K$825="Vacant", ROW('Bank Schedule'!$K$2:$K$825)), ROW(98:98))), "")</f>
        <v/>
      </c>
      <c r="AH101" s="29" t="str">
        <f aca="false">IFERROR(INDEX('Bank Schedule'!AH:AH, SMALL(IF('Bank Schedule'!$K$2:$K$825="Vacant", ROW('Bank Schedule'!$K$2:$K$825)), ROW(98:98))), "")</f>
        <v/>
      </c>
      <c r="AI101" s="4"/>
    </row>
    <row r="102" customFormat="false" ht="28.5" hidden="false" customHeight="true" outlineLevel="0" collapsed="false">
      <c r="A102" s="29" t="n">
        <f aca="false">IFERROR(INDEX('Bank Schedule'!A:A, SMALL(IF('Bank Schedule'!$K$2:$K$825="Vacant", ROW('Bank Schedule'!$K$2:$K$825)), ROW(99:99))), "")</f>
        <v>0</v>
      </c>
      <c r="B102" s="29" t="str">
        <f aca="false" t="array" ref="B102:B102">IFERROR(INDEX('Bank Schedule'!B:B, SMALL(IF('Bank Schedule'!$K$2:$K$825="Vacant", ROW('Bank Schedule'!$K$2:$K$825)), ROW(99:99))), "")</f>
        <v>JM</v>
      </c>
      <c r="C102" s="29" t="str">
        <f aca="false" t="array" ref="C102:C102">IFERROR(INDEX('Bank Schedule'!C:C, SMALL(IF('Bank Schedule'!$K$2:$K$825="Vacant", ROW('Bank Schedule'!$K$2:$K$825)), ROW(99:99))), "")</f>
        <v>MEL</v>
      </c>
      <c r="D102" s="29" t="n">
        <f aca="false" t="array" ref="D102:D102">IFERROR(INDEX('Bank Schedule'!D:D, SMALL(IF('Bank Schedule'!$K$2:$K$825="Vacant", ROW('Bank Schedule'!$K$2:$K$825)), ROW(99:99))), "")</f>
        <v>100650</v>
      </c>
      <c r="E102" s="29" t="str">
        <f aca="false" t="array" ref="E102:E102">IFERROR(INDEX('Bank Schedule'!E:E, SMALL(IF('Bank Schedule'!$K$2:$K$825="Vacant", ROW('Bank Schedule'!$K$2:$K$825)), ROW(99:99))), "")</f>
        <v>50-60 Eastcastle Street</v>
      </c>
      <c r="F102" s="29" t="str">
        <f aca="false" t="array" ref="F102:F102">IFERROR(INDEX('Bank Schedule'!F:F, SMALL(IF('Bank Schedule'!$K$2:$K$825="Vacant", ROW('Bank Schedule'!$K$2:$K$825)), ROW(99:99))), "")</f>
        <v>First Floor (120)</v>
      </c>
      <c r="G102" s="29" t="str">
        <f aca="false" t="array" ref="G102:G102">IFERROR(INDEX('Bank Schedule'!G:G, SMALL(IF('Bank Schedule'!$K$2:$K$825="Vacant", ROW('Bank Schedule'!$K$2:$K$825)), ROW(99:99))), "")</f>
        <v>Showroom/ Office</v>
      </c>
      <c r="H102" s="305" t="n">
        <f aca="false" t="array" ref="H102:H102">IFERROR(INDEX('Bank Schedule'!H:H, SMALL(IF('Bank Schedule'!$K$2:$K$825="Vacant", ROW('Bank Schedule'!$K$2:$K$825)), ROW(99:99))), "")</f>
        <v>1020</v>
      </c>
      <c r="I102" s="29" t="n">
        <f aca="false" t="array" ref="I102:I102">IFERROR(INDEX('Bank Schedule'!I:I, SMALL(IF('Bank Schedule'!$K$2:$K$825="Vacant", ROW('Bank Schedule'!$K$2:$K$825)), ROW(99:99))), "")</f>
        <v>1020</v>
      </c>
      <c r="J102" s="305" t="n">
        <f aca="false" t="array" ref="J102:J102">IFERROR(INDEX('Bank Schedule'!J:J, SMALL(IF('Bank Schedule'!$K$2:$K$825="Vacant", ROW('Bank Schedule'!$K$2:$K$825)), ROW(99:99))), "")</f>
        <v>1000</v>
      </c>
      <c r="K102" s="29" t="str">
        <f aca="false" t="array" ref="K102:K102">IFERROR(INDEX('Bank Schedule'!K:K, SMALL(IF('Bank Schedule'!$K$2:$K$825="Vacant", ROW('Bank Schedule'!$K$2:$K$825)), ROW(99:99))), "")</f>
        <v>Vacant</v>
      </c>
      <c r="L102" s="306" t="n">
        <f aca="false">IFERROR(INDEX('Bank Schedule'!L:L, SMALL(IF('Bank Schedule'!$K$2:$K$825="Vacant", ROW('Bank Schedule'!$K$2:$K$825)), ROW(99:99))), "")</f>
        <v>0</v>
      </c>
      <c r="M102" s="306" t="n">
        <f aca="false">IFERROR(INDEX('Bank Schedule'!M:M, SMALL(IF('Bank Schedule'!$K$2:$K$825="Vacant", ROW('Bank Schedule'!$K$2:$K$825)), ROW(99:99))), "")</f>
        <v>0</v>
      </c>
      <c r="N102" s="307" t="n">
        <f aca="false" t="array" ref="N102:N102">IFERROR(INDEX('Bank Schedule'!N:N, SMALL(IF('Bank Schedule'!$K$2:$K$825="Vacant", ROW('Bank Schedule'!$K$2:$K$825)), ROW(99:99))), "")</f>
        <v>44576</v>
      </c>
      <c r="O102" s="306" t="n">
        <f aca="false">IFERROR(INDEX('Bank Schedule'!O:O, SMALL(IF('Bank Schedule'!$K$2:$K$825="Vacant", ROW('Bank Schedule'!$K$2:$K$825)), ROW(99:99))), "")</f>
        <v>0</v>
      </c>
      <c r="P102" s="306" t="n">
        <f aca="false">IFERROR(INDEX('Bank Schedule'!P:P, SMALL(IF('Bank Schedule'!$K$2:$K$825="Vacant", ROW('Bank Schedule'!$K$2:$K$825)), ROW(99:99))), "")</f>
        <v>0</v>
      </c>
      <c r="Q102" s="29" t="n">
        <f aca="false" t="array" ref="Q102:Q102">IFERROR(INDEX('Bank Schedule'!Q:Q, SMALL(IF('Bank Schedule'!$K$2:$K$825="Vacant", ROW('Bank Schedule'!$K$2:$K$825)), ROW(99:99))), "")</f>
        <v>0</v>
      </c>
      <c r="R102" s="29" t="n">
        <f aca="false" t="array" ref="R102:R102">IFERROR(INDEX('Bank Schedule'!R:R, SMALL(IF('Bank Schedule'!$K$2:$K$825="Vacant", ROW('Bank Schedule'!$K$2:$K$825)), ROW(99:99))), "")</f>
        <v>0</v>
      </c>
      <c r="S102" s="308" t="n">
        <f aca="false">IFERROR(INDEX('Bank Schedule'!S:S, SMALL(IF('Bank Schedule'!$K$2:$K$825="Vacant", ROW('Bank Schedule'!$K$2:$K$825)), ROW(99:99))), "")</f>
        <v>0</v>
      </c>
      <c r="T102" s="309" t="n">
        <f aca="false" t="array" ref="T102:T102">IFERROR(INDEX('Bank Schedule'!T:T, SMALL(IF('Bank Schedule'!$K$2:$K$825="Vacant", ROW('Bank Schedule'!$K$2:$K$825)), ROW(99:99))), "")</f>
        <v>61200</v>
      </c>
      <c r="U102" s="309" t="n">
        <f aca="false" t="array" ref="U102:U102">IFERROR(INDEX('Bank Schedule'!U:U, SMALL(IF('Bank Schedule'!$K$2:$K$825="Vacant", ROW('Bank Schedule'!$K$2:$K$825)), ROW(99:99))), "")</f>
        <v>61200</v>
      </c>
      <c r="V102" s="309" t="n">
        <f aca="false" t="array" ref="V102:V102">IFERROR(INDEX('Bank Schedule'!V:V, SMALL(IF('Bank Schedule'!$K$2:$K$825="Vacant", ROW('Bank Schedule'!$K$2:$K$825)), ROW(99:99))), "")</f>
        <v>58700</v>
      </c>
      <c r="W102" s="309" t="n">
        <f aca="false" t="array" ref="W102:W102">IFERROR(INDEX('Bank Schedule'!W:W, SMALL(IF('Bank Schedule'!$K$2:$K$825="Vacant", ROW('Bank Schedule'!$K$2:$K$825)), ROW(99:99))), "")</f>
        <v>58700</v>
      </c>
      <c r="X102" s="309" t="n">
        <f aca="false" t="array" ref="X102:X102">IFERROR(INDEX('Bank Schedule'!X:X, SMALL(IF('Bank Schedule'!$K$2:$K$825="Vacant", ROW('Bank Schedule'!$K$2:$K$825)), ROW(99:99))), "")</f>
        <v>57.5490196078431</v>
      </c>
      <c r="Y102" s="310" t="n">
        <f aca="false" t="array" ref="Y102:Y102">IFERROR(INDEX('Bank Schedule'!Y:Y, SMALL(IF('Bank Schedule'!$K$2:$K$825="Vacant", ROW('Bank Schedule'!$K$2:$K$825)), ROW(99:99))), "")</f>
        <v>-0.0408496732026144</v>
      </c>
      <c r="Z102" s="29" t="str">
        <f aca="false" t="array" ref="Z102:Z102">IFERROR(INDEX('Bank Schedule'!Z:Z, SMALL(IF('Bank Schedule'!$K$2:$K$825="Vacant", ROW('Bank Schedule'!$K$2:$K$825)), ROW(99:99))), "")</f>
        <v>D</v>
      </c>
      <c r="AA102" s="308" t="n">
        <f aca="false">IFERROR(INDEX('Bank Schedule'!AA:AA, SMALL(IF('Bank Schedule'!$K$2:$K$825="Vacant", ROW('Bank Schedule'!$K$2:$K$825)), ROW(99:99))), "")</f>
        <v>0</v>
      </c>
      <c r="AB102" s="311" t="n">
        <f aca="false">IFERROR(INDEX('Bank Schedule'!AB:AB, SMALL(IF('Bank Schedule'!$K$2:$K$825="Vacant", ROW('Bank Schedule'!$K$2:$K$825)), ROW(99:99))), "")</f>
        <v>0</v>
      </c>
      <c r="AC102" s="29" t="str">
        <f aca="false" t="array" ref="AC102:AC102">IFERROR(INDEX('Bank Schedule'!AC:AC, SMALL(IF('Bank Schedule'!$K$2:$K$825="Vacant", ROW('Bank Schedule'!$K$2:$K$825)), ROW(99:99))), "")</f>
        <v>No</v>
      </c>
      <c r="AD102" s="29" t="str">
        <f aca="false" t="array" ref="AD102:AD102">IFERROR(INDEX('Bank Schedule'!AD:AD, SMALL(IF('Bank Schedule'!$K$2:$K$825="Vacant", ROW('Bank Schedule'!$K$2:$K$825)), ROW(99:99))), "")</f>
        <v>To be refurbished.</v>
      </c>
      <c r="AE102" s="281" t="n">
        <f aca="false">IFERROR(INDEX('Bank Schedule'!AE:AE, SMALL(IF('Bank Schedule'!$K$2:$K$825="Vacant", ROW('Bank Schedule'!$K$2:$K$825)), ROW(99:99))), "")</f>
        <v>0</v>
      </c>
      <c r="AF102" s="29" t="n">
        <f aca="false">IFERROR(INDEX('Bank Schedule'!AF:AF, SMALL(IF('Bank Schedule'!$K$2:$K$825="Vacant", ROW('Bank Schedule'!$K$2:$K$825)), ROW(99:99))), "")</f>
        <v>0</v>
      </c>
      <c r="AG102" s="29" t="n">
        <f aca="false">IFERROR(INDEX('Bank Schedule'!AG:AG, SMALL(IF('Bank Schedule'!$K$2:$K$825="Vacant", ROW('Bank Schedule'!$K$2:$K$825)), ROW(99:99))), "")</f>
        <v>0</v>
      </c>
      <c r="AH102" s="29" t="n">
        <f aca="false">IFERROR(INDEX('Bank Schedule'!AH:AH, SMALL(IF('Bank Schedule'!$K$2:$K$825="Vacant", ROW('Bank Schedule'!$K$2:$K$825)), ROW(99:99))), "")</f>
        <v>0</v>
      </c>
      <c r="AI102" s="4"/>
    </row>
    <row r="103" customFormat="false" ht="28.5" hidden="false" customHeight="true" outlineLevel="0" collapsed="false">
      <c r="A103" s="29" t="n">
        <f aca="false">IFERROR(INDEX('Bank Schedule'!A:A, SMALL(IF('Bank Schedule'!$K$2:$K$825="Vacant", ROW('Bank Schedule'!$K$2:$K$825)), ROW(100:100))), "")</f>
        <v>0</v>
      </c>
      <c r="B103" s="29" t="str">
        <f aca="false" t="array" ref="B103:B103">IFERROR(INDEX('Bank Schedule'!B:B, SMALL(IF('Bank Schedule'!$K$2:$K$825="Vacant", ROW('Bank Schedule'!$K$2:$K$825)), ROW(100:100))), "")</f>
        <v>JM</v>
      </c>
      <c r="C103" s="29" t="str">
        <f aca="false" t="array" ref="C103:C103">IFERROR(INDEX('Bank Schedule'!C:C, SMALL(IF('Bank Schedule'!$K$2:$K$825="Vacant", ROW('Bank Schedule'!$K$2:$K$825)), ROW(100:100))), "")</f>
        <v>MEL</v>
      </c>
      <c r="D103" s="29" t="n">
        <f aca="false" t="array" ref="D103:D103">IFERROR(INDEX('Bank Schedule'!D:D, SMALL(IF('Bank Schedule'!$K$2:$K$825="Vacant", ROW('Bank Schedule'!$K$2:$K$825)), ROW(100:100))), "")</f>
        <v>100650</v>
      </c>
      <c r="E103" s="29" t="str">
        <f aca="false" t="array" ref="E103:E103">IFERROR(INDEX('Bank Schedule'!E:E, SMALL(IF('Bank Schedule'!$K$2:$K$825="Vacant", ROW('Bank Schedule'!$K$2:$K$825)), ROW(100:100))), "")</f>
        <v>50-60 Eastcastle Street</v>
      </c>
      <c r="F103" s="29" t="str">
        <f aca="false" t="array" ref="F103:F103">IFERROR(INDEX('Bank Schedule'!F:F, SMALL(IF('Bank Schedule'!$K$2:$K$825="Vacant", ROW('Bank Schedule'!$K$2:$K$825)), ROW(100:100))), "")</f>
        <v>First Floor (Centre)</v>
      </c>
      <c r="G103" s="29" t="str">
        <f aca="false" t="array" ref="G103:G103">IFERROR(INDEX('Bank Schedule'!G:G, SMALL(IF('Bank Schedule'!$K$2:$K$825="Vacant", ROW('Bank Schedule'!$K$2:$K$825)), ROW(100:100))), "")</f>
        <v>Office</v>
      </c>
      <c r="H103" s="305" t="n">
        <f aca="false" t="array" ref="H103:H103">IFERROR(INDEX('Bank Schedule'!H:H, SMALL(IF('Bank Schedule'!$K$2:$K$825="Vacant", ROW('Bank Schedule'!$K$2:$K$825)), ROW(100:100))), "")</f>
        <v>6636</v>
      </c>
      <c r="I103" s="29" t="n">
        <f aca="false" t="array" ref="I103:I103">IFERROR(INDEX('Bank Schedule'!I:I, SMALL(IF('Bank Schedule'!$K$2:$K$825="Vacant", ROW('Bank Schedule'!$K$2:$K$825)), ROW(100:100))), "")</f>
        <v>6636</v>
      </c>
      <c r="J103" s="305" t="n">
        <f aca="false" t="array" ref="J103:J103">IFERROR(INDEX('Bank Schedule'!J:J, SMALL(IF('Bank Schedule'!$K$2:$K$825="Vacant", ROW('Bank Schedule'!$K$2:$K$825)), ROW(100:100))), "")</f>
        <v>6500</v>
      </c>
      <c r="K103" s="29" t="str">
        <f aca="false" t="array" ref="K103:K103">IFERROR(INDEX('Bank Schedule'!K:K, SMALL(IF('Bank Schedule'!$K$2:$K$825="Vacant", ROW('Bank Schedule'!$K$2:$K$825)), ROW(100:100))), "")</f>
        <v>Vacant</v>
      </c>
      <c r="L103" s="306" t="n">
        <f aca="false">IFERROR(INDEX('Bank Schedule'!L:L, SMALL(IF('Bank Schedule'!$K$2:$K$825="Vacant", ROW('Bank Schedule'!$K$2:$K$825)), ROW(100:100))), "")</f>
        <v>44729</v>
      </c>
      <c r="M103" s="306" t="n">
        <f aca="false">IFERROR(INDEX('Bank Schedule'!M:M, SMALL(IF('Bank Schedule'!$K$2:$K$825="Vacant", ROW('Bank Schedule'!$K$2:$K$825)), ROW(100:100))), "")</f>
        <v>50207</v>
      </c>
      <c r="N103" s="307" t="n">
        <f aca="false" t="array" ref="N103:N103">IFERROR(INDEX('Bank Schedule'!N:N, SMALL(IF('Bank Schedule'!$K$2:$K$825="Vacant", ROW('Bank Schedule'!$K$2:$K$825)), ROW(100:100))), "")</f>
        <v>44172</v>
      </c>
      <c r="O103" s="306" t="n">
        <f aca="false">IFERROR(INDEX('Bank Schedule'!O:O, SMALL(IF('Bank Schedule'!$K$2:$K$825="Vacant", ROW('Bank Schedule'!$K$2:$K$825)), ROW(100:100))), "")</f>
        <v>46555</v>
      </c>
      <c r="P103" s="306" t="n">
        <f aca="false">IFERROR(INDEX('Bank Schedule'!P:P, SMALL(IF('Bank Schedule'!$K$2:$K$825="Vacant", ROW('Bank Schedule'!$K$2:$K$825)), ROW(100:100))), "")</f>
        <v>48381</v>
      </c>
      <c r="Q103" s="29" t="n">
        <f aca="false" t="array" ref="Q103:Q103">IFERROR(INDEX('Bank Schedule'!Q:Q, SMALL(IF('Bank Schedule'!$K$2:$K$825="Vacant", ROW('Bank Schedule'!$K$2:$K$825)), ROW(100:100))), "")</f>
        <v>0</v>
      </c>
      <c r="R103" s="29" t="n">
        <f aca="false" t="array" ref="R103:R103">IFERROR(INDEX('Bank Schedule'!R:R, SMALL(IF('Bank Schedule'!$K$2:$K$825="Vacant", ROW('Bank Schedule'!$K$2:$K$825)), ROW(100:100))), "")</f>
        <v>0</v>
      </c>
      <c r="S103" s="308" t="n">
        <f aca="false">IFERROR(INDEX('Bank Schedule'!S:S, SMALL(IF('Bank Schedule'!$K$2:$K$825="Vacant", ROW('Bank Schedule'!$K$2:$K$825)), ROW(100:100))), "")</f>
        <v>0</v>
      </c>
      <c r="T103" s="309" t="n">
        <f aca="false" t="array" ref="T103:T103">IFERROR(INDEX('Bank Schedule'!T:T, SMALL(IF('Bank Schedule'!$K$2:$K$825="Vacant", ROW('Bank Schedule'!$K$2:$K$825)), ROW(100:100))), "")</f>
        <v>398200</v>
      </c>
      <c r="U103" s="309" t="n">
        <f aca="false" t="array" ref="U103:U103">IFERROR(INDEX('Bank Schedule'!U:U, SMALL(IF('Bank Schedule'!$K$2:$K$825="Vacant", ROW('Bank Schedule'!$K$2:$K$825)), ROW(100:100))), "")</f>
        <v>398200</v>
      </c>
      <c r="V103" s="309" t="n">
        <f aca="false" t="array" ref="V103:V103">IFERROR(INDEX('Bank Schedule'!V:V, SMALL(IF('Bank Schedule'!$K$2:$K$825="Vacant", ROW('Bank Schedule'!$K$2:$K$825)), ROW(100:100))), "")</f>
        <v>381600</v>
      </c>
      <c r="W103" s="309" t="n">
        <f aca="false" t="array" ref="W103:W103">IFERROR(INDEX('Bank Schedule'!W:W, SMALL(IF('Bank Schedule'!$K$2:$K$825="Vacant", ROW('Bank Schedule'!$K$2:$K$825)), ROW(100:100))), "")</f>
        <v>381600</v>
      </c>
      <c r="X103" s="309" t="n">
        <f aca="false" t="array" ref="X103:X103">IFERROR(INDEX('Bank Schedule'!X:X, SMALL(IF('Bank Schedule'!$K$2:$K$825="Vacant", ROW('Bank Schedule'!$K$2:$K$825)), ROW(100:100))), "")</f>
        <v>57.50452079566</v>
      </c>
      <c r="Y103" s="310" t="n">
        <f aca="false" t="array" ref="Y103:Y103">IFERROR(INDEX('Bank Schedule'!Y:Y, SMALL(IF('Bank Schedule'!$K$2:$K$825="Vacant", ROW('Bank Schedule'!$K$2:$K$825)), ROW(100:100))), "")</f>
        <v>-0.041687594173782</v>
      </c>
      <c r="Z103" s="29" t="str">
        <f aca="false" t="array" ref="Z103:Z103">IFERROR(INDEX('Bank Schedule'!Z:Z, SMALL(IF('Bank Schedule'!$K$2:$K$825="Vacant", ROW('Bank Schedule'!$K$2:$K$825)), ROW(100:100))), "")</f>
        <v>E</v>
      </c>
      <c r="AA103" s="308" t="n">
        <f aca="false">IFERROR(INDEX('Bank Schedule'!AA:AA, SMALL(IF('Bank Schedule'!$K$2:$K$825="Vacant", ROW('Bank Schedule'!$K$2:$K$825)), ROW(100:100))), "")</f>
        <v>0</v>
      </c>
      <c r="AB103" s="311" t="n">
        <f aca="false">IFERROR(INDEX('Bank Schedule'!AB:AB, SMALL(IF('Bank Schedule'!$K$2:$K$825="Vacant", ROW('Bank Schedule'!$K$2:$K$825)), ROW(100:100))), "")</f>
        <v>0</v>
      </c>
      <c r="AC103" s="29" t="str">
        <f aca="false" t="array" ref="AC103:AC103">IFERROR(INDEX('Bank Schedule'!AC:AC, SMALL(IF('Bank Schedule'!$K$2:$K$825="Vacant", ROW('Bank Schedule'!$K$2:$K$825)), ROW(100:100))), "")</f>
        <v>No</v>
      </c>
      <c r="AD103" s="29" t="str">
        <f aca="false" t="array" ref="AD103:AD103">IFERROR(INDEX('Bank Schedule'!AD:AD, SMALL(IF('Bank Schedule'!$K$2:$K$825="Vacant", ROW('Bank Schedule'!$K$2:$K$825)), ROW(100:100))), "")</f>
        <v>To be refurbished.</v>
      </c>
      <c r="AE103" s="281" t="n">
        <f aca="false">IFERROR(INDEX('Bank Schedule'!AE:AE, SMALL(IF('Bank Schedule'!$K$2:$K$825="Vacant", ROW('Bank Schedule'!$K$2:$K$825)), ROW(100:100))), "")</f>
        <v>0</v>
      </c>
      <c r="AF103" s="29" t="n">
        <f aca="false">IFERROR(INDEX('Bank Schedule'!AF:AF, SMALL(IF('Bank Schedule'!$K$2:$K$825="Vacant", ROW('Bank Schedule'!$K$2:$K$825)), ROW(100:100))), "")</f>
        <v>0</v>
      </c>
      <c r="AG103" s="29" t="n">
        <f aca="false">IFERROR(INDEX('Bank Schedule'!AG:AG, SMALL(IF('Bank Schedule'!$K$2:$K$825="Vacant", ROW('Bank Schedule'!$K$2:$K$825)), ROW(100:100))), "")</f>
        <v>0</v>
      </c>
      <c r="AH103" s="29" t="n">
        <f aca="false">IFERROR(INDEX('Bank Schedule'!AH:AH, SMALL(IF('Bank Schedule'!$K$2:$K$825="Vacant", ROW('Bank Schedule'!$K$2:$K$825)), ROW(100:100))), "")</f>
        <v>0</v>
      </c>
      <c r="AI103" s="4"/>
    </row>
    <row r="104" customFormat="false" ht="28.5" hidden="false" customHeight="true" outlineLevel="0" collapsed="false">
      <c r="A104" s="29" t="str">
        <f aca="false">IFERROR(INDEX('Bank Schedule'!A:A, SMALL(IF('Bank Schedule'!$K$2:$K$825="Vacant", ROW('Bank Schedule'!$K$2:$K$825)), ROW(101:101))), "")</f>
        <v/>
      </c>
      <c r="B104" s="29" t="str">
        <f aca="false" t="array" ref="B104:B104">IFERROR(INDEX('Bank Schedule'!B:B, SMALL(IF('Bank Schedule'!$K$2:$K$825="Vacant", ROW('Bank Schedule'!$K$2:$K$825)), ROW(101:101))), "")</f>
        <v>JM</v>
      </c>
      <c r="C104" s="29" t="str">
        <f aca="false" t="array" ref="C104:C104">IFERROR(INDEX('Bank Schedule'!C:C, SMALL(IF('Bank Schedule'!$K$2:$K$825="Vacant", ROW('Bank Schedule'!$K$2:$K$825)), ROW(101:101))), "")</f>
        <v>MEL</v>
      </c>
      <c r="D104" s="29" t="n">
        <f aca="false" t="array" ref="D104:D104">IFERROR(INDEX('Bank Schedule'!D:D, SMALL(IF('Bank Schedule'!$K$2:$K$825="Vacant", ROW('Bank Schedule'!$K$2:$K$825)), ROW(101:101))), "")</f>
        <v>100650</v>
      </c>
      <c r="E104" s="29" t="str">
        <f aca="false" t="array" ref="E104:E104">IFERROR(INDEX('Bank Schedule'!E:E, SMALL(IF('Bank Schedule'!$K$2:$K$825="Vacant", ROW('Bank Schedule'!$K$2:$K$825)), ROW(101:101))), "")</f>
        <v>50-60 Eastcastle Street</v>
      </c>
      <c r="F104" s="29" t="str">
        <f aca="false" t="array" ref="F104:F104">IFERROR(INDEX('Bank Schedule'!F:F, SMALL(IF('Bank Schedule'!$K$2:$K$825="Vacant", ROW('Bank Schedule'!$K$2:$K$825)), ROW(101:101))), "")</f>
        <v>First Floor (160, 180)</v>
      </c>
      <c r="G104" s="29" t="str">
        <f aca="false" t="array" ref="G104:G104">IFERROR(INDEX('Bank Schedule'!G:G, SMALL(IF('Bank Schedule'!$K$2:$K$825="Vacant", ROW('Bank Schedule'!$K$2:$K$825)), ROW(101:101))), "")</f>
        <v>Showroom/ Office</v>
      </c>
      <c r="H104" s="305" t="n">
        <f aca="false" t="array" ref="H104:H104">IFERROR(INDEX('Bank Schedule'!H:H, SMALL(IF('Bank Schedule'!$K$2:$K$825="Vacant", ROW('Bank Schedule'!$K$2:$K$825)), ROW(101:101))), "")</f>
        <v>950</v>
      </c>
      <c r="I104" s="29" t="n">
        <f aca="false" t="array" ref="I104:I104">IFERROR(INDEX('Bank Schedule'!I:I, SMALL(IF('Bank Schedule'!$K$2:$K$825="Vacant", ROW('Bank Schedule'!$K$2:$K$825)), ROW(101:101))), "")</f>
        <v>950</v>
      </c>
      <c r="J104" s="305" t="n">
        <f aca="false" t="array" ref="J104:J104">IFERROR(INDEX('Bank Schedule'!J:J, SMALL(IF('Bank Schedule'!$K$2:$K$825="Vacant", ROW('Bank Schedule'!$K$2:$K$825)), ROW(101:101))), "")</f>
        <v>1000</v>
      </c>
      <c r="K104" s="29" t="str">
        <f aca="false" t="array" ref="K104:K104">IFERROR(INDEX('Bank Schedule'!K:K, SMALL(IF('Bank Schedule'!$K$2:$K$825="Vacant", ROW('Bank Schedule'!$K$2:$K$825)), ROW(101:101))), "")</f>
        <v>Vacant</v>
      </c>
      <c r="L104" s="29" t="str">
        <f aca="false">IFERROR(INDEX('Bank Schedule'!L:L, SMALL(IF('Bank Schedule'!$K$2:$K$825="Vacant", ROW('Bank Schedule'!$K$2:$K$825)), ROW(101:101))), "")</f>
        <v/>
      </c>
      <c r="M104" s="29" t="str">
        <f aca="false">IFERROR(INDEX('Bank Schedule'!M:M, SMALL(IF('Bank Schedule'!$K$2:$K$825="Vacant", ROW('Bank Schedule'!$K$2:$K$825)), ROW(101:101))), "")</f>
        <v/>
      </c>
      <c r="N104" s="307" t="n">
        <f aca="false" t="array" ref="N104:N104">IFERROR(INDEX('Bank Schedule'!N:N, SMALL(IF('Bank Schedule'!$K$2:$K$825="Vacant", ROW('Bank Schedule'!$K$2:$K$825)), ROW(101:101))), "")</f>
        <v>44682</v>
      </c>
      <c r="O104" s="29" t="str">
        <f aca="false">IFERROR(INDEX('Bank Schedule'!O:O, SMALL(IF('Bank Schedule'!$K$2:$K$825="Vacant", ROW('Bank Schedule'!$K$2:$K$825)), ROW(101:101))), "")</f>
        <v/>
      </c>
      <c r="P104" s="29" t="str">
        <f aca="false">IFERROR(INDEX('Bank Schedule'!P:P, SMALL(IF('Bank Schedule'!$K$2:$K$825="Vacant", ROW('Bank Schedule'!$K$2:$K$825)), ROW(101:101))), "")</f>
        <v/>
      </c>
      <c r="Q104" s="29" t="n">
        <f aca="false" t="array" ref="Q104:Q104">IFERROR(INDEX('Bank Schedule'!Q:Q, SMALL(IF('Bank Schedule'!$K$2:$K$825="Vacant", ROW('Bank Schedule'!$K$2:$K$825)), ROW(101:101))), "")</f>
        <v>0</v>
      </c>
      <c r="R104" s="29" t="n">
        <f aca="false" t="array" ref="R104:R104">IFERROR(INDEX('Bank Schedule'!R:R, SMALL(IF('Bank Schedule'!$K$2:$K$825="Vacant", ROW('Bank Schedule'!$K$2:$K$825)), ROW(101:101))), "")</f>
        <v>0</v>
      </c>
      <c r="S104" s="29" t="str">
        <f aca="false">IFERROR(INDEX('Bank Schedule'!S:S, SMALL(IF('Bank Schedule'!$K$2:$K$825="Vacant", ROW('Bank Schedule'!$K$2:$K$825)), ROW(101:101))), "")</f>
        <v/>
      </c>
      <c r="T104" s="309" t="n">
        <f aca="false" t="array" ref="T104:T104">IFERROR(INDEX('Bank Schedule'!T:T, SMALL(IF('Bank Schedule'!$K$2:$K$825="Vacant", ROW('Bank Schedule'!$K$2:$K$825)), ROW(101:101))), "")</f>
        <v>57000</v>
      </c>
      <c r="U104" s="309" t="n">
        <f aca="false" t="array" ref="U104:U104">IFERROR(INDEX('Bank Schedule'!U:U, SMALL(IF('Bank Schedule'!$K$2:$K$825="Vacant", ROW('Bank Schedule'!$K$2:$K$825)), ROW(101:101))), "")</f>
        <v>57000</v>
      </c>
      <c r="V104" s="309" t="n">
        <f aca="false" t="array" ref="V104:V104">IFERROR(INDEX('Bank Schedule'!V:V, SMALL(IF('Bank Schedule'!$K$2:$K$825="Vacant", ROW('Bank Schedule'!$K$2:$K$825)), ROW(101:101))), "")</f>
        <v>54600</v>
      </c>
      <c r="W104" s="309" t="n">
        <f aca="false" t="array" ref="W104:W104">IFERROR(INDEX('Bank Schedule'!W:W, SMALL(IF('Bank Schedule'!$K$2:$K$825="Vacant", ROW('Bank Schedule'!$K$2:$K$825)), ROW(101:101))), "")</f>
        <v>54600</v>
      </c>
      <c r="X104" s="309" t="n">
        <f aca="false" t="array" ref="X104:X104">IFERROR(INDEX('Bank Schedule'!X:X, SMALL(IF('Bank Schedule'!$K$2:$K$825="Vacant", ROW('Bank Schedule'!$K$2:$K$825)), ROW(101:101))), "")</f>
        <v>57.4736842105263</v>
      </c>
      <c r="Y104" s="310" t="n">
        <f aca="false" t="array" ref="Y104:Y104">IFERROR(INDEX('Bank Schedule'!Y:Y, SMALL(IF('Bank Schedule'!$K$2:$K$825="Vacant", ROW('Bank Schedule'!$K$2:$K$825)), ROW(101:101))), "")</f>
        <v>-0.0421052631578947</v>
      </c>
      <c r="Z104" s="29" t="str">
        <f aca="false" t="array" ref="Z104:Z104">IFERROR(INDEX('Bank Schedule'!Z:Z, SMALL(IF('Bank Schedule'!$K$2:$K$825="Vacant", ROW('Bank Schedule'!$K$2:$K$825)), ROW(101:101))), "")</f>
        <v>D</v>
      </c>
      <c r="AA104" s="29" t="str">
        <f aca="false">IFERROR(INDEX('Bank Schedule'!AA:AA, SMALL(IF('Bank Schedule'!$K$2:$K$825="Vacant", ROW('Bank Schedule'!$K$2:$K$825)), ROW(101:101))), "")</f>
        <v/>
      </c>
      <c r="AB104" s="29" t="str">
        <f aca="false">IFERROR(INDEX('Bank Schedule'!AB:AB, SMALL(IF('Bank Schedule'!$K$2:$K$825="Vacant", ROW('Bank Schedule'!$K$2:$K$825)), ROW(101:101))), "")</f>
        <v/>
      </c>
      <c r="AC104" s="29" t="str">
        <f aca="false" t="array" ref="AC104:AC104">IFERROR(INDEX('Bank Schedule'!AC:AC, SMALL(IF('Bank Schedule'!$K$2:$K$825="Vacant", ROW('Bank Schedule'!$K$2:$K$825)), ROW(101:101))), "")</f>
        <v>No</v>
      </c>
      <c r="AD104" s="29" t="str">
        <f aca="false" t="array" ref="AD104:AD104">IFERROR(INDEX('Bank Schedule'!AD:AD, SMALL(IF('Bank Schedule'!$K$2:$K$825="Vacant", ROW('Bank Schedule'!$K$2:$K$825)), ROW(101:101))), "")</f>
        <v>To be refurbished.</v>
      </c>
      <c r="AE104" s="281" t="str">
        <f aca="false">IFERROR(INDEX('Bank Schedule'!AE:AE, SMALL(IF('Bank Schedule'!$K$2:$K$825="Vacant", ROW('Bank Schedule'!$K$2:$K$825)), ROW(101:101))), "")</f>
        <v/>
      </c>
      <c r="AF104" s="29" t="str">
        <f aca="false">IFERROR(INDEX('Bank Schedule'!AF:AF, SMALL(IF('Bank Schedule'!$K$2:$K$825="Vacant", ROW('Bank Schedule'!$K$2:$K$825)), ROW(101:101))), "")</f>
        <v/>
      </c>
      <c r="AG104" s="29" t="str">
        <f aca="false">IFERROR(INDEX('Bank Schedule'!AG:AG, SMALL(IF('Bank Schedule'!$K$2:$K$825="Vacant", ROW('Bank Schedule'!$K$2:$K$825)), ROW(101:101))), "")</f>
        <v/>
      </c>
      <c r="AH104" s="29" t="str">
        <f aca="false">IFERROR(INDEX('Bank Schedule'!AH:AH, SMALL(IF('Bank Schedule'!$K$2:$K$825="Vacant", ROW('Bank Schedule'!$K$2:$K$825)), ROW(101:101))), "")</f>
        <v/>
      </c>
      <c r="AI104" s="4"/>
    </row>
    <row r="105" customFormat="false" ht="28.5" hidden="false" customHeight="true" outlineLevel="0" collapsed="false">
      <c r="A105" s="29" t="str">
        <f aca="false">IFERROR(INDEX('Bank Schedule'!A:A, SMALL(IF('Bank Schedule'!$K$2:$K$825="Vacant", ROW('Bank Schedule'!$K$2:$K$825)), ROW(102:102))), "")</f>
        <v/>
      </c>
      <c r="B105" s="29" t="str">
        <f aca="false" t="array" ref="B105:B105">IFERROR(INDEX('Bank Schedule'!B:B, SMALL(IF('Bank Schedule'!$K$2:$K$825="Vacant", ROW('Bank Schedule'!$K$2:$K$825)), ROW(102:102))), "")</f>
        <v>JM</v>
      </c>
      <c r="C105" s="29" t="str">
        <f aca="false" t="array" ref="C105:C105">IFERROR(INDEX('Bank Schedule'!C:C, SMALL(IF('Bank Schedule'!$K$2:$K$825="Vacant", ROW('Bank Schedule'!$K$2:$K$825)), ROW(102:102))), "")</f>
        <v>MEL</v>
      </c>
      <c r="D105" s="29" t="n">
        <f aca="false" t="array" ref="D105:D105">IFERROR(INDEX('Bank Schedule'!D:D, SMALL(IF('Bank Schedule'!$K$2:$K$825="Vacant", ROW('Bank Schedule'!$K$2:$K$825)), ROW(102:102))), "")</f>
        <v>100650</v>
      </c>
      <c r="E105" s="29" t="str">
        <f aca="false" t="array" ref="E105:E105">IFERROR(INDEX('Bank Schedule'!E:E, SMALL(IF('Bank Schedule'!$K$2:$K$825="Vacant", ROW('Bank Schedule'!$K$2:$K$825)), ROW(102:102))), "")</f>
        <v>50-60 Eastcastle Street</v>
      </c>
      <c r="F105" s="29" t="str">
        <f aca="false" t="array" ref="F105:F105">IFERROR(INDEX('Bank Schedule'!F:F, SMALL(IF('Bank Schedule'!$K$2:$K$825="Vacant", ROW('Bank Schedule'!$K$2:$K$825)), ROW(102:102))), "")</f>
        <v>Second Floor (South)</v>
      </c>
      <c r="G105" s="29" t="str">
        <f aca="false" t="array" ref="G105:G105">IFERROR(INDEX('Bank Schedule'!G:G, SMALL(IF('Bank Schedule'!$K$2:$K$825="Vacant", ROW('Bank Schedule'!$K$2:$K$825)), ROW(102:102))), "")</f>
        <v>Office</v>
      </c>
      <c r="H105" s="305" t="n">
        <f aca="false" t="array" ref="H105:H105">IFERROR(INDEX('Bank Schedule'!H:H, SMALL(IF('Bank Schedule'!$K$2:$K$825="Vacant", ROW('Bank Schedule'!$K$2:$K$825)), ROW(102:102))), "")</f>
        <v>15445</v>
      </c>
      <c r="I105" s="29" t="n">
        <f aca="false" t="array" ref="I105:I105">IFERROR(INDEX('Bank Schedule'!I:I, SMALL(IF('Bank Schedule'!$K$2:$K$825="Vacant", ROW('Bank Schedule'!$K$2:$K$825)), ROW(102:102))), "")</f>
        <v>15445</v>
      </c>
      <c r="J105" s="305" t="n">
        <f aca="false" t="array" ref="J105:J105">IFERROR(INDEX('Bank Schedule'!J:J, SMALL(IF('Bank Schedule'!$K$2:$K$825="Vacant", ROW('Bank Schedule'!$K$2:$K$825)), ROW(102:102))), "")</f>
        <v>15500</v>
      </c>
      <c r="K105" s="29" t="str">
        <f aca="false" t="array" ref="K105:K105">IFERROR(INDEX('Bank Schedule'!K:K, SMALL(IF('Bank Schedule'!$K$2:$K$825="Vacant", ROW('Bank Schedule'!$K$2:$K$825)), ROW(102:102))), "")</f>
        <v>Vacant</v>
      </c>
      <c r="L105" s="29" t="str">
        <f aca="false">IFERROR(INDEX('Bank Schedule'!L:L, SMALL(IF('Bank Schedule'!$K$2:$K$825="Vacant", ROW('Bank Schedule'!$K$2:$K$825)), ROW(102:102))), "")</f>
        <v/>
      </c>
      <c r="M105" s="29" t="str">
        <f aca="false">IFERROR(INDEX('Bank Schedule'!M:M, SMALL(IF('Bank Schedule'!$K$2:$K$825="Vacant", ROW('Bank Schedule'!$K$2:$K$825)), ROW(102:102))), "")</f>
        <v/>
      </c>
      <c r="N105" s="307" t="n">
        <f aca="false" t="array" ref="N105:N105">IFERROR(INDEX('Bank Schedule'!N:N, SMALL(IF('Bank Schedule'!$K$2:$K$825="Vacant", ROW('Bank Schedule'!$K$2:$K$825)), ROW(102:102))), "")</f>
        <v>45358</v>
      </c>
      <c r="O105" s="29" t="str">
        <f aca="false">IFERROR(INDEX('Bank Schedule'!O:O, SMALL(IF('Bank Schedule'!$K$2:$K$825="Vacant", ROW('Bank Schedule'!$K$2:$K$825)), ROW(102:102))), "")</f>
        <v/>
      </c>
      <c r="P105" s="29" t="str">
        <f aca="false">IFERROR(INDEX('Bank Schedule'!P:P, SMALL(IF('Bank Schedule'!$K$2:$K$825="Vacant", ROW('Bank Schedule'!$K$2:$K$825)), ROW(102:102))), "")</f>
        <v/>
      </c>
      <c r="Q105" s="29" t="n">
        <f aca="false" t="array" ref="Q105:Q105">IFERROR(INDEX('Bank Schedule'!Q:Q, SMALL(IF('Bank Schedule'!$K$2:$K$825="Vacant", ROW('Bank Schedule'!$K$2:$K$825)), ROW(102:102))), "")</f>
        <v>0</v>
      </c>
      <c r="R105" s="29" t="n">
        <f aca="false" t="array" ref="R105:R105">IFERROR(INDEX('Bank Schedule'!R:R, SMALL(IF('Bank Schedule'!$K$2:$K$825="Vacant", ROW('Bank Schedule'!$K$2:$K$825)), ROW(102:102))), "")</f>
        <v>0</v>
      </c>
      <c r="S105" s="29" t="str">
        <f aca="false">IFERROR(INDEX('Bank Schedule'!S:S, SMALL(IF('Bank Schedule'!$K$2:$K$825="Vacant", ROW('Bank Schedule'!$K$2:$K$825)), ROW(102:102))), "")</f>
        <v/>
      </c>
      <c r="T105" s="309" t="n">
        <f aca="false" t="array" ref="T105:T105">IFERROR(INDEX('Bank Schedule'!T:T, SMALL(IF('Bank Schedule'!$K$2:$K$825="Vacant", ROW('Bank Schedule'!$K$2:$K$825)), ROW(102:102))), "")</f>
        <v>926700</v>
      </c>
      <c r="U105" s="309" t="n">
        <f aca="false" t="array" ref="U105:U105">IFERROR(INDEX('Bank Schedule'!U:U, SMALL(IF('Bank Schedule'!$K$2:$K$825="Vacant", ROW('Bank Schedule'!$K$2:$K$825)), ROW(102:102))), "")</f>
        <v>926700</v>
      </c>
      <c r="V105" s="309" t="n">
        <f aca="false" t="array" ref="V105:V105">IFERROR(INDEX('Bank Schedule'!V:V, SMALL(IF('Bank Schedule'!$K$2:$K$825="Vacant", ROW('Bank Schedule'!$K$2:$K$825)), ROW(102:102))), "")</f>
        <v>810900</v>
      </c>
      <c r="W105" s="309" t="n">
        <f aca="false" t="array" ref="W105:W105">IFERROR(INDEX('Bank Schedule'!W:W, SMALL(IF('Bank Schedule'!$K$2:$K$825="Vacant", ROW('Bank Schedule'!$K$2:$K$825)), ROW(102:102))), "")</f>
        <v>810900</v>
      </c>
      <c r="X105" s="309" t="n">
        <f aca="false" t="array" ref="X105:X105">IFERROR(INDEX('Bank Schedule'!X:X, SMALL(IF('Bank Schedule'!$K$2:$K$825="Vacant", ROW('Bank Schedule'!$K$2:$K$825)), ROW(102:102))), "")</f>
        <v>52.5024279702169</v>
      </c>
      <c r="Y105" s="310" t="n">
        <f aca="false" t="array" ref="Y105:Y105">IFERROR(INDEX('Bank Schedule'!Y:Y, SMALL(IF('Bank Schedule'!$K$2:$K$825="Vacant", ROW('Bank Schedule'!$K$2:$K$825)), ROW(102:102))), "")</f>
        <v>-0.124959533829718</v>
      </c>
      <c r="Z105" s="29" t="str">
        <f aca="false" t="array" ref="Z105:Z105">IFERROR(INDEX('Bank Schedule'!Z:Z, SMALL(IF('Bank Schedule'!$K$2:$K$825="Vacant", ROW('Bank Schedule'!$K$2:$K$825)), ROW(102:102))), "")</f>
        <v>D</v>
      </c>
      <c r="AA105" s="29" t="str">
        <f aca="false">IFERROR(INDEX('Bank Schedule'!AA:AA, SMALL(IF('Bank Schedule'!$K$2:$K$825="Vacant", ROW('Bank Schedule'!$K$2:$K$825)), ROW(102:102))), "")</f>
        <v/>
      </c>
      <c r="AB105" s="29" t="str">
        <f aca="false">IFERROR(INDEX('Bank Schedule'!AB:AB, SMALL(IF('Bank Schedule'!$K$2:$K$825="Vacant", ROW('Bank Schedule'!$K$2:$K$825)), ROW(102:102))), "")</f>
        <v/>
      </c>
      <c r="AC105" s="29" t="str">
        <f aca="false" t="array" ref="AC105:AC105">IFERROR(INDEX('Bank Schedule'!AC:AC, SMALL(IF('Bank Schedule'!$K$2:$K$825="Vacant", ROW('Bank Schedule'!$K$2:$K$825)), ROW(102:102))), "")</f>
        <v>No</v>
      </c>
      <c r="AD105" s="29" t="str">
        <f aca="false" t="array" ref="AD105:AD105">IFERROR(INDEX('Bank Schedule'!AD:AD, SMALL(IF('Bank Schedule'!$K$2:$K$825="Vacant", ROW('Bank Schedule'!$K$2:$K$825)), ROW(102:102))), "")</f>
        <v>To be refurbished.</v>
      </c>
      <c r="AE105" s="281" t="str">
        <f aca="false">IFERROR(INDEX('Bank Schedule'!AE:AE, SMALL(IF('Bank Schedule'!$K$2:$K$825="Vacant", ROW('Bank Schedule'!$K$2:$K$825)), ROW(102:102))), "")</f>
        <v/>
      </c>
      <c r="AF105" s="29" t="n">
        <f aca="false" t="array" ref="AF105:AF105">IFERROR(INDEX('Bank Schedule'!AF:AF, SMALL(IF('Bank Schedule'!$K$2:$K$825="Vacant", ROW('Bank Schedule'!$K$2:$K$825)), ROW(102:102))), "")</f>
        <v>3</v>
      </c>
      <c r="AG105" s="29" t="n">
        <f aca="false" t="array" ref="AG105:AG105">IFERROR(INDEX('Bank Schedule'!AG:AG, SMALL(IF('Bank Schedule'!$K$2:$K$825="Vacant", ROW('Bank Schedule'!$K$2:$K$825)), ROW(102:102))), "")</f>
        <v>3</v>
      </c>
      <c r="AH105" s="29" t="str">
        <f aca="false" t="array" ref="AH105:AH105">IFERROR(INDEX('Bank Schedule'!AH:AH, SMALL(IF('Bank Schedule'!$K$2:$K$825="Vacant", ROW('Bank Schedule'!$K$2:$K$825)), ROW(102:102))), "")</f>
        <v>LEM</v>
      </c>
      <c r="AI105" s="4"/>
    </row>
    <row r="106" customFormat="false" ht="28.5" hidden="false" customHeight="true" outlineLevel="0" collapsed="false">
      <c r="A106" s="29" t="str">
        <f aca="false">IFERROR(INDEX('Bank Schedule'!A:A, SMALL(IF('Bank Schedule'!$K$2:$K$825="Vacant", ROW('Bank Schedule'!$K$2:$K$825)), ROW(103:103))), "")</f>
        <v/>
      </c>
      <c r="B106" s="29" t="str">
        <f aca="false" t="array" ref="B106:B106">IFERROR(INDEX('Bank Schedule'!B:B, SMALL(IF('Bank Schedule'!$K$2:$K$825="Vacant", ROW('Bank Schedule'!$K$2:$K$825)), ROW(103:103))), "")</f>
        <v>JM</v>
      </c>
      <c r="C106" s="29" t="str">
        <f aca="false" t="array" ref="C106:C106">IFERROR(INDEX('Bank Schedule'!C:C, SMALL(IF('Bank Schedule'!$K$2:$K$825="Vacant", ROW('Bank Schedule'!$K$2:$K$825)), ROW(103:103))), "")</f>
        <v>MEL</v>
      </c>
      <c r="D106" s="29" t="n">
        <f aca="false" t="array" ref="D106:D106">IFERROR(INDEX('Bank Schedule'!D:D, SMALL(IF('Bank Schedule'!$K$2:$K$825="Vacant", ROW('Bank Schedule'!$K$2:$K$825)), ROW(103:103))), "")</f>
        <v>100650</v>
      </c>
      <c r="E106" s="29" t="str">
        <f aca="false" t="array" ref="E106:E106">IFERROR(INDEX('Bank Schedule'!E:E, SMALL(IF('Bank Schedule'!$K$2:$K$825="Vacant", ROW('Bank Schedule'!$K$2:$K$825)), ROW(103:103))), "")</f>
        <v>50-60 Eastcastle Street</v>
      </c>
      <c r="F106" s="29" t="str">
        <f aca="false" t="array" ref="F106:F106">IFERROR(INDEX('Bank Schedule'!F:F, SMALL(IF('Bank Schedule'!$K$2:$K$825="Vacant", ROW('Bank Schedule'!$K$2:$K$825)), ROW(103:103))), "")</f>
        <v>Second Floor (210,220, 230 &amp; 231)</v>
      </c>
      <c r="G106" s="29" t="str">
        <f aca="false" t="array" ref="G106:G106">IFERROR(INDEX('Bank Schedule'!G:G, SMALL(IF('Bank Schedule'!$K$2:$K$825="Vacant", ROW('Bank Schedule'!$K$2:$K$825)), ROW(103:103))), "")</f>
        <v>Office</v>
      </c>
      <c r="H106" s="305" t="n">
        <f aca="false" t="array" ref="H106:H106">IFERROR(INDEX('Bank Schedule'!H:H, SMALL(IF('Bank Schedule'!$K$2:$K$825="Vacant", ROW('Bank Schedule'!$K$2:$K$825)), ROW(103:103))), "")</f>
        <v>3461</v>
      </c>
      <c r="I106" s="29" t="n">
        <f aca="false" t="array" ref="I106:I106">IFERROR(INDEX('Bank Schedule'!I:I, SMALL(IF('Bank Schedule'!$K$2:$K$825="Vacant", ROW('Bank Schedule'!$K$2:$K$825)), ROW(103:103))), "")</f>
        <v>3461</v>
      </c>
      <c r="J106" s="305" t="n">
        <f aca="false" t="array" ref="J106:J106">IFERROR(INDEX('Bank Schedule'!J:J, SMALL(IF('Bank Schedule'!$K$2:$K$825="Vacant", ROW('Bank Schedule'!$K$2:$K$825)), ROW(103:103))), "")</f>
        <v>3500</v>
      </c>
      <c r="K106" s="29" t="str">
        <f aca="false" t="array" ref="K106:K106">IFERROR(INDEX('Bank Schedule'!K:K, SMALL(IF('Bank Schedule'!$K$2:$K$825="Vacant", ROW('Bank Schedule'!$K$2:$K$825)), ROW(103:103))), "")</f>
        <v>Vacant</v>
      </c>
      <c r="L106" s="29" t="str">
        <f aca="false">IFERROR(INDEX('Bank Schedule'!L:L, SMALL(IF('Bank Schedule'!$K$2:$K$825="Vacant", ROW('Bank Schedule'!$K$2:$K$825)), ROW(103:103))), "")</f>
        <v/>
      </c>
      <c r="M106" s="29" t="str">
        <f aca="false">IFERROR(INDEX('Bank Schedule'!M:M, SMALL(IF('Bank Schedule'!$K$2:$K$825="Vacant", ROW('Bank Schedule'!$K$2:$K$825)), ROW(103:103))), "")</f>
        <v/>
      </c>
      <c r="N106" s="307" t="n">
        <f aca="false" t="array" ref="N106:N106">IFERROR(INDEX('Bank Schedule'!N:N, SMALL(IF('Bank Schedule'!$K$2:$K$825="Vacant", ROW('Bank Schedule'!$K$2:$K$825)), ROW(103:103))), "")</f>
        <v>44958</v>
      </c>
      <c r="O106" s="29" t="str">
        <f aca="false">IFERROR(INDEX('Bank Schedule'!O:O, SMALL(IF('Bank Schedule'!$K$2:$K$825="Vacant", ROW('Bank Schedule'!$K$2:$K$825)), ROW(103:103))), "")</f>
        <v/>
      </c>
      <c r="P106" s="29" t="str">
        <f aca="false">IFERROR(INDEX('Bank Schedule'!P:P, SMALL(IF('Bank Schedule'!$K$2:$K$825="Vacant", ROW('Bank Schedule'!$K$2:$K$825)), ROW(103:103))), "")</f>
        <v/>
      </c>
      <c r="Q106" s="29" t="n">
        <f aca="false" t="array" ref="Q106:Q106">IFERROR(INDEX('Bank Schedule'!Q:Q, SMALL(IF('Bank Schedule'!$K$2:$K$825="Vacant", ROW('Bank Schedule'!$K$2:$K$825)), ROW(103:103))), "")</f>
        <v>0</v>
      </c>
      <c r="R106" s="29" t="n">
        <f aca="false" t="array" ref="R106:R106">IFERROR(INDEX('Bank Schedule'!R:R, SMALL(IF('Bank Schedule'!$K$2:$K$825="Vacant", ROW('Bank Schedule'!$K$2:$K$825)), ROW(103:103))), "")</f>
        <v>0</v>
      </c>
      <c r="S106" s="29" t="str">
        <f aca="false">IFERROR(INDEX('Bank Schedule'!S:S, SMALL(IF('Bank Schedule'!$K$2:$K$825="Vacant", ROW('Bank Schedule'!$K$2:$K$825)), ROW(103:103))), "")</f>
        <v/>
      </c>
      <c r="T106" s="309" t="n">
        <f aca="false" t="array" ref="T106:T106">IFERROR(INDEX('Bank Schedule'!T:T, SMALL(IF('Bank Schedule'!$K$2:$K$825="Vacant", ROW('Bank Schedule'!$K$2:$K$825)), ROW(103:103))), "")</f>
        <v>207700</v>
      </c>
      <c r="U106" s="309" t="n">
        <f aca="false" t="array" ref="U106:U106">IFERROR(INDEX('Bank Schedule'!U:U, SMALL(IF('Bank Schedule'!$K$2:$K$825="Vacant", ROW('Bank Schedule'!$K$2:$K$825)), ROW(103:103))), "")</f>
        <v>207700</v>
      </c>
      <c r="V106" s="309" t="n">
        <f aca="false" t="array" ref="V106:V106">IFERROR(INDEX('Bank Schedule'!V:V, SMALL(IF('Bank Schedule'!$K$2:$K$825="Vacant", ROW('Bank Schedule'!$K$2:$K$825)), ROW(103:103))), "")</f>
        <v>199000</v>
      </c>
      <c r="W106" s="309" t="n">
        <f aca="false" t="array" ref="W106:W106">IFERROR(INDEX('Bank Schedule'!W:W, SMALL(IF('Bank Schedule'!$K$2:$K$825="Vacant", ROW('Bank Schedule'!$K$2:$K$825)), ROW(103:103))), "")</f>
        <v>199000</v>
      </c>
      <c r="X106" s="309" t="n">
        <f aca="false" t="array" ref="X106:X106">IFERROR(INDEX('Bank Schedule'!X:X, SMALL(IF('Bank Schedule'!$K$2:$K$825="Vacant", ROW('Bank Schedule'!$K$2:$K$825)), ROW(103:103))), "")</f>
        <v>57.4978329962439</v>
      </c>
      <c r="Y106" s="310" t="n">
        <f aca="false" t="array" ref="Y106:Y106">IFERROR(INDEX('Bank Schedule'!Y:Y, SMALL(IF('Bank Schedule'!$K$2:$K$825="Vacant", ROW('Bank Schedule'!$K$2:$K$825)), ROW(103:103))), "")</f>
        <v>-0.0418873375060183</v>
      </c>
      <c r="Z106" s="29" t="str">
        <f aca="false" t="array" ref="Z106:Z106">IFERROR(INDEX('Bank Schedule'!Z:Z, SMALL(IF('Bank Schedule'!$K$2:$K$825="Vacant", ROW('Bank Schedule'!$K$2:$K$825)), ROW(103:103))), "")</f>
        <v>D</v>
      </c>
      <c r="AA106" s="29" t="str">
        <f aca="false">IFERROR(INDEX('Bank Schedule'!AA:AA, SMALL(IF('Bank Schedule'!$K$2:$K$825="Vacant", ROW('Bank Schedule'!$K$2:$K$825)), ROW(103:103))), "")</f>
        <v/>
      </c>
      <c r="AB106" s="29" t="str">
        <f aca="false">IFERROR(INDEX('Bank Schedule'!AB:AB, SMALL(IF('Bank Schedule'!$K$2:$K$825="Vacant", ROW('Bank Schedule'!$K$2:$K$825)), ROW(103:103))), "")</f>
        <v/>
      </c>
      <c r="AC106" s="29" t="str">
        <f aca="false" t="array" ref="AC106:AC106">IFERROR(INDEX('Bank Schedule'!AC:AC, SMALL(IF('Bank Schedule'!$K$2:$K$825="Vacant", ROW('Bank Schedule'!$K$2:$K$825)), ROW(103:103))), "")</f>
        <v>No</v>
      </c>
      <c r="AD106" s="29" t="str">
        <f aca="false" t="array" ref="AD106:AD106">IFERROR(INDEX('Bank Schedule'!AD:AD, SMALL(IF('Bank Schedule'!$K$2:$K$825="Vacant", ROW('Bank Schedule'!$K$2:$K$825)), ROW(103:103))), "")</f>
        <v>To be refurbished.</v>
      </c>
      <c r="AE106" s="281" t="str">
        <f aca="false">IFERROR(INDEX('Bank Schedule'!AE:AE, SMALL(IF('Bank Schedule'!$K$2:$K$825="Vacant", ROW('Bank Schedule'!$K$2:$K$825)), ROW(103:103))), "")</f>
        <v/>
      </c>
      <c r="AF106" s="29" t="n">
        <f aca="false" t="array" ref="AF106:AF106">IFERROR(INDEX('Bank Schedule'!AF:AF, SMALL(IF('Bank Schedule'!$K$2:$K$825="Vacant", ROW('Bank Schedule'!$K$2:$K$825)), ROW(103:103))), "")</f>
        <v>1</v>
      </c>
      <c r="AG106" s="29" t="n">
        <f aca="false" t="array" ref="AG106:AG106">IFERROR(INDEX('Bank Schedule'!AG:AG, SMALL(IF('Bank Schedule'!$K$2:$K$825="Vacant", ROW('Bank Schedule'!$K$2:$K$825)), ROW(103:103))), "")</f>
        <v>1</v>
      </c>
      <c r="AH106" s="29" t="str">
        <f aca="false">IFERROR(INDEX('Bank Schedule'!AH:AH, SMALL(IF('Bank Schedule'!$K$2:$K$825="Vacant", ROW('Bank Schedule'!$K$2:$K$825)), ROW(103:103))), "")</f>
        <v/>
      </c>
      <c r="AI106" s="4"/>
    </row>
    <row r="107" customFormat="false" ht="28.5" hidden="false" customHeight="true" outlineLevel="0" collapsed="false">
      <c r="A107" s="29" t="str">
        <f aca="false">IFERROR(INDEX('Bank Schedule'!A:A, SMALL(IF('Bank Schedule'!$K$2:$K$825="Vacant", ROW('Bank Schedule'!$K$2:$K$825)), ROW(104:104))), "")</f>
        <v/>
      </c>
      <c r="B107" s="29" t="str">
        <f aca="false" t="array" ref="B107:B107">IFERROR(INDEX('Bank Schedule'!B:B, SMALL(IF('Bank Schedule'!$K$2:$K$825="Vacant", ROW('Bank Schedule'!$K$2:$K$825)), ROW(104:104))), "")</f>
        <v>JM</v>
      </c>
      <c r="C107" s="29" t="str">
        <f aca="false" t="array" ref="C107:C107">IFERROR(INDEX('Bank Schedule'!C:C, SMALL(IF('Bank Schedule'!$K$2:$K$825="Vacant", ROW('Bank Schedule'!$K$2:$K$825)), ROW(104:104))), "")</f>
        <v>MEL</v>
      </c>
      <c r="D107" s="29" t="n">
        <f aca="false" t="array" ref="D107:D107">IFERROR(INDEX('Bank Schedule'!D:D, SMALL(IF('Bank Schedule'!$K$2:$K$825="Vacant", ROW('Bank Schedule'!$K$2:$K$825)), ROW(104:104))), "")</f>
        <v>100650</v>
      </c>
      <c r="E107" s="29" t="str">
        <f aca="false" t="array" ref="E107:E107">IFERROR(INDEX('Bank Schedule'!E:E, SMALL(IF('Bank Schedule'!$K$2:$K$825="Vacant", ROW('Bank Schedule'!$K$2:$K$825)), ROW(104:104))), "")</f>
        <v>50-60 Eastcastle Street</v>
      </c>
      <c r="F107" s="29" t="str">
        <f aca="false" t="array" ref="F107:F107">IFERROR(INDEX('Bank Schedule'!F:F, SMALL(IF('Bank Schedule'!$K$2:$K$825="Vacant", ROW('Bank Schedule'!$K$2:$K$825)), ROW(104:104))), "")</f>
        <v>Second Floor (240)</v>
      </c>
      <c r="G107" s="29" t="str">
        <f aca="false" t="array" ref="G107:G107">IFERROR(INDEX('Bank Schedule'!G:G, SMALL(IF('Bank Schedule'!$K$2:$K$825="Vacant", ROW('Bank Schedule'!$K$2:$K$825)), ROW(104:104))), "")</f>
        <v>Office</v>
      </c>
      <c r="H107" s="305" t="n">
        <f aca="false" t="array" ref="H107:H107">IFERROR(INDEX('Bank Schedule'!H:H, SMALL(IF('Bank Schedule'!$K$2:$K$825="Vacant", ROW('Bank Schedule'!$K$2:$K$825)), ROW(104:104))), "")</f>
        <v>445</v>
      </c>
      <c r="I107" s="29" t="n">
        <f aca="false" t="array" ref="I107:I107">IFERROR(INDEX('Bank Schedule'!I:I, SMALL(IF('Bank Schedule'!$K$2:$K$825="Vacant", ROW('Bank Schedule'!$K$2:$K$825)), ROW(104:104))), "")</f>
        <v>445</v>
      </c>
      <c r="J107" s="305" t="n">
        <f aca="false" t="array" ref="J107:J107">IFERROR(INDEX('Bank Schedule'!J:J, SMALL(IF('Bank Schedule'!$K$2:$K$825="Vacant", ROW('Bank Schedule'!$K$2:$K$825)), ROW(104:104))), "")</f>
        <v>500</v>
      </c>
      <c r="K107" s="29" t="str">
        <f aca="false" t="array" ref="K107:K107">IFERROR(INDEX('Bank Schedule'!K:K, SMALL(IF('Bank Schedule'!$K$2:$K$825="Vacant", ROW('Bank Schedule'!$K$2:$K$825)), ROW(104:104))), "")</f>
        <v>Vacant</v>
      </c>
      <c r="L107" s="29" t="str">
        <f aca="false">IFERROR(INDEX('Bank Schedule'!L:L, SMALL(IF('Bank Schedule'!$K$2:$K$825="Vacant", ROW('Bank Schedule'!$K$2:$K$825)), ROW(104:104))), "")</f>
        <v/>
      </c>
      <c r="M107" s="29" t="str">
        <f aca="false">IFERROR(INDEX('Bank Schedule'!M:M, SMALL(IF('Bank Schedule'!$K$2:$K$825="Vacant", ROW('Bank Schedule'!$K$2:$K$825)), ROW(104:104))), "")</f>
        <v/>
      </c>
      <c r="N107" s="307" t="n">
        <f aca="false" t="array" ref="N107:N107">IFERROR(INDEX('Bank Schedule'!N:N, SMALL(IF('Bank Schedule'!$K$2:$K$825="Vacant", ROW('Bank Schedule'!$K$2:$K$825)), ROW(104:104))), "")</f>
        <v>44849</v>
      </c>
      <c r="O107" s="29" t="str">
        <f aca="false">IFERROR(INDEX('Bank Schedule'!O:O, SMALL(IF('Bank Schedule'!$K$2:$K$825="Vacant", ROW('Bank Schedule'!$K$2:$K$825)), ROW(104:104))), "")</f>
        <v/>
      </c>
      <c r="P107" s="29" t="str">
        <f aca="false">IFERROR(INDEX('Bank Schedule'!P:P, SMALL(IF('Bank Schedule'!$K$2:$K$825="Vacant", ROW('Bank Schedule'!$K$2:$K$825)), ROW(104:104))), "")</f>
        <v/>
      </c>
      <c r="Q107" s="29" t="n">
        <f aca="false" t="array" ref="Q107:Q107">IFERROR(INDEX('Bank Schedule'!Q:Q, SMALL(IF('Bank Schedule'!$K$2:$K$825="Vacant", ROW('Bank Schedule'!$K$2:$K$825)), ROW(104:104))), "")</f>
        <v>0</v>
      </c>
      <c r="R107" s="29" t="n">
        <f aca="false" t="array" ref="R107:R107">IFERROR(INDEX('Bank Schedule'!R:R, SMALL(IF('Bank Schedule'!$K$2:$K$825="Vacant", ROW('Bank Schedule'!$K$2:$K$825)), ROW(104:104))), "")</f>
        <v>0</v>
      </c>
      <c r="S107" s="29" t="str">
        <f aca="false">IFERROR(INDEX('Bank Schedule'!S:S, SMALL(IF('Bank Schedule'!$K$2:$K$825="Vacant", ROW('Bank Schedule'!$K$2:$K$825)), ROW(104:104))), "")</f>
        <v/>
      </c>
      <c r="T107" s="309" t="n">
        <f aca="false" t="array" ref="T107:T107">IFERROR(INDEX('Bank Schedule'!T:T, SMALL(IF('Bank Schedule'!$K$2:$K$825="Vacant", ROW('Bank Schedule'!$K$2:$K$825)), ROW(104:104))), "")</f>
        <v>26700</v>
      </c>
      <c r="U107" s="309" t="n">
        <f aca="false" t="array" ref="U107:U107">IFERROR(INDEX('Bank Schedule'!U:U, SMALL(IF('Bank Schedule'!$K$2:$K$825="Vacant", ROW('Bank Schedule'!$K$2:$K$825)), ROW(104:104))), "")</f>
        <v>26700</v>
      </c>
      <c r="V107" s="309" t="n">
        <f aca="false" t="array" ref="V107:V107">IFERROR(INDEX('Bank Schedule'!V:V, SMALL(IF('Bank Schedule'!$K$2:$K$825="Vacant", ROW('Bank Schedule'!$K$2:$K$825)), ROW(104:104))), "")</f>
        <v>25600</v>
      </c>
      <c r="W107" s="309" t="n">
        <f aca="false" t="array" ref="W107:W107">IFERROR(INDEX('Bank Schedule'!W:W, SMALL(IF('Bank Schedule'!$K$2:$K$825="Vacant", ROW('Bank Schedule'!$K$2:$K$825)), ROW(104:104))), "")</f>
        <v>25600</v>
      </c>
      <c r="X107" s="309" t="n">
        <f aca="false" t="array" ref="X107:X107">IFERROR(INDEX('Bank Schedule'!X:X, SMALL(IF('Bank Schedule'!$K$2:$K$825="Vacant", ROW('Bank Schedule'!$K$2:$K$825)), ROW(104:104))), "")</f>
        <v>57.5280898876405</v>
      </c>
      <c r="Y107" s="310" t="n">
        <f aca="false" t="array" ref="Y107:Y107">IFERROR(INDEX('Bank Schedule'!Y:Y, SMALL(IF('Bank Schedule'!$K$2:$K$825="Vacant", ROW('Bank Schedule'!$K$2:$K$825)), ROW(104:104))), "")</f>
        <v>-0.0411985018726592</v>
      </c>
      <c r="Z107" s="29" t="str">
        <f aca="false" t="array" ref="Z107:Z107">IFERROR(INDEX('Bank Schedule'!Z:Z, SMALL(IF('Bank Schedule'!$K$2:$K$825="Vacant", ROW('Bank Schedule'!$K$2:$K$825)), ROW(104:104))), "")</f>
        <v>D</v>
      </c>
      <c r="AA107" s="29" t="str">
        <f aca="false">IFERROR(INDEX('Bank Schedule'!AA:AA, SMALL(IF('Bank Schedule'!$K$2:$K$825="Vacant", ROW('Bank Schedule'!$K$2:$K$825)), ROW(104:104))), "")</f>
        <v/>
      </c>
      <c r="AB107" s="29" t="str">
        <f aca="false">IFERROR(INDEX('Bank Schedule'!AB:AB, SMALL(IF('Bank Schedule'!$K$2:$K$825="Vacant", ROW('Bank Schedule'!$K$2:$K$825)), ROW(104:104))), "")</f>
        <v/>
      </c>
      <c r="AC107" s="29" t="str">
        <f aca="false" t="array" ref="AC107:AC107">IFERROR(INDEX('Bank Schedule'!AC:AC, SMALL(IF('Bank Schedule'!$K$2:$K$825="Vacant", ROW('Bank Schedule'!$K$2:$K$825)), ROW(104:104))), "")</f>
        <v>No</v>
      </c>
      <c r="AD107" s="29" t="str">
        <f aca="false" t="array" ref="AD107:AD107">IFERROR(INDEX('Bank Schedule'!AD:AD, SMALL(IF('Bank Schedule'!$K$2:$K$825="Vacant", ROW('Bank Schedule'!$K$2:$K$825)), ROW(104:104))), "")</f>
        <v>To be refurbished.</v>
      </c>
      <c r="AE107" s="281" t="str">
        <f aca="false">IFERROR(INDEX('Bank Schedule'!AE:AE, SMALL(IF('Bank Schedule'!$K$2:$K$825="Vacant", ROW('Bank Schedule'!$K$2:$K$825)), ROW(104:104))), "")</f>
        <v/>
      </c>
      <c r="AF107" s="29" t="n">
        <f aca="false" t="array" ref="AF107:AF107">IFERROR(INDEX('Bank Schedule'!AF:AF, SMALL(IF('Bank Schedule'!$K$2:$K$825="Vacant", ROW('Bank Schedule'!$K$2:$K$825)), ROW(104:104))), "")</f>
        <v>1</v>
      </c>
      <c r="AG107" s="29" t="n">
        <f aca="false" t="array" ref="AG107:AG107">IFERROR(INDEX('Bank Schedule'!AG:AG, SMALL(IF('Bank Schedule'!$K$2:$K$825="Vacant", ROW('Bank Schedule'!$K$2:$K$825)), ROW(104:104))), "")</f>
        <v>2</v>
      </c>
      <c r="AH107" s="29" t="str">
        <f aca="false" t="array" ref="AH107:AH107">IFERROR(INDEX('Bank Schedule'!AH:AH, SMALL(IF('Bank Schedule'!$K$2:$K$825="Vacant", ROW('Bank Schedule'!$K$2:$K$825)), ROW(104:104))), "")</f>
        <v>LEM</v>
      </c>
      <c r="AI107" s="4"/>
    </row>
    <row r="108" customFormat="false" ht="28.5" hidden="false" customHeight="true" outlineLevel="0" collapsed="false">
      <c r="A108" s="29" t="str">
        <f aca="false">IFERROR(INDEX('Bank Schedule'!A:A, SMALL(IF('Bank Schedule'!$K$2:$K$825="Vacant", ROW('Bank Schedule'!$K$2:$K$825)), ROW(105:105))), "")</f>
        <v/>
      </c>
      <c r="B108" s="29" t="str">
        <f aca="false" t="array" ref="B108:B108">IFERROR(INDEX('Bank Schedule'!B:B, SMALL(IF('Bank Schedule'!$K$2:$K$825="Vacant", ROW('Bank Schedule'!$K$2:$K$825)), ROW(105:105))), "")</f>
        <v>JM</v>
      </c>
      <c r="C108" s="29" t="str">
        <f aca="false" t="array" ref="C108:C108">IFERROR(INDEX('Bank Schedule'!C:C, SMALL(IF('Bank Schedule'!$K$2:$K$825="Vacant", ROW('Bank Schedule'!$K$2:$K$825)), ROW(105:105))), "")</f>
        <v>MEL</v>
      </c>
      <c r="D108" s="29" t="n">
        <f aca="false" t="array" ref="D108:D108">IFERROR(INDEX('Bank Schedule'!D:D, SMALL(IF('Bank Schedule'!$K$2:$K$825="Vacant", ROW('Bank Schedule'!$K$2:$K$825)), ROW(105:105))), "")</f>
        <v>100650</v>
      </c>
      <c r="E108" s="29" t="str">
        <f aca="false" t="array" ref="E108:E108">IFERROR(INDEX('Bank Schedule'!E:E, SMALL(IF('Bank Schedule'!$K$2:$K$825="Vacant", ROW('Bank Schedule'!$K$2:$K$825)), ROW(105:105))), "")</f>
        <v>50-60 Eastcastle Street</v>
      </c>
      <c r="F108" s="29" t="str">
        <f aca="false" t="array" ref="F108:F108">IFERROR(INDEX('Bank Schedule'!F:F, SMALL(IF('Bank Schedule'!$K$2:$K$825="Vacant", ROW('Bank Schedule'!$K$2:$K$825)), ROW(105:105))), "")</f>
        <v>Third Floor (303)</v>
      </c>
      <c r="G108" s="29" t="str">
        <f aca="false" t="array" ref="G108:G108">IFERROR(INDEX('Bank Schedule'!G:G, SMALL(IF('Bank Schedule'!$K$2:$K$825="Vacant", ROW('Bank Schedule'!$K$2:$K$825)), ROW(105:105))), "")</f>
        <v>Office</v>
      </c>
      <c r="H108" s="305" t="n">
        <f aca="false" t="array" ref="H108:H108">IFERROR(INDEX('Bank Schedule'!H:H, SMALL(IF('Bank Schedule'!$K$2:$K$825="Vacant", ROW('Bank Schedule'!$K$2:$K$825)), ROW(105:105))), "")</f>
        <v>783</v>
      </c>
      <c r="I108" s="29" t="n">
        <f aca="false" t="array" ref="I108:I108">IFERROR(INDEX('Bank Schedule'!I:I, SMALL(IF('Bank Schedule'!$K$2:$K$825="Vacant", ROW('Bank Schedule'!$K$2:$K$825)), ROW(105:105))), "")</f>
        <v>783</v>
      </c>
      <c r="J108" s="305" t="n">
        <f aca="false" t="array" ref="J108:J108">IFERROR(INDEX('Bank Schedule'!J:J, SMALL(IF('Bank Schedule'!$K$2:$K$825="Vacant", ROW('Bank Schedule'!$K$2:$K$825)), ROW(105:105))), "")</f>
        <v>750</v>
      </c>
      <c r="K108" s="29" t="str">
        <f aca="false" t="array" ref="K108:K108">IFERROR(INDEX('Bank Schedule'!K:K, SMALL(IF('Bank Schedule'!$K$2:$K$825="Vacant", ROW('Bank Schedule'!$K$2:$K$825)), ROW(105:105))), "")</f>
        <v>Vacant</v>
      </c>
      <c r="L108" s="29" t="str">
        <f aca="false">IFERROR(INDEX('Bank Schedule'!L:L, SMALL(IF('Bank Schedule'!$K$2:$K$825="Vacant", ROW('Bank Schedule'!$K$2:$K$825)), ROW(105:105))), "")</f>
        <v/>
      </c>
      <c r="M108" s="29" t="str">
        <f aca="false">IFERROR(INDEX('Bank Schedule'!M:M, SMALL(IF('Bank Schedule'!$K$2:$K$825="Vacant", ROW('Bank Schedule'!$K$2:$K$825)), ROW(105:105))), "")</f>
        <v/>
      </c>
      <c r="N108" s="307" t="n">
        <f aca="false" t="array" ref="N108:N108">IFERROR(INDEX('Bank Schedule'!N:N, SMALL(IF('Bank Schedule'!$K$2:$K$825="Vacant", ROW('Bank Schedule'!$K$2:$K$825)), ROW(105:105))), "")</f>
        <v>45406</v>
      </c>
      <c r="O108" s="29" t="str">
        <f aca="false">IFERROR(INDEX('Bank Schedule'!O:O, SMALL(IF('Bank Schedule'!$K$2:$K$825="Vacant", ROW('Bank Schedule'!$K$2:$K$825)), ROW(105:105))), "")</f>
        <v/>
      </c>
      <c r="P108" s="29" t="str">
        <f aca="false">IFERROR(INDEX('Bank Schedule'!P:P, SMALL(IF('Bank Schedule'!$K$2:$K$825="Vacant", ROW('Bank Schedule'!$K$2:$K$825)), ROW(105:105))), "")</f>
        <v/>
      </c>
      <c r="Q108" s="29" t="n">
        <f aca="false" t="array" ref="Q108:Q108">IFERROR(INDEX('Bank Schedule'!Q:Q, SMALL(IF('Bank Schedule'!$K$2:$K$825="Vacant", ROW('Bank Schedule'!$K$2:$K$825)), ROW(105:105))), "")</f>
        <v>0</v>
      </c>
      <c r="R108" s="29" t="n">
        <f aca="false" t="array" ref="R108:R108">IFERROR(INDEX('Bank Schedule'!R:R, SMALL(IF('Bank Schedule'!$K$2:$K$825="Vacant", ROW('Bank Schedule'!$K$2:$K$825)), ROW(105:105))), "")</f>
        <v>0</v>
      </c>
      <c r="S108" s="29" t="str">
        <f aca="false">IFERROR(INDEX('Bank Schedule'!S:S, SMALL(IF('Bank Schedule'!$K$2:$K$825="Vacant", ROW('Bank Schedule'!$K$2:$K$825)), ROW(105:105))), "")</f>
        <v/>
      </c>
      <c r="T108" s="309" t="n">
        <f aca="false" t="array" ref="T108:T108">IFERROR(INDEX('Bank Schedule'!T:T, SMALL(IF('Bank Schedule'!$K$2:$K$825="Vacant", ROW('Bank Schedule'!$K$2:$K$825)), ROW(105:105))), "")</f>
        <v>45000</v>
      </c>
      <c r="U108" s="309" t="n">
        <f aca="false" t="array" ref="U108:U108">IFERROR(INDEX('Bank Schedule'!U:U, SMALL(IF('Bank Schedule'!$K$2:$K$825="Vacant", ROW('Bank Schedule'!$K$2:$K$825)), ROW(105:105))), "")</f>
        <v>45000</v>
      </c>
      <c r="V108" s="309" t="n">
        <f aca="false" t="array" ref="V108:V108">IFERROR(INDEX('Bank Schedule'!V:V, SMALL(IF('Bank Schedule'!$K$2:$K$825="Vacant", ROW('Bank Schedule'!$K$2:$K$825)), ROW(105:105))), "")</f>
        <v>45000</v>
      </c>
      <c r="W108" s="309" t="n">
        <f aca="false" t="array" ref="W108:W108">IFERROR(INDEX('Bank Schedule'!W:W, SMALL(IF('Bank Schedule'!$K$2:$K$825="Vacant", ROW('Bank Schedule'!$K$2:$K$825)), ROW(105:105))), "")</f>
        <v>45000</v>
      </c>
      <c r="X108" s="309" t="n">
        <f aca="false" t="array" ref="X108:X108">IFERROR(INDEX('Bank Schedule'!X:X, SMALL(IF('Bank Schedule'!$K$2:$K$825="Vacant", ROW('Bank Schedule'!$K$2:$K$825)), ROW(105:105))), "")</f>
        <v>57.4712643678161</v>
      </c>
      <c r="Y108" s="310" t="n">
        <f aca="false" t="array" ref="Y108:Y108">IFERROR(INDEX('Bank Schedule'!Y:Y, SMALL(IF('Bank Schedule'!$K$2:$K$825="Vacant", ROW('Bank Schedule'!$K$2:$K$825)), ROW(105:105))), "")</f>
        <v>0</v>
      </c>
      <c r="Z108" s="29" t="str">
        <f aca="false" t="array" ref="Z108:Z108">IFERROR(INDEX('Bank Schedule'!Z:Z, SMALL(IF('Bank Schedule'!$K$2:$K$825="Vacant", ROW('Bank Schedule'!$K$2:$K$825)), ROW(105:105))), "")</f>
        <v>D</v>
      </c>
      <c r="AA108" s="29" t="str">
        <f aca="false">IFERROR(INDEX('Bank Schedule'!AA:AA, SMALL(IF('Bank Schedule'!$K$2:$K$825="Vacant", ROW('Bank Schedule'!$K$2:$K$825)), ROW(105:105))), "")</f>
        <v/>
      </c>
      <c r="AB108" s="29" t="str">
        <f aca="false">IFERROR(INDEX('Bank Schedule'!AB:AB, SMALL(IF('Bank Schedule'!$K$2:$K$825="Vacant", ROW('Bank Schedule'!$K$2:$K$825)), ROW(105:105))), "")</f>
        <v/>
      </c>
      <c r="AC108" s="29" t="str">
        <f aca="false" t="array" ref="AC108:AC108">IFERROR(INDEX('Bank Schedule'!AC:AC, SMALL(IF('Bank Schedule'!$K$2:$K$825="Vacant", ROW('Bank Schedule'!$K$2:$K$825)), ROW(105:105))), "")</f>
        <v>No</v>
      </c>
      <c r="AD108" s="29" t="str">
        <f aca="false" t="array" ref="AD108:AD108">IFERROR(INDEX('Bank Schedule'!AD:AD, SMALL(IF('Bank Schedule'!$K$2:$K$825="Vacant", ROW('Bank Schedule'!$K$2:$K$825)), ROW(105:105))), "")</f>
        <v>To be refurbished.</v>
      </c>
      <c r="AE108" s="281" t="str">
        <f aca="false">IFERROR(INDEX('Bank Schedule'!AE:AE, SMALL(IF('Bank Schedule'!$K$2:$K$825="Vacant", ROW('Bank Schedule'!$K$2:$K$825)), ROW(105:105))), "")</f>
        <v/>
      </c>
      <c r="AF108" s="29" t="str">
        <f aca="false">IFERROR(INDEX('Bank Schedule'!AF:AF, SMALL(IF('Bank Schedule'!$K$2:$K$825="Vacant", ROW('Bank Schedule'!$K$2:$K$825)), ROW(105:105))), "")</f>
        <v/>
      </c>
      <c r="AG108" s="29" t="n">
        <f aca="false" t="array" ref="AG108:AG108">IFERROR(INDEX('Bank Schedule'!AG:AG, SMALL(IF('Bank Schedule'!$K$2:$K$825="Vacant", ROW('Bank Schedule'!$K$2:$K$825)), ROW(105:105))), "")</f>
        <v>1</v>
      </c>
      <c r="AH108" s="29" t="str">
        <f aca="false" t="array" ref="AH108:AH108">IFERROR(INDEX('Bank Schedule'!AH:AH, SMALL(IF('Bank Schedule'!$K$2:$K$825="Vacant", ROW('Bank Schedule'!$K$2:$K$825)), ROW(105:105))), "")</f>
        <v>LEM</v>
      </c>
      <c r="AI108" s="4"/>
    </row>
    <row r="109" customFormat="false" ht="28.5" hidden="false" customHeight="true" outlineLevel="0" collapsed="false">
      <c r="A109" s="29" t="str">
        <f aca="false">IFERROR(INDEX('Bank Schedule'!A:A, SMALL(IF('Bank Schedule'!$K$2:$K$825="Vacant", ROW('Bank Schedule'!$K$2:$K$825)), ROW(106:106))), "")</f>
        <v/>
      </c>
      <c r="B109" s="29" t="str">
        <f aca="false" t="array" ref="B109:B109">IFERROR(INDEX('Bank Schedule'!B:B, SMALL(IF('Bank Schedule'!$K$2:$K$825="Vacant", ROW('Bank Schedule'!$K$2:$K$825)), ROW(106:106))), "")</f>
        <v>JM</v>
      </c>
      <c r="C109" s="29" t="str">
        <f aca="false" t="array" ref="C109:C109">IFERROR(INDEX('Bank Schedule'!C:C, SMALL(IF('Bank Schedule'!$K$2:$K$825="Vacant", ROW('Bank Schedule'!$K$2:$K$825)), ROW(106:106))), "")</f>
        <v>MEL</v>
      </c>
      <c r="D109" s="29" t="n">
        <f aca="false" t="array" ref="D109:D109">IFERROR(INDEX('Bank Schedule'!D:D, SMALL(IF('Bank Schedule'!$K$2:$K$825="Vacant", ROW('Bank Schedule'!$K$2:$K$825)), ROW(106:106))), "")</f>
        <v>100650</v>
      </c>
      <c r="E109" s="29" t="str">
        <f aca="false" t="array" ref="E109:E109">IFERROR(INDEX('Bank Schedule'!E:E, SMALL(IF('Bank Schedule'!$K$2:$K$825="Vacant", ROW('Bank Schedule'!$K$2:$K$825)), ROW(106:106))), "")</f>
        <v>50-60 Eastcastle Street</v>
      </c>
      <c r="F109" s="29" t="str">
        <f aca="false" t="array" ref="F109:F109">IFERROR(INDEX('Bank Schedule'!F:F, SMALL(IF('Bank Schedule'!$K$2:$K$825="Vacant", ROW('Bank Schedule'!$K$2:$K$825)), ROW(106:106))), "")</f>
        <v>Third Floor North (320)</v>
      </c>
      <c r="G109" s="29" t="str">
        <f aca="false" t="array" ref="G109:G109">IFERROR(INDEX('Bank Schedule'!G:G, SMALL(IF('Bank Schedule'!$K$2:$K$825="Vacant", ROW('Bank Schedule'!$K$2:$K$825)), ROW(106:106))), "")</f>
        <v>Offices</v>
      </c>
      <c r="H109" s="305" t="n">
        <f aca="false" t="array" ref="H109:H109">IFERROR(INDEX('Bank Schedule'!H:H, SMALL(IF('Bank Schedule'!$K$2:$K$825="Vacant", ROW('Bank Schedule'!$K$2:$K$825)), ROW(106:106))), "")</f>
        <v>6893</v>
      </c>
      <c r="I109" s="29" t="n">
        <f aca="false" t="array" ref="I109:I109">IFERROR(INDEX('Bank Schedule'!I:I, SMALL(IF('Bank Schedule'!$K$2:$K$825="Vacant", ROW('Bank Schedule'!$K$2:$K$825)), ROW(106:106))), "")</f>
        <v>6893</v>
      </c>
      <c r="J109" s="305" t="n">
        <f aca="false" t="array" ref="J109:J109">IFERROR(INDEX('Bank Schedule'!J:J, SMALL(IF('Bank Schedule'!$K$2:$K$825="Vacant", ROW('Bank Schedule'!$K$2:$K$825)), ROW(106:106))), "")</f>
        <v>7000</v>
      </c>
      <c r="K109" s="29" t="str">
        <f aca="false" t="array" ref="K109:K109">IFERROR(INDEX('Bank Schedule'!K:K, SMALL(IF('Bank Schedule'!$K$2:$K$825="Vacant", ROW('Bank Schedule'!$K$2:$K$825)), ROW(106:106))), "")</f>
        <v>Vacant</v>
      </c>
      <c r="L109" s="29" t="str">
        <f aca="false">IFERROR(INDEX('Bank Schedule'!L:L, SMALL(IF('Bank Schedule'!$K$2:$K$825="Vacant", ROW('Bank Schedule'!$K$2:$K$825)), ROW(106:106))), "")</f>
        <v/>
      </c>
      <c r="M109" s="29" t="str">
        <f aca="false">IFERROR(INDEX('Bank Schedule'!M:M, SMALL(IF('Bank Schedule'!$K$2:$K$825="Vacant", ROW('Bank Schedule'!$K$2:$K$825)), ROW(106:106))), "")</f>
        <v/>
      </c>
      <c r="N109" s="307" t="n">
        <f aca="false" t="array" ref="N109:N109">IFERROR(INDEX('Bank Schedule'!N:N, SMALL(IF('Bank Schedule'!$K$2:$K$825="Vacant", ROW('Bank Schedule'!$K$2:$K$825)), ROW(106:106))), "")</f>
        <v>44340</v>
      </c>
      <c r="O109" s="29" t="str">
        <f aca="false">IFERROR(INDEX('Bank Schedule'!O:O, SMALL(IF('Bank Schedule'!$K$2:$K$825="Vacant", ROW('Bank Schedule'!$K$2:$K$825)), ROW(106:106))), "")</f>
        <v/>
      </c>
      <c r="P109" s="29" t="str">
        <f aca="false">IFERROR(INDEX('Bank Schedule'!P:P, SMALL(IF('Bank Schedule'!$K$2:$K$825="Vacant", ROW('Bank Schedule'!$K$2:$K$825)), ROW(106:106))), "")</f>
        <v/>
      </c>
      <c r="Q109" s="29" t="n">
        <f aca="false" t="array" ref="Q109:Q109">IFERROR(INDEX('Bank Schedule'!Q:Q, SMALL(IF('Bank Schedule'!$K$2:$K$825="Vacant", ROW('Bank Schedule'!$K$2:$K$825)), ROW(106:106))), "")</f>
        <v>0</v>
      </c>
      <c r="R109" s="29" t="n">
        <f aca="false" t="array" ref="R109:R109">IFERROR(INDEX('Bank Schedule'!R:R, SMALL(IF('Bank Schedule'!$K$2:$K$825="Vacant", ROW('Bank Schedule'!$K$2:$K$825)), ROW(106:106))), "")</f>
        <v>0</v>
      </c>
      <c r="S109" s="29" t="str">
        <f aca="false">IFERROR(INDEX('Bank Schedule'!S:S, SMALL(IF('Bank Schedule'!$K$2:$K$825="Vacant", ROW('Bank Schedule'!$K$2:$K$825)), ROW(106:106))), "")</f>
        <v/>
      </c>
      <c r="T109" s="309" t="n">
        <f aca="false" t="array" ref="T109:T109">IFERROR(INDEX('Bank Schedule'!T:T, SMALL(IF('Bank Schedule'!$K$2:$K$825="Vacant", ROW('Bank Schedule'!$K$2:$K$825)), ROW(106:106))), "")</f>
        <v>396300</v>
      </c>
      <c r="U109" s="309" t="n">
        <f aca="false" t="array" ref="U109:U109">IFERROR(INDEX('Bank Schedule'!U:U, SMALL(IF('Bank Schedule'!$K$2:$K$825="Vacant", ROW('Bank Schedule'!$K$2:$K$825)), ROW(106:106))), "")</f>
        <v>396300</v>
      </c>
      <c r="V109" s="309" t="n">
        <f aca="false" t="array" ref="V109:V109">IFERROR(INDEX('Bank Schedule'!V:V, SMALL(IF('Bank Schedule'!$K$2:$K$825="Vacant", ROW('Bank Schedule'!$K$2:$K$825)), ROW(106:106))), "")</f>
        <v>396300</v>
      </c>
      <c r="W109" s="309" t="n">
        <f aca="false" t="array" ref="W109:W109">IFERROR(INDEX('Bank Schedule'!W:W, SMALL(IF('Bank Schedule'!$K$2:$K$825="Vacant", ROW('Bank Schedule'!$K$2:$K$825)), ROW(106:106))), "")</f>
        <v>396300</v>
      </c>
      <c r="X109" s="309" t="n">
        <f aca="false" t="array" ref="X109:X109">IFERROR(INDEX('Bank Schedule'!X:X, SMALL(IF('Bank Schedule'!$K$2:$K$825="Vacant", ROW('Bank Schedule'!$K$2:$K$825)), ROW(106:106))), "")</f>
        <v>57.4931089511098</v>
      </c>
      <c r="Y109" s="310" t="n">
        <f aca="false" t="array" ref="Y109:Y109">IFERROR(INDEX('Bank Schedule'!Y:Y, SMALL(IF('Bank Schedule'!$K$2:$K$825="Vacant", ROW('Bank Schedule'!$K$2:$K$825)), ROW(106:106))), "")</f>
        <v>0</v>
      </c>
      <c r="Z109" s="29" t="str">
        <f aca="false" t="array" ref="Z109:Z109">IFERROR(INDEX('Bank Schedule'!Z:Z, SMALL(IF('Bank Schedule'!$K$2:$K$825="Vacant", ROW('Bank Schedule'!$K$2:$K$825)), ROW(106:106))), "")</f>
        <v>E</v>
      </c>
      <c r="AA109" s="29" t="str">
        <f aca="false">IFERROR(INDEX('Bank Schedule'!AA:AA, SMALL(IF('Bank Schedule'!$K$2:$K$825="Vacant", ROW('Bank Schedule'!$K$2:$K$825)), ROW(106:106))), "")</f>
        <v/>
      </c>
      <c r="AB109" s="29" t="str">
        <f aca="false">IFERROR(INDEX('Bank Schedule'!AB:AB, SMALL(IF('Bank Schedule'!$K$2:$K$825="Vacant", ROW('Bank Schedule'!$K$2:$K$825)), ROW(106:106))), "")</f>
        <v/>
      </c>
      <c r="AC109" s="29" t="str">
        <f aca="false" t="array" ref="AC109:AC109">IFERROR(INDEX('Bank Schedule'!AC:AC, SMALL(IF('Bank Schedule'!$K$2:$K$825="Vacant", ROW('Bank Schedule'!$K$2:$K$825)), ROW(106:106))), "")</f>
        <v>No</v>
      </c>
      <c r="AD109" s="29" t="str">
        <f aca="false" t="array" ref="AD109:AD109">IFERROR(INDEX('Bank Schedule'!AD:AD, SMALL(IF('Bank Schedule'!$K$2:$K$825="Vacant", ROW('Bank Schedule'!$K$2:$K$825)), ROW(106:106))), "")</f>
        <v>To be refurbished.</v>
      </c>
      <c r="AE109" s="281" t="str">
        <f aca="false">IFERROR(INDEX('Bank Schedule'!AE:AE, SMALL(IF('Bank Schedule'!$K$2:$K$825="Vacant", ROW('Bank Schedule'!$K$2:$K$825)), ROW(106:106))), "")</f>
        <v/>
      </c>
      <c r="AF109" s="29" t="n">
        <f aca="false" t="array" ref="AF109:AF109">IFERROR(INDEX('Bank Schedule'!AF:AF, SMALL(IF('Bank Schedule'!$K$2:$K$825="Vacant", ROW('Bank Schedule'!$K$2:$K$825)), ROW(106:106))), "")</f>
        <v>2</v>
      </c>
      <c r="AG109" s="29" t="n">
        <f aca="false" t="array" ref="AG109:AG109">IFERROR(INDEX('Bank Schedule'!AG:AG, SMALL(IF('Bank Schedule'!$K$2:$K$825="Vacant", ROW('Bank Schedule'!$K$2:$K$825)), ROW(106:106))), "")</f>
        <v>6</v>
      </c>
      <c r="AH109" s="29" t="str">
        <f aca="false" t="array" ref="AH109:AH109">IFERROR(INDEX('Bank Schedule'!AH:AH, SMALL(IF('Bank Schedule'!$K$2:$K$825="Vacant", ROW('Bank Schedule'!$K$2:$K$825)), ROW(106:106))), "")</f>
        <v>LEM</v>
      </c>
      <c r="AI109" s="4"/>
    </row>
    <row r="110" customFormat="false" ht="28.5" hidden="false" customHeight="true" outlineLevel="0" collapsed="false">
      <c r="A110" s="29" t="str">
        <f aca="false">IFERROR(INDEX('Bank Schedule'!A:A, SMALL(IF('Bank Schedule'!$K$2:$K$825="Vacant", ROW('Bank Schedule'!$K$2:$K$825)), ROW(107:107))), "")</f>
        <v/>
      </c>
      <c r="B110" s="29" t="str">
        <f aca="false" t="array" ref="B110:B110">IFERROR(INDEX('Bank Schedule'!B:B, SMALL(IF('Bank Schedule'!$K$2:$K$825="Vacant", ROW('Bank Schedule'!$K$2:$K$825)), ROW(107:107))), "")</f>
        <v>JM</v>
      </c>
      <c r="C110" s="29" t="str">
        <f aca="false" t="array" ref="C110:C110">IFERROR(INDEX('Bank Schedule'!C:C, SMALL(IF('Bank Schedule'!$K$2:$K$825="Vacant", ROW('Bank Schedule'!$K$2:$K$825)), ROW(107:107))), "")</f>
        <v>MEL</v>
      </c>
      <c r="D110" s="29" t="n">
        <f aca="false" t="array" ref="D110:D110">IFERROR(INDEX('Bank Schedule'!D:D, SMALL(IF('Bank Schedule'!$K$2:$K$825="Vacant", ROW('Bank Schedule'!$K$2:$K$825)), ROW(107:107))), "")</f>
        <v>100650</v>
      </c>
      <c r="E110" s="29" t="str">
        <f aca="false" t="array" ref="E110:E110">IFERROR(INDEX('Bank Schedule'!E:E, SMALL(IF('Bank Schedule'!$K$2:$K$825="Vacant", ROW('Bank Schedule'!$K$2:$K$825)), ROW(107:107))), "")</f>
        <v>50-60 Eastcastle Street</v>
      </c>
      <c r="F110" s="29" t="str">
        <f aca="false" t="array" ref="F110:F110">IFERROR(INDEX('Bank Schedule'!F:F, SMALL(IF('Bank Schedule'!$K$2:$K$825="Vacant", ROW('Bank Schedule'!$K$2:$K$825)), ROW(107:107))), "")</f>
        <v>Third Floor (325)</v>
      </c>
      <c r="G110" s="29" t="str">
        <f aca="false" t="array" ref="G110:G110">IFERROR(INDEX('Bank Schedule'!G:G, SMALL(IF('Bank Schedule'!$K$2:$K$825="Vacant", ROW('Bank Schedule'!$K$2:$K$825)), ROW(107:107))), "")</f>
        <v>Showroom/ Office</v>
      </c>
      <c r="H110" s="305" t="n">
        <f aca="false" t="array" ref="H110:H110">IFERROR(INDEX('Bank Schedule'!H:H, SMALL(IF('Bank Schedule'!$K$2:$K$825="Vacant", ROW('Bank Schedule'!$K$2:$K$825)), ROW(107:107))), "")</f>
        <v>363</v>
      </c>
      <c r="I110" s="29" t="n">
        <f aca="false" t="array" ref="I110:I110">IFERROR(INDEX('Bank Schedule'!I:I, SMALL(IF('Bank Schedule'!$K$2:$K$825="Vacant", ROW('Bank Schedule'!$K$2:$K$825)), ROW(107:107))), "")</f>
        <v>363</v>
      </c>
      <c r="J110" s="305" t="n">
        <f aca="false" t="array" ref="J110:J110">IFERROR(INDEX('Bank Schedule'!J:J, SMALL(IF('Bank Schedule'!$K$2:$K$825="Vacant", ROW('Bank Schedule'!$K$2:$K$825)), ROW(107:107))), "")</f>
        <v>500</v>
      </c>
      <c r="K110" s="29" t="str">
        <f aca="false" t="array" ref="K110:K110">IFERROR(INDEX('Bank Schedule'!K:K, SMALL(IF('Bank Schedule'!$K$2:$K$825="Vacant", ROW('Bank Schedule'!$K$2:$K$825)), ROW(107:107))), "")</f>
        <v>Vacant</v>
      </c>
      <c r="L110" s="29" t="str">
        <f aca="false">IFERROR(INDEX('Bank Schedule'!L:L, SMALL(IF('Bank Schedule'!$K$2:$K$825="Vacant", ROW('Bank Schedule'!$K$2:$K$825)), ROW(107:107))), "")</f>
        <v/>
      </c>
      <c r="M110" s="29" t="str">
        <f aca="false">IFERROR(INDEX('Bank Schedule'!M:M, SMALL(IF('Bank Schedule'!$K$2:$K$825="Vacant", ROW('Bank Schedule'!$K$2:$K$825)), ROW(107:107))), "")</f>
        <v/>
      </c>
      <c r="N110" s="307" t="n">
        <f aca="false" t="array" ref="N110:N110">IFERROR(INDEX('Bank Schedule'!N:N, SMALL(IF('Bank Schedule'!$K$2:$K$825="Vacant", ROW('Bank Schedule'!$K$2:$K$825)), ROW(107:107))), "")</f>
        <v>45139</v>
      </c>
      <c r="O110" s="29" t="str">
        <f aca="false">IFERROR(INDEX('Bank Schedule'!O:O, SMALL(IF('Bank Schedule'!$K$2:$K$825="Vacant", ROW('Bank Schedule'!$K$2:$K$825)), ROW(107:107))), "")</f>
        <v/>
      </c>
      <c r="P110" s="29" t="str">
        <f aca="false">IFERROR(INDEX('Bank Schedule'!P:P, SMALL(IF('Bank Schedule'!$K$2:$K$825="Vacant", ROW('Bank Schedule'!$K$2:$K$825)), ROW(107:107))), "")</f>
        <v/>
      </c>
      <c r="Q110" s="29" t="n">
        <f aca="false" t="array" ref="Q110:Q110">IFERROR(INDEX('Bank Schedule'!Q:Q, SMALL(IF('Bank Schedule'!$K$2:$K$825="Vacant", ROW('Bank Schedule'!$K$2:$K$825)), ROW(107:107))), "")</f>
        <v>0</v>
      </c>
      <c r="R110" s="29" t="n">
        <f aca="false" t="array" ref="R110:R110">IFERROR(INDEX('Bank Schedule'!R:R, SMALL(IF('Bank Schedule'!$K$2:$K$825="Vacant", ROW('Bank Schedule'!$K$2:$K$825)), ROW(107:107))), "")</f>
        <v>0</v>
      </c>
      <c r="S110" s="29" t="str">
        <f aca="false">IFERROR(INDEX('Bank Schedule'!S:S, SMALL(IF('Bank Schedule'!$K$2:$K$825="Vacant", ROW('Bank Schedule'!$K$2:$K$825)), ROW(107:107))), "")</f>
        <v/>
      </c>
      <c r="T110" s="309" t="n">
        <f aca="false" t="array" ref="T110:T110">IFERROR(INDEX('Bank Schedule'!T:T, SMALL(IF('Bank Schedule'!$K$2:$K$825="Vacant", ROW('Bank Schedule'!$K$2:$K$825)), ROW(107:107))), "")</f>
        <v>20900</v>
      </c>
      <c r="U110" s="309" t="n">
        <f aca="false" t="array" ref="U110:U110">IFERROR(INDEX('Bank Schedule'!U:U, SMALL(IF('Bank Schedule'!$K$2:$K$825="Vacant", ROW('Bank Schedule'!$K$2:$K$825)), ROW(107:107))), "")</f>
        <v>20900</v>
      </c>
      <c r="V110" s="309" t="n">
        <f aca="false" t="array" ref="V110:V110">IFERROR(INDEX('Bank Schedule'!V:V, SMALL(IF('Bank Schedule'!$K$2:$K$825="Vacant", ROW('Bank Schedule'!$K$2:$K$825)), ROW(107:107))), "")</f>
        <v>20900</v>
      </c>
      <c r="W110" s="309" t="n">
        <f aca="false" t="array" ref="W110:W110">IFERROR(INDEX('Bank Schedule'!W:W, SMALL(IF('Bank Schedule'!$K$2:$K$825="Vacant", ROW('Bank Schedule'!$K$2:$K$825)), ROW(107:107))), "")</f>
        <v>20900</v>
      </c>
      <c r="X110" s="309" t="n">
        <f aca="false" t="array" ref="X110:X110">IFERROR(INDEX('Bank Schedule'!X:X, SMALL(IF('Bank Schedule'!$K$2:$K$825="Vacant", ROW('Bank Schedule'!$K$2:$K$825)), ROW(107:107))), "")</f>
        <v>57.5757575757576</v>
      </c>
      <c r="Y110" s="310" t="n">
        <f aca="false" t="array" ref="Y110:Y110">IFERROR(INDEX('Bank Schedule'!Y:Y, SMALL(IF('Bank Schedule'!$K$2:$K$825="Vacant", ROW('Bank Schedule'!$K$2:$K$825)), ROW(107:107))), "")</f>
        <v>0</v>
      </c>
      <c r="Z110" s="29" t="str">
        <f aca="false" t="array" ref="Z110:Z110">IFERROR(INDEX('Bank Schedule'!Z:Z, SMALL(IF('Bank Schedule'!$K$2:$K$825="Vacant", ROW('Bank Schedule'!$K$2:$K$825)), ROW(107:107))), "")</f>
        <v>D</v>
      </c>
      <c r="AA110" s="29" t="str">
        <f aca="false">IFERROR(INDEX('Bank Schedule'!AA:AA, SMALL(IF('Bank Schedule'!$K$2:$K$825="Vacant", ROW('Bank Schedule'!$K$2:$K$825)), ROW(107:107))), "")</f>
        <v/>
      </c>
      <c r="AB110" s="29" t="str">
        <f aca="false">IFERROR(INDEX('Bank Schedule'!AB:AB, SMALL(IF('Bank Schedule'!$K$2:$K$825="Vacant", ROW('Bank Schedule'!$K$2:$K$825)), ROW(107:107))), "")</f>
        <v/>
      </c>
      <c r="AC110" s="29" t="str">
        <f aca="false" t="array" ref="AC110:AC110">IFERROR(INDEX('Bank Schedule'!AC:AC, SMALL(IF('Bank Schedule'!$K$2:$K$825="Vacant", ROW('Bank Schedule'!$K$2:$K$825)), ROW(107:107))), "")</f>
        <v>No</v>
      </c>
      <c r="AD110" s="29" t="str">
        <f aca="false" t="array" ref="AD110:AD110">IFERROR(INDEX('Bank Schedule'!AD:AD, SMALL(IF('Bank Schedule'!$K$2:$K$825="Vacant", ROW('Bank Schedule'!$K$2:$K$825)), ROW(107:107))), "")</f>
        <v>To be refurbished.</v>
      </c>
      <c r="AE110" s="281" t="str">
        <f aca="false">IFERROR(INDEX('Bank Schedule'!AE:AE, SMALL(IF('Bank Schedule'!$K$2:$K$825="Vacant", ROW('Bank Schedule'!$K$2:$K$825)), ROW(107:107))), "")</f>
        <v/>
      </c>
      <c r="AF110" s="29" t="str">
        <f aca="false">IFERROR(INDEX('Bank Schedule'!AF:AF, SMALL(IF('Bank Schedule'!$K$2:$K$825="Vacant", ROW('Bank Schedule'!$K$2:$K$825)), ROW(107:107))), "")</f>
        <v/>
      </c>
      <c r="AG110" s="29" t="str">
        <f aca="false">IFERROR(INDEX('Bank Schedule'!AG:AG, SMALL(IF('Bank Schedule'!$K$2:$K$825="Vacant", ROW('Bank Schedule'!$K$2:$K$825)), ROW(107:107))), "")</f>
        <v/>
      </c>
      <c r="AH110" s="29" t="str">
        <f aca="false">IFERROR(INDEX('Bank Schedule'!AH:AH, SMALL(IF('Bank Schedule'!$K$2:$K$825="Vacant", ROW('Bank Schedule'!$K$2:$K$825)), ROW(107:107))), "")</f>
        <v/>
      </c>
      <c r="AI110" s="4"/>
    </row>
    <row r="111" customFormat="false" ht="28.5" hidden="false" customHeight="true" outlineLevel="0" collapsed="false">
      <c r="A111" s="29" t="str">
        <f aca="false">IFERROR(INDEX('Bank Schedule'!A:A, SMALL(IF('Bank Schedule'!$K$2:$K$825="Vacant", ROW('Bank Schedule'!$K$2:$K$825)), ROW(108:108))), "")</f>
        <v/>
      </c>
      <c r="B111" s="29" t="str">
        <f aca="false" t="array" ref="B111:B111">IFERROR(INDEX('Bank Schedule'!B:B, SMALL(IF('Bank Schedule'!$K$2:$K$825="Vacant", ROW('Bank Schedule'!$K$2:$K$825)), ROW(108:108))), "")</f>
        <v>JM</v>
      </c>
      <c r="C111" s="29" t="str">
        <f aca="false" t="array" ref="C111:C111">IFERROR(INDEX('Bank Schedule'!C:C, SMALL(IF('Bank Schedule'!$K$2:$K$825="Vacant", ROW('Bank Schedule'!$K$2:$K$825)), ROW(108:108))), "")</f>
        <v>MEL</v>
      </c>
      <c r="D111" s="29" t="n">
        <f aca="false" t="array" ref="D111:D111">IFERROR(INDEX('Bank Schedule'!D:D, SMALL(IF('Bank Schedule'!$K$2:$K$825="Vacant", ROW('Bank Schedule'!$K$2:$K$825)), ROW(108:108))), "")</f>
        <v>100650</v>
      </c>
      <c r="E111" s="29" t="str">
        <f aca="false" t="array" ref="E111:E111">IFERROR(INDEX('Bank Schedule'!E:E, SMALL(IF('Bank Schedule'!$K$2:$K$825="Vacant", ROW('Bank Schedule'!$K$2:$K$825)), ROW(108:108))), "")</f>
        <v>50-60 Eastcastle Street</v>
      </c>
      <c r="F111" s="29" t="str">
        <f aca="false" t="array" ref="F111:F111">IFERROR(INDEX('Bank Schedule'!F:F, SMALL(IF('Bank Schedule'!$K$2:$K$825="Vacant", ROW('Bank Schedule'!$K$2:$K$825)), ROW(108:108))), "")</f>
        <v>Third Floor (335, 390)</v>
      </c>
      <c r="G111" s="29" t="str">
        <f aca="false" t="array" ref="G111:G111">IFERROR(INDEX('Bank Schedule'!G:G, SMALL(IF('Bank Schedule'!$K$2:$K$825="Vacant", ROW('Bank Schedule'!$K$2:$K$825)), ROW(108:108))), "")</f>
        <v>Showroom/ Office</v>
      </c>
      <c r="H111" s="305" t="n">
        <f aca="false" t="array" ref="H111:H111">IFERROR(INDEX('Bank Schedule'!H:H, SMALL(IF('Bank Schedule'!$K$2:$K$825="Vacant", ROW('Bank Schedule'!$K$2:$K$825)), ROW(108:108))), "")</f>
        <v>933</v>
      </c>
      <c r="I111" s="29" t="n">
        <f aca="false" t="array" ref="I111:I111">IFERROR(INDEX('Bank Schedule'!I:I, SMALL(IF('Bank Schedule'!$K$2:$K$825="Vacant", ROW('Bank Schedule'!$K$2:$K$825)), ROW(108:108))), "")</f>
        <v>933</v>
      </c>
      <c r="J111" s="305" t="n">
        <f aca="false" t="array" ref="J111:J111">IFERROR(INDEX('Bank Schedule'!J:J, SMALL(IF('Bank Schedule'!$K$2:$K$825="Vacant", ROW('Bank Schedule'!$K$2:$K$825)), ROW(108:108))), "")</f>
        <v>1000</v>
      </c>
      <c r="K111" s="29" t="str">
        <f aca="false" t="array" ref="K111:K111">IFERROR(INDEX('Bank Schedule'!K:K, SMALL(IF('Bank Schedule'!$K$2:$K$825="Vacant", ROW('Bank Schedule'!$K$2:$K$825)), ROW(108:108))), "")</f>
        <v>Vacant</v>
      </c>
      <c r="L111" s="29" t="str">
        <f aca="false">IFERROR(INDEX('Bank Schedule'!L:L, SMALL(IF('Bank Schedule'!$K$2:$K$825="Vacant", ROW('Bank Schedule'!$K$2:$K$825)), ROW(108:108))), "")</f>
        <v/>
      </c>
      <c r="M111" s="29" t="str">
        <f aca="false">IFERROR(INDEX('Bank Schedule'!M:M, SMALL(IF('Bank Schedule'!$K$2:$K$825="Vacant", ROW('Bank Schedule'!$K$2:$K$825)), ROW(108:108))), "")</f>
        <v/>
      </c>
      <c r="N111" s="307" t="n">
        <f aca="false" t="array" ref="N111:N111">IFERROR(INDEX('Bank Schedule'!N:N, SMALL(IF('Bank Schedule'!$K$2:$K$825="Vacant", ROW('Bank Schedule'!$K$2:$K$825)), ROW(108:108))), "")</f>
        <v>44340</v>
      </c>
      <c r="O111" s="29" t="str">
        <f aca="false">IFERROR(INDEX('Bank Schedule'!O:O, SMALL(IF('Bank Schedule'!$K$2:$K$825="Vacant", ROW('Bank Schedule'!$K$2:$K$825)), ROW(108:108))), "")</f>
        <v/>
      </c>
      <c r="P111" s="29" t="str">
        <f aca="false">IFERROR(INDEX('Bank Schedule'!P:P, SMALL(IF('Bank Schedule'!$K$2:$K$825="Vacant", ROW('Bank Schedule'!$K$2:$K$825)), ROW(108:108))), "")</f>
        <v/>
      </c>
      <c r="Q111" s="29" t="n">
        <f aca="false" t="array" ref="Q111:Q111">IFERROR(INDEX('Bank Schedule'!Q:Q, SMALL(IF('Bank Schedule'!$K$2:$K$825="Vacant", ROW('Bank Schedule'!$K$2:$K$825)), ROW(108:108))), "")</f>
        <v>0</v>
      </c>
      <c r="R111" s="29" t="n">
        <f aca="false" t="array" ref="R111:R111">IFERROR(INDEX('Bank Schedule'!R:R, SMALL(IF('Bank Schedule'!$K$2:$K$825="Vacant", ROW('Bank Schedule'!$K$2:$K$825)), ROW(108:108))), "")</f>
        <v>0</v>
      </c>
      <c r="S111" s="29" t="str">
        <f aca="false">IFERROR(INDEX('Bank Schedule'!S:S, SMALL(IF('Bank Schedule'!$K$2:$K$825="Vacant", ROW('Bank Schedule'!$K$2:$K$825)), ROW(108:108))), "")</f>
        <v/>
      </c>
      <c r="T111" s="309" t="n">
        <f aca="false" t="array" ref="T111:T111">IFERROR(INDEX('Bank Schedule'!T:T, SMALL(IF('Bank Schedule'!$K$2:$K$825="Vacant", ROW('Bank Schedule'!$K$2:$K$825)), ROW(108:108))), "")</f>
        <v>53600</v>
      </c>
      <c r="U111" s="309" t="n">
        <f aca="false" t="array" ref="U111:U111">IFERROR(INDEX('Bank Schedule'!U:U, SMALL(IF('Bank Schedule'!$K$2:$K$825="Vacant", ROW('Bank Schedule'!$K$2:$K$825)), ROW(108:108))), "")</f>
        <v>53600</v>
      </c>
      <c r="V111" s="309" t="n">
        <f aca="false" t="array" ref="V111:V111">IFERROR(INDEX('Bank Schedule'!V:V, SMALL(IF('Bank Schedule'!$K$2:$K$825="Vacant", ROW('Bank Schedule'!$K$2:$K$825)), ROW(108:108))), "")</f>
        <v>53600</v>
      </c>
      <c r="W111" s="309" t="n">
        <f aca="false" t="array" ref="W111:W111">IFERROR(INDEX('Bank Schedule'!W:W, SMALL(IF('Bank Schedule'!$K$2:$K$825="Vacant", ROW('Bank Schedule'!$K$2:$K$825)), ROW(108:108))), "")</f>
        <v>53600</v>
      </c>
      <c r="X111" s="309" t="n">
        <f aca="false" t="array" ref="X111:X111">IFERROR(INDEX('Bank Schedule'!X:X, SMALL(IF('Bank Schedule'!$K$2:$K$825="Vacant", ROW('Bank Schedule'!$K$2:$K$825)), ROW(108:108))), "")</f>
        <v>57.449088960343</v>
      </c>
      <c r="Y111" s="310" t="n">
        <f aca="false" t="array" ref="Y111:Y111">IFERROR(INDEX('Bank Schedule'!Y:Y, SMALL(IF('Bank Schedule'!$K$2:$K$825="Vacant", ROW('Bank Schedule'!$K$2:$K$825)), ROW(108:108))), "")</f>
        <v>0</v>
      </c>
      <c r="Z111" s="29" t="str">
        <f aca="false" t="array" ref="Z111:Z111">IFERROR(INDEX('Bank Schedule'!Z:Z, SMALL(IF('Bank Schedule'!$K$2:$K$825="Vacant", ROW('Bank Schedule'!$K$2:$K$825)), ROW(108:108))), "")</f>
        <v>E</v>
      </c>
      <c r="AA111" s="29" t="str">
        <f aca="false">IFERROR(INDEX('Bank Schedule'!AA:AA, SMALL(IF('Bank Schedule'!$K$2:$K$825="Vacant", ROW('Bank Schedule'!$K$2:$K$825)), ROW(108:108))), "")</f>
        <v/>
      </c>
      <c r="AB111" s="29" t="str">
        <f aca="false">IFERROR(INDEX('Bank Schedule'!AB:AB, SMALL(IF('Bank Schedule'!$K$2:$K$825="Vacant", ROW('Bank Schedule'!$K$2:$K$825)), ROW(108:108))), "")</f>
        <v/>
      </c>
      <c r="AC111" s="29" t="str">
        <f aca="false" t="array" ref="AC111:AC111">IFERROR(INDEX('Bank Schedule'!AC:AC, SMALL(IF('Bank Schedule'!$K$2:$K$825="Vacant", ROW('Bank Schedule'!$K$2:$K$825)), ROW(108:108))), "")</f>
        <v>No</v>
      </c>
      <c r="AD111" s="29" t="str">
        <f aca="false" t="array" ref="AD111:AD111">IFERROR(INDEX('Bank Schedule'!AD:AD, SMALL(IF('Bank Schedule'!$K$2:$K$825="Vacant", ROW('Bank Schedule'!$K$2:$K$825)), ROW(108:108))), "")</f>
        <v>To be refurbished.</v>
      </c>
      <c r="AE111" s="281" t="str">
        <f aca="false">IFERROR(INDEX('Bank Schedule'!AE:AE, SMALL(IF('Bank Schedule'!$K$2:$K$825="Vacant", ROW('Bank Schedule'!$K$2:$K$825)), ROW(108:108))), "")</f>
        <v/>
      </c>
      <c r="AF111" s="29" t="str">
        <f aca="false">IFERROR(INDEX('Bank Schedule'!AF:AF, SMALL(IF('Bank Schedule'!$K$2:$K$825="Vacant", ROW('Bank Schedule'!$K$2:$K$825)), ROW(108:108))), "")</f>
        <v/>
      </c>
      <c r="AG111" s="29" t="n">
        <f aca="false" t="array" ref="AG111:AG111">IFERROR(INDEX('Bank Schedule'!AG:AG, SMALL(IF('Bank Schedule'!$K$2:$K$825="Vacant", ROW('Bank Schedule'!$K$2:$K$825)), ROW(108:108))), "")</f>
        <v>1</v>
      </c>
      <c r="AH111" s="29" t="str">
        <f aca="false" t="array" ref="AH111:AH111">IFERROR(INDEX('Bank Schedule'!AH:AH, SMALL(IF('Bank Schedule'!$K$2:$K$825="Vacant", ROW('Bank Schedule'!$K$2:$K$825)), ROW(108:108))), "")</f>
        <v>LEM</v>
      </c>
      <c r="AI111" s="4"/>
    </row>
    <row r="112" customFormat="false" ht="28.5" hidden="false" customHeight="true" outlineLevel="0" collapsed="false">
      <c r="A112" s="29" t="str">
        <f aca="false">IFERROR(INDEX('Bank Schedule'!A:A, SMALL(IF('Bank Schedule'!$K$2:$K$825="Vacant", ROW('Bank Schedule'!$K$2:$K$825)), ROW(109:109))), "")</f>
        <v/>
      </c>
      <c r="B112" s="29" t="str">
        <f aca="false" t="array" ref="B112:B112">IFERROR(INDEX('Bank Schedule'!B:B, SMALL(IF('Bank Schedule'!$K$2:$K$825="Vacant", ROW('Bank Schedule'!$K$2:$K$825)), ROW(109:109))), "")</f>
        <v>JM</v>
      </c>
      <c r="C112" s="29" t="str">
        <f aca="false" t="array" ref="C112:C112">IFERROR(INDEX('Bank Schedule'!C:C, SMALL(IF('Bank Schedule'!$K$2:$K$825="Vacant", ROW('Bank Schedule'!$K$2:$K$825)), ROW(109:109))), "")</f>
        <v>MEL</v>
      </c>
      <c r="D112" s="29" t="n">
        <f aca="false" t="array" ref="D112:D112">IFERROR(INDEX('Bank Schedule'!D:D, SMALL(IF('Bank Schedule'!$K$2:$K$825="Vacant", ROW('Bank Schedule'!$K$2:$K$825)), ROW(109:109))), "")</f>
        <v>100650</v>
      </c>
      <c r="E112" s="29" t="str">
        <f aca="false" t="array" ref="E112:E112">IFERROR(INDEX('Bank Schedule'!E:E, SMALL(IF('Bank Schedule'!$K$2:$K$825="Vacant", ROW('Bank Schedule'!$K$2:$K$825)), ROW(109:109))), "")</f>
        <v>50-60 Eastcastle Street</v>
      </c>
      <c r="F112" s="29" t="str">
        <f aca="false" t="array" ref="F112:F112">IFERROR(INDEX('Bank Schedule'!F:F, SMALL(IF('Bank Schedule'!$K$2:$K$825="Vacant", ROW('Bank Schedule'!$K$2:$K$825)), ROW(109:109))), "")</f>
        <v>Third Floor (340)</v>
      </c>
      <c r="G112" s="29" t="str">
        <f aca="false" t="array" ref="G112:G112">IFERROR(INDEX('Bank Schedule'!G:G, SMALL(IF('Bank Schedule'!$K$2:$K$825="Vacant", ROW('Bank Schedule'!$K$2:$K$825)), ROW(109:109))), "")</f>
        <v>Office</v>
      </c>
      <c r="H112" s="305" t="n">
        <f aca="false" t="array" ref="H112:H112">IFERROR(INDEX('Bank Schedule'!H:H, SMALL(IF('Bank Schedule'!$K$2:$K$825="Vacant", ROW('Bank Schedule'!$K$2:$K$825)), ROW(109:109))), "")</f>
        <v>688</v>
      </c>
      <c r="I112" s="29" t="n">
        <f aca="false" t="array" ref="I112:I112">IFERROR(INDEX('Bank Schedule'!I:I, SMALL(IF('Bank Schedule'!$K$2:$K$825="Vacant", ROW('Bank Schedule'!$K$2:$K$825)), ROW(109:109))), "")</f>
        <v>688</v>
      </c>
      <c r="J112" s="305" t="n">
        <f aca="false" t="array" ref="J112:J112">IFERROR(INDEX('Bank Schedule'!J:J, SMALL(IF('Bank Schedule'!$K$2:$K$825="Vacant", ROW('Bank Schedule'!$K$2:$K$825)), ROW(109:109))), "")</f>
        <v>750</v>
      </c>
      <c r="K112" s="29" t="str">
        <f aca="false" t="array" ref="K112:K112">IFERROR(INDEX('Bank Schedule'!K:K, SMALL(IF('Bank Schedule'!$K$2:$K$825="Vacant", ROW('Bank Schedule'!$K$2:$K$825)), ROW(109:109))), "")</f>
        <v>Vacant</v>
      </c>
      <c r="L112" s="29" t="str">
        <f aca="false">IFERROR(INDEX('Bank Schedule'!L:L, SMALL(IF('Bank Schedule'!$K$2:$K$825="Vacant", ROW('Bank Schedule'!$K$2:$K$825)), ROW(109:109))), "")</f>
        <v/>
      </c>
      <c r="M112" s="29" t="str">
        <f aca="false">IFERROR(INDEX('Bank Schedule'!M:M, SMALL(IF('Bank Schedule'!$K$2:$K$825="Vacant", ROW('Bank Schedule'!$K$2:$K$825)), ROW(109:109))), "")</f>
        <v/>
      </c>
      <c r="N112" s="307" t="n">
        <f aca="false" t="array" ref="N112:N112">IFERROR(INDEX('Bank Schedule'!N:N, SMALL(IF('Bank Schedule'!$K$2:$K$825="Vacant", ROW('Bank Schedule'!$K$2:$K$825)), ROW(109:109))), "")</f>
        <v>45139</v>
      </c>
      <c r="O112" s="29" t="str">
        <f aca="false">IFERROR(INDEX('Bank Schedule'!O:O, SMALL(IF('Bank Schedule'!$K$2:$K$825="Vacant", ROW('Bank Schedule'!$K$2:$K$825)), ROW(109:109))), "")</f>
        <v/>
      </c>
      <c r="P112" s="29" t="str">
        <f aca="false">IFERROR(INDEX('Bank Schedule'!P:P, SMALL(IF('Bank Schedule'!$K$2:$K$825="Vacant", ROW('Bank Schedule'!$K$2:$K$825)), ROW(109:109))), "")</f>
        <v/>
      </c>
      <c r="Q112" s="29" t="n">
        <f aca="false" t="array" ref="Q112:Q112">IFERROR(INDEX('Bank Schedule'!Q:Q, SMALL(IF('Bank Schedule'!$K$2:$K$825="Vacant", ROW('Bank Schedule'!$K$2:$K$825)), ROW(109:109))), "")</f>
        <v>0</v>
      </c>
      <c r="R112" s="29" t="n">
        <f aca="false" t="array" ref="R112:R112">IFERROR(INDEX('Bank Schedule'!R:R, SMALL(IF('Bank Schedule'!$K$2:$K$825="Vacant", ROW('Bank Schedule'!$K$2:$K$825)), ROW(109:109))), "")</f>
        <v>0</v>
      </c>
      <c r="S112" s="29" t="str">
        <f aca="false">IFERROR(INDEX('Bank Schedule'!S:S, SMALL(IF('Bank Schedule'!$K$2:$K$825="Vacant", ROW('Bank Schedule'!$K$2:$K$825)), ROW(109:109))), "")</f>
        <v/>
      </c>
      <c r="T112" s="309" t="n">
        <f aca="false" t="array" ref="T112:T112">IFERROR(INDEX('Bank Schedule'!T:T, SMALL(IF('Bank Schedule'!$K$2:$K$825="Vacant", ROW('Bank Schedule'!$K$2:$K$825)), ROW(109:109))), "")</f>
        <v>39600</v>
      </c>
      <c r="U112" s="309" t="n">
        <f aca="false" t="array" ref="U112:U112">IFERROR(INDEX('Bank Schedule'!U:U, SMALL(IF('Bank Schedule'!$K$2:$K$825="Vacant", ROW('Bank Schedule'!$K$2:$K$825)), ROW(109:109))), "")</f>
        <v>39600</v>
      </c>
      <c r="V112" s="309" t="n">
        <f aca="false" t="array" ref="V112:V112">IFERROR(INDEX('Bank Schedule'!V:V, SMALL(IF('Bank Schedule'!$K$2:$K$825="Vacant", ROW('Bank Schedule'!$K$2:$K$825)), ROW(109:109))), "")</f>
        <v>39600</v>
      </c>
      <c r="W112" s="309" t="n">
        <f aca="false" t="array" ref="W112:W112">IFERROR(INDEX('Bank Schedule'!W:W, SMALL(IF('Bank Schedule'!$K$2:$K$825="Vacant", ROW('Bank Schedule'!$K$2:$K$825)), ROW(109:109))), "")</f>
        <v>39600</v>
      </c>
      <c r="X112" s="309" t="n">
        <f aca="false" t="array" ref="X112:X112">IFERROR(INDEX('Bank Schedule'!X:X, SMALL(IF('Bank Schedule'!$K$2:$K$825="Vacant", ROW('Bank Schedule'!$K$2:$K$825)), ROW(109:109))), "")</f>
        <v>57.5581395348837</v>
      </c>
      <c r="Y112" s="310" t="n">
        <f aca="false" t="array" ref="Y112:Y112">IFERROR(INDEX('Bank Schedule'!Y:Y, SMALL(IF('Bank Schedule'!$K$2:$K$825="Vacant", ROW('Bank Schedule'!$K$2:$K$825)), ROW(109:109))), "")</f>
        <v>0</v>
      </c>
      <c r="Z112" s="29" t="str">
        <f aca="false" t="array" ref="Z112:Z112">IFERROR(INDEX('Bank Schedule'!Z:Z, SMALL(IF('Bank Schedule'!$K$2:$K$825="Vacant", ROW('Bank Schedule'!$K$2:$K$825)), ROW(109:109))), "")</f>
        <v>E</v>
      </c>
      <c r="AA112" s="29" t="str">
        <f aca="false">IFERROR(INDEX('Bank Schedule'!AA:AA, SMALL(IF('Bank Schedule'!$K$2:$K$825="Vacant", ROW('Bank Schedule'!$K$2:$K$825)), ROW(109:109))), "")</f>
        <v/>
      </c>
      <c r="AB112" s="29" t="str">
        <f aca="false">IFERROR(INDEX('Bank Schedule'!AB:AB, SMALL(IF('Bank Schedule'!$K$2:$K$825="Vacant", ROW('Bank Schedule'!$K$2:$K$825)), ROW(109:109))), "")</f>
        <v/>
      </c>
      <c r="AC112" s="29" t="str">
        <f aca="false" t="array" ref="AC112:AC112">IFERROR(INDEX('Bank Schedule'!AC:AC, SMALL(IF('Bank Schedule'!$K$2:$K$825="Vacant", ROW('Bank Schedule'!$K$2:$K$825)), ROW(109:109))), "")</f>
        <v>No</v>
      </c>
      <c r="AD112" s="29" t="str">
        <f aca="false" t="array" ref="AD112:AD112">IFERROR(INDEX('Bank Schedule'!AD:AD, SMALL(IF('Bank Schedule'!$K$2:$K$825="Vacant", ROW('Bank Schedule'!$K$2:$K$825)), ROW(109:109))), "")</f>
        <v>To be refurbished.</v>
      </c>
      <c r="AE112" s="281" t="str">
        <f aca="false">IFERROR(INDEX('Bank Schedule'!AE:AE, SMALL(IF('Bank Schedule'!$K$2:$K$825="Vacant", ROW('Bank Schedule'!$K$2:$K$825)), ROW(109:109))), "")</f>
        <v/>
      </c>
      <c r="AF112" s="29" t="str">
        <f aca="false">IFERROR(INDEX('Bank Schedule'!AF:AF, SMALL(IF('Bank Schedule'!$K$2:$K$825="Vacant", ROW('Bank Schedule'!$K$2:$K$825)), ROW(109:109))), "")</f>
        <v/>
      </c>
      <c r="AG112" s="29" t="str">
        <f aca="false">IFERROR(INDEX('Bank Schedule'!AG:AG, SMALL(IF('Bank Schedule'!$K$2:$K$825="Vacant", ROW('Bank Schedule'!$K$2:$K$825)), ROW(109:109))), "")</f>
        <v/>
      </c>
      <c r="AH112" s="29" t="str">
        <f aca="false">IFERROR(INDEX('Bank Schedule'!AH:AH, SMALL(IF('Bank Schedule'!$K$2:$K$825="Vacant", ROW('Bank Schedule'!$K$2:$K$825)), ROW(109:109))), "")</f>
        <v/>
      </c>
      <c r="AI112" s="4"/>
    </row>
    <row r="113" customFormat="false" ht="28.5" hidden="false" customHeight="true" outlineLevel="0" collapsed="false">
      <c r="A113" s="29" t="str">
        <f aca="false">IFERROR(INDEX('Bank Schedule'!A:A, SMALL(IF('Bank Schedule'!$K$2:$K$825="Vacant", ROW('Bank Schedule'!$K$2:$K$825)), ROW(110:110))), "")</f>
        <v/>
      </c>
      <c r="B113" s="29" t="str">
        <f aca="false" t="array" ref="B113:B113">IFERROR(INDEX('Bank Schedule'!B:B, SMALL(IF('Bank Schedule'!$K$2:$K$825="Vacant", ROW('Bank Schedule'!$K$2:$K$825)), ROW(110:110))), "")</f>
        <v>JM</v>
      </c>
      <c r="C113" s="29" t="str">
        <f aca="false" t="array" ref="C113:C113">IFERROR(INDEX('Bank Schedule'!C:C, SMALL(IF('Bank Schedule'!$K$2:$K$825="Vacant", ROW('Bank Schedule'!$K$2:$K$825)), ROW(110:110))), "")</f>
        <v>MEL</v>
      </c>
      <c r="D113" s="29" t="n">
        <f aca="false" t="array" ref="D113:D113">IFERROR(INDEX('Bank Schedule'!D:D, SMALL(IF('Bank Schedule'!$K$2:$K$825="Vacant", ROW('Bank Schedule'!$K$2:$K$825)), ROW(110:110))), "")</f>
        <v>100650</v>
      </c>
      <c r="E113" s="29" t="str">
        <f aca="false" t="array" ref="E113:E113">IFERROR(INDEX('Bank Schedule'!E:E, SMALL(IF('Bank Schedule'!$K$2:$K$825="Vacant", ROW('Bank Schedule'!$K$2:$K$825)), ROW(110:110))), "")</f>
        <v>50-60 Eastcastle Street</v>
      </c>
      <c r="F113" s="29" t="str">
        <f aca="false" t="array" ref="F113:F113">IFERROR(INDEX('Bank Schedule'!F:F, SMALL(IF('Bank Schedule'!$K$2:$K$825="Vacant", ROW('Bank Schedule'!$K$2:$K$825)), ROW(110:110))), "")</f>
        <v>Third Floor (345)</v>
      </c>
      <c r="G113" s="29" t="str">
        <f aca="false" t="array" ref="G113:G113">IFERROR(INDEX('Bank Schedule'!G:G, SMALL(IF('Bank Schedule'!$K$2:$K$825="Vacant", ROW('Bank Schedule'!$K$2:$K$825)), ROW(110:110))), "")</f>
        <v>Office</v>
      </c>
      <c r="H113" s="305" t="n">
        <f aca="false" t="array" ref="H113:H113">IFERROR(INDEX('Bank Schedule'!H:H, SMALL(IF('Bank Schedule'!$K$2:$K$825="Vacant", ROW('Bank Schedule'!$K$2:$K$825)), ROW(110:110))), "")</f>
        <v>325</v>
      </c>
      <c r="I113" s="29" t="n">
        <f aca="false" t="array" ref="I113:I113">IFERROR(INDEX('Bank Schedule'!I:I, SMALL(IF('Bank Schedule'!$K$2:$K$825="Vacant", ROW('Bank Schedule'!$K$2:$K$825)), ROW(110:110))), "")</f>
        <v>325</v>
      </c>
      <c r="J113" s="305" t="n">
        <f aca="false" t="array" ref="J113:J113">IFERROR(INDEX('Bank Schedule'!J:J, SMALL(IF('Bank Schedule'!$K$2:$K$825="Vacant", ROW('Bank Schedule'!$K$2:$K$825)), ROW(110:110))), "")</f>
        <v>500</v>
      </c>
      <c r="K113" s="29" t="str">
        <f aca="false" t="array" ref="K113:K113">IFERROR(INDEX('Bank Schedule'!K:K, SMALL(IF('Bank Schedule'!$K$2:$K$825="Vacant", ROW('Bank Schedule'!$K$2:$K$825)), ROW(110:110))), "")</f>
        <v>Vacant</v>
      </c>
      <c r="L113" s="29" t="str">
        <f aca="false">IFERROR(INDEX('Bank Schedule'!L:L, SMALL(IF('Bank Schedule'!$K$2:$K$825="Vacant", ROW('Bank Schedule'!$K$2:$K$825)), ROW(110:110))), "")</f>
        <v/>
      </c>
      <c r="M113" s="29" t="str">
        <f aca="false">IFERROR(INDEX('Bank Schedule'!M:M, SMALL(IF('Bank Schedule'!$K$2:$K$825="Vacant", ROW('Bank Schedule'!$K$2:$K$825)), ROW(110:110))), "")</f>
        <v/>
      </c>
      <c r="N113" s="307" t="n">
        <f aca="false" t="array" ref="N113:N113">IFERROR(INDEX('Bank Schedule'!N:N, SMALL(IF('Bank Schedule'!$K$2:$K$825="Vacant", ROW('Bank Schedule'!$K$2:$K$825)), ROW(110:110))), "")</f>
        <v>44340</v>
      </c>
      <c r="O113" s="29" t="str">
        <f aca="false">IFERROR(INDEX('Bank Schedule'!O:O, SMALL(IF('Bank Schedule'!$K$2:$K$825="Vacant", ROW('Bank Schedule'!$K$2:$K$825)), ROW(110:110))), "")</f>
        <v/>
      </c>
      <c r="P113" s="29" t="str">
        <f aca="false">IFERROR(INDEX('Bank Schedule'!P:P, SMALL(IF('Bank Schedule'!$K$2:$K$825="Vacant", ROW('Bank Schedule'!$K$2:$K$825)), ROW(110:110))), "")</f>
        <v/>
      </c>
      <c r="Q113" s="29" t="n">
        <f aca="false" t="array" ref="Q113:Q113">IFERROR(INDEX('Bank Schedule'!Q:Q, SMALL(IF('Bank Schedule'!$K$2:$K$825="Vacant", ROW('Bank Schedule'!$K$2:$K$825)), ROW(110:110))), "")</f>
        <v>0</v>
      </c>
      <c r="R113" s="29" t="n">
        <f aca="false" t="array" ref="R113:R113">IFERROR(INDEX('Bank Schedule'!R:R, SMALL(IF('Bank Schedule'!$K$2:$K$825="Vacant", ROW('Bank Schedule'!$K$2:$K$825)), ROW(110:110))), "")</f>
        <v>0</v>
      </c>
      <c r="S113" s="29" t="str">
        <f aca="false">IFERROR(INDEX('Bank Schedule'!S:S, SMALL(IF('Bank Schedule'!$K$2:$K$825="Vacant", ROW('Bank Schedule'!$K$2:$K$825)), ROW(110:110))), "")</f>
        <v/>
      </c>
      <c r="T113" s="309" t="n">
        <f aca="false" t="array" ref="T113:T113">IFERROR(INDEX('Bank Schedule'!T:T, SMALL(IF('Bank Schedule'!$K$2:$K$825="Vacant", ROW('Bank Schedule'!$K$2:$K$825)), ROW(110:110))), "")</f>
        <v>18700</v>
      </c>
      <c r="U113" s="309" t="n">
        <f aca="false" t="array" ref="U113:U113">IFERROR(INDEX('Bank Schedule'!U:U, SMALL(IF('Bank Schedule'!$K$2:$K$825="Vacant", ROW('Bank Schedule'!$K$2:$K$825)), ROW(110:110))), "")</f>
        <v>18700</v>
      </c>
      <c r="V113" s="309" t="n">
        <f aca="false" t="array" ref="V113:V113">IFERROR(INDEX('Bank Schedule'!V:V, SMALL(IF('Bank Schedule'!$K$2:$K$825="Vacant", ROW('Bank Schedule'!$K$2:$K$825)), ROW(110:110))), "")</f>
        <v>18700</v>
      </c>
      <c r="W113" s="309" t="n">
        <f aca="false" t="array" ref="W113:W113">IFERROR(INDEX('Bank Schedule'!W:W, SMALL(IF('Bank Schedule'!$K$2:$K$825="Vacant", ROW('Bank Schedule'!$K$2:$K$825)), ROW(110:110))), "")</f>
        <v>18700</v>
      </c>
      <c r="X113" s="309" t="n">
        <f aca="false" t="array" ref="X113:X113">IFERROR(INDEX('Bank Schedule'!X:X, SMALL(IF('Bank Schedule'!$K$2:$K$825="Vacant", ROW('Bank Schedule'!$K$2:$K$825)), ROW(110:110))), "")</f>
        <v>57.5384615384615</v>
      </c>
      <c r="Y113" s="310" t="n">
        <f aca="false" t="array" ref="Y113:Y113">IFERROR(INDEX('Bank Schedule'!Y:Y, SMALL(IF('Bank Schedule'!$K$2:$K$825="Vacant", ROW('Bank Schedule'!$K$2:$K$825)), ROW(110:110))), "")</f>
        <v>0</v>
      </c>
      <c r="Z113" s="29" t="str">
        <f aca="false" t="array" ref="Z113:Z113">IFERROR(INDEX('Bank Schedule'!Z:Z, SMALL(IF('Bank Schedule'!$K$2:$K$825="Vacant", ROW('Bank Schedule'!$K$2:$K$825)), ROW(110:110))), "")</f>
        <v>E</v>
      </c>
      <c r="AA113" s="29" t="str">
        <f aca="false">IFERROR(INDEX('Bank Schedule'!AA:AA, SMALL(IF('Bank Schedule'!$K$2:$K$825="Vacant", ROW('Bank Schedule'!$K$2:$K$825)), ROW(110:110))), "")</f>
        <v/>
      </c>
      <c r="AB113" s="29" t="str">
        <f aca="false">IFERROR(INDEX('Bank Schedule'!AB:AB, SMALL(IF('Bank Schedule'!$K$2:$K$825="Vacant", ROW('Bank Schedule'!$K$2:$K$825)), ROW(110:110))), "")</f>
        <v/>
      </c>
      <c r="AC113" s="29" t="str">
        <f aca="false" t="array" ref="AC113:AC113">IFERROR(INDEX('Bank Schedule'!AC:AC, SMALL(IF('Bank Schedule'!$K$2:$K$825="Vacant", ROW('Bank Schedule'!$K$2:$K$825)), ROW(110:110))), "")</f>
        <v>No</v>
      </c>
      <c r="AD113" s="29" t="str">
        <f aca="false" t="array" ref="AD113:AD113">IFERROR(INDEX('Bank Schedule'!AD:AD, SMALL(IF('Bank Schedule'!$K$2:$K$825="Vacant", ROW('Bank Schedule'!$K$2:$K$825)), ROW(110:110))), "")</f>
        <v>To be refurbished.</v>
      </c>
      <c r="AE113" s="281" t="str">
        <f aca="false">IFERROR(INDEX('Bank Schedule'!AE:AE, SMALL(IF('Bank Schedule'!$K$2:$K$825="Vacant", ROW('Bank Schedule'!$K$2:$K$825)), ROW(110:110))), "")</f>
        <v/>
      </c>
      <c r="AF113" s="29" t="str">
        <f aca="false">IFERROR(INDEX('Bank Schedule'!AF:AF, SMALL(IF('Bank Schedule'!$K$2:$K$825="Vacant", ROW('Bank Schedule'!$K$2:$K$825)), ROW(110:110))), "")</f>
        <v/>
      </c>
      <c r="AG113" s="29" t="str">
        <f aca="false">IFERROR(INDEX('Bank Schedule'!AG:AG, SMALL(IF('Bank Schedule'!$K$2:$K$825="Vacant", ROW('Bank Schedule'!$K$2:$K$825)), ROW(110:110))), "")</f>
        <v/>
      </c>
      <c r="AH113" s="29" t="str">
        <f aca="false">IFERROR(INDEX('Bank Schedule'!AH:AH, SMALL(IF('Bank Schedule'!$K$2:$K$825="Vacant", ROW('Bank Schedule'!$K$2:$K$825)), ROW(110:110))), "")</f>
        <v/>
      </c>
      <c r="AI113" s="4"/>
    </row>
    <row r="114" customFormat="false" ht="28.5" hidden="false" customHeight="true" outlineLevel="0" collapsed="false">
      <c r="A114" s="29" t="str">
        <f aca="false">IFERROR(INDEX('Bank Schedule'!A:A, SMALL(IF('Bank Schedule'!$K$2:$K$825="Vacant", ROW('Bank Schedule'!$K$2:$K$825)), ROW(111:111))), "")</f>
        <v/>
      </c>
      <c r="B114" s="29" t="str">
        <f aca="false" t="array" ref="B114:B114">IFERROR(INDEX('Bank Schedule'!B:B, SMALL(IF('Bank Schedule'!$K$2:$K$825="Vacant", ROW('Bank Schedule'!$K$2:$K$825)), ROW(111:111))), "")</f>
        <v>JM</v>
      </c>
      <c r="C114" s="29" t="str">
        <f aca="false" t="array" ref="C114:C114">IFERROR(INDEX('Bank Schedule'!C:C, SMALL(IF('Bank Schedule'!$K$2:$K$825="Vacant", ROW('Bank Schedule'!$K$2:$K$825)), ROW(111:111))), "")</f>
        <v>MEL</v>
      </c>
      <c r="D114" s="29" t="n">
        <f aca="false" t="array" ref="D114:D114">IFERROR(INDEX('Bank Schedule'!D:D, SMALL(IF('Bank Schedule'!$K$2:$K$825="Vacant", ROW('Bank Schedule'!$K$2:$K$825)), ROW(111:111))), "")</f>
        <v>100680</v>
      </c>
      <c r="E114" s="29" t="str">
        <f aca="false" t="array" ref="E114:E114">IFERROR(INDEX('Bank Schedule'!E:E, SMALL(IF('Bank Schedule'!$K$2:$K$825="Vacant", ROW('Bank Schedule'!$K$2:$K$825)), ROW(111:111))), "")</f>
        <v>Mappin House, 156-162 Oxford Street</v>
      </c>
      <c r="F114" s="29" t="str">
        <f aca="false" t="array" ref="F114:F114">IFERROR(INDEX('Bank Schedule'!F:F, SMALL(IF('Bank Schedule'!$K$2:$K$825="Vacant", ROW('Bank Schedule'!$K$2:$K$825)), ROW(111:111))), "")</f>
        <v>Third Floor</v>
      </c>
      <c r="G114" s="29" t="str">
        <f aca="false" t="array" ref="G114:G114">IFERROR(INDEX('Bank Schedule'!G:G, SMALL(IF('Bank Schedule'!$K$2:$K$825="Vacant", ROW('Bank Schedule'!$K$2:$K$825)), ROW(111:111))), "")</f>
        <v>Office</v>
      </c>
      <c r="H114" s="305" t="n">
        <f aca="false" t="array" ref="H114:H114">IFERROR(INDEX('Bank Schedule'!H:H, SMALL(IF('Bank Schedule'!$K$2:$K$825="Vacant", ROW('Bank Schedule'!$K$2:$K$825)), ROW(111:111))), "")</f>
        <v>6999</v>
      </c>
      <c r="I114" s="29" t="n">
        <f aca="false" t="array" ref="I114:I114">IFERROR(INDEX('Bank Schedule'!I:I, SMALL(IF('Bank Schedule'!$K$2:$K$825="Vacant", ROW('Bank Schedule'!$K$2:$K$825)), ROW(111:111))), "")</f>
        <v>6999</v>
      </c>
      <c r="J114" s="305" t="n">
        <f aca="false" t="array" ref="J114:J114">IFERROR(INDEX('Bank Schedule'!J:J, SMALL(IF('Bank Schedule'!$K$2:$K$825="Vacant", ROW('Bank Schedule'!$K$2:$K$825)), ROW(111:111))), "")</f>
        <v>7000</v>
      </c>
      <c r="K114" s="29" t="str">
        <f aca="false" t="array" ref="K114:K114">IFERROR(INDEX('Bank Schedule'!K:K, SMALL(IF('Bank Schedule'!$K$2:$K$825="Vacant", ROW('Bank Schedule'!$K$2:$K$825)), ROW(111:111))), "")</f>
        <v>Vacant</v>
      </c>
      <c r="L114" s="29" t="str">
        <f aca="false">IFERROR(INDEX('Bank Schedule'!L:L, SMALL(IF('Bank Schedule'!$K$2:$K$825="Vacant", ROW('Bank Schedule'!$K$2:$K$825)), ROW(111:111))), "")</f>
        <v/>
      </c>
      <c r="M114" s="29" t="str">
        <f aca="false">IFERROR(INDEX('Bank Schedule'!M:M, SMALL(IF('Bank Schedule'!$K$2:$K$825="Vacant", ROW('Bank Schedule'!$K$2:$K$825)), ROW(111:111))), "")</f>
        <v/>
      </c>
      <c r="N114" s="307" t="n">
        <f aca="false" t="array" ref="N114:N114">IFERROR(INDEX('Bank Schedule'!N:N, SMALL(IF('Bank Schedule'!$K$2:$K$825="Vacant", ROW('Bank Schedule'!$K$2:$K$825)), ROW(111:111))), "")</f>
        <v>45673</v>
      </c>
      <c r="O114" s="29" t="str">
        <f aca="false">IFERROR(INDEX('Bank Schedule'!O:O, SMALL(IF('Bank Schedule'!$K$2:$K$825="Vacant", ROW('Bank Schedule'!$K$2:$K$825)), ROW(111:111))), "")</f>
        <v/>
      </c>
      <c r="P114" s="29" t="str">
        <f aca="false">IFERROR(INDEX('Bank Schedule'!P:P, SMALL(IF('Bank Schedule'!$K$2:$K$825="Vacant", ROW('Bank Schedule'!$K$2:$K$825)), ROW(111:111))), "")</f>
        <v/>
      </c>
      <c r="Q114" s="29" t="n">
        <f aca="false" t="array" ref="Q114:Q114">IFERROR(INDEX('Bank Schedule'!Q:Q, SMALL(IF('Bank Schedule'!$K$2:$K$825="Vacant", ROW('Bank Schedule'!$K$2:$K$825)), ROW(111:111))), "")</f>
        <v>0</v>
      </c>
      <c r="R114" s="29" t="n">
        <f aca="false" t="array" ref="R114:R114">IFERROR(INDEX('Bank Schedule'!R:R, SMALL(IF('Bank Schedule'!$K$2:$K$825="Vacant", ROW('Bank Schedule'!$K$2:$K$825)), ROW(111:111))), "")</f>
        <v>0</v>
      </c>
      <c r="S114" s="29" t="str">
        <f aca="false">IFERROR(INDEX('Bank Schedule'!S:S, SMALL(IF('Bank Schedule'!$K$2:$K$825="Vacant", ROW('Bank Schedule'!$K$2:$K$825)), ROW(111:111))), "")</f>
        <v/>
      </c>
      <c r="T114" s="309" t="n">
        <f aca="false" t="array" ref="T114:T114">IFERROR(INDEX('Bank Schedule'!T:T, SMALL(IF('Bank Schedule'!$K$2:$K$825="Vacant", ROW('Bank Schedule'!$K$2:$K$825)), ROW(111:111))), "")</f>
        <v>448100</v>
      </c>
      <c r="U114" s="309" t="n">
        <f aca="false" t="array" ref="U114:U114">IFERROR(INDEX('Bank Schedule'!U:U, SMALL(IF('Bank Schedule'!$K$2:$K$825="Vacant", ROW('Bank Schedule'!$K$2:$K$825)), ROW(111:111))), "")</f>
        <v>448100</v>
      </c>
      <c r="V114" s="309" t="n">
        <f aca="false" t="array" ref="V114:V114">IFERROR(INDEX('Bank Schedule'!V:V, SMALL(IF('Bank Schedule'!$K$2:$K$825="Vacant", ROW('Bank Schedule'!$K$2:$K$825)), ROW(111:111))), "")</f>
        <v>437400</v>
      </c>
      <c r="W114" s="309" t="n">
        <f aca="false" t="array" ref="W114:W114">IFERROR(INDEX('Bank Schedule'!W:W, SMALL(IF('Bank Schedule'!$K$2:$K$825="Vacant", ROW('Bank Schedule'!$K$2:$K$825)), ROW(111:111))), "")</f>
        <v>437400</v>
      </c>
      <c r="X114" s="309" t="n">
        <f aca="false" t="array" ref="X114:X114">IFERROR(INDEX('Bank Schedule'!X:X, SMALL(IF('Bank Schedule'!$K$2:$K$825="Vacant", ROW('Bank Schedule'!$K$2:$K$825)), ROW(111:111))), "")</f>
        <v>62.4946420917274</v>
      </c>
      <c r="Y114" s="310" t="n">
        <f aca="false" t="array" ref="Y114:Y114">IFERROR(INDEX('Bank Schedule'!Y:Y, SMALL(IF('Bank Schedule'!$K$2:$K$825="Vacant", ROW('Bank Schedule'!$K$2:$K$825)), ROW(111:111))), "")</f>
        <v>-0.0238785985271145</v>
      </c>
      <c r="Z114" s="29" t="str">
        <f aca="false" t="array" ref="Z114:Z114">IFERROR(INDEX('Bank Schedule'!Z:Z, SMALL(IF('Bank Schedule'!$K$2:$K$825="Vacant", ROW('Bank Schedule'!$K$2:$K$825)), ROW(111:111))), "")</f>
        <v>D</v>
      </c>
      <c r="AA114" s="29" t="str">
        <f aca="false">IFERROR(INDEX('Bank Schedule'!AA:AA, SMALL(IF('Bank Schedule'!$K$2:$K$825="Vacant", ROW('Bank Schedule'!$K$2:$K$825)), ROW(111:111))), "")</f>
        <v/>
      </c>
      <c r="AB114" s="29" t="str">
        <f aca="false">IFERROR(INDEX('Bank Schedule'!AB:AB, SMALL(IF('Bank Schedule'!$K$2:$K$825="Vacant", ROW('Bank Schedule'!$K$2:$K$825)), ROW(111:111))), "")</f>
        <v/>
      </c>
      <c r="AC114" s="29" t="str">
        <f aca="false" t="array" ref="AC114:AC114">IFERROR(INDEX('Bank Schedule'!AC:AC, SMALL(IF('Bank Schedule'!$K$2:$K$825="Vacant", ROW('Bank Schedule'!$K$2:$K$825)), ROW(111:111))), "")</f>
        <v>No</v>
      </c>
      <c r="AD114" s="29" t="str">
        <f aca="false" t="array" ref="AD114:AD114">IFERROR(INDEX('Bank Schedule'!AD:AD, SMALL(IF('Bank Schedule'!$K$2:$K$825="Vacant", ROW('Bank Schedule'!$K$2:$K$825)), ROW(111:111))), "")</f>
        <v>LEM marketing</v>
      </c>
      <c r="AE114" s="281" t="str">
        <f aca="false">IFERROR(INDEX('Bank Schedule'!AE:AE, SMALL(IF('Bank Schedule'!$K$2:$K$825="Vacant", ROW('Bank Schedule'!$K$2:$K$825)), ROW(111:111))), "")</f>
        <v/>
      </c>
      <c r="AF114" s="29" t="n">
        <f aca="false" t="array" ref="AF114:AF114">IFERROR(INDEX('Bank Schedule'!AF:AF, SMALL(IF('Bank Schedule'!$K$2:$K$825="Vacant", ROW('Bank Schedule'!$K$2:$K$825)), ROW(111:111))), "")</f>
        <v>2</v>
      </c>
      <c r="AG114" s="29" t="n">
        <f aca="false" t="array" ref="AG114:AG114">IFERROR(INDEX('Bank Schedule'!AG:AG, SMALL(IF('Bank Schedule'!$K$2:$K$825="Vacant", ROW('Bank Schedule'!$K$2:$K$825)), ROW(111:111))), "")</f>
        <v>9</v>
      </c>
      <c r="AH114" s="29" t="str">
        <f aca="false" t="array" ref="AH114:AH114">IFERROR(INDEX('Bank Schedule'!AH:AH, SMALL(IF('Bank Schedule'!$K$2:$K$825="Vacant", ROW('Bank Schedule'!$K$2:$K$825)), ROW(111:111))), "")</f>
        <v>LEM</v>
      </c>
      <c r="AI114" s="4"/>
    </row>
    <row r="115" customFormat="false" ht="28.5" hidden="false" customHeight="true" outlineLevel="0" collapsed="false">
      <c r="A115" s="29" t="str">
        <f aca="false">IFERROR(INDEX('Bank Schedule'!A:A, SMALL(IF('Bank Schedule'!$K$2:$K$825="Vacant", ROW('Bank Schedule'!$K$2:$K$825)), ROW(112:112))), "")</f>
        <v/>
      </c>
      <c r="B115" s="29" t="str">
        <f aca="false" t="array" ref="B115:B115">IFERROR(INDEX('Bank Schedule'!B:B, SMALL(IF('Bank Schedule'!$K$2:$K$825="Vacant", ROW('Bank Schedule'!$K$2:$K$825)), ROW(112:112))), "")</f>
        <v>CM</v>
      </c>
      <c r="C115" s="29" t="str">
        <f aca="false" t="array" ref="C115:C115">IFERROR(INDEX('Bank Schedule'!C:C, SMALL(IF('Bank Schedule'!$K$2:$K$825="Vacant", ROW('Bank Schedule'!$K$2:$K$825)), ROW(112:112))), "")</f>
        <v>MEL</v>
      </c>
      <c r="D115" s="29" t="n">
        <f aca="false" t="array" ref="D115:D115">IFERROR(INDEX('Bank Schedule'!D:D, SMALL(IF('Bank Schedule'!$K$2:$K$825="Vacant", ROW('Bank Schedule'!$K$2:$K$825)), ROW(112:112))), "")</f>
        <v>550030</v>
      </c>
      <c r="E115" s="29" t="str">
        <f aca="false" t="array" ref="E115:E115">IFERROR(INDEX('Bank Schedule'!E:E, SMALL(IF('Bank Schedule'!$K$2:$K$825="Vacant", ROW('Bank Schedule'!$K$2:$K$825)), ROW(112:112))), "")</f>
        <v>53 Wells Street</v>
      </c>
      <c r="F115" s="29" t="str">
        <f aca="false" t="array" ref="F115:F115">IFERROR(INDEX('Bank Schedule'!F:F, SMALL(IF('Bank Schedule'!$K$2:$K$825="Vacant", ROW('Bank Schedule'!$K$2:$K$825)), ROW(112:112))), "")</f>
        <v>Lower Ground Floor</v>
      </c>
      <c r="G115" s="29" t="str">
        <f aca="false" t="array" ref="G115:G115">IFERROR(INDEX('Bank Schedule'!G:G, SMALL(IF('Bank Schedule'!$K$2:$K$825="Vacant", ROW('Bank Schedule'!$K$2:$K$825)), ROW(112:112))), "")</f>
        <v>Office</v>
      </c>
      <c r="H115" s="305" t="n">
        <f aca="false" t="array" ref="H115:H115">IFERROR(INDEX('Bank Schedule'!H:H, SMALL(IF('Bank Schedule'!$K$2:$K$825="Vacant", ROW('Bank Schedule'!$K$2:$K$825)), ROW(112:112))), "")</f>
        <v>825</v>
      </c>
      <c r="I115" s="29" t="n">
        <f aca="false" t="array" ref="I115:I115">IFERROR(INDEX('Bank Schedule'!I:I, SMALL(IF('Bank Schedule'!$K$2:$K$825="Vacant", ROW('Bank Schedule'!$K$2:$K$825)), ROW(112:112))), "")</f>
        <v>825</v>
      </c>
      <c r="J115" s="305" t="n">
        <f aca="false" t="array" ref="J115:J115">IFERROR(INDEX('Bank Schedule'!J:J, SMALL(IF('Bank Schedule'!$K$2:$K$825="Vacant", ROW('Bank Schedule'!$K$2:$K$825)), ROW(112:112))), "")</f>
        <v>1000</v>
      </c>
      <c r="K115" s="29" t="str">
        <f aca="false" t="array" ref="K115:K115">IFERROR(INDEX('Bank Schedule'!K:K, SMALL(IF('Bank Schedule'!$K$2:$K$825="Vacant", ROW('Bank Schedule'!$K$2:$K$825)), ROW(112:112))), "")</f>
        <v>Vacant</v>
      </c>
      <c r="L115" s="29" t="str">
        <f aca="false">IFERROR(INDEX('Bank Schedule'!L:L, SMALL(IF('Bank Schedule'!$K$2:$K$825="Vacant", ROW('Bank Schedule'!$K$2:$K$825)), ROW(112:112))), "")</f>
        <v/>
      </c>
      <c r="M115" s="29" t="str">
        <f aca="false">IFERROR(INDEX('Bank Schedule'!M:M, SMALL(IF('Bank Schedule'!$K$2:$K$825="Vacant", ROW('Bank Schedule'!$K$2:$K$825)), ROW(112:112))), "")</f>
        <v/>
      </c>
      <c r="N115" s="307" t="n">
        <f aca="false" t="array" ref="N115:N115">IFERROR(INDEX('Bank Schedule'!N:N, SMALL(IF('Bank Schedule'!$K$2:$K$825="Vacant", ROW('Bank Schedule'!$K$2:$K$825)), ROW(112:112))), "")</f>
        <v>44709</v>
      </c>
      <c r="O115" s="29" t="str">
        <f aca="false">IFERROR(INDEX('Bank Schedule'!O:O, SMALL(IF('Bank Schedule'!$K$2:$K$825="Vacant", ROW('Bank Schedule'!$K$2:$K$825)), ROW(112:112))), "")</f>
        <v/>
      </c>
      <c r="P115" s="29" t="str">
        <f aca="false">IFERROR(INDEX('Bank Schedule'!P:P, SMALL(IF('Bank Schedule'!$K$2:$K$825="Vacant", ROW('Bank Schedule'!$K$2:$K$825)), ROW(112:112))), "")</f>
        <v/>
      </c>
      <c r="Q115" s="29" t="n">
        <f aca="false" t="array" ref="Q115:Q115">IFERROR(INDEX('Bank Schedule'!Q:Q, SMALL(IF('Bank Schedule'!$K$2:$K$825="Vacant", ROW('Bank Schedule'!$K$2:$K$825)), ROW(112:112))), "")</f>
        <v>0</v>
      </c>
      <c r="R115" s="29" t="n">
        <f aca="false" t="array" ref="R115:R115">IFERROR(INDEX('Bank Schedule'!R:R, SMALL(IF('Bank Schedule'!$K$2:$K$825="Vacant", ROW('Bank Schedule'!$K$2:$K$825)), ROW(112:112))), "")</f>
        <v>0</v>
      </c>
      <c r="S115" s="29" t="str">
        <f aca="false">IFERROR(INDEX('Bank Schedule'!S:S, SMALL(IF('Bank Schedule'!$K$2:$K$825="Vacant", ROW('Bank Schedule'!$K$2:$K$825)), ROW(112:112))), "")</f>
        <v/>
      </c>
      <c r="T115" s="309" t="n">
        <f aca="false" t="array" ref="T115:T115">IFERROR(INDEX('Bank Schedule'!T:T, SMALL(IF('Bank Schedule'!$K$2:$K$825="Vacant", ROW('Bank Schedule'!$K$2:$K$825)), ROW(112:112))), "")</f>
        <v>27200</v>
      </c>
      <c r="U115" s="309" t="n">
        <f aca="false" t="array" ref="U115:U115">IFERROR(INDEX('Bank Schedule'!U:U, SMALL(IF('Bank Schedule'!$K$2:$K$825="Vacant", ROW('Bank Schedule'!$K$2:$K$825)), ROW(112:112))), "")</f>
        <v>27200</v>
      </c>
      <c r="V115" s="309" t="n">
        <f aca="false" t="array" ref="V115:V115">IFERROR(INDEX('Bank Schedule'!V:V, SMALL(IF('Bank Schedule'!$K$2:$K$825="Vacant", ROW('Bank Schedule'!$K$2:$K$825)), ROW(112:112))), "")</f>
        <v>33000</v>
      </c>
      <c r="W115" s="309" t="n">
        <f aca="false" t="array" ref="W115:W115">IFERROR(INDEX('Bank Schedule'!W:W, SMALL(IF('Bank Schedule'!$K$2:$K$825="Vacant", ROW('Bank Schedule'!$K$2:$K$825)), ROW(112:112))), "")</f>
        <v>33000</v>
      </c>
      <c r="X115" s="309" t="n">
        <f aca="false" t="array" ref="X115:X115">IFERROR(INDEX('Bank Schedule'!X:X, SMALL(IF('Bank Schedule'!$K$2:$K$825="Vacant", ROW('Bank Schedule'!$K$2:$K$825)), ROW(112:112))), "")</f>
        <v>40</v>
      </c>
      <c r="Y115" s="310" t="n">
        <f aca="false" t="array" ref="Y115:Y115">IFERROR(INDEX('Bank Schedule'!Y:Y, SMALL(IF('Bank Schedule'!$K$2:$K$825="Vacant", ROW('Bank Schedule'!$K$2:$K$825)), ROW(112:112))), "")</f>
        <v>0.213235294117647</v>
      </c>
      <c r="Z115" s="29" t="str">
        <f aca="false" t="array" ref="Z115:Z115">IFERROR(INDEX('Bank Schedule'!Z:Z, SMALL(IF('Bank Schedule'!$K$2:$K$825="Vacant", ROW('Bank Schedule'!$K$2:$K$825)), ROW(112:112))), "")</f>
        <v>B</v>
      </c>
      <c r="AA115" s="29" t="str">
        <f aca="false">IFERROR(INDEX('Bank Schedule'!AA:AA, SMALL(IF('Bank Schedule'!$K$2:$K$825="Vacant", ROW('Bank Schedule'!$K$2:$K$825)), ROW(112:112))), "")</f>
        <v/>
      </c>
      <c r="AB115" s="29" t="str">
        <f aca="false">IFERROR(INDEX('Bank Schedule'!AB:AB, SMALL(IF('Bank Schedule'!$K$2:$K$825="Vacant", ROW('Bank Schedule'!$K$2:$K$825)), ROW(112:112))), "")</f>
        <v/>
      </c>
      <c r="AC115" s="29" t="str">
        <f aca="false" t="array" ref="AC115:AC115">IFERROR(INDEX('Bank Schedule'!AC:AC, SMALL(IF('Bank Schedule'!$K$2:$K$825="Vacant", ROW('Bank Schedule'!$K$2:$K$825)), ROW(112:112))), "")</f>
        <v>No</v>
      </c>
      <c r="AD115" s="29" t="str">
        <f aca="false" t="array" ref="AD115:AD115">IFERROR(INDEX('Bank Schedule'!AD:AD, SMALL(IF('Bank Schedule'!$K$2:$K$825="Vacant", ROW('Bank Schedule'!$K$2:$K$825)), ROW(112:112))), "")</f>
        <v>LEM Marketing. </v>
      </c>
      <c r="AE115" s="281" t="str">
        <f aca="false">IFERROR(INDEX('Bank Schedule'!AE:AE, SMALL(IF('Bank Schedule'!$K$2:$K$825="Vacant", ROW('Bank Schedule'!$K$2:$K$825)), ROW(112:112))), "")</f>
        <v/>
      </c>
      <c r="AF115" s="29" t="n">
        <f aca="false" t="array" ref="AF115:AF115">IFERROR(INDEX('Bank Schedule'!AF:AF, SMALL(IF('Bank Schedule'!$K$2:$K$825="Vacant", ROW('Bank Schedule'!$K$2:$K$825)), ROW(112:112))), "")</f>
        <v>1</v>
      </c>
      <c r="AG115" s="29" t="n">
        <f aca="false" t="array" ref="AG115:AG115">IFERROR(INDEX('Bank Schedule'!AG:AG, SMALL(IF('Bank Schedule'!$K$2:$K$825="Vacant", ROW('Bank Schedule'!$K$2:$K$825)), ROW(112:112))), "")</f>
        <v>2</v>
      </c>
      <c r="AH115" s="29" t="str">
        <f aca="false">IFERROR(INDEX('Bank Schedule'!AH:AH, SMALL(IF('Bank Schedule'!$K$2:$K$825="Vacant", ROW('Bank Schedule'!$K$2:$K$825)), ROW(112:112))), "")</f>
        <v/>
      </c>
      <c r="AI115" s="4"/>
    </row>
    <row r="116" customFormat="false" ht="28.5" hidden="false" customHeight="true" outlineLevel="0" collapsed="false">
      <c r="A116" s="29" t="str">
        <f aca="false">IFERROR(INDEX('Bank Schedule'!A:A, SMALL(IF('Bank Schedule'!$K$2:$K$825="Vacant", ROW('Bank Schedule'!$K$2:$K$825)), ROW(113:113))), "")</f>
        <v/>
      </c>
      <c r="B116" s="29" t="str">
        <f aca="false" t="array" ref="B116:B116">IFERROR(INDEX('Bank Schedule'!B:B, SMALL(IF('Bank Schedule'!$K$2:$K$825="Vacant", ROW('Bank Schedule'!$K$2:$K$825)), ROW(113:113))), "")</f>
        <v>WS</v>
      </c>
      <c r="C116" s="29" t="str">
        <f aca="false" t="array" ref="C116:C116">IFERROR(INDEX('Bank Schedule'!C:C, SMALL(IF('Bank Schedule'!$K$2:$K$825="Vacant", ROW('Bank Schedule'!$K$2:$K$825)), ROW(113:113))), "")</f>
        <v>OPG</v>
      </c>
      <c r="D116" s="29" t="n">
        <f aca="false" t="array" ref="D116:D116">IFERROR(INDEX('Bank Schedule'!D:D, SMALL(IF('Bank Schedule'!$K$2:$K$825="Vacant", ROW('Bank Schedule'!$K$2:$K$825)), ROW(113:113))), "")</f>
        <v>800500</v>
      </c>
      <c r="E116" s="29" t="str">
        <f aca="false" t="array" ref="E116:E116">IFERROR(INDEX('Bank Schedule'!E:E, SMALL(IF('Bank Schedule'!$K$2:$K$825="Vacant", ROW('Bank Schedule'!$K$2:$K$825)), ROW(113:113))), "")</f>
        <v>85 Mortimer Street</v>
      </c>
      <c r="F116" s="29" t="str">
        <f aca="false" t="array" ref="F116:F116">IFERROR(INDEX('Bank Schedule'!F:F, SMALL(IF('Bank Schedule'!$K$2:$K$825="Vacant", ROW('Bank Schedule'!$K$2:$K$825)), ROW(113:113))), "")</f>
        <v>First to Third Floors</v>
      </c>
      <c r="G116" s="29" t="str">
        <f aca="false" t="array" ref="G116:G116">IFERROR(INDEX('Bank Schedule'!G:G, SMALL(IF('Bank Schedule'!$K$2:$K$825="Vacant", ROW('Bank Schedule'!$K$2:$K$825)), ROW(113:113))), "")</f>
        <v>Offices</v>
      </c>
      <c r="H116" s="305" t="n">
        <f aca="false" t="array" ref="H116:H116">IFERROR(INDEX('Bank Schedule'!H:H, SMALL(IF('Bank Schedule'!$K$2:$K$825="Vacant", ROW('Bank Schedule'!$K$2:$K$825)), ROW(113:113))), "")</f>
        <v>1248</v>
      </c>
      <c r="I116" s="29" t="n">
        <f aca="false" t="array" ref="I116:I116">IFERROR(INDEX('Bank Schedule'!I:I, SMALL(IF('Bank Schedule'!$K$2:$K$825="Vacant", ROW('Bank Schedule'!$K$2:$K$825)), ROW(113:113))), "")</f>
        <v>1248</v>
      </c>
      <c r="J116" s="305" t="n">
        <f aca="false" t="array" ref="J116:J116">IFERROR(INDEX('Bank Schedule'!J:J, SMALL(IF('Bank Schedule'!$K$2:$K$825="Vacant", ROW('Bank Schedule'!$K$2:$K$825)), ROW(113:113))), "")</f>
        <v>1250</v>
      </c>
      <c r="K116" s="29" t="str">
        <f aca="false" t="array" ref="K116:K116">IFERROR(INDEX('Bank Schedule'!K:K, SMALL(IF('Bank Schedule'!$K$2:$K$825="Vacant", ROW('Bank Schedule'!$K$2:$K$825)), ROW(113:113))), "")</f>
        <v>Vacant</v>
      </c>
      <c r="L116" s="29" t="str">
        <f aca="false">IFERROR(INDEX('Bank Schedule'!L:L, SMALL(IF('Bank Schedule'!$K$2:$K$825="Vacant", ROW('Bank Schedule'!$K$2:$K$825)), ROW(113:113))), "")</f>
        <v/>
      </c>
      <c r="M116" s="29" t="str">
        <f aca="false">IFERROR(INDEX('Bank Schedule'!M:M, SMALL(IF('Bank Schedule'!$K$2:$K$825="Vacant", ROW('Bank Schedule'!$K$2:$K$825)), ROW(113:113))), "")</f>
        <v/>
      </c>
      <c r="N116" s="307" t="n">
        <f aca="false" t="array" ref="N116:N116">IFERROR(INDEX('Bank Schedule'!N:N, SMALL(IF('Bank Schedule'!$K$2:$K$825="Vacant", ROW('Bank Schedule'!$K$2:$K$825)), ROW(113:113))), "")</f>
        <v>44550</v>
      </c>
      <c r="O116" s="29" t="str">
        <f aca="false">IFERROR(INDEX('Bank Schedule'!O:O, SMALL(IF('Bank Schedule'!$K$2:$K$825="Vacant", ROW('Bank Schedule'!$K$2:$K$825)), ROW(113:113))), "")</f>
        <v/>
      </c>
      <c r="P116" s="29" t="str">
        <f aca="false">IFERROR(INDEX('Bank Schedule'!P:P, SMALL(IF('Bank Schedule'!$K$2:$K$825="Vacant", ROW('Bank Schedule'!$K$2:$K$825)), ROW(113:113))), "")</f>
        <v/>
      </c>
      <c r="Q116" s="29" t="n">
        <f aca="false" t="array" ref="Q116:Q116">IFERROR(INDEX('Bank Schedule'!Q:Q, SMALL(IF('Bank Schedule'!$K$2:$K$825="Vacant", ROW('Bank Schedule'!$K$2:$K$825)), ROW(113:113))), "")</f>
        <v>0</v>
      </c>
      <c r="R116" s="29" t="n">
        <f aca="false" t="array" ref="R116:R116">IFERROR(INDEX('Bank Schedule'!R:R, SMALL(IF('Bank Schedule'!$K$2:$K$825="Vacant", ROW('Bank Schedule'!$K$2:$K$825)), ROW(113:113))), "")</f>
        <v>0</v>
      </c>
      <c r="S116" s="29" t="str">
        <f aca="false">IFERROR(INDEX('Bank Schedule'!S:S, SMALL(IF('Bank Schedule'!$K$2:$K$825="Vacant", ROW('Bank Schedule'!$K$2:$K$825)), ROW(113:113))), "")</f>
        <v/>
      </c>
      <c r="T116" s="309" t="n">
        <f aca="false" t="array" ref="T116:T116">IFERROR(INDEX('Bank Schedule'!T:T, SMALL(IF('Bank Schedule'!$K$2:$K$825="Vacant", ROW('Bank Schedule'!$K$2:$K$825)), ROW(113:113))), "")</f>
        <v>66800</v>
      </c>
      <c r="U116" s="309" t="n">
        <f aca="false" t="array" ref="U116:U116">IFERROR(INDEX('Bank Schedule'!U:U, SMALL(IF('Bank Schedule'!$K$2:$K$825="Vacant", ROW('Bank Schedule'!$K$2:$K$825)), ROW(113:113))), "")</f>
        <v>66800</v>
      </c>
      <c r="V116" s="309" t="n">
        <f aca="false" t="array" ref="V116:V116">IFERROR(INDEX('Bank Schedule'!V:V, SMALL(IF('Bank Schedule'!$K$2:$K$825="Vacant", ROW('Bank Schedule'!$K$2:$K$825)), ROW(113:113))), "")</f>
        <v>66800</v>
      </c>
      <c r="W116" s="309" t="n">
        <f aca="false" t="array" ref="W116:W116">IFERROR(INDEX('Bank Schedule'!W:W, SMALL(IF('Bank Schedule'!$K$2:$K$825="Vacant", ROW('Bank Schedule'!$K$2:$K$825)), ROW(113:113))), "")</f>
        <v>66800</v>
      </c>
      <c r="X116" s="309" t="n">
        <f aca="false" t="array" ref="X116:X116">IFERROR(INDEX('Bank Schedule'!X:X, SMALL(IF('Bank Schedule'!$K$2:$K$825="Vacant", ROW('Bank Schedule'!$K$2:$K$825)), ROW(113:113))), "")</f>
        <v>53.525641025641</v>
      </c>
      <c r="Y116" s="310" t="n">
        <f aca="false" t="array" ref="Y116:Y116">IFERROR(INDEX('Bank Schedule'!Y:Y, SMALL(IF('Bank Schedule'!$K$2:$K$825="Vacant", ROW('Bank Schedule'!$K$2:$K$825)), ROW(113:113))), "")</f>
        <v>0</v>
      </c>
      <c r="Z116" s="29" t="str">
        <f aca="false" t="array" ref="Z116:Z116">IFERROR(INDEX('Bank Schedule'!Z:Z, SMALL(IF('Bank Schedule'!$K$2:$K$825="Vacant", ROW('Bank Schedule'!$K$2:$K$825)), ROW(113:113))), "")</f>
        <v>B</v>
      </c>
      <c r="AA116" s="29" t="str">
        <f aca="false">IFERROR(INDEX('Bank Schedule'!AA:AA, SMALL(IF('Bank Schedule'!$K$2:$K$825="Vacant", ROW('Bank Schedule'!$K$2:$K$825)), ROW(113:113))), "")</f>
        <v/>
      </c>
      <c r="AB116" s="29" t="str">
        <f aca="false">IFERROR(INDEX('Bank Schedule'!AB:AB, SMALL(IF('Bank Schedule'!$K$2:$K$825="Vacant", ROW('Bank Schedule'!$K$2:$K$825)), ROW(113:113))), "")</f>
        <v/>
      </c>
      <c r="AC116" s="29" t="str">
        <f aca="false" t="array" ref="AC116:AC116">IFERROR(INDEX('Bank Schedule'!AC:AC, SMALL(IF('Bank Schedule'!$K$2:$K$825="Vacant", ROW('Bank Schedule'!$K$2:$K$825)), ROW(113:113))), "")</f>
        <v>No</v>
      </c>
      <c r="AD116" s="29" t="str">
        <f aca="false" t="array" ref="AD116:AD116">IFERROR(INDEX('Bank Schedule'!AD:AD, SMALL(IF('Bank Schedule'!$K$2:$K$825="Vacant", ROW('Bank Schedule'!$K$2:$K$825)), ROW(113:113))), "")</f>
        <v>To be refurbished.</v>
      </c>
      <c r="AE116" s="281" t="n">
        <f aca="false" t="array" ref="AE116:AE116">IFERROR(INDEX('Bank Schedule'!AE:AE, SMALL(IF('Bank Schedule'!$K$2:$K$825="Vacant", ROW('Bank Schedule'!$K$2:$K$825)), ROW(113:113))), "")</f>
        <v>58</v>
      </c>
      <c r="AF116" s="29" t="n">
        <f aca="false" t="array" ref="AF116:AF116">IFERROR(INDEX('Bank Schedule'!AF:AF, SMALL(IF('Bank Schedule'!$K$2:$K$825="Vacant", ROW('Bank Schedule'!$K$2:$K$825)), ROW(113:113))), "")</f>
        <v>2</v>
      </c>
      <c r="AG116" s="29" t="n">
        <f aca="false" t="array" ref="AG116:AG116">IFERROR(INDEX('Bank Schedule'!AG:AG, SMALL(IF('Bank Schedule'!$K$2:$K$825="Vacant", ROW('Bank Schedule'!$K$2:$K$825)), ROW(113:113))), "")</f>
        <v>5</v>
      </c>
      <c r="AH116" s="29" t="str">
        <f aca="false">IFERROR(INDEX('Bank Schedule'!AH:AH, SMALL(IF('Bank Schedule'!$K$2:$K$825="Vacant", ROW('Bank Schedule'!$K$2:$K$825)), ROW(113:113))), "")</f>
        <v/>
      </c>
      <c r="AI116" s="4"/>
    </row>
    <row r="117" customFormat="false" ht="28.5" hidden="false" customHeight="true" outlineLevel="0" collapsed="false">
      <c r="A117" s="29" t="str">
        <f aca="false">IFERROR(INDEX('Bank Schedule'!A:A, SMALL(IF('Bank Schedule'!$K$2:$K$825="Vacant", ROW('Bank Schedule'!$K$2:$K$825)), ROW(114:114))), "")</f>
        <v/>
      </c>
      <c r="B117" s="29" t="str">
        <f aca="false" t="array" ref="B117:B117">IFERROR(INDEX('Bank Schedule'!B:B, SMALL(IF('Bank Schedule'!$K$2:$K$825="Vacant", ROW('Bank Schedule'!$K$2:$K$825)), ROW(114:114))), "")</f>
        <v>WS</v>
      </c>
      <c r="C117" s="29" t="str">
        <f aca="false" t="array" ref="C117:C117">IFERROR(INDEX('Bank Schedule'!C:C, SMALL(IF('Bank Schedule'!$K$2:$K$825="Vacant", ROW('Bank Schedule'!$K$2:$K$825)), ROW(114:114))), "")</f>
        <v>OPG</v>
      </c>
      <c r="D117" s="29" t="n">
        <f aca="false" t="array" ref="D117:D117">IFERROR(INDEX('Bank Schedule'!D:D, SMALL(IF('Bank Schedule'!$K$2:$K$825="Vacant", ROW('Bank Schedule'!$K$2:$K$825)), ROW(114:114))), "")</f>
        <v>800600</v>
      </c>
      <c r="E117" s="29" t="str">
        <f aca="false" t="array" ref="E117:E117">IFERROR(INDEX('Bank Schedule'!E:E, SMALL(IF('Bank Schedule'!$K$2:$K$825="Vacant", ROW('Bank Schedule'!$K$2:$K$825)), ROW(114:114))), "")</f>
        <v>Welbeck House, 66/67 Wells Street</v>
      </c>
      <c r="F117" s="29" t="str">
        <f aca="false" t="array" ref="F117:F117">IFERROR(INDEX('Bank Schedule'!F:F, SMALL(IF('Bank Schedule'!$K$2:$K$825="Vacant", ROW('Bank Schedule'!$K$2:$K$825)), ROW(114:114))), "")</f>
        <v>Basement &amp; Ground (67), Rear (66/67) &amp; 1st Floor (R) 66.</v>
      </c>
      <c r="G117" s="29" t="str">
        <f aca="false" t="array" ref="G117:G117">IFERROR(INDEX('Bank Schedule'!G:G, SMALL(IF('Bank Schedule'!$K$2:$K$825="Vacant", ROW('Bank Schedule'!$K$2:$K$825)), ROW(114:114))), "")</f>
        <v>Retail / Offices</v>
      </c>
      <c r="H117" s="305" t="n">
        <f aca="false" t="array" ref="H117:H117">IFERROR(INDEX('Bank Schedule'!H:H, SMALL(IF('Bank Schedule'!$K$2:$K$825="Vacant", ROW('Bank Schedule'!$K$2:$K$825)), ROW(114:114))), "")</f>
        <v>3356</v>
      </c>
      <c r="I117" s="29" t="n">
        <f aca="false" t="array" ref="I117:I117">IFERROR(INDEX('Bank Schedule'!I:I, SMALL(IF('Bank Schedule'!$K$2:$K$825="Vacant", ROW('Bank Schedule'!$K$2:$K$825)), ROW(114:114))), "")</f>
        <v>3356</v>
      </c>
      <c r="J117" s="305" t="n">
        <f aca="false" t="array" ref="J117:J117">IFERROR(INDEX('Bank Schedule'!J:J, SMALL(IF('Bank Schedule'!$K$2:$K$825="Vacant", ROW('Bank Schedule'!$K$2:$K$825)), ROW(114:114))), "")</f>
        <v>3500</v>
      </c>
      <c r="K117" s="29" t="str">
        <f aca="false" t="array" ref="K117:K117">IFERROR(INDEX('Bank Schedule'!K:K, SMALL(IF('Bank Schedule'!$K$2:$K$825="Vacant", ROW('Bank Schedule'!$K$2:$K$825)), ROW(114:114))), "")</f>
        <v>Vacant</v>
      </c>
      <c r="L117" s="29" t="str">
        <f aca="false">IFERROR(INDEX('Bank Schedule'!L:L, SMALL(IF('Bank Schedule'!$K$2:$K$825="Vacant", ROW('Bank Schedule'!$K$2:$K$825)), ROW(114:114))), "")</f>
        <v/>
      </c>
      <c r="M117" s="29" t="str">
        <f aca="false">IFERROR(INDEX('Bank Schedule'!M:M, SMALL(IF('Bank Schedule'!$K$2:$K$825="Vacant", ROW('Bank Schedule'!$K$2:$K$825)), ROW(114:114))), "")</f>
        <v/>
      </c>
      <c r="N117" s="307" t="n">
        <f aca="false" t="array" ref="N117:N117">IFERROR(INDEX('Bank Schedule'!N:N, SMALL(IF('Bank Schedule'!$K$2:$K$825="Vacant", ROW('Bank Schedule'!$K$2:$K$825)), ROW(114:114))), "")</f>
        <v>45457</v>
      </c>
      <c r="O117" s="29" t="str">
        <f aca="false">IFERROR(INDEX('Bank Schedule'!O:O, SMALL(IF('Bank Schedule'!$K$2:$K$825="Vacant", ROW('Bank Schedule'!$K$2:$K$825)), ROW(114:114))), "")</f>
        <v/>
      </c>
      <c r="P117" s="29" t="str">
        <f aca="false">IFERROR(INDEX('Bank Schedule'!P:P, SMALL(IF('Bank Schedule'!$K$2:$K$825="Vacant", ROW('Bank Schedule'!$K$2:$K$825)), ROW(114:114))), "")</f>
        <v/>
      </c>
      <c r="Q117" s="29" t="n">
        <f aca="false" t="array" ref="Q117:Q117">IFERROR(INDEX('Bank Schedule'!Q:Q, SMALL(IF('Bank Schedule'!$K$2:$K$825="Vacant", ROW('Bank Schedule'!$K$2:$K$825)), ROW(114:114))), "")</f>
        <v>0</v>
      </c>
      <c r="R117" s="29" t="n">
        <f aca="false" t="array" ref="R117:R117">IFERROR(INDEX('Bank Schedule'!R:R, SMALL(IF('Bank Schedule'!$K$2:$K$825="Vacant", ROW('Bank Schedule'!$K$2:$K$825)), ROW(114:114))), "")</f>
        <v>0</v>
      </c>
      <c r="S117" s="29" t="str">
        <f aca="false">IFERROR(INDEX('Bank Schedule'!S:S, SMALL(IF('Bank Schedule'!$K$2:$K$825="Vacant", ROW('Bank Schedule'!$K$2:$K$825)), ROW(114:114))), "")</f>
        <v/>
      </c>
      <c r="T117" s="309" t="n">
        <f aca="false" t="array" ref="T117:T117">IFERROR(INDEX('Bank Schedule'!T:T, SMALL(IF('Bank Schedule'!$K$2:$K$825="Vacant", ROW('Bank Schedule'!$K$2:$K$825)), ROW(114:114))), "")</f>
        <v>174600</v>
      </c>
      <c r="U117" s="309" t="n">
        <f aca="false" t="array" ref="U117:U117">IFERROR(INDEX('Bank Schedule'!U:U, SMALL(IF('Bank Schedule'!$K$2:$K$825="Vacant", ROW('Bank Schedule'!$K$2:$K$825)), ROW(114:114))), "")</f>
        <v>174600</v>
      </c>
      <c r="V117" s="309" t="n">
        <f aca="false" t="array" ref="V117:V117">IFERROR(INDEX('Bank Schedule'!V:V, SMALL(IF('Bank Schedule'!$K$2:$K$825="Vacant", ROW('Bank Schedule'!$K$2:$K$825)), ROW(114:114))), "")</f>
        <v>174600</v>
      </c>
      <c r="W117" s="309" t="n">
        <f aca="false" t="array" ref="W117:W117">IFERROR(INDEX('Bank Schedule'!W:W, SMALL(IF('Bank Schedule'!$K$2:$K$825="Vacant", ROW('Bank Schedule'!$K$2:$K$825)), ROW(114:114))), "")</f>
        <v>174600</v>
      </c>
      <c r="X117" s="309" t="n">
        <f aca="false" t="array" ref="X117:X117">IFERROR(INDEX('Bank Schedule'!X:X, SMALL(IF('Bank Schedule'!$K$2:$K$825="Vacant", ROW('Bank Schedule'!$K$2:$K$825)), ROW(114:114))), "")</f>
        <v>52.0262216924911</v>
      </c>
      <c r="Y117" s="310" t="n">
        <f aca="false" t="array" ref="Y117:Y117">IFERROR(INDEX('Bank Schedule'!Y:Y, SMALL(IF('Bank Schedule'!$K$2:$K$825="Vacant", ROW('Bank Schedule'!$K$2:$K$825)), ROW(114:114))), "")</f>
        <v>0</v>
      </c>
      <c r="Z117" s="29" t="str">
        <f aca="false" t="array" ref="Z117:Z117">IFERROR(INDEX('Bank Schedule'!Z:Z, SMALL(IF('Bank Schedule'!$K$2:$K$825="Vacant", ROW('Bank Schedule'!$K$2:$K$825)), ROW(114:114))), "")</f>
        <v>B</v>
      </c>
      <c r="AA117" s="29" t="str">
        <f aca="false">IFERROR(INDEX('Bank Schedule'!AA:AA, SMALL(IF('Bank Schedule'!$K$2:$K$825="Vacant", ROW('Bank Schedule'!$K$2:$K$825)), ROW(114:114))), "")</f>
        <v/>
      </c>
      <c r="AB117" s="29" t="str">
        <f aca="false">IFERROR(INDEX('Bank Schedule'!AB:AB, SMALL(IF('Bank Schedule'!$K$2:$K$825="Vacant", ROW('Bank Schedule'!$K$2:$K$825)), ROW(114:114))), "")</f>
        <v/>
      </c>
      <c r="AC117" s="29" t="str">
        <f aca="false" t="array" ref="AC117:AC117">IFERROR(INDEX('Bank Schedule'!AC:AC, SMALL(IF('Bank Schedule'!$K$2:$K$825="Vacant", ROW('Bank Schedule'!$K$2:$K$825)), ROW(114:114))), "")</f>
        <v>No</v>
      </c>
      <c r="AD117" s="29" t="str">
        <f aca="false" t="array" ref="AD117:AD117">IFERROR(INDEX('Bank Schedule'!AD:AD, SMALL(IF('Bank Schedule'!$K$2:$K$825="Vacant", ROW('Bank Schedule'!$K$2:$K$825)), ROW(114:114))), "")</f>
        <v>To be refurbished.</v>
      </c>
      <c r="AE117" s="281" t="n">
        <f aca="false" t="array" ref="AE117:AE117">IFERROR(INDEX('Bank Schedule'!AE:AE, SMALL(IF('Bank Schedule'!$K$2:$K$825="Vacant", ROW('Bank Schedule'!$K$2:$K$825)), ROW(114:114))), "")</f>
        <v>45</v>
      </c>
      <c r="AF117" s="29" t="n">
        <f aca="false" t="array" ref="AF117:AF117">IFERROR(INDEX('Bank Schedule'!AF:AF, SMALL(IF('Bank Schedule'!$K$2:$K$825="Vacant", ROW('Bank Schedule'!$K$2:$K$825)), ROW(114:114))), "")</f>
        <v>3</v>
      </c>
      <c r="AG117" s="29" t="n">
        <f aca="false" t="array" ref="AG117:AG117">IFERROR(INDEX('Bank Schedule'!AG:AG, SMALL(IF('Bank Schedule'!$K$2:$K$825="Vacant", ROW('Bank Schedule'!$K$2:$K$825)), ROW(114:114))), "")</f>
        <v>10</v>
      </c>
      <c r="AH117" s="29" t="str">
        <f aca="false" t="array" ref="AH117:AH117">IFERROR(INDEX('Bank Schedule'!AH:AH, SMALL(IF('Bank Schedule'!$K$2:$K$825="Vacant", ROW('Bank Schedule'!$K$2:$K$825)), ROW(114:114))), "")</f>
        <v>LEM</v>
      </c>
      <c r="AI117" s="4"/>
    </row>
    <row r="118" customFormat="false" ht="28.5" hidden="false" customHeight="true" outlineLevel="0" collapsed="false">
      <c r="A118" s="29" t="str">
        <f aca="false">IFERROR(INDEX('Bank Schedule'!A:A, SMALL(IF('Bank Schedule'!$K$2:$K$825="Vacant", ROW('Bank Schedule'!$K$2:$K$825)), ROW(115:115))), "")</f>
        <v/>
      </c>
      <c r="B118" s="29" t="str">
        <f aca="false" t="array" ref="B118:B118">IFERROR(INDEX('Bank Schedule'!B:B, SMALL(IF('Bank Schedule'!$K$2:$K$825="Vacant", ROW('Bank Schedule'!$K$2:$K$825)), ROW(115:115))), "")</f>
        <v>WS</v>
      </c>
      <c r="C118" s="29" t="str">
        <f aca="false" t="array" ref="C118:C118">IFERROR(INDEX('Bank Schedule'!C:C, SMALL(IF('Bank Schedule'!$K$2:$K$825="Vacant", ROW('Bank Schedule'!$K$2:$K$825)), ROW(115:115))), "")</f>
        <v>OPG</v>
      </c>
      <c r="D118" s="29" t="n">
        <f aca="false" t="array" ref="D118:D118">IFERROR(INDEX('Bank Schedule'!D:D, SMALL(IF('Bank Schedule'!$K$2:$K$825="Vacant", ROW('Bank Schedule'!$K$2:$K$825)), ROW(115:115))), "")</f>
        <v>800600</v>
      </c>
      <c r="E118" s="29" t="str">
        <f aca="false" t="array" ref="E118:E118">IFERROR(INDEX('Bank Schedule'!E:E, SMALL(IF('Bank Schedule'!$K$2:$K$825="Vacant", ROW('Bank Schedule'!$K$2:$K$825)), ROW(115:115))), "")</f>
        <v>Welbeck House, 66/67 Wells Street</v>
      </c>
      <c r="F118" s="29" t="str">
        <f aca="false" t="array" ref="F118:F118">IFERROR(INDEX('Bank Schedule'!F:F, SMALL(IF('Bank Schedule'!$K$2:$K$825="Vacant", ROW('Bank Schedule'!$K$2:$K$825)), ROW(115:115))), "")</f>
        <v>First Floor (Front)</v>
      </c>
      <c r="G118" s="29" t="str">
        <f aca="false" t="array" ref="G118:G118">IFERROR(INDEX('Bank Schedule'!G:G, SMALL(IF('Bank Schedule'!$K$2:$K$825="Vacant", ROW('Bank Schedule'!$K$2:$K$825)), ROW(115:115))), "")</f>
        <v>Offices</v>
      </c>
      <c r="H118" s="305" t="n">
        <f aca="false" t="array" ref="H118:H118">IFERROR(INDEX('Bank Schedule'!H:H, SMALL(IF('Bank Schedule'!$K$2:$K$825="Vacant", ROW('Bank Schedule'!$K$2:$K$825)), ROW(115:115))), "")</f>
        <v>1015</v>
      </c>
      <c r="I118" s="29" t="n">
        <f aca="false" t="array" ref="I118:I118">IFERROR(INDEX('Bank Schedule'!I:I, SMALL(IF('Bank Schedule'!$K$2:$K$825="Vacant", ROW('Bank Schedule'!$K$2:$K$825)), ROW(115:115))), "")</f>
        <v>1015</v>
      </c>
      <c r="J118" s="305" t="n">
        <f aca="false" t="array" ref="J118:J118">IFERROR(INDEX('Bank Schedule'!J:J, SMALL(IF('Bank Schedule'!$K$2:$K$825="Vacant", ROW('Bank Schedule'!$K$2:$K$825)), ROW(115:115))), "")</f>
        <v>1000</v>
      </c>
      <c r="K118" s="29" t="str">
        <f aca="false" t="array" ref="K118:K118">IFERROR(INDEX('Bank Schedule'!K:K, SMALL(IF('Bank Schedule'!$K$2:$K$825="Vacant", ROW('Bank Schedule'!$K$2:$K$825)), ROW(115:115))), "")</f>
        <v>Vacant</v>
      </c>
      <c r="L118" s="29" t="str">
        <f aca="false">IFERROR(INDEX('Bank Schedule'!L:L, SMALL(IF('Bank Schedule'!$K$2:$K$825="Vacant", ROW('Bank Schedule'!$K$2:$K$825)), ROW(115:115))), "")</f>
        <v/>
      </c>
      <c r="M118" s="29" t="str">
        <f aca="false">IFERROR(INDEX('Bank Schedule'!M:M, SMALL(IF('Bank Schedule'!$K$2:$K$825="Vacant", ROW('Bank Schedule'!$K$2:$K$825)), ROW(115:115))), "")</f>
        <v/>
      </c>
      <c r="N118" s="307" t="n">
        <f aca="false" t="array" ref="N118:N118">IFERROR(INDEX('Bank Schedule'!N:N, SMALL(IF('Bank Schedule'!$K$2:$K$825="Vacant", ROW('Bank Schedule'!$K$2:$K$825)), ROW(115:115))), "")</f>
        <v>43840</v>
      </c>
      <c r="O118" s="29" t="str">
        <f aca="false">IFERROR(INDEX('Bank Schedule'!O:O, SMALL(IF('Bank Schedule'!$K$2:$K$825="Vacant", ROW('Bank Schedule'!$K$2:$K$825)), ROW(115:115))), "")</f>
        <v/>
      </c>
      <c r="P118" s="29" t="str">
        <f aca="false">IFERROR(INDEX('Bank Schedule'!P:P, SMALL(IF('Bank Schedule'!$K$2:$K$825="Vacant", ROW('Bank Schedule'!$K$2:$K$825)), ROW(115:115))), "")</f>
        <v/>
      </c>
      <c r="Q118" s="29" t="n">
        <f aca="false" t="array" ref="Q118:Q118">IFERROR(INDEX('Bank Schedule'!Q:Q, SMALL(IF('Bank Schedule'!$K$2:$K$825="Vacant", ROW('Bank Schedule'!$K$2:$K$825)), ROW(115:115))), "")</f>
        <v>0</v>
      </c>
      <c r="R118" s="29" t="n">
        <f aca="false" t="array" ref="R118:R118">IFERROR(INDEX('Bank Schedule'!R:R, SMALL(IF('Bank Schedule'!$K$2:$K$825="Vacant", ROW('Bank Schedule'!$K$2:$K$825)), ROW(115:115))), "")</f>
        <v>0</v>
      </c>
      <c r="S118" s="29" t="str">
        <f aca="false">IFERROR(INDEX('Bank Schedule'!S:S, SMALL(IF('Bank Schedule'!$K$2:$K$825="Vacant", ROW('Bank Schedule'!$K$2:$K$825)), ROW(115:115))), "")</f>
        <v/>
      </c>
      <c r="T118" s="309" t="n">
        <f aca="false" t="array" ref="T118:T118">IFERROR(INDEX('Bank Schedule'!T:T, SMALL(IF('Bank Schedule'!$K$2:$K$825="Vacant", ROW('Bank Schedule'!$K$2:$K$825)), ROW(115:115))), "")</f>
        <v>53300</v>
      </c>
      <c r="U118" s="309" t="n">
        <f aca="false" t="array" ref="U118:U118">IFERROR(INDEX('Bank Schedule'!U:U, SMALL(IF('Bank Schedule'!$K$2:$K$825="Vacant", ROW('Bank Schedule'!$K$2:$K$825)), ROW(115:115))), "")</f>
        <v>53300</v>
      </c>
      <c r="V118" s="309" t="n">
        <f aca="false" t="array" ref="V118:V118">IFERROR(INDEX('Bank Schedule'!V:V, SMALL(IF('Bank Schedule'!$K$2:$K$825="Vacant", ROW('Bank Schedule'!$K$2:$K$825)), ROW(115:115))), "")</f>
        <v>53300</v>
      </c>
      <c r="W118" s="309" t="n">
        <f aca="false" t="array" ref="W118:W118">IFERROR(INDEX('Bank Schedule'!W:W, SMALL(IF('Bank Schedule'!$K$2:$K$825="Vacant", ROW('Bank Schedule'!$K$2:$K$825)), ROW(115:115))), "")</f>
        <v>53300</v>
      </c>
      <c r="X118" s="309" t="n">
        <f aca="false" t="array" ref="X118:X118">IFERROR(INDEX('Bank Schedule'!X:X, SMALL(IF('Bank Schedule'!$K$2:$K$825="Vacant", ROW('Bank Schedule'!$K$2:$K$825)), ROW(115:115))), "")</f>
        <v>52.512315270936</v>
      </c>
      <c r="Y118" s="310" t="n">
        <f aca="false" t="array" ref="Y118:Y118">IFERROR(INDEX('Bank Schedule'!Y:Y, SMALL(IF('Bank Schedule'!$K$2:$K$825="Vacant", ROW('Bank Schedule'!$K$2:$K$825)), ROW(115:115))), "")</f>
        <v>0</v>
      </c>
      <c r="Z118" s="29" t="str">
        <f aca="false" t="array" ref="Z118:Z118">IFERROR(INDEX('Bank Schedule'!Z:Z, SMALL(IF('Bank Schedule'!$K$2:$K$825="Vacant", ROW('Bank Schedule'!$K$2:$K$825)), ROW(115:115))), "")</f>
        <v>D</v>
      </c>
      <c r="AA118" s="29" t="str">
        <f aca="false">IFERROR(INDEX('Bank Schedule'!AA:AA, SMALL(IF('Bank Schedule'!$K$2:$K$825="Vacant", ROW('Bank Schedule'!$K$2:$K$825)), ROW(115:115))), "")</f>
        <v/>
      </c>
      <c r="AB118" s="29" t="str">
        <f aca="false">IFERROR(INDEX('Bank Schedule'!AB:AB, SMALL(IF('Bank Schedule'!$K$2:$K$825="Vacant", ROW('Bank Schedule'!$K$2:$K$825)), ROW(115:115))), "")</f>
        <v/>
      </c>
      <c r="AC118" s="29" t="str">
        <f aca="false" t="array" ref="AC118:AC118">IFERROR(INDEX('Bank Schedule'!AC:AC, SMALL(IF('Bank Schedule'!$K$2:$K$825="Vacant", ROW('Bank Schedule'!$K$2:$K$825)), ROW(115:115))), "")</f>
        <v>No</v>
      </c>
      <c r="AD118" s="29" t="str">
        <f aca="false" t="array" ref="AD118:AD118">IFERROR(INDEX('Bank Schedule'!AD:AD, SMALL(IF('Bank Schedule'!$K$2:$K$825="Vacant", ROW('Bank Schedule'!$K$2:$K$825)), ROW(115:115))), "")</f>
        <v>Mothballed.</v>
      </c>
      <c r="AE118" s="281" t="str">
        <f aca="false">IFERROR(INDEX('Bank Schedule'!AE:AE, SMALL(IF('Bank Schedule'!$K$2:$K$825="Vacant", ROW('Bank Schedule'!$K$2:$K$825)), ROW(115:115))), "")</f>
        <v/>
      </c>
      <c r="AF118" s="29" t="str">
        <f aca="false">IFERROR(INDEX('Bank Schedule'!AF:AF, SMALL(IF('Bank Schedule'!$K$2:$K$825="Vacant", ROW('Bank Schedule'!$K$2:$K$825)), ROW(115:115))), "")</f>
        <v/>
      </c>
      <c r="AG118" s="29" t="str">
        <f aca="false">IFERROR(INDEX('Bank Schedule'!AG:AG, SMALL(IF('Bank Schedule'!$K$2:$K$825="Vacant", ROW('Bank Schedule'!$K$2:$K$825)), ROW(115:115))), "")</f>
        <v/>
      </c>
      <c r="AH118" s="29" t="str">
        <f aca="false">IFERROR(INDEX('Bank Schedule'!AH:AH, SMALL(IF('Bank Schedule'!$K$2:$K$825="Vacant", ROW('Bank Schedule'!$K$2:$K$825)), ROW(115:115))), "")</f>
        <v/>
      </c>
      <c r="AI118" s="4"/>
    </row>
    <row r="119" customFormat="false" ht="28.5" hidden="false" customHeight="true" outlineLevel="0" collapsed="false">
      <c r="A119" s="29" t="str">
        <f aca="false">IFERROR(INDEX('Bank Schedule'!A:A, SMALL(IF('Bank Schedule'!$K$2:$K$825="Vacant", ROW('Bank Schedule'!$K$2:$K$825)), ROW(116:116))), "")</f>
        <v/>
      </c>
      <c r="B119" s="29" t="str">
        <f aca="false" t="array" ref="B119:B119">IFERROR(INDEX('Bank Schedule'!B:B, SMALL(IF('Bank Schedule'!$K$2:$K$825="Vacant", ROW('Bank Schedule'!$K$2:$K$825)), ROW(116:116))), "")</f>
        <v>WS</v>
      </c>
      <c r="C119" s="29" t="str">
        <f aca="false" t="array" ref="C119:C119">IFERROR(INDEX('Bank Schedule'!C:C, SMALL(IF('Bank Schedule'!$K$2:$K$825="Vacant", ROW('Bank Schedule'!$K$2:$K$825)), ROW(116:116))), "")</f>
        <v>OPG</v>
      </c>
      <c r="D119" s="29" t="n">
        <f aca="false" t="array" ref="D119:D119">IFERROR(INDEX('Bank Schedule'!D:D, SMALL(IF('Bank Schedule'!$K$2:$K$825="Vacant", ROW('Bank Schedule'!$K$2:$K$825)), ROW(116:116))), "")</f>
        <v>800600</v>
      </c>
      <c r="E119" s="29" t="str">
        <f aca="false" t="array" ref="E119:E119">IFERROR(INDEX('Bank Schedule'!E:E, SMALL(IF('Bank Schedule'!$K$2:$K$825="Vacant", ROW('Bank Schedule'!$K$2:$K$825)), ROW(116:116))), "")</f>
        <v>Welbeck House, 66/67 Wells Street</v>
      </c>
      <c r="F119" s="29" t="str">
        <f aca="false" t="array" ref="F119:F119">IFERROR(INDEX('Bank Schedule'!F:F, SMALL(IF('Bank Schedule'!$K$2:$K$825="Vacant", ROW('Bank Schedule'!$K$2:$K$825)), ROW(116:116))), "")</f>
        <v>First Floor (Rear)</v>
      </c>
      <c r="G119" s="29" t="str">
        <f aca="false" t="array" ref="G119:G119">IFERROR(INDEX('Bank Schedule'!G:G, SMALL(IF('Bank Schedule'!$K$2:$K$825="Vacant", ROW('Bank Schedule'!$K$2:$K$825)), ROW(116:116))), "")</f>
        <v>Offices</v>
      </c>
      <c r="H119" s="305" t="n">
        <f aca="false" t="array" ref="H119:H119">IFERROR(INDEX('Bank Schedule'!H:H, SMALL(IF('Bank Schedule'!$K$2:$K$825="Vacant", ROW('Bank Schedule'!$K$2:$K$825)), ROW(116:116))), "")</f>
        <v>250</v>
      </c>
      <c r="I119" s="29" t="n">
        <f aca="false" t="array" ref="I119:I119">IFERROR(INDEX('Bank Schedule'!I:I, SMALL(IF('Bank Schedule'!$K$2:$K$825="Vacant", ROW('Bank Schedule'!$K$2:$K$825)), ROW(116:116))), "")</f>
        <v>250</v>
      </c>
      <c r="J119" s="305" t="n">
        <f aca="false" t="array" ref="J119:J119">IFERROR(INDEX('Bank Schedule'!J:J, SMALL(IF('Bank Schedule'!$K$2:$K$825="Vacant", ROW('Bank Schedule'!$K$2:$K$825)), ROW(116:116))), "")</f>
        <v>250</v>
      </c>
      <c r="K119" s="29" t="str">
        <f aca="false" t="array" ref="K119:K119">IFERROR(INDEX('Bank Schedule'!K:K, SMALL(IF('Bank Schedule'!$K$2:$K$825="Vacant", ROW('Bank Schedule'!$K$2:$K$825)), ROW(116:116))), "")</f>
        <v>Vacant</v>
      </c>
      <c r="L119" s="29" t="str">
        <f aca="false">IFERROR(INDEX('Bank Schedule'!L:L, SMALL(IF('Bank Schedule'!$K$2:$K$825="Vacant", ROW('Bank Schedule'!$K$2:$K$825)), ROW(116:116))), "")</f>
        <v/>
      </c>
      <c r="M119" s="29" t="str">
        <f aca="false">IFERROR(INDEX('Bank Schedule'!M:M, SMALL(IF('Bank Schedule'!$K$2:$K$825="Vacant", ROW('Bank Schedule'!$K$2:$K$825)), ROW(116:116))), "")</f>
        <v/>
      </c>
      <c r="N119" s="307" t="n">
        <f aca="false" t="array" ref="N119:N119">IFERROR(INDEX('Bank Schedule'!N:N, SMALL(IF('Bank Schedule'!$K$2:$K$825="Vacant", ROW('Bank Schedule'!$K$2:$K$825)), ROW(116:116))), "")</f>
        <v>45682</v>
      </c>
      <c r="O119" s="29" t="str">
        <f aca="false">IFERROR(INDEX('Bank Schedule'!O:O, SMALL(IF('Bank Schedule'!$K$2:$K$825="Vacant", ROW('Bank Schedule'!$K$2:$K$825)), ROW(116:116))), "")</f>
        <v/>
      </c>
      <c r="P119" s="29" t="str">
        <f aca="false">IFERROR(INDEX('Bank Schedule'!P:P, SMALL(IF('Bank Schedule'!$K$2:$K$825="Vacant", ROW('Bank Schedule'!$K$2:$K$825)), ROW(116:116))), "")</f>
        <v/>
      </c>
      <c r="Q119" s="29" t="n">
        <f aca="false" t="array" ref="Q119:Q119">IFERROR(INDEX('Bank Schedule'!Q:Q, SMALL(IF('Bank Schedule'!$K$2:$K$825="Vacant", ROW('Bank Schedule'!$K$2:$K$825)), ROW(116:116))), "")</f>
        <v>0</v>
      </c>
      <c r="R119" s="29" t="n">
        <f aca="false" t="array" ref="R119:R119">IFERROR(INDEX('Bank Schedule'!R:R, SMALL(IF('Bank Schedule'!$K$2:$K$825="Vacant", ROW('Bank Schedule'!$K$2:$K$825)), ROW(116:116))), "")</f>
        <v>0</v>
      </c>
      <c r="S119" s="29" t="str">
        <f aca="false">IFERROR(INDEX('Bank Schedule'!S:S, SMALL(IF('Bank Schedule'!$K$2:$K$825="Vacant", ROW('Bank Schedule'!$K$2:$K$825)), ROW(116:116))), "")</f>
        <v/>
      </c>
      <c r="T119" s="309" t="n">
        <f aca="false" t="array" ref="T119:T119">IFERROR(INDEX('Bank Schedule'!T:T, SMALL(IF('Bank Schedule'!$K$2:$K$825="Vacant", ROW('Bank Schedule'!$K$2:$K$825)), ROW(116:116))), "")</f>
        <v>14500</v>
      </c>
      <c r="U119" s="309" t="n">
        <f aca="false" t="array" ref="U119:U119">IFERROR(INDEX('Bank Schedule'!U:U, SMALL(IF('Bank Schedule'!$K$2:$K$825="Vacant", ROW('Bank Schedule'!$K$2:$K$825)), ROW(116:116))), "")</f>
        <v>14500</v>
      </c>
      <c r="V119" s="309" t="n">
        <f aca="false" t="array" ref="V119:V119">IFERROR(INDEX('Bank Schedule'!V:V, SMALL(IF('Bank Schedule'!$K$2:$K$825="Vacant", ROW('Bank Schedule'!$K$2:$K$825)), ROW(116:116))), "")</f>
        <v>14500</v>
      </c>
      <c r="W119" s="309" t="n">
        <f aca="false" t="array" ref="W119:W119">IFERROR(INDEX('Bank Schedule'!W:W, SMALL(IF('Bank Schedule'!$K$2:$K$825="Vacant", ROW('Bank Schedule'!$K$2:$K$825)), ROW(116:116))), "")</f>
        <v>14500</v>
      </c>
      <c r="X119" s="309" t="n">
        <f aca="false" t="array" ref="X119:X119">IFERROR(INDEX('Bank Schedule'!X:X, SMALL(IF('Bank Schedule'!$K$2:$K$825="Vacant", ROW('Bank Schedule'!$K$2:$K$825)), ROW(116:116))), "")</f>
        <v>58</v>
      </c>
      <c r="Y119" s="310" t="n">
        <f aca="false" t="array" ref="Y119:Y119">IFERROR(INDEX('Bank Schedule'!Y:Y, SMALL(IF('Bank Schedule'!$K$2:$K$825="Vacant", ROW('Bank Schedule'!$K$2:$K$825)), ROW(116:116))), "")</f>
        <v>0</v>
      </c>
      <c r="Z119" s="29" t="str">
        <f aca="false" t="array" ref="Z119:Z119">IFERROR(INDEX('Bank Schedule'!Z:Z, SMALL(IF('Bank Schedule'!$K$2:$K$825="Vacant", ROW('Bank Schedule'!$K$2:$K$825)), ROW(116:116))), "")</f>
        <v>D</v>
      </c>
      <c r="AA119" s="29" t="str">
        <f aca="false">IFERROR(INDEX('Bank Schedule'!AA:AA, SMALL(IF('Bank Schedule'!$K$2:$K$825="Vacant", ROW('Bank Schedule'!$K$2:$K$825)), ROW(116:116))), "")</f>
        <v/>
      </c>
      <c r="AB119" s="29" t="str">
        <f aca="false">IFERROR(INDEX('Bank Schedule'!AB:AB, SMALL(IF('Bank Schedule'!$K$2:$K$825="Vacant", ROW('Bank Schedule'!$K$2:$K$825)), ROW(116:116))), "")</f>
        <v/>
      </c>
      <c r="AC119" s="29" t="str">
        <f aca="false" t="array" ref="AC119:AC119">IFERROR(INDEX('Bank Schedule'!AC:AC, SMALL(IF('Bank Schedule'!$K$2:$K$825="Vacant", ROW('Bank Schedule'!$K$2:$K$825)), ROW(116:116))), "")</f>
        <v>No</v>
      </c>
      <c r="AD119" s="29" t="str">
        <f aca="false" t="array" ref="AD119:AD119">IFERROR(INDEX('Bank Schedule'!AD:AD, SMALL(IF('Bank Schedule'!$K$2:$K$825="Vacant", ROW('Bank Schedule'!$K$2:$K$825)), ROW(116:116))), "")</f>
        <v>LEM marketing.</v>
      </c>
      <c r="AE119" s="281" t="str">
        <f aca="false">IFERROR(INDEX('Bank Schedule'!AE:AE, SMALL(IF('Bank Schedule'!$K$2:$K$825="Vacant", ROW('Bank Schedule'!$K$2:$K$825)), ROW(116:116))), "")</f>
        <v/>
      </c>
      <c r="AF119" s="29" t="str">
        <f aca="false">IFERROR(INDEX('Bank Schedule'!AF:AF, SMALL(IF('Bank Schedule'!$K$2:$K$825="Vacant", ROW('Bank Schedule'!$K$2:$K$825)), ROW(116:116))), "")</f>
        <v/>
      </c>
      <c r="AG119" s="29" t="n">
        <f aca="false" t="array" ref="AG119:AG119">IFERROR(INDEX('Bank Schedule'!AG:AG, SMALL(IF('Bank Schedule'!$K$2:$K$825="Vacant", ROW('Bank Schedule'!$K$2:$K$825)), ROW(116:116))), "")</f>
        <v>1</v>
      </c>
      <c r="AH119" s="29" t="str">
        <f aca="false">IFERROR(INDEX('Bank Schedule'!AH:AH, SMALL(IF('Bank Schedule'!$K$2:$K$825="Vacant", ROW('Bank Schedule'!$K$2:$K$825)), ROW(116:116))), "")</f>
        <v/>
      </c>
      <c r="AI119" s="4"/>
    </row>
    <row r="120" customFormat="false" ht="28.5" hidden="false" customHeight="true" outlineLevel="0" collapsed="false">
      <c r="A120" s="29" t="str">
        <f aca="false">IFERROR(INDEX('Bank Schedule'!A:A, SMALL(IF('Bank Schedule'!$K$2:$K$825="Vacant", ROW('Bank Schedule'!$K$2:$K$825)), ROW(117:117))), "")</f>
        <v/>
      </c>
      <c r="B120" s="29" t="str">
        <f aca="false" t="array" ref="B120:B120">IFERROR(INDEX('Bank Schedule'!B:B, SMALL(IF('Bank Schedule'!$K$2:$K$825="Vacant", ROW('Bank Schedule'!$K$2:$K$825)), ROW(117:117))), "")</f>
        <v>WS</v>
      </c>
      <c r="C120" s="29" t="str">
        <f aca="false" t="array" ref="C120:C120">IFERROR(INDEX('Bank Schedule'!C:C, SMALL(IF('Bank Schedule'!$K$2:$K$825="Vacant", ROW('Bank Schedule'!$K$2:$K$825)), ROW(117:117))), "")</f>
        <v>OPG</v>
      </c>
      <c r="D120" s="29" t="n">
        <f aca="false" t="array" ref="D120:D120">IFERROR(INDEX('Bank Schedule'!D:D, SMALL(IF('Bank Schedule'!$K$2:$K$825="Vacant", ROW('Bank Schedule'!$K$2:$K$825)), ROW(117:117))), "")</f>
        <v>800600</v>
      </c>
      <c r="E120" s="29" t="str">
        <f aca="false" t="array" ref="E120:E120">IFERROR(INDEX('Bank Schedule'!E:E, SMALL(IF('Bank Schedule'!$K$2:$K$825="Vacant", ROW('Bank Schedule'!$K$2:$K$825)), ROW(117:117))), "")</f>
        <v>Welbeck House, 66/67 Wells Street</v>
      </c>
      <c r="F120" s="29" t="str">
        <f aca="false" t="array" ref="F120:F120">IFERROR(INDEX('Bank Schedule'!F:F, SMALL(IF('Bank Schedule'!$K$2:$K$825="Vacant", ROW('Bank Schedule'!$K$2:$K$825)), ROW(117:117))), "")</f>
        <v>Second Floor (Front)</v>
      </c>
      <c r="G120" s="29" t="str">
        <f aca="false" t="array" ref="G120:G120">IFERROR(INDEX('Bank Schedule'!G:G, SMALL(IF('Bank Schedule'!$K$2:$K$825="Vacant", ROW('Bank Schedule'!$K$2:$K$825)), ROW(117:117))), "")</f>
        <v>Offices</v>
      </c>
      <c r="H120" s="305" t="n">
        <f aca="false" t="array" ref="H120:H120">IFERROR(INDEX('Bank Schedule'!H:H, SMALL(IF('Bank Schedule'!$K$2:$K$825="Vacant", ROW('Bank Schedule'!$K$2:$K$825)), ROW(117:117))), "")</f>
        <v>1026</v>
      </c>
      <c r="I120" s="29" t="n">
        <f aca="false" t="array" ref="I120:I120">IFERROR(INDEX('Bank Schedule'!I:I, SMALL(IF('Bank Schedule'!$K$2:$K$825="Vacant", ROW('Bank Schedule'!$K$2:$K$825)), ROW(117:117))), "")</f>
        <v>1026</v>
      </c>
      <c r="J120" s="305" t="n">
        <f aca="false" t="array" ref="J120:J120">IFERROR(INDEX('Bank Schedule'!J:J, SMALL(IF('Bank Schedule'!$K$2:$K$825="Vacant", ROW('Bank Schedule'!$K$2:$K$825)), ROW(117:117))), "")</f>
        <v>1000</v>
      </c>
      <c r="K120" s="29" t="str">
        <f aca="false" t="array" ref="K120:K120">IFERROR(INDEX('Bank Schedule'!K:K, SMALL(IF('Bank Schedule'!$K$2:$K$825="Vacant", ROW('Bank Schedule'!$K$2:$K$825)), ROW(117:117))), "")</f>
        <v>Vacant</v>
      </c>
      <c r="L120" s="29" t="str">
        <f aca="false">IFERROR(INDEX('Bank Schedule'!L:L, SMALL(IF('Bank Schedule'!$K$2:$K$825="Vacant", ROW('Bank Schedule'!$K$2:$K$825)), ROW(117:117))), "")</f>
        <v/>
      </c>
      <c r="M120" s="29" t="str">
        <f aca="false">IFERROR(INDEX('Bank Schedule'!M:M, SMALL(IF('Bank Schedule'!$K$2:$K$825="Vacant", ROW('Bank Schedule'!$K$2:$K$825)), ROW(117:117))), "")</f>
        <v/>
      </c>
      <c r="N120" s="307" t="n">
        <f aca="false" t="array" ref="N120:N120">IFERROR(INDEX('Bank Schedule'!N:N, SMALL(IF('Bank Schedule'!$K$2:$K$825="Vacant", ROW('Bank Schedule'!$K$2:$K$825)), ROW(117:117))), "")</f>
        <v>44500</v>
      </c>
      <c r="O120" s="29" t="str">
        <f aca="false">IFERROR(INDEX('Bank Schedule'!O:O, SMALL(IF('Bank Schedule'!$K$2:$K$825="Vacant", ROW('Bank Schedule'!$K$2:$K$825)), ROW(117:117))), "")</f>
        <v/>
      </c>
      <c r="P120" s="29" t="str">
        <f aca="false">IFERROR(INDEX('Bank Schedule'!P:P, SMALL(IF('Bank Schedule'!$K$2:$K$825="Vacant", ROW('Bank Schedule'!$K$2:$K$825)), ROW(117:117))), "")</f>
        <v/>
      </c>
      <c r="Q120" s="29" t="n">
        <f aca="false" t="array" ref="Q120:Q120">IFERROR(INDEX('Bank Schedule'!Q:Q, SMALL(IF('Bank Schedule'!$K$2:$K$825="Vacant", ROW('Bank Schedule'!$K$2:$K$825)), ROW(117:117))), "")</f>
        <v>0</v>
      </c>
      <c r="R120" s="29" t="n">
        <f aca="false" t="array" ref="R120:R120">IFERROR(INDEX('Bank Schedule'!R:R, SMALL(IF('Bank Schedule'!$K$2:$K$825="Vacant", ROW('Bank Schedule'!$K$2:$K$825)), ROW(117:117))), "")</f>
        <v>0</v>
      </c>
      <c r="S120" s="29" t="str">
        <f aca="false">IFERROR(INDEX('Bank Schedule'!S:S, SMALL(IF('Bank Schedule'!$K$2:$K$825="Vacant", ROW('Bank Schedule'!$K$2:$K$825)), ROW(117:117))), "")</f>
        <v/>
      </c>
      <c r="T120" s="309" t="n">
        <f aca="false" t="array" ref="T120:T120">IFERROR(INDEX('Bank Schedule'!T:T, SMALL(IF('Bank Schedule'!$K$2:$K$825="Vacant", ROW('Bank Schedule'!$K$2:$K$825)), ROW(117:117))), "")</f>
        <v>53900</v>
      </c>
      <c r="U120" s="309" t="n">
        <f aca="false" t="array" ref="U120:U120">IFERROR(INDEX('Bank Schedule'!U:U, SMALL(IF('Bank Schedule'!$K$2:$K$825="Vacant", ROW('Bank Schedule'!$K$2:$K$825)), ROW(117:117))), "")</f>
        <v>53900</v>
      </c>
      <c r="V120" s="309" t="n">
        <f aca="false" t="array" ref="V120:V120">IFERROR(INDEX('Bank Schedule'!V:V, SMALL(IF('Bank Schedule'!$K$2:$K$825="Vacant", ROW('Bank Schedule'!$K$2:$K$825)), ROW(117:117))), "")</f>
        <v>53900</v>
      </c>
      <c r="W120" s="309" t="n">
        <f aca="false" t="array" ref="W120:W120">IFERROR(INDEX('Bank Schedule'!W:W, SMALL(IF('Bank Schedule'!$K$2:$K$825="Vacant", ROW('Bank Schedule'!$K$2:$K$825)), ROW(117:117))), "")</f>
        <v>53900</v>
      </c>
      <c r="X120" s="309" t="n">
        <f aca="false" t="array" ref="X120:X120">IFERROR(INDEX('Bank Schedule'!X:X, SMALL(IF('Bank Schedule'!$K$2:$K$825="Vacant", ROW('Bank Schedule'!$K$2:$K$825)), ROW(117:117))), "")</f>
        <v>52.5341130604289</v>
      </c>
      <c r="Y120" s="310" t="n">
        <f aca="false" t="array" ref="Y120:Y120">IFERROR(INDEX('Bank Schedule'!Y:Y, SMALL(IF('Bank Schedule'!$K$2:$K$825="Vacant", ROW('Bank Schedule'!$K$2:$K$825)), ROW(117:117))), "")</f>
        <v>0</v>
      </c>
      <c r="Z120" s="29" t="str">
        <f aca="false" t="array" ref="Z120:Z120">IFERROR(INDEX('Bank Schedule'!Z:Z, SMALL(IF('Bank Schedule'!$K$2:$K$825="Vacant", ROW('Bank Schedule'!$K$2:$K$825)), ROW(117:117))), "")</f>
        <v>C</v>
      </c>
      <c r="AA120" s="29" t="str">
        <f aca="false">IFERROR(INDEX('Bank Schedule'!AA:AA, SMALL(IF('Bank Schedule'!$K$2:$K$825="Vacant", ROW('Bank Schedule'!$K$2:$K$825)), ROW(117:117))), "")</f>
        <v/>
      </c>
      <c r="AB120" s="29" t="str">
        <f aca="false">IFERROR(INDEX('Bank Schedule'!AB:AB, SMALL(IF('Bank Schedule'!$K$2:$K$825="Vacant", ROW('Bank Schedule'!$K$2:$K$825)), ROW(117:117))), "")</f>
        <v/>
      </c>
      <c r="AC120" s="29" t="str">
        <f aca="false" t="array" ref="AC120:AC120">IFERROR(INDEX('Bank Schedule'!AC:AC, SMALL(IF('Bank Schedule'!$K$2:$K$825="Vacant", ROW('Bank Schedule'!$K$2:$K$825)), ROW(117:117))), "")</f>
        <v>No</v>
      </c>
      <c r="AD120" s="29" t="str">
        <f aca="false" t="array" ref="AD120:AD120">IFERROR(INDEX('Bank Schedule'!AD:AD, SMALL(IF('Bank Schedule'!$K$2:$K$825="Vacant", ROW('Bank Schedule'!$K$2:$K$825)), ROW(117:117))), "")</f>
        <v>Mothballed.</v>
      </c>
      <c r="AE120" s="281" t="str">
        <f aca="false">IFERROR(INDEX('Bank Schedule'!AE:AE, SMALL(IF('Bank Schedule'!$K$2:$K$825="Vacant", ROW('Bank Schedule'!$K$2:$K$825)), ROW(117:117))), "")</f>
        <v/>
      </c>
      <c r="AF120" s="29" t="str">
        <f aca="false">IFERROR(INDEX('Bank Schedule'!AF:AF, SMALL(IF('Bank Schedule'!$K$2:$K$825="Vacant", ROW('Bank Schedule'!$K$2:$K$825)), ROW(117:117))), "")</f>
        <v/>
      </c>
      <c r="AG120" s="29" t="str">
        <f aca="false">IFERROR(INDEX('Bank Schedule'!AG:AG, SMALL(IF('Bank Schedule'!$K$2:$K$825="Vacant", ROW('Bank Schedule'!$K$2:$K$825)), ROW(117:117))), "")</f>
        <v/>
      </c>
      <c r="AH120" s="29" t="str">
        <f aca="false">IFERROR(INDEX('Bank Schedule'!AH:AH, SMALL(IF('Bank Schedule'!$K$2:$K$825="Vacant", ROW('Bank Schedule'!$K$2:$K$825)), ROW(117:117))), "")</f>
        <v/>
      </c>
      <c r="AI120" s="4"/>
    </row>
    <row r="121" customFormat="false" ht="28.5" hidden="false" customHeight="true" outlineLevel="0" collapsed="false">
      <c r="A121" s="29" t="str">
        <f aca="false">IFERROR(INDEX('Bank Schedule'!A:A, SMALL(IF('Bank Schedule'!$K$2:$K$825="Vacant", ROW('Bank Schedule'!$K$2:$K$825)), ROW(118:118))), "")</f>
        <v/>
      </c>
      <c r="B121" s="29" t="str">
        <f aca="false" t="array" ref="B121:B121">IFERROR(INDEX('Bank Schedule'!B:B, SMALL(IF('Bank Schedule'!$K$2:$K$825="Vacant", ROW('Bank Schedule'!$K$2:$K$825)), ROW(118:118))), "")</f>
        <v>WS</v>
      </c>
      <c r="C121" s="29" t="str">
        <f aca="false" t="array" ref="C121:C121">IFERROR(INDEX('Bank Schedule'!C:C, SMALL(IF('Bank Schedule'!$K$2:$K$825="Vacant", ROW('Bank Schedule'!$K$2:$K$825)), ROW(118:118))), "")</f>
        <v>OPG</v>
      </c>
      <c r="D121" s="29" t="n">
        <f aca="false" t="array" ref="D121:D121">IFERROR(INDEX('Bank Schedule'!D:D, SMALL(IF('Bank Schedule'!$K$2:$K$825="Vacant", ROW('Bank Schedule'!$K$2:$K$825)), ROW(118:118))), "")</f>
        <v>800600</v>
      </c>
      <c r="E121" s="29" t="str">
        <f aca="false" t="array" ref="E121:E121">IFERROR(INDEX('Bank Schedule'!E:E, SMALL(IF('Bank Schedule'!$K$2:$K$825="Vacant", ROW('Bank Schedule'!$K$2:$K$825)), ROW(118:118))), "")</f>
        <v>Welbeck House, 66/67 Wells Street</v>
      </c>
      <c r="F121" s="29" t="str">
        <f aca="false" t="array" ref="F121:F121">IFERROR(INDEX('Bank Schedule'!F:F, SMALL(IF('Bank Schedule'!$K$2:$K$825="Vacant", ROW('Bank Schedule'!$K$2:$K$825)), ROW(118:118))), "")</f>
        <v>Second Floor (Rear)</v>
      </c>
      <c r="G121" s="29" t="str">
        <f aca="false" t="array" ref="G121:G121">IFERROR(INDEX('Bank Schedule'!G:G, SMALL(IF('Bank Schedule'!$K$2:$K$825="Vacant", ROW('Bank Schedule'!$K$2:$K$825)), ROW(118:118))), "")</f>
        <v>Offices</v>
      </c>
      <c r="H121" s="305" t="n">
        <f aca="false" t="array" ref="H121:H121">IFERROR(INDEX('Bank Schedule'!H:H, SMALL(IF('Bank Schedule'!$K$2:$K$825="Vacant", ROW('Bank Schedule'!$K$2:$K$825)), ROW(118:118))), "")</f>
        <v>242</v>
      </c>
      <c r="I121" s="29" t="n">
        <f aca="false" t="array" ref="I121:I121">IFERROR(INDEX('Bank Schedule'!I:I, SMALL(IF('Bank Schedule'!$K$2:$K$825="Vacant", ROW('Bank Schedule'!$K$2:$K$825)), ROW(118:118))), "")</f>
        <v>242</v>
      </c>
      <c r="J121" s="305" t="n">
        <f aca="false" t="array" ref="J121:J121">IFERROR(INDEX('Bank Schedule'!J:J, SMALL(IF('Bank Schedule'!$K$2:$K$825="Vacant", ROW('Bank Schedule'!$K$2:$K$825)), ROW(118:118))), "")</f>
        <v>250</v>
      </c>
      <c r="K121" s="29" t="str">
        <f aca="false" t="array" ref="K121:K121">IFERROR(INDEX('Bank Schedule'!K:K, SMALL(IF('Bank Schedule'!$K$2:$K$825="Vacant", ROW('Bank Schedule'!$K$2:$K$825)), ROW(118:118))), "")</f>
        <v>Vacant</v>
      </c>
      <c r="L121" s="29" t="str">
        <f aca="false">IFERROR(INDEX('Bank Schedule'!L:L, SMALL(IF('Bank Schedule'!$K$2:$K$825="Vacant", ROW('Bank Schedule'!$K$2:$K$825)), ROW(118:118))), "")</f>
        <v/>
      </c>
      <c r="M121" s="29" t="str">
        <f aca="false">IFERROR(INDEX('Bank Schedule'!M:M, SMALL(IF('Bank Schedule'!$K$2:$K$825="Vacant", ROW('Bank Schedule'!$K$2:$K$825)), ROW(118:118))), "")</f>
        <v/>
      </c>
      <c r="N121" s="307" t="n">
        <f aca="false" t="array" ref="N121:N121">IFERROR(INDEX('Bank Schedule'!N:N, SMALL(IF('Bank Schedule'!$K$2:$K$825="Vacant", ROW('Bank Schedule'!$K$2:$K$825)), ROW(118:118))), "")</f>
        <v>44135</v>
      </c>
      <c r="O121" s="29" t="str">
        <f aca="false">IFERROR(INDEX('Bank Schedule'!O:O, SMALL(IF('Bank Schedule'!$K$2:$K$825="Vacant", ROW('Bank Schedule'!$K$2:$K$825)), ROW(118:118))), "")</f>
        <v/>
      </c>
      <c r="P121" s="29" t="str">
        <f aca="false">IFERROR(INDEX('Bank Schedule'!P:P, SMALL(IF('Bank Schedule'!$K$2:$K$825="Vacant", ROW('Bank Schedule'!$K$2:$K$825)), ROW(118:118))), "")</f>
        <v/>
      </c>
      <c r="Q121" s="29" t="n">
        <f aca="false" t="array" ref="Q121:Q121">IFERROR(INDEX('Bank Schedule'!Q:Q, SMALL(IF('Bank Schedule'!$K$2:$K$825="Vacant", ROW('Bank Schedule'!$K$2:$K$825)), ROW(118:118))), "")</f>
        <v>0</v>
      </c>
      <c r="R121" s="29" t="n">
        <f aca="false" t="array" ref="R121:R121">IFERROR(INDEX('Bank Schedule'!R:R, SMALL(IF('Bank Schedule'!$K$2:$K$825="Vacant", ROW('Bank Schedule'!$K$2:$K$825)), ROW(118:118))), "")</f>
        <v>0</v>
      </c>
      <c r="S121" s="29" t="str">
        <f aca="false">IFERROR(INDEX('Bank Schedule'!S:S, SMALL(IF('Bank Schedule'!$K$2:$K$825="Vacant", ROW('Bank Schedule'!$K$2:$K$825)), ROW(118:118))), "")</f>
        <v/>
      </c>
      <c r="T121" s="309" t="n">
        <f aca="false" t="array" ref="T121:T121">IFERROR(INDEX('Bank Schedule'!T:T, SMALL(IF('Bank Schedule'!$K$2:$K$825="Vacant", ROW('Bank Schedule'!$K$2:$K$825)), ROW(118:118))), "")</f>
        <v>14000</v>
      </c>
      <c r="U121" s="309" t="n">
        <f aca="false" t="array" ref="U121:U121">IFERROR(INDEX('Bank Schedule'!U:U, SMALL(IF('Bank Schedule'!$K$2:$K$825="Vacant", ROW('Bank Schedule'!$K$2:$K$825)), ROW(118:118))), "")</f>
        <v>14000</v>
      </c>
      <c r="V121" s="309" t="n">
        <f aca="false" t="array" ref="V121:V121">IFERROR(INDEX('Bank Schedule'!V:V, SMALL(IF('Bank Schedule'!$K$2:$K$825="Vacant", ROW('Bank Schedule'!$K$2:$K$825)), ROW(118:118))), "")</f>
        <v>14000</v>
      </c>
      <c r="W121" s="309" t="n">
        <f aca="false" t="array" ref="W121:W121">IFERROR(INDEX('Bank Schedule'!W:W, SMALL(IF('Bank Schedule'!$K$2:$K$825="Vacant", ROW('Bank Schedule'!$K$2:$K$825)), ROW(118:118))), "")</f>
        <v>14000</v>
      </c>
      <c r="X121" s="309" t="n">
        <f aca="false" t="array" ref="X121:X121">IFERROR(INDEX('Bank Schedule'!X:X, SMALL(IF('Bank Schedule'!$K$2:$K$825="Vacant", ROW('Bank Schedule'!$K$2:$K$825)), ROW(118:118))), "")</f>
        <v>57.8512396694215</v>
      </c>
      <c r="Y121" s="310" t="n">
        <f aca="false" t="array" ref="Y121:Y121">IFERROR(INDEX('Bank Schedule'!Y:Y, SMALL(IF('Bank Schedule'!$K$2:$K$825="Vacant", ROW('Bank Schedule'!$K$2:$K$825)), ROW(118:118))), "")</f>
        <v>0</v>
      </c>
      <c r="Z121" s="29" t="str">
        <f aca="false" t="array" ref="Z121:Z121">IFERROR(INDEX('Bank Schedule'!Z:Z, SMALL(IF('Bank Schedule'!$K$2:$K$825="Vacant", ROW('Bank Schedule'!$K$2:$K$825)), ROW(118:118))), "")</f>
        <v>E</v>
      </c>
      <c r="AA121" s="29" t="str">
        <f aca="false">IFERROR(INDEX('Bank Schedule'!AA:AA, SMALL(IF('Bank Schedule'!$K$2:$K$825="Vacant", ROW('Bank Schedule'!$K$2:$K$825)), ROW(118:118))), "")</f>
        <v/>
      </c>
      <c r="AB121" s="29" t="str">
        <f aca="false">IFERROR(INDEX('Bank Schedule'!AB:AB, SMALL(IF('Bank Schedule'!$K$2:$K$825="Vacant", ROW('Bank Schedule'!$K$2:$K$825)), ROW(118:118))), "")</f>
        <v/>
      </c>
      <c r="AC121" s="29" t="str">
        <f aca="false" t="array" ref="AC121:AC121">IFERROR(INDEX('Bank Schedule'!AC:AC, SMALL(IF('Bank Schedule'!$K$2:$K$825="Vacant", ROW('Bank Schedule'!$K$2:$K$825)), ROW(118:118))), "")</f>
        <v>No</v>
      </c>
      <c r="AD121" s="29" t="str">
        <f aca="false" t="array" ref="AD121:AD121">IFERROR(INDEX('Bank Schedule'!AD:AD, SMALL(IF('Bank Schedule'!$K$2:$K$825="Vacant", ROW('Bank Schedule'!$K$2:$K$825)), ROW(118:118))), "")</f>
        <v>Mothballed.</v>
      </c>
      <c r="AE121" s="281" t="str">
        <f aca="false">IFERROR(INDEX('Bank Schedule'!AE:AE, SMALL(IF('Bank Schedule'!$K$2:$K$825="Vacant", ROW('Bank Schedule'!$K$2:$K$825)), ROW(118:118))), "")</f>
        <v/>
      </c>
      <c r="AF121" s="29" t="str">
        <f aca="false">IFERROR(INDEX('Bank Schedule'!AF:AF, SMALL(IF('Bank Schedule'!$K$2:$K$825="Vacant", ROW('Bank Schedule'!$K$2:$K$825)), ROW(118:118))), "")</f>
        <v/>
      </c>
      <c r="AG121" s="29" t="str">
        <f aca="false">IFERROR(INDEX('Bank Schedule'!AG:AG, SMALL(IF('Bank Schedule'!$K$2:$K$825="Vacant", ROW('Bank Schedule'!$K$2:$K$825)), ROW(118:118))), "")</f>
        <v/>
      </c>
      <c r="AH121" s="29" t="str">
        <f aca="false">IFERROR(INDEX('Bank Schedule'!AH:AH, SMALL(IF('Bank Schedule'!$K$2:$K$825="Vacant", ROW('Bank Schedule'!$K$2:$K$825)), ROW(118:118))), "")</f>
        <v/>
      </c>
      <c r="AI121" s="4"/>
    </row>
    <row r="122" customFormat="false" ht="28.5" hidden="false" customHeight="true" outlineLevel="0" collapsed="false">
      <c r="A122" s="29" t="str">
        <f aca="false">IFERROR(INDEX('Bank Schedule'!A:A, SMALL(IF('Bank Schedule'!$K$2:$K$825="Vacant", ROW('Bank Schedule'!$K$2:$K$825)), ROW(119:119))), "")</f>
        <v/>
      </c>
      <c r="B122" s="29" t="str">
        <f aca="false" t="array" ref="B122:B122">IFERROR(INDEX('Bank Schedule'!B:B, SMALL(IF('Bank Schedule'!$K$2:$K$825="Vacant", ROW('Bank Schedule'!$K$2:$K$825)), ROW(119:119))), "")</f>
        <v>WS</v>
      </c>
      <c r="C122" s="29" t="str">
        <f aca="false" t="array" ref="C122:C122">IFERROR(INDEX('Bank Schedule'!C:C, SMALL(IF('Bank Schedule'!$K$2:$K$825="Vacant", ROW('Bank Schedule'!$K$2:$K$825)), ROW(119:119))), "")</f>
        <v>OPG</v>
      </c>
      <c r="D122" s="29" t="n">
        <f aca="false" t="array" ref="D122:D122">IFERROR(INDEX('Bank Schedule'!D:D, SMALL(IF('Bank Schedule'!$K$2:$K$825="Vacant", ROW('Bank Schedule'!$K$2:$K$825)), ROW(119:119))), "")</f>
        <v>800600</v>
      </c>
      <c r="E122" s="29" t="str">
        <f aca="false" t="array" ref="E122:E122">IFERROR(INDEX('Bank Schedule'!E:E, SMALL(IF('Bank Schedule'!$K$2:$K$825="Vacant", ROW('Bank Schedule'!$K$2:$K$825)), ROW(119:119))), "")</f>
        <v>Welbeck House, 66/67 Wells Street</v>
      </c>
      <c r="F122" s="29" t="str">
        <f aca="false" t="array" ref="F122:F122">IFERROR(INDEX('Bank Schedule'!F:F, SMALL(IF('Bank Schedule'!$K$2:$K$825="Vacant", ROW('Bank Schedule'!$K$2:$K$825)), ROW(119:119))), "")</f>
        <v>Fourth Floor</v>
      </c>
      <c r="G122" s="29" t="str">
        <f aca="false" t="array" ref="G122:G122">IFERROR(INDEX('Bank Schedule'!G:G, SMALL(IF('Bank Schedule'!$K$2:$K$825="Vacant", ROW('Bank Schedule'!$K$2:$K$825)), ROW(119:119))), "")</f>
        <v>Offices</v>
      </c>
      <c r="H122" s="305" t="n">
        <f aca="false" t="array" ref="H122:H122">IFERROR(INDEX('Bank Schedule'!H:H, SMALL(IF('Bank Schedule'!$K$2:$K$825="Vacant", ROW('Bank Schedule'!$K$2:$K$825)), ROW(119:119))), "")</f>
        <v>834</v>
      </c>
      <c r="I122" s="29" t="n">
        <f aca="false" t="array" ref="I122:I122">IFERROR(INDEX('Bank Schedule'!I:I, SMALL(IF('Bank Schedule'!$K$2:$K$825="Vacant", ROW('Bank Schedule'!$K$2:$K$825)), ROW(119:119))), "")</f>
        <v>834</v>
      </c>
      <c r="J122" s="305" t="n">
        <f aca="false" t="array" ref="J122:J122">IFERROR(INDEX('Bank Schedule'!J:J, SMALL(IF('Bank Schedule'!$K$2:$K$825="Vacant", ROW('Bank Schedule'!$K$2:$K$825)), ROW(119:119))), "")</f>
        <v>1000</v>
      </c>
      <c r="K122" s="29" t="str">
        <f aca="false" t="array" ref="K122:K122">IFERROR(INDEX('Bank Schedule'!K:K, SMALL(IF('Bank Schedule'!$K$2:$K$825="Vacant", ROW('Bank Schedule'!$K$2:$K$825)), ROW(119:119))), "")</f>
        <v>Vacant</v>
      </c>
      <c r="L122" s="29" t="str">
        <f aca="false">IFERROR(INDEX('Bank Schedule'!L:L, SMALL(IF('Bank Schedule'!$K$2:$K$825="Vacant", ROW('Bank Schedule'!$K$2:$K$825)), ROW(119:119))), "")</f>
        <v/>
      </c>
      <c r="M122" s="29" t="str">
        <f aca="false">IFERROR(INDEX('Bank Schedule'!M:M, SMALL(IF('Bank Schedule'!$K$2:$K$825="Vacant", ROW('Bank Schedule'!$K$2:$K$825)), ROW(119:119))), "")</f>
        <v/>
      </c>
      <c r="N122" s="307" t="n">
        <f aca="false" t="array" ref="N122:N122">IFERROR(INDEX('Bank Schedule'!N:N, SMALL(IF('Bank Schedule'!$K$2:$K$825="Vacant", ROW('Bank Schedule'!$K$2:$K$825)), ROW(119:119))), "")</f>
        <v>43840</v>
      </c>
      <c r="O122" s="29" t="str">
        <f aca="false">IFERROR(INDEX('Bank Schedule'!O:O, SMALL(IF('Bank Schedule'!$K$2:$K$825="Vacant", ROW('Bank Schedule'!$K$2:$K$825)), ROW(119:119))), "")</f>
        <v/>
      </c>
      <c r="P122" s="29" t="str">
        <f aca="false">IFERROR(INDEX('Bank Schedule'!P:P, SMALL(IF('Bank Schedule'!$K$2:$K$825="Vacant", ROW('Bank Schedule'!$K$2:$K$825)), ROW(119:119))), "")</f>
        <v/>
      </c>
      <c r="Q122" s="29" t="n">
        <f aca="false" t="array" ref="Q122:Q122">IFERROR(INDEX('Bank Schedule'!Q:Q, SMALL(IF('Bank Schedule'!$K$2:$K$825="Vacant", ROW('Bank Schedule'!$K$2:$K$825)), ROW(119:119))), "")</f>
        <v>0</v>
      </c>
      <c r="R122" s="29" t="n">
        <f aca="false" t="array" ref="R122:R122">IFERROR(INDEX('Bank Schedule'!R:R, SMALL(IF('Bank Schedule'!$K$2:$K$825="Vacant", ROW('Bank Schedule'!$K$2:$K$825)), ROW(119:119))), "")</f>
        <v>0</v>
      </c>
      <c r="S122" s="29" t="str">
        <f aca="false">IFERROR(INDEX('Bank Schedule'!S:S, SMALL(IF('Bank Schedule'!$K$2:$K$825="Vacant", ROW('Bank Schedule'!$K$2:$K$825)), ROW(119:119))), "")</f>
        <v/>
      </c>
      <c r="T122" s="309" t="n">
        <f aca="false" t="array" ref="T122:T122">IFERROR(INDEX('Bank Schedule'!T:T, SMALL(IF('Bank Schedule'!$K$2:$K$825="Vacant", ROW('Bank Schedule'!$K$2:$K$825)), ROW(119:119))), "")</f>
        <v>43800</v>
      </c>
      <c r="U122" s="309" t="n">
        <f aca="false" t="array" ref="U122:U122">IFERROR(INDEX('Bank Schedule'!U:U, SMALL(IF('Bank Schedule'!$K$2:$K$825="Vacant", ROW('Bank Schedule'!$K$2:$K$825)), ROW(119:119))), "")</f>
        <v>43800</v>
      </c>
      <c r="V122" s="309" t="n">
        <f aca="false" t="array" ref="V122:V122">IFERROR(INDEX('Bank Schedule'!V:V, SMALL(IF('Bank Schedule'!$K$2:$K$825="Vacant", ROW('Bank Schedule'!$K$2:$K$825)), ROW(119:119))), "")</f>
        <v>43800</v>
      </c>
      <c r="W122" s="309" t="n">
        <f aca="false" t="array" ref="W122:W122">IFERROR(INDEX('Bank Schedule'!W:W, SMALL(IF('Bank Schedule'!$K$2:$K$825="Vacant", ROW('Bank Schedule'!$K$2:$K$825)), ROW(119:119))), "")</f>
        <v>43800</v>
      </c>
      <c r="X122" s="309" t="n">
        <f aca="false" t="array" ref="X122:X122">IFERROR(INDEX('Bank Schedule'!X:X, SMALL(IF('Bank Schedule'!$K$2:$K$825="Vacant", ROW('Bank Schedule'!$K$2:$K$825)), ROW(119:119))), "")</f>
        <v>52.5179856115108</v>
      </c>
      <c r="Y122" s="310" t="n">
        <f aca="false" t="array" ref="Y122:Y122">IFERROR(INDEX('Bank Schedule'!Y:Y, SMALL(IF('Bank Schedule'!$K$2:$K$825="Vacant", ROW('Bank Schedule'!$K$2:$K$825)), ROW(119:119))), "")</f>
        <v>0</v>
      </c>
      <c r="Z122" s="29" t="str">
        <f aca="false" t="array" ref="Z122:Z122">IFERROR(INDEX('Bank Schedule'!Z:Z, SMALL(IF('Bank Schedule'!$K$2:$K$825="Vacant", ROW('Bank Schedule'!$K$2:$K$825)), ROW(119:119))), "")</f>
        <v>D</v>
      </c>
      <c r="AA122" s="29" t="str">
        <f aca="false">IFERROR(INDEX('Bank Schedule'!AA:AA, SMALL(IF('Bank Schedule'!$K$2:$K$825="Vacant", ROW('Bank Schedule'!$K$2:$K$825)), ROW(119:119))), "")</f>
        <v/>
      </c>
      <c r="AB122" s="29" t="str">
        <f aca="false">IFERROR(INDEX('Bank Schedule'!AB:AB, SMALL(IF('Bank Schedule'!$K$2:$K$825="Vacant", ROW('Bank Schedule'!$K$2:$K$825)), ROW(119:119))), "")</f>
        <v/>
      </c>
      <c r="AC122" s="29" t="str">
        <f aca="false" t="array" ref="AC122:AC122">IFERROR(INDEX('Bank Schedule'!AC:AC, SMALL(IF('Bank Schedule'!$K$2:$K$825="Vacant", ROW('Bank Schedule'!$K$2:$K$825)), ROW(119:119))), "")</f>
        <v>No</v>
      </c>
      <c r="AD122" s="29" t="str">
        <f aca="false" t="array" ref="AD122:AD122">IFERROR(INDEX('Bank Schedule'!AD:AD, SMALL(IF('Bank Schedule'!$K$2:$K$825="Vacant", ROW('Bank Schedule'!$K$2:$K$825)), ROW(119:119))), "")</f>
        <v>Mothballed.</v>
      </c>
      <c r="AE122" s="281" t="str">
        <f aca="false">IFERROR(INDEX('Bank Schedule'!AE:AE, SMALL(IF('Bank Schedule'!$K$2:$K$825="Vacant", ROW('Bank Schedule'!$K$2:$K$825)), ROW(119:119))), "")</f>
        <v/>
      </c>
      <c r="AF122" s="29" t="str">
        <f aca="false">IFERROR(INDEX('Bank Schedule'!AF:AF, SMALL(IF('Bank Schedule'!$K$2:$K$825="Vacant", ROW('Bank Schedule'!$K$2:$K$825)), ROW(119:119))), "")</f>
        <v/>
      </c>
      <c r="AG122" s="29" t="str">
        <f aca="false">IFERROR(INDEX('Bank Schedule'!AG:AG, SMALL(IF('Bank Schedule'!$K$2:$K$825="Vacant", ROW('Bank Schedule'!$K$2:$K$825)), ROW(119:119))), "")</f>
        <v/>
      </c>
      <c r="AH122" s="29" t="str">
        <f aca="false">IFERROR(INDEX('Bank Schedule'!AH:AH, SMALL(IF('Bank Schedule'!$K$2:$K$825="Vacant", ROW('Bank Schedule'!$K$2:$K$825)), ROW(119:119))), "")</f>
        <v/>
      </c>
      <c r="AI122" s="4"/>
    </row>
    <row r="123" customFormat="false" ht="28.5" hidden="false" customHeight="true" outlineLevel="0" collapsed="false">
      <c r="A123" s="29" t="str">
        <f aca="false">IFERROR(INDEX('Bank Schedule'!A:A, SMALL(IF('Bank Schedule'!$K$2:$K$825="Vacant", ROW('Bank Schedule'!$K$2:$K$825)), ROW(120:120))), "")</f>
        <v/>
      </c>
      <c r="B123" s="29" t="str">
        <f aca="false" t="array" ref="B123:B123">IFERROR(INDEX('Bank Schedule'!B:B, SMALL(IF('Bank Schedule'!$K$2:$K$825="Vacant", ROW('Bank Schedule'!$K$2:$K$825)), ROW(120:120))), "")</f>
        <v>CD</v>
      </c>
      <c r="C123" s="29" t="str">
        <f aca="false" t="array" ref="C123:C123">IFERROR(INDEX('Bank Schedule'!C:C, SMALL(IF('Bank Schedule'!$K$2:$K$825="Vacant", ROW('Bank Schedule'!$K$2:$K$825)), ROW(120:120))), "")</f>
        <v>PEL</v>
      </c>
      <c r="D123" s="29" t="n">
        <f aca="false" t="array" ref="D123:D123">IFERROR(INDEX('Bank Schedule'!D:D, SMALL(IF('Bank Schedule'!$K$2:$K$825="Vacant", ROW('Bank Schedule'!$K$2:$K$825)), ROW(120:120))), "")</f>
        <v>111010</v>
      </c>
      <c r="E123" s="29" t="str">
        <f aca="false" t="array" ref="E123:E123">IFERROR(INDEX('Bank Schedule'!E:E, SMALL(IF('Bank Schedule'!$K$2:$K$825="Vacant", ROW('Bank Schedule'!$K$2:$K$825)), ROW(120:120))), "")</f>
        <v>32-36 Great Portland Street</v>
      </c>
      <c r="F123" s="29" t="str">
        <f aca="false" t="array" ref="F123:F123">IFERROR(INDEX('Bank Schedule'!F:F, SMALL(IF('Bank Schedule'!$K$2:$K$825="Vacant", ROW('Bank Schedule'!$K$2:$K$825)), ROW(120:120))), "")</f>
        <v>First Floor</v>
      </c>
      <c r="G123" s="29" t="str">
        <f aca="false" t="array" ref="G123:G123">IFERROR(INDEX('Bank Schedule'!G:G, SMALL(IF('Bank Schedule'!$K$2:$K$825="Vacant", ROW('Bank Schedule'!$K$2:$K$825)), ROW(120:120))), "")</f>
        <v>Offices</v>
      </c>
      <c r="H123" s="305" t="n">
        <f aca="false" t="array" ref="H123:H123">IFERROR(INDEX('Bank Schedule'!H:H, SMALL(IF('Bank Schedule'!$K$2:$K$825="Vacant", ROW('Bank Schedule'!$K$2:$K$825)), ROW(120:120))), "")</f>
        <v>2279</v>
      </c>
      <c r="I123" s="29" t="n">
        <f aca="false" t="array" ref="I123:I123">IFERROR(INDEX('Bank Schedule'!I:I, SMALL(IF('Bank Schedule'!$K$2:$K$825="Vacant", ROW('Bank Schedule'!$K$2:$K$825)), ROW(120:120))), "")</f>
        <v>2279</v>
      </c>
      <c r="J123" s="305" t="n">
        <f aca="false" t="array" ref="J123:J123">IFERROR(INDEX('Bank Schedule'!J:J, SMALL(IF('Bank Schedule'!$K$2:$K$825="Vacant", ROW('Bank Schedule'!$K$2:$K$825)), ROW(120:120))), "")</f>
        <v>2250</v>
      </c>
      <c r="K123" s="29" t="str">
        <f aca="false" t="array" ref="K123:K123">IFERROR(INDEX('Bank Schedule'!K:K, SMALL(IF('Bank Schedule'!$K$2:$K$825="Vacant", ROW('Bank Schedule'!$K$2:$K$825)), ROW(120:120))), "")</f>
        <v>Vacant</v>
      </c>
      <c r="L123" s="29" t="str">
        <f aca="false">IFERROR(INDEX('Bank Schedule'!L:L, SMALL(IF('Bank Schedule'!$K$2:$K$825="Vacant", ROW('Bank Schedule'!$K$2:$K$825)), ROW(120:120))), "")</f>
        <v/>
      </c>
      <c r="M123" s="29" t="str">
        <f aca="false">IFERROR(INDEX('Bank Schedule'!M:M, SMALL(IF('Bank Schedule'!$K$2:$K$825="Vacant", ROW('Bank Schedule'!$K$2:$K$825)), ROW(120:120))), "")</f>
        <v/>
      </c>
      <c r="N123" s="307" t="n">
        <f aca="false" t="array" ref="N123:N123">IFERROR(INDEX('Bank Schedule'!N:N, SMALL(IF('Bank Schedule'!$K$2:$K$825="Vacant", ROW('Bank Schedule'!$K$2:$K$825)), ROW(120:120))), "")</f>
        <v>44577</v>
      </c>
      <c r="O123" s="29" t="str">
        <f aca="false">IFERROR(INDEX('Bank Schedule'!O:O, SMALL(IF('Bank Schedule'!$K$2:$K$825="Vacant", ROW('Bank Schedule'!$K$2:$K$825)), ROW(120:120))), "")</f>
        <v/>
      </c>
      <c r="P123" s="29" t="str">
        <f aca="false">IFERROR(INDEX('Bank Schedule'!P:P, SMALL(IF('Bank Schedule'!$K$2:$K$825="Vacant", ROW('Bank Schedule'!$K$2:$K$825)), ROW(120:120))), "")</f>
        <v/>
      </c>
      <c r="Q123" s="29" t="n">
        <f aca="false" t="array" ref="Q123:Q123">IFERROR(INDEX('Bank Schedule'!Q:Q, SMALL(IF('Bank Schedule'!$K$2:$K$825="Vacant", ROW('Bank Schedule'!$K$2:$K$825)), ROW(120:120))), "")</f>
        <v>0</v>
      </c>
      <c r="R123" s="29" t="n">
        <f aca="false" t="array" ref="R123:R123">IFERROR(INDEX('Bank Schedule'!R:R, SMALL(IF('Bank Schedule'!$K$2:$K$825="Vacant", ROW('Bank Schedule'!$K$2:$K$825)), ROW(120:120))), "")</f>
        <v>0</v>
      </c>
      <c r="S123" s="29" t="str">
        <f aca="false">IFERROR(INDEX('Bank Schedule'!S:S, SMALL(IF('Bank Schedule'!$K$2:$K$825="Vacant", ROW('Bank Schedule'!$K$2:$K$825)), ROW(120:120))), "")</f>
        <v/>
      </c>
      <c r="T123" s="309" t="n">
        <f aca="false" t="array" ref="T123:T123">IFERROR(INDEX('Bank Schedule'!T:T, SMALL(IF('Bank Schedule'!$K$2:$K$825="Vacant", ROW('Bank Schedule'!$K$2:$K$825)), ROW(120:120))), "")</f>
        <v>150000</v>
      </c>
      <c r="U123" s="309" t="n">
        <f aca="false" t="array" ref="U123:U123">IFERROR(INDEX('Bank Schedule'!U:U, SMALL(IF('Bank Schedule'!$K$2:$K$825="Vacant", ROW('Bank Schedule'!$K$2:$K$825)), ROW(120:120))), "")</f>
        <v>150000</v>
      </c>
      <c r="V123" s="309" t="n">
        <f aca="false" t="array" ref="V123:V123">IFERROR(INDEX('Bank Schedule'!V:V, SMALL(IF('Bank Schedule'!$K$2:$K$825="Vacant", ROW('Bank Schedule'!$K$2:$K$825)), ROW(120:120))), "")</f>
        <v>167500</v>
      </c>
      <c r="W123" s="309" t="n">
        <f aca="false" t="array" ref="W123:W123">IFERROR(INDEX('Bank Schedule'!W:W, SMALL(IF('Bank Schedule'!$K$2:$K$825="Vacant", ROW('Bank Schedule'!$K$2:$K$825)), ROW(120:120))), "")</f>
        <v>167500</v>
      </c>
      <c r="X123" s="309" t="n">
        <f aca="false" t="array" ref="X123:X123">IFERROR(INDEX('Bank Schedule'!X:X, SMALL(IF('Bank Schedule'!$K$2:$K$825="Vacant", ROW('Bank Schedule'!$K$2:$K$825)), ROW(120:120))), "")</f>
        <v>73.4971478718736</v>
      </c>
      <c r="Y123" s="310" t="n">
        <f aca="false" t="array" ref="Y123:Y123">IFERROR(INDEX('Bank Schedule'!Y:Y, SMALL(IF('Bank Schedule'!$K$2:$K$825="Vacant", ROW('Bank Schedule'!$K$2:$K$825)), ROW(120:120))), "")</f>
        <v>0.116666666666667</v>
      </c>
      <c r="Z123" s="29" t="str">
        <f aca="false" t="array" ref="Z123:Z123">IFERROR(INDEX('Bank Schedule'!Z:Z, SMALL(IF('Bank Schedule'!$K$2:$K$825="Vacant", ROW('Bank Schedule'!$K$2:$K$825)), ROW(120:120))), "")</f>
        <v>C</v>
      </c>
      <c r="AA123" s="29" t="str">
        <f aca="false" t="array" ref="AA123:AA123">IFERROR(INDEX('Bank Schedule'!AA:AA, SMALL(IF('Bank Schedule'!$K$2:$K$825="Vacant", ROW('Bank Schedule'!$K$2:$K$825)), ROW(120:120))), "")</f>
        <v>*</v>
      </c>
      <c r="AB123" s="29" t="str">
        <f aca="false">IFERROR(INDEX('Bank Schedule'!AB:AB, SMALL(IF('Bank Schedule'!$K$2:$K$825="Vacant", ROW('Bank Schedule'!$K$2:$K$825)), ROW(120:120))), "")</f>
        <v/>
      </c>
      <c r="AC123" s="29" t="str">
        <f aca="false" t="array" ref="AC123:AC123">IFERROR(INDEX('Bank Schedule'!AC:AC, SMALL(IF('Bank Schedule'!$K$2:$K$825="Vacant", ROW('Bank Schedule'!$K$2:$K$825)), ROW(120:120))), "")</f>
        <v>No</v>
      </c>
      <c r="AD123" s="29" t="str">
        <f aca="false" t="array" ref="AD123:AD123">IFERROR(INDEX('Bank Schedule'!AD:AD, SMALL(IF('Bank Schedule'!$K$2:$K$825="Vacant", ROW('Bank Schedule'!$K$2:$K$825)), ROW(120:120))), "")</f>
        <v>To be refurbished.</v>
      </c>
      <c r="AE123" s="281" t="n">
        <f aca="false" t="array" ref="AE123:AE123">IFERROR(INDEX('Bank Schedule'!AE:AE, SMALL(IF('Bank Schedule'!$K$2:$K$825="Vacant", ROW('Bank Schedule'!$K$2:$K$825)), ROW(120:120))), "")</f>
        <v>75</v>
      </c>
      <c r="AF123" s="29" t="n">
        <f aca="false" t="array" ref="AF123:AF123">IFERROR(INDEX('Bank Schedule'!AF:AF, SMALL(IF('Bank Schedule'!$K$2:$K$825="Vacant", ROW('Bank Schedule'!$K$2:$K$825)), ROW(120:120))), "")</f>
        <v>1</v>
      </c>
      <c r="AG123" s="29" t="n">
        <f aca="false" t="array" ref="AG123:AG123">IFERROR(INDEX('Bank Schedule'!AG:AG, SMALL(IF('Bank Schedule'!$K$2:$K$825="Vacant", ROW('Bank Schedule'!$K$2:$K$825)), ROW(120:120))), "")</f>
        <v>2</v>
      </c>
      <c r="AH123" s="29" t="str">
        <f aca="false" t="array" ref="AH123:AH123">IFERROR(INDEX('Bank Schedule'!AH:AH, SMALL(IF('Bank Schedule'!$K$2:$K$825="Vacant", ROW('Bank Schedule'!$K$2:$K$825)), ROW(120:120))), "")</f>
        <v>LEM</v>
      </c>
      <c r="AI123" s="4"/>
    </row>
    <row r="124" customFormat="false" ht="28.5" hidden="false" customHeight="true" outlineLevel="0" collapsed="false">
      <c r="A124" s="29" t="str">
        <f aca="false">IFERROR(INDEX('Bank Schedule'!A:A, SMALL(IF('Bank Schedule'!$K$2:$K$825="Vacant", ROW('Bank Schedule'!$K$2:$K$825)), ROW(121:121))), "")</f>
        <v/>
      </c>
      <c r="B124" s="29" t="str">
        <f aca="false" t="array" ref="B124:B124">IFERROR(INDEX('Bank Schedule'!B:B, SMALL(IF('Bank Schedule'!$K$2:$K$825="Vacant", ROW('Bank Schedule'!$K$2:$K$825)), ROW(121:121))), "")</f>
        <v>CD</v>
      </c>
      <c r="C124" s="29" t="str">
        <f aca="false" t="array" ref="C124:C124">IFERROR(INDEX('Bank Schedule'!C:C, SMALL(IF('Bank Schedule'!$K$2:$K$825="Vacant", ROW('Bank Schedule'!$K$2:$K$825)), ROW(121:121))), "")</f>
        <v>PEL</v>
      </c>
      <c r="D124" s="29" t="n">
        <f aca="false" t="array" ref="D124:D124">IFERROR(INDEX('Bank Schedule'!D:D, SMALL(IF('Bank Schedule'!$K$2:$K$825="Vacant", ROW('Bank Schedule'!$K$2:$K$825)), ROW(121:121))), "")</f>
        <v>111010</v>
      </c>
      <c r="E124" s="29" t="str">
        <f aca="false" t="array" ref="E124:E124">IFERROR(INDEX('Bank Schedule'!E:E, SMALL(IF('Bank Schedule'!$K$2:$K$825="Vacant", ROW('Bank Schedule'!$K$2:$K$825)), ROW(121:121))), "")</f>
        <v>32-36 Great Portland Street</v>
      </c>
      <c r="F124" s="29" t="str">
        <f aca="false" t="array" ref="F124:F124">IFERROR(INDEX('Bank Schedule'!F:F, SMALL(IF('Bank Schedule'!$K$2:$K$825="Vacant", ROW('Bank Schedule'!$K$2:$K$825)), ROW(121:121))), "")</f>
        <v>Third Floor</v>
      </c>
      <c r="G124" s="29" t="str">
        <f aca="false" t="array" ref="G124:G124">IFERROR(INDEX('Bank Schedule'!G:G, SMALL(IF('Bank Schedule'!$K$2:$K$825="Vacant", ROW('Bank Schedule'!$K$2:$K$825)), ROW(121:121))), "")</f>
        <v>Offices</v>
      </c>
      <c r="H124" s="305" t="n">
        <f aca="false" t="array" ref="H124:H124">IFERROR(INDEX('Bank Schedule'!H:H, SMALL(IF('Bank Schedule'!$K$2:$K$825="Vacant", ROW('Bank Schedule'!$K$2:$K$825)), ROW(121:121))), "")</f>
        <v>1641</v>
      </c>
      <c r="I124" s="29" t="n">
        <f aca="false" t="array" ref="I124:I124">IFERROR(INDEX('Bank Schedule'!I:I, SMALL(IF('Bank Schedule'!$K$2:$K$825="Vacant", ROW('Bank Schedule'!$K$2:$K$825)), ROW(121:121))), "")</f>
        <v>1641</v>
      </c>
      <c r="J124" s="305" t="n">
        <f aca="false" t="array" ref="J124:J124">IFERROR(INDEX('Bank Schedule'!J:J, SMALL(IF('Bank Schedule'!$K$2:$K$825="Vacant", ROW('Bank Schedule'!$K$2:$K$825)), ROW(121:121))), "")</f>
        <v>1500</v>
      </c>
      <c r="K124" s="29" t="str">
        <f aca="false" t="array" ref="K124:K124">IFERROR(INDEX('Bank Schedule'!K:K, SMALL(IF('Bank Schedule'!$K$2:$K$825="Vacant", ROW('Bank Schedule'!$K$2:$K$825)), ROW(121:121))), "")</f>
        <v>Vacant</v>
      </c>
      <c r="L124" s="29" t="str">
        <f aca="false">IFERROR(INDEX('Bank Schedule'!L:L, SMALL(IF('Bank Schedule'!$K$2:$K$825="Vacant", ROW('Bank Schedule'!$K$2:$K$825)), ROW(121:121))), "")</f>
        <v/>
      </c>
      <c r="M124" s="29" t="str">
        <f aca="false">IFERROR(INDEX('Bank Schedule'!M:M, SMALL(IF('Bank Schedule'!$K$2:$K$825="Vacant", ROW('Bank Schedule'!$K$2:$K$825)), ROW(121:121))), "")</f>
        <v/>
      </c>
      <c r="N124" s="307" t="n">
        <f aca="false" t="array" ref="N124:N124">IFERROR(INDEX('Bank Schedule'!N:N, SMALL(IF('Bank Schedule'!$K$2:$K$825="Vacant", ROW('Bank Schedule'!$K$2:$K$825)), ROW(121:121))), "")</f>
        <v>44603</v>
      </c>
      <c r="O124" s="29" t="str">
        <f aca="false">IFERROR(INDEX('Bank Schedule'!O:O, SMALL(IF('Bank Schedule'!$K$2:$K$825="Vacant", ROW('Bank Schedule'!$K$2:$K$825)), ROW(121:121))), "")</f>
        <v/>
      </c>
      <c r="P124" s="29" t="str">
        <f aca="false">IFERROR(INDEX('Bank Schedule'!P:P, SMALL(IF('Bank Schedule'!$K$2:$K$825="Vacant", ROW('Bank Schedule'!$K$2:$K$825)), ROW(121:121))), "")</f>
        <v/>
      </c>
      <c r="Q124" s="29" t="n">
        <f aca="false" t="array" ref="Q124:Q124">IFERROR(INDEX('Bank Schedule'!Q:Q, SMALL(IF('Bank Schedule'!$K$2:$K$825="Vacant", ROW('Bank Schedule'!$K$2:$K$825)), ROW(121:121))), "")</f>
        <v>0</v>
      </c>
      <c r="R124" s="29" t="n">
        <f aca="false" t="array" ref="R124:R124">IFERROR(INDEX('Bank Schedule'!R:R, SMALL(IF('Bank Schedule'!$K$2:$K$825="Vacant", ROW('Bank Schedule'!$K$2:$K$825)), ROW(121:121))), "")</f>
        <v>0</v>
      </c>
      <c r="S124" s="29" t="str">
        <f aca="false">IFERROR(INDEX('Bank Schedule'!S:S, SMALL(IF('Bank Schedule'!$K$2:$K$825="Vacant", ROW('Bank Schedule'!$K$2:$K$825)), ROW(121:121))), "")</f>
        <v/>
      </c>
      <c r="T124" s="309" t="n">
        <f aca="false" t="array" ref="T124:T124">IFERROR(INDEX('Bank Schedule'!T:T, SMALL(IF('Bank Schedule'!$K$2:$K$825="Vacant", ROW('Bank Schedule'!$K$2:$K$825)), ROW(121:121))), "")</f>
        <v>120000</v>
      </c>
      <c r="U124" s="309" t="n">
        <f aca="false" t="array" ref="U124:U124">IFERROR(INDEX('Bank Schedule'!U:U, SMALL(IF('Bank Schedule'!$K$2:$K$825="Vacant", ROW('Bank Schedule'!$K$2:$K$825)), ROW(121:121))), "")</f>
        <v>120000</v>
      </c>
      <c r="V124" s="309" t="n">
        <f aca="false" t="array" ref="V124:V124">IFERROR(INDEX('Bank Schedule'!V:V, SMALL(IF('Bank Schedule'!$K$2:$K$825="Vacant", ROW('Bank Schedule'!$K$2:$K$825)), ROW(121:121))), "")</f>
        <v>114900</v>
      </c>
      <c r="W124" s="309" t="n">
        <f aca="false" t="array" ref="W124:W124">IFERROR(INDEX('Bank Schedule'!W:W, SMALL(IF('Bank Schedule'!$K$2:$K$825="Vacant", ROW('Bank Schedule'!$K$2:$K$825)), ROW(121:121))), "")</f>
        <v>114900</v>
      </c>
      <c r="X124" s="309" t="n">
        <f aca="false" t="array" ref="X124:X124">IFERROR(INDEX('Bank Schedule'!X:X, SMALL(IF('Bank Schedule'!$K$2:$K$825="Vacant", ROW('Bank Schedule'!$K$2:$K$825)), ROW(121:121))), "")</f>
        <v>70.018281535649</v>
      </c>
      <c r="Y124" s="310" t="n">
        <f aca="false" t="array" ref="Y124:Y124">IFERROR(INDEX('Bank Schedule'!Y:Y, SMALL(IF('Bank Schedule'!$K$2:$K$825="Vacant", ROW('Bank Schedule'!$K$2:$K$825)), ROW(121:121))), "")</f>
        <v>-0.0425</v>
      </c>
      <c r="Z124" s="29" t="str">
        <f aca="false" t="array" ref="Z124:Z124">IFERROR(INDEX('Bank Schedule'!Z:Z, SMALL(IF('Bank Schedule'!$K$2:$K$825="Vacant", ROW('Bank Schedule'!$K$2:$K$825)), ROW(121:121))), "")</f>
        <v>C</v>
      </c>
      <c r="AA124" s="29" t="str">
        <f aca="false" t="array" ref="AA124:AA124">IFERROR(INDEX('Bank Schedule'!AA:AA, SMALL(IF('Bank Schedule'!$K$2:$K$825="Vacant", ROW('Bank Schedule'!$K$2:$K$825)), ROW(121:121))), "")</f>
        <v>*</v>
      </c>
      <c r="AB124" s="29" t="str">
        <f aca="false">IFERROR(INDEX('Bank Schedule'!AB:AB, SMALL(IF('Bank Schedule'!$K$2:$K$825="Vacant", ROW('Bank Schedule'!$K$2:$K$825)), ROW(121:121))), "")</f>
        <v/>
      </c>
      <c r="AC124" s="29" t="str">
        <f aca="false" t="array" ref="AC124:AC124">IFERROR(INDEX('Bank Schedule'!AC:AC, SMALL(IF('Bank Schedule'!$K$2:$K$825="Vacant", ROW('Bank Schedule'!$K$2:$K$825)), ROW(121:121))), "")</f>
        <v>No</v>
      </c>
      <c r="AD124" s="29" t="str">
        <f aca="false" t="array" ref="AD124:AD124">IFERROR(INDEX('Bank Schedule'!AD:AD, SMALL(IF('Bank Schedule'!$K$2:$K$825="Vacant", ROW('Bank Schedule'!$K$2:$K$825)), ROW(121:121))), "")</f>
        <v>To be refurbished.</v>
      </c>
      <c r="AE124" s="281" t="n">
        <f aca="false" t="array" ref="AE124:AE124">IFERROR(INDEX('Bank Schedule'!AE:AE, SMALL(IF('Bank Schedule'!$K$2:$K$825="Vacant", ROW('Bank Schedule'!$K$2:$K$825)), ROW(121:121))), "")</f>
        <v>75</v>
      </c>
      <c r="AF124" s="29" t="n">
        <f aca="false" t="array" ref="AF124:AF124">IFERROR(INDEX('Bank Schedule'!AF:AF, SMALL(IF('Bank Schedule'!$K$2:$K$825="Vacant", ROW('Bank Schedule'!$K$2:$K$825)), ROW(121:121))), "")</f>
        <v>1</v>
      </c>
      <c r="AG124" s="29" t="n">
        <f aca="false" t="array" ref="AG124:AG124">IFERROR(INDEX('Bank Schedule'!AG:AG, SMALL(IF('Bank Schedule'!$K$2:$K$825="Vacant", ROW('Bank Schedule'!$K$2:$K$825)), ROW(121:121))), "")</f>
        <v>1</v>
      </c>
      <c r="AH124" s="29" t="str">
        <f aca="false" t="array" ref="AH124:AH124">IFERROR(INDEX('Bank Schedule'!AH:AH, SMALL(IF('Bank Schedule'!$K$2:$K$825="Vacant", ROW('Bank Schedule'!$K$2:$K$825)), ROW(121:121))), "")</f>
        <v>LEM</v>
      </c>
      <c r="AI124" s="4"/>
    </row>
    <row r="125" customFormat="false" ht="28.5" hidden="false" customHeight="true" outlineLevel="0" collapsed="false">
      <c r="A125" s="29" t="str">
        <f aca="false">IFERROR(INDEX('Bank Schedule'!A:A, SMALL(IF('Bank Schedule'!$K$2:$K$825="Vacant", ROW('Bank Schedule'!$K$2:$K$825)), ROW(122:122))), "")</f>
        <v/>
      </c>
      <c r="B125" s="29" t="str">
        <f aca="false" t="array" ref="B125:B125">IFERROR(INDEX('Bank Schedule'!B:B, SMALL(IF('Bank Schedule'!$K$2:$K$825="Vacant", ROW('Bank Schedule'!$K$2:$K$825)), ROW(122:122))), "")</f>
        <v>CD</v>
      </c>
      <c r="C125" s="29" t="str">
        <f aca="false" t="array" ref="C125:C125">IFERROR(INDEX('Bank Schedule'!C:C, SMALL(IF('Bank Schedule'!$K$2:$K$825="Vacant", ROW('Bank Schedule'!$K$2:$K$825)), ROW(122:122))), "")</f>
        <v>PEL</v>
      </c>
      <c r="D125" s="29" t="n">
        <f aca="false" t="array" ref="D125:D125">IFERROR(INDEX('Bank Schedule'!D:D, SMALL(IF('Bank Schedule'!$K$2:$K$825="Vacant", ROW('Bank Schedule'!$K$2:$K$825)), ROW(122:122))), "")</f>
        <v>111010</v>
      </c>
      <c r="E125" s="29" t="str">
        <f aca="false" t="array" ref="E125:E125">IFERROR(INDEX('Bank Schedule'!E:E, SMALL(IF('Bank Schedule'!$K$2:$K$825="Vacant", ROW('Bank Schedule'!$K$2:$K$825)), ROW(122:122))), "")</f>
        <v>32-36 Great Portland Street</v>
      </c>
      <c r="F125" s="29" t="str">
        <f aca="false" t="array" ref="F125:F125">IFERROR(INDEX('Bank Schedule'!F:F, SMALL(IF('Bank Schedule'!$K$2:$K$825="Vacant", ROW('Bank Schedule'!$K$2:$K$825)), ROW(122:122))), "")</f>
        <v>Fourth Floor </v>
      </c>
      <c r="G125" s="29" t="str">
        <f aca="false" t="array" ref="G125:G125">IFERROR(INDEX('Bank Schedule'!G:G, SMALL(IF('Bank Schedule'!$K$2:$K$825="Vacant", ROW('Bank Schedule'!$K$2:$K$825)), ROW(122:122))), "")</f>
        <v>Offices</v>
      </c>
      <c r="H125" s="305" t="n">
        <f aca="false" t="array" ref="H125:H125">IFERROR(INDEX('Bank Schedule'!H:H, SMALL(IF('Bank Schedule'!$K$2:$K$825="Vacant", ROW('Bank Schedule'!$K$2:$K$825)), ROW(122:122))), "")</f>
        <v>1636</v>
      </c>
      <c r="I125" s="29" t="n">
        <f aca="false" t="array" ref="I125:I125">IFERROR(INDEX('Bank Schedule'!I:I, SMALL(IF('Bank Schedule'!$K$2:$K$825="Vacant", ROW('Bank Schedule'!$K$2:$K$825)), ROW(122:122))), "")</f>
        <v>1636</v>
      </c>
      <c r="J125" s="305" t="n">
        <f aca="false" t="array" ref="J125:J125">IFERROR(INDEX('Bank Schedule'!J:J, SMALL(IF('Bank Schedule'!$K$2:$K$825="Vacant", ROW('Bank Schedule'!$K$2:$K$825)), ROW(122:122))), "")</f>
        <v>1500</v>
      </c>
      <c r="K125" s="29" t="str">
        <f aca="false" t="array" ref="K125:K125">IFERROR(INDEX('Bank Schedule'!K:K, SMALL(IF('Bank Schedule'!$K$2:$K$825="Vacant", ROW('Bank Schedule'!$K$2:$K$825)), ROW(122:122))), "")</f>
        <v>Vacant</v>
      </c>
      <c r="L125" s="29" t="str">
        <f aca="false">IFERROR(INDEX('Bank Schedule'!L:L, SMALL(IF('Bank Schedule'!$K$2:$K$825="Vacant", ROW('Bank Schedule'!$K$2:$K$825)), ROW(122:122))), "")</f>
        <v/>
      </c>
      <c r="M125" s="29" t="str">
        <f aca="false">IFERROR(INDEX('Bank Schedule'!M:M, SMALL(IF('Bank Schedule'!$K$2:$K$825="Vacant", ROW('Bank Schedule'!$K$2:$K$825)), ROW(122:122))), "")</f>
        <v/>
      </c>
      <c r="N125" s="307" t="n">
        <f aca="false" t="array" ref="N125:N125">IFERROR(INDEX('Bank Schedule'!N:N, SMALL(IF('Bank Schedule'!$K$2:$K$825="Vacant", ROW('Bank Schedule'!$K$2:$K$825)), ROW(122:122))), "")</f>
        <v>45579</v>
      </c>
      <c r="O125" s="29" t="str">
        <f aca="false">IFERROR(INDEX('Bank Schedule'!O:O, SMALL(IF('Bank Schedule'!$K$2:$K$825="Vacant", ROW('Bank Schedule'!$K$2:$K$825)), ROW(122:122))), "")</f>
        <v/>
      </c>
      <c r="P125" s="29" t="str">
        <f aca="false">IFERROR(INDEX('Bank Schedule'!P:P, SMALL(IF('Bank Schedule'!$K$2:$K$825="Vacant", ROW('Bank Schedule'!$K$2:$K$825)), ROW(122:122))), "")</f>
        <v/>
      </c>
      <c r="Q125" s="29" t="n">
        <f aca="false" t="array" ref="Q125:Q125">IFERROR(INDEX('Bank Schedule'!Q:Q, SMALL(IF('Bank Schedule'!$K$2:$K$825="Vacant", ROW('Bank Schedule'!$K$2:$K$825)), ROW(122:122))), "")</f>
        <v>0</v>
      </c>
      <c r="R125" s="29" t="n">
        <f aca="false" t="array" ref="R125:R125">IFERROR(INDEX('Bank Schedule'!R:R, SMALL(IF('Bank Schedule'!$K$2:$K$825="Vacant", ROW('Bank Schedule'!$K$2:$K$825)), ROW(122:122))), "")</f>
        <v>0</v>
      </c>
      <c r="S125" s="29" t="str">
        <f aca="false">IFERROR(INDEX('Bank Schedule'!S:S, SMALL(IF('Bank Schedule'!$K$2:$K$825="Vacant", ROW('Bank Schedule'!$K$2:$K$825)), ROW(122:122))), "")</f>
        <v/>
      </c>
      <c r="T125" s="309" t="n">
        <f aca="false" t="array" ref="T125:T125">IFERROR(INDEX('Bank Schedule'!T:T, SMALL(IF('Bank Schedule'!$K$2:$K$825="Vacant", ROW('Bank Schedule'!$K$2:$K$825)), ROW(122:122))), "")</f>
        <v>103900</v>
      </c>
      <c r="U125" s="309" t="n">
        <f aca="false" t="array" ref="U125:U125">IFERROR(INDEX('Bank Schedule'!U:U, SMALL(IF('Bank Schedule'!$K$2:$K$825="Vacant", ROW('Bank Schedule'!$K$2:$K$825)), ROW(122:122))), "")</f>
        <v>103900</v>
      </c>
      <c r="V125" s="309" t="n">
        <f aca="false" t="array" ref="V125:V125">IFERROR(INDEX('Bank Schedule'!V:V, SMALL(IF('Bank Schedule'!$K$2:$K$825="Vacant", ROW('Bank Schedule'!$K$2:$K$825)), ROW(122:122))), "")</f>
        <v>118600</v>
      </c>
      <c r="W125" s="309" t="n">
        <f aca="false" t="array" ref="W125:W125">IFERROR(INDEX('Bank Schedule'!W:W, SMALL(IF('Bank Schedule'!$K$2:$K$825="Vacant", ROW('Bank Schedule'!$K$2:$K$825)), ROW(122:122))), "")</f>
        <v>118600</v>
      </c>
      <c r="X125" s="309" t="n">
        <f aca="false" t="array" ref="X125:X125">IFERROR(INDEX('Bank Schedule'!X:X, SMALL(IF('Bank Schedule'!$K$2:$K$825="Vacant", ROW('Bank Schedule'!$K$2:$K$825)), ROW(122:122))), "")</f>
        <v>72.4938875305624</v>
      </c>
      <c r="Y125" s="310" t="n">
        <f aca="false" t="array" ref="Y125:Y125">IFERROR(INDEX('Bank Schedule'!Y:Y, SMALL(IF('Bank Schedule'!$K$2:$K$825="Vacant", ROW('Bank Schedule'!$K$2:$K$825)), ROW(122:122))), "")</f>
        <v>0.141482194417709</v>
      </c>
      <c r="Z125" s="29" t="str">
        <f aca="false" t="array" ref="Z125:Z125">IFERROR(INDEX('Bank Schedule'!Z:Z, SMALL(IF('Bank Schedule'!$K$2:$K$825="Vacant", ROW('Bank Schedule'!$K$2:$K$825)), ROW(122:122))), "")</f>
        <v>B</v>
      </c>
      <c r="AA125" s="29" t="str">
        <f aca="false" t="array" ref="AA125:AA125">IFERROR(INDEX('Bank Schedule'!AA:AA, SMALL(IF('Bank Schedule'!$K$2:$K$825="Vacant", ROW('Bank Schedule'!$K$2:$K$825)), ROW(122:122))), "")</f>
        <v>*</v>
      </c>
      <c r="AB125" s="29" t="str">
        <f aca="false">IFERROR(INDEX('Bank Schedule'!AB:AB, SMALL(IF('Bank Schedule'!$K$2:$K$825="Vacant", ROW('Bank Schedule'!$K$2:$K$825)), ROW(122:122))), "")</f>
        <v/>
      </c>
      <c r="AC125" s="29" t="str">
        <f aca="false" t="array" ref="AC125:AC125">IFERROR(INDEX('Bank Schedule'!AC:AC, SMALL(IF('Bank Schedule'!$K$2:$K$825="Vacant", ROW('Bank Schedule'!$K$2:$K$825)), ROW(122:122))), "")</f>
        <v>No</v>
      </c>
      <c r="AD125" s="29" t="str">
        <f aca="false" t="array" ref="AD125:AD125">IFERROR(INDEX('Bank Schedule'!AD:AD, SMALL(IF('Bank Schedule'!$K$2:$K$825="Vacant", ROW('Bank Schedule'!$K$2:$K$825)), ROW(122:122))), "")</f>
        <v>To be refurbished.</v>
      </c>
      <c r="AE125" s="281" t="n">
        <f aca="false" t="array" ref="AE125:AE125">IFERROR(INDEX('Bank Schedule'!AE:AE, SMALL(IF('Bank Schedule'!$K$2:$K$825="Vacant", ROW('Bank Schedule'!$K$2:$K$825)), ROW(122:122))), "")</f>
        <v>75</v>
      </c>
      <c r="AF125" s="29" t="n">
        <f aca="false" t="array" ref="AF125:AF125">IFERROR(INDEX('Bank Schedule'!AF:AF, SMALL(IF('Bank Schedule'!$K$2:$K$825="Vacant", ROW('Bank Schedule'!$K$2:$K$825)), ROW(122:122))), "")</f>
        <v>1</v>
      </c>
      <c r="AG125" s="29" t="n">
        <f aca="false" t="array" ref="AG125:AG125">IFERROR(INDEX('Bank Schedule'!AG:AG, SMALL(IF('Bank Schedule'!$K$2:$K$825="Vacant", ROW('Bank Schedule'!$K$2:$K$825)), ROW(122:122))), "")</f>
        <v>1</v>
      </c>
      <c r="AH125" s="29" t="str">
        <f aca="false" t="array" ref="AH125:AH125">IFERROR(INDEX('Bank Schedule'!AH:AH, SMALL(IF('Bank Schedule'!$K$2:$K$825="Vacant", ROW('Bank Schedule'!$K$2:$K$825)), ROW(122:122))), "")</f>
        <v>LEM / LDG</v>
      </c>
      <c r="AI125" s="4"/>
    </row>
    <row r="126" customFormat="false" ht="28.5" hidden="false" customHeight="true" outlineLevel="0" collapsed="false">
      <c r="A126" s="29" t="n">
        <f aca="false">IFERROR(INDEX('Bank Schedule'!A:A, SMALL(IF('Bank Schedule'!$K$2:$K$825="Vacant", ROW('Bank Schedule'!$K$2:$K$825)), ROW(123:123))), "")</f>
        <v>0</v>
      </c>
      <c r="B126" s="29" t="str">
        <f aca="false" t="array" ref="B126:B126">IFERROR(INDEX('Bank Schedule'!B:B, SMALL(IF('Bank Schedule'!$K$2:$K$825="Vacant", ROW('Bank Schedule'!$K$2:$K$825)), ROW(123:123))), "")</f>
        <v>CD</v>
      </c>
      <c r="C126" s="29" t="str">
        <f aca="false" t="array" ref="C126:C126">IFERROR(INDEX('Bank Schedule'!C:C, SMALL(IF('Bank Schedule'!$K$2:$K$825="Vacant", ROW('Bank Schedule'!$K$2:$K$825)), ROW(123:123))), "")</f>
        <v>OOS</v>
      </c>
      <c r="D126" s="29" t="n">
        <f aca="false" t="array" ref="D126:D126">IFERROR(INDEX('Bank Schedule'!D:D, SMALL(IF('Bank Schedule'!$K$2:$K$825="Vacant", ROW('Bank Schedule'!$K$2:$K$825)), ROW(123:123))), "")</f>
        <v>888010</v>
      </c>
      <c r="E126" s="29" t="str">
        <f aca="false" t="array" ref="E126:E126">IFERROR(INDEX('Bank Schedule'!E:E, SMALL(IF('Bank Schedule'!$K$2:$K$825="Vacant", ROW('Bank Schedule'!$K$2:$K$825)), ROW(123:123))), "")</f>
        <v>184-190 Oxford Street &amp; 28/30 Market Place</v>
      </c>
      <c r="F126" s="29" t="str">
        <f aca="false" t="array" ref="F126:F126">IFERROR(INDEX('Bank Schedule'!F:F, SMALL(IF('Bank Schedule'!$K$2:$K$825="Vacant", ROW('Bank Schedule'!$K$2:$K$825)), ROW(123:123))), "")</f>
        <v>3rd Floor, 30 Market Place</v>
      </c>
      <c r="G126" s="29" t="str">
        <f aca="false" t="array" ref="G126:G126">IFERROR(INDEX('Bank Schedule'!G:G, SMALL(IF('Bank Schedule'!$K$2:$K$825="Vacant", ROW('Bank Schedule'!$K$2:$K$825)), ROW(123:123))), "")</f>
        <v>Office</v>
      </c>
      <c r="H126" s="305" t="n">
        <f aca="false" t="array" ref="H126:H126">IFERROR(INDEX('Bank Schedule'!H:H, SMALL(IF('Bank Schedule'!$K$2:$K$825="Vacant", ROW('Bank Schedule'!$K$2:$K$825)), ROW(123:123))), "")</f>
        <v>4462</v>
      </c>
      <c r="I126" s="29" t="n">
        <f aca="false" t="array" ref="I126:I126">IFERROR(INDEX('Bank Schedule'!I:I, SMALL(IF('Bank Schedule'!$K$2:$K$825="Vacant", ROW('Bank Schedule'!$K$2:$K$825)), ROW(123:123))), "")</f>
        <v>4462</v>
      </c>
      <c r="J126" s="305" t="n">
        <f aca="false" t="array" ref="J126:J126">IFERROR(INDEX('Bank Schedule'!J:J, SMALL(IF('Bank Schedule'!$K$2:$K$825="Vacant", ROW('Bank Schedule'!$K$2:$K$825)), ROW(123:123))), "")</f>
        <v>4500</v>
      </c>
      <c r="K126" s="29" t="str">
        <f aca="false" t="array" ref="K126:K126">IFERROR(INDEX('Bank Schedule'!K:K, SMALL(IF('Bank Schedule'!$K$2:$K$825="Vacant", ROW('Bank Schedule'!$K$2:$K$825)), ROW(123:123))), "")</f>
        <v>Vacant</v>
      </c>
      <c r="L126" s="306" t="n">
        <f aca="false">IFERROR(INDEX('Bank Schedule'!L:L, SMALL(IF('Bank Schedule'!$K$2:$K$825="Vacant", ROW('Bank Schedule'!$K$2:$K$825)), ROW(123:123))), "")</f>
        <v>0</v>
      </c>
      <c r="M126" s="306" t="n">
        <f aca="false">IFERROR(INDEX('Bank Schedule'!M:M, SMALL(IF('Bank Schedule'!$K$2:$K$825="Vacant", ROW('Bank Schedule'!$K$2:$K$825)), ROW(123:123))), "")</f>
        <v>0</v>
      </c>
      <c r="N126" s="307" t="n">
        <f aca="false" t="array" ref="N126:N126">IFERROR(INDEX('Bank Schedule'!N:N, SMALL(IF('Bank Schedule'!$K$2:$K$825="Vacant", ROW('Bank Schedule'!$K$2:$K$825)), ROW(123:123))), "")</f>
        <v>45490</v>
      </c>
      <c r="O126" s="306" t="n">
        <f aca="false">IFERROR(INDEX('Bank Schedule'!O:O, SMALL(IF('Bank Schedule'!$K$2:$K$825="Vacant", ROW('Bank Schedule'!$K$2:$K$825)), ROW(123:123))), "")</f>
        <v>0</v>
      </c>
      <c r="P126" s="306" t="n">
        <f aca="false">IFERROR(INDEX('Bank Schedule'!P:P, SMALL(IF('Bank Schedule'!$K$2:$K$825="Vacant", ROW('Bank Schedule'!$K$2:$K$825)), ROW(123:123))), "")</f>
        <v>0</v>
      </c>
      <c r="Q126" s="29" t="n">
        <f aca="false" t="array" ref="Q126:Q126">IFERROR(INDEX('Bank Schedule'!Q:Q, SMALL(IF('Bank Schedule'!$K$2:$K$825="Vacant", ROW('Bank Schedule'!$K$2:$K$825)), ROW(123:123))), "")</f>
        <v>0</v>
      </c>
      <c r="R126" s="29" t="n">
        <f aca="false" t="array" ref="R126:R126">IFERROR(INDEX('Bank Schedule'!R:R, SMALL(IF('Bank Schedule'!$K$2:$K$825="Vacant", ROW('Bank Schedule'!$K$2:$K$825)), ROW(123:123))), "")</f>
        <v>0</v>
      </c>
      <c r="S126" s="308" t="n">
        <f aca="false">IFERROR(INDEX('Bank Schedule'!S:S, SMALL(IF('Bank Schedule'!$K$2:$K$825="Vacant", ROW('Bank Schedule'!$K$2:$K$825)), ROW(123:123))), "")</f>
        <v>0</v>
      </c>
      <c r="T126" s="309" t="n">
        <f aca="false" t="array" ref="T126:T126">IFERROR(INDEX('Bank Schedule'!T:T, SMALL(IF('Bank Schedule'!$K$2:$K$825="Vacant", ROW('Bank Schedule'!$K$2:$K$825)), ROW(123:123))), "")</f>
        <v>357800</v>
      </c>
      <c r="U126" s="309" t="n">
        <f aca="false" t="array" ref="U126:U126">IFERROR(INDEX('Bank Schedule'!U:U, SMALL(IF('Bank Schedule'!$K$2:$K$825="Vacant", ROW('Bank Schedule'!$K$2:$K$825)), ROW(123:123))), "")</f>
        <v>357800</v>
      </c>
      <c r="V126" s="309" t="n">
        <f aca="false" t="array" ref="V126:V126">IFERROR(INDEX('Bank Schedule'!V:V, SMALL(IF('Bank Schedule'!$K$2:$K$825="Vacant", ROW('Bank Schedule'!$K$2:$K$825)), ROW(123:123))), "")</f>
        <v>379000</v>
      </c>
      <c r="W126" s="309" t="n">
        <f aca="false" t="array" ref="W126:W126">IFERROR(INDEX('Bank Schedule'!W:W, SMALL(IF('Bank Schedule'!$K$2:$K$825="Vacant", ROW('Bank Schedule'!$K$2:$K$825)), ROW(123:123))), "")</f>
        <v>379000</v>
      </c>
      <c r="X126" s="309" t="n">
        <f aca="false" t="array" ref="X126:X126">IFERROR(INDEX('Bank Schedule'!X:X, SMALL(IF('Bank Schedule'!$K$2:$K$825="Vacant", ROW('Bank Schedule'!$K$2:$K$825)), ROW(123:123))), "")</f>
        <v>84.9394890183774</v>
      </c>
      <c r="Y126" s="310" t="n">
        <f aca="false" t="array" ref="Y126:Y126">IFERROR(INDEX('Bank Schedule'!Y:Y, SMALL(IF('Bank Schedule'!$K$2:$K$825="Vacant", ROW('Bank Schedule'!$K$2:$K$825)), ROW(123:123))), "")</f>
        <v>0.0592509782001118</v>
      </c>
      <c r="Z126" s="29" t="str">
        <f aca="false" t="array" ref="Z126:Z126">IFERROR(INDEX('Bank Schedule'!Z:Z, SMALL(IF('Bank Schedule'!$K$2:$K$825="Vacant", ROW('Bank Schedule'!$K$2:$K$825)), ROW(123:123))), "")</f>
        <v>A</v>
      </c>
      <c r="AA126" s="308" t="n">
        <f aca="false">IFERROR(INDEX('Bank Schedule'!AA:AA, SMALL(IF('Bank Schedule'!$K$2:$K$825="Vacant", ROW('Bank Schedule'!$K$2:$K$825)), ROW(123:123))), "")</f>
        <v>0</v>
      </c>
      <c r="AB126" s="311" t="n">
        <f aca="false">IFERROR(INDEX('Bank Schedule'!AB:AB, SMALL(IF('Bank Schedule'!$K$2:$K$825="Vacant", ROW('Bank Schedule'!$K$2:$K$825)), ROW(123:123))), "")</f>
        <v>0</v>
      </c>
      <c r="AC126" s="29" t="n">
        <f aca="false">IFERROR(INDEX('Bank Schedule'!AC:AC, SMALL(IF('Bank Schedule'!$K$2:$K$825="Vacant", ROW('Bank Schedule'!$K$2:$K$825)), ROW(123:123))), "")</f>
        <v>0</v>
      </c>
      <c r="AD126" s="29" t="str">
        <f aca="false" t="array" ref="AD126:AD126">IFERROR(INDEX('Bank Schedule'!AD:AD, SMALL(IF('Bank Schedule'!$K$2:$K$825="Vacant", ROW('Bank Schedule'!$K$2:$K$825)), ROW(123:123))), "")</f>
        <v>LEM marketing.</v>
      </c>
      <c r="AE126" s="281" t="n">
        <f aca="false" t="array" ref="AE126:AE126">IFERROR(INDEX('Bank Schedule'!AE:AE, SMALL(IF('Bank Schedule'!$K$2:$K$825="Vacant", ROW('Bank Schedule'!$K$2:$K$825)), ROW(123:123))), "")</f>
        <v>85</v>
      </c>
      <c r="AF126" s="29" t="n">
        <f aca="false" t="array" ref="AF126:AF126">IFERROR(INDEX('Bank Schedule'!AF:AF, SMALL(IF('Bank Schedule'!$K$2:$K$825="Vacant", ROW('Bank Schedule'!$K$2:$K$825)), ROW(123:123))), "")</f>
        <v>2</v>
      </c>
      <c r="AG126" s="29" t="n">
        <f aca="false" t="array" ref="AG126:AG126">IFERROR(INDEX('Bank Schedule'!AG:AG, SMALL(IF('Bank Schedule'!$K$2:$K$825="Vacant", ROW('Bank Schedule'!$K$2:$K$825)), ROW(123:123))), "")</f>
        <v>7</v>
      </c>
      <c r="AH126" s="29" t="str">
        <f aca="false" t="array" ref="AH126:AH126">IFERROR(INDEX('Bank Schedule'!AH:AH, SMALL(IF('Bank Schedule'!$K$2:$K$825="Vacant", ROW('Bank Schedule'!$K$2:$K$825)), ROW(123:123))), "")</f>
        <v>LEM / EC&amp;P</v>
      </c>
      <c r="AI126" s="4"/>
    </row>
    <row r="127" customFormat="false" ht="28.5" hidden="false" customHeight="true" outlineLevel="0" collapsed="false">
      <c r="A127" s="29" t="str">
        <f aca="false" t="array" ref="A127:A127">IFERROR(INDEX('Bank Schedule'!A:A, SMALL(IF('Bank Schedule'!$K$2:$K$825="Vacant", ROW('Bank Schedule'!$K$2:$K$825)), ROW(124:124))), "")</f>
        <v/>
      </c>
      <c r="B127" s="29" t="str">
        <f aca="false" t="array" ref="B127:B127">IFERROR(INDEX('Bank Schedule'!B:B, SMALL(IF('Bank Schedule'!$K$2:$K$825="Vacant", ROW('Bank Schedule'!$K$2:$K$825)), ROW(124:124))), "")</f>
        <v/>
      </c>
      <c r="C127" s="29" t="str">
        <f aca="false" t="array" ref="C127:C127">IFERROR(INDEX('Bank Schedule'!C:C, SMALL(IF('Bank Schedule'!$K$2:$K$825="Vacant", ROW('Bank Schedule'!$K$2:$K$825)), ROW(124:124))), "")</f>
        <v/>
      </c>
      <c r="D127" s="29" t="str">
        <f aca="false" t="array" ref="D127:D127">IFERROR(INDEX('Bank Schedule'!D:D, SMALL(IF('Bank Schedule'!$K$2:$K$825="Vacant", ROW('Bank Schedule'!$K$2:$K$825)), ROW(124:124))), "")</f>
        <v/>
      </c>
      <c r="E127" s="29" t="str">
        <f aca="false" t="array" ref="E127:E127">IFERROR(INDEX('Bank Schedule'!E:E, SMALL(IF('Bank Schedule'!$K$2:$K$825="Vacant", ROW('Bank Schedule'!$K$2:$K$825)), ROW(124:124))), "")</f>
        <v/>
      </c>
      <c r="F127" s="29" t="str">
        <f aca="false" t="array" ref="F127:F127">IFERROR(INDEX('Bank Schedule'!F:F, SMALL(IF('Bank Schedule'!$K$2:$K$825="Vacant", ROW('Bank Schedule'!$K$2:$K$825)), ROW(124:124))), "")</f>
        <v/>
      </c>
      <c r="G127" s="29" t="str">
        <f aca="false" t="array" ref="G127:G127">IFERROR(INDEX('Bank Schedule'!G:G, SMALL(IF('Bank Schedule'!$K$2:$K$825="Vacant", ROW('Bank Schedule'!$K$2:$K$825)), ROW(124:124))), "")</f>
        <v/>
      </c>
      <c r="H127" s="305" t="str">
        <f aca="false" t="array" ref="H127:H127">IFERROR(INDEX('Bank Schedule'!H:H, SMALL(IF('Bank Schedule'!$K$2:$K$825="Vacant", ROW('Bank Schedule'!$K$2:$K$825)), ROW(124:124))), "")</f>
        <v/>
      </c>
      <c r="I127" s="29" t="str">
        <f aca="false" t="array" ref="I127:I127">IFERROR(INDEX('Bank Schedule'!I:I, SMALL(IF('Bank Schedule'!$K$2:$K$825="Vacant", ROW('Bank Schedule'!$K$2:$K$825)), ROW(124:124))), "")</f>
        <v/>
      </c>
      <c r="J127" s="305" t="str">
        <f aca="false" t="array" ref="J127:J127">IFERROR(INDEX('Bank Schedule'!J:J, SMALL(IF('Bank Schedule'!$K$2:$K$825="Vacant", ROW('Bank Schedule'!$K$2:$K$825)), ROW(124:124))), "")</f>
        <v/>
      </c>
      <c r="K127" s="29" t="str">
        <f aca="false" t="array" ref="K127:K127">IFERROR(INDEX('Bank Schedule'!K:K, SMALL(IF('Bank Schedule'!$K$2:$K$825="Vacant", ROW('Bank Schedule'!$K$2:$K$825)), ROW(124:124))), "")</f>
        <v/>
      </c>
      <c r="L127" s="29" t="str">
        <f aca="false" t="array" ref="L127:L127">IFERROR(INDEX('Bank Schedule'!L:L, SMALL(IF('Bank Schedule'!$K$2:$K$825="Vacant", ROW('Bank Schedule'!$K$2:$K$825)), ROW(124:124))), "")</f>
        <v/>
      </c>
      <c r="M127" s="29" t="str">
        <f aca="false" t="array" ref="M127:M127">IFERROR(INDEX('Bank Schedule'!M:M, SMALL(IF('Bank Schedule'!$K$2:$K$825="Vacant", ROW('Bank Schedule'!$K$2:$K$825)), ROW(124:124))), "")</f>
        <v/>
      </c>
      <c r="N127" s="307" t="str">
        <f aca="false" t="array" ref="N127:N127">IFERROR(INDEX('Bank Schedule'!N:N, SMALL(IF('Bank Schedule'!$K$2:$K$825="Vacant", ROW('Bank Schedule'!$K$2:$K$825)), ROW(124:124))), "")</f>
        <v/>
      </c>
      <c r="O127" s="29" t="str">
        <f aca="false" t="array" ref="O127:O127">IFERROR(INDEX('Bank Schedule'!O:O, SMALL(IF('Bank Schedule'!$K$2:$K$825="Vacant", ROW('Bank Schedule'!$K$2:$K$825)), ROW(124:124))), "")</f>
        <v/>
      </c>
      <c r="P127" s="29" t="str">
        <f aca="false" t="array" ref="P127:P127">IFERROR(INDEX('Bank Schedule'!P:P, SMALL(IF('Bank Schedule'!$K$2:$K$825="Vacant", ROW('Bank Schedule'!$K$2:$K$825)), ROW(124:124))), "")</f>
        <v/>
      </c>
      <c r="Q127" s="29" t="str">
        <f aca="false" t="array" ref="Q127:Q127">IFERROR(INDEX('Bank Schedule'!Q:Q, SMALL(IF('Bank Schedule'!$K$2:$K$825="Vacant", ROW('Bank Schedule'!$K$2:$K$825)), ROW(124:124))), "")</f>
        <v/>
      </c>
      <c r="R127" s="29" t="str">
        <f aca="false" t="array" ref="R127:R127">IFERROR(INDEX('Bank Schedule'!R:R, SMALL(IF('Bank Schedule'!$K$2:$K$825="Vacant", ROW('Bank Schedule'!$K$2:$K$825)), ROW(124:124))), "")</f>
        <v/>
      </c>
      <c r="S127" s="29" t="str">
        <f aca="false" t="array" ref="S127:S127">IFERROR(INDEX('Bank Schedule'!S:S, SMALL(IF('Bank Schedule'!$K$2:$K$825="Vacant", ROW('Bank Schedule'!$K$2:$K$825)), ROW(124:124))), "")</f>
        <v/>
      </c>
      <c r="T127" s="309" t="str">
        <f aca="false" t="array" ref="T127:T127">IFERROR(INDEX('Bank Schedule'!T:T, SMALL(IF('Bank Schedule'!$K$2:$K$825="Vacant", ROW('Bank Schedule'!$K$2:$K$825)), ROW(124:124))), "")</f>
        <v/>
      </c>
      <c r="U127" s="309" t="str">
        <f aca="false" t="array" ref="U127:U127">IFERROR(INDEX('Bank Schedule'!U:U, SMALL(IF('Bank Schedule'!$K$2:$K$825="Vacant", ROW('Bank Schedule'!$K$2:$K$825)), ROW(124:124))), "")</f>
        <v/>
      </c>
      <c r="V127" s="309" t="str">
        <f aca="false" t="array" ref="V127:V127">IFERROR(INDEX('Bank Schedule'!V:V, SMALL(IF('Bank Schedule'!$K$2:$K$825="Vacant", ROW('Bank Schedule'!$K$2:$K$825)), ROW(124:124))), "")</f>
        <v/>
      </c>
      <c r="W127" s="309" t="str">
        <f aca="false" t="array" ref="W127:W127">IFERROR(INDEX('Bank Schedule'!W:W, SMALL(IF('Bank Schedule'!$K$2:$K$825="Vacant", ROW('Bank Schedule'!$K$2:$K$825)), ROW(124:124))), "")</f>
        <v/>
      </c>
      <c r="X127" s="309" t="str">
        <f aca="false" t="array" ref="X127:X127">IFERROR(INDEX('Bank Schedule'!X:X, SMALL(IF('Bank Schedule'!$K$2:$K$825="Vacant", ROW('Bank Schedule'!$K$2:$K$825)), ROW(124:124))), "")</f>
        <v/>
      </c>
      <c r="Y127" s="310" t="str">
        <f aca="false" t="array" ref="Y127:Y127">IFERROR(INDEX('Bank Schedule'!Y:Y, SMALL(IF('Bank Schedule'!$K$2:$K$825="Vacant", ROW('Bank Schedule'!$K$2:$K$825)), ROW(124:124))), "")</f>
        <v/>
      </c>
      <c r="Z127" s="29" t="str">
        <f aca="false" t="array" ref="Z127:Z127">IFERROR(INDEX('Bank Schedule'!Z:Z, SMALL(IF('Bank Schedule'!$K$2:$K$825="Vacant", ROW('Bank Schedule'!$K$2:$K$825)), ROW(124:124))), "")</f>
        <v/>
      </c>
      <c r="AA127" s="29" t="str">
        <f aca="false" t="array" ref="AA127:AA127">IFERROR(INDEX('Bank Schedule'!AA:AA, SMALL(IF('Bank Schedule'!$K$2:$K$825="Vacant", ROW('Bank Schedule'!$K$2:$K$825)), ROW(124:124))), "")</f>
        <v/>
      </c>
      <c r="AB127" s="29" t="str">
        <f aca="false" t="array" ref="AB127:AB127">IFERROR(INDEX('Bank Schedule'!AB:AB, SMALL(IF('Bank Schedule'!$K$2:$K$825="Vacant", ROW('Bank Schedule'!$K$2:$K$825)), ROW(124:124))), "")</f>
        <v/>
      </c>
      <c r="AC127" s="29" t="str">
        <f aca="false" t="array" ref="AC127:AC127">IFERROR(INDEX('Bank Schedule'!AC:AC, SMALL(IF('Bank Schedule'!$K$2:$K$825="Vacant", ROW('Bank Schedule'!$K$2:$K$825)), ROW(124:124))), "")</f>
        <v/>
      </c>
      <c r="AD127" s="29" t="str">
        <f aca="false" t="array" ref="AD127:AD127">IFERROR(INDEX('Bank Schedule'!AD:AD, SMALL(IF('Bank Schedule'!$K$2:$K$825="Vacant", ROW('Bank Schedule'!$K$2:$K$825)), ROW(124:124))), "")</f>
        <v/>
      </c>
      <c r="AE127" s="281" t="str">
        <f aca="false" t="array" ref="AE127:AE127">IFERROR(INDEX('Bank Schedule'!AE:AE, SMALL(IF('Bank Schedule'!$K$2:$K$825="Vacant", ROW('Bank Schedule'!$K$2:$K$825)), ROW(124:124))), "")</f>
        <v/>
      </c>
      <c r="AF127" s="29" t="str">
        <f aca="false" t="array" ref="AF127:AF127">IFERROR(INDEX('Bank Schedule'!AF:AF, SMALL(IF('Bank Schedule'!$K$2:$K$825="Vacant", ROW('Bank Schedule'!$K$2:$K$825)), ROW(124:124))), "")</f>
        <v/>
      </c>
      <c r="AG127" s="29" t="str">
        <f aca="false" t="array" ref="AG127:AG127">IFERROR(INDEX('Bank Schedule'!AG:AG, SMALL(IF('Bank Schedule'!$K$2:$K$825="Vacant", ROW('Bank Schedule'!$K$2:$K$825)), ROW(124:124))), "")</f>
        <v/>
      </c>
      <c r="AH127" s="29" t="str">
        <f aca="false" t="array" ref="AH127:AH127">IFERROR(INDEX('Bank Schedule'!AH:AH, SMALL(IF('Bank Schedule'!$K$2:$K$825="Vacant", ROW('Bank Schedule'!$K$2:$K$825)), ROW(124:124))), "")</f>
        <v/>
      </c>
      <c r="AI127" s="4"/>
    </row>
    <row r="128" customFormat="false" ht="28.5" hidden="false" customHeight="true" outlineLevel="0" collapsed="false">
      <c r="A128" s="29" t="str">
        <f aca="false" t="array" ref="A128:A128">IFERROR(INDEX('Bank Schedule'!A:A, SMALL(IF('Bank Schedule'!$K$2:$K$825="Vacant", ROW('Bank Schedule'!$K$2:$K$825)), ROW(125:125))), "")</f>
        <v/>
      </c>
      <c r="B128" s="29" t="str">
        <f aca="false" t="array" ref="B128:B128">IFERROR(INDEX('Bank Schedule'!B:B, SMALL(IF('Bank Schedule'!$K$2:$K$825="Vacant", ROW('Bank Schedule'!$K$2:$K$825)), ROW(125:125))), "")</f>
        <v/>
      </c>
      <c r="C128" s="29" t="str">
        <f aca="false" t="array" ref="C128:C128">IFERROR(INDEX('Bank Schedule'!C:C, SMALL(IF('Bank Schedule'!$K$2:$K$825="Vacant", ROW('Bank Schedule'!$K$2:$K$825)), ROW(125:125))), "")</f>
        <v/>
      </c>
      <c r="D128" s="29" t="str">
        <f aca="false" t="array" ref="D128:D128">IFERROR(INDEX('Bank Schedule'!D:D, SMALL(IF('Bank Schedule'!$K$2:$K$825="Vacant", ROW('Bank Schedule'!$K$2:$K$825)), ROW(125:125))), "")</f>
        <v/>
      </c>
      <c r="E128" s="29" t="str">
        <f aca="false" t="array" ref="E128:E128">IFERROR(INDEX('Bank Schedule'!E:E, SMALL(IF('Bank Schedule'!$K$2:$K$825="Vacant", ROW('Bank Schedule'!$K$2:$K$825)), ROW(125:125))), "")</f>
        <v/>
      </c>
      <c r="F128" s="29" t="str">
        <f aca="false" t="array" ref="F128:F128">IFERROR(INDEX('Bank Schedule'!F:F, SMALL(IF('Bank Schedule'!$K$2:$K$825="Vacant", ROW('Bank Schedule'!$K$2:$K$825)), ROW(125:125))), "")</f>
        <v/>
      </c>
      <c r="G128" s="29" t="str">
        <f aca="false" t="array" ref="G128:G128">IFERROR(INDEX('Bank Schedule'!G:G, SMALL(IF('Bank Schedule'!$K$2:$K$825="Vacant", ROW('Bank Schedule'!$K$2:$K$825)), ROW(125:125))), "")</f>
        <v/>
      </c>
      <c r="H128" s="305" t="str">
        <f aca="false" t="array" ref="H128:H128">IFERROR(INDEX('Bank Schedule'!H:H, SMALL(IF('Bank Schedule'!$K$2:$K$825="Vacant", ROW('Bank Schedule'!$K$2:$K$825)), ROW(125:125))), "")</f>
        <v/>
      </c>
      <c r="I128" s="29" t="str">
        <f aca="false" t="array" ref="I128:I128">IFERROR(INDEX('Bank Schedule'!I:I, SMALL(IF('Bank Schedule'!$K$2:$K$825="Vacant", ROW('Bank Schedule'!$K$2:$K$825)), ROW(125:125))), "")</f>
        <v/>
      </c>
      <c r="J128" s="305" t="str">
        <f aca="false" t="array" ref="J128:J128">IFERROR(INDEX('Bank Schedule'!J:J, SMALL(IF('Bank Schedule'!$K$2:$K$825="Vacant", ROW('Bank Schedule'!$K$2:$K$825)), ROW(125:125))), "")</f>
        <v/>
      </c>
      <c r="K128" s="29" t="str">
        <f aca="false" t="array" ref="K128:K128">IFERROR(INDEX('Bank Schedule'!K:K, SMALL(IF('Bank Schedule'!$K$2:$K$825="Vacant", ROW('Bank Schedule'!$K$2:$K$825)), ROW(125:125))), "")</f>
        <v/>
      </c>
      <c r="L128" s="29" t="str">
        <f aca="false" t="array" ref="L128:L128">IFERROR(INDEX('Bank Schedule'!L:L, SMALL(IF('Bank Schedule'!$K$2:$K$825="Vacant", ROW('Bank Schedule'!$K$2:$K$825)), ROW(125:125))), "")</f>
        <v/>
      </c>
      <c r="M128" s="29" t="str">
        <f aca="false" t="array" ref="M128:M128">IFERROR(INDEX('Bank Schedule'!M:M, SMALL(IF('Bank Schedule'!$K$2:$K$825="Vacant", ROW('Bank Schedule'!$K$2:$K$825)), ROW(125:125))), "")</f>
        <v/>
      </c>
      <c r="N128" s="307" t="str">
        <f aca="false" t="array" ref="N128:N128">IFERROR(INDEX('Bank Schedule'!N:N, SMALL(IF('Bank Schedule'!$K$2:$K$825="Vacant", ROW('Bank Schedule'!$K$2:$K$825)), ROW(125:125))), "")</f>
        <v/>
      </c>
      <c r="O128" s="29" t="str">
        <f aca="false" t="array" ref="O128:O128">IFERROR(INDEX('Bank Schedule'!O:O, SMALL(IF('Bank Schedule'!$K$2:$K$825="Vacant", ROW('Bank Schedule'!$K$2:$K$825)), ROW(125:125))), "")</f>
        <v/>
      </c>
      <c r="P128" s="29" t="str">
        <f aca="false" t="array" ref="P128:P128">IFERROR(INDEX('Bank Schedule'!P:P, SMALL(IF('Bank Schedule'!$K$2:$K$825="Vacant", ROW('Bank Schedule'!$K$2:$K$825)), ROW(125:125))), "")</f>
        <v/>
      </c>
      <c r="Q128" s="29" t="str">
        <f aca="false" t="array" ref="Q128:Q128">IFERROR(INDEX('Bank Schedule'!Q:Q, SMALL(IF('Bank Schedule'!$K$2:$K$825="Vacant", ROW('Bank Schedule'!$K$2:$K$825)), ROW(125:125))), "")</f>
        <v/>
      </c>
      <c r="R128" s="29" t="str">
        <f aca="false" t="array" ref="R128:R128">IFERROR(INDEX('Bank Schedule'!R:R, SMALL(IF('Bank Schedule'!$K$2:$K$825="Vacant", ROW('Bank Schedule'!$K$2:$K$825)), ROW(125:125))), "")</f>
        <v/>
      </c>
      <c r="S128" s="29" t="str">
        <f aca="false" t="array" ref="S128:S128">IFERROR(INDEX('Bank Schedule'!S:S, SMALL(IF('Bank Schedule'!$K$2:$K$825="Vacant", ROW('Bank Schedule'!$K$2:$K$825)), ROW(125:125))), "")</f>
        <v/>
      </c>
      <c r="T128" s="309" t="str">
        <f aca="false" t="array" ref="T128:T128">IFERROR(INDEX('Bank Schedule'!T:T, SMALL(IF('Bank Schedule'!$K$2:$K$825="Vacant", ROW('Bank Schedule'!$K$2:$K$825)), ROW(125:125))), "")</f>
        <v/>
      </c>
      <c r="U128" s="309" t="str">
        <f aca="false" t="array" ref="U128:U128">IFERROR(INDEX('Bank Schedule'!U:U, SMALL(IF('Bank Schedule'!$K$2:$K$825="Vacant", ROW('Bank Schedule'!$K$2:$K$825)), ROW(125:125))), "")</f>
        <v/>
      </c>
      <c r="V128" s="309" t="str">
        <f aca="false" t="array" ref="V128:V128">IFERROR(INDEX('Bank Schedule'!V:V, SMALL(IF('Bank Schedule'!$K$2:$K$825="Vacant", ROW('Bank Schedule'!$K$2:$K$825)), ROW(125:125))), "")</f>
        <v/>
      </c>
      <c r="W128" s="309" t="str">
        <f aca="false" t="array" ref="W128:W128">IFERROR(INDEX('Bank Schedule'!W:W, SMALL(IF('Bank Schedule'!$K$2:$K$825="Vacant", ROW('Bank Schedule'!$K$2:$K$825)), ROW(125:125))), "")</f>
        <v/>
      </c>
      <c r="X128" s="309" t="str">
        <f aca="false" t="array" ref="X128:X128">IFERROR(INDEX('Bank Schedule'!X:X, SMALL(IF('Bank Schedule'!$K$2:$K$825="Vacant", ROW('Bank Schedule'!$K$2:$K$825)), ROW(125:125))), "")</f>
        <v/>
      </c>
      <c r="Y128" s="310" t="str">
        <f aca="false" t="array" ref="Y128:Y128">IFERROR(INDEX('Bank Schedule'!Y:Y, SMALL(IF('Bank Schedule'!$K$2:$K$825="Vacant", ROW('Bank Schedule'!$K$2:$K$825)), ROW(125:125))), "")</f>
        <v/>
      </c>
      <c r="Z128" s="29" t="str">
        <f aca="false" t="array" ref="Z128:Z128">IFERROR(INDEX('Bank Schedule'!Z:Z, SMALL(IF('Bank Schedule'!$K$2:$K$825="Vacant", ROW('Bank Schedule'!$K$2:$K$825)), ROW(125:125))), "")</f>
        <v/>
      </c>
      <c r="AA128" s="29" t="str">
        <f aca="false" t="array" ref="AA128:AA128">IFERROR(INDEX('Bank Schedule'!AA:AA, SMALL(IF('Bank Schedule'!$K$2:$K$825="Vacant", ROW('Bank Schedule'!$K$2:$K$825)), ROW(125:125))), "")</f>
        <v/>
      </c>
      <c r="AB128" s="29" t="str">
        <f aca="false" t="array" ref="AB128:AB128">IFERROR(INDEX('Bank Schedule'!AB:AB, SMALL(IF('Bank Schedule'!$K$2:$K$825="Vacant", ROW('Bank Schedule'!$K$2:$K$825)), ROW(125:125))), "")</f>
        <v/>
      </c>
      <c r="AC128" s="29" t="str">
        <f aca="false" t="array" ref="AC128:AC128">IFERROR(INDEX('Bank Schedule'!AC:AC, SMALL(IF('Bank Schedule'!$K$2:$K$825="Vacant", ROW('Bank Schedule'!$K$2:$K$825)), ROW(125:125))), "")</f>
        <v/>
      </c>
      <c r="AD128" s="29" t="str">
        <f aca="false" t="array" ref="AD128:AD128">IFERROR(INDEX('Bank Schedule'!AD:AD, SMALL(IF('Bank Schedule'!$K$2:$K$825="Vacant", ROW('Bank Schedule'!$K$2:$K$825)), ROW(125:125))), "")</f>
        <v/>
      </c>
      <c r="AE128" s="281" t="str">
        <f aca="false" t="array" ref="AE128:AE128">IFERROR(INDEX('Bank Schedule'!AE:AE, SMALL(IF('Bank Schedule'!$K$2:$K$825="Vacant", ROW('Bank Schedule'!$K$2:$K$825)), ROW(125:125))), "")</f>
        <v/>
      </c>
      <c r="AF128" s="29" t="str">
        <f aca="false" t="array" ref="AF128:AF128">IFERROR(INDEX('Bank Schedule'!AF:AF, SMALL(IF('Bank Schedule'!$K$2:$K$825="Vacant", ROW('Bank Schedule'!$K$2:$K$825)), ROW(125:125))), "")</f>
        <v/>
      </c>
      <c r="AG128" s="29" t="str">
        <f aca="false" t="array" ref="AG128:AG128">IFERROR(INDEX('Bank Schedule'!AG:AG, SMALL(IF('Bank Schedule'!$K$2:$K$825="Vacant", ROW('Bank Schedule'!$K$2:$K$825)), ROW(125:125))), "")</f>
        <v/>
      </c>
      <c r="AH128" s="29" t="str">
        <f aca="false" t="array" ref="AH128:AH128">IFERROR(INDEX('Bank Schedule'!AH:AH, SMALL(IF('Bank Schedule'!$K$2:$K$825="Vacant", ROW('Bank Schedule'!$K$2:$K$825)), ROW(125:125))), "")</f>
        <v/>
      </c>
      <c r="AI128" s="4"/>
    </row>
    <row r="129" customFormat="false" ht="28.5" hidden="false" customHeight="true" outlineLevel="0" collapsed="false">
      <c r="A129" s="29" t="str">
        <f aca="false" t="array" ref="A129:A129">IFERROR(INDEX('Bank Schedule'!A:A, SMALL(IF('Bank Schedule'!$K$2:$K$825="Vacant", ROW('Bank Schedule'!$K$2:$K$825)), ROW(126:126))), "")</f>
        <v/>
      </c>
      <c r="B129" s="29" t="str">
        <f aca="false" t="array" ref="B129:B129">IFERROR(INDEX('Bank Schedule'!B:B, SMALL(IF('Bank Schedule'!$K$2:$K$825="Vacant", ROW('Bank Schedule'!$K$2:$K$825)), ROW(126:126))), "")</f>
        <v/>
      </c>
      <c r="C129" s="29" t="str">
        <f aca="false" t="array" ref="C129:C129">IFERROR(INDEX('Bank Schedule'!C:C, SMALL(IF('Bank Schedule'!$K$2:$K$825="Vacant", ROW('Bank Schedule'!$K$2:$K$825)), ROW(126:126))), "")</f>
        <v/>
      </c>
      <c r="D129" s="29" t="str">
        <f aca="false" t="array" ref="D129:D129">IFERROR(INDEX('Bank Schedule'!D:D, SMALL(IF('Bank Schedule'!$K$2:$K$825="Vacant", ROW('Bank Schedule'!$K$2:$K$825)), ROW(126:126))), "")</f>
        <v/>
      </c>
      <c r="E129" s="29" t="str">
        <f aca="false" t="array" ref="E129:E129">IFERROR(INDEX('Bank Schedule'!E:E, SMALL(IF('Bank Schedule'!$K$2:$K$825="Vacant", ROW('Bank Schedule'!$K$2:$K$825)), ROW(126:126))), "")</f>
        <v/>
      </c>
      <c r="F129" s="29" t="str">
        <f aca="false" t="array" ref="F129:F129">IFERROR(INDEX('Bank Schedule'!F:F, SMALL(IF('Bank Schedule'!$K$2:$K$825="Vacant", ROW('Bank Schedule'!$K$2:$K$825)), ROW(126:126))), "")</f>
        <v/>
      </c>
      <c r="G129" s="29" t="str">
        <f aca="false" t="array" ref="G129:G129">IFERROR(INDEX('Bank Schedule'!G:G, SMALL(IF('Bank Schedule'!$K$2:$K$825="Vacant", ROW('Bank Schedule'!$K$2:$K$825)), ROW(126:126))), "")</f>
        <v/>
      </c>
      <c r="H129" s="305" t="str">
        <f aca="false" t="array" ref="H129:H129">IFERROR(INDEX('Bank Schedule'!H:H, SMALL(IF('Bank Schedule'!$K$2:$K$825="Vacant", ROW('Bank Schedule'!$K$2:$K$825)), ROW(126:126))), "")</f>
        <v/>
      </c>
      <c r="I129" s="29" t="str">
        <f aca="false" t="array" ref="I129:I129">IFERROR(INDEX('Bank Schedule'!I:I, SMALL(IF('Bank Schedule'!$K$2:$K$825="Vacant", ROW('Bank Schedule'!$K$2:$K$825)), ROW(126:126))), "")</f>
        <v/>
      </c>
      <c r="J129" s="305" t="str">
        <f aca="false" t="array" ref="J129:J129">IFERROR(INDEX('Bank Schedule'!J:J, SMALL(IF('Bank Schedule'!$K$2:$K$825="Vacant", ROW('Bank Schedule'!$K$2:$K$825)), ROW(126:126))), "")</f>
        <v/>
      </c>
      <c r="K129" s="29" t="str">
        <f aca="false" t="array" ref="K129:K129">IFERROR(INDEX('Bank Schedule'!K:K, SMALL(IF('Bank Schedule'!$K$2:$K$825="Vacant", ROW('Bank Schedule'!$K$2:$K$825)), ROW(126:126))), "")</f>
        <v/>
      </c>
      <c r="L129" s="29" t="str">
        <f aca="false" t="array" ref="L129:L129">IFERROR(INDEX('Bank Schedule'!L:L, SMALL(IF('Bank Schedule'!$K$2:$K$825="Vacant", ROW('Bank Schedule'!$K$2:$K$825)), ROW(126:126))), "")</f>
        <v/>
      </c>
      <c r="M129" s="29" t="str">
        <f aca="false" t="array" ref="M129:M129">IFERROR(INDEX('Bank Schedule'!M:M, SMALL(IF('Bank Schedule'!$K$2:$K$825="Vacant", ROW('Bank Schedule'!$K$2:$K$825)), ROW(126:126))), "")</f>
        <v/>
      </c>
      <c r="N129" s="307" t="str">
        <f aca="false" t="array" ref="N129:N129">IFERROR(INDEX('Bank Schedule'!N:N, SMALL(IF('Bank Schedule'!$K$2:$K$825="Vacant", ROW('Bank Schedule'!$K$2:$K$825)), ROW(126:126))), "")</f>
        <v/>
      </c>
      <c r="O129" s="29" t="str">
        <f aca="false" t="array" ref="O129:O129">IFERROR(INDEX('Bank Schedule'!O:O, SMALL(IF('Bank Schedule'!$K$2:$K$825="Vacant", ROW('Bank Schedule'!$K$2:$K$825)), ROW(126:126))), "")</f>
        <v/>
      </c>
      <c r="P129" s="29" t="str">
        <f aca="false" t="array" ref="P129:P129">IFERROR(INDEX('Bank Schedule'!P:P, SMALL(IF('Bank Schedule'!$K$2:$K$825="Vacant", ROW('Bank Schedule'!$K$2:$K$825)), ROW(126:126))), "")</f>
        <v/>
      </c>
      <c r="Q129" s="29" t="str">
        <f aca="false" t="array" ref="Q129:Q129">IFERROR(INDEX('Bank Schedule'!Q:Q, SMALL(IF('Bank Schedule'!$K$2:$K$825="Vacant", ROW('Bank Schedule'!$K$2:$K$825)), ROW(126:126))), "")</f>
        <v/>
      </c>
      <c r="R129" s="29" t="str">
        <f aca="false" t="array" ref="R129:R129">IFERROR(INDEX('Bank Schedule'!R:R, SMALL(IF('Bank Schedule'!$K$2:$K$825="Vacant", ROW('Bank Schedule'!$K$2:$K$825)), ROW(126:126))), "")</f>
        <v/>
      </c>
      <c r="S129" s="29" t="str">
        <f aca="false" t="array" ref="S129:S129">IFERROR(INDEX('Bank Schedule'!S:S, SMALL(IF('Bank Schedule'!$K$2:$K$825="Vacant", ROW('Bank Schedule'!$K$2:$K$825)), ROW(126:126))), "")</f>
        <v/>
      </c>
      <c r="T129" s="309" t="str">
        <f aca="false" t="array" ref="T129:T129">IFERROR(INDEX('Bank Schedule'!T:T, SMALL(IF('Bank Schedule'!$K$2:$K$825="Vacant", ROW('Bank Schedule'!$K$2:$K$825)), ROW(126:126))), "")</f>
        <v/>
      </c>
      <c r="U129" s="309" t="str">
        <f aca="false" t="array" ref="U129:U129">IFERROR(INDEX('Bank Schedule'!U:U, SMALL(IF('Bank Schedule'!$K$2:$K$825="Vacant", ROW('Bank Schedule'!$K$2:$K$825)), ROW(126:126))), "")</f>
        <v/>
      </c>
      <c r="V129" s="309" t="str">
        <f aca="false" t="array" ref="V129:V129">IFERROR(INDEX('Bank Schedule'!V:V, SMALL(IF('Bank Schedule'!$K$2:$K$825="Vacant", ROW('Bank Schedule'!$K$2:$K$825)), ROW(126:126))), "")</f>
        <v/>
      </c>
      <c r="W129" s="309" t="str">
        <f aca="false" t="array" ref="W129:W129">IFERROR(INDEX('Bank Schedule'!W:W, SMALL(IF('Bank Schedule'!$K$2:$K$825="Vacant", ROW('Bank Schedule'!$K$2:$K$825)), ROW(126:126))), "")</f>
        <v/>
      </c>
      <c r="X129" s="309" t="str">
        <f aca="false" t="array" ref="X129:X129">IFERROR(INDEX('Bank Schedule'!X:X, SMALL(IF('Bank Schedule'!$K$2:$K$825="Vacant", ROW('Bank Schedule'!$K$2:$K$825)), ROW(126:126))), "")</f>
        <v/>
      </c>
      <c r="Y129" s="310" t="str">
        <f aca="false" t="array" ref="Y129:Y129">IFERROR(INDEX('Bank Schedule'!Y:Y, SMALL(IF('Bank Schedule'!$K$2:$K$825="Vacant", ROW('Bank Schedule'!$K$2:$K$825)), ROW(126:126))), "")</f>
        <v/>
      </c>
      <c r="Z129" s="29" t="str">
        <f aca="false" t="array" ref="Z129:Z129">IFERROR(INDEX('Bank Schedule'!Z:Z, SMALL(IF('Bank Schedule'!$K$2:$K$825="Vacant", ROW('Bank Schedule'!$K$2:$K$825)), ROW(126:126))), "")</f>
        <v/>
      </c>
      <c r="AA129" s="29" t="str">
        <f aca="false" t="array" ref="AA129:AA129">IFERROR(INDEX('Bank Schedule'!AA:AA, SMALL(IF('Bank Schedule'!$K$2:$K$825="Vacant", ROW('Bank Schedule'!$K$2:$K$825)), ROW(126:126))), "")</f>
        <v/>
      </c>
      <c r="AB129" s="29" t="str">
        <f aca="false" t="array" ref="AB129:AB129">IFERROR(INDEX('Bank Schedule'!AB:AB, SMALL(IF('Bank Schedule'!$K$2:$K$825="Vacant", ROW('Bank Schedule'!$K$2:$K$825)), ROW(126:126))), "")</f>
        <v/>
      </c>
      <c r="AC129" s="29" t="str">
        <f aca="false" t="array" ref="AC129:AC129">IFERROR(INDEX('Bank Schedule'!AC:AC, SMALL(IF('Bank Schedule'!$K$2:$K$825="Vacant", ROW('Bank Schedule'!$K$2:$K$825)), ROW(126:126))), "")</f>
        <v/>
      </c>
      <c r="AD129" s="29" t="str">
        <f aca="false" t="array" ref="AD129:AD129">IFERROR(INDEX('Bank Schedule'!AD:AD, SMALL(IF('Bank Schedule'!$K$2:$K$825="Vacant", ROW('Bank Schedule'!$K$2:$K$825)), ROW(126:126))), "")</f>
        <v/>
      </c>
      <c r="AE129" s="281" t="str">
        <f aca="false" t="array" ref="AE129:AE129">IFERROR(INDEX('Bank Schedule'!AE:AE, SMALL(IF('Bank Schedule'!$K$2:$K$825="Vacant", ROW('Bank Schedule'!$K$2:$K$825)), ROW(126:126))), "")</f>
        <v/>
      </c>
      <c r="AF129" s="29" t="str">
        <f aca="false" t="array" ref="AF129:AF129">IFERROR(INDEX('Bank Schedule'!AF:AF, SMALL(IF('Bank Schedule'!$K$2:$K$825="Vacant", ROW('Bank Schedule'!$K$2:$K$825)), ROW(126:126))), "")</f>
        <v/>
      </c>
      <c r="AG129" s="29" t="str">
        <f aca="false" t="array" ref="AG129:AG129">IFERROR(INDEX('Bank Schedule'!AG:AG, SMALL(IF('Bank Schedule'!$K$2:$K$825="Vacant", ROW('Bank Schedule'!$K$2:$K$825)), ROW(126:126))), "")</f>
        <v/>
      </c>
      <c r="AH129" s="29" t="str">
        <f aca="false" t="array" ref="AH129:AH129">IFERROR(INDEX('Bank Schedule'!AH:AH, SMALL(IF('Bank Schedule'!$K$2:$K$825="Vacant", ROW('Bank Schedule'!$K$2:$K$825)), ROW(126:126))), "")</f>
        <v/>
      </c>
      <c r="AI129" s="4"/>
    </row>
    <row r="130" customFormat="false" ht="28.5" hidden="false" customHeight="true" outlineLevel="0" collapsed="false">
      <c r="A130" s="29" t="str">
        <f aca="false" t="array" ref="A130:A130">IFERROR(INDEX('Bank Schedule'!A:A, SMALL(IF('Bank Schedule'!$K$2:$K$825="Vacant", ROW('Bank Schedule'!$K$2:$K$825)), ROW(127:127))), "")</f>
        <v/>
      </c>
      <c r="B130" s="29" t="str">
        <f aca="false" t="array" ref="B130:B130">IFERROR(INDEX('Bank Schedule'!B:B, SMALL(IF('Bank Schedule'!$K$2:$K$825="Vacant", ROW('Bank Schedule'!$K$2:$K$825)), ROW(127:127))), "")</f>
        <v/>
      </c>
      <c r="C130" s="29" t="str">
        <f aca="false" t="array" ref="C130:C130">IFERROR(INDEX('Bank Schedule'!C:C, SMALL(IF('Bank Schedule'!$K$2:$K$825="Vacant", ROW('Bank Schedule'!$K$2:$K$825)), ROW(127:127))), "")</f>
        <v/>
      </c>
      <c r="D130" s="29" t="str">
        <f aca="false" t="array" ref="D130:D130">IFERROR(INDEX('Bank Schedule'!D:D, SMALL(IF('Bank Schedule'!$K$2:$K$825="Vacant", ROW('Bank Schedule'!$K$2:$K$825)), ROW(127:127))), "")</f>
        <v/>
      </c>
      <c r="E130" s="29" t="str">
        <f aca="false" t="array" ref="E130:E130">IFERROR(INDEX('Bank Schedule'!E:E, SMALL(IF('Bank Schedule'!$K$2:$K$825="Vacant", ROW('Bank Schedule'!$K$2:$K$825)), ROW(127:127))), "")</f>
        <v/>
      </c>
      <c r="F130" s="29" t="str">
        <f aca="false" t="array" ref="F130:F130">IFERROR(INDEX('Bank Schedule'!F:F, SMALL(IF('Bank Schedule'!$K$2:$K$825="Vacant", ROW('Bank Schedule'!$K$2:$K$825)), ROW(127:127))), "")</f>
        <v/>
      </c>
      <c r="G130" s="29" t="str">
        <f aca="false" t="array" ref="G130:G130">IFERROR(INDEX('Bank Schedule'!G:G, SMALL(IF('Bank Schedule'!$K$2:$K$825="Vacant", ROW('Bank Schedule'!$K$2:$K$825)), ROW(127:127))), "")</f>
        <v/>
      </c>
      <c r="H130" s="305" t="str">
        <f aca="false" t="array" ref="H130:H130">IFERROR(INDEX('Bank Schedule'!H:H, SMALL(IF('Bank Schedule'!$K$2:$K$825="Vacant", ROW('Bank Schedule'!$K$2:$K$825)), ROW(127:127))), "")</f>
        <v/>
      </c>
      <c r="I130" s="29" t="str">
        <f aca="false" t="array" ref="I130:I130">IFERROR(INDEX('Bank Schedule'!I:I, SMALL(IF('Bank Schedule'!$K$2:$K$825="Vacant", ROW('Bank Schedule'!$K$2:$K$825)), ROW(127:127))), "")</f>
        <v/>
      </c>
      <c r="J130" s="305" t="str">
        <f aca="false" t="array" ref="J130:J130">IFERROR(INDEX('Bank Schedule'!J:J, SMALL(IF('Bank Schedule'!$K$2:$K$825="Vacant", ROW('Bank Schedule'!$K$2:$K$825)), ROW(127:127))), "")</f>
        <v/>
      </c>
      <c r="K130" s="29" t="str">
        <f aca="false" t="array" ref="K130:K130">IFERROR(INDEX('Bank Schedule'!K:K, SMALL(IF('Bank Schedule'!$K$2:$K$825="Vacant", ROW('Bank Schedule'!$K$2:$K$825)), ROW(127:127))), "")</f>
        <v/>
      </c>
      <c r="L130" s="29" t="str">
        <f aca="false" t="array" ref="L130:L130">IFERROR(INDEX('Bank Schedule'!L:L, SMALL(IF('Bank Schedule'!$K$2:$K$825="Vacant", ROW('Bank Schedule'!$K$2:$K$825)), ROW(127:127))), "")</f>
        <v/>
      </c>
      <c r="M130" s="29" t="str">
        <f aca="false" t="array" ref="M130:M130">IFERROR(INDEX('Bank Schedule'!M:M, SMALL(IF('Bank Schedule'!$K$2:$K$825="Vacant", ROW('Bank Schedule'!$K$2:$K$825)), ROW(127:127))), "")</f>
        <v/>
      </c>
      <c r="N130" s="307" t="str">
        <f aca="false" t="array" ref="N130:N130">IFERROR(INDEX('Bank Schedule'!N:N, SMALL(IF('Bank Schedule'!$K$2:$K$825="Vacant", ROW('Bank Schedule'!$K$2:$K$825)), ROW(127:127))), "")</f>
        <v/>
      </c>
      <c r="O130" s="29" t="str">
        <f aca="false" t="array" ref="O130:O130">IFERROR(INDEX('Bank Schedule'!O:O, SMALL(IF('Bank Schedule'!$K$2:$K$825="Vacant", ROW('Bank Schedule'!$K$2:$K$825)), ROW(127:127))), "")</f>
        <v/>
      </c>
      <c r="P130" s="29" t="str">
        <f aca="false" t="array" ref="P130:P130">IFERROR(INDEX('Bank Schedule'!P:P, SMALL(IF('Bank Schedule'!$K$2:$K$825="Vacant", ROW('Bank Schedule'!$K$2:$K$825)), ROW(127:127))), "")</f>
        <v/>
      </c>
      <c r="Q130" s="29" t="str">
        <f aca="false" t="array" ref="Q130:Q130">IFERROR(INDEX('Bank Schedule'!Q:Q, SMALL(IF('Bank Schedule'!$K$2:$K$825="Vacant", ROW('Bank Schedule'!$K$2:$K$825)), ROW(127:127))), "")</f>
        <v/>
      </c>
      <c r="R130" s="29" t="str">
        <f aca="false" t="array" ref="R130:R130">IFERROR(INDEX('Bank Schedule'!R:R, SMALL(IF('Bank Schedule'!$K$2:$K$825="Vacant", ROW('Bank Schedule'!$K$2:$K$825)), ROW(127:127))), "")</f>
        <v/>
      </c>
      <c r="S130" s="29" t="str">
        <f aca="false" t="array" ref="S130:S130">IFERROR(INDEX('Bank Schedule'!S:S, SMALL(IF('Bank Schedule'!$K$2:$K$825="Vacant", ROW('Bank Schedule'!$K$2:$K$825)), ROW(127:127))), "")</f>
        <v/>
      </c>
      <c r="T130" s="309" t="str">
        <f aca="false" t="array" ref="T130:T130">IFERROR(INDEX('Bank Schedule'!T:T, SMALL(IF('Bank Schedule'!$K$2:$K$825="Vacant", ROW('Bank Schedule'!$K$2:$K$825)), ROW(127:127))), "")</f>
        <v/>
      </c>
      <c r="U130" s="309" t="str">
        <f aca="false" t="array" ref="U130:U130">IFERROR(INDEX('Bank Schedule'!U:U, SMALL(IF('Bank Schedule'!$K$2:$K$825="Vacant", ROW('Bank Schedule'!$K$2:$K$825)), ROW(127:127))), "")</f>
        <v/>
      </c>
      <c r="V130" s="309" t="str">
        <f aca="false" t="array" ref="V130:V130">IFERROR(INDEX('Bank Schedule'!V:V, SMALL(IF('Bank Schedule'!$K$2:$K$825="Vacant", ROW('Bank Schedule'!$K$2:$K$825)), ROW(127:127))), "")</f>
        <v/>
      </c>
      <c r="W130" s="309" t="str">
        <f aca="false" t="array" ref="W130:W130">IFERROR(INDEX('Bank Schedule'!W:W, SMALL(IF('Bank Schedule'!$K$2:$K$825="Vacant", ROW('Bank Schedule'!$K$2:$K$825)), ROW(127:127))), "")</f>
        <v/>
      </c>
      <c r="X130" s="309" t="str">
        <f aca="false" t="array" ref="X130:X130">IFERROR(INDEX('Bank Schedule'!X:X, SMALL(IF('Bank Schedule'!$K$2:$K$825="Vacant", ROW('Bank Schedule'!$K$2:$K$825)), ROW(127:127))), "")</f>
        <v/>
      </c>
      <c r="Y130" s="310" t="str">
        <f aca="false" t="array" ref="Y130:Y130">IFERROR(INDEX('Bank Schedule'!Y:Y, SMALL(IF('Bank Schedule'!$K$2:$K$825="Vacant", ROW('Bank Schedule'!$K$2:$K$825)), ROW(127:127))), "")</f>
        <v/>
      </c>
      <c r="Z130" s="29" t="str">
        <f aca="false" t="array" ref="Z130:Z130">IFERROR(INDEX('Bank Schedule'!Z:Z, SMALL(IF('Bank Schedule'!$K$2:$K$825="Vacant", ROW('Bank Schedule'!$K$2:$K$825)), ROW(127:127))), "")</f>
        <v/>
      </c>
      <c r="AA130" s="29" t="str">
        <f aca="false" t="array" ref="AA130:AA130">IFERROR(INDEX('Bank Schedule'!AA:AA, SMALL(IF('Bank Schedule'!$K$2:$K$825="Vacant", ROW('Bank Schedule'!$K$2:$K$825)), ROW(127:127))), "")</f>
        <v/>
      </c>
      <c r="AB130" s="29" t="str">
        <f aca="false" t="array" ref="AB130:AB130">IFERROR(INDEX('Bank Schedule'!AB:AB, SMALL(IF('Bank Schedule'!$K$2:$K$825="Vacant", ROW('Bank Schedule'!$K$2:$K$825)), ROW(127:127))), "")</f>
        <v/>
      </c>
      <c r="AC130" s="29" t="str">
        <f aca="false" t="array" ref="AC130:AC130">IFERROR(INDEX('Bank Schedule'!AC:AC, SMALL(IF('Bank Schedule'!$K$2:$K$825="Vacant", ROW('Bank Schedule'!$K$2:$K$825)), ROW(127:127))), "")</f>
        <v/>
      </c>
      <c r="AD130" s="29" t="str">
        <f aca="false" t="array" ref="AD130:AD130">IFERROR(INDEX('Bank Schedule'!AD:AD, SMALL(IF('Bank Schedule'!$K$2:$K$825="Vacant", ROW('Bank Schedule'!$K$2:$K$825)), ROW(127:127))), "")</f>
        <v/>
      </c>
      <c r="AE130" s="281" t="str">
        <f aca="false" t="array" ref="AE130:AE130">IFERROR(INDEX('Bank Schedule'!AE:AE, SMALL(IF('Bank Schedule'!$K$2:$K$825="Vacant", ROW('Bank Schedule'!$K$2:$K$825)), ROW(127:127))), "")</f>
        <v/>
      </c>
      <c r="AF130" s="29" t="str">
        <f aca="false" t="array" ref="AF130:AF130">IFERROR(INDEX('Bank Schedule'!AF:AF, SMALL(IF('Bank Schedule'!$K$2:$K$825="Vacant", ROW('Bank Schedule'!$K$2:$K$825)), ROW(127:127))), "")</f>
        <v/>
      </c>
      <c r="AG130" s="29" t="str">
        <f aca="false" t="array" ref="AG130:AG130">IFERROR(INDEX('Bank Schedule'!AG:AG, SMALL(IF('Bank Schedule'!$K$2:$K$825="Vacant", ROW('Bank Schedule'!$K$2:$K$825)), ROW(127:127))), "")</f>
        <v/>
      </c>
      <c r="AH130" s="29" t="str">
        <f aca="false" t="array" ref="AH130:AH130">IFERROR(INDEX('Bank Schedule'!AH:AH, SMALL(IF('Bank Schedule'!$K$2:$K$825="Vacant", ROW('Bank Schedule'!$K$2:$K$825)), ROW(127:127))), "")</f>
        <v/>
      </c>
      <c r="AI130" s="4"/>
    </row>
    <row r="131" customFormat="false" ht="28.5" hidden="false" customHeight="true" outlineLevel="0" collapsed="false">
      <c r="A131" s="29" t="str">
        <f aca="false" t="array" ref="A131:A131">IFERROR(INDEX('Bank Schedule'!A:A, SMALL(IF('Bank Schedule'!$K$2:$K$825="Vacant", ROW('Bank Schedule'!$K$2:$K$825)), ROW(128:128))), "")</f>
        <v/>
      </c>
      <c r="B131" s="29" t="str">
        <f aca="false" t="array" ref="B131:B131">IFERROR(INDEX('Bank Schedule'!B:B, SMALL(IF('Bank Schedule'!$K$2:$K$825="Vacant", ROW('Bank Schedule'!$K$2:$K$825)), ROW(128:128))), "")</f>
        <v/>
      </c>
      <c r="C131" s="29" t="str">
        <f aca="false" t="array" ref="C131:C131">IFERROR(INDEX('Bank Schedule'!C:C, SMALL(IF('Bank Schedule'!$K$2:$K$825="Vacant", ROW('Bank Schedule'!$K$2:$K$825)), ROW(128:128))), "")</f>
        <v/>
      </c>
      <c r="D131" s="29" t="str">
        <f aca="false" t="array" ref="D131:D131">IFERROR(INDEX('Bank Schedule'!D:D, SMALL(IF('Bank Schedule'!$K$2:$K$825="Vacant", ROW('Bank Schedule'!$K$2:$K$825)), ROW(128:128))), "")</f>
        <v/>
      </c>
      <c r="E131" s="29" t="str">
        <f aca="false" t="array" ref="E131:E131">IFERROR(INDEX('Bank Schedule'!E:E, SMALL(IF('Bank Schedule'!$K$2:$K$825="Vacant", ROW('Bank Schedule'!$K$2:$K$825)), ROW(128:128))), "")</f>
        <v/>
      </c>
      <c r="F131" s="29" t="str">
        <f aca="false" t="array" ref="F131:F131">IFERROR(INDEX('Bank Schedule'!F:F, SMALL(IF('Bank Schedule'!$K$2:$K$825="Vacant", ROW('Bank Schedule'!$K$2:$K$825)), ROW(128:128))), "")</f>
        <v/>
      </c>
      <c r="G131" s="29" t="str">
        <f aca="false" t="array" ref="G131:G131">IFERROR(INDEX('Bank Schedule'!G:G, SMALL(IF('Bank Schedule'!$K$2:$K$825="Vacant", ROW('Bank Schedule'!$K$2:$K$825)), ROW(128:128))), "")</f>
        <v/>
      </c>
      <c r="H131" s="305" t="str">
        <f aca="false" t="array" ref="H131:H131">IFERROR(INDEX('Bank Schedule'!H:H, SMALL(IF('Bank Schedule'!$K$2:$K$825="Vacant", ROW('Bank Schedule'!$K$2:$K$825)), ROW(128:128))), "")</f>
        <v/>
      </c>
      <c r="I131" s="29" t="str">
        <f aca="false" t="array" ref="I131:I131">IFERROR(INDEX('Bank Schedule'!I:I, SMALL(IF('Bank Schedule'!$K$2:$K$825="Vacant", ROW('Bank Schedule'!$K$2:$K$825)), ROW(128:128))), "")</f>
        <v/>
      </c>
      <c r="J131" s="305" t="str">
        <f aca="false" t="array" ref="J131:J131">IFERROR(INDEX('Bank Schedule'!J:J, SMALL(IF('Bank Schedule'!$K$2:$K$825="Vacant", ROW('Bank Schedule'!$K$2:$K$825)), ROW(128:128))), "")</f>
        <v/>
      </c>
      <c r="K131" s="29" t="str">
        <f aca="false" t="array" ref="K131:K131">IFERROR(INDEX('Bank Schedule'!K:K, SMALL(IF('Bank Schedule'!$K$2:$K$825="Vacant", ROW('Bank Schedule'!$K$2:$K$825)), ROW(128:128))), "")</f>
        <v/>
      </c>
      <c r="L131" s="29" t="str">
        <f aca="false" t="array" ref="L131:L131">IFERROR(INDEX('Bank Schedule'!L:L, SMALL(IF('Bank Schedule'!$K$2:$K$825="Vacant", ROW('Bank Schedule'!$K$2:$K$825)), ROW(128:128))), "")</f>
        <v/>
      </c>
      <c r="M131" s="29" t="str">
        <f aca="false" t="array" ref="M131:M131">IFERROR(INDEX('Bank Schedule'!M:M, SMALL(IF('Bank Schedule'!$K$2:$K$825="Vacant", ROW('Bank Schedule'!$K$2:$K$825)), ROW(128:128))), "")</f>
        <v/>
      </c>
      <c r="N131" s="307" t="str">
        <f aca="false" t="array" ref="N131:N131">IFERROR(INDEX('Bank Schedule'!N:N, SMALL(IF('Bank Schedule'!$K$2:$K$825="Vacant", ROW('Bank Schedule'!$K$2:$K$825)), ROW(128:128))), "")</f>
        <v/>
      </c>
      <c r="O131" s="29" t="str">
        <f aca="false" t="array" ref="O131:O131">IFERROR(INDEX('Bank Schedule'!O:O, SMALL(IF('Bank Schedule'!$K$2:$K$825="Vacant", ROW('Bank Schedule'!$K$2:$K$825)), ROW(128:128))), "")</f>
        <v/>
      </c>
      <c r="P131" s="29" t="str">
        <f aca="false" t="array" ref="P131:P131">IFERROR(INDEX('Bank Schedule'!P:P, SMALL(IF('Bank Schedule'!$K$2:$K$825="Vacant", ROW('Bank Schedule'!$K$2:$K$825)), ROW(128:128))), "")</f>
        <v/>
      </c>
      <c r="Q131" s="29" t="str">
        <f aca="false" t="array" ref="Q131:Q131">IFERROR(INDEX('Bank Schedule'!Q:Q, SMALL(IF('Bank Schedule'!$K$2:$K$825="Vacant", ROW('Bank Schedule'!$K$2:$K$825)), ROW(128:128))), "")</f>
        <v/>
      </c>
      <c r="R131" s="29" t="str">
        <f aca="false" t="array" ref="R131:R131">IFERROR(INDEX('Bank Schedule'!R:R, SMALL(IF('Bank Schedule'!$K$2:$K$825="Vacant", ROW('Bank Schedule'!$K$2:$K$825)), ROW(128:128))), "")</f>
        <v/>
      </c>
      <c r="S131" s="29" t="str">
        <f aca="false" t="array" ref="S131:S131">IFERROR(INDEX('Bank Schedule'!S:S, SMALL(IF('Bank Schedule'!$K$2:$K$825="Vacant", ROW('Bank Schedule'!$K$2:$K$825)), ROW(128:128))), "")</f>
        <v/>
      </c>
      <c r="T131" s="309" t="str">
        <f aca="false" t="array" ref="T131:T131">IFERROR(INDEX('Bank Schedule'!T:T, SMALL(IF('Bank Schedule'!$K$2:$K$825="Vacant", ROW('Bank Schedule'!$K$2:$K$825)), ROW(128:128))), "")</f>
        <v/>
      </c>
      <c r="U131" s="309" t="str">
        <f aca="false" t="array" ref="U131:U131">IFERROR(INDEX('Bank Schedule'!U:U, SMALL(IF('Bank Schedule'!$K$2:$K$825="Vacant", ROW('Bank Schedule'!$K$2:$K$825)), ROW(128:128))), "")</f>
        <v/>
      </c>
      <c r="V131" s="309" t="str">
        <f aca="false" t="array" ref="V131:V131">IFERROR(INDEX('Bank Schedule'!V:V, SMALL(IF('Bank Schedule'!$K$2:$K$825="Vacant", ROW('Bank Schedule'!$K$2:$K$825)), ROW(128:128))), "")</f>
        <v/>
      </c>
      <c r="W131" s="309" t="str">
        <f aca="false" t="array" ref="W131:W131">IFERROR(INDEX('Bank Schedule'!W:W, SMALL(IF('Bank Schedule'!$K$2:$K$825="Vacant", ROW('Bank Schedule'!$K$2:$K$825)), ROW(128:128))), "")</f>
        <v/>
      </c>
      <c r="X131" s="309" t="str">
        <f aca="false" t="array" ref="X131:X131">IFERROR(INDEX('Bank Schedule'!X:X, SMALL(IF('Bank Schedule'!$K$2:$K$825="Vacant", ROW('Bank Schedule'!$K$2:$K$825)), ROW(128:128))), "")</f>
        <v/>
      </c>
      <c r="Y131" s="310" t="str">
        <f aca="false" t="array" ref="Y131:Y131">IFERROR(INDEX('Bank Schedule'!Y:Y, SMALL(IF('Bank Schedule'!$K$2:$K$825="Vacant", ROW('Bank Schedule'!$K$2:$K$825)), ROW(128:128))), "")</f>
        <v/>
      </c>
      <c r="Z131" s="29" t="str">
        <f aca="false" t="array" ref="Z131:Z131">IFERROR(INDEX('Bank Schedule'!Z:Z, SMALL(IF('Bank Schedule'!$K$2:$K$825="Vacant", ROW('Bank Schedule'!$K$2:$K$825)), ROW(128:128))), "")</f>
        <v/>
      </c>
      <c r="AA131" s="29" t="str">
        <f aca="false" t="array" ref="AA131:AA131">IFERROR(INDEX('Bank Schedule'!AA:AA, SMALL(IF('Bank Schedule'!$K$2:$K$825="Vacant", ROW('Bank Schedule'!$K$2:$K$825)), ROW(128:128))), "")</f>
        <v/>
      </c>
      <c r="AB131" s="29" t="str">
        <f aca="false" t="array" ref="AB131:AB131">IFERROR(INDEX('Bank Schedule'!AB:AB, SMALL(IF('Bank Schedule'!$K$2:$K$825="Vacant", ROW('Bank Schedule'!$K$2:$K$825)), ROW(128:128))), "")</f>
        <v/>
      </c>
      <c r="AC131" s="29" t="str">
        <f aca="false" t="array" ref="AC131:AC131">IFERROR(INDEX('Bank Schedule'!AC:AC, SMALL(IF('Bank Schedule'!$K$2:$K$825="Vacant", ROW('Bank Schedule'!$K$2:$K$825)), ROW(128:128))), "")</f>
        <v/>
      </c>
      <c r="AD131" s="29" t="str">
        <f aca="false" t="array" ref="AD131:AD131">IFERROR(INDEX('Bank Schedule'!AD:AD, SMALL(IF('Bank Schedule'!$K$2:$K$825="Vacant", ROW('Bank Schedule'!$K$2:$K$825)), ROW(128:128))), "")</f>
        <v/>
      </c>
      <c r="AE131" s="281" t="str">
        <f aca="false" t="array" ref="AE131:AE131">IFERROR(INDEX('Bank Schedule'!AE:AE, SMALL(IF('Bank Schedule'!$K$2:$K$825="Vacant", ROW('Bank Schedule'!$K$2:$K$825)), ROW(128:128))), "")</f>
        <v/>
      </c>
      <c r="AF131" s="29" t="str">
        <f aca="false" t="array" ref="AF131:AF131">IFERROR(INDEX('Bank Schedule'!AF:AF, SMALL(IF('Bank Schedule'!$K$2:$K$825="Vacant", ROW('Bank Schedule'!$K$2:$K$825)), ROW(128:128))), "")</f>
        <v/>
      </c>
      <c r="AG131" s="29" t="str">
        <f aca="false" t="array" ref="AG131:AG131">IFERROR(INDEX('Bank Schedule'!AG:AG, SMALL(IF('Bank Schedule'!$K$2:$K$825="Vacant", ROW('Bank Schedule'!$K$2:$K$825)), ROW(128:128))), "")</f>
        <v/>
      </c>
      <c r="AH131" s="29" t="str">
        <f aca="false" t="array" ref="AH131:AH131">IFERROR(INDEX('Bank Schedule'!AH:AH, SMALL(IF('Bank Schedule'!$K$2:$K$825="Vacant", ROW('Bank Schedule'!$K$2:$K$825)), ROW(128:128))), "")</f>
        <v/>
      </c>
      <c r="AI131" s="4"/>
    </row>
    <row r="132" customFormat="false" ht="28.5" hidden="false" customHeight="true" outlineLevel="0" collapsed="false">
      <c r="A132" s="29" t="str">
        <f aca="false" t="array" ref="A132:A132">IFERROR(INDEX('Bank Schedule'!A:A, SMALL(IF('Bank Schedule'!$K$2:$K$825="Vacant", ROW('Bank Schedule'!$K$2:$K$825)), ROW(129:129))), "")</f>
        <v/>
      </c>
      <c r="B132" s="29" t="str">
        <f aca="false" t="array" ref="B132:B132">IFERROR(INDEX('Bank Schedule'!B:B, SMALL(IF('Bank Schedule'!$K$2:$K$825="Vacant", ROW('Bank Schedule'!$K$2:$K$825)), ROW(129:129))), "")</f>
        <v/>
      </c>
      <c r="C132" s="29" t="str">
        <f aca="false" t="array" ref="C132:C132">IFERROR(INDEX('Bank Schedule'!C:C, SMALL(IF('Bank Schedule'!$K$2:$K$825="Vacant", ROW('Bank Schedule'!$K$2:$K$825)), ROW(129:129))), "")</f>
        <v/>
      </c>
      <c r="D132" s="29" t="str">
        <f aca="false" t="array" ref="D132:D132">IFERROR(INDEX('Bank Schedule'!D:D, SMALL(IF('Bank Schedule'!$K$2:$K$825="Vacant", ROW('Bank Schedule'!$K$2:$K$825)), ROW(129:129))), "")</f>
        <v/>
      </c>
      <c r="E132" s="29" t="str">
        <f aca="false" t="array" ref="E132:E132">IFERROR(INDEX('Bank Schedule'!E:E, SMALL(IF('Bank Schedule'!$K$2:$K$825="Vacant", ROW('Bank Schedule'!$K$2:$K$825)), ROW(129:129))), "")</f>
        <v/>
      </c>
      <c r="F132" s="29" t="str">
        <f aca="false" t="array" ref="F132:F132">IFERROR(INDEX('Bank Schedule'!F:F, SMALL(IF('Bank Schedule'!$K$2:$K$825="Vacant", ROW('Bank Schedule'!$K$2:$K$825)), ROW(129:129))), "")</f>
        <v/>
      </c>
      <c r="G132" s="29" t="str">
        <f aca="false" t="array" ref="G132:G132">IFERROR(INDEX('Bank Schedule'!G:G, SMALL(IF('Bank Schedule'!$K$2:$K$825="Vacant", ROW('Bank Schedule'!$K$2:$K$825)), ROW(129:129))), "")</f>
        <v/>
      </c>
      <c r="H132" s="305" t="str">
        <f aca="false" t="array" ref="H132:H132">IFERROR(INDEX('Bank Schedule'!H:H, SMALL(IF('Bank Schedule'!$K$2:$K$825="Vacant", ROW('Bank Schedule'!$K$2:$K$825)), ROW(129:129))), "")</f>
        <v/>
      </c>
      <c r="I132" s="29" t="str">
        <f aca="false" t="array" ref="I132:I132">IFERROR(INDEX('Bank Schedule'!I:I, SMALL(IF('Bank Schedule'!$K$2:$K$825="Vacant", ROW('Bank Schedule'!$K$2:$K$825)), ROW(129:129))), "")</f>
        <v/>
      </c>
      <c r="J132" s="305" t="str">
        <f aca="false" t="array" ref="J132:J132">IFERROR(INDEX('Bank Schedule'!J:J, SMALL(IF('Bank Schedule'!$K$2:$K$825="Vacant", ROW('Bank Schedule'!$K$2:$K$825)), ROW(129:129))), "")</f>
        <v/>
      </c>
      <c r="K132" s="29" t="str">
        <f aca="false" t="array" ref="K132:K132">IFERROR(INDEX('Bank Schedule'!K:K, SMALL(IF('Bank Schedule'!$K$2:$K$825="Vacant", ROW('Bank Schedule'!$K$2:$K$825)), ROW(129:129))), "")</f>
        <v/>
      </c>
      <c r="L132" s="29" t="str">
        <f aca="false" t="array" ref="L132:L132">IFERROR(INDEX('Bank Schedule'!L:L, SMALL(IF('Bank Schedule'!$K$2:$K$825="Vacant", ROW('Bank Schedule'!$K$2:$K$825)), ROW(129:129))), "")</f>
        <v/>
      </c>
      <c r="M132" s="29" t="str">
        <f aca="false" t="array" ref="M132:M132">IFERROR(INDEX('Bank Schedule'!M:M, SMALL(IF('Bank Schedule'!$K$2:$K$825="Vacant", ROW('Bank Schedule'!$K$2:$K$825)), ROW(129:129))), "")</f>
        <v/>
      </c>
      <c r="N132" s="307" t="str">
        <f aca="false" t="array" ref="N132:N132">IFERROR(INDEX('Bank Schedule'!N:N, SMALL(IF('Bank Schedule'!$K$2:$K$825="Vacant", ROW('Bank Schedule'!$K$2:$K$825)), ROW(129:129))), "")</f>
        <v/>
      </c>
      <c r="O132" s="29" t="str">
        <f aca="false" t="array" ref="O132:O132">IFERROR(INDEX('Bank Schedule'!O:O, SMALL(IF('Bank Schedule'!$K$2:$K$825="Vacant", ROW('Bank Schedule'!$K$2:$K$825)), ROW(129:129))), "")</f>
        <v/>
      </c>
      <c r="P132" s="29" t="str">
        <f aca="false" t="array" ref="P132:P132">IFERROR(INDEX('Bank Schedule'!P:P, SMALL(IF('Bank Schedule'!$K$2:$K$825="Vacant", ROW('Bank Schedule'!$K$2:$K$825)), ROW(129:129))), "")</f>
        <v/>
      </c>
      <c r="Q132" s="29" t="str">
        <f aca="false" t="array" ref="Q132:Q132">IFERROR(INDEX('Bank Schedule'!Q:Q, SMALL(IF('Bank Schedule'!$K$2:$K$825="Vacant", ROW('Bank Schedule'!$K$2:$K$825)), ROW(129:129))), "")</f>
        <v/>
      </c>
      <c r="R132" s="29" t="str">
        <f aca="false" t="array" ref="R132:R132">IFERROR(INDEX('Bank Schedule'!R:R, SMALL(IF('Bank Schedule'!$K$2:$K$825="Vacant", ROW('Bank Schedule'!$K$2:$K$825)), ROW(129:129))), "")</f>
        <v/>
      </c>
      <c r="S132" s="29" t="str">
        <f aca="false" t="array" ref="S132:S132">IFERROR(INDEX('Bank Schedule'!S:S, SMALL(IF('Bank Schedule'!$K$2:$K$825="Vacant", ROW('Bank Schedule'!$K$2:$K$825)), ROW(129:129))), "")</f>
        <v/>
      </c>
      <c r="T132" s="309" t="str">
        <f aca="false" t="array" ref="T132:T132">IFERROR(INDEX('Bank Schedule'!T:T, SMALL(IF('Bank Schedule'!$K$2:$K$825="Vacant", ROW('Bank Schedule'!$K$2:$K$825)), ROW(129:129))), "")</f>
        <v/>
      </c>
      <c r="U132" s="309" t="str">
        <f aca="false" t="array" ref="U132:U132">IFERROR(INDEX('Bank Schedule'!U:U, SMALL(IF('Bank Schedule'!$K$2:$K$825="Vacant", ROW('Bank Schedule'!$K$2:$K$825)), ROW(129:129))), "")</f>
        <v/>
      </c>
      <c r="V132" s="309" t="str">
        <f aca="false" t="array" ref="V132:V132">IFERROR(INDEX('Bank Schedule'!V:V, SMALL(IF('Bank Schedule'!$K$2:$K$825="Vacant", ROW('Bank Schedule'!$K$2:$K$825)), ROW(129:129))), "")</f>
        <v/>
      </c>
      <c r="W132" s="309" t="str">
        <f aca="false" t="array" ref="W132:W132">IFERROR(INDEX('Bank Schedule'!W:W, SMALL(IF('Bank Schedule'!$K$2:$K$825="Vacant", ROW('Bank Schedule'!$K$2:$K$825)), ROW(129:129))), "")</f>
        <v/>
      </c>
      <c r="X132" s="309" t="str">
        <f aca="false" t="array" ref="X132:X132">IFERROR(INDEX('Bank Schedule'!X:X, SMALL(IF('Bank Schedule'!$K$2:$K$825="Vacant", ROW('Bank Schedule'!$K$2:$K$825)), ROW(129:129))), "")</f>
        <v/>
      </c>
      <c r="Y132" s="310" t="str">
        <f aca="false" t="array" ref="Y132:Y132">IFERROR(INDEX('Bank Schedule'!Y:Y, SMALL(IF('Bank Schedule'!$K$2:$K$825="Vacant", ROW('Bank Schedule'!$K$2:$K$825)), ROW(129:129))), "")</f>
        <v/>
      </c>
      <c r="Z132" s="29" t="str">
        <f aca="false" t="array" ref="Z132:Z132">IFERROR(INDEX('Bank Schedule'!Z:Z, SMALL(IF('Bank Schedule'!$K$2:$K$825="Vacant", ROW('Bank Schedule'!$K$2:$K$825)), ROW(129:129))), "")</f>
        <v/>
      </c>
      <c r="AA132" s="29" t="str">
        <f aca="false" t="array" ref="AA132:AA132">IFERROR(INDEX('Bank Schedule'!AA:AA, SMALL(IF('Bank Schedule'!$K$2:$K$825="Vacant", ROW('Bank Schedule'!$K$2:$K$825)), ROW(129:129))), "")</f>
        <v/>
      </c>
      <c r="AB132" s="29" t="str">
        <f aca="false" t="array" ref="AB132:AB132">IFERROR(INDEX('Bank Schedule'!AB:AB, SMALL(IF('Bank Schedule'!$K$2:$K$825="Vacant", ROW('Bank Schedule'!$K$2:$K$825)), ROW(129:129))), "")</f>
        <v/>
      </c>
      <c r="AC132" s="29" t="str">
        <f aca="false" t="array" ref="AC132:AC132">IFERROR(INDEX('Bank Schedule'!AC:AC, SMALL(IF('Bank Schedule'!$K$2:$K$825="Vacant", ROW('Bank Schedule'!$K$2:$K$825)), ROW(129:129))), "")</f>
        <v/>
      </c>
      <c r="AD132" s="29" t="str">
        <f aca="false" t="array" ref="AD132:AD132">IFERROR(INDEX('Bank Schedule'!AD:AD, SMALL(IF('Bank Schedule'!$K$2:$K$825="Vacant", ROW('Bank Schedule'!$K$2:$K$825)), ROW(129:129))), "")</f>
        <v/>
      </c>
      <c r="AE132" s="281" t="str">
        <f aca="false" t="array" ref="AE132:AE132">IFERROR(INDEX('Bank Schedule'!AE:AE, SMALL(IF('Bank Schedule'!$K$2:$K$825="Vacant", ROW('Bank Schedule'!$K$2:$K$825)), ROW(129:129))), "")</f>
        <v/>
      </c>
      <c r="AF132" s="29" t="str">
        <f aca="false" t="array" ref="AF132:AF132">IFERROR(INDEX('Bank Schedule'!AF:AF, SMALL(IF('Bank Schedule'!$K$2:$K$825="Vacant", ROW('Bank Schedule'!$K$2:$K$825)), ROW(129:129))), "")</f>
        <v/>
      </c>
      <c r="AG132" s="29" t="str">
        <f aca="false" t="array" ref="AG132:AG132">IFERROR(INDEX('Bank Schedule'!AG:AG, SMALL(IF('Bank Schedule'!$K$2:$K$825="Vacant", ROW('Bank Schedule'!$K$2:$K$825)), ROW(129:129))), "")</f>
        <v/>
      </c>
      <c r="AH132" s="29" t="str">
        <f aca="false" t="array" ref="AH132:AH132">IFERROR(INDEX('Bank Schedule'!AH:AH, SMALL(IF('Bank Schedule'!$K$2:$K$825="Vacant", ROW('Bank Schedule'!$K$2:$K$825)), ROW(129:129))), "")</f>
        <v/>
      </c>
      <c r="AI132" s="4"/>
    </row>
    <row r="133" customFormat="false" ht="28.5" hidden="false" customHeight="true" outlineLevel="0" collapsed="false">
      <c r="A133" s="29" t="str">
        <f aca="false" t="array" ref="A133:A133">IFERROR(INDEX('Bank Schedule'!A:A, SMALL(IF('Bank Schedule'!$K$2:$K$825="Vacant", ROW('Bank Schedule'!$K$2:$K$825)), ROW(130:130))), "")</f>
        <v/>
      </c>
      <c r="B133" s="11" t="str">
        <f aca="false" t="array" ref="B133:B133">IFERROR(INDEX('Bank Schedule'!B:B, SMALL(IF('Bank Schedule'!$K$2:$K$825="Vacant", ROW('Bank Schedule'!$K$2:$K$825)), ROW(130:130))), "")</f>
        <v/>
      </c>
      <c r="C133" s="11" t="str">
        <f aca="false" t="array" ref="C133:C133">IFERROR(INDEX('Bank Schedule'!C:C, SMALL(IF('Bank Schedule'!$K$2:$K$825="Vacant", ROW('Bank Schedule'!$K$2:$K$825)), ROW(130:130))), "")</f>
        <v/>
      </c>
      <c r="D133" s="11" t="str">
        <f aca="false" t="array" ref="D133:D133">IFERROR(INDEX('Bank Schedule'!D:D, SMALL(IF('Bank Schedule'!$K$2:$K$825="Vacant", ROW('Bank Schedule'!$K$2:$K$825)), ROW(130:130))), "")</f>
        <v/>
      </c>
      <c r="E133" s="96" t="str">
        <f aca="false" t="array" ref="E133:E133">IFERROR(INDEX('Bank Schedule'!E:E, SMALL(IF('Bank Schedule'!$K$2:$K$825="Vacant", ROW('Bank Schedule'!$K$2:$K$825)), ROW(130:130))), "")</f>
        <v/>
      </c>
      <c r="F133" s="96" t="str">
        <f aca="false" t="array" ref="F133:F133">IFERROR(INDEX('Bank Schedule'!F:F, SMALL(IF('Bank Schedule'!$K$2:$K$825="Vacant", ROW('Bank Schedule'!$K$2:$K$825)), ROW(130:130))), "")</f>
        <v/>
      </c>
      <c r="G133" s="96" t="str">
        <f aca="false" t="array" ref="G133:G133">IFERROR(INDEX('Bank Schedule'!G:G, SMALL(IF('Bank Schedule'!$K$2:$K$825="Vacant", ROW('Bank Schedule'!$K$2:$K$825)), ROW(130:130))), "")</f>
        <v/>
      </c>
      <c r="H133" s="14" t="str">
        <f aca="false" t="array" ref="H133:H133">IFERROR(INDEX('Bank Schedule'!H:H, SMALL(IF('Bank Schedule'!$K$2:$K$825="Vacant", ROW('Bank Schedule'!$K$2:$K$825)), ROW(130:130))), "")</f>
        <v/>
      </c>
      <c r="I133" s="14" t="str">
        <f aca="false" t="array" ref="I133:I133">IFERROR(INDEX('Bank Schedule'!I:I, SMALL(IF('Bank Schedule'!$K$2:$K$825="Vacant", ROW('Bank Schedule'!$K$2:$K$825)), ROW(130:130))), "")</f>
        <v/>
      </c>
      <c r="J133" s="14"/>
      <c r="K133" s="11" t="str">
        <f aca="false" t="array" ref="K133:K133">IFERROR(INDEX('Bank Schedule'!K:K, SMALL(IF('Bank Schedule'!$K$2:$K$825="Vacant", ROW('Bank Schedule'!$K$2:$K$825)), ROW(130:130))), "")</f>
        <v/>
      </c>
      <c r="L133" s="11" t="str">
        <f aca="false" t="array" ref="L133:L133">IFERROR(INDEX('Bank Schedule'!L:L, SMALL(IF('Bank Schedule'!$K$2:$K$825="Vacant", ROW('Bank Schedule'!$K$2:$K$825)), ROW(130:130))), "")</f>
        <v/>
      </c>
      <c r="M133" s="11" t="str">
        <f aca="false" t="array" ref="M133:M133">IFERROR(INDEX('Bank Schedule'!M:M, SMALL(IF('Bank Schedule'!$K$2:$K$825="Vacant", ROW('Bank Schedule'!$K$2:$K$825)), ROW(130:130))), "")</f>
        <v/>
      </c>
      <c r="N133" s="295" t="str">
        <f aca="false" t="array" ref="N133:N133">IFERROR(INDEX('Bank Schedule'!N:N, SMALL(IF('Bank Schedule'!$K$2:$K$825="Vacant", ROW('Bank Schedule'!$K$2:$K$825)), ROW(130:130))), "")</f>
        <v/>
      </c>
      <c r="O133" s="11" t="str">
        <f aca="false" t="array" ref="O133:O133">IFERROR(INDEX('Bank Schedule'!O:O, SMALL(IF('Bank Schedule'!$K$2:$K$825="Vacant", ROW('Bank Schedule'!$K$2:$K$825)), ROW(130:130))), "")</f>
        <v/>
      </c>
      <c r="P133" s="11" t="str">
        <f aca="false" t="array" ref="P133:P133">IFERROR(INDEX('Bank Schedule'!P:P, SMALL(IF('Bank Schedule'!$K$2:$K$825="Vacant", ROW('Bank Schedule'!$K$2:$K$825)), ROW(130:130))), "")</f>
        <v/>
      </c>
      <c r="Q133" s="11" t="str">
        <f aca="false" t="array" ref="Q133:Q133">IFERROR(INDEX('Bank Schedule'!Q:Q, SMALL(IF('Bank Schedule'!$K$2:$K$825="Vacant", ROW('Bank Schedule'!$K$2:$K$825)), ROW(130:130))), "")</f>
        <v/>
      </c>
      <c r="R133" s="11" t="str">
        <f aca="false" t="array" ref="R133:R133">IFERROR(INDEX('Bank Schedule'!R:R, SMALL(IF('Bank Schedule'!$K$2:$K$825="Vacant", ROW('Bank Schedule'!$K$2:$K$825)), ROW(130:130))), "")</f>
        <v/>
      </c>
      <c r="S133" s="11" t="str">
        <f aca="false" t="array" ref="S133:S133">IFERROR(INDEX('Bank Schedule'!S:S, SMALL(IF('Bank Schedule'!$K$2:$K$825="Vacant", ROW('Bank Schedule'!$K$2:$K$825)), ROW(130:130))), "")</f>
        <v/>
      </c>
      <c r="T133" s="296" t="str">
        <f aca="false" t="array" ref="T133:T133">IFERROR(INDEX('Bank Schedule'!T:T, SMALL(IF('Bank Schedule'!$K$2:$K$825="Vacant", ROW('Bank Schedule'!$K$2:$K$825)), ROW(130:130))), "")</f>
        <v/>
      </c>
      <c r="U133" s="296" t="str">
        <f aca="false" t="array" ref="U133:U133">IFERROR(INDEX('Bank Schedule'!U:U, SMALL(IF('Bank Schedule'!$K$2:$K$825="Vacant", ROW('Bank Schedule'!$K$2:$K$825)), ROW(130:130))), "")</f>
        <v/>
      </c>
      <c r="V133" s="296" t="str">
        <f aca="false" t="array" ref="V133:V133">IFERROR(INDEX('Bank Schedule'!V:V, SMALL(IF('Bank Schedule'!$K$2:$K$825="Vacant", ROW('Bank Schedule'!$K$2:$K$825)), ROW(130:130))), "")</f>
        <v/>
      </c>
      <c r="W133" s="296" t="str">
        <f aca="false" t="array" ref="W133:W133">IFERROR(INDEX('Bank Schedule'!W:W, SMALL(IF('Bank Schedule'!$K$2:$K$825="Vacant", ROW('Bank Schedule'!$K$2:$K$825)), ROW(130:130))), "")</f>
        <v/>
      </c>
      <c r="X133" s="296" t="str">
        <f aca="false" t="array" ref="X133:X133">IFERROR(INDEX('Bank Schedule'!X:X, SMALL(IF('Bank Schedule'!$K$2:$K$825="Vacant", ROW('Bank Schedule'!$K$2:$K$825)), ROW(130:130))), "")</f>
        <v/>
      </c>
      <c r="Y133" s="100"/>
      <c r="Z133" s="11" t="str">
        <f aca="false" t="array" ref="Z133:Z133">IFERROR(INDEX('Bank Schedule'!Z:Z, SMALL(IF('Bank Schedule'!$K$2:$K$825="Vacant", ROW('Bank Schedule'!$K$2:$K$825)), ROW(130:130))), "")</f>
        <v/>
      </c>
      <c r="AA133" s="11" t="str">
        <f aca="false" t="array" ref="AA133:AA133">IFERROR(INDEX('Bank Schedule'!AA:AA, SMALL(IF('Bank Schedule'!$K$2:$K$825="Vacant", ROW('Bank Schedule'!$K$2:$K$825)), ROW(130:130))), "")</f>
        <v/>
      </c>
      <c r="AB133" s="11" t="str">
        <f aca="false" t="array" ref="AB133:AB133">IFERROR(INDEX('Bank Schedule'!AB:AB, SMALL(IF('Bank Schedule'!$K$2:$K$825="Vacant", ROW('Bank Schedule'!$K$2:$K$825)), ROW(130:130))), "")</f>
        <v/>
      </c>
      <c r="AC133" s="11" t="str">
        <f aca="false" t="array" ref="AC133:AC133">IFERROR(INDEX('Bank Schedule'!AC:AC, SMALL(IF('Bank Schedule'!$K$2:$K$825="Vacant", ROW('Bank Schedule'!$K$2:$K$825)), ROW(130:130))), "")</f>
        <v/>
      </c>
      <c r="AD133" s="96" t="str">
        <f aca="false" t="array" ref="AD133:AD133">IFERROR(INDEX('Bank Schedule'!AD:AD, SMALL(IF('Bank Schedule'!$K$2:$K$825="Vacant", ROW('Bank Schedule'!$K$2:$K$825)), ROW(130:130))), "")</f>
        <v/>
      </c>
      <c r="AE133" s="312" t="str">
        <f aca="false" t="array" ref="AE133:AE133">IFERROR(INDEX('Bank Schedule'!AE:AE, SMALL(IF('Bank Schedule'!$K$2:$K$825="Vacant", ROW('Bank Schedule'!$K$2:$K$825)), ROW(130:130))), "")</f>
        <v/>
      </c>
      <c r="AF133" s="11" t="str">
        <f aca="false" t="array" ref="AF133:AF133">IFERROR(INDEX('Bank Schedule'!AF:AF, SMALL(IF('Bank Schedule'!$K$2:$K$825="Vacant", ROW('Bank Schedule'!$K$2:$K$825)), ROW(130:130))), "")</f>
        <v/>
      </c>
      <c r="AG133" s="11" t="str">
        <f aca="false" t="array" ref="AG133:AG133">IFERROR(INDEX('Bank Schedule'!AG:AG, SMALL(IF('Bank Schedule'!$K$2:$K$825="Vacant", ROW('Bank Schedule'!$K$2:$K$825)), ROW(130:130))), "")</f>
        <v/>
      </c>
      <c r="AH133" s="11" t="str">
        <f aca="false" t="array" ref="AH133:AH133">IFERROR(INDEX('Bank Schedule'!AH:AH, SMALL(IF('Bank Schedule'!$K$2:$K$825="Vacant", ROW('Bank Schedule'!$K$2:$K$825)), ROW(130:130))), "")</f>
        <v/>
      </c>
      <c r="AI133" s="4"/>
    </row>
    <row r="134" customFormat="false" ht="28.5" hidden="false" customHeight="true" outlineLevel="0" collapsed="false">
      <c r="A134" s="29" t="str">
        <f aca="false" t="array" ref="A134:A134">IFERROR(INDEX('Bank Schedule'!A:A, SMALL(IF('Bank Schedule'!$K$2:$K$825="Vacant", ROW('Bank Schedule'!$K$2:$K$825)), ROW(131:131))), "")</f>
        <v/>
      </c>
      <c r="B134" s="11" t="str">
        <f aca="false" t="array" ref="B134:B134">IFERROR(INDEX('Bank Schedule'!B:B, SMALL(IF('Bank Schedule'!$K$2:$K$825="Vacant", ROW('Bank Schedule'!$K$2:$K$825)), ROW(131:131))), "")</f>
        <v/>
      </c>
      <c r="C134" s="11" t="str">
        <f aca="false" t="array" ref="C134:C134">IFERROR(INDEX('Bank Schedule'!C:C, SMALL(IF('Bank Schedule'!$K$2:$K$825="Vacant", ROW('Bank Schedule'!$K$2:$K$825)), ROW(131:131))), "")</f>
        <v/>
      </c>
      <c r="D134" s="11" t="str">
        <f aca="false" t="array" ref="D134:D134">IFERROR(INDEX('Bank Schedule'!D:D, SMALL(IF('Bank Schedule'!$K$2:$K$825="Vacant", ROW('Bank Schedule'!$K$2:$K$825)), ROW(131:131))), "")</f>
        <v/>
      </c>
      <c r="E134" s="96" t="str">
        <f aca="false" t="array" ref="E134:E134">IFERROR(INDEX('Bank Schedule'!E:E, SMALL(IF('Bank Schedule'!$K$2:$K$825="Vacant", ROW('Bank Schedule'!$K$2:$K$825)), ROW(131:131))), "")</f>
        <v/>
      </c>
      <c r="F134" s="96" t="str">
        <f aca="false" t="array" ref="F134:F134">IFERROR(INDEX('Bank Schedule'!F:F, SMALL(IF('Bank Schedule'!$K$2:$K$825="Vacant", ROW('Bank Schedule'!$K$2:$K$825)), ROW(131:131))), "")</f>
        <v/>
      </c>
      <c r="G134" s="96" t="str">
        <f aca="false" t="array" ref="G134:G134">IFERROR(INDEX('Bank Schedule'!G:G, SMALL(IF('Bank Schedule'!$K$2:$K$825="Vacant", ROW('Bank Schedule'!$K$2:$K$825)), ROW(131:131))), "")</f>
        <v/>
      </c>
      <c r="H134" s="14" t="str">
        <f aca="false" t="array" ref="H134:H134">IFERROR(INDEX('Bank Schedule'!H:H, SMALL(IF('Bank Schedule'!$K$2:$K$825="Vacant", ROW('Bank Schedule'!$K$2:$K$825)), ROW(131:131))), "")</f>
        <v/>
      </c>
      <c r="I134" s="14" t="str">
        <f aca="false" t="array" ref="I134:I134">IFERROR(INDEX('Bank Schedule'!I:I, SMALL(IF('Bank Schedule'!$K$2:$K$825="Vacant", ROW('Bank Schedule'!$K$2:$K$825)), ROW(131:131))), "")</f>
        <v/>
      </c>
      <c r="J134" s="14"/>
      <c r="K134" s="11" t="str">
        <f aca="false" t="array" ref="K134:K134">IFERROR(INDEX('Bank Schedule'!K:K, SMALL(IF('Bank Schedule'!$K$2:$K$825="Vacant", ROW('Bank Schedule'!$K$2:$K$825)), ROW(131:131))), "")</f>
        <v/>
      </c>
      <c r="L134" s="11" t="str">
        <f aca="false" t="array" ref="L134:L134">IFERROR(INDEX('Bank Schedule'!L:L, SMALL(IF('Bank Schedule'!$K$2:$K$825="Vacant", ROW('Bank Schedule'!$K$2:$K$825)), ROW(131:131))), "")</f>
        <v/>
      </c>
      <c r="M134" s="11" t="str">
        <f aca="false" t="array" ref="M134:M134">IFERROR(INDEX('Bank Schedule'!M:M, SMALL(IF('Bank Schedule'!$K$2:$K$825="Vacant", ROW('Bank Schedule'!$K$2:$K$825)), ROW(131:131))), "")</f>
        <v/>
      </c>
      <c r="N134" s="295" t="str">
        <f aca="false" t="array" ref="N134:N134">IFERROR(INDEX('Bank Schedule'!N:N, SMALL(IF('Bank Schedule'!$K$2:$K$825="Vacant", ROW('Bank Schedule'!$K$2:$K$825)), ROW(131:131))), "")</f>
        <v/>
      </c>
      <c r="O134" s="11" t="str">
        <f aca="false" t="array" ref="O134:O134">IFERROR(INDEX('Bank Schedule'!O:O, SMALL(IF('Bank Schedule'!$K$2:$K$825="Vacant", ROW('Bank Schedule'!$K$2:$K$825)), ROW(131:131))), "")</f>
        <v/>
      </c>
      <c r="P134" s="11" t="str">
        <f aca="false" t="array" ref="P134:P134">IFERROR(INDEX('Bank Schedule'!P:P, SMALL(IF('Bank Schedule'!$K$2:$K$825="Vacant", ROW('Bank Schedule'!$K$2:$K$825)), ROW(131:131))), "")</f>
        <v/>
      </c>
      <c r="Q134" s="11" t="str">
        <f aca="false" t="array" ref="Q134:Q134">IFERROR(INDEX('Bank Schedule'!Q:Q, SMALL(IF('Bank Schedule'!$K$2:$K$825="Vacant", ROW('Bank Schedule'!$K$2:$K$825)), ROW(131:131))), "")</f>
        <v/>
      </c>
      <c r="R134" s="11" t="str">
        <f aca="false" t="array" ref="R134:R134">IFERROR(INDEX('Bank Schedule'!R:R, SMALL(IF('Bank Schedule'!$K$2:$K$825="Vacant", ROW('Bank Schedule'!$K$2:$K$825)), ROW(131:131))), "")</f>
        <v/>
      </c>
      <c r="S134" s="11" t="str">
        <f aca="false" t="array" ref="S134:S134">IFERROR(INDEX('Bank Schedule'!S:S, SMALL(IF('Bank Schedule'!$K$2:$K$825="Vacant", ROW('Bank Schedule'!$K$2:$K$825)), ROW(131:131))), "")</f>
        <v/>
      </c>
      <c r="T134" s="296" t="str">
        <f aca="false" t="array" ref="T134:T134">IFERROR(INDEX('Bank Schedule'!T:T, SMALL(IF('Bank Schedule'!$K$2:$K$825="Vacant", ROW('Bank Schedule'!$K$2:$K$825)), ROW(131:131))), "")</f>
        <v/>
      </c>
      <c r="U134" s="296" t="str">
        <f aca="false" t="array" ref="U134:U134">IFERROR(INDEX('Bank Schedule'!U:U, SMALL(IF('Bank Schedule'!$K$2:$K$825="Vacant", ROW('Bank Schedule'!$K$2:$K$825)), ROW(131:131))), "")</f>
        <v/>
      </c>
      <c r="V134" s="296" t="str">
        <f aca="false" t="array" ref="V134:V134">IFERROR(INDEX('Bank Schedule'!V:V, SMALL(IF('Bank Schedule'!$K$2:$K$825="Vacant", ROW('Bank Schedule'!$K$2:$K$825)), ROW(131:131))), "")</f>
        <v/>
      </c>
      <c r="W134" s="296" t="str">
        <f aca="false" t="array" ref="W134:W134">IFERROR(INDEX('Bank Schedule'!W:W, SMALL(IF('Bank Schedule'!$K$2:$K$825="Vacant", ROW('Bank Schedule'!$K$2:$K$825)), ROW(131:131))), "")</f>
        <v/>
      </c>
      <c r="X134" s="296" t="str">
        <f aca="false" t="array" ref="X134:X134">IFERROR(INDEX('Bank Schedule'!X:X, SMALL(IF('Bank Schedule'!$K$2:$K$825="Vacant", ROW('Bank Schedule'!$K$2:$K$825)), ROW(131:131))), "")</f>
        <v/>
      </c>
      <c r="Y134" s="100"/>
      <c r="Z134" s="11" t="str">
        <f aca="false" t="array" ref="Z134:Z134">IFERROR(INDEX('Bank Schedule'!Z:Z, SMALL(IF('Bank Schedule'!$K$2:$K$825="Vacant", ROW('Bank Schedule'!$K$2:$K$825)), ROW(131:131))), "")</f>
        <v/>
      </c>
      <c r="AA134" s="11" t="str">
        <f aca="false" t="array" ref="AA134:AA134">IFERROR(INDEX('Bank Schedule'!AA:AA, SMALL(IF('Bank Schedule'!$K$2:$K$825="Vacant", ROW('Bank Schedule'!$K$2:$K$825)), ROW(131:131))), "")</f>
        <v/>
      </c>
      <c r="AB134" s="11" t="str">
        <f aca="false" t="array" ref="AB134:AB134">IFERROR(INDEX('Bank Schedule'!AB:AB, SMALL(IF('Bank Schedule'!$K$2:$K$825="Vacant", ROW('Bank Schedule'!$K$2:$K$825)), ROW(131:131))), "")</f>
        <v/>
      </c>
      <c r="AC134" s="11" t="str">
        <f aca="false" t="array" ref="AC134:AC134">IFERROR(INDEX('Bank Schedule'!AC:AC, SMALL(IF('Bank Schedule'!$K$2:$K$825="Vacant", ROW('Bank Schedule'!$K$2:$K$825)), ROW(131:131))), "")</f>
        <v/>
      </c>
      <c r="AD134" s="96" t="str">
        <f aca="false" t="array" ref="AD134:AD134">IFERROR(INDEX('Bank Schedule'!AD:AD, SMALL(IF('Bank Schedule'!$K$2:$K$825="Vacant", ROW('Bank Schedule'!$K$2:$K$825)), ROW(131:131))), "")</f>
        <v/>
      </c>
      <c r="AE134" s="312" t="str">
        <f aca="false" t="array" ref="AE134:AE134">IFERROR(INDEX('Bank Schedule'!AE:AE, SMALL(IF('Bank Schedule'!$K$2:$K$825="Vacant", ROW('Bank Schedule'!$K$2:$K$825)), ROW(131:131))), "")</f>
        <v/>
      </c>
      <c r="AF134" s="11" t="str">
        <f aca="false" t="array" ref="AF134:AF134">IFERROR(INDEX('Bank Schedule'!AF:AF, SMALL(IF('Bank Schedule'!$K$2:$K$825="Vacant", ROW('Bank Schedule'!$K$2:$K$825)), ROW(131:131))), "")</f>
        <v/>
      </c>
      <c r="AG134" s="11" t="str">
        <f aca="false" t="array" ref="AG134:AG134">IFERROR(INDEX('Bank Schedule'!AG:AG, SMALL(IF('Bank Schedule'!$K$2:$K$825="Vacant", ROW('Bank Schedule'!$K$2:$K$825)), ROW(131:131))), "")</f>
        <v/>
      </c>
      <c r="AH134" s="11" t="str">
        <f aca="false" t="array" ref="AH134:AH134">IFERROR(INDEX('Bank Schedule'!AH:AH, SMALL(IF('Bank Schedule'!$K$2:$K$825="Vacant", ROW('Bank Schedule'!$K$2:$K$825)), ROW(131:131))), "")</f>
        <v/>
      </c>
      <c r="AI134" s="4"/>
    </row>
    <row r="135" customFormat="false" ht="28.5" hidden="false" customHeight="true" outlineLevel="0" collapsed="false">
      <c r="A135" s="29" t="str">
        <f aca="false" t="array" ref="A135:A135">IFERROR(INDEX('Bank Schedule'!A:A, SMALL(IF('Bank Schedule'!$K$2:$K$825="Vacant", ROW('Bank Schedule'!$K$2:$K$825)), ROW(132:132))), "")</f>
        <v/>
      </c>
      <c r="B135" s="11" t="str">
        <f aca="false" t="array" ref="B135:B135">IFERROR(INDEX('Bank Schedule'!B:B, SMALL(IF('Bank Schedule'!$K$2:$K$825="Vacant", ROW('Bank Schedule'!$K$2:$K$825)), ROW(132:132))), "")</f>
        <v/>
      </c>
      <c r="C135" s="11" t="str">
        <f aca="false" t="array" ref="C135:C135">IFERROR(INDEX('Bank Schedule'!C:C, SMALL(IF('Bank Schedule'!$K$2:$K$825="Vacant", ROW('Bank Schedule'!$K$2:$K$825)), ROW(132:132))), "")</f>
        <v/>
      </c>
      <c r="D135" s="11" t="str">
        <f aca="false" t="array" ref="D135:D135">IFERROR(INDEX('Bank Schedule'!D:D, SMALL(IF('Bank Schedule'!$K$2:$K$825="Vacant", ROW('Bank Schedule'!$K$2:$K$825)), ROW(132:132))), "")</f>
        <v/>
      </c>
      <c r="E135" s="11" t="str">
        <f aca="false" t="array" ref="E135:E135">IFERROR(INDEX('Bank Schedule'!E:E, SMALL(IF('Bank Schedule'!$K$2:$K$825="Vacant", ROW('Bank Schedule'!$K$2:$K$825)), ROW(132:132))), "")</f>
        <v/>
      </c>
      <c r="F135" s="11" t="str">
        <f aca="false" t="array" ref="F135:F135">IFERROR(INDEX('Bank Schedule'!F:F, SMALL(IF('Bank Schedule'!$K$2:$K$825="Vacant", ROW('Bank Schedule'!$K$2:$K$825)), ROW(132:132))), "")</f>
        <v/>
      </c>
      <c r="G135" s="11" t="str">
        <f aca="false" t="array" ref="G135:G135">IFERROR(INDEX('Bank Schedule'!G:G, SMALL(IF('Bank Schedule'!$K$2:$K$825="Vacant", ROW('Bank Schedule'!$K$2:$K$825)), ROW(132:132))), "")</f>
        <v/>
      </c>
      <c r="H135" s="14" t="str">
        <f aca="false" t="array" ref="H135:H135">IFERROR(INDEX('Bank Schedule'!H:H, SMALL(IF('Bank Schedule'!$K$2:$K$825="Vacant", ROW('Bank Schedule'!$K$2:$K$825)), ROW(132:132))), "")</f>
        <v/>
      </c>
      <c r="I135" s="11" t="str">
        <f aca="false" t="array" ref="I135:I135">IFERROR(INDEX('Bank Schedule'!I:I, SMALL(IF('Bank Schedule'!$K$2:$K$825="Vacant", ROW('Bank Schedule'!$K$2:$K$825)), ROW(132:132))), "")</f>
        <v/>
      </c>
      <c r="J135" s="14"/>
      <c r="K135" s="11" t="str">
        <f aca="false" t="array" ref="K135:K135">IFERROR(INDEX('Bank Schedule'!K:K, SMALL(IF('Bank Schedule'!$K$2:$K$825="Vacant", ROW('Bank Schedule'!$K$2:$K$825)), ROW(132:132))), "")</f>
        <v/>
      </c>
      <c r="L135" s="11" t="str">
        <f aca="false" t="array" ref="L135:L135">IFERROR(INDEX('Bank Schedule'!L:L, SMALL(IF('Bank Schedule'!$K$2:$K$825="Vacant", ROW('Bank Schedule'!$K$2:$K$825)), ROW(132:132))), "")</f>
        <v/>
      </c>
      <c r="M135" s="11" t="str">
        <f aca="false" t="array" ref="M135:M135">IFERROR(INDEX('Bank Schedule'!M:M, SMALL(IF('Bank Schedule'!$K$2:$K$825="Vacant", ROW('Bank Schedule'!$K$2:$K$825)), ROW(132:132))), "")</f>
        <v/>
      </c>
      <c r="N135" s="295" t="str">
        <f aca="false" t="array" ref="N135:N135">IFERROR(INDEX('Bank Schedule'!N:N, SMALL(IF('Bank Schedule'!$K$2:$K$825="Vacant", ROW('Bank Schedule'!$K$2:$K$825)), ROW(132:132))), "")</f>
        <v/>
      </c>
      <c r="O135" s="11" t="str">
        <f aca="false" t="array" ref="O135:O135">IFERROR(INDEX('Bank Schedule'!O:O, SMALL(IF('Bank Schedule'!$K$2:$K$825="Vacant", ROW('Bank Schedule'!$K$2:$K$825)), ROW(132:132))), "")</f>
        <v/>
      </c>
      <c r="P135" s="11" t="str">
        <f aca="false" t="array" ref="P135:P135">IFERROR(INDEX('Bank Schedule'!P:P, SMALL(IF('Bank Schedule'!$K$2:$K$825="Vacant", ROW('Bank Schedule'!$K$2:$K$825)), ROW(132:132))), "")</f>
        <v/>
      </c>
      <c r="Q135" s="11" t="str">
        <f aca="false" t="array" ref="Q135:Q135">IFERROR(INDEX('Bank Schedule'!Q:Q, SMALL(IF('Bank Schedule'!$K$2:$K$825="Vacant", ROW('Bank Schedule'!$K$2:$K$825)), ROW(132:132))), "")</f>
        <v/>
      </c>
      <c r="R135" s="11" t="str">
        <f aca="false" t="array" ref="R135:R135">IFERROR(INDEX('Bank Schedule'!R:R, SMALL(IF('Bank Schedule'!$K$2:$K$825="Vacant", ROW('Bank Schedule'!$K$2:$K$825)), ROW(132:132))), "")</f>
        <v/>
      </c>
      <c r="S135" s="11" t="str">
        <f aca="false" t="array" ref="S135:S135">IFERROR(INDEX('Bank Schedule'!S:S, SMALL(IF('Bank Schedule'!$K$2:$K$825="Vacant", ROW('Bank Schedule'!$K$2:$K$825)), ROW(132:132))), "")</f>
        <v/>
      </c>
      <c r="T135" s="296" t="str">
        <f aca="false" t="array" ref="T135:T135">IFERROR(INDEX('Bank Schedule'!T:T, SMALL(IF('Bank Schedule'!$K$2:$K$825="Vacant", ROW('Bank Schedule'!$K$2:$K$825)), ROW(132:132))), "")</f>
        <v/>
      </c>
      <c r="U135" s="296" t="str">
        <f aca="false" t="array" ref="U135:U135">IFERROR(INDEX('Bank Schedule'!U:U, SMALL(IF('Bank Schedule'!$K$2:$K$825="Vacant", ROW('Bank Schedule'!$K$2:$K$825)), ROW(132:132))), "")</f>
        <v/>
      </c>
      <c r="V135" s="296" t="str">
        <f aca="false" t="array" ref="V135:V135">IFERROR(INDEX('Bank Schedule'!V:V, SMALL(IF('Bank Schedule'!$K$2:$K$825="Vacant", ROW('Bank Schedule'!$K$2:$K$825)), ROW(132:132))), "")</f>
        <v/>
      </c>
      <c r="W135" s="296" t="str">
        <f aca="false" t="array" ref="W135:W135">IFERROR(INDEX('Bank Schedule'!W:W, SMALL(IF('Bank Schedule'!$K$2:$K$825="Vacant", ROW('Bank Schedule'!$K$2:$K$825)), ROW(132:132))), "")</f>
        <v/>
      </c>
      <c r="X135" s="296" t="str">
        <f aca="false" t="array" ref="X135:X135">IFERROR(INDEX('Bank Schedule'!X:X, SMALL(IF('Bank Schedule'!$K$2:$K$825="Vacant", ROW('Bank Schedule'!$K$2:$K$825)), ROW(132:132))), "")</f>
        <v/>
      </c>
      <c r="Y135" s="100"/>
      <c r="Z135" s="11" t="str">
        <f aca="false" t="array" ref="Z135:Z135">IFERROR(INDEX('Bank Schedule'!Z:Z, SMALL(IF('Bank Schedule'!$K$2:$K$825="Vacant", ROW('Bank Schedule'!$K$2:$K$825)), ROW(132:132))), "")</f>
        <v/>
      </c>
      <c r="AA135" s="11" t="str">
        <f aca="false" t="array" ref="AA135:AA135">IFERROR(INDEX('Bank Schedule'!AA:AA, SMALL(IF('Bank Schedule'!$K$2:$K$825="Vacant", ROW('Bank Schedule'!$K$2:$K$825)), ROW(132:132))), "")</f>
        <v/>
      </c>
      <c r="AB135" s="11" t="str">
        <f aca="false" t="array" ref="AB135:AB135">IFERROR(INDEX('Bank Schedule'!AB:AB, SMALL(IF('Bank Schedule'!$K$2:$K$825="Vacant", ROW('Bank Schedule'!$K$2:$K$825)), ROW(132:132))), "")</f>
        <v/>
      </c>
      <c r="AC135" s="11" t="str">
        <f aca="false" t="array" ref="AC135:AC135">IFERROR(INDEX('Bank Schedule'!AC:AC, SMALL(IF('Bank Schedule'!$K$2:$K$825="Vacant", ROW('Bank Schedule'!$K$2:$K$825)), ROW(132:132))), "")</f>
        <v/>
      </c>
      <c r="AD135" s="11" t="str">
        <f aca="false" t="array" ref="AD135:AD135">IFERROR(INDEX('Bank Schedule'!AD:AD, SMALL(IF('Bank Schedule'!$K$2:$K$825="Vacant", ROW('Bank Schedule'!$K$2:$K$825)), ROW(132:132))), "")</f>
        <v/>
      </c>
      <c r="AE135" s="312" t="str">
        <f aca="false" t="array" ref="AE135:AE135">IFERROR(INDEX('Bank Schedule'!AE:AE, SMALL(IF('Bank Schedule'!$K$2:$K$825="Vacant", ROW('Bank Schedule'!$K$2:$K$825)), ROW(132:132))), "")</f>
        <v/>
      </c>
      <c r="AF135" s="11" t="str">
        <f aca="false" t="array" ref="AF135:AF135">IFERROR(INDEX('Bank Schedule'!AF:AF, SMALL(IF('Bank Schedule'!$K$2:$K$825="Vacant", ROW('Bank Schedule'!$K$2:$K$825)), ROW(132:132))), "")</f>
        <v/>
      </c>
      <c r="AG135" s="11" t="str">
        <f aca="false" t="array" ref="AG135:AG135">IFERROR(INDEX('Bank Schedule'!AG:AG, SMALL(IF('Bank Schedule'!$K$2:$K$825="Vacant", ROW('Bank Schedule'!$K$2:$K$825)), ROW(132:132))), "")</f>
        <v/>
      </c>
      <c r="AH135" s="11" t="str">
        <f aca="false" t="array" ref="AH135:AH135">IFERROR(INDEX('Bank Schedule'!AH:AH, SMALL(IF('Bank Schedule'!$K$2:$K$825="Vacant", ROW('Bank Schedule'!$K$2:$K$825)), ROW(132:132))), "")</f>
        <v/>
      </c>
      <c r="AI135" s="4"/>
    </row>
    <row r="136" customFormat="false" ht="28.5" hidden="false" customHeight="true" outlineLevel="0" collapsed="false">
      <c r="A136" s="29" t="str">
        <f aca="false" t="array" ref="A136:A136">IFERROR(INDEX('Bank Schedule'!A:A, SMALL(IF('Bank Schedule'!$K$2:$K$825="Vacant", ROW('Bank Schedule'!$K$2:$K$825)), ROW(133:133))), "")</f>
        <v/>
      </c>
      <c r="B136" s="11" t="str">
        <f aca="false" t="array" ref="B136:B136">IFERROR(INDEX('Bank Schedule'!B:B, SMALL(IF('Bank Schedule'!$K$2:$K$825="Vacant", ROW('Bank Schedule'!$K$2:$K$825)), ROW(133:133))), "")</f>
        <v/>
      </c>
      <c r="C136" s="11" t="str">
        <f aca="false" t="array" ref="C136:C136">IFERROR(INDEX('Bank Schedule'!C:C, SMALL(IF('Bank Schedule'!$K$2:$K$825="Vacant", ROW('Bank Schedule'!$K$2:$K$825)), ROW(133:133))), "")</f>
        <v/>
      </c>
      <c r="D136" s="11" t="str">
        <f aca="false" t="array" ref="D136:D136">IFERROR(INDEX('Bank Schedule'!D:D, SMALL(IF('Bank Schedule'!$K$2:$K$825="Vacant", ROW('Bank Schedule'!$K$2:$K$825)), ROW(133:133))), "")</f>
        <v/>
      </c>
      <c r="E136" s="11" t="str">
        <f aca="false" t="array" ref="E136:E136">IFERROR(INDEX('Bank Schedule'!E:E, SMALL(IF('Bank Schedule'!$K$2:$K$825="Vacant", ROW('Bank Schedule'!$K$2:$K$825)), ROW(133:133))), "")</f>
        <v/>
      </c>
      <c r="F136" s="11" t="str">
        <f aca="false" t="array" ref="F136:F136">IFERROR(INDEX('Bank Schedule'!F:F, SMALL(IF('Bank Schedule'!$K$2:$K$825="Vacant", ROW('Bank Schedule'!$K$2:$K$825)), ROW(133:133))), "")</f>
        <v/>
      </c>
      <c r="G136" s="11" t="str">
        <f aca="false" t="array" ref="G136:G136">IFERROR(INDEX('Bank Schedule'!G:G, SMALL(IF('Bank Schedule'!$K$2:$K$825="Vacant", ROW('Bank Schedule'!$K$2:$K$825)), ROW(133:133))), "")</f>
        <v/>
      </c>
      <c r="H136" s="14" t="str">
        <f aca="false" t="array" ref="H136:H136">IFERROR(INDEX('Bank Schedule'!H:H, SMALL(IF('Bank Schedule'!$K$2:$K$825="Vacant", ROW('Bank Schedule'!$K$2:$K$825)), ROW(133:133))), "")</f>
        <v/>
      </c>
      <c r="I136" s="11" t="str">
        <f aca="false" t="array" ref="I136:I136">IFERROR(INDEX('Bank Schedule'!I:I, SMALL(IF('Bank Schedule'!$K$2:$K$825="Vacant", ROW('Bank Schedule'!$K$2:$K$825)), ROW(133:133))), "")</f>
        <v/>
      </c>
      <c r="J136" s="14"/>
      <c r="K136" s="11" t="str">
        <f aca="false" t="array" ref="K136:K136">IFERROR(INDEX('Bank Schedule'!K:K, SMALL(IF('Bank Schedule'!$K$2:$K$825="Vacant", ROW('Bank Schedule'!$K$2:$K$825)), ROW(133:133))), "")</f>
        <v/>
      </c>
      <c r="L136" s="11" t="str">
        <f aca="false" t="array" ref="L136:L136">IFERROR(INDEX('Bank Schedule'!L:L, SMALL(IF('Bank Schedule'!$K$2:$K$825="Vacant", ROW('Bank Schedule'!$K$2:$K$825)), ROW(133:133))), "")</f>
        <v/>
      </c>
      <c r="M136" s="11" t="str">
        <f aca="false" t="array" ref="M136:M136">IFERROR(INDEX('Bank Schedule'!M:M, SMALL(IF('Bank Schedule'!$K$2:$K$825="Vacant", ROW('Bank Schedule'!$K$2:$K$825)), ROW(133:133))), "")</f>
        <v/>
      </c>
      <c r="N136" s="295" t="str">
        <f aca="false" t="array" ref="N136:N136">IFERROR(INDEX('Bank Schedule'!N:N, SMALL(IF('Bank Schedule'!$K$2:$K$825="Vacant", ROW('Bank Schedule'!$K$2:$K$825)), ROW(133:133))), "")</f>
        <v/>
      </c>
      <c r="O136" s="11" t="str">
        <f aca="false" t="array" ref="O136:O136">IFERROR(INDEX('Bank Schedule'!O:O, SMALL(IF('Bank Schedule'!$K$2:$K$825="Vacant", ROW('Bank Schedule'!$K$2:$K$825)), ROW(133:133))), "")</f>
        <v/>
      </c>
      <c r="P136" s="11" t="str">
        <f aca="false" t="array" ref="P136:P136">IFERROR(INDEX('Bank Schedule'!P:P, SMALL(IF('Bank Schedule'!$K$2:$K$825="Vacant", ROW('Bank Schedule'!$K$2:$K$825)), ROW(133:133))), "")</f>
        <v/>
      </c>
      <c r="Q136" s="11" t="str">
        <f aca="false" t="array" ref="Q136:Q136">IFERROR(INDEX('Bank Schedule'!Q:Q, SMALL(IF('Bank Schedule'!$K$2:$K$825="Vacant", ROW('Bank Schedule'!$K$2:$K$825)), ROW(133:133))), "")</f>
        <v/>
      </c>
      <c r="R136" s="11" t="str">
        <f aca="false" t="array" ref="R136:R136">IFERROR(INDEX('Bank Schedule'!R:R, SMALL(IF('Bank Schedule'!$K$2:$K$825="Vacant", ROW('Bank Schedule'!$K$2:$K$825)), ROW(133:133))), "")</f>
        <v/>
      </c>
      <c r="S136" s="11" t="str">
        <f aca="false" t="array" ref="S136:S136">IFERROR(INDEX('Bank Schedule'!S:S, SMALL(IF('Bank Schedule'!$K$2:$K$825="Vacant", ROW('Bank Schedule'!$K$2:$K$825)), ROW(133:133))), "")</f>
        <v/>
      </c>
      <c r="T136" s="296" t="str">
        <f aca="false" t="array" ref="T136:T136">IFERROR(INDEX('Bank Schedule'!T:T, SMALL(IF('Bank Schedule'!$K$2:$K$825="Vacant", ROW('Bank Schedule'!$K$2:$K$825)), ROW(133:133))), "")</f>
        <v/>
      </c>
      <c r="U136" s="296" t="str">
        <f aca="false" t="array" ref="U136:U136">IFERROR(INDEX('Bank Schedule'!U:U, SMALL(IF('Bank Schedule'!$K$2:$K$825="Vacant", ROW('Bank Schedule'!$K$2:$K$825)), ROW(133:133))), "")</f>
        <v/>
      </c>
      <c r="V136" s="296" t="str">
        <f aca="false" t="array" ref="V136:V136">IFERROR(INDEX('Bank Schedule'!V:V, SMALL(IF('Bank Schedule'!$K$2:$K$825="Vacant", ROW('Bank Schedule'!$K$2:$K$825)), ROW(133:133))), "")</f>
        <v/>
      </c>
      <c r="W136" s="296" t="str">
        <f aca="false" t="array" ref="W136:W136">IFERROR(INDEX('Bank Schedule'!W:W, SMALL(IF('Bank Schedule'!$K$2:$K$825="Vacant", ROW('Bank Schedule'!$K$2:$K$825)), ROW(133:133))), "")</f>
        <v/>
      </c>
      <c r="X136" s="296" t="str">
        <f aca="false" t="array" ref="X136:X136">IFERROR(INDEX('Bank Schedule'!X:X, SMALL(IF('Bank Schedule'!$K$2:$K$825="Vacant", ROW('Bank Schedule'!$K$2:$K$825)), ROW(133:133))), "")</f>
        <v/>
      </c>
      <c r="Y136" s="100"/>
      <c r="Z136" s="11" t="str">
        <f aca="false" t="array" ref="Z136:Z136">IFERROR(INDEX('Bank Schedule'!Z:Z, SMALL(IF('Bank Schedule'!$K$2:$K$825="Vacant", ROW('Bank Schedule'!$K$2:$K$825)), ROW(133:133))), "")</f>
        <v/>
      </c>
      <c r="AA136" s="11" t="str">
        <f aca="false" t="array" ref="AA136:AA136">IFERROR(INDEX('Bank Schedule'!AA:AA, SMALL(IF('Bank Schedule'!$K$2:$K$825="Vacant", ROW('Bank Schedule'!$K$2:$K$825)), ROW(133:133))), "")</f>
        <v/>
      </c>
      <c r="AB136" s="11" t="str">
        <f aca="false" t="array" ref="AB136:AB136">IFERROR(INDEX('Bank Schedule'!AB:AB, SMALL(IF('Bank Schedule'!$K$2:$K$825="Vacant", ROW('Bank Schedule'!$K$2:$K$825)), ROW(133:133))), "")</f>
        <v/>
      </c>
      <c r="AC136" s="11" t="str">
        <f aca="false" t="array" ref="AC136:AC136">IFERROR(INDEX('Bank Schedule'!AC:AC, SMALL(IF('Bank Schedule'!$K$2:$K$825="Vacant", ROW('Bank Schedule'!$K$2:$K$825)), ROW(133:133))), "")</f>
        <v/>
      </c>
      <c r="AD136" s="11" t="str">
        <f aca="false" t="array" ref="AD136:AD136">IFERROR(INDEX('Bank Schedule'!AD:AD, SMALL(IF('Bank Schedule'!$K$2:$K$825="Vacant", ROW('Bank Schedule'!$K$2:$K$825)), ROW(133:133))), "")</f>
        <v/>
      </c>
      <c r="AE136" s="312" t="str">
        <f aca="false" t="array" ref="AE136:AE136">IFERROR(INDEX('Bank Schedule'!AE:AE, SMALL(IF('Bank Schedule'!$K$2:$K$825="Vacant", ROW('Bank Schedule'!$K$2:$K$825)), ROW(133:133))), "")</f>
        <v/>
      </c>
      <c r="AF136" s="11" t="str">
        <f aca="false" t="array" ref="AF136:AF136">IFERROR(INDEX('Bank Schedule'!AF:AF, SMALL(IF('Bank Schedule'!$K$2:$K$825="Vacant", ROW('Bank Schedule'!$K$2:$K$825)), ROW(133:133))), "")</f>
        <v/>
      </c>
      <c r="AG136" s="11" t="str">
        <f aca="false" t="array" ref="AG136:AG136">IFERROR(INDEX('Bank Schedule'!AG:AG, SMALL(IF('Bank Schedule'!$K$2:$K$825="Vacant", ROW('Bank Schedule'!$K$2:$K$825)), ROW(133:133))), "")</f>
        <v/>
      </c>
      <c r="AH136" s="11" t="str">
        <f aca="false" t="array" ref="AH136:AH136">IFERROR(INDEX('Bank Schedule'!AH:AH, SMALL(IF('Bank Schedule'!$K$2:$K$825="Vacant", ROW('Bank Schedule'!$K$2:$K$825)), ROW(133:133))), "")</f>
        <v/>
      </c>
      <c r="AI136" s="4"/>
    </row>
    <row r="137" customFormat="false" ht="28.5" hidden="false" customHeight="true" outlineLevel="0" collapsed="false">
      <c r="A137" s="29" t="str">
        <f aca="false" t="array" ref="A137:A137">IFERROR(INDEX('Bank Schedule'!A:A, SMALL(IF('Bank Schedule'!$K$2:$K$825="Vacant", ROW('Bank Schedule'!$K$2:$K$825)), ROW(134:134))), "")</f>
        <v/>
      </c>
      <c r="B137" s="11" t="str">
        <f aca="false" t="array" ref="B137:B137">IFERROR(INDEX('Bank Schedule'!B:B, SMALL(IF('Bank Schedule'!$K$2:$K$825="Vacant", ROW('Bank Schedule'!$K$2:$K$825)), ROW(134:134))), "")</f>
        <v/>
      </c>
      <c r="C137" s="11" t="str">
        <f aca="false" t="array" ref="C137:C137">IFERROR(INDEX('Bank Schedule'!C:C, SMALL(IF('Bank Schedule'!$K$2:$K$825="Vacant", ROW('Bank Schedule'!$K$2:$K$825)), ROW(134:134))), "")</f>
        <v/>
      </c>
      <c r="D137" s="11" t="str">
        <f aca="false" t="array" ref="D137:D137">IFERROR(INDEX('Bank Schedule'!D:D, SMALL(IF('Bank Schedule'!$K$2:$K$825="Vacant", ROW('Bank Schedule'!$K$2:$K$825)), ROW(134:134))), "")</f>
        <v/>
      </c>
      <c r="E137" s="11" t="str">
        <f aca="false" t="array" ref="E137:E137">IFERROR(INDEX('Bank Schedule'!E:E, SMALL(IF('Bank Schedule'!$K$2:$K$825="Vacant", ROW('Bank Schedule'!$K$2:$K$825)), ROW(134:134))), "")</f>
        <v/>
      </c>
      <c r="F137" s="11" t="str">
        <f aca="false" t="array" ref="F137:F137">IFERROR(INDEX('Bank Schedule'!F:F, SMALL(IF('Bank Schedule'!$K$2:$K$825="Vacant", ROW('Bank Schedule'!$K$2:$K$825)), ROW(134:134))), "")</f>
        <v/>
      </c>
      <c r="G137" s="11" t="str">
        <f aca="false" t="array" ref="G137:G137">IFERROR(INDEX('Bank Schedule'!G:G, SMALL(IF('Bank Schedule'!$K$2:$K$825="Vacant", ROW('Bank Schedule'!$K$2:$K$825)), ROW(134:134))), "")</f>
        <v/>
      </c>
      <c r="H137" s="14" t="str">
        <f aca="false" t="array" ref="H137:H137">IFERROR(INDEX('Bank Schedule'!H:H, SMALL(IF('Bank Schedule'!$K$2:$K$825="Vacant", ROW('Bank Schedule'!$K$2:$K$825)), ROW(134:134))), "")</f>
        <v/>
      </c>
      <c r="I137" s="11" t="str">
        <f aca="false" t="array" ref="I137:I137">IFERROR(INDEX('Bank Schedule'!I:I, SMALL(IF('Bank Schedule'!$K$2:$K$825="Vacant", ROW('Bank Schedule'!$K$2:$K$825)), ROW(134:134))), "")</f>
        <v/>
      </c>
      <c r="J137" s="14"/>
      <c r="K137" s="11" t="str">
        <f aca="false" t="array" ref="K137:K137">IFERROR(INDEX('Bank Schedule'!K:K, SMALL(IF('Bank Schedule'!$K$2:$K$825="Vacant", ROW('Bank Schedule'!$K$2:$K$825)), ROW(134:134))), "")</f>
        <v/>
      </c>
      <c r="L137" s="11" t="str">
        <f aca="false" t="array" ref="L137:L137">IFERROR(INDEX('Bank Schedule'!L:L, SMALL(IF('Bank Schedule'!$K$2:$K$825="Vacant", ROW('Bank Schedule'!$K$2:$K$825)), ROW(134:134))), "")</f>
        <v/>
      </c>
      <c r="M137" s="11" t="str">
        <f aca="false" t="array" ref="M137:M137">IFERROR(INDEX('Bank Schedule'!M:M, SMALL(IF('Bank Schedule'!$K$2:$K$825="Vacant", ROW('Bank Schedule'!$K$2:$K$825)), ROW(134:134))), "")</f>
        <v/>
      </c>
      <c r="N137" s="295" t="str">
        <f aca="false" t="array" ref="N137:N137">IFERROR(INDEX('Bank Schedule'!N:N, SMALL(IF('Bank Schedule'!$K$2:$K$825="Vacant", ROW('Bank Schedule'!$K$2:$K$825)), ROW(134:134))), "")</f>
        <v/>
      </c>
      <c r="O137" s="11" t="str">
        <f aca="false" t="array" ref="O137:O137">IFERROR(INDEX('Bank Schedule'!O:O, SMALL(IF('Bank Schedule'!$K$2:$K$825="Vacant", ROW('Bank Schedule'!$K$2:$K$825)), ROW(134:134))), "")</f>
        <v/>
      </c>
      <c r="P137" s="11" t="str">
        <f aca="false" t="array" ref="P137:P137">IFERROR(INDEX('Bank Schedule'!P:P, SMALL(IF('Bank Schedule'!$K$2:$K$825="Vacant", ROW('Bank Schedule'!$K$2:$K$825)), ROW(134:134))), "")</f>
        <v/>
      </c>
      <c r="Q137" s="11" t="str">
        <f aca="false" t="array" ref="Q137:Q137">IFERROR(INDEX('Bank Schedule'!Q:Q, SMALL(IF('Bank Schedule'!$K$2:$K$825="Vacant", ROW('Bank Schedule'!$K$2:$K$825)), ROW(134:134))), "")</f>
        <v/>
      </c>
      <c r="R137" s="11" t="str">
        <f aca="false" t="array" ref="R137:R137">IFERROR(INDEX('Bank Schedule'!R:R, SMALL(IF('Bank Schedule'!$K$2:$K$825="Vacant", ROW('Bank Schedule'!$K$2:$K$825)), ROW(134:134))), "")</f>
        <v/>
      </c>
      <c r="S137" s="11" t="str">
        <f aca="false" t="array" ref="S137:S137">IFERROR(INDEX('Bank Schedule'!S:S, SMALL(IF('Bank Schedule'!$K$2:$K$825="Vacant", ROW('Bank Schedule'!$K$2:$K$825)), ROW(134:134))), "")</f>
        <v/>
      </c>
      <c r="T137" s="296" t="str">
        <f aca="false" t="array" ref="T137:T137">IFERROR(INDEX('Bank Schedule'!T:T, SMALL(IF('Bank Schedule'!$K$2:$K$825="Vacant", ROW('Bank Schedule'!$K$2:$K$825)), ROW(134:134))), "")</f>
        <v/>
      </c>
      <c r="U137" s="296" t="str">
        <f aca="false" t="array" ref="U137:U137">IFERROR(INDEX('Bank Schedule'!U:U, SMALL(IF('Bank Schedule'!$K$2:$K$825="Vacant", ROW('Bank Schedule'!$K$2:$K$825)), ROW(134:134))), "")</f>
        <v/>
      </c>
      <c r="V137" s="296" t="str">
        <f aca="false" t="array" ref="V137:V137">IFERROR(INDEX('Bank Schedule'!V:V, SMALL(IF('Bank Schedule'!$K$2:$K$825="Vacant", ROW('Bank Schedule'!$K$2:$K$825)), ROW(134:134))), "")</f>
        <v/>
      </c>
      <c r="W137" s="296" t="str">
        <f aca="false" t="array" ref="W137:W137">IFERROR(INDEX('Bank Schedule'!W:W, SMALL(IF('Bank Schedule'!$K$2:$K$825="Vacant", ROW('Bank Schedule'!$K$2:$K$825)), ROW(134:134))), "")</f>
        <v/>
      </c>
      <c r="X137" s="296" t="str">
        <f aca="false" t="array" ref="X137:X137">IFERROR(INDEX('Bank Schedule'!X:X, SMALL(IF('Bank Schedule'!$K$2:$K$825="Vacant", ROW('Bank Schedule'!$K$2:$K$825)), ROW(134:134))), "")</f>
        <v/>
      </c>
      <c r="Y137" s="100"/>
      <c r="Z137" s="11" t="str">
        <f aca="false" t="array" ref="Z137:Z137">IFERROR(INDEX('Bank Schedule'!Z:Z, SMALL(IF('Bank Schedule'!$K$2:$K$825="Vacant", ROW('Bank Schedule'!$K$2:$K$825)), ROW(134:134))), "")</f>
        <v/>
      </c>
      <c r="AA137" s="11" t="str">
        <f aca="false" t="array" ref="AA137:AA137">IFERROR(INDEX('Bank Schedule'!AA:AA, SMALL(IF('Bank Schedule'!$K$2:$K$825="Vacant", ROW('Bank Schedule'!$K$2:$K$825)), ROW(134:134))), "")</f>
        <v/>
      </c>
      <c r="AB137" s="11" t="str">
        <f aca="false" t="array" ref="AB137:AB137">IFERROR(INDEX('Bank Schedule'!AB:AB, SMALL(IF('Bank Schedule'!$K$2:$K$825="Vacant", ROW('Bank Schedule'!$K$2:$K$825)), ROW(134:134))), "")</f>
        <v/>
      </c>
      <c r="AC137" s="11" t="str">
        <f aca="false" t="array" ref="AC137:AC137">IFERROR(INDEX('Bank Schedule'!AC:AC, SMALL(IF('Bank Schedule'!$K$2:$K$825="Vacant", ROW('Bank Schedule'!$K$2:$K$825)), ROW(134:134))), "")</f>
        <v/>
      </c>
      <c r="AD137" s="11" t="str">
        <f aca="false" t="array" ref="AD137:AD137">IFERROR(INDEX('Bank Schedule'!AD:AD, SMALL(IF('Bank Schedule'!$K$2:$K$825="Vacant", ROW('Bank Schedule'!$K$2:$K$825)), ROW(134:134))), "")</f>
        <v/>
      </c>
      <c r="AE137" s="312" t="str">
        <f aca="false" t="array" ref="AE137:AE137">IFERROR(INDEX('Bank Schedule'!AE:AE, SMALL(IF('Bank Schedule'!$K$2:$K$825="Vacant", ROW('Bank Schedule'!$K$2:$K$825)), ROW(134:134))), "")</f>
        <v/>
      </c>
      <c r="AF137" s="11" t="str">
        <f aca="false" t="array" ref="AF137:AF137">IFERROR(INDEX('Bank Schedule'!AF:AF, SMALL(IF('Bank Schedule'!$K$2:$K$825="Vacant", ROW('Bank Schedule'!$K$2:$K$825)), ROW(134:134))), "")</f>
        <v/>
      </c>
      <c r="AG137" s="11" t="str">
        <f aca="false" t="array" ref="AG137:AG137">IFERROR(INDEX('Bank Schedule'!AG:AG, SMALL(IF('Bank Schedule'!$K$2:$K$825="Vacant", ROW('Bank Schedule'!$K$2:$K$825)), ROW(134:134))), "")</f>
        <v/>
      </c>
      <c r="AH137" s="11" t="str">
        <f aca="false" t="array" ref="AH137:AH137">IFERROR(INDEX('Bank Schedule'!AH:AH, SMALL(IF('Bank Schedule'!$K$2:$K$825="Vacant", ROW('Bank Schedule'!$K$2:$K$825)), ROW(134:134))), "")</f>
        <v/>
      </c>
      <c r="AI137" s="4"/>
    </row>
    <row r="138" customFormat="false" ht="28.5" hidden="false" customHeight="true" outlineLevel="0" collapsed="false">
      <c r="A138" s="29" t="str">
        <f aca="false" t="array" ref="A138:A138">IFERROR(INDEX('Bank Schedule'!A:A, SMALL(IF('Bank Schedule'!$K$2:$K$825="Vacant", ROW('Bank Schedule'!$K$2:$K$825)), ROW(135:135))), "")</f>
        <v/>
      </c>
      <c r="B138" s="11" t="str">
        <f aca="false" t="array" ref="B138:B138">IFERROR(INDEX('Bank Schedule'!B:B, SMALL(IF('Bank Schedule'!$K$2:$K$825="Vacant", ROW('Bank Schedule'!$K$2:$K$825)), ROW(135:135))), "")</f>
        <v/>
      </c>
      <c r="C138" s="11" t="str">
        <f aca="false" t="array" ref="C138:C138">IFERROR(INDEX('Bank Schedule'!C:C, SMALL(IF('Bank Schedule'!$K$2:$K$825="Vacant", ROW('Bank Schedule'!$K$2:$K$825)), ROW(135:135))), "")</f>
        <v/>
      </c>
      <c r="D138" s="11" t="str">
        <f aca="false" t="array" ref="D138:D138">IFERROR(INDEX('Bank Schedule'!D:D, SMALL(IF('Bank Schedule'!$K$2:$K$825="Vacant", ROW('Bank Schedule'!$K$2:$K$825)), ROW(135:135))), "")</f>
        <v/>
      </c>
      <c r="E138" s="11" t="str">
        <f aca="false" t="array" ref="E138:E138">IFERROR(INDEX('Bank Schedule'!E:E, SMALL(IF('Bank Schedule'!$K$2:$K$825="Vacant", ROW('Bank Schedule'!$K$2:$K$825)), ROW(135:135))), "")</f>
        <v/>
      </c>
      <c r="F138" s="11" t="str">
        <f aca="false" t="array" ref="F138:F138">IFERROR(INDEX('Bank Schedule'!F:F, SMALL(IF('Bank Schedule'!$K$2:$K$825="Vacant", ROW('Bank Schedule'!$K$2:$K$825)), ROW(135:135))), "")</f>
        <v/>
      </c>
      <c r="G138" s="11" t="str">
        <f aca="false" t="array" ref="G138:G138">IFERROR(INDEX('Bank Schedule'!G:G, SMALL(IF('Bank Schedule'!$K$2:$K$825="Vacant", ROW('Bank Schedule'!$K$2:$K$825)), ROW(135:135))), "")</f>
        <v/>
      </c>
      <c r="H138" s="14" t="str">
        <f aca="false" t="array" ref="H138:H138">IFERROR(INDEX('Bank Schedule'!H:H, SMALL(IF('Bank Schedule'!$K$2:$K$825="Vacant", ROW('Bank Schedule'!$K$2:$K$825)), ROW(135:135))), "")</f>
        <v/>
      </c>
      <c r="I138" s="11" t="str">
        <f aca="false" t="array" ref="I138:I138">IFERROR(INDEX('Bank Schedule'!I:I, SMALL(IF('Bank Schedule'!$K$2:$K$825="Vacant", ROW('Bank Schedule'!$K$2:$K$825)), ROW(135:135))), "")</f>
        <v/>
      </c>
      <c r="J138" s="14"/>
      <c r="K138" s="11" t="str">
        <f aca="false" t="array" ref="K138:K138">IFERROR(INDEX('Bank Schedule'!K:K, SMALL(IF('Bank Schedule'!$K$2:$K$825="Vacant", ROW('Bank Schedule'!$K$2:$K$825)), ROW(135:135))), "")</f>
        <v/>
      </c>
      <c r="L138" s="11" t="str">
        <f aca="false" t="array" ref="L138:L138">IFERROR(INDEX('Bank Schedule'!L:L, SMALL(IF('Bank Schedule'!$K$2:$K$825="Vacant", ROW('Bank Schedule'!$K$2:$K$825)), ROW(135:135))), "")</f>
        <v/>
      </c>
      <c r="M138" s="11" t="str">
        <f aca="false" t="array" ref="M138:M138">IFERROR(INDEX('Bank Schedule'!M:M, SMALL(IF('Bank Schedule'!$K$2:$K$825="Vacant", ROW('Bank Schedule'!$K$2:$K$825)), ROW(135:135))), "")</f>
        <v/>
      </c>
      <c r="N138" s="295" t="str">
        <f aca="false" t="array" ref="N138:N138">IFERROR(INDEX('Bank Schedule'!N:N, SMALL(IF('Bank Schedule'!$K$2:$K$825="Vacant", ROW('Bank Schedule'!$K$2:$K$825)), ROW(135:135))), "")</f>
        <v/>
      </c>
      <c r="O138" s="11" t="str">
        <f aca="false" t="array" ref="O138:O138">IFERROR(INDEX('Bank Schedule'!O:O, SMALL(IF('Bank Schedule'!$K$2:$K$825="Vacant", ROW('Bank Schedule'!$K$2:$K$825)), ROW(135:135))), "")</f>
        <v/>
      </c>
      <c r="P138" s="11" t="str">
        <f aca="false" t="array" ref="P138:P138">IFERROR(INDEX('Bank Schedule'!P:P, SMALL(IF('Bank Schedule'!$K$2:$K$825="Vacant", ROW('Bank Schedule'!$K$2:$K$825)), ROW(135:135))), "")</f>
        <v/>
      </c>
      <c r="Q138" s="11" t="str">
        <f aca="false" t="array" ref="Q138:Q138">IFERROR(INDEX('Bank Schedule'!Q:Q, SMALL(IF('Bank Schedule'!$K$2:$K$825="Vacant", ROW('Bank Schedule'!$K$2:$K$825)), ROW(135:135))), "")</f>
        <v/>
      </c>
      <c r="R138" s="11" t="str">
        <f aca="false" t="array" ref="R138:R138">IFERROR(INDEX('Bank Schedule'!R:R, SMALL(IF('Bank Schedule'!$K$2:$K$825="Vacant", ROW('Bank Schedule'!$K$2:$K$825)), ROW(135:135))), "")</f>
        <v/>
      </c>
      <c r="S138" s="11" t="str">
        <f aca="false" t="array" ref="S138:S138">IFERROR(INDEX('Bank Schedule'!S:S, SMALL(IF('Bank Schedule'!$K$2:$K$825="Vacant", ROW('Bank Schedule'!$K$2:$K$825)), ROW(135:135))), "")</f>
        <v/>
      </c>
      <c r="T138" s="296" t="str">
        <f aca="false" t="array" ref="T138:T138">IFERROR(INDEX('Bank Schedule'!T:T, SMALL(IF('Bank Schedule'!$K$2:$K$825="Vacant", ROW('Bank Schedule'!$K$2:$K$825)), ROW(135:135))), "")</f>
        <v/>
      </c>
      <c r="U138" s="296" t="str">
        <f aca="false" t="array" ref="U138:U138">IFERROR(INDEX('Bank Schedule'!U:U, SMALL(IF('Bank Schedule'!$K$2:$K$825="Vacant", ROW('Bank Schedule'!$K$2:$K$825)), ROW(135:135))), "")</f>
        <v/>
      </c>
      <c r="V138" s="296" t="str">
        <f aca="false" t="array" ref="V138:V138">IFERROR(INDEX('Bank Schedule'!V:V, SMALL(IF('Bank Schedule'!$K$2:$K$825="Vacant", ROW('Bank Schedule'!$K$2:$K$825)), ROW(135:135))), "")</f>
        <v/>
      </c>
      <c r="W138" s="296" t="str">
        <f aca="false" t="array" ref="W138:W138">IFERROR(INDEX('Bank Schedule'!W:W, SMALL(IF('Bank Schedule'!$K$2:$K$825="Vacant", ROW('Bank Schedule'!$K$2:$K$825)), ROW(135:135))), "")</f>
        <v/>
      </c>
      <c r="X138" s="296" t="str">
        <f aca="false" t="array" ref="X138:X138">IFERROR(INDEX('Bank Schedule'!X:X, SMALL(IF('Bank Schedule'!$K$2:$K$825="Vacant", ROW('Bank Schedule'!$K$2:$K$825)), ROW(135:135))), "")</f>
        <v/>
      </c>
      <c r="Y138" s="100"/>
      <c r="Z138" s="11" t="str">
        <f aca="false" t="array" ref="Z138:Z138">IFERROR(INDEX('Bank Schedule'!Z:Z, SMALL(IF('Bank Schedule'!$K$2:$K$825="Vacant", ROW('Bank Schedule'!$K$2:$K$825)), ROW(135:135))), "")</f>
        <v/>
      </c>
      <c r="AA138" s="11" t="str">
        <f aca="false" t="array" ref="AA138:AA138">IFERROR(INDEX('Bank Schedule'!AA:AA, SMALL(IF('Bank Schedule'!$K$2:$K$825="Vacant", ROW('Bank Schedule'!$K$2:$K$825)), ROW(135:135))), "")</f>
        <v/>
      </c>
      <c r="AB138" s="11" t="str">
        <f aca="false" t="array" ref="AB138:AB138">IFERROR(INDEX('Bank Schedule'!AB:AB, SMALL(IF('Bank Schedule'!$K$2:$K$825="Vacant", ROW('Bank Schedule'!$K$2:$K$825)), ROW(135:135))), "")</f>
        <v/>
      </c>
      <c r="AC138" s="11" t="str">
        <f aca="false" t="array" ref="AC138:AC138">IFERROR(INDEX('Bank Schedule'!AC:AC, SMALL(IF('Bank Schedule'!$K$2:$K$825="Vacant", ROW('Bank Schedule'!$K$2:$K$825)), ROW(135:135))), "")</f>
        <v/>
      </c>
      <c r="AD138" s="11" t="str">
        <f aca="false" t="array" ref="AD138:AD138">IFERROR(INDEX('Bank Schedule'!AD:AD, SMALL(IF('Bank Schedule'!$K$2:$K$825="Vacant", ROW('Bank Schedule'!$K$2:$K$825)), ROW(135:135))), "")</f>
        <v/>
      </c>
      <c r="AE138" s="312" t="str">
        <f aca="false" t="array" ref="AE138:AE138">IFERROR(INDEX('Bank Schedule'!AE:AE, SMALL(IF('Bank Schedule'!$K$2:$K$825="Vacant", ROW('Bank Schedule'!$K$2:$K$825)), ROW(135:135))), "")</f>
        <v/>
      </c>
      <c r="AF138" s="11" t="str">
        <f aca="false" t="array" ref="AF138:AF138">IFERROR(INDEX('Bank Schedule'!AF:AF, SMALL(IF('Bank Schedule'!$K$2:$K$825="Vacant", ROW('Bank Schedule'!$K$2:$K$825)), ROW(135:135))), "")</f>
        <v/>
      </c>
      <c r="AG138" s="11" t="str">
        <f aca="false" t="array" ref="AG138:AG138">IFERROR(INDEX('Bank Schedule'!AG:AG, SMALL(IF('Bank Schedule'!$K$2:$K$825="Vacant", ROW('Bank Schedule'!$K$2:$K$825)), ROW(135:135))), "")</f>
        <v/>
      </c>
      <c r="AH138" s="11" t="str">
        <f aca="false" t="array" ref="AH138:AH138">IFERROR(INDEX('Bank Schedule'!AH:AH, SMALL(IF('Bank Schedule'!$K$2:$K$825="Vacant", ROW('Bank Schedule'!$K$2:$K$825)), ROW(135:135))), "")</f>
        <v/>
      </c>
      <c r="AI138" s="4"/>
    </row>
    <row r="139" customFormat="false" ht="28.5" hidden="false" customHeight="true" outlineLevel="0" collapsed="false">
      <c r="A139" s="29" t="str">
        <f aca="false" t="array" ref="A139:A139">IFERROR(INDEX('Bank Schedule'!A:A, SMALL(IF('Bank Schedule'!$K$2:$K$825="Vacant", ROW('Bank Schedule'!$K$2:$K$825)), ROW(136:136))), "")</f>
        <v/>
      </c>
      <c r="B139" s="11" t="str">
        <f aca="false" t="array" ref="B139:B139">IFERROR(INDEX('Bank Schedule'!B:B, SMALL(IF('Bank Schedule'!$K$2:$K$825="Vacant", ROW('Bank Schedule'!$K$2:$K$825)), ROW(136:136))), "")</f>
        <v/>
      </c>
      <c r="C139" s="11" t="str">
        <f aca="false" t="array" ref="C139:C139">IFERROR(INDEX('Bank Schedule'!C:C, SMALL(IF('Bank Schedule'!$K$2:$K$825="Vacant", ROW('Bank Schedule'!$K$2:$K$825)), ROW(136:136))), "")</f>
        <v/>
      </c>
      <c r="D139" s="11" t="str">
        <f aca="false" t="array" ref="D139:D139">IFERROR(INDEX('Bank Schedule'!D:D, SMALL(IF('Bank Schedule'!$K$2:$K$825="Vacant", ROW('Bank Schedule'!$K$2:$K$825)), ROW(136:136))), "")</f>
        <v/>
      </c>
      <c r="E139" s="11" t="str">
        <f aca="false" t="array" ref="E139:E139">IFERROR(INDEX('Bank Schedule'!E:E, SMALL(IF('Bank Schedule'!$K$2:$K$825="Vacant", ROW('Bank Schedule'!$K$2:$K$825)), ROW(136:136))), "")</f>
        <v/>
      </c>
      <c r="F139" s="11" t="str">
        <f aca="false" t="array" ref="F139:F139">IFERROR(INDEX('Bank Schedule'!F:F, SMALL(IF('Bank Schedule'!$K$2:$K$825="Vacant", ROW('Bank Schedule'!$K$2:$K$825)), ROW(136:136))), "")</f>
        <v/>
      </c>
      <c r="G139" s="11" t="str">
        <f aca="false" t="array" ref="G139:G139">IFERROR(INDEX('Bank Schedule'!G:G, SMALL(IF('Bank Schedule'!$K$2:$K$825="Vacant", ROW('Bank Schedule'!$K$2:$K$825)), ROW(136:136))), "")</f>
        <v/>
      </c>
      <c r="H139" s="14" t="str">
        <f aca="false" t="array" ref="H139:H139">IFERROR(INDEX('Bank Schedule'!H:H, SMALL(IF('Bank Schedule'!$K$2:$K$825="Vacant", ROW('Bank Schedule'!$K$2:$K$825)), ROW(136:136))), "")</f>
        <v/>
      </c>
      <c r="I139" s="11" t="str">
        <f aca="false" t="array" ref="I139:I139">IFERROR(INDEX('Bank Schedule'!I:I, SMALL(IF('Bank Schedule'!$K$2:$K$825="Vacant", ROW('Bank Schedule'!$K$2:$K$825)), ROW(136:136))), "")</f>
        <v/>
      </c>
      <c r="J139" s="14"/>
      <c r="K139" s="11" t="str">
        <f aca="false" t="array" ref="K139:K139">IFERROR(INDEX('Bank Schedule'!K:K, SMALL(IF('Bank Schedule'!$K$2:$K$825="Vacant", ROW('Bank Schedule'!$K$2:$K$825)), ROW(136:136))), "")</f>
        <v/>
      </c>
      <c r="L139" s="11" t="str">
        <f aca="false" t="array" ref="L139:L139">IFERROR(INDEX('Bank Schedule'!L:L, SMALL(IF('Bank Schedule'!$K$2:$K$825="Vacant", ROW('Bank Schedule'!$K$2:$K$825)), ROW(136:136))), "")</f>
        <v/>
      </c>
      <c r="M139" s="11" t="str">
        <f aca="false" t="array" ref="M139:M139">IFERROR(INDEX('Bank Schedule'!M:M, SMALL(IF('Bank Schedule'!$K$2:$K$825="Vacant", ROW('Bank Schedule'!$K$2:$K$825)), ROW(136:136))), "")</f>
        <v/>
      </c>
      <c r="N139" s="295" t="str">
        <f aca="false" t="array" ref="N139:N139">IFERROR(INDEX('Bank Schedule'!N:N, SMALL(IF('Bank Schedule'!$K$2:$K$825="Vacant", ROW('Bank Schedule'!$K$2:$K$825)), ROW(136:136))), "")</f>
        <v/>
      </c>
      <c r="O139" s="11" t="str">
        <f aca="false" t="array" ref="O139:O139">IFERROR(INDEX('Bank Schedule'!O:O, SMALL(IF('Bank Schedule'!$K$2:$K$825="Vacant", ROW('Bank Schedule'!$K$2:$K$825)), ROW(136:136))), "")</f>
        <v/>
      </c>
      <c r="P139" s="11" t="str">
        <f aca="false" t="array" ref="P139:P139">IFERROR(INDEX('Bank Schedule'!P:P, SMALL(IF('Bank Schedule'!$K$2:$K$825="Vacant", ROW('Bank Schedule'!$K$2:$K$825)), ROW(136:136))), "")</f>
        <v/>
      </c>
      <c r="Q139" s="11" t="str">
        <f aca="false" t="array" ref="Q139:Q139">IFERROR(INDEX('Bank Schedule'!Q:Q, SMALL(IF('Bank Schedule'!$K$2:$K$825="Vacant", ROW('Bank Schedule'!$K$2:$K$825)), ROW(136:136))), "")</f>
        <v/>
      </c>
      <c r="R139" s="11" t="str">
        <f aca="false" t="array" ref="R139:R139">IFERROR(INDEX('Bank Schedule'!R:R, SMALL(IF('Bank Schedule'!$K$2:$K$825="Vacant", ROW('Bank Schedule'!$K$2:$K$825)), ROW(136:136))), "")</f>
        <v/>
      </c>
      <c r="S139" s="11" t="str">
        <f aca="false" t="array" ref="S139:S139">IFERROR(INDEX('Bank Schedule'!S:S, SMALL(IF('Bank Schedule'!$K$2:$K$825="Vacant", ROW('Bank Schedule'!$K$2:$K$825)), ROW(136:136))), "")</f>
        <v/>
      </c>
      <c r="T139" s="296" t="str">
        <f aca="false" t="array" ref="T139:T139">IFERROR(INDEX('Bank Schedule'!T:T, SMALL(IF('Bank Schedule'!$K$2:$K$825="Vacant", ROW('Bank Schedule'!$K$2:$K$825)), ROW(136:136))), "")</f>
        <v/>
      </c>
      <c r="U139" s="296" t="str">
        <f aca="false" t="array" ref="U139:U139">IFERROR(INDEX('Bank Schedule'!U:U, SMALL(IF('Bank Schedule'!$K$2:$K$825="Vacant", ROW('Bank Schedule'!$K$2:$K$825)), ROW(136:136))), "")</f>
        <v/>
      </c>
      <c r="V139" s="296" t="str">
        <f aca="false" t="array" ref="V139:V139">IFERROR(INDEX('Bank Schedule'!V:V, SMALL(IF('Bank Schedule'!$K$2:$K$825="Vacant", ROW('Bank Schedule'!$K$2:$K$825)), ROW(136:136))), "")</f>
        <v/>
      </c>
      <c r="W139" s="296" t="str">
        <f aca="false" t="array" ref="W139:W139">IFERROR(INDEX('Bank Schedule'!W:W, SMALL(IF('Bank Schedule'!$K$2:$K$825="Vacant", ROW('Bank Schedule'!$K$2:$K$825)), ROW(136:136))), "")</f>
        <v/>
      </c>
      <c r="X139" s="296" t="str">
        <f aca="false" t="array" ref="X139:X139">IFERROR(INDEX('Bank Schedule'!X:X, SMALL(IF('Bank Schedule'!$K$2:$K$825="Vacant", ROW('Bank Schedule'!$K$2:$K$825)), ROW(136:136))), "")</f>
        <v/>
      </c>
      <c r="Y139" s="100"/>
      <c r="Z139" s="11" t="str">
        <f aca="false" t="array" ref="Z139:Z139">IFERROR(INDEX('Bank Schedule'!Z:Z, SMALL(IF('Bank Schedule'!$K$2:$K$825="Vacant", ROW('Bank Schedule'!$K$2:$K$825)), ROW(136:136))), "")</f>
        <v/>
      </c>
      <c r="AA139" s="11" t="str">
        <f aca="false" t="array" ref="AA139:AA139">IFERROR(INDEX('Bank Schedule'!AA:AA, SMALL(IF('Bank Schedule'!$K$2:$K$825="Vacant", ROW('Bank Schedule'!$K$2:$K$825)), ROW(136:136))), "")</f>
        <v/>
      </c>
      <c r="AB139" s="11" t="str">
        <f aca="false" t="array" ref="AB139:AB139">IFERROR(INDEX('Bank Schedule'!AB:AB, SMALL(IF('Bank Schedule'!$K$2:$K$825="Vacant", ROW('Bank Schedule'!$K$2:$K$825)), ROW(136:136))), "")</f>
        <v/>
      </c>
      <c r="AC139" s="11" t="str">
        <f aca="false" t="array" ref="AC139:AC139">IFERROR(INDEX('Bank Schedule'!AC:AC, SMALL(IF('Bank Schedule'!$K$2:$K$825="Vacant", ROW('Bank Schedule'!$K$2:$K$825)), ROW(136:136))), "")</f>
        <v/>
      </c>
      <c r="AD139" s="11" t="str">
        <f aca="false" t="array" ref="AD139:AD139">IFERROR(INDEX('Bank Schedule'!AD:AD, SMALL(IF('Bank Schedule'!$K$2:$K$825="Vacant", ROW('Bank Schedule'!$K$2:$K$825)), ROW(136:136))), "")</f>
        <v/>
      </c>
      <c r="AE139" s="312" t="str">
        <f aca="false" t="array" ref="AE139:AE139">IFERROR(INDEX('Bank Schedule'!AE:AE, SMALL(IF('Bank Schedule'!$K$2:$K$825="Vacant", ROW('Bank Schedule'!$K$2:$K$825)), ROW(136:136))), "")</f>
        <v/>
      </c>
      <c r="AF139" s="11" t="str">
        <f aca="false" t="array" ref="AF139:AF139">IFERROR(INDEX('Bank Schedule'!AF:AF, SMALL(IF('Bank Schedule'!$K$2:$K$825="Vacant", ROW('Bank Schedule'!$K$2:$K$825)), ROW(136:136))), "")</f>
        <v/>
      </c>
      <c r="AG139" s="11" t="str">
        <f aca="false" t="array" ref="AG139:AG139">IFERROR(INDEX('Bank Schedule'!AG:AG, SMALL(IF('Bank Schedule'!$K$2:$K$825="Vacant", ROW('Bank Schedule'!$K$2:$K$825)), ROW(136:136))), "")</f>
        <v/>
      </c>
      <c r="AH139" s="11" t="str">
        <f aca="false" t="array" ref="AH139:AH139">IFERROR(INDEX('Bank Schedule'!AH:AH, SMALL(IF('Bank Schedule'!$K$2:$K$825="Vacant", ROW('Bank Schedule'!$K$2:$K$825)), ROW(136:136))), "")</f>
        <v/>
      </c>
      <c r="AI139" s="4" t="str">
        <f aca="false" t="array" ref="AI139:AI139">IFERROR(INDEX('Bank Schedule'!AF:AF, SMALL(IF('Bank Schedule'!$K$2:$K$825="Vacant", ROW('Bank Schedule'!$K$2:$K$825)), ROW(136:136))), "")</f>
        <v/>
      </c>
      <c r="AJ139" s="29"/>
      <c r="AK139" s="313"/>
    </row>
    <row r="140" customFormat="false" ht="28.5" hidden="false" customHeight="true" outlineLevel="0" collapsed="false">
      <c r="A140" s="29" t="str">
        <f aca="false" t="array" ref="A140:A140">IFERROR(INDEX('Bank Schedule'!A:A, SMALL(IF('Bank Schedule'!$K$2:$K$825="Vacant", ROW('Bank Schedule'!$K$2:$K$825)), ROW(137:137))), "")</f>
        <v/>
      </c>
      <c r="B140" s="11" t="str">
        <f aca="false" t="array" ref="B140:B140">IFERROR(INDEX('Bank Schedule'!B:B, SMALL(IF('Bank Schedule'!$K$2:$K$825="Vacant", ROW('Bank Schedule'!$K$2:$K$825)), ROW(137:137))), "")</f>
        <v/>
      </c>
      <c r="C140" s="11" t="str">
        <f aca="false" t="array" ref="C140:C140">IFERROR(INDEX('Bank Schedule'!C:C, SMALL(IF('Bank Schedule'!$K$2:$K$825="Vacant", ROW('Bank Schedule'!$K$2:$K$825)), ROW(137:137))), "")</f>
        <v/>
      </c>
      <c r="D140" s="11" t="str">
        <f aca="false" t="array" ref="D140:D140">IFERROR(INDEX('Bank Schedule'!D:D, SMALL(IF('Bank Schedule'!$K$2:$K$825="Vacant", ROW('Bank Schedule'!$K$2:$K$825)), ROW(137:137))), "")</f>
        <v/>
      </c>
      <c r="E140" s="11" t="str">
        <f aca="false" t="array" ref="E140:E140">IFERROR(INDEX('Bank Schedule'!E:E, SMALL(IF('Bank Schedule'!$K$2:$K$825="Vacant", ROW('Bank Schedule'!$K$2:$K$825)), ROW(137:137))), "")</f>
        <v/>
      </c>
      <c r="F140" s="11" t="str">
        <f aca="false" t="array" ref="F140:F140">IFERROR(INDEX('Bank Schedule'!F:F, SMALL(IF('Bank Schedule'!$K$2:$K$825="Vacant", ROW('Bank Schedule'!$K$2:$K$825)), ROW(137:137))), "")</f>
        <v/>
      </c>
      <c r="G140" s="11" t="str">
        <f aca="false" t="array" ref="G140:G140">IFERROR(INDEX('Bank Schedule'!G:G, SMALL(IF('Bank Schedule'!$K$2:$K$825="Vacant", ROW('Bank Schedule'!$K$2:$K$825)), ROW(137:137))), "")</f>
        <v/>
      </c>
      <c r="H140" s="14" t="str">
        <f aca="false" t="array" ref="H140:H140">IFERROR(INDEX('Bank Schedule'!H:H, SMALL(IF('Bank Schedule'!$K$2:$K$825="Vacant", ROW('Bank Schedule'!$K$2:$K$825)), ROW(137:137))), "")</f>
        <v/>
      </c>
      <c r="I140" s="11" t="str">
        <f aca="false" t="array" ref="I140:I140">IFERROR(INDEX('Bank Schedule'!I:I, SMALL(IF('Bank Schedule'!$K$2:$K$825="Vacant", ROW('Bank Schedule'!$K$2:$K$825)), ROW(137:137))), "")</f>
        <v/>
      </c>
      <c r="J140" s="14"/>
      <c r="K140" s="11" t="str">
        <f aca="false" t="array" ref="K140:K140">IFERROR(INDEX('Bank Schedule'!K:K, SMALL(IF('Bank Schedule'!$K$2:$K$825="Vacant", ROW('Bank Schedule'!$K$2:$K$825)), ROW(137:137))), "")</f>
        <v/>
      </c>
      <c r="L140" s="11" t="str">
        <f aca="false" t="array" ref="L140:L140">IFERROR(INDEX('Bank Schedule'!L:L, SMALL(IF('Bank Schedule'!$K$2:$K$825="Vacant", ROW('Bank Schedule'!$K$2:$K$825)), ROW(137:137))), "")</f>
        <v/>
      </c>
      <c r="M140" s="11" t="str">
        <f aca="false" t="array" ref="M140:M140">IFERROR(INDEX('Bank Schedule'!M:M, SMALL(IF('Bank Schedule'!$K$2:$K$825="Vacant", ROW('Bank Schedule'!$K$2:$K$825)), ROW(137:137))), "")</f>
        <v/>
      </c>
      <c r="N140" s="295" t="str">
        <f aca="false" t="array" ref="N140:N140">IFERROR(INDEX('Bank Schedule'!N:N, SMALL(IF('Bank Schedule'!$K$2:$K$825="Vacant", ROW('Bank Schedule'!$K$2:$K$825)), ROW(137:137))), "")</f>
        <v/>
      </c>
      <c r="O140" s="11" t="str">
        <f aca="false" t="array" ref="O140:O140">IFERROR(INDEX('Bank Schedule'!O:O, SMALL(IF('Bank Schedule'!$K$2:$K$825="Vacant", ROW('Bank Schedule'!$K$2:$K$825)), ROW(137:137))), "")</f>
        <v/>
      </c>
      <c r="P140" s="11" t="str">
        <f aca="false" t="array" ref="P140:P140">IFERROR(INDEX('Bank Schedule'!P:P, SMALL(IF('Bank Schedule'!$K$2:$K$825="Vacant", ROW('Bank Schedule'!$K$2:$K$825)), ROW(137:137))), "")</f>
        <v/>
      </c>
      <c r="Q140" s="11" t="str">
        <f aca="false" t="array" ref="Q140:Q140">IFERROR(INDEX('Bank Schedule'!Q:Q, SMALL(IF('Bank Schedule'!$K$2:$K$825="Vacant", ROW('Bank Schedule'!$K$2:$K$825)), ROW(137:137))), "")</f>
        <v/>
      </c>
      <c r="R140" s="11" t="str">
        <f aca="false" t="array" ref="R140:R140">IFERROR(INDEX('Bank Schedule'!R:R, SMALL(IF('Bank Schedule'!$K$2:$K$825="Vacant", ROW('Bank Schedule'!$K$2:$K$825)), ROW(137:137))), "")</f>
        <v/>
      </c>
      <c r="S140" s="11" t="str">
        <f aca="false" t="array" ref="S140:S140">IFERROR(INDEX('Bank Schedule'!S:S, SMALL(IF('Bank Schedule'!$K$2:$K$825="Vacant", ROW('Bank Schedule'!$K$2:$K$825)), ROW(137:137))), "")</f>
        <v/>
      </c>
      <c r="T140" s="296" t="str">
        <f aca="false" t="array" ref="T140:T140">IFERROR(INDEX('Bank Schedule'!T:T, SMALL(IF('Bank Schedule'!$K$2:$K$825="Vacant", ROW('Bank Schedule'!$K$2:$K$825)), ROW(137:137))), "")</f>
        <v/>
      </c>
      <c r="U140" s="296" t="str">
        <f aca="false" t="array" ref="U140:U140">IFERROR(INDEX('Bank Schedule'!U:U, SMALL(IF('Bank Schedule'!$K$2:$K$825="Vacant", ROW('Bank Schedule'!$K$2:$K$825)), ROW(137:137))), "")</f>
        <v/>
      </c>
      <c r="V140" s="296" t="str">
        <f aca="false" t="array" ref="V140:V140">IFERROR(INDEX('Bank Schedule'!V:V, SMALL(IF('Bank Schedule'!$K$2:$K$825="Vacant", ROW('Bank Schedule'!$K$2:$K$825)), ROW(137:137))), "")</f>
        <v/>
      </c>
      <c r="W140" s="296" t="str">
        <f aca="false" t="array" ref="W140:W140">IFERROR(INDEX('Bank Schedule'!W:W, SMALL(IF('Bank Schedule'!$K$2:$K$825="Vacant", ROW('Bank Schedule'!$K$2:$K$825)), ROW(137:137))), "")</f>
        <v/>
      </c>
      <c r="X140" s="296" t="str">
        <f aca="false" t="array" ref="X140:X140">IFERROR(INDEX('Bank Schedule'!X:X, SMALL(IF('Bank Schedule'!$K$2:$K$825="Vacant", ROW('Bank Schedule'!$K$2:$K$825)), ROW(137:137))), "")</f>
        <v/>
      </c>
      <c r="Y140" s="100"/>
      <c r="Z140" s="11" t="str">
        <f aca="false" t="array" ref="Z140:Z140">IFERROR(INDEX('Bank Schedule'!Z:Z, SMALL(IF('Bank Schedule'!$K$2:$K$825="Vacant", ROW('Bank Schedule'!$K$2:$K$825)), ROW(137:137))), "")</f>
        <v/>
      </c>
      <c r="AA140" s="11" t="str">
        <f aca="false" t="array" ref="AA140:AA140">IFERROR(INDEX('Bank Schedule'!AA:AA, SMALL(IF('Bank Schedule'!$K$2:$K$825="Vacant", ROW('Bank Schedule'!$K$2:$K$825)), ROW(137:137))), "")</f>
        <v/>
      </c>
      <c r="AB140" s="11" t="str">
        <f aca="false" t="array" ref="AB140:AB140">IFERROR(INDEX('Bank Schedule'!AB:AB, SMALL(IF('Bank Schedule'!$K$2:$K$825="Vacant", ROW('Bank Schedule'!$K$2:$K$825)), ROW(137:137))), "")</f>
        <v/>
      </c>
      <c r="AC140" s="11" t="str">
        <f aca="false" t="array" ref="AC140:AC140">IFERROR(INDEX('Bank Schedule'!AC:AC, SMALL(IF('Bank Schedule'!$K$2:$K$825="Vacant", ROW('Bank Schedule'!$K$2:$K$825)), ROW(137:137))), "")</f>
        <v/>
      </c>
      <c r="AD140" s="11" t="str">
        <f aca="false" t="array" ref="AD140:AD140">IFERROR(INDEX('Bank Schedule'!AD:AD, SMALL(IF('Bank Schedule'!$K$2:$K$825="Vacant", ROW('Bank Schedule'!$K$2:$K$825)), ROW(137:137))), "")</f>
        <v/>
      </c>
      <c r="AE140" s="312" t="str">
        <f aca="false" t="array" ref="AE140:AE140">IFERROR(INDEX('Bank Schedule'!AE:AE, SMALL(IF('Bank Schedule'!$K$2:$K$825="Vacant", ROW('Bank Schedule'!$K$2:$K$825)), ROW(137:137))), "")</f>
        <v/>
      </c>
      <c r="AF140" s="11" t="str">
        <f aca="false" t="array" ref="AF140:AF140">IFERROR(INDEX('Bank Schedule'!AF:AF, SMALL(IF('Bank Schedule'!$K$2:$K$825="Vacant", ROW('Bank Schedule'!$K$2:$K$825)), ROW(137:137))), "")</f>
        <v/>
      </c>
      <c r="AG140" s="11" t="str">
        <f aca="false" t="array" ref="AG140:AG140">IFERROR(INDEX('Bank Schedule'!AG:AG, SMALL(IF('Bank Schedule'!$K$2:$K$825="Vacant", ROW('Bank Schedule'!$K$2:$K$825)), ROW(137:137))), "")</f>
        <v/>
      </c>
      <c r="AH140" s="11" t="str">
        <f aca="false" t="array" ref="AH140:AH140">IFERROR(INDEX('Bank Schedule'!AH:AH, SMALL(IF('Bank Schedule'!$K$2:$K$825="Vacant", ROW('Bank Schedule'!$K$2:$K$825)), ROW(137:137))), "")</f>
        <v/>
      </c>
      <c r="AI140" s="4" t="str">
        <f aca="false" t="array" ref="AI140:AI140">IFERROR(INDEX('Bank Schedule'!AF:AF, SMALL(IF('Bank Schedule'!$K$2:$K$825="Vacant", ROW('Bank Schedule'!$K$2:$K$825)), ROW(137:137))), "")</f>
        <v/>
      </c>
      <c r="AJ140" s="29"/>
      <c r="AK140" s="313"/>
    </row>
    <row r="141" customFormat="false" ht="28.5" hidden="false" customHeight="true" outlineLevel="0" collapsed="false">
      <c r="A141" s="29" t="str">
        <f aca="false" t="array" ref="A141:A141">IFERROR(INDEX('Bank Schedule'!A:A, SMALL(IF('Bank Schedule'!$K$2:$K$825="Vacant", ROW('Bank Schedule'!$K$2:$K$825)), ROW(138:138))), "")</f>
        <v/>
      </c>
      <c r="B141" s="11" t="str">
        <f aca="false" t="array" ref="B141:B141">IFERROR(INDEX('Bank Schedule'!B:B, SMALL(IF('Bank Schedule'!$K$2:$K$825="Vacant", ROW('Bank Schedule'!$K$2:$K$825)), ROW(138:138))), "")</f>
        <v/>
      </c>
      <c r="C141" s="11" t="str">
        <f aca="false" t="array" ref="C141:C141">IFERROR(INDEX('Bank Schedule'!C:C, SMALL(IF('Bank Schedule'!$K$2:$K$825="Vacant", ROW('Bank Schedule'!$K$2:$K$825)), ROW(138:138))), "")</f>
        <v/>
      </c>
      <c r="D141" s="29" t="str">
        <f aca="false" t="array" ref="D141:D141">IFERROR(INDEX('Bank Schedule'!D:D, SMALL(IF('Bank Schedule'!$K$2:$K$825="Vacant", ROW('Bank Schedule'!$K$2:$K$825)), ROW(138:138))), "")</f>
        <v/>
      </c>
      <c r="E141" s="4" t="str">
        <f aca="false" t="array" ref="E141:E141">IFERROR(INDEX('Bank Schedule'!E:E, SMALL(IF('Bank Schedule'!$K$2:$K$825="Vacant", ROW('Bank Schedule'!$K$2:$K$825)), ROW(138:138))), "")</f>
        <v/>
      </c>
      <c r="F141" s="4" t="str">
        <f aca="false" t="array" ref="F141:F141">IFERROR(INDEX('Bank Schedule'!F:F, SMALL(IF('Bank Schedule'!$K$2:$K$825="Vacant", ROW('Bank Schedule'!$K$2:$K$825)), ROW(138:138))), "")</f>
        <v/>
      </c>
      <c r="G141" s="5" t="str">
        <f aca="false" t="array" ref="G141:G141">IFERROR(INDEX('Bank Schedule'!G:G, SMALL(IF('Bank Schedule'!$K$2:$K$825="Vacant", ROW('Bank Schedule'!$K$2:$K$825)), ROW(138:138))), "")</f>
        <v/>
      </c>
      <c r="H141" s="14" t="str">
        <f aca="false" t="array" ref="H141:H141">IFERROR(INDEX('Bank Schedule'!H:H, SMALL(IF('Bank Schedule'!$K$2:$K$825="Vacant", ROW('Bank Schedule'!$K$2:$K$825)), ROW(138:138))), "")</f>
        <v/>
      </c>
      <c r="I141" s="6" t="str">
        <f aca="false" t="array" ref="I141:I141">IFERROR(INDEX('Bank Schedule'!I:I, SMALL(IF('Bank Schedule'!$K$2:$K$825="Vacant", ROW('Bank Schedule'!$K$2:$K$825)), ROW(138:138))), "")</f>
        <v/>
      </c>
      <c r="J141" s="14"/>
      <c r="K141" s="5" t="str">
        <f aca="false" t="array" ref="K141:K141">IFERROR(INDEX('Bank Schedule'!K:K, SMALL(IF('Bank Schedule'!$K$2:$K$825="Vacant", ROW('Bank Schedule'!$K$2:$K$825)), ROW(138:138))), "")</f>
        <v/>
      </c>
      <c r="L141" s="96" t="e">
        <f aca="false" t="array" ref="L141:L141">IFERROR(INDEX('bank schedule'!#ref!, SMALL(IF('Bank Schedule'!$K$2:$K$825="Vacant", ROW('Bank Schedule'!$K$2:$K$825)), ROW(138:138))), "")</f>
        <v>#VALUE!</v>
      </c>
      <c r="M141" s="7" t="str">
        <f aca="false" t="array" ref="M141:M141">IFERROR(INDEX('Bank Schedule'!L:L, SMALL(IF('Bank Schedule'!$K$2:$K$825="Vacant", ROW('Bank Schedule'!$K$2:$K$825)), ROW(138:138))), "")</f>
        <v/>
      </c>
      <c r="N141" s="295" t="str">
        <f aca="false" t="array" ref="N141:N141">IFERROR(INDEX('Bank Schedule'!M:M, SMALL(IF('Bank Schedule'!$K$2:$K$825="Vacant", ROW('Bank Schedule'!$K$2:$K$825)), ROW(138:138))), "")</f>
        <v/>
      </c>
      <c r="O141" s="8" t="str">
        <f aca="false" t="array" ref="O141:O141">IFERROR(INDEX('Bank Schedule'!N:N, SMALL(IF('Bank Schedule'!$K$2:$K$825="Vacant", ROW('Bank Schedule'!$K$2:$K$825)), ROW(138:138))), "")</f>
        <v/>
      </c>
      <c r="P141" s="8" t="str">
        <f aca="false" t="array" ref="P141:P141">IFERROR(INDEX('Bank Schedule'!O:O, SMALL(IF('Bank Schedule'!$K$2:$K$825="Vacant", ROW('Bank Schedule'!$K$2:$K$825)), ROW(138:138))), "")</f>
        <v/>
      </c>
      <c r="Q141" s="8" t="str">
        <f aca="false" t="array" ref="Q141:Q141">IFERROR(INDEX('Bank Schedule'!P:P, SMALL(IF('Bank Schedule'!$K$2:$K$825="Vacant", ROW('Bank Schedule'!$K$2:$K$825)), ROW(138:138))), "")</f>
        <v/>
      </c>
      <c r="R141" s="8" t="e">
        <f aca="false" t="array" ref="R141:R141">IFERROR(INDEX('bank schedule'!#ref!, SMALL(IF('Bank Schedule'!$K$2:$K$825="Vacant", ROW('Bank Schedule'!$K$2:$K$825)), ROW(138:138))), "")</f>
        <v>#VALUE!</v>
      </c>
      <c r="S141" s="9" t="str">
        <f aca="false" t="array" ref="S141:S141">IFERROR(INDEX('Bank Schedule'!Q:Q, SMALL(IF('Bank Schedule'!$K$2:$K$825="Vacant", ROW('Bank Schedule'!$K$2:$K$825)), ROW(138:138))), "")</f>
        <v/>
      </c>
      <c r="T141" s="296" t="str">
        <f aca="false" t="array" ref="T141:T141">IFERROR(INDEX('Bank Schedule'!R:R, SMALL(IF('Bank Schedule'!$K$2:$K$825="Vacant", ROW('Bank Schedule'!$K$2:$K$825)), ROW(138:138))), "")</f>
        <v/>
      </c>
      <c r="U141" s="296" t="str">
        <f aca="false" t="array" ref="U141:U141">IFERROR(INDEX('Bank Schedule'!S:S, SMALL(IF('Bank Schedule'!$K$2:$K$825="Vacant", ROW('Bank Schedule'!$K$2:$K$825)), ROW(138:138))), "")</f>
        <v/>
      </c>
      <c r="V141" s="296" t="e">
        <f aca="false" t="array" ref="V141:V141">IFERROR(INDEX('bank schedule'!#ref!, SMALL(IF('Bank Schedule'!$K$2:$K$825="Vacant", ROW('Bank Schedule'!$K$2:$K$825)), ROW(138:138))), "")</f>
        <v>#VALUE!</v>
      </c>
      <c r="W141" s="296" t="e">
        <f aca="false" t="array" ref="W141:W141">IFERROR(INDEX('bank schedule'!#ref!, SMALL(IF('Bank Schedule'!$K$2:$K$825="Vacant", ROW('Bank Schedule'!$K$2:$K$825)), ROW(138:138))), "")</f>
        <v>#VALUE!</v>
      </c>
      <c r="X141" s="296" t="e">
        <f aca="false" t="array" ref="X141:X141">IFERROR(INDEX('bank schedule'!#ref!, SMALL(IF('Bank Schedule'!$K$2:$K$825="Vacant", ROW('Bank Schedule'!$K$2:$K$825)), ROW(138:138))), "")</f>
        <v>#VALUE!</v>
      </c>
      <c r="Y141" s="100"/>
      <c r="Z141" s="125" t="str">
        <f aca="false" t="array" ref="Z141:Z141">IFERROR(INDEX('Bank Schedule'!T:T, SMALL(IF('Bank Schedule'!$K$2:$K$825="Vacant", ROW('Bank Schedule'!$K$2:$K$825)), ROW(138:138))), "")</f>
        <v/>
      </c>
      <c r="AA141" s="9" t="str">
        <f aca="false" t="array" ref="AA141:AA141">IFERROR(INDEX('Bank Schedule'!U:U, SMALL(IF('Bank Schedule'!$K$2:$K$825="Vacant", ROW('Bank Schedule'!$K$2:$K$825)), ROW(138:138))), "")</f>
        <v/>
      </c>
      <c r="AB141" s="314" t="str">
        <f aca="false" t="array" ref="AB141:AB141">IFERROR(INDEX('Bank Schedule'!V:V, SMALL(IF('Bank Schedule'!$K$2:$K$825="Vacant", ROW('Bank Schedule'!$K$2:$K$825)), ROW(138:138))), "")</f>
        <v/>
      </c>
      <c r="AC141" s="9" t="str">
        <f aca="false" t="array" ref="AC141:AC141">IFERROR(INDEX('Bank Schedule'!W:W, SMALL(IF('Bank Schedule'!$K$2:$K$825="Vacant", ROW('Bank Schedule'!$K$2:$K$825)), ROW(138:138))), "")</f>
        <v/>
      </c>
      <c r="AD141" s="9" t="str">
        <f aca="false" t="array" ref="AD141:AD141">IFERROR(INDEX('Bank Schedule'!Z:Z, SMALL(IF('Bank Schedule'!$K$2:$K$825="Vacant", ROW('Bank Schedule'!$K$2:$K$825)), ROW(138:138))), "")</f>
        <v/>
      </c>
      <c r="AE141" s="299" t="str">
        <f aca="false" t="array" ref="AE141:AE141">IFERROR(INDEX('Bank Schedule'!AA:AA, SMALL(IF('Bank Schedule'!$K$2:$K$825="Vacant", ROW('Bank Schedule'!$K$2:$K$825)), ROW(138:138))), "")</f>
        <v/>
      </c>
      <c r="AF141" s="13" t="str">
        <f aca="false" t="array" ref="AF141:AF141">IFERROR(INDEX('Bank Schedule'!AB:AB, SMALL(IF('Bank Schedule'!$K$2:$K$825="Vacant", ROW('Bank Schedule'!$K$2:$K$825)), ROW(138:138))), "")</f>
        <v/>
      </c>
      <c r="AG141" s="5" t="str">
        <f aca="false" t="array" ref="AG141:AG141">IFERROR(INDEX('Bank Schedule'!AC:AC, SMALL(IF('Bank Schedule'!$K$2:$K$825="Vacant", ROW('Bank Schedule'!$K$2:$K$825)), ROW(138:138))), "")</f>
        <v/>
      </c>
      <c r="AH141" s="4" t="str">
        <f aca="false" t="array" ref="AH141:AH141">IFERROR(INDEX('Bank Schedule'!AD:AD, SMALL(IF('Bank Schedule'!$K$2:$K$825="Vacant", ROW('Bank Schedule'!$K$2:$K$825)), ROW(138:138))), "")</f>
        <v/>
      </c>
      <c r="AI141" s="4" t="str">
        <f aca="false" t="array" ref="AI141:AI141">IFERROR(INDEX('Bank Schedule'!AF:AF, SMALL(IF('Bank Schedule'!$K$2:$K$825="Vacant", ROW('Bank Schedule'!$K$2:$K$825)), ROW(138:138))), "")</f>
        <v/>
      </c>
      <c r="AJ141" s="29"/>
      <c r="AK141" s="313"/>
    </row>
    <row r="142" customFormat="false" ht="28.5" hidden="false" customHeight="true" outlineLevel="0" collapsed="false">
      <c r="A142" s="29" t="str">
        <f aca="false" t="array" ref="A142:A142">IFERROR(INDEX('Bank Schedule'!A:A, SMALL(IF('Bank Schedule'!$K$2:$K$825="Vacant", ROW('Bank Schedule'!$K$2:$K$825)), ROW(139:139))), "")</f>
        <v/>
      </c>
      <c r="B142" s="11" t="str">
        <f aca="false" t="array" ref="B142:B142">IFERROR(INDEX('Bank Schedule'!B:B, SMALL(IF('Bank Schedule'!$K$2:$K$825="Vacant", ROW('Bank Schedule'!$K$2:$K$825)), ROW(139:139))), "")</f>
        <v/>
      </c>
      <c r="C142" s="11" t="str">
        <f aca="false" t="array" ref="C142:C142">IFERROR(INDEX('Bank Schedule'!C:C, SMALL(IF('Bank Schedule'!$K$2:$K$825="Vacant", ROW('Bank Schedule'!$K$2:$K$825)), ROW(139:139))), "")</f>
        <v/>
      </c>
      <c r="D142" s="29" t="str">
        <f aca="false" t="array" ref="D142:D142">IFERROR(INDEX('Bank Schedule'!D:D, SMALL(IF('Bank Schedule'!$K$2:$K$825="Vacant", ROW('Bank Schedule'!$K$2:$K$825)), ROW(139:139))), "")</f>
        <v/>
      </c>
      <c r="E142" s="4" t="str">
        <f aca="false" t="array" ref="E142:E142">IFERROR(INDEX('Bank Schedule'!E:E, SMALL(IF('Bank Schedule'!$K$2:$K$825="Vacant", ROW('Bank Schedule'!$K$2:$K$825)), ROW(139:139))), "")</f>
        <v/>
      </c>
      <c r="F142" s="4" t="str">
        <f aca="false" t="array" ref="F142:F142">IFERROR(INDEX('Bank Schedule'!F:F, SMALL(IF('Bank Schedule'!$K$2:$K$825="Vacant", ROW('Bank Schedule'!$K$2:$K$825)), ROW(139:139))), "")</f>
        <v/>
      </c>
      <c r="G142" s="5" t="str">
        <f aca="false" t="array" ref="G142:G142">IFERROR(INDEX('Bank Schedule'!G:G, SMALL(IF('Bank Schedule'!$K$2:$K$825="Vacant", ROW('Bank Schedule'!$K$2:$K$825)), ROW(139:139))), "")</f>
        <v/>
      </c>
      <c r="H142" s="14" t="str">
        <f aca="false" t="array" ref="H142:H142">IFERROR(INDEX('Bank Schedule'!H:H, SMALL(IF('Bank Schedule'!$K$2:$K$825="Vacant", ROW('Bank Schedule'!$K$2:$K$825)), ROW(139:139))), "")</f>
        <v/>
      </c>
      <c r="I142" s="6" t="str">
        <f aca="false" t="array" ref="I142:I142">IFERROR(INDEX('Bank Schedule'!I:I, SMALL(IF('Bank Schedule'!$K$2:$K$825="Vacant", ROW('Bank Schedule'!$K$2:$K$825)), ROW(139:139))), "")</f>
        <v/>
      </c>
      <c r="J142" s="14"/>
      <c r="K142" s="5" t="str">
        <f aca="false" t="array" ref="K142:K142">IFERROR(INDEX('Bank Schedule'!K:K, SMALL(IF('Bank Schedule'!$K$2:$K$825="Vacant", ROW('Bank Schedule'!$K$2:$K$825)), ROW(139:139))), "")</f>
        <v/>
      </c>
      <c r="L142" s="96" t="e">
        <f aca="false" t="array" ref="L142:L142">IFERROR(INDEX('bank schedule'!#ref!, SMALL(IF('Bank Schedule'!$K$2:$K$825="Vacant", ROW('Bank Schedule'!$K$2:$K$825)), ROW(139:139))), "")</f>
        <v>#VALUE!</v>
      </c>
      <c r="M142" s="7" t="str">
        <f aca="false" t="array" ref="M142:M142">IFERROR(INDEX('Bank Schedule'!L:L, SMALL(IF('Bank Schedule'!$K$2:$K$825="Vacant", ROW('Bank Schedule'!$K$2:$K$825)), ROW(139:139))), "")</f>
        <v/>
      </c>
      <c r="N142" s="295" t="str">
        <f aca="false" t="array" ref="N142:N142">IFERROR(INDEX('Bank Schedule'!M:M, SMALL(IF('Bank Schedule'!$K$2:$K$825="Vacant", ROW('Bank Schedule'!$K$2:$K$825)), ROW(139:139))), "")</f>
        <v/>
      </c>
      <c r="O142" s="8" t="str">
        <f aca="false" t="array" ref="O142:O142">IFERROR(INDEX('Bank Schedule'!N:N, SMALL(IF('Bank Schedule'!$K$2:$K$825="Vacant", ROW('Bank Schedule'!$K$2:$K$825)), ROW(139:139))), "")</f>
        <v/>
      </c>
      <c r="P142" s="8" t="str">
        <f aca="false" t="array" ref="P142:P142">IFERROR(INDEX('Bank Schedule'!O:O, SMALL(IF('Bank Schedule'!$K$2:$K$825="Vacant", ROW('Bank Schedule'!$K$2:$K$825)), ROW(139:139))), "")</f>
        <v/>
      </c>
      <c r="Q142" s="8" t="str">
        <f aca="false" t="array" ref="Q142:Q142">IFERROR(INDEX('Bank Schedule'!P:P, SMALL(IF('Bank Schedule'!$K$2:$K$825="Vacant", ROW('Bank Schedule'!$K$2:$K$825)), ROW(139:139))), "")</f>
        <v/>
      </c>
      <c r="R142" s="8" t="e">
        <f aca="false" t="array" ref="R142:R142">IFERROR(INDEX('bank schedule'!#ref!, SMALL(IF('Bank Schedule'!$K$2:$K$825="Vacant", ROW('Bank Schedule'!$K$2:$K$825)), ROW(139:139))), "")</f>
        <v>#VALUE!</v>
      </c>
      <c r="S142" s="9" t="str">
        <f aca="false" t="array" ref="S142:S142">IFERROR(INDEX('Bank Schedule'!Q:Q, SMALL(IF('Bank Schedule'!$K$2:$K$825="Vacant", ROW('Bank Schedule'!$K$2:$K$825)), ROW(139:139))), "")</f>
        <v/>
      </c>
      <c r="T142" s="296" t="str">
        <f aca="false" t="array" ref="T142:T142">IFERROR(INDEX('Bank Schedule'!R:R, SMALL(IF('Bank Schedule'!$K$2:$K$825="Vacant", ROW('Bank Schedule'!$K$2:$K$825)), ROW(139:139))), "")</f>
        <v/>
      </c>
      <c r="U142" s="296" t="str">
        <f aca="false" t="array" ref="U142:U142">IFERROR(INDEX('Bank Schedule'!S:S, SMALL(IF('Bank Schedule'!$K$2:$K$825="Vacant", ROW('Bank Schedule'!$K$2:$K$825)), ROW(139:139))), "")</f>
        <v/>
      </c>
      <c r="V142" s="296" t="e">
        <f aca="false" t="array" ref="V142:V142">IFERROR(INDEX('bank schedule'!#ref!, SMALL(IF('Bank Schedule'!$K$2:$K$825="Vacant", ROW('Bank Schedule'!$K$2:$K$825)), ROW(139:139))), "")</f>
        <v>#VALUE!</v>
      </c>
      <c r="W142" s="296" t="e">
        <f aca="false" t="array" ref="W142:W142">IFERROR(INDEX('bank schedule'!#ref!, SMALL(IF('Bank Schedule'!$K$2:$K$825="Vacant", ROW('Bank Schedule'!$K$2:$K$825)), ROW(139:139))), "")</f>
        <v>#VALUE!</v>
      </c>
      <c r="X142" s="296" t="e">
        <f aca="false" t="array" ref="X142:X142">IFERROR(INDEX('bank schedule'!#ref!, SMALL(IF('Bank Schedule'!$K$2:$K$825="Vacant", ROW('Bank Schedule'!$K$2:$K$825)), ROW(139:139))), "")</f>
        <v>#VALUE!</v>
      </c>
      <c r="Y142" s="100"/>
      <c r="Z142" s="125" t="str">
        <f aca="false" t="array" ref="Z142:Z142">IFERROR(INDEX('Bank Schedule'!T:T, SMALL(IF('Bank Schedule'!$K$2:$K$825="Vacant", ROW('Bank Schedule'!$K$2:$K$825)), ROW(139:139))), "")</f>
        <v/>
      </c>
      <c r="AA142" s="9" t="str">
        <f aca="false" t="array" ref="AA142:AA142">IFERROR(INDEX('Bank Schedule'!U:U, SMALL(IF('Bank Schedule'!$K$2:$K$825="Vacant", ROW('Bank Schedule'!$K$2:$K$825)), ROW(139:139))), "")</f>
        <v/>
      </c>
      <c r="AB142" s="314" t="str">
        <f aca="false" t="array" ref="AB142:AB142">IFERROR(INDEX('Bank Schedule'!V:V, SMALL(IF('Bank Schedule'!$K$2:$K$825="Vacant", ROW('Bank Schedule'!$K$2:$K$825)), ROW(139:139))), "")</f>
        <v/>
      </c>
      <c r="AC142" s="9" t="str">
        <f aca="false" t="array" ref="AC142:AC142">IFERROR(INDEX('Bank Schedule'!W:W, SMALL(IF('Bank Schedule'!$K$2:$K$825="Vacant", ROW('Bank Schedule'!$K$2:$K$825)), ROW(139:139))), "")</f>
        <v/>
      </c>
      <c r="AD142" s="9" t="str">
        <f aca="false" t="array" ref="AD142:AD142">IFERROR(INDEX('Bank Schedule'!Z:Z, SMALL(IF('Bank Schedule'!$K$2:$K$825="Vacant", ROW('Bank Schedule'!$K$2:$K$825)), ROW(139:139))), "")</f>
        <v/>
      </c>
      <c r="AE142" s="299" t="str">
        <f aca="false" t="array" ref="AE142:AE142">IFERROR(INDEX('Bank Schedule'!AA:AA, SMALL(IF('Bank Schedule'!$K$2:$K$825="Vacant", ROW('Bank Schedule'!$K$2:$K$825)), ROW(139:139))), "")</f>
        <v/>
      </c>
      <c r="AF142" s="13" t="str">
        <f aca="false" t="array" ref="AF142:AF142">IFERROR(INDEX('Bank Schedule'!AB:AB, SMALL(IF('Bank Schedule'!$K$2:$K$825="Vacant", ROW('Bank Schedule'!$K$2:$K$825)), ROW(139:139))), "")</f>
        <v/>
      </c>
      <c r="AG142" s="5" t="str">
        <f aca="false" t="array" ref="AG142:AG142">IFERROR(INDEX('Bank Schedule'!AC:AC, SMALL(IF('Bank Schedule'!$K$2:$K$825="Vacant", ROW('Bank Schedule'!$K$2:$K$825)), ROW(139:139))), "")</f>
        <v/>
      </c>
      <c r="AH142" s="4" t="str">
        <f aca="false" t="array" ref="AH142:AH142">IFERROR(INDEX('Bank Schedule'!AD:AD, SMALL(IF('Bank Schedule'!$K$2:$K$825="Vacant", ROW('Bank Schedule'!$K$2:$K$825)), ROW(139:139))), "")</f>
        <v/>
      </c>
      <c r="AI142" s="4" t="str">
        <f aca="false" t="array" ref="AI142:AI142">IFERROR(INDEX('Bank Schedule'!AF:AF, SMALL(IF('Bank Schedule'!$K$2:$K$825="Vacant", ROW('Bank Schedule'!$K$2:$K$825)), ROW(139:139))), "")</f>
        <v/>
      </c>
      <c r="AJ142" s="29"/>
      <c r="AK142" s="313"/>
    </row>
    <row r="143" customFormat="false" ht="23.25" hidden="false" customHeight="true" outlineLevel="0" collapsed="false">
      <c r="A143" s="29" t="str">
        <f aca="false" t="array" ref="A143:A143">IFERROR(INDEX('Bank Schedule'!A:A, SMALL(IF('Bank Schedule'!$K$2:$K$825="Vacant", ROW('Bank Schedule'!$K$2:$K$825)), ROW(140:140))), "")</f>
        <v/>
      </c>
      <c r="B143" s="11" t="str">
        <f aca="false" t="array" ref="B143:B143">IFERROR(INDEX('Bank Schedule'!B:B, SMALL(IF('Bank Schedule'!$K$2:$K$825="Vacant", ROW('Bank Schedule'!$K$2:$K$825)), ROW(140:140))), "")</f>
        <v/>
      </c>
      <c r="C143" s="11" t="str">
        <f aca="false" t="array" ref="C143:C143">IFERROR(INDEX('Bank Schedule'!C:C, SMALL(IF('Bank Schedule'!$K$2:$K$825="Vacant", ROW('Bank Schedule'!$K$2:$K$825)), ROW(140:140))), "")</f>
        <v/>
      </c>
      <c r="D143" s="11" t="str">
        <f aca="false" t="array" ref="D143:D143">IFERROR(INDEX('Bank Schedule'!D:D, SMALL(IF('Bank Schedule'!$K$2:$K$825="Vacant", ROW('Bank Schedule'!$K$2:$K$825)), ROW(140:140))), "")</f>
        <v/>
      </c>
      <c r="E143" s="11" t="str">
        <f aca="false" t="array" ref="E143:E143">IFERROR(INDEX('Bank Schedule'!E:E, SMALL(IF('Bank Schedule'!$K$2:$K$825="Vacant", ROW('Bank Schedule'!$K$2:$K$825)), ROW(140:140))), "")</f>
        <v/>
      </c>
      <c r="F143" s="11" t="str">
        <f aca="false" t="array" ref="F143:F143">IFERROR(INDEX('Bank Schedule'!F:F, SMALL(IF('Bank Schedule'!$K$2:$K$825="Vacant", ROW('Bank Schedule'!$K$2:$K$825)), ROW(140:140))), "")</f>
        <v/>
      </c>
      <c r="G143" s="11" t="str">
        <f aca="false" t="array" ref="G143:G143">IFERROR(INDEX('Bank Schedule'!G:G, SMALL(IF('Bank Schedule'!$K$2:$K$825="Vacant", ROW('Bank Schedule'!$K$2:$K$825)), ROW(140:140))), "")</f>
        <v/>
      </c>
      <c r="H143" s="14" t="str">
        <f aca="false" t="array" ref="H143:H143">IFERROR(INDEX('Bank Schedule'!H:H, SMALL(IF('Bank Schedule'!$K$2:$K$825="Vacant", ROW('Bank Schedule'!$K$2:$K$825)), ROW(140:140))), "")</f>
        <v/>
      </c>
      <c r="I143" s="11" t="str">
        <f aca="false" t="array" ref="I143:I143">IFERROR(INDEX('Bank Schedule'!I:I, SMALL(IF('Bank Schedule'!$K$2:$K$825="Vacant", ROW('Bank Schedule'!$K$2:$K$825)), ROW(140:140))), "")</f>
        <v/>
      </c>
      <c r="J143" s="14"/>
      <c r="K143" s="11" t="str">
        <f aca="false" t="array" ref="K143:K143">IFERROR(INDEX('Bank Schedule'!K:K, SMALL(IF('Bank Schedule'!$K$2:$K$825="Vacant", ROW('Bank Schedule'!$K$2:$K$825)), ROW(140:140))), "")</f>
        <v/>
      </c>
      <c r="L143" s="11" t="e">
        <f aca="false" t="array" ref="L143:L143">IFERROR(INDEX('bank schedule'!#ref!, SMALL(IF('Bank Schedule'!$K$2:$K$825="Vacant", ROW('Bank Schedule'!$K$2:$K$825)), ROW(140:140))), "")</f>
        <v>#VALUE!</v>
      </c>
      <c r="M143" s="11" t="str">
        <f aca="false" t="array" ref="M143:M143">IFERROR(INDEX('Bank Schedule'!L:L, SMALL(IF('Bank Schedule'!$K$2:$K$825="Vacant", ROW('Bank Schedule'!$K$2:$K$825)), ROW(140:140))), "")</f>
        <v/>
      </c>
      <c r="N143" s="295" t="str">
        <f aca="false" t="array" ref="N143:N143">IFERROR(INDEX('Bank Schedule'!M:M, SMALL(IF('Bank Schedule'!$K$2:$K$825="Vacant", ROW('Bank Schedule'!$K$2:$K$825)), ROW(140:140))), "")</f>
        <v/>
      </c>
      <c r="O143" s="11" t="str">
        <f aca="false" t="array" ref="O143:O143">IFERROR(INDEX('Bank Schedule'!N:N, SMALL(IF('Bank Schedule'!$K$2:$K$825="Vacant", ROW('Bank Schedule'!$K$2:$K$825)), ROW(140:140))), "")</f>
        <v/>
      </c>
      <c r="P143" s="11" t="str">
        <f aca="false" t="array" ref="P143:P143">IFERROR(INDEX('Bank Schedule'!O:O, SMALL(IF('Bank Schedule'!$K$2:$K$825="Vacant", ROW('Bank Schedule'!$K$2:$K$825)), ROW(140:140))), "")</f>
        <v/>
      </c>
      <c r="Q143" s="11" t="str">
        <f aca="false" t="array" ref="Q143:Q143">IFERROR(INDEX('Bank Schedule'!P:P, SMALL(IF('Bank Schedule'!$K$2:$K$825="Vacant", ROW('Bank Schedule'!$K$2:$K$825)), ROW(140:140))), "")</f>
        <v/>
      </c>
      <c r="R143" s="11" t="e">
        <f aca="false" t="array" ref="R143:R143">IFERROR(INDEX('bank schedule'!#ref!, SMALL(IF('Bank Schedule'!$K$2:$K$825="Vacant", ROW('Bank Schedule'!$K$2:$K$825)), ROW(140:140))), "")</f>
        <v>#VALUE!</v>
      </c>
      <c r="S143" s="11" t="str">
        <f aca="false" t="array" ref="S143:S143">IFERROR(INDEX('Bank Schedule'!Q:Q, SMALL(IF('Bank Schedule'!$K$2:$K$825="Vacant", ROW('Bank Schedule'!$K$2:$K$825)), ROW(140:140))), "")</f>
        <v/>
      </c>
      <c r="T143" s="296" t="str">
        <f aca="false" t="array" ref="T143:T143">IFERROR(INDEX('Bank Schedule'!R:R, SMALL(IF('Bank Schedule'!$K$2:$K$825="Vacant", ROW('Bank Schedule'!$K$2:$K$825)), ROW(140:140))), "")</f>
        <v/>
      </c>
      <c r="U143" s="296" t="str">
        <f aca="false" t="array" ref="U143:U143">IFERROR(INDEX('Bank Schedule'!S:S, SMALL(IF('Bank Schedule'!$K$2:$K$825="Vacant", ROW('Bank Schedule'!$K$2:$K$825)), ROW(140:140))), "")</f>
        <v/>
      </c>
      <c r="V143" s="296" t="e">
        <f aca="false" t="array" ref="V143:V143">IFERROR(INDEX('bank schedule'!#ref!, SMALL(IF('Bank Schedule'!$K$2:$K$825="Vacant", ROW('Bank Schedule'!$K$2:$K$825)), ROW(140:140))), "")</f>
        <v>#VALUE!</v>
      </c>
      <c r="W143" s="296" t="e">
        <f aca="false" t="array" ref="W143:W143">IFERROR(INDEX('bank schedule'!#ref!, SMALL(IF('Bank Schedule'!$K$2:$K$825="Vacant", ROW('Bank Schedule'!$K$2:$K$825)), ROW(140:140))), "")</f>
        <v>#VALUE!</v>
      </c>
      <c r="X143" s="296" t="e">
        <f aca="false" t="array" ref="X143:X143">IFERROR(INDEX('bank schedule'!#ref!, SMALL(IF('Bank Schedule'!$K$2:$K$825="Vacant", ROW('Bank Schedule'!$K$2:$K$825)), ROW(140:140))), "")</f>
        <v>#VALUE!</v>
      </c>
      <c r="Y143" s="100"/>
      <c r="Z143" s="11" t="str">
        <f aca="false" t="array" ref="Z143:Z143">IFERROR(INDEX('Bank Schedule'!T:T, SMALL(IF('Bank Schedule'!$K$2:$K$825="Vacant", ROW('Bank Schedule'!$K$2:$K$825)), ROW(140:140))), "")</f>
        <v/>
      </c>
      <c r="AA143" s="11" t="str">
        <f aca="false" t="array" ref="AA143:AA143">IFERROR(INDEX('Bank Schedule'!U:U, SMALL(IF('Bank Schedule'!$K$2:$K$825="Vacant", ROW('Bank Schedule'!$K$2:$K$825)), ROW(140:140))), "")</f>
        <v/>
      </c>
      <c r="AB143" s="11" t="str">
        <f aca="false" t="array" ref="AB143:AB143">IFERROR(INDEX('Bank Schedule'!V:V, SMALL(IF('Bank Schedule'!$K$2:$K$825="Vacant", ROW('Bank Schedule'!$K$2:$K$825)), ROW(140:140))), "")</f>
        <v/>
      </c>
      <c r="AC143" s="11" t="str">
        <f aca="false" t="array" ref="AC143:AC143">IFERROR(INDEX('Bank Schedule'!W:W, SMALL(IF('Bank Schedule'!$K$2:$K$825="Vacant", ROW('Bank Schedule'!$K$2:$K$825)), ROW(140:140))), "")</f>
        <v/>
      </c>
      <c r="AD143" s="11" t="str">
        <f aca="false" t="array" ref="AD143:AD143">IFERROR(INDEX('Bank Schedule'!Z:Z, SMALL(IF('Bank Schedule'!$K$2:$K$825="Vacant", ROW('Bank Schedule'!$K$2:$K$825)), ROW(140:140))), "")</f>
        <v/>
      </c>
      <c r="AE143" s="312"/>
      <c r="AF143" s="315"/>
      <c r="AG143" s="315"/>
      <c r="AH143" s="11" t="str">
        <f aca="false" t="array" ref="AH143:AH143">IFERROR(INDEX('Bank Schedule'!AD:AD, SMALL(IF('Bank Schedule'!$K$2:$K$825="Vacant", ROW('Bank Schedule'!$K$2:$K$825)), ROW(140:140))), "")</f>
        <v/>
      </c>
      <c r="AI143" s="11" t="str">
        <f aca="false" t="array" ref="AI143:AI143">IFERROR(INDEX('Bank Schedule'!AF:AF, SMALL(IF('Bank Schedule'!$K$2:$K$825="Vacant", ROW('Bank Schedule'!$K$2:$K$825)), ROW(140:140))), "")</f>
        <v/>
      </c>
    </row>
    <row r="144" customFormat="false" ht="23.25" hidden="false" customHeight="true" outlineLevel="0" collapsed="false">
      <c r="A144" s="29" t="str">
        <f aca="false" t="array" ref="A144:A144">IFERROR(INDEX('Bank Schedule'!A:A, SMALL(IF('Bank Schedule'!$K$2:$K$825="Vacant", ROW('Bank Schedule'!$K$2:$K$825)), ROW(141:141))), "")</f>
        <v/>
      </c>
      <c r="B144" s="11" t="str">
        <f aca="false" t="array" ref="B144:B144">IFERROR(INDEX('Bank Schedule'!B:B, SMALL(IF('Bank Schedule'!$K$2:$K$825="Vacant", ROW('Bank Schedule'!$K$2:$K$825)), ROW(141:141))), "")</f>
        <v/>
      </c>
      <c r="C144" s="11" t="str">
        <f aca="false" t="array" ref="C144:C144">IFERROR(INDEX('Bank Schedule'!C:C, SMALL(IF('Bank Schedule'!$K$2:$K$825="Vacant", ROW('Bank Schedule'!$K$2:$K$825)), ROW(141:141))), "")</f>
        <v/>
      </c>
      <c r="D144" s="11" t="str">
        <f aca="false" t="array" ref="D144:D144">IFERROR(INDEX('Bank Schedule'!D:D, SMALL(IF('Bank Schedule'!$K$2:$K$825="Vacant", ROW('Bank Schedule'!$K$2:$K$825)), ROW(141:141))), "")</f>
        <v/>
      </c>
      <c r="E144" s="11"/>
      <c r="F144" s="11"/>
      <c r="G144" s="11"/>
      <c r="H144" s="316" t="n">
        <f aca="false">SUM(H4:H142)</f>
        <v>178185</v>
      </c>
      <c r="I144" s="317"/>
      <c r="J144" s="318"/>
      <c r="K144" s="319" t="s">
        <v>876</v>
      </c>
      <c r="L144" s="320" t="n">
        <v>0</v>
      </c>
      <c r="M144" s="320" t="n">
        <v>0</v>
      </c>
      <c r="N144" s="321"/>
      <c r="O144" s="322"/>
      <c r="P144" s="320"/>
      <c r="Q144" s="320"/>
      <c r="R144" s="320"/>
      <c r="S144" s="320"/>
      <c r="T144" s="323"/>
      <c r="U144" s="323"/>
      <c r="V144" s="323"/>
      <c r="W144" s="324"/>
      <c r="X144" s="324"/>
      <c r="Y144" s="325"/>
      <c r="Z144" s="319" t="s">
        <v>877</v>
      </c>
      <c r="AA144" s="319"/>
      <c r="AB144" s="326" t="n">
        <f aca="false">SUM(Z4:Z144)</f>
        <v>0</v>
      </c>
      <c r="AC144" s="11"/>
      <c r="AD144" s="326" t="n">
        <f aca="false">SUM(T3:T143)</f>
        <v>10025850</v>
      </c>
      <c r="AF144" s="327" t="n">
        <f aca="false">SUM(AF4:AF143)</f>
        <v>149</v>
      </c>
      <c r="AG144" s="327" t="n">
        <f aca="false">SUM(AG4:AG143)</f>
        <v>343</v>
      </c>
      <c r="AI144" s="11"/>
    </row>
    <row r="145" customFormat="false" ht="23.25" hidden="false" customHeight="true" outlineLevel="0" collapsed="false">
      <c r="A145" s="29" t="str">
        <f aca="false" t="array" ref="A145:A145">IFERROR(INDEX('Bank Schedule'!A:A, SMALL(IF('Bank Schedule'!$K$2:$K$825="Vacant", ROW('Bank Schedule'!$K$2:$K$825)), ROW(142:142))), "")</f>
        <v/>
      </c>
      <c r="B145" s="11" t="str">
        <f aca="false" t="array" ref="B145:B145">IFERROR(INDEX('Bank Schedule'!B:B, SMALL(IF('Bank Schedule'!$K$2:$K$825="Vacant", ROW('Bank Schedule'!$K$2:$K$825)), ROW(142:142))), "")</f>
        <v/>
      </c>
      <c r="C145" s="11" t="str">
        <f aca="false" t="array" ref="C145:C145">IFERROR(INDEX('Bank Schedule'!C:C, SMALL(IF('Bank Schedule'!$K$2:$K$825="Vacant", ROW('Bank Schedule'!$K$2:$K$825)), ROW(142:142))), "")</f>
        <v/>
      </c>
      <c r="D145" s="11" t="str">
        <f aca="false" t="array" ref="D145:D145">IFERROR(INDEX('Bank Schedule'!D:D, SMALL(IF('Bank Schedule'!$K$2:$K$825="Vacant", ROW('Bank Schedule'!$K$2:$K$825)), ROW(142:142))), "")</f>
        <v/>
      </c>
      <c r="E145" s="11"/>
      <c r="F145" s="11"/>
      <c r="G145" s="11"/>
      <c r="AE145" s="312"/>
      <c r="AF145" s="11"/>
      <c r="AG145" s="11"/>
    </row>
    <row r="146" customFormat="false" ht="23.25" hidden="false" customHeight="true" outlineLevel="0" collapsed="false">
      <c r="A146" s="29" t="str">
        <f aca="false" t="array" ref="A146:A146">IFERROR(INDEX('Bank Schedule'!A:A, SMALL(IF('Bank Schedule'!$K$2:$K$825="Vacant", ROW('Bank Schedule'!$K$2:$K$825)), ROW(143:143))), "")</f>
        <v/>
      </c>
      <c r="B146" s="11" t="str">
        <f aca="false" t="array" ref="B146:B146">IFERROR(INDEX('Bank Schedule'!B:B, SMALL(IF('Bank Schedule'!$K$2:$K$825="Vacant", ROW('Bank Schedule'!$K$2:$K$825)), ROW(143:143))), "")</f>
        <v/>
      </c>
      <c r="C146" s="11" t="str">
        <f aca="false" t="array" ref="C146:C146">IFERROR(INDEX('Bank Schedule'!C:C, SMALL(IF('Bank Schedule'!$K$2:$K$825="Vacant", ROW('Bank Schedule'!$K$2:$K$825)), ROW(143:143))), "")</f>
        <v/>
      </c>
      <c r="D146" s="11" t="str">
        <f aca="false" t="array" ref="D146:D146">IFERROR(INDEX('Bank Schedule'!D:D, SMALL(IF('Bank Schedule'!$K$2:$K$825="Vacant", ROW('Bank Schedule'!$K$2:$K$825)), ROW(143:143))), "")</f>
        <v/>
      </c>
      <c r="E146" s="11"/>
      <c r="F146" s="11"/>
      <c r="G146" s="11"/>
      <c r="H146" s="14"/>
      <c r="I146" s="11"/>
      <c r="J146" s="14"/>
      <c r="L146" s="1" t="n">
        <v>0</v>
      </c>
      <c r="M146" s="1" t="n">
        <v>0</v>
      </c>
      <c r="N146" s="291" t="n">
        <v>43840</v>
      </c>
      <c r="T146" s="328"/>
      <c r="U146" s="328"/>
      <c r="V146" s="328"/>
      <c r="AC146" s="11"/>
      <c r="AD146" s="11"/>
      <c r="AE146" s="312"/>
      <c r="AF146" s="11"/>
      <c r="AG146" s="11"/>
      <c r="AH146" s="329" t="s">
        <v>878</v>
      </c>
      <c r="AI146" s="330"/>
      <c r="AJ146" s="315"/>
      <c r="AK146" s="315"/>
    </row>
    <row r="147" customFormat="false" ht="23.25" hidden="false" customHeight="true" outlineLevel="0" collapsed="false">
      <c r="A147" s="29" t="str">
        <f aca="false" t="array" ref="A147:A147">IFERROR(INDEX('Bank Schedule'!A:A, SMALL(IF('Bank Schedule'!$K$2:$K$825="Vacant", ROW('Bank Schedule'!$K$2:$K$825)), ROW(144:144))), "")</f>
        <v/>
      </c>
      <c r="B147" s="11" t="str">
        <f aca="false" t="array" ref="B147:B147">IFERROR(INDEX('Bank Schedule'!B:B, SMALL(IF('Bank Schedule'!$K$2:$K$825="Vacant", ROW('Bank Schedule'!$K$2:$K$825)), ROW(144:144))), "")</f>
        <v/>
      </c>
      <c r="C147" s="11" t="str">
        <f aca="false" t="array" ref="C147:C147">IFERROR(INDEX('Bank Schedule'!C:C, SMALL(IF('Bank Schedule'!$K$2:$K$825="Vacant", ROW('Bank Schedule'!$K$2:$K$825)), ROW(144:144))), "")</f>
        <v/>
      </c>
      <c r="D147" s="29" t="str">
        <f aca="false" t="array" ref="D147:D147">IFERROR(INDEX('Bank Schedule'!D:D, SMALL(IF('Bank Schedule'!$K$2:$K$825="Vacant", ROW('Bank Schedule'!$K$2:$K$825)), ROW(144:144))), "")</f>
        <v/>
      </c>
      <c r="E147" s="4"/>
      <c r="F147" s="4"/>
      <c r="G147" s="5"/>
      <c r="H147" s="14"/>
      <c r="I147" s="6"/>
      <c r="J147" s="14"/>
      <c r="L147" s="1" t="n">
        <v>0</v>
      </c>
      <c r="M147" s="1" t="n">
        <v>0</v>
      </c>
      <c r="N147" s="291" t="n">
        <v>45143</v>
      </c>
      <c r="T147" s="328"/>
      <c r="U147" s="328"/>
      <c r="V147" s="328"/>
      <c r="AC147" s="14"/>
      <c r="AD147" s="14"/>
      <c r="AE147" s="331"/>
      <c r="AF147" s="4"/>
      <c r="AH147" s="332" t="n">
        <f aca="false">COUNTIF(AD$3:AD$141, AI147)</f>
        <v>0</v>
      </c>
      <c r="AI147" s="333" t="n">
        <v>0</v>
      </c>
      <c r="AJ147" s="334" t="s">
        <v>879</v>
      </c>
      <c r="AK147" s="315"/>
    </row>
    <row r="148" customFormat="false" ht="23.25" hidden="false" customHeight="true" outlineLevel="0" collapsed="false">
      <c r="A148" s="29" t="str">
        <f aca="false" t="array" ref="A148:A148">IFERROR(INDEX('Bank Schedule'!A:A, SMALL(IF('Bank Schedule'!$K$2:$K$825="Vacant", ROW('Bank Schedule'!$K$2:$K$825)), ROW(145:145))), "")</f>
        <v/>
      </c>
      <c r="B148" s="11" t="str">
        <f aca="false" t="array" ref="B148:B148">IFERROR(INDEX('Bank Schedule'!B:B, SMALL(IF('Bank Schedule'!$K$2:$K$825="Vacant", ROW('Bank Schedule'!$K$2:$K$825)), ROW(145:145))), "")</f>
        <v/>
      </c>
      <c r="C148" s="11" t="str">
        <f aca="false" t="array" ref="C148:C148">IFERROR(INDEX('Bank Schedule'!C:C, SMALL(IF('Bank Schedule'!$K$2:$K$825="Vacant", ROW('Bank Schedule'!$K$2:$K$825)), ROW(145:145))), "")</f>
        <v/>
      </c>
      <c r="D148" s="29" t="str">
        <f aca="false" t="array" ref="D148:D148">IFERROR(INDEX('Bank Schedule'!D:D, SMALL(IF('Bank Schedule'!$K$2:$K$825="Vacant", ROW('Bank Schedule'!$K$2:$K$825)), ROW(145:145))), "")</f>
        <v/>
      </c>
      <c r="E148" s="4"/>
      <c r="F148" s="4"/>
      <c r="G148" s="5"/>
      <c r="H148" s="14"/>
      <c r="I148" s="6"/>
      <c r="J148" s="14"/>
      <c r="L148" s="1" t="n">
        <v>0</v>
      </c>
      <c r="M148" s="1" t="n">
        <v>0</v>
      </c>
      <c r="N148" s="291" t="n">
        <v>44577</v>
      </c>
      <c r="T148" s="328"/>
      <c r="U148" s="328"/>
      <c r="V148" s="328"/>
      <c r="AC148" s="14"/>
      <c r="AD148" s="14"/>
      <c r="AE148" s="331"/>
      <c r="AF148" s="4"/>
      <c r="AH148" s="335" t="n">
        <f aca="false">COUNTIF(AD$1:AD$140, "*" &amp; AI148 &amp; "*")</f>
        <v>31</v>
      </c>
      <c r="AI148" s="336" t="s">
        <v>880</v>
      </c>
      <c r="AJ148" s="315"/>
      <c r="AK148" s="315"/>
    </row>
    <row r="149" customFormat="false" ht="23.25" hidden="false" customHeight="true" outlineLevel="0" collapsed="false">
      <c r="A149" s="29" t="str">
        <f aca="false" t="array" ref="A149:A149">IFERROR(INDEX('Bank Schedule'!A:A, SMALL(IF('Bank Schedule'!$K$2:$K$825="Vacant", ROW('Bank Schedule'!$K$2:$K$825)), ROW(146:146))), "")</f>
        <v/>
      </c>
      <c r="B149" s="11" t="str">
        <f aca="false" t="array" ref="B149:B149">IFERROR(INDEX('Bank Schedule'!B:B, SMALL(IF('Bank Schedule'!$K$2:$K$825="Vacant", ROW('Bank Schedule'!$K$2:$K$825)), ROW(146:146))), "")</f>
        <v/>
      </c>
      <c r="C149" s="11" t="str">
        <f aca="false" t="array" ref="C149:C149">IFERROR(INDEX('Bank Schedule'!C:C, SMALL(IF('Bank Schedule'!$K$2:$K$825="Vacant", ROW('Bank Schedule'!$K$2:$K$825)), ROW(146:146))), "")</f>
        <v/>
      </c>
      <c r="D149" s="29" t="str">
        <f aca="false" t="array" ref="D149:D149">IFERROR(INDEX('Bank Schedule'!D:D, SMALL(IF('Bank Schedule'!$K$2:$K$825="Vacant", ROW('Bank Schedule'!$K$2:$K$825)), ROW(146:146))), "")</f>
        <v/>
      </c>
      <c r="E149" s="4"/>
      <c r="F149" s="4"/>
      <c r="G149" s="5"/>
      <c r="H149" s="14"/>
      <c r="I149" s="6"/>
      <c r="J149" s="14"/>
      <c r="L149" s="1" t="n">
        <v>0</v>
      </c>
      <c r="M149" s="1" t="n">
        <v>0</v>
      </c>
      <c r="N149" s="291" t="n">
        <v>44603</v>
      </c>
      <c r="T149" s="328"/>
      <c r="U149" s="328"/>
      <c r="V149" s="328"/>
      <c r="AC149" s="14"/>
      <c r="AD149" s="14"/>
      <c r="AE149" s="331"/>
      <c r="AF149" s="4"/>
      <c r="AH149" s="335" t="n">
        <f aca="false">COUNTIF(AD$1:AD$143, "*" &amp; AI149 &amp; "*")</f>
        <v>62</v>
      </c>
      <c r="AI149" s="336" t="s">
        <v>881</v>
      </c>
      <c r="AJ149" s="315"/>
      <c r="AK149" s="315"/>
    </row>
    <row r="150" customFormat="false" ht="23.25" hidden="false" customHeight="true" outlineLevel="0" collapsed="false">
      <c r="A150" s="29" t="str">
        <f aca="false" t="array" ref="A150:A150">IFERROR(INDEX('Bank Schedule'!A:A, SMALL(IF('Bank Schedule'!$K$2:$K$825="Vacant", ROW('Bank Schedule'!$K$2:$K$825)), ROW(147:147))), "")</f>
        <v/>
      </c>
      <c r="B150" s="11" t="str">
        <f aca="false" t="array" ref="B150:B150">IFERROR(INDEX('Bank Schedule'!B:B, SMALL(IF('Bank Schedule'!$K$2:$K$825="Vacant", ROW('Bank Schedule'!$K$2:$K$825)), ROW(147:147))), "")</f>
        <v/>
      </c>
      <c r="C150" s="11" t="str">
        <f aca="false" t="array" ref="C150:C150">IFERROR(INDEX('Bank Schedule'!C:C, SMALL(IF('Bank Schedule'!$K$2:$K$825="Vacant", ROW('Bank Schedule'!$K$2:$K$825)), ROW(147:147))), "")</f>
        <v/>
      </c>
      <c r="D150" s="29" t="str">
        <f aca="false" t="array" ref="D150:D150">IFERROR(INDEX('Bank Schedule'!D:D, SMALL(IF('Bank Schedule'!$K$2:$K$825="Vacant", ROW('Bank Schedule'!$K$2:$K$825)), ROW(147:147))), "")</f>
        <v/>
      </c>
      <c r="E150" s="4"/>
      <c r="F150" s="4"/>
      <c r="G150" s="5"/>
      <c r="H150" s="14"/>
      <c r="I150" s="6"/>
      <c r="J150" s="14"/>
      <c r="L150" s="1" t="n">
        <v>45125</v>
      </c>
      <c r="M150" s="1" t="n">
        <v>45490</v>
      </c>
      <c r="N150" s="291" t="n">
        <v>0</v>
      </c>
      <c r="T150" s="328"/>
      <c r="U150" s="328"/>
      <c r="V150" s="328"/>
      <c r="AC150" s="14"/>
      <c r="AD150" s="14"/>
      <c r="AE150" s="331"/>
      <c r="AF150" s="4"/>
      <c r="AH150" s="335" t="n">
        <f aca="false">COUNTIF(AD$1:AD$143, "*" &amp; AI150 &amp; "*")</f>
        <v>6</v>
      </c>
      <c r="AI150" s="336" t="s">
        <v>882</v>
      </c>
      <c r="AJ150" s="315"/>
      <c r="AK150" s="315"/>
    </row>
    <row r="151" customFormat="false" ht="23.25" hidden="false" customHeight="true" outlineLevel="0" collapsed="false">
      <c r="A151" s="29" t="str">
        <f aca="false" t="array" ref="A151:A151">IFERROR(INDEX('Bank Schedule'!A:A, SMALL(IF('Bank Schedule'!$K$2:$K$825="Vacant", ROW('Bank Schedule'!$K$2:$K$825)), ROW(148:148))), "")</f>
        <v/>
      </c>
      <c r="B151" s="11" t="str">
        <f aca="false" t="array" ref="B151:B151">IFERROR(INDEX('Bank Schedule'!B:B, SMALL(IF('Bank Schedule'!$K$2:$K$825="Vacant", ROW('Bank Schedule'!$K$2:$K$825)), ROW(148:148))), "")</f>
        <v/>
      </c>
      <c r="C151" s="11" t="str">
        <f aca="false" t="array" ref="C151:C151">IFERROR(INDEX('Bank Schedule'!C:C, SMALL(IF('Bank Schedule'!$K$2:$K$825="Vacant", ROW('Bank Schedule'!$K$2:$K$825)), ROW(148:148))), "")</f>
        <v/>
      </c>
      <c r="D151" s="29" t="str">
        <f aca="false" t="array" ref="D151:D151">IFERROR(INDEX('Bank Schedule'!D:D, SMALL(IF('Bank Schedule'!$K$2:$K$825="Vacant", ROW('Bank Schedule'!$K$2:$K$825)), ROW(148:148))), "")</f>
        <v/>
      </c>
      <c r="E151" s="4"/>
      <c r="F151" s="4"/>
      <c r="G151" s="5"/>
      <c r="H151" s="14"/>
      <c r="I151" s="6"/>
      <c r="J151" s="14"/>
      <c r="L151" s="1" t="n">
        <v>45463</v>
      </c>
      <c r="M151" s="1" t="n">
        <v>0</v>
      </c>
      <c r="N151" s="291" t="n">
        <v>0</v>
      </c>
      <c r="T151" s="328"/>
      <c r="U151" s="328"/>
      <c r="V151" s="328"/>
      <c r="AC151" s="14"/>
      <c r="AD151" s="14"/>
      <c r="AE151" s="331"/>
      <c r="AF151" s="4"/>
      <c r="AH151" s="335" t="n">
        <f aca="false">COUNTIF(AD$1:AD$143, "*" &amp; AI151 &amp; "*")</f>
        <v>24</v>
      </c>
      <c r="AI151" s="336" t="s">
        <v>883</v>
      </c>
      <c r="AJ151" s="315"/>
      <c r="AK151" s="315"/>
    </row>
    <row r="152" customFormat="false" ht="23.25" hidden="false" customHeight="true" outlineLevel="0" collapsed="false">
      <c r="A152" s="29" t="str">
        <f aca="false" t="array" ref="A152:A152">IFERROR(INDEX('Bank Schedule'!A:A, SMALL(IF('Bank Schedule'!$K$2:$K$825="Vacant", ROW('Bank Schedule'!$K$2:$K$825)), ROW(149:149))), "")</f>
        <v/>
      </c>
      <c r="B152" s="11" t="str">
        <f aca="false" t="array" ref="B152:B152">IFERROR(INDEX('Bank Schedule'!B:B, SMALL(IF('Bank Schedule'!$K$2:$K$825="Vacant", ROW('Bank Schedule'!$K$2:$K$825)), ROW(149:149))), "")</f>
        <v/>
      </c>
      <c r="C152" s="11" t="str">
        <f aca="false" t="array" ref="C152:C152">IFERROR(INDEX('Bank Schedule'!C:C, SMALL(IF('Bank Schedule'!$K$2:$K$825="Vacant", ROW('Bank Schedule'!$K$2:$K$825)), ROW(149:149))), "")</f>
        <v/>
      </c>
      <c r="D152" s="29" t="str">
        <f aca="false" t="array" ref="D152:D152">IFERROR(INDEX('Bank Schedule'!D:D, SMALL(IF('Bank Schedule'!$K$2:$K$825="Vacant", ROW('Bank Schedule'!$K$2:$K$825)), ROW(149:149))), "")</f>
        <v/>
      </c>
      <c r="E152" s="4"/>
      <c r="F152" s="4"/>
      <c r="G152" s="5"/>
      <c r="H152" s="14"/>
      <c r="I152" s="6"/>
      <c r="J152" s="14"/>
      <c r="T152" s="328"/>
      <c r="U152" s="328"/>
      <c r="V152" s="328"/>
      <c r="AC152" s="14"/>
      <c r="AD152" s="14"/>
      <c r="AE152" s="331"/>
      <c r="AF152" s="4"/>
      <c r="AH152" s="335"/>
      <c r="AI152" s="337"/>
      <c r="AJ152" s="315"/>
      <c r="AK152" s="315"/>
    </row>
    <row r="153" customFormat="false" ht="23.25" hidden="false" customHeight="true" outlineLevel="0" collapsed="false">
      <c r="A153" s="29" t="str">
        <f aca="false" t="array" ref="A153:A153">IFERROR(INDEX('Bank Schedule'!A:A, SMALL(IF('Bank Schedule'!$K$2:$K$825="Vacant", ROW('Bank Schedule'!$K$2:$K$825)), ROW(150:150))), "")</f>
        <v/>
      </c>
      <c r="B153" s="11" t="str">
        <f aca="false" t="array" ref="B153:B153">IFERROR(INDEX('Bank Schedule'!B:B, SMALL(IF('Bank Schedule'!$K$2:$K$825="Vacant", ROW('Bank Schedule'!$K$2:$K$825)), ROW(150:150))), "")</f>
        <v/>
      </c>
      <c r="C153" s="11" t="str">
        <f aca="false" t="array" ref="C153:C153">IFERROR(INDEX('Bank Schedule'!C:C, SMALL(IF('Bank Schedule'!$K$2:$K$825="Vacant", ROW('Bank Schedule'!$K$2:$K$825)), ROW(150:150))), "")</f>
        <v/>
      </c>
      <c r="D153" s="29" t="str">
        <f aca="false" t="array" ref="D153:D153">IFERROR(INDEX('Bank Schedule'!D:D, SMALL(IF('Bank Schedule'!$K$2:$K$825="Vacant", ROW('Bank Schedule'!$K$2:$K$825)), ROW(150:150))), "")</f>
        <v/>
      </c>
      <c r="E153" s="4"/>
      <c r="F153" s="4"/>
      <c r="G153" s="5"/>
      <c r="H153" s="14"/>
      <c r="I153" s="6"/>
      <c r="J153" s="14"/>
      <c r="L153" s="96"/>
      <c r="M153" s="7"/>
      <c r="N153" s="295"/>
      <c r="O153" s="8"/>
      <c r="P153" s="8"/>
      <c r="Q153" s="8"/>
      <c r="R153" s="8"/>
      <c r="S153" s="9"/>
      <c r="T153" s="296"/>
      <c r="U153" s="296"/>
      <c r="V153" s="296"/>
      <c r="W153" s="296"/>
      <c r="X153" s="296"/>
      <c r="Y153" s="100"/>
      <c r="Z153" s="9"/>
      <c r="AA153" s="9"/>
      <c r="AB153" s="42"/>
      <c r="AC153" s="14"/>
      <c r="AD153" s="14"/>
      <c r="AE153" s="331"/>
      <c r="AF153" s="4"/>
      <c r="AH153" s="338" t="n">
        <f aca="false">SUM(AH147:AH152)</f>
        <v>123</v>
      </c>
      <c r="AI153" s="339" t="s">
        <v>877</v>
      </c>
      <c r="AJ153" s="315"/>
      <c r="AK153" s="315"/>
    </row>
    <row r="154" customFormat="false" ht="23.25" hidden="false" customHeight="true" outlineLevel="0" collapsed="false">
      <c r="A154" s="29" t="str">
        <f aca="false" t="array" ref="A154:A154">IFERROR(INDEX('Bank Schedule'!A:A, SMALL(IF('Bank Schedule'!$K$2:$K$825="Vacant", ROW('Bank Schedule'!$K$2:$K$825)), ROW(151:151))), "")</f>
        <v/>
      </c>
      <c r="B154" s="11" t="str">
        <f aca="false" t="array" ref="B154:B154">IFERROR(INDEX('Bank Schedule'!B:B, SMALL(IF('Bank Schedule'!$K$2:$K$825="Vacant", ROW('Bank Schedule'!$K$2:$K$825)), ROW(151:151))), "")</f>
        <v/>
      </c>
      <c r="C154" s="11" t="str">
        <f aca="false" t="array" ref="C154:C154">IFERROR(INDEX('Bank Schedule'!C:C, SMALL(IF('Bank Schedule'!$K$2:$K$825="Vacant", ROW('Bank Schedule'!$K$2:$K$825)), ROW(151:151))), "")</f>
        <v/>
      </c>
      <c r="D154" s="29" t="str">
        <f aca="false" t="array" ref="D154:D154">IFERROR(INDEX('Bank Schedule'!D:D, SMALL(IF('Bank Schedule'!$K$2:$K$825="Vacant", ROW('Bank Schedule'!$K$2:$K$825)), ROW(151:151))), "")</f>
        <v/>
      </c>
      <c r="E154" s="4"/>
      <c r="F154" s="4"/>
      <c r="G154" s="5"/>
      <c r="H154" s="14"/>
      <c r="I154" s="6"/>
      <c r="J154" s="14"/>
      <c r="L154" s="96"/>
      <c r="M154" s="7"/>
      <c r="N154" s="295"/>
      <c r="O154" s="8"/>
      <c r="P154" s="8"/>
      <c r="Q154" s="8"/>
      <c r="R154" s="8"/>
      <c r="S154" s="9"/>
      <c r="T154" s="296"/>
      <c r="U154" s="296"/>
      <c r="V154" s="296"/>
      <c r="W154" s="296"/>
      <c r="X154" s="296"/>
      <c r="Y154" s="100"/>
      <c r="Z154" s="9"/>
      <c r="AA154" s="9"/>
      <c r="AB154" s="42"/>
      <c r="AC154" s="14"/>
      <c r="AD154" s="14"/>
      <c r="AE154" s="331"/>
      <c r="AF154" s="4"/>
      <c r="AK154" s="315"/>
      <c r="AL154" s="315"/>
    </row>
    <row r="155" customFormat="false" ht="23.25" hidden="false" customHeight="true" outlineLevel="0" collapsed="false">
      <c r="A155" s="29" t="str">
        <f aca="false" t="array" ref="A155:A155">IFERROR(INDEX('Bank Schedule'!A:A, SMALL(IF('Bank Schedule'!$K$2:$K$825="Vacant", ROW('Bank Schedule'!$K$2:$K$825)), ROW(152:152))), "")</f>
        <v/>
      </c>
      <c r="B155" s="11" t="str">
        <f aca="false" t="array" ref="B155:B155">IFERROR(INDEX('Bank Schedule'!B:B, SMALL(IF('Bank Schedule'!$K$2:$K$825="Vacant", ROW('Bank Schedule'!$K$2:$K$825)), ROW(152:152))), "")</f>
        <v/>
      </c>
      <c r="C155" s="11" t="str">
        <f aca="false" t="array" ref="C155:C155">IFERROR(INDEX('Bank Schedule'!C:C, SMALL(IF('Bank Schedule'!$K$2:$K$825="Vacant", ROW('Bank Schedule'!$K$2:$K$825)), ROW(152:152))), "")</f>
        <v/>
      </c>
      <c r="D155" s="29" t="str">
        <f aca="false" t="array" ref="D155:D155">IFERROR(INDEX('Bank Schedule'!D:D, SMALL(IF('Bank Schedule'!$K$2:$K$825="Vacant", ROW('Bank Schedule'!$K$2:$K$825)), ROW(152:152))), "")</f>
        <v/>
      </c>
      <c r="E155" s="4"/>
      <c r="F155" s="4"/>
      <c r="G155" s="5"/>
      <c r="H155" s="14"/>
      <c r="I155" s="6"/>
      <c r="J155" s="14"/>
      <c r="L155" s="96"/>
      <c r="M155" s="7"/>
      <c r="N155" s="295"/>
      <c r="O155" s="8"/>
      <c r="P155" s="8"/>
      <c r="Q155" s="8"/>
      <c r="R155" s="8"/>
      <c r="S155" s="9"/>
      <c r="T155" s="296"/>
      <c r="U155" s="296"/>
      <c r="V155" s="296"/>
      <c r="W155" s="296"/>
      <c r="X155" s="296"/>
      <c r="Y155" s="100"/>
      <c r="Z155" s="9"/>
      <c r="AA155" s="9"/>
      <c r="AB155" s="42"/>
      <c r="AC155" s="14"/>
      <c r="AD155" s="14"/>
      <c r="AE155" s="331"/>
      <c r="AF155" s="4"/>
      <c r="AH155" s="340"/>
      <c r="AJ155" s="340"/>
      <c r="AK155" s="315"/>
      <c r="AL155" s="315"/>
    </row>
    <row r="156" customFormat="false" ht="23.25" hidden="false" customHeight="true" outlineLevel="0" collapsed="false">
      <c r="A156" s="29" t="str">
        <f aca="false" t="array" ref="A156:A156">IFERROR(INDEX('Bank Schedule'!A:A, SMALL(IF('Bank Schedule'!$K$2:$K$825="Vacant", ROW('Bank Schedule'!$K$2:$K$825)), ROW(153:153))), "")</f>
        <v/>
      </c>
      <c r="B156" s="11" t="str">
        <f aca="false" t="array" ref="B156:B156">IFERROR(INDEX('Bank Schedule'!B:B, SMALL(IF('Bank Schedule'!$K$2:$K$825="Vacant", ROW('Bank Schedule'!$K$2:$K$825)), ROW(153:153))), "")</f>
        <v/>
      </c>
      <c r="C156" s="11" t="str">
        <f aca="false" t="array" ref="C156:C156">IFERROR(INDEX('Bank Schedule'!C:C, SMALL(IF('Bank Schedule'!$K$2:$K$825="Vacant", ROW('Bank Schedule'!$K$2:$K$825)), ROW(153:153))), "")</f>
        <v/>
      </c>
      <c r="D156" s="29" t="str">
        <f aca="false" t="array" ref="D156:D156">IFERROR(INDEX('Bank Schedule'!D:D, SMALL(IF('Bank Schedule'!$K$2:$K$825="Vacant", ROW('Bank Schedule'!$K$2:$K$825)), ROW(153:153))), "")</f>
        <v/>
      </c>
      <c r="E156" s="4"/>
      <c r="F156" s="4"/>
      <c r="G156" s="5"/>
      <c r="H156" s="14"/>
      <c r="I156" s="6"/>
      <c r="J156" s="14"/>
      <c r="L156" s="96"/>
      <c r="M156" s="7"/>
      <c r="N156" s="295"/>
      <c r="O156" s="8"/>
      <c r="P156" s="8"/>
      <c r="Q156" s="8"/>
      <c r="R156" s="8"/>
      <c r="S156" s="9"/>
      <c r="T156" s="296"/>
      <c r="U156" s="296"/>
      <c r="V156" s="296"/>
      <c r="W156" s="296"/>
      <c r="X156" s="296"/>
      <c r="Y156" s="100"/>
      <c r="Z156" s="9"/>
      <c r="AA156" s="9"/>
      <c r="AB156" s="42"/>
      <c r="AC156" s="14"/>
      <c r="AD156" s="14"/>
      <c r="AE156" s="331"/>
      <c r="AF156" s="4"/>
      <c r="AH156" s="341" t="s">
        <v>884</v>
      </c>
      <c r="AI156" s="342"/>
      <c r="AJ156" s="343"/>
      <c r="AL156" s="315"/>
    </row>
    <row r="157" customFormat="false" ht="23.25" hidden="false" customHeight="true" outlineLevel="0" collapsed="false">
      <c r="A157" s="29" t="str">
        <f aca="false" t="array" ref="A157:A157">IFERROR(INDEX('Bank Schedule'!A:A, SMALL(IF('Bank Schedule'!$K$2:$K$825="Vacant", ROW('Bank Schedule'!$K$2:$K$825)), ROW(154:154))), "")</f>
        <v/>
      </c>
      <c r="B157" s="11" t="str">
        <f aca="false" t="array" ref="B157:B157">IFERROR(INDEX('Bank Schedule'!B:B, SMALL(IF('Bank Schedule'!$K$2:$K$825="Vacant", ROW('Bank Schedule'!$K$2:$K$825)), ROW(154:154))), "")</f>
        <v/>
      </c>
      <c r="C157" s="11" t="str">
        <f aca="false" t="array" ref="C157:C157">IFERROR(INDEX('Bank Schedule'!C:C, SMALL(IF('Bank Schedule'!$K$2:$K$825="Vacant", ROW('Bank Schedule'!$K$2:$K$825)), ROW(154:154))), "")</f>
        <v/>
      </c>
      <c r="D157" s="29" t="str">
        <f aca="false" t="array" ref="D157:D157">IFERROR(INDEX('Bank Schedule'!D:D, SMALL(IF('Bank Schedule'!$K$2:$K$825="Vacant", ROW('Bank Schedule'!$K$2:$K$825)), ROW(154:154))), "")</f>
        <v/>
      </c>
      <c r="E157" s="4"/>
      <c r="F157" s="4"/>
      <c r="G157" s="5"/>
      <c r="H157" s="14"/>
      <c r="I157" s="6"/>
      <c r="J157" s="14"/>
      <c r="K157" s="5"/>
      <c r="L157" s="96"/>
      <c r="M157" s="7"/>
      <c r="N157" s="295"/>
      <c r="O157" s="8"/>
      <c r="P157" s="8"/>
      <c r="Q157" s="8"/>
      <c r="R157" s="8"/>
      <c r="S157" s="9"/>
      <c r="T157" s="296"/>
      <c r="U157" s="296"/>
      <c r="V157" s="296"/>
      <c r="W157" s="296"/>
      <c r="X157" s="296"/>
      <c r="Y157" s="100"/>
      <c r="Z157" s="9"/>
      <c r="AA157" s="9"/>
      <c r="AB157" s="42"/>
      <c r="AC157" s="14"/>
      <c r="AD157" s="14"/>
      <c r="AE157" s="331"/>
      <c r="AF157" s="4"/>
      <c r="AH157" s="335" t="n">
        <f aca="false">COUNTIF(Z$4:AC$142, AI157)</f>
        <v>1</v>
      </c>
      <c r="AI157" s="336" t="s">
        <v>458</v>
      </c>
      <c r="AJ157" s="344" t="n">
        <f aca="false">AH157/$AH$163</f>
        <v>0.00819672131147541</v>
      </c>
      <c r="AL157" s="315"/>
    </row>
    <row r="158" customFormat="false" ht="23.25" hidden="false" customHeight="true" outlineLevel="0" collapsed="false">
      <c r="A158" s="29" t="str">
        <f aca="false" t="array" ref="A158:A158">IFERROR(INDEX('Bank Schedule'!A:A, SMALL(IF('Bank Schedule'!$K$2:$K$825="Vacant", ROW('Bank Schedule'!$K$2:$K$825)), ROW(155:155))), "")</f>
        <v/>
      </c>
      <c r="B158" s="11" t="str">
        <f aca="false" t="array" ref="B158:B158">IFERROR(INDEX('Bank Schedule'!B:B, SMALL(IF('Bank Schedule'!$K$2:$K$825="Vacant", ROW('Bank Schedule'!$K$2:$K$825)), ROW(155:155))), "")</f>
        <v/>
      </c>
      <c r="C158" s="11" t="str">
        <f aca="false" t="array" ref="C158:C158">IFERROR(INDEX('Bank Schedule'!C:C, SMALL(IF('Bank Schedule'!$K$2:$K$825="Vacant", ROW('Bank Schedule'!$K$2:$K$825)), ROW(155:155))), "")</f>
        <v/>
      </c>
      <c r="D158" s="29" t="str">
        <f aca="false" t="array" ref="D158:D158">IFERROR(INDEX('Bank Schedule'!D:D, SMALL(IF('Bank Schedule'!$K$2:$K$825="Vacant", ROW('Bank Schedule'!$K$2:$K$825)), ROW(155:155))), "")</f>
        <v/>
      </c>
      <c r="E158" s="4"/>
      <c r="F158" s="4"/>
      <c r="G158" s="5"/>
      <c r="H158" s="14"/>
      <c r="I158" s="6"/>
      <c r="J158" s="14"/>
      <c r="K158" s="5"/>
      <c r="L158" s="96"/>
      <c r="M158" s="7"/>
      <c r="N158" s="295"/>
      <c r="O158" s="8"/>
      <c r="P158" s="8"/>
      <c r="Q158" s="8"/>
      <c r="R158" s="8"/>
      <c r="S158" s="9"/>
      <c r="T158" s="296"/>
      <c r="U158" s="296"/>
      <c r="V158" s="296"/>
      <c r="W158" s="296"/>
      <c r="X158" s="296"/>
      <c r="Y158" s="100"/>
      <c r="Z158" s="9"/>
      <c r="AA158" s="9"/>
      <c r="AB158" s="42"/>
      <c r="AC158" s="14"/>
      <c r="AD158" s="14"/>
      <c r="AE158" s="331"/>
      <c r="AF158" s="4"/>
      <c r="AH158" s="335" t="n">
        <f aca="false">COUNTIF(Z$4:Z$143, AI158)</f>
        <v>12</v>
      </c>
      <c r="AI158" s="336" t="s">
        <v>55</v>
      </c>
      <c r="AJ158" s="345" t="n">
        <f aca="false">AH158/$AH$163</f>
        <v>0.0983606557377049</v>
      </c>
      <c r="AL158" s="315"/>
    </row>
    <row r="159" customFormat="false" ht="23.25" hidden="false" customHeight="true" outlineLevel="0" collapsed="false">
      <c r="A159" s="29" t="str">
        <f aca="false" t="array" ref="A159:A159">IFERROR(INDEX('Bank Schedule'!A:A, SMALL(IF('Bank Schedule'!$K$2:$K$825="Vacant", ROW('Bank Schedule'!$K$2:$K$825)), ROW(156:156))), "")</f>
        <v/>
      </c>
      <c r="B159" s="11" t="str">
        <f aca="false" t="array" ref="B159:B159">IFERROR(INDEX('Bank Schedule'!B:B, SMALL(IF('Bank Schedule'!$K$2:$K$825="Vacant", ROW('Bank Schedule'!$K$2:$K$825)), ROW(156:156))), "")</f>
        <v/>
      </c>
      <c r="C159" s="11" t="str">
        <f aca="false" t="array" ref="C159:C159">IFERROR(INDEX('Bank Schedule'!C:C, SMALL(IF('Bank Schedule'!$K$2:$K$825="Vacant", ROW('Bank Schedule'!$K$2:$K$825)), ROW(156:156))), "")</f>
        <v/>
      </c>
      <c r="D159" s="29" t="str">
        <f aca="false" t="array" ref="D159:D159">IFERROR(INDEX('Bank Schedule'!D:D, SMALL(IF('Bank Schedule'!$K$2:$K$825="Vacant", ROW('Bank Schedule'!$K$2:$K$825)), ROW(156:156))), "")</f>
        <v/>
      </c>
      <c r="E159" s="4"/>
      <c r="F159" s="4"/>
      <c r="G159" s="5"/>
      <c r="H159" s="14"/>
      <c r="I159" s="6"/>
      <c r="J159" s="14"/>
      <c r="K159" s="5"/>
      <c r="L159" s="96"/>
      <c r="M159" s="7"/>
      <c r="N159" s="295"/>
      <c r="O159" s="8"/>
      <c r="P159" s="8"/>
      <c r="Q159" s="8"/>
      <c r="R159" s="8"/>
      <c r="S159" s="9"/>
      <c r="T159" s="296"/>
      <c r="U159" s="296"/>
      <c r="V159" s="296"/>
      <c r="W159" s="296"/>
      <c r="X159" s="296"/>
      <c r="Y159" s="100"/>
      <c r="Z159" s="9"/>
      <c r="AA159" s="9"/>
      <c r="AB159" s="42"/>
      <c r="AC159" s="14"/>
      <c r="AD159" s="14"/>
      <c r="AE159" s="331"/>
      <c r="AF159" s="4"/>
      <c r="AH159" s="335" t="n">
        <f aca="false">COUNTIF(Z$1:Z$144, AI159)</f>
        <v>10</v>
      </c>
      <c r="AI159" s="336" t="s">
        <v>42</v>
      </c>
      <c r="AJ159" s="345" t="n">
        <f aca="false">AH159/$AH$163</f>
        <v>0.0819672131147541</v>
      </c>
      <c r="AL159" s="315"/>
    </row>
    <row r="160" customFormat="false" ht="23.25" hidden="false" customHeight="true" outlineLevel="0" collapsed="false">
      <c r="A160" s="29" t="str">
        <f aca="false" t="array" ref="A160:A160">IFERROR(INDEX('Bank Schedule'!A:A, SMALL(IF('Bank Schedule'!$K$2:$K$825="Vacant", ROW('Bank Schedule'!$K$2:$K$825)), ROW(157:157))), "")</f>
        <v/>
      </c>
      <c r="B160" s="11" t="str">
        <f aca="false" t="array" ref="B160:B160">IFERROR(INDEX('Bank Schedule'!B:B, SMALL(IF('Bank Schedule'!$K$2:$K$825="Vacant", ROW('Bank Schedule'!$K$2:$K$825)), ROW(157:157))), "")</f>
        <v/>
      </c>
      <c r="C160" s="11" t="str">
        <f aca="false" t="array" ref="C160:C160">IFERROR(INDEX('Bank Schedule'!C:C, SMALL(IF('Bank Schedule'!$K$2:$K$825="Vacant", ROW('Bank Schedule'!$K$2:$K$825)), ROW(157:157))), "")</f>
        <v/>
      </c>
      <c r="D160" s="29" t="str">
        <f aca="false" t="array" ref="D160:D160">IFERROR(INDEX('Bank Schedule'!D:D, SMALL(IF('Bank Schedule'!$K$2:$K$825="Vacant", ROW('Bank Schedule'!$K$2:$K$825)), ROW(157:157))), "")</f>
        <v/>
      </c>
      <c r="E160" s="4"/>
      <c r="F160" s="4"/>
      <c r="G160" s="5"/>
      <c r="H160" s="14"/>
      <c r="I160" s="6"/>
      <c r="J160" s="14"/>
      <c r="K160" s="5"/>
      <c r="L160" s="96"/>
      <c r="M160" s="7"/>
      <c r="N160" s="295"/>
      <c r="O160" s="8"/>
      <c r="P160" s="8"/>
      <c r="Q160" s="8"/>
      <c r="R160" s="8"/>
      <c r="S160" s="9"/>
      <c r="T160" s="296"/>
      <c r="U160" s="296"/>
      <c r="V160" s="296"/>
      <c r="W160" s="296"/>
      <c r="X160" s="296"/>
      <c r="Y160" s="100"/>
      <c r="Z160" s="9"/>
      <c r="AA160" s="9"/>
      <c r="AB160" s="42"/>
      <c r="AC160" s="14"/>
      <c r="AD160" s="14"/>
      <c r="AE160" s="331"/>
      <c r="AF160" s="4"/>
      <c r="AH160" s="335" t="n">
        <f aca="false">COUNTIF(Z$1:Z$144, AI160)</f>
        <v>61</v>
      </c>
      <c r="AI160" s="336" t="s">
        <v>60</v>
      </c>
      <c r="AJ160" s="345" t="n">
        <f aca="false">AH160/$AH$163</f>
        <v>0.5</v>
      </c>
      <c r="AL160" s="315"/>
    </row>
    <row r="161" customFormat="false" ht="23.25" hidden="false" customHeight="true" outlineLevel="0" collapsed="false">
      <c r="A161" s="29" t="str">
        <f aca="false" t="array" ref="A161:A161">IFERROR(INDEX('Bank Schedule'!A:A, SMALL(IF('Bank Schedule'!$K$2:$K$825="Vacant", ROW('Bank Schedule'!$K$2:$K$825)), ROW(158:158))), "")</f>
        <v/>
      </c>
      <c r="B161" s="11" t="str">
        <f aca="false" t="array" ref="B161:B161">IFERROR(INDEX('Bank Schedule'!B:B, SMALL(IF('Bank Schedule'!$K$2:$K$825="Vacant", ROW('Bank Schedule'!$K$2:$K$825)), ROW(158:158))), "")</f>
        <v/>
      </c>
      <c r="C161" s="11" t="str">
        <f aca="false" t="array" ref="C161:C161">IFERROR(INDEX('Bank Schedule'!C:C, SMALL(IF('Bank Schedule'!$K$2:$K$825="Vacant", ROW('Bank Schedule'!$K$2:$K$825)), ROW(158:158))), "")</f>
        <v/>
      </c>
      <c r="D161" s="29" t="str">
        <f aca="false" t="array" ref="D161:D161">IFERROR(INDEX('Bank Schedule'!D:D, SMALL(IF('Bank Schedule'!$K$2:$K$825="Vacant", ROW('Bank Schedule'!$K$2:$K$825)), ROW(158:158))), "")</f>
        <v/>
      </c>
      <c r="E161" s="4"/>
      <c r="F161" s="4"/>
      <c r="G161" s="5"/>
      <c r="H161" s="14"/>
      <c r="I161" s="6"/>
      <c r="J161" s="14"/>
      <c r="K161" s="5"/>
      <c r="L161" s="96"/>
      <c r="M161" s="7"/>
      <c r="N161" s="295"/>
      <c r="O161" s="8"/>
      <c r="P161" s="8"/>
      <c r="Q161" s="8"/>
      <c r="R161" s="8"/>
      <c r="S161" s="9"/>
      <c r="T161" s="296"/>
      <c r="U161" s="296"/>
      <c r="V161" s="296"/>
      <c r="W161" s="296"/>
      <c r="X161" s="296"/>
      <c r="Y161" s="100"/>
      <c r="Z161" s="9"/>
      <c r="AA161" s="9"/>
      <c r="AB161" s="42"/>
      <c r="AC161" s="14"/>
      <c r="AD161" s="14"/>
      <c r="AE161" s="331"/>
      <c r="AF161" s="4"/>
      <c r="AH161" s="335" t="n">
        <f aca="false">COUNTIF(Z$1:Z$143, AI161)</f>
        <v>38</v>
      </c>
      <c r="AI161" s="336" t="s">
        <v>127</v>
      </c>
      <c r="AJ161" s="345" t="n">
        <f aca="false">AH161/$AH$163</f>
        <v>0.311475409836066</v>
      </c>
      <c r="AL161" s="315"/>
    </row>
    <row r="162" customFormat="false" ht="23.25" hidden="false" customHeight="true" outlineLevel="0" collapsed="false">
      <c r="A162" s="29" t="str">
        <f aca="false" t="array" ref="A162:A162">IFERROR(INDEX('Bank Schedule'!A:A, SMALL(IF('Bank Schedule'!$K$2:$K$825="Vacant", ROW('Bank Schedule'!$K$2:$K$825)), ROW(159:159))), "")</f>
        <v/>
      </c>
      <c r="B162" s="11" t="str">
        <f aca="false" t="array" ref="B162:B162">IFERROR(INDEX('Bank Schedule'!B:B, SMALL(IF('Bank Schedule'!$K$2:$K$825="Vacant", ROW('Bank Schedule'!$K$2:$K$825)), ROW(159:159))), "")</f>
        <v/>
      </c>
      <c r="C162" s="11" t="str">
        <f aca="false" t="array" ref="C162:C162">IFERROR(INDEX('Bank Schedule'!C:C, SMALL(IF('Bank Schedule'!$K$2:$K$825="Vacant", ROW('Bank Schedule'!$K$2:$K$825)), ROW(159:159))), "")</f>
        <v/>
      </c>
      <c r="D162" s="29" t="str">
        <f aca="false" t="array" ref="D162:D162">IFERROR(INDEX('Bank Schedule'!D:D, SMALL(IF('Bank Schedule'!$K$2:$K$825="Vacant", ROW('Bank Schedule'!$K$2:$K$825)), ROW(159:159))), "")</f>
        <v/>
      </c>
      <c r="E162" s="4"/>
      <c r="F162" s="4"/>
      <c r="G162" s="5"/>
      <c r="H162" s="14"/>
      <c r="I162" s="6"/>
      <c r="J162" s="14"/>
      <c r="K162" s="5"/>
      <c r="L162" s="96"/>
      <c r="M162" s="7"/>
      <c r="N162" s="295"/>
      <c r="O162" s="8"/>
      <c r="P162" s="8"/>
      <c r="Q162" s="8"/>
      <c r="R162" s="8"/>
      <c r="S162" s="9"/>
      <c r="T162" s="296"/>
      <c r="U162" s="296"/>
      <c r="V162" s="296"/>
      <c r="W162" s="296"/>
      <c r="X162" s="296"/>
      <c r="Y162" s="100"/>
      <c r="Z162" s="9"/>
      <c r="AA162" s="9"/>
      <c r="AB162" s="42"/>
      <c r="AC162" s="14"/>
      <c r="AD162" s="14"/>
      <c r="AE162" s="331"/>
      <c r="AF162" s="4"/>
      <c r="AH162" s="335"/>
      <c r="AI162" s="337"/>
      <c r="AJ162" s="346"/>
      <c r="AL162" s="315"/>
    </row>
    <row r="163" customFormat="false" ht="23.25" hidden="false" customHeight="true" outlineLevel="0" collapsed="false">
      <c r="A163" s="29" t="str">
        <f aca="false" t="array" ref="A163:A163">IFERROR(INDEX('Bank Schedule'!A:A, SMALL(IF('Bank Schedule'!$K$2:$K$825="Vacant", ROW('Bank Schedule'!$K$2:$K$825)), ROW(160:160))), "")</f>
        <v/>
      </c>
      <c r="B163" s="11" t="str">
        <f aca="false" t="array" ref="B163:B163">IFERROR(INDEX('Bank Schedule'!B:B, SMALL(IF('Bank Schedule'!$K$2:$K$825="Vacant", ROW('Bank Schedule'!$K$2:$K$825)), ROW(160:160))), "")</f>
        <v/>
      </c>
      <c r="C163" s="11" t="str">
        <f aca="false" t="array" ref="C163:C163">IFERROR(INDEX('Bank Schedule'!C:C, SMALL(IF('Bank Schedule'!$K$2:$K$825="Vacant", ROW('Bank Schedule'!$K$2:$K$825)), ROW(160:160))), "")</f>
        <v/>
      </c>
      <c r="D163" s="29" t="str">
        <f aca="false" t="array" ref="D163:D163">IFERROR(INDEX('Bank Schedule'!D:D, SMALL(IF('Bank Schedule'!$K$2:$K$825="Vacant", ROW('Bank Schedule'!$K$2:$K$825)), ROW(160:160))), "")</f>
        <v/>
      </c>
      <c r="E163" s="4"/>
      <c r="F163" s="4"/>
      <c r="G163" s="5"/>
      <c r="H163" s="14"/>
      <c r="I163" s="6"/>
      <c r="J163" s="14"/>
      <c r="K163" s="5"/>
      <c r="L163" s="96"/>
      <c r="M163" s="7"/>
      <c r="N163" s="295"/>
      <c r="O163" s="8"/>
      <c r="P163" s="8"/>
      <c r="Q163" s="8"/>
      <c r="R163" s="8"/>
      <c r="S163" s="9"/>
      <c r="T163" s="296"/>
      <c r="U163" s="296"/>
      <c r="V163" s="296"/>
      <c r="W163" s="296"/>
      <c r="X163" s="296"/>
      <c r="Y163" s="100"/>
      <c r="Z163" s="9"/>
      <c r="AA163" s="9"/>
      <c r="AB163" s="42"/>
      <c r="AC163" s="14"/>
      <c r="AD163" s="14"/>
      <c r="AE163" s="331"/>
      <c r="AF163" s="4"/>
      <c r="AH163" s="342" t="n">
        <f aca="false">SUM(AH157:AH162)</f>
        <v>122</v>
      </c>
      <c r="AI163" s="347" t="s">
        <v>877</v>
      </c>
      <c r="AJ163" s="348" t="n">
        <f aca="false">SUM(AJ157:AJ162)</f>
        <v>1</v>
      </c>
      <c r="AL163" s="315"/>
    </row>
    <row r="164" customFormat="false" ht="23.25" hidden="false" customHeight="true" outlineLevel="0" collapsed="false">
      <c r="A164" s="29" t="str">
        <f aca="false" t="array" ref="A164:A164">IFERROR(INDEX('Bank Schedule'!A:A, SMALL(IF('Bank Schedule'!$K$2:$K$825="Vacant", ROW('Bank Schedule'!$K$2:$K$825)), ROW(161:161))), "")</f>
        <v/>
      </c>
      <c r="B164" s="11" t="str">
        <f aca="false" t="array" ref="B164:B164">IFERROR(INDEX('Bank Schedule'!B:B, SMALL(IF('Bank Schedule'!$K$2:$K$825="Vacant", ROW('Bank Schedule'!$K$2:$K$825)), ROW(161:161))), "")</f>
        <v/>
      </c>
      <c r="C164" s="11" t="str">
        <f aca="false" t="array" ref="C164:C164">IFERROR(INDEX('Bank Schedule'!C:C, SMALL(IF('Bank Schedule'!$K$2:$K$825="Vacant", ROW('Bank Schedule'!$K$2:$K$825)), ROW(161:161))), "")</f>
        <v/>
      </c>
      <c r="D164" s="29" t="str">
        <f aca="false" t="array" ref="D164:D164">IFERROR(INDEX('Bank Schedule'!D:D, SMALL(IF('Bank Schedule'!$K$2:$K$825="Vacant", ROW('Bank Schedule'!$K$2:$K$825)), ROW(161:161))), "")</f>
        <v/>
      </c>
      <c r="E164" s="4"/>
      <c r="F164" s="4"/>
      <c r="G164" s="5"/>
      <c r="H164" s="14"/>
      <c r="I164" s="6"/>
      <c r="J164" s="14"/>
      <c r="K164" s="5"/>
      <c r="L164" s="96"/>
      <c r="M164" s="7"/>
      <c r="N164" s="295"/>
      <c r="O164" s="8"/>
      <c r="P164" s="8"/>
      <c r="Q164" s="8"/>
      <c r="R164" s="8"/>
      <c r="S164" s="9"/>
      <c r="T164" s="296"/>
      <c r="U164" s="296"/>
      <c r="V164" s="296"/>
      <c r="W164" s="296"/>
      <c r="X164" s="296"/>
      <c r="Y164" s="100"/>
      <c r="Z164" s="9"/>
      <c r="AA164" s="9"/>
      <c r="AB164" s="42"/>
      <c r="AC164" s="14"/>
      <c r="AD164" s="14"/>
      <c r="AE164" s="331"/>
      <c r="AF164" s="4"/>
      <c r="AH164" s="340"/>
      <c r="AJ164" s="349"/>
      <c r="AK164" s="315"/>
      <c r="AL164" s="315"/>
    </row>
    <row r="165" customFormat="false" ht="23.25" hidden="false" customHeight="true" outlineLevel="0" collapsed="false">
      <c r="A165" s="29" t="str">
        <f aca="false" t="array" ref="A165:A165">IFERROR(INDEX('Bank Schedule'!A:A, SMALL(IF('Bank Schedule'!$K$2:$K$825="Vacant", ROW('Bank Schedule'!$K$2:$K$825)), ROW(162:162))), "")</f>
        <v/>
      </c>
      <c r="B165" s="11" t="str">
        <f aca="false" t="array" ref="B165:B165">IFERROR(INDEX('Bank Schedule'!B:B, SMALL(IF('Bank Schedule'!$K$2:$K$825="Vacant", ROW('Bank Schedule'!$K$2:$K$825)), ROW(162:162))), "")</f>
        <v/>
      </c>
      <c r="C165" s="11" t="str">
        <f aca="false" t="array" ref="C165:C165">IFERROR(INDEX('Bank Schedule'!C:C, SMALL(IF('Bank Schedule'!$K$2:$K$825="Vacant", ROW('Bank Schedule'!$K$2:$K$825)), ROW(162:162))), "")</f>
        <v/>
      </c>
      <c r="D165" s="29" t="str">
        <f aca="false" t="array" ref="D165:D165">IFERROR(INDEX('Bank Schedule'!D:D, SMALL(IF('Bank Schedule'!$K$2:$K$825="Vacant", ROW('Bank Schedule'!$K$2:$K$825)), ROW(162:162))), "")</f>
        <v/>
      </c>
      <c r="E165" s="4"/>
      <c r="F165" s="4"/>
      <c r="G165" s="5"/>
      <c r="H165" s="14"/>
      <c r="I165" s="6"/>
      <c r="J165" s="14"/>
      <c r="K165" s="5"/>
      <c r="L165" s="96"/>
      <c r="M165" s="7"/>
      <c r="N165" s="295"/>
      <c r="O165" s="8"/>
      <c r="P165" s="8"/>
      <c r="Q165" s="8"/>
      <c r="R165" s="8"/>
      <c r="S165" s="9"/>
      <c r="T165" s="296"/>
      <c r="U165" s="296"/>
      <c r="V165" s="296"/>
      <c r="W165" s="296"/>
      <c r="X165" s="296"/>
      <c r="Y165" s="100"/>
      <c r="Z165" s="9"/>
      <c r="AA165" s="9"/>
      <c r="AB165" s="42"/>
      <c r="AC165" s="14"/>
      <c r="AD165" s="14"/>
      <c r="AE165" s="331"/>
      <c r="AF165" s="4"/>
      <c r="AH165" s="350" t="s">
        <v>885</v>
      </c>
      <c r="AI165" s="351"/>
      <c r="AJ165" s="343"/>
      <c r="AK165" s="315"/>
    </row>
    <row r="166" customFormat="false" ht="23.25" hidden="false" customHeight="true" outlineLevel="0" collapsed="false">
      <c r="A166" s="29" t="str">
        <f aca="false" t="array" ref="A166:A166">IFERROR(INDEX('Bank Schedule'!A:A, SMALL(IF('Bank Schedule'!$K$2:$K$825="Vacant", ROW('Bank Schedule'!$K$2:$K$825)), ROW(163:163))), "")</f>
        <v/>
      </c>
      <c r="B166" s="11" t="str">
        <f aca="false" t="array" ref="B166:B166">IFERROR(INDEX('Bank Schedule'!B:B, SMALL(IF('Bank Schedule'!$K$2:$K$825="Vacant", ROW('Bank Schedule'!$K$2:$K$825)), ROW(163:163))), "")</f>
        <v/>
      </c>
      <c r="C166" s="11" t="str">
        <f aca="false" t="array" ref="C166:C166">IFERROR(INDEX('Bank Schedule'!C:C, SMALL(IF('Bank Schedule'!$K$2:$K$825="Vacant", ROW('Bank Schedule'!$K$2:$K$825)), ROW(163:163))), "")</f>
        <v/>
      </c>
      <c r="D166" s="29" t="str">
        <f aca="false" t="array" ref="D166:D166">IFERROR(INDEX('Bank Schedule'!D:D, SMALL(IF('Bank Schedule'!$K$2:$K$825="Vacant", ROW('Bank Schedule'!$K$2:$K$825)), ROW(163:163))), "")</f>
        <v/>
      </c>
      <c r="E166" s="4"/>
      <c r="F166" s="4"/>
      <c r="G166" s="5"/>
      <c r="H166" s="14"/>
      <c r="I166" s="6"/>
      <c r="J166" s="14"/>
      <c r="K166" s="5"/>
      <c r="L166" s="96"/>
      <c r="M166" s="7"/>
      <c r="N166" s="295"/>
      <c r="O166" s="8"/>
      <c r="P166" s="8"/>
      <c r="Q166" s="8"/>
      <c r="R166" s="8"/>
      <c r="S166" s="9"/>
      <c r="T166" s="296"/>
      <c r="U166" s="296"/>
      <c r="V166" s="296"/>
      <c r="W166" s="296"/>
      <c r="X166" s="296"/>
      <c r="Y166" s="100"/>
      <c r="Z166" s="9"/>
      <c r="AA166" s="9"/>
      <c r="AB166" s="42"/>
      <c r="AC166" s="14"/>
      <c r="AD166" s="14"/>
      <c r="AE166" s="331"/>
      <c r="AF166" s="4"/>
      <c r="AH166" s="352" t="n">
        <f aca="false">SUMIF(Z:Z, "A", H:H)</f>
        <v>4462</v>
      </c>
      <c r="AI166" s="336" t="s">
        <v>458</v>
      </c>
      <c r="AJ166" s="345" t="n">
        <f aca="false">AH166/$AH$172</f>
        <v>0.0256582768356709</v>
      </c>
    </row>
    <row r="167" customFormat="false" ht="23.25" hidden="false" customHeight="true" outlineLevel="0" collapsed="false">
      <c r="A167" s="29" t="str">
        <f aca="false" t="array" ref="A167:A167">IFERROR(INDEX('Bank Schedule'!A:A, SMALL(IF('Bank Schedule'!$K$2:$K$825="Vacant", ROW('Bank Schedule'!$K$2:$K$825)), ROW(164:164))), "")</f>
        <v/>
      </c>
      <c r="B167" s="11" t="str">
        <f aca="false" t="array" ref="B167:B167">IFERROR(INDEX('Bank Schedule'!B:B, SMALL(IF('Bank Schedule'!$K$2:$K$825="Vacant", ROW('Bank Schedule'!$K$2:$K$825)), ROW(164:164))), "")</f>
        <v/>
      </c>
      <c r="C167" s="11" t="str">
        <f aca="false" t="array" ref="C167:C167">IFERROR(INDEX('Bank Schedule'!C:C, SMALL(IF('Bank Schedule'!$K$2:$K$825="Vacant", ROW('Bank Schedule'!$K$2:$K$825)), ROW(164:164))), "")</f>
        <v/>
      </c>
      <c r="D167" s="29" t="str">
        <f aca="false" t="array" ref="D167:D167">IFERROR(INDEX('Bank Schedule'!D:D, SMALL(IF('Bank Schedule'!$K$2:$K$825="Vacant", ROW('Bank Schedule'!$K$2:$K$825)), ROW(164:164))), "")</f>
        <v/>
      </c>
      <c r="E167" s="4"/>
      <c r="F167" s="4"/>
      <c r="G167" s="5"/>
      <c r="H167" s="14"/>
      <c r="I167" s="6"/>
      <c r="J167" s="14"/>
      <c r="K167" s="5"/>
      <c r="L167" s="96"/>
      <c r="M167" s="7"/>
      <c r="N167" s="295"/>
      <c r="O167" s="8"/>
      <c r="P167" s="8"/>
      <c r="Q167" s="8"/>
      <c r="R167" s="8"/>
      <c r="S167" s="9"/>
      <c r="T167" s="296"/>
      <c r="U167" s="296"/>
      <c r="V167" s="296"/>
      <c r="W167" s="296"/>
      <c r="X167" s="296"/>
      <c r="Y167" s="100"/>
      <c r="Z167" s="9"/>
      <c r="AA167" s="9"/>
      <c r="AB167" s="42"/>
      <c r="AC167" s="14"/>
      <c r="AD167" s="14"/>
      <c r="AE167" s="331"/>
      <c r="AF167" s="4"/>
      <c r="AH167" s="352" t="n">
        <f aca="false">SUMIF(Z:Z, "B", H:H)</f>
        <v>19837</v>
      </c>
      <c r="AI167" s="336" t="s">
        <v>55</v>
      </c>
      <c r="AJ167" s="345" t="n">
        <f aca="false">AH167/$AH$172</f>
        <v>0.11407064939247</v>
      </c>
      <c r="AK167" s="315"/>
    </row>
    <row r="168" customFormat="false" ht="23.25" hidden="false" customHeight="true" outlineLevel="0" collapsed="false">
      <c r="A168" s="29" t="str">
        <f aca="false" t="array" ref="A168:A168">IFERROR(INDEX('Bank Schedule'!A:A, SMALL(IF('Bank Schedule'!$K$2:$K$825="Vacant", ROW('Bank Schedule'!$K$2:$K$825)), ROW(165:165))), "")</f>
        <v/>
      </c>
      <c r="B168" s="11" t="str">
        <f aca="false" t="array" ref="B168:B168">IFERROR(INDEX('Bank Schedule'!B:B, SMALL(IF('Bank Schedule'!$K$2:$K$825="Vacant", ROW('Bank Schedule'!$K$2:$K$825)), ROW(165:165))), "")</f>
        <v/>
      </c>
      <c r="C168" s="11" t="str">
        <f aca="false" t="array" ref="C168:C168">IFERROR(INDEX('Bank Schedule'!C:C, SMALL(IF('Bank Schedule'!$K$2:$K$825="Vacant", ROW('Bank Schedule'!$K$2:$K$825)), ROW(165:165))), "")</f>
        <v/>
      </c>
      <c r="D168" s="29" t="str">
        <f aca="false" t="array" ref="D168:D168">IFERROR(INDEX('Bank Schedule'!D:D, SMALL(IF('Bank Schedule'!$K$2:$K$825="Vacant", ROW('Bank Schedule'!$K$2:$K$825)), ROW(165:165))), "")</f>
        <v/>
      </c>
      <c r="E168" s="4"/>
      <c r="F168" s="4"/>
      <c r="G168" s="5"/>
      <c r="H168" s="14"/>
      <c r="I168" s="6"/>
      <c r="J168" s="14"/>
      <c r="K168" s="5"/>
      <c r="L168" s="96"/>
      <c r="M168" s="7"/>
      <c r="N168" s="295"/>
      <c r="O168" s="8"/>
      <c r="P168" s="8"/>
      <c r="Q168" s="8"/>
      <c r="R168" s="8"/>
      <c r="S168" s="9"/>
      <c r="T168" s="296"/>
      <c r="U168" s="296"/>
      <c r="V168" s="296"/>
      <c r="W168" s="296"/>
      <c r="X168" s="296"/>
      <c r="Y168" s="100"/>
      <c r="Z168" s="9"/>
      <c r="AA168" s="9"/>
      <c r="AB168" s="42"/>
      <c r="AC168" s="14"/>
      <c r="AD168" s="14"/>
      <c r="AE168" s="331"/>
      <c r="AF168" s="4"/>
      <c r="AH168" s="352" t="n">
        <f aca="false">SUMIF(Z:Z, "C", H:H)</f>
        <v>13112</v>
      </c>
      <c r="AI168" s="336" t="s">
        <v>42</v>
      </c>
      <c r="AJ168" s="345" t="n">
        <f aca="false">AH168/$AH$172</f>
        <v>0.0753992213960817</v>
      </c>
      <c r="AK168" s="353" t="n">
        <f aca="false">SUM(AJ168:AJ170)+AJ171</f>
        <v>0.860271073771859</v>
      </c>
    </row>
    <row r="169" customFormat="false" ht="23.25" hidden="false" customHeight="true" outlineLevel="0" collapsed="false">
      <c r="A169" s="29" t="str">
        <f aca="false" t="array" ref="A169:A169">IFERROR(INDEX('Bank Schedule'!A:A, SMALL(IF('Bank Schedule'!$K$2:$K$825="Vacant", ROW('Bank Schedule'!$K$2:$K$825)), ROW(166:166))), "")</f>
        <v/>
      </c>
      <c r="B169" s="11" t="str">
        <f aca="false" t="array" ref="B169:B169">IFERROR(INDEX('Bank Schedule'!B:B, SMALL(IF('Bank Schedule'!$K$2:$K$825="Vacant", ROW('Bank Schedule'!$K$2:$K$825)), ROW(166:166))), "")</f>
        <v/>
      </c>
      <c r="C169" s="11" t="str">
        <f aca="false" t="array" ref="C169:C169">IFERROR(INDEX('Bank Schedule'!C:C, SMALL(IF('Bank Schedule'!$K$2:$K$825="Vacant", ROW('Bank Schedule'!$K$2:$K$825)), ROW(166:166))), "")</f>
        <v/>
      </c>
      <c r="D169" s="29" t="str">
        <f aca="false" t="array" ref="D169:D169">IFERROR(INDEX('Bank Schedule'!D:D, SMALL(IF('Bank Schedule'!$K$2:$K$825="Vacant", ROW('Bank Schedule'!$K$2:$K$825)), ROW(166:166))), "")</f>
        <v/>
      </c>
      <c r="E169" s="4"/>
      <c r="F169" s="4"/>
      <c r="G169" s="5"/>
      <c r="H169" s="14"/>
      <c r="I169" s="6"/>
      <c r="J169" s="14"/>
      <c r="K169" s="5"/>
      <c r="L169" s="96"/>
      <c r="M169" s="7"/>
      <c r="N169" s="295"/>
      <c r="O169" s="8"/>
      <c r="P169" s="8"/>
      <c r="Q169" s="8"/>
      <c r="R169" s="8"/>
      <c r="S169" s="9"/>
      <c r="T169" s="296"/>
      <c r="U169" s="296"/>
      <c r="V169" s="296"/>
      <c r="W169" s="296"/>
      <c r="X169" s="296"/>
      <c r="Y169" s="100"/>
      <c r="Z169" s="9"/>
      <c r="AA169" s="9"/>
      <c r="AB169" s="42"/>
      <c r="AC169" s="14"/>
      <c r="AD169" s="14"/>
      <c r="AE169" s="331"/>
      <c r="AF169" s="4"/>
      <c r="AH169" s="352" t="n">
        <f aca="false">SUMIF(Z:Z, "D", H:H)</f>
        <v>87727</v>
      </c>
      <c r="AI169" s="336" t="s">
        <v>60</v>
      </c>
      <c r="AJ169" s="345" t="n">
        <f aca="false">AH169/$AH$172</f>
        <v>0.504465184214007</v>
      </c>
      <c r="AK169" s="353"/>
      <c r="AL169" s="334" t="s">
        <v>886</v>
      </c>
      <c r="AM169" s="334"/>
    </row>
    <row r="170" customFormat="false" ht="23.25" hidden="false" customHeight="true" outlineLevel="0" collapsed="false">
      <c r="A170" s="29" t="str">
        <f aca="false" t="array" ref="A170:A170">IFERROR(INDEX('Bank Schedule'!A:A, SMALL(IF('Bank Schedule'!$K$2:$K$825="Vacant", ROW('Bank Schedule'!$K$2:$K$825)), ROW(167:167))), "")</f>
        <v/>
      </c>
      <c r="B170" s="11" t="str">
        <f aca="false" t="array" ref="B170:B170">IFERROR(INDEX('Bank Schedule'!B:B, SMALL(IF('Bank Schedule'!$K$2:$K$825="Vacant", ROW('Bank Schedule'!$K$2:$K$825)), ROW(167:167))), "")</f>
        <v/>
      </c>
      <c r="C170" s="11" t="str">
        <f aca="false" t="array" ref="C170:C170">IFERROR(INDEX('Bank Schedule'!C:C, SMALL(IF('Bank Schedule'!$K$2:$K$825="Vacant", ROW('Bank Schedule'!$K$2:$K$825)), ROW(167:167))), "")</f>
        <v/>
      </c>
      <c r="D170" s="29" t="str">
        <f aca="false" t="array" ref="D170:D170">IFERROR(INDEX('Bank Schedule'!D:D, SMALL(IF('Bank Schedule'!$K$2:$K$825="Vacant", ROW('Bank Schedule'!$K$2:$K$825)), ROW(167:167))), "")</f>
        <v/>
      </c>
      <c r="E170" s="4"/>
      <c r="F170" s="4"/>
      <c r="G170" s="5"/>
      <c r="H170" s="14"/>
      <c r="I170" s="6"/>
      <c r="J170" s="14"/>
      <c r="K170" s="5"/>
      <c r="L170" s="96"/>
      <c r="M170" s="7"/>
      <c r="N170" s="295"/>
      <c r="O170" s="8"/>
      <c r="P170" s="8"/>
      <c r="Q170" s="8"/>
      <c r="R170" s="8"/>
      <c r="S170" s="9"/>
      <c r="T170" s="296"/>
      <c r="U170" s="296"/>
      <c r="V170" s="296"/>
      <c r="W170" s="296"/>
      <c r="X170" s="296"/>
      <c r="Y170" s="100"/>
      <c r="Z170" s="9"/>
      <c r="AA170" s="9"/>
      <c r="AB170" s="42"/>
      <c r="AC170" s="14"/>
      <c r="AD170" s="14"/>
      <c r="AE170" s="331"/>
      <c r="AF170" s="5"/>
      <c r="AG170" s="5"/>
      <c r="AH170" s="352" t="n">
        <f aca="false">SUMIF(Z:Z, "E", H:H)</f>
        <v>48763</v>
      </c>
      <c r="AI170" s="336" t="s">
        <v>127</v>
      </c>
      <c r="AJ170" s="345" t="n">
        <f aca="false">AH170/$AH$172</f>
        <v>0.28040666816177</v>
      </c>
      <c r="AK170" s="353"/>
      <c r="AL170" s="334"/>
      <c r="AM170" s="334"/>
    </row>
    <row r="171" customFormat="false" ht="23.25" hidden="false" customHeight="true" outlineLevel="0" collapsed="false">
      <c r="A171" s="29" t="str">
        <f aca="false" t="array" ref="A171:A171">IFERROR(INDEX('Bank Schedule'!A:A, SMALL(IF('Bank Schedule'!$K$2:$K$825="Vacant", ROW('Bank Schedule'!$K$2:$K$825)), ROW(168:168))), "")</f>
        <v/>
      </c>
      <c r="B171" s="11" t="str">
        <f aca="false" t="array" ref="B171:B171">IFERROR(INDEX('Bank Schedule'!B:B, SMALL(IF('Bank Schedule'!$K$2:$K$825="Vacant", ROW('Bank Schedule'!$K$2:$K$825)), ROW(168:168))), "")</f>
        <v/>
      </c>
      <c r="C171" s="11" t="str">
        <f aca="false" t="array" ref="C171:C171">IFERROR(INDEX('Bank Schedule'!C:C, SMALL(IF('Bank Schedule'!$K$2:$K$825="Vacant", ROW('Bank Schedule'!$K$2:$K$825)), ROW(168:168))), "")</f>
        <v/>
      </c>
      <c r="D171" s="29" t="str">
        <f aca="false" t="array" ref="D171:D171">IFERROR(INDEX('Bank Schedule'!D:D, SMALL(IF('Bank Schedule'!$K$2:$K$825="Vacant", ROW('Bank Schedule'!$K$2:$K$825)), ROW(168:168))), "")</f>
        <v/>
      </c>
      <c r="E171" s="4"/>
      <c r="F171" s="4"/>
      <c r="G171" s="5"/>
      <c r="H171" s="14"/>
      <c r="I171" s="6"/>
      <c r="J171" s="14"/>
      <c r="K171" s="5"/>
      <c r="L171" s="96"/>
      <c r="M171" s="7"/>
      <c r="N171" s="295"/>
      <c r="O171" s="8"/>
      <c r="P171" s="8"/>
      <c r="Q171" s="8"/>
      <c r="R171" s="8"/>
      <c r="S171" s="9"/>
      <c r="T171" s="296"/>
      <c r="U171" s="296"/>
      <c r="V171" s="296"/>
      <c r="W171" s="296"/>
      <c r="X171" s="296"/>
      <c r="Y171" s="100"/>
      <c r="Z171" s="9"/>
      <c r="AA171" s="9"/>
      <c r="AB171" s="42"/>
      <c r="AC171" s="14"/>
      <c r="AD171" s="14"/>
      <c r="AH171" s="352" t="n">
        <f aca="false">SUMIF(Z:Z, "0", H:H)</f>
        <v>0</v>
      </c>
      <c r="AI171" s="354" t="n">
        <v>0</v>
      </c>
      <c r="AJ171" s="346" t="n">
        <f aca="false">AH171/$AH$172</f>
        <v>0</v>
      </c>
      <c r="AK171" s="353"/>
      <c r="AL171" s="355" t="n">
        <f aca="false">SUM(AH168:AH171)</f>
        <v>149602</v>
      </c>
      <c r="AM171" s="3" t="s">
        <v>887</v>
      </c>
    </row>
    <row r="172" customFormat="false" ht="23.25" hidden="false" customHeight="true" outlineLevel="0" collapsed="false">
      <c r="A172" s="29" t="str">
        <f aca="false" t="array" ref="A172:A172">IFERROR(INDEX('Bank Schedule'!A:A, SMALL(IF('Bank Schedule'!$K$2:$K$825="Vacant", ROW('Bank Schedule'!$K$2:$K$825)), ROW(169:169))), "")</f>
        <v/>
      </c>
      <c r="B172" s="11" t="str">
        <f aca="false" t="array" ref="B172:B172">IFERROR(INDEX('Bank Schedule'!B:B, SMALL(IF('Bank Schedule'!$K$2:$K$825="Vacant", ROW('Bank Schedule'!$K$2:$K$825)), ROW(169:169))), "")</f>
        <v/>
      </c>
      <c r="C172" s="11" t="str">
        <f aca="false" t="array" ref="C172:C172">IFERROR(INDEX('Bank Schedule'!C:C, SMALL(IF('Bank Schedule'!$K$2:$K$825="Vacant", ROW('Bank Schedule'!$K$2:$K$825)), ROW(169:169))), "")</f>
        <v/>
      </c>
      <c r="D172" s="29" t="str">
        <f aca="false" t="array" ref="D172:D172">IFERROR(INDEX('Bank Schedule'!D:D, SMALL(IF('Bank Schedule'!$K$2:$K$825="Vacant", ROW('Bank Schedule'!$K$2:$K$825)), ROW(169:169))), "")</f>
        <v/>
      </c>
      <c r="E172" s="4"/>
      <c r="F172" s="4"/>
      <c r="G172" s="5"/>
      <c r="H172" s="14"/>
      <c r="I172" s="6"/>
      <c r="J172" s="14"/>
      <c r="K172" s="5"/>
      <c r="L172" s="96"/>
      <c r="M172" s="7"/>
      <c r="N172" s="295"/>
      <c r="O172" s="8"/>
      <c r="P172" s="8"/>
      <c r="Q172" s="8"/>
      <c r="R172" s="8"/>
      <c r="S172" s="9"/>
      <c r="T172" s="296"/>
      <c r="U172" s="296"/>
      <c r="V172" s="296"/>
      <c r="W172" s="296"/>
      <c r="X172" s="296"/>
      <c r="Y172" s="100"/>
      <c r="Z172" s="9"/>
      <c r="AA172" s="9"/>
      <c r="AB172" s="42"/>
      <c r="AC172" s="14"/>
      <c r="AD172" s="14"/>
      <c r="AF172" s="4"/>
      <c r="AH172" s="356" t="n">
        <f aca="false">SUM(AH166:AH171)</f>
        <v>173901</v>
      </c>
      <c r="AI172" s="357" t="s">
        <v>888</v>
      </c>
      <c r="AJ172" s="348" t="n">
        <f aca="false">SUM(AJ166:AJ171)</f>
        <v>1</v>
      </c>
      <c r="AK172" s="315"/>
    </row>
    <row r="173" customFormat="false" ht="23.25" hidden="false" customHeight="true" outlineLevel="0" collapsed="false">
      <c r="A173" s="29" t="str">
        <f aca="false" t="array" ref="A173:A173">IFERROR(INDEX('Bank Schedule'!A:A, SMALL(IF('Bank Schedule'!$K$2:$K$825="Vacant", ROW('Bank Schedule'!$K$2:$K$825)), ROW(170:170))), "")</f>
        <v/>
      </c>
      <c r="B173" s="11" t="str">
        <f aca="false" t="array" ref="B173:B173">IFERROR(INDEX('Bank Schedule'!B:B, SMALL(IF('Bank Schedule'!$K$2:$K$825="Vacant", ROW('Bank Schedule'!$K$2:$K$825)), ROW(170:170))), "")</f>
        <v/>
      </c>
      <c r="C173" s="11" t="str">
        <f aca="false" t="array" ref="C173:C173">IFERROR(INDEX('Bank Schedule'!C:C, SMALL(IF('Bank Schedule'!$K$2:$K$825="Vacant", ROW('Bank Schedule'!$K$2:$K$825)), ROW(170:170))), "")</f>
        <v/>
      </c>
      <c r="D173" s="29" t="str">
        <f aca="false" t="array" ref="D173:D173">IFERROR(INDEX('Bank Schedule'!D:D, SMALL(IF('Bank Schedule'!$K$2:$K$825="Vacant", ROW('Bank Schedule'!$K$2:$K$825)), ROW(170:170))), "")</f>
        <v/>
      </c>
      <c r="E173" s="4"/>
      <c r="F173" s="4"/>
      <c r="G173" s="5"/>
      <c r="H173" s="14"/>
      <c r="I173" s="6"/>
      <c r="J173" s="14"/>
      <c r="K173" s="5"/>
      <c r="L173" s="96"/>
      <c r="M173" s="7"/>
      <c r="N173" s="295"/>
      <c r="O173" s="8"/>
      <c r="P173" s="8"/>
      <c r="Q173" s="8"/>
      <c r="R173" s="8"/>
      <c r="S173" s="9"/>
      <c r="T173" s="296"/>
      <c r="U173" s="296"/>
      <c r="V173" s="296"/>
      <c r="W173" s="296"/>
      <c r="X173" s="296"/>
      <c r="Y173" s="100"/>
      <c r="Z173" s="9"/>
      <c r="AA173" s="9"/>
      <c r="AB173" s="42"/>
      <c r="AC173" s="14"/>
      <c r="AD173" s="14"/>
      <c r="AF173" s="4"/>
    </row>
    <row r="174" customFormat="false" ht="23.25" hidden="false" customHeight="true" outlineLevel="0" collapsed="false">
      <c r="A174" s="29" t="str">
        <f aca="false" t="array" ref="A174:A174">IFERROR(INDEX('Bank Schedule'!A:A, SMALL(IF('Bank Schedule'!$K$2:$K$825="Vacant", ROW('Bank Schedule'!$K$2:$K$825)), ROW(171:171))), "")</f>
        <v/>
      </c>
      <c r="B174" s="11" t="str">
        <f aca="false" t="array" ref="B174:B174">IFERROR(INDEX('Bank Schedule'!B:B, SMALL(IF('Bank Schedule'!$K$2:$K$825="Vacant", ROW('Bank Schedule'!$K$2:$K$825)), ROW(171:171))), "")</f>
        <v/>
      </c>
      <c r="C174" s="11" t="str">
        <f aca="false" t="array" ref="C174:C174">IFERROR(INDEX('Bank Schedule'!C:C, SMALL(IF('Bank Schedule'!$K$2:$K$825="Vacant", ROW('Bank Schedule'!$K$2:$K$825)), ROW(171:171))), "")</f>
        <v/>
      </c>
      <c r="D174" s="29" t="str">
        <f aca="false" t="array" ref="D174:D174">IFERROR(INDEX('Bank Schedule'!D:D, SMALL(IF('Bank Schedule'!$K$2:$K$825="Vacant", ROW('Bank Schedule'!$K$2:$K$825)), ROW(171:171))), "")</f>
        <v/>
      </c>
      <c r="E174" s="4"/>
      <c r="F174" s="4"/>
      <c r="G174" s="5"/>
      <c r="H174" s="14"/>
      <c r="I174" s="6"/>
      <c r="J174" s="14"/>
      <c r="K174" s="5"/>
      <c r="L174" s="96"/>
      <c r="M174" s="7"/>
      <c r="N174" s="295"/>
      <c r="O174" s="8"/>
      <c r="P174" s="8"/>
      <c r="Q174" s="8"/>
      <c r="R174" s="8"/>
      <c r="S174" s="9"/>
      <c r="T174" s="296"/>
      <c r="U174" s="296"/>
      <c r="V174" s="296"/>
      <c r="W174" s="296"/>
      <c r="X174" s="296"/>
      <c r="Y174" s="100"/>
      <c r="Z174" s="9"/>
      <c r="AA174" s="9"/>
      <c r="AB174" s="42"/>
      <c r="AC174" s="14"/>
      <c r="AD174" s="14"/>
      <c r="AE174" s="331"/>
      <c r="AF174" s="4"/>
    </row>
    <row r="175" customFormat="false" ht="23.25" hidden="false" customHeight="true" outlineLevel="0" collapsed="false">
      <c r="A175" s="29" t="str">
        <f aca="false" t="array" ref="A175:A175">IFERROR(INDEX('Bank Schedule'!A:A, SMALL(IF('Bank Schedule'!$K$2:$K$825="Vacant", ROW('Bank Schedule'!$K$2:$K$825)), ROW(172:172))), "")</f>
        <v/>
      </c>
      <c r="B175" s="11" t="str">
        <f aca="false" t="array" ref="B175:B175">IFERROR(INDEX('Bank Schedule'!B:B, SMALL(IF('Bank Schedule'!$K$2:$K$825="Vacant", ROW('Bank Schedule'!$K$2:$K$825)), ROW(172:172))), "")</f>
        <v/>
      </c>
      <c r="C175" s="11" t="str">
        <f aca="false" t="array" ref="C175:C175">IFERROR(INDEX('Bank Schedule'!C:C, SMALL(IF('Bank Schedule'!$K$2:$K$825="Vacant", ROW('Bank Schedule'!$K$2:$K$825)), ROW(172:172))), "")</f>
        <v/>
      </c>
      <c r="D175" s="29" t="str">
        <f aca="false" t="array" ref="D175:D175">IFERROR(INDEX('Bank Schedule'!D:D, SMALL(IF('Bank Schedule'!$K$2:$K$825="Vacant", ROW('Bank Schedule'!$K$2:$K$825)), ROW(172:172))), "")</f>
        <v/>
      </c>
      <c r="E175" s="4"/>
      <c r="F175" s="4"/>
      <c r="G175" s="5"/>
      <c r="H175" s="14"/>
      <c r="I175" s="6"/>
      <c r="J175" s="14"/>
      <c r="K175" s="5"/>
      <c r="L175" s="96"/>
      <c r="M175" s="7"/>
      <c r="N175" s="295"/>
      <c r="O175" s="8"/>
      <c r="P175" s="8"/>
      <c r="Q175" s="8"/>
      <c r="R175" s="8"/>
      <c r="S175" s="9"/>
      <c r="T175" s="296"/>
      <c r="U175" s="296"/>
      <c r="V175" s="296"/>
      <c r="W175" s="296"/>
      <c r="X175" s="296"/>
      <c r="Y175" s="100"/>
      <c r="Z175" s="9"/>
      <c r="AA175" s="9"/>
      <c r="AB175" s="42"/>
      <c r="AC175" s="14"/>
      <c r="AD175" s="14"/>
      <c r="AE175" s="331"/>
      <c r="AF175" s="4"/>
    </row>
    <row r="176" customFormat="false" ht="23.25" hidden="false" customHeight="true" outlineLevel="0" collapsed="false">
      <c r="A176" s="29" t="str">
        <f aca="false" t="array" ref="A176:A176">IFERROR(INDEX('Bank Schedule'!A:A, SMALL(IF('Bank Schedule'!$K$2:$K$825="Vacant", ROW('Bank Schedule'!$K$2:$K$825)), ROW(173:173))), "")</f>
        <v/>
      </c>
      <c r="B176" s="11" t="str">
        <f aca="false" t="array" ref="B176:B176">IFERROR(INDEX('Bank Schedule'!B:B, SMALL(IF('Bank Schedule'!$K$2:$K$825="Vacant", ROW('Bank Schedule'!$K$2:$K$825)), ROW(173:173))), "")</f>
        <v/>
      </c>
      <c r="C176" s="11" t="str">
        <f aca="false" t="array" ref="C176:C176">IFERROR(INDEX('Bank Schedule'!C:C, SMALL(IF('Bank Schedule'!$K$2:$K$825="Vacant", ROW('Bank Schedule'!$K$2:$K$825)), ROW(173:173))), "")</f>
        <v/>
      </c>
      <c r="D176" s="29" t="str">
        <f aca="false" t="array" ref="D176:D176">IFERROR(INDEX('Bank Schedule'!D:D, SMALL(IF('Bank Schedule'!$K$2:$K$825="Vacant", ROW('Bank Schedule'!$K$2:$K$825)), ROW(173:173))), "")</f>
        <v/>
      </c>
      <c r="E176" s="4"/>
      <c r="F176" s="4"/>
      <c r="G176" s="5"/>
      <c r="H176" s="14"/>
      <c r="I176" s="6"/>
      <c r="J176" s="14"/>
      <c r="K176" s="5"/>
      <c r="L176" s="96"/>
      <c r="M176" s="7"/>
      <c r="N176" s="295"/>
      <c r="O176" s="8"/>
      <c r="P176" s="8"/>
      <c r="Q176" s="8"/>
      <c r="R176" s="8"/>
      <c r="S176" s="9"/>
      <c r="T176" s="296"/>
      <c r="U176" s="296"/>
      <c r="V176" s="296"/>
      <c r="W176" s="296"/>
      <c r="X176" s="296"/>
      <c r="Y176" s="100"/>
      <c r="Z176" s="9"/>
      <c r="AA176" s="9"/>
      <c r="AB176" s="42"/>
      <c r="AC176" s="14"/>
      <c r="AD176" s="14"/>
      <c r="AE176" s="331"/>
      <c r="AF176" s="4"/>
    </row>
    <row r="177" customFormat="false" ht="23.25" hidden="false" customHeight="true" outlineLevel="0" collapsed="false">
      <c r="A177" s="29" t="str">
        <f aca="false" t="array" ref="A177:A177">IFERROR(INDEX('Bank Schedule'!A:A, SMALL(IF('Bank Schedule'!$K$2:$K$825="Vacant", ROW('Bank Schedule'!$K$2:$K$825)), ROW(174:174))), "")</f>
        <v/>
      </c>
      <c r="B177" s="11" t="str">
        <f aca="false" t="array" ref="B177:B177">IFERROR(INDEX('Bank Schedule'!B:B, SMALL(IF('Bank Schedule'!$K$2:$K$825="Vacant", ROW('Bank Schedule'!$K$2:$K$825)), ROW(174:174))), "")</f>
        <v/>
      </c>
      <c r="C177" s="11" t="str">
        <f aca="false" t="array" ref="C177:C177">IFERROR(INDEX('Bank Schedule'!C:C, SMALL(IF('Bank Schedule'!$K$2:$K$825="Vacant", ROW('Bank Schedule'!$K$2:$K$825)), ROW(174:174))), "")</f>
        <v/>
      </c>
      <c r="D177" s="29" t="str">
        <f aca="false" t="array" ref="D177:D177">IFERROR(INDEX('Bank Schedule'!D:D, SMALL(IF('Bank Schedule'!$K$2:$K$825="Vacant", ROW('Bank Schedule'!$K$2:$K$825)), ROW(174:174))), "")</f>
        <v/>
      </c>
      <c r="E177" s="4"/>
      <c r="F177" s="4"/>
      <c r="G177" s="5"/>
      <c r="H177" s="14"/>
      <c r="I177" s="6"/>
      <c r="J177" s="14"/>
      <c r="K177" s="5"/>
      <c r="L177" s="96"/>
      <c r="M177" s="7"/>
      <c r="N177" s="295"/>
      <c r="O177" s="8"/>
      <c r="P177" s="8"/>
      <c r="Q177" s="8"/>
      <c r="R177" s="8"/>
      <c r="S177" s="9"/>
      <c r="T177" s="296"/>
      <c r="U177" s="296"/>
      <c r="V177" s="296"/>
      <c r="W177" s="296"/>
      <c r="X177" s="296"/>
      <c r="Y177" s="100"/>
      <c r="Z177" s="9"/>
      <c r="AA177" s="9"/>
      <c r="AB177" s="42"/>
      <c r="AC177" s="14"/>
      <c r="AD177" s="14"/>
      <c r="AE177" s="331"/>
      <c r="AF177" s="4"/>
    </row>
    <row r="178" customFormat="false" ht="23.25" hidden="false" customHeight="true" outlineLevel="0" collapsed="false">
      <c r="A178" s="29" t="str">
        <f aca="false" t="array" ref="A178:A178">IFERROR(INDEX('Bank Schedule'!A:A, SMALL(IF('Bank Schedule'!$K$2:$K$825="Vacant", ROW('Bank Schedule'!$K$2:$K$825)), ROW(175:175))), "")</f>
        <v/>
      </c>
      <c r="B178" s="11" t="str">
        <f aca="false" t="array" ref="B178:B178">IFERROR(INDEX('Bank Schedule'!B:B, SMALL(IF('Bank Schedule'!$K$2:$K$825="Vacant", ROW('Bank Schedule'!$K$2:$K$825)), ROW(175:175))), "")</f>
        <v/>
      </c>
      <c r="C178" s="11" t="str">
        <f aca="false" t="array" ref="C178:C178">IFERROR(INDEX('Bank Schedule'!C:C, SMALL(IF('Bank Schedule'!$K$2:$K$825="Vacant", ROW('Bank Schedule'!$K$2:$K$825)), ROW(175:175))), "")</f>
        <v/>
      </c>
      <c r="D178" s="29" t="str">
        <f aca="false" t="array" ref="D178:D178">IFERROR(INDEX('Bank Schedule'!D:D, SMALL(IF('Bank Schedule'!$K$2:$K$825="Vacant", ROW('Bank Schedule'!$K$2:$K$825)), ROW(175:175))), "")</f>
        <v/>
      </c>
      <c r="E178" s="4"/>
      <c r="F178" s="4"/>
      <c r="G178" s="5"/>
      <c r="H178" s="14"/>
      <c r="I178" s="6"/>
      <c r="J178" s="14"/>
      <c r="K178" s="5"/>
      <c r="L178" s="96"/>
      <c r="M178" s="7"/>
      <c r="N178" s="295"/>
      <c r="O178" s="8"/>
      <c r="P178" s="8"/>
      <c r="Q178" s="8"/>
      <c r="R178" s="8"/>
      <c r="S178" s="9"/>
      <c r="T178" s="296"/>
      <c r="U178" s="296"/>
      <c r="V178" s="296"/>
      <c r="W178" s="296"/>
      <c r="X178" s="296"/>
      <c r="Y178" s="100"/>
      <c r="Z178" s="9"/>
      <c r="AA178" s="9"/>
      <c r="AB178" s="42"/>
      <c r="AC178" s="14"/>
      <c r="AD178" s="14"/>
      <c r="AE178" s="331"/>
      <c r="AF178" s="4"/>
    </row>
    <row r="179" customFormat="false" ht="23.25" hidden="false" customHeight="true" outlineLevel="0" collapsed="false">
      <c r="A179" s="29" t="str">
        <f aca="false" t="array" ref="A179:A179">IFERROR(INDEX('Bank Schedule'!A:A, SMALL(IF('Bank Schedule'!$K$2:$K$825="Vacant", ROW('Bank Schedule'!$K$2:$K$825)), ROW(176:176))), "")</f>
        <v/>
      </c>
      <c r="B179" s="11" t="str">
        <f aca="false" t="array" ref="B179:B179">IFERROR(INDEX('Bank Schedule'!B:B, SMALL(IF('Bank Schedule'!$K$2:$K$825="Vacant", ROW('Bank Schedule'!$K$2:$K$825)), ROW(176:176))), "")</f>
        <v/>
      </c>
      <c r="C179" s="11" t="str">
        <f aca="false" t="array" ref="C179:C179">IFERROR(INDEX('Bank Schedule'!C:C, SMALL(IF('Bank Schedule'!$K$2:$K$825="Vacant", ROW('Bank Schedule'!$K$2:$K$825)), ROW(176:176))), "")</f>
        <v/>
      </c>
      <c r="D179" s="29" t="str">
        <f aca="false" t="array" ref="D179:D179">IFERROR(INDEX('Bank Schedule'!D:D, SMALL(IF('Bank Schedule'!$K$2:$K$825="Vacant", ROW('Bank Schedule'!$K$2:$K$825)), ROW(176:176))), "")</f>
        <v/>
      </c>
      <c r="E179" s="4"/>
      <c r="F179" s="4"/>
      <c r="G179" s="5"/>
      <c r="H179" s="14"/>
      <c r="I179" s="6"/>
      <c r="J179" s="14"/>
      <c r="K179" s="5"/>
      <c r="L179" s="96"/>
      <c r="M179" s="7"/>
      <c r="N179" s="295"/>
      <c r="O179" s="8"/>
      <c r="P179" s="8"/>
      <c r="Q179" s="8"/>
      <c r="R179" s="8"/>
      <c r="S179" s="9"/>
      <c r="T179" s="296"/>
      <c r="U179" s="296"/>
      <c r="V179" s="296"/>
      <c r="W179" s="296"/>
      <c r="X179" s="296"/>
      <c r="Y179" s="100"/>
      <c r="Z179" s="9"/>
      <c r="AA179" s="9"/>
      <c r="AB179" s="42"/>
      <c r="AC179" s="14"/>
      <c r="AD179" s="14"/>
      <c r="AE179" s="331"/>
      <c r="AF179" s="4"/>
    </row>
    <row r="180" customFormat="false" ht="23.25" hidden="false" customHeight="true" outlineLevel="0" collapsed="false">
      <c r="A180" s="29" t="str">
        <f aca="false" t="array" ref="A180:A180">IFERROR(INDEX('Bank Schedule'!A:A, SMALL(IF('Bank Schedule'!$K$2:$K$825="Vacant", ROW('Bank Schedule'!$K$2:$K$825)), ROW(177:177))), "")</f>
        <v/>
      </c>
      <c r="B180" s="11" t="str">
        <f aca="false" t="array" ref="B180:B180">IFERROR(INDEX('Bank Schedule'!B:B, SMALL(IF('Bank Schedule'!$K$2:$K$825="Vacant", ROW('Bank Schedule'!$K$2:$K$825)), ROW(177:177))), "")</f>
        <v/>
      </c>
      <c r="C180" s="11" t="str">
        <f aca="false" t="array" ref="C180:C180">IFERROR(INDEX('Bank Schedule'!C:C, SMALL(IF('Bank Schedule'!$K$2:$K$825="Vacant", ROW('Bank Schedule'!$K$2:$K$825)), ROW(177:177))), "")</f>
        <v/>
      </c>
      <c r="D180" s="29" t="str">
        <f aca="false" t="array" ref="D180:D180">IFERROR(INDEX('Bank Schedule'!D:D, SMALL(IF('Bank Schedule'!$K$2:$K$825="Vacant", ROW('Bank Schedule'!$K$2:$K$825)), ROW(177:177))), "")</f>
        <v/>
      </c>
      <c r="E180" s="4"/>
      <c r="F180" s="4"/>
      <c r="G180" s="5"/>
      <c r="H180" s="14"/>
      <c r="I180" s="6"/>
      <c r="J180" s="14"/>
      <c r="K180" s="5"/>
      <c r="L180" s="96"/>
      <c r="M180" s="7"/>
      <c r="N180" s="295"/>
      <c r="O180" s="8"/>
      <c r="P180" s="8"/>
      <c r="Q180" s="8"/>
      <c r="R180" s="8"/>
      <c r="S180" s="9"/>
      <c r="T180" s="296"/>
      <c r="U180" s="296"/>
      <c r="V180" s="296"/>
      <c r="W180" s="296"/>
      <c r="X180" s="296"/>
      <c r="Y180" s="100"/>
      <c r="Z180" s="9"/>
      <c r="AA180" s="9"/>
      <c r="AB180" s="42"/>
      <c r="AC180" s="14"/>
      <c r="AD180" s="14"/>
      <c r="AE180" s="331"/>
      <c r="AF180" s="4"/>
      <c r="AK180" s="315"/>
      <c r="AL180" s="315"/>
    </row>
    <row r="181" customFormat="false" ht="23.25" hidden="false" customHeight="true" outlineLevel="0" collapsed="false">
      <c r="A181" s="29" t="str">
        <f aca="false" t="array" ref="A181:A181">IFERROR(INDEX('Bank Schedule'!A:A, SMALL(IF('Bank Schedule'!$K$2:$K$825="Vacant", ROW('Bank Schedule'!$K$2:$K$825)), ROW(178:178))), "")</f>
        <v/>
      </c>
      <c r="B181" s="11" t="str">
        <f aca="false" t="array" ref="B181:B181">IFERROR(INDEX('Bank Schedule'!B:B, SMALL(IF('Bank Schedule'!$K$2:$K$825="Vacant", ROW('Bank Schedule'!$K$2:$K$825)), ROW(178:178))), "")</f>
        <v/>
      </c>
      <c r="C181" s="11" t="str">
        <f aca="false" t="array" ref="C181:C181">IFERROR(INDEX('Bank Schedule'!C:C, SMALL(IF('Bank Schedule'!$K$2:$K$825="Vacant", ROW('Bank Schedule'!$K$2:$K$825)), ROW(178:178))), "")</f>
        <v/>
      </c>
      <c r="D181" s="29" t="str">
        <f aca="false" t="array" ref="D181:D181">IFERROR(INDEX('Bank Schedule'!D:D, SMALL(IF('Bank Schedule'!$K$2:$K$825="Vacant", ROW('Bank Schedule'!$K$2:$K$825)), ROW(178:178))), "")</f>
        <v/>
      </c>
      <c r="E181" s="4" t="str">
        <f aca="false" t="array" ref="E181:E181">IFERROR(INDEX('Bank Schedule'!E:E, SMALL(IF('Bank Schedule'!$K$2:$K$825="Vacant", ROW('Bank Schedule'!$K$2:$K$825)), ROW(178:178))), "")</f>
        <v/>
      </c>
      <c r="F181" s="4" t="str">
        <f aca="false" t="array" ref="F181:F181">IFERROR(INDEX('Bank Schedule'!F:F, SMALL(IF('Bank Schedule'!$K$2:$K$825="Vacant", ROW('Bank Schedule'!$K$2:$K$825)), ROW(178:178))), "")</f>
        <v/>
      </c>
      <c r="G181" s="5" t="str">
        <f aca="false" t="array" ref="G181:G181">IFERROR(INDEX('Bank Schedule'!G:G, SMALL(IF('Bank Schedule'!$K$2:$K$825="Vacant", ROW('Bank Schedule'!$K$2:$K$825)), ROW(178:178))), "")</f>
        <v/>
      </c>
      <c r="H181" s="14" t="str">
        <f aca="false" t="array" ref="H181:H181">IFERROR(INDEX('Bank Schedule'!H:H, SMALL(IF('Bank Schedule'!$K$2:$K$825="Vacant", ROW('Bank Schedule'!$K$2:$K$825)), ROW(178:178))), "")</f>
        <v/>
      </c>
      <c r="I181" s="6" t="str">
        <f aca="false" t="array" ref="I181:I181">IFERROR(INDEX('Bank Schedule'!I:I, SMALL(IF('Bank Schedule'!$K$2:$K$825="Vacant", ROW('Bank Schedule'!$K$2:$K$825)), ROW(178:178))), "")</f>
        <v/>
      </c>
      <c r="J181" s="14"/>
      <c r="K181" s="5" t="str">
        <f aca="false" t="array" ref="K181:K181">IFERROR(INDEX('Bank Schedule'!K:K, SMALL(IF('Bank Schedule'!$K$2:$K$825="Vacant", ROW('Bank Schedule'!$K$2:$K$825)), ROW(178:178))), "")</f>
        <v/>
      </c>
      <c r="L181" s="96" t="e">
        <f aca="false" t="array" ref="L181:L181">IFERROR(INDEX('bank schedule'!#ref!, SMALL(IF('Bank Schedule'!$K$2:$K$825="Vacant", ROW('Bank Schedule'!$K$2:$K$825)), ROW(178:178))), "")</f>
        <v>#VALUE!</v>
      </c>
      <c r="M181" s="7" t="str">
        <f aca="false" t="array" ref="M181:M181">IFERROR(INDEX('Bank Schedule'!L:L, SMALL(IF('Bank Schedule'!$K$2:$K$825="Vacant", ROW('Bank Schedule'!$K$2:$K$825)), ROW(178:178))), "")</f>
        <v/>
      </c>
      <c r="N181" s="295" t="str">
        <f aca="false" t="array" ref="N181:N181">IFERROR(INDEX('Bank Schedule'!M:M, SMALL(IF('Bank Schedule'!$K$2:$K$825="Vacant", ROW('Bank Schedule'!$K$2:$K$825)), ROW(178:178))), "")</f>
        <v/>
      </c>
      <c r="O181" s="8" t="str">
        <f aca="false" t="array" ref="O181:O181">IFERROR(INDEX('Bank Schedule'!N:N, SMALL(IF('Bank Schedule'!$K$2:$K$825="Vacant", ROW('Bank Schedule'!$K$2:$K$825)), ROW(178:178))), "")</f>
        <v/>
      </c>
      <c r="P181" s="8" t="str">
        <f aca="false" t="array" ref="P181:P181">IFERROR(INDEX('Bank Schedule'!O:O, SMALL(IF('Bank Schedule'!$K$2:$K$825="Vacant", ROW('Bank Schedule'!$K$2:$K$825)), ROW(178:178))), "")</f>
        <v/>
      </c>
      <c r="Q181" s="8" t="str">
        <f aca="false" t="array" ref="Q181:Q181">IFERROR(INDEX('Bank Schedule'!P:P, SMALL(IF('Bank Schedule'!$K$2:$K$825="Vacant", ROW('Bank Schedule'!$K$2:$K$825)), ROW(178:178))), "")</f>
        <v/>
      </c>
      <c r="R181" s="8" t="e">
        <f aca="false" t="array" ref="R181:R181">IFERROR(INDEX('bank schedule'!#ref!, SMALL(IF('Bank Schedule'!$K$2:$K$825="Vacant", ROW('Bank Schedule'!$K$2:$K$825)), ROW(178:178))), "")</f>
        <v>#VALUE!</v>
      </c>
      <c r="S181" s="9" t="str">
        <f aca="false" t="array" ref="S181:S181">IFERROR(INDEX('Bank Schedule'!Q:Q, SMALL(IF('Bank Schedule'!$K$2:$K$825="Vacant", ROW('Bank Schedule'!$K$2:$K$825)), ROW(178:178))), "")</f>
        <v/>
      </c>
      <c r="T181" s="296" t="str">
        <f aca="false" t="array" ref="T181:T181">IFERROR(INDEX('Bank Schedule'!R:R, SMALL(IF('Bank Schedule'!$K$2:$K$825="Vacant", ROW('Bank Schedule'!$K$2:$K$825)), ROW(178:178))), "")</f>
        <v/>
      </c>
      <c r="U181" s="296" t="str">
        <f aca="false" t="array" ref="U181:U181">IFERROR(INDEX('Bank Schedule'!S:S, SMALL(IF('Bank Schedule'!$K$2:$K$825="Vacant", ROW('Bank Schedule'!$K$2:$K$825)), ROW(178:178))), "")</f>
        <v/>
      </c>
      <c r="V181" s="296" t="e">
        <f aca="false" t="array" ref="V181:V181">IFERROR(INDEX('bank schedule'!#ref!, SMALL(IF('Bank Schedule'!$K$2:$K$825="Vacant", ROW('Bank Schedule'!$K$2:$K$825)), ROW(178:178))), "")</f>
        <v>#VALUE!</v>
      </c>
      <c r="W181" s="296" t="e">
        <f aca="false" t="array" ref="W181:W181">IFERROR(INDEX('bank schedule'!#ref!, SMALL(IF('Bank Schedule'!$K$2:$K$825="Vacant", ROW('Bank Schedule'!$K$2:$K$825)), ROW(178:178))), "")</f>
        <v>#VALUE!</v>
      </c>
      <c r="X181" s="296" t="e">
        <f aca="false" t="array" ref="X181:X181">IFERROR(INDEX('bank schedule'!#ref!, SMALL(IF('Bank Schedule'!$K$2:$K$825="Vacant", ROW('Bank Schedule'!$K$2:$K$825)), ROW(178:178))), "")</f>
        <v>#VALUE!</v>
      </c>
      <c r="Y181" s="100"/>
      <c r="Z181" s="9" t="str">
        <f aca="false" t="array" ref="Z181:Z181">IFERROR(INDEX('Bank Schedule'!V:V, SMALL(IF('Bank Schedule'!$K$2:$K$825="Vacant", ROW('Bank Schedule'!$K$2:$K$825)), ROW(178:178))), "")</f>
        <v/>
      </c>
      <c r="AA181" s="9" t="str">
        <f aca="false" t="array" ref="AA181:AA181">IFERROR(INDEX('Bank Schedule'!W:W, SMALL(IF('Bank Schedule'!$K$2:$K$825="Vacant", ROW('Bank Schedule'!$K$2:$K$825)), ROW(178:178))), "")</f>
        <v/>
      </c>
      <c r="AB181" s="42" t="str">
        <f aca="false" t="array" ref="AB181:AB181">IFERROR(INDEX('Bank Schedule'!AA:AA, SMALL(IF('Bank Schedule'!$K$2:$K$825="Vacant", ROW('Bank Schedule'!$K$2:$K$825)), ROW(178:178))), "")</f>
        <v/>
      </c>
      <c r="AC181" s="14" t="str">
        <f aca="false" t="array" ref="AC181:AC181">IFERROR(INDEX('Bank Schedule'!AB:AB, SMALL(IF('Bank Schedule'!$K$2:$K$825="Vacant", ROW('Bank Schedule'!$K$2:$K$825)), ROW(178:178))), "")</f>
        <v/>
      </c>
      <c r="AD181" s="5" t="str">
        <f aca="false" t="array" ref="AD181:AD181">IFERROR(INDEX('Bank Schedule'!AC:AC, SMALL(IF('Bank Schedule'!$K$2:$K$825="Vacant", ROW('Bank Schedule'!$K$2:$K$825)), ROW(178:178))), "")</f>
        <v/>
      </c>
      <c r="AE181" s="15" t="str">
        <f aca="false" t="array" ref="AE181:AE181">IFERROR(INDEX('Bank Schedule'!AD:AD, SMALL(IF('Bank Schedule'!$K$2:$K$825="Vacant", ROW('Bank Schedule'!$K$2:$K$825)), ROW(178:178))), "")</f>
        <v/>
      </c>
    </row>
    <row r="182" customFormat="false" ht="23.25" hidden="false" customHeight="true" outlineLevel="0" collapsed="false">
      <c r="A182" s="29" t="str">
        <f aca="false" t="array" ref="A182:A182">IFERROR(INDEX('Bank Schedule'!A:A, SMALL(IF('Bank Schedule'!$K$2:$K$825="Vacant", ROW('Bank Schedule'!$K$2:$K$825)), ROW(179:179))), "")</f>
        <v/>
      </c>
      <c r="B182" s="11" t="str">
        <f aca="false" t="array" ref="B182:B182">IFERROR(INDEX('Bank Schedule'!B:B, SMALL(IF('Bank Schedule'!$K$2:$K$825="Vacant", ROW('Bank Schedule'!$K$2:$K$825)), ROW(179:179))), "")</f>
        <v/>
      </c>
      <c r="C182" s="11" t="str">
        <f aca="false" t="array" ref="C182:C182">IFERROR(INDEX('Bank Schedule'!C:C, SMALL(IF('Bank Schedule'!$K$2:$K$825="Vacant", ROW('Bank Schedule'!$K$2:$K$825)), ROW(179:179))), "")</f>
        <v/>
      </c>
      <c r="D182" s="29" t="str">
        <f aca="false" t="array" ref="D182:D182">IFERROR(INDEX('Bank Schedule'!D:D, SMALL(IF('Bank Schedule'!$K$2:$K$825="Vacant", ROW('Bank Schedule'!$K$2:$K$825)), ROW(179:179))), "")</f>
        <v/>
      </c>
      <c r="E182" s="4" t="str">
        <f aca="false" t="array" ref="E182:E182">IFERROR(INDEX('Bank Schedule'!E:E, SMALL(IF('Bank Schedule'!$K$2:$K$825="Vacant", ROW('Bank Schedule'!$K$2:$K$825)), ROW(179:179))), "")</f>
        <v/>
      </c>
      <c r="F182" s="4" t="str">
        <f aca="false" t="array" ref="F182:F182">IFERROR(INDEX('Bank Schedule'!F:F, SMALL(IF('Bank Schedule'!$K$2:$K$825="Vacant", ROW('Bank Schedule'!$K$2:$K$825)), ROW(179:179))), "")</f>
        <v/>
      </c>
      <c r="G182" s="5" t="str">
        <f aca="false" t="array" ref="G182:G182">IFERROR(INDEX('Bank Schedule'!G:G, SMALL(IF('Bank Schedule'!$K$2:$K$825="Vacant", ROW('Bank Schedule'!$K$2:$K$825)), ROW(179:179))), "")</f>
        <v/>
      </c>
      <c r="H182" s="14" t="str">
        <f aca="false" t="array" ref="H182:H182">IFERROR(INDEX('Bank Schedule'!H:H, SMALL(IF('Bank Schedule'!$K$2:$K$825="Vacant", ROW('Bank Schedule'!$K$2:$K$825)), ROW(179:179))), "")</f>
        <v/>
      </c>
      <c r="I182" s="6" t="str">
        <f aca="false" t="array" ref="I182:I182">IFERROR(INDEX('Bank Schedule'!I:I, SMALL(IF('Bank Schedule'!$K$2:$K$825="Vacant", ROW('Bank Schedule'!$K$2:$K$825)), ROW(179:179))), "")</f>
        <v/>
      </c>
      <c r="J182" s="14"/>
      <c r="K182" s="5" t="str">
        <f aca="false" t="array" ref="K182:K182">IFERROR(INDEX('Bank Schedule'!K:K, SMALL(IF('Bank Schedule'!$K$2:$K$825="Vacant", ROW('Bank Schedule'!$K$2:$K$825)), ROW(179:179))), "")</f>
        <v/>
      </c>
      <c r="L182" s="96" t="e">
        <f aca="false" t="array" ref="L182:L182">IFERROR(INDEX('bank schedule'!#ref!, SMALL(IF('Bank Schedule'!$K$2:$K$825="Vacant", ROW('Bank Schedule'!$K$2:$K$825)), ROW(179:179))), "")</f>
        <v>#VALUE!</v>
      </c>
      <c r="M182" s="7" t="str">
        <f aca="false" t="array" ref="M182:M182">IFERROR(INDEX('Bank Schedule'!L:L, SMALL(IF('Bank Schedule'!$K$2:$K$825="Vacant", ROW('Bank Schedule'!$K$2:$K$825)), ROW(179:179))), "")</f>
        <v/>
      </c>
      <c r="N182" s="295" t="str">
        <f aca="false" t="array" ref="N182:N182">IFERROR(INDEX('Bank Schedule'!M:M, SMALL(IF('Bank Schedule'!$K$2:$K$825="Vacant", ROW('Bank Schedule'!$K$2:$K$825)), ROW(179:179))), "")</f>
        <v/>
      </c>
      <c r="O182" s="8" t="str">
        <f aca="false" t="array" ref="O182:O182">IFERROR(INDEX('Bank Schedule'!N:N, SMALL(IF('Bank Schedule'!$K$2:$K$825="Vacant", ROW('Bank Schedule'!$K$2:$K$825)), ROW(179:179))), "")</f>
        <v/>
      </c>
      <c r="P182" s="8" t="str">
        <f aca="false" t="array" ref="P182:P182">IFERROR(INDEX('Bank Schedule'!O:O, SMALL(IF('Bank Schedule'!$K$2:$K$825="Vacant", ROW('Bank Schedule'!$K$2:$K$825)), ROW(179:179))), "")</f>
        <v/>
      </c>
      <c r="Q182" s="8" t="str">
        <f aca="false" t="array" ref="Q182:Q182">IFERROR(INDEX('Bank Schedule'!P:P, SMALL(IF('Bank Schedule'!$K$2:$K$825="Vacant", ROW('Bank Schedule'!$K$2:$K$825)), ROW(179:179))), "")</f>
        <v/>
      </c>
      <c r="R182" s="8" t="e">
        <f aca="false" t="array" ref="R182:R182">IFERROR(INDEX('bank schedule'!#ref!, SMALL(IF('Bank Schedule'!$K$2:$K$825="Vacant", ROW('Bank Schedule'!$K$2:$K$825)), ROW(179:179))), "")</f>
        <v>#VALUE!</v>
      </c>
      <c r="S182" s="9" t="str">
        <f aca="false" t="array" ref="S182:S182">IFERROR(INDEX('Bank Schedule'!Q:Q, SMALL(IF('Bank Schedule'!$K$2:$K$825="Vacant", ROW('Bank Schedule'!$K$2:$K$825)), ROW(179:179))), "")</f>
        <v/>
      </c>
      <c r="T182" s="296" t="str">
        <f aca="false" t="array" ref="T182:T182">IFERROR(INDEX('Bank Schedule'!R:R, SMALL(IF('Bank Schedule'!$K$2:$K$825="Vacant", ROW('Bank Schedule'!$K$2:$K$825)), ROW(179:179))), "")</f>
        <v/>
      </c>
      <c r="U182" s="296" t="str">
        <f aca="false" t="array" ref="U182:U182">IFERROR(INDEX('Bank Schedule'!S:S, SMALL(IF('Bank Schedule'!$K$2:$K$825="Vacant", ROW('Bank Schedule'!$K$2:$K$825)), ROW(179:179))), "")</f>
        <v/>
      </c>
      <c r="V182" s="296" t="e">
        <f aca="false" t="array" ref="V182:V182">IFERROR(INDEX('bank schedule'!#ref!, SMALL(IF('Bank Schedule'!$K$2:$K$825="Vacant", ROW('Bank Schedule'!$K$2:$K$825)), ROW(179:179))), "")</f>
        <v>#VALUE!</v>
      </c>
      <c r="W182" s="296" t="e">
        <f aca="false" t="array" ref="W182:W182">IFERROR(INDEX('bank schedule'!#ref!, SMALL(IF('Bank Schedule'!$K$2:$K$825="Vacant", ROW('Bank Schedule'!$K$2:$K$825)), ROW(179:179))), "")</f>
        <v>#VALUE!</v>
      </c>
      <c r="X182" s="296" t="e">
        <f aca="false" t="array" ref="X182:X182">IFERROR(INDEX('bank schedule'!#ref!, SMALL(IF('Bank Schedule'!$K$2:$K$825="Vacant", ROW('Bank Schedule'!$K$2:$K$825)), ROW(179:179))), "")</f>
        <v>#VALUE!</v>
      </c>
      <c r="Y182" s="100"/>
      <c r="Z182" s="9" t="str">
        <f aca="false" t="array" ref="Z182:Z182">IFERROR(INDEX('Bank Schedule'!V:V, SMALL(IF('Bank Schedule'!$K$2:$K$825="Vacant", ROW('Bank Schedule'!$K$2:$K$825)), ROW(179:179))), "")</f>
        <v/>
      </c>
      <c r="AA182" s="9" t="str">
        <f aca="false" t="array" ref="AA182:AA182">IFERROR(INDEX('Bank Schedule'!W:W, SMALL(IF('Bank Schedule'!$K$2:$K$825="Vacant", ROW('Bank Schedule'!$K$2:$K$825)), ROW(179:179))), "")</f>
        <v/>
      </c>
      <c r="AB182" s="42" t="str">
        <f aca="false" t="array" ref="AB182:AB182">IFERROR(INDEX('Bank Schedule'!AA:AA, SMALL(IF('Bank Schedule'!$K$2:$K$825="Vacant", ROW('Bank Schedule'!$K$2:$K$825)), ROW(179:179))), "")</f>
        <v/>
      </c>
      <c r="AC182" s="14" t="str">
        <f aca="false" t="array" ref="AC182:AC182">IFERROR(INDEX('Bank Schedule'!AB:AB, SMALL(IF('Bank Schedule'!$K$2:$K$825="Vacant", ROW('Bank Schedule'!$K$2:$K$825)), ROW(179:179))), "")</f>
        <v/>
      </c>
      <c r="AD182" s="5" t="str">
        <f aca="false" t="array" ref="AD182:AD182">IFERROR(INDEX('Bank Schedule'!AC:AC, SMALL(IF('Bank Schedule'!$K$2:$K$825="Vacant", ROW('Bank Schedule'!$K$2:$K$825)), ROW(179:179))), "")</f>
        <v/>
      </c>
      <c r="AE182" s="15" t="str">
        <f aca="false" t="array" ref="AE182:AE182">IFERROR(INDEX('Bank Schedule'!AD:AD, SMALL(IF('Bank Schedule'!$K$2:$K$825="Vacant", ROW('Bank Schedule'!$K$2:$K$825)), ROW(179:179))), "")</f>
        <v/>
      </c>
    </row>
    <row r="183" customFormat="false" ht="23.25" hidden="false" customHeight="true" outlineLevel="0" collapsed="false">
      <c r="A183" s="29" t="str">
        <f aca="false" t="array" ref="A183:A183">IFERROR(INDEX('Bank Schedule'!A:A, SMALL(IF('Bank Schedule'!$K$2:$K$825="Vacant", ROW('Bank Schedule'!$K$2:$K$825)), ROW(180:180))), "")</f>
        <v/>
      </c>
      <c r="B183" s="11" t="str">
        <f aca="false" t="array" ref="B183:B183">IFERROR(INDEX('Bank Schedule'!B:B, SMALL(IF('Bank Schedule'!$K$2:$K$825="Vacant", ROW('Bank Schedule'!$K$2:$K$825)), ROW(180:180))), "")</f>
        <v/>
      </c>
      <c r="C183" s="11" t="str">
        <f aca="false" t="array" ref="C183:C183">IFERROR(INDEX('Bank Schedule'!C:C, SMALL(IF('Bank Schedule'!$K$2:$K$825="Vacant", ROW('Bank Schedule'!$K$2:$K$825)), ROW(180:180))), "")</f>
        <v/>
      </c>
      <c r="D183" s="29" t="str">
        <f aca="false" t="array" ref="D183:D183">IFERROR(INDEX('Bank Schedule'!D:D, SMALL(IF('Bank Schedule'!$K$2:$K$825="Vacant", ROW('Bank Schedule'!$K$2:$K$825)), ROW(180:180))), "")</f>
        <v/>
      </c>
      <c r="E183" s="4" t="str">
        <f aca="false" t="array" ref="E183:E183">IFERROR(INDEX('Bank Schedule'!E:E, SMALL(IF('Bank Schedule'!$K$2:$K$825="Vacant", ROW('Bank Schedule'!$K$2:$K$825)), ROW(180:180))), "")</f>
        <v/>
      </c>
      <c r="F183" s="4" t="str">
        <f aca="false" t="array" ref="F183:F183">IFERROR(INDEX('Bank Schedule'!F:F, SMALL(IF('Bank Schedule'!$K$2:$K$825="Vacant", ROW('Bank Schedule'!$K$2:$K$825)), ROW(180:180))), "")</f>
        <v/>
      </c>
      <c r="G183" s="5" t="str">
        <f aca="false" t="array" ref="G183:G183">IFERROR(INDEX('Bank Schedule'!G:G, SMALL(IF('Bank Schedule'!$K$2:$K$825="Vacant", ROW('Bank Schedule'!$K$2:$K$825)), ROW(180:180))), "")</f>
        <v/>
      </c>
      <c r="H183" s="14" t="str">
        <f aca="false" t="array" ref="H183:H183">IFERROR(INDEX('Bank Schedule'!H:H, SMALL(IF('Bank Schedule'!$K$2:$K$825="Vacant", ROW('Bank Schedule'!$K$2:$K$825)), ROW(180:180))), "")</f>
        <v/>
      </c>
      <c r="I183" s="6" t="str">
        <f aca="false" t="array" ref="I183:I183">IFERROR(INDEX('Bank Schedule'!I:I, SMALL(IF('Bank Schedule'!$K$2:$K$825="Vacant", ROW('Bank Schedule'!$K$2:$K$825)), ROW(180:180))), "")</f>
        <v/>
      </c>
      <c r="J183" s="14"/>
      <c r="K183" s="5" t="str">
        <f aca="false" t="array" ref="K183:K183">IFERROR(INDEX('Bank Schedule'!K:K, SMALL(IF('Bank Schedule'!$K$2:$K$825="Vacant", ROW('Bank Schedule'!$K$2:$K$825)), ROW(180:180))), "")</f>
        <v/>
      </c>
      <c r="L183" s="96" t="e">
        <f aca="false" t="array" ref="L183:L183">IFERROR(INDEX('bank schedule'!#ref!, SMALL(IF('Bank Schedule'!$K$2:$K$825="Vacant", ROW('Bank Schedule'!$K$2:$K$825)), ROW(180:180))), "")</f>
        <v>#VALUE!</v>
      </c>
      <c r="M183" s="7" t="str">
        <f aca="false" t="array" ref="M183:M183">IFERROR(INDEX('Bank Schedule'!L:L, SMALL(IF('Bank Schedule'!$K$2:$K$825="Vacant", ROW('Bank Schedule'!$K$2:$K$825)), ROW(180:180))), "")</f>
        <v/>
      </c>
      <c r="N183" s="295" t="str">
        <f aca="false" t="array" ref="N183:N183">IFERROR(INDEX('Bank Schedule'!M:M, SMALL(IF('Bank Schedule'!$K$2:$K$825="Vacant", ROW('Bank Schedule'!$K$2:$K$825)), ROW(180:180))), "")</f>
        <v/>
      </c>
      <c r="O183" s="8" t="str">
        <f aca="false" t="array" ref="O183:O183">IFERROR(INDEX('Bank Schedule'!N:N, SMALL(IF('Bank Schedule'!$K$2:$K$825="Vacant", ROW('Bank Schedule'!$K$2:$K$825)), ROW(180:180))), "")</f>
        <v/>
      </c>
      <c r="P183" s="8" t="str">
        <f aca="false" t="array" ref="P183:P183">IFERROR(INDEX('Bank Schedule'!O:O, SMALL(IF('Bank Schedule'!$K$2:$K$825="Vacant", ROW('Bank Schedule'!$K$2:$K$825)), ROW(180:180))), "")</f>
        <v/>
      </c>
      <c r="Q183" s="8" t="str">
        <f aca="false" t="array" ref="Q183:Q183">IFERROR(INDEX('Bank Schedule'!P:P, SMALL(IF('Bank Schedule'!$K$2:$K$825="Vacant", ROW('Bank Schedule'!$K$2:$K$825)), ROW(180:180))), "")</f>
        <v/>
      </c>
      <c r="R183" s="8" t="e">
        <f aca="false" t="array" ref="R183:R183">IFERROR(INDEX('bank schedule'!#ref!, SMALL(IF('Bank Schedule'!$K$2:$K$825="Vacant", ROW('Bank Schedule'!$K$2:$K$825)), ROW(180:180))), "")</f>
        <v>#VALUE!</v>
      </c>
      <c r="S183" s="9" t="str">
        <f aca="false" t="array" ref="S183:S183">IFERROR(INDEX('Bank Schedule'!Q:Q, SMALL(IF('Bank Schedule'!$K$2:$K$825="Vacant", ROW('Bank Schedule'!$K$2:$K$825)), ROW(180:180))), "")</f>
        <v/>
      </c>
      <c r="T183" s="296" t="str">
        <f aca="false" t="array" ref="T183:T183">IFERROR(INDEX('Bank Schedule'!R:R, SMALL(IF('Bank Schedule'!$K$2:$K$825="Vacant", ROW('Bank Schedule'!$K$2:$K$825)), ROW(180:180))), "")</f>
        <v/>
      </c>
      <c r="U183" s="296" t="str">
        <f aca="false" t="array" ref="U183:U183">IFERROR(INDEX('Bank Schedule'!S:S, SMALL(IF('Bank Schedule'!$K$2:$K$825="Vacant", ROW('Bank Schedule'!$K$2:$K$825)), ROW(180:180))), "")</f>
        <v/>
      </c>
      <c r="V183" s="296" t="e">
        <f aca="false" t="array" ref="V183:V183">IFERROR(INDEX('bank schedule'!#ref!, SMALL(IF('Bank Schedule'!$K$2:$K$825="Vacant", ROW('Bank Schedule'!$K$2:$K$825)), ROW(180:180))), "")</f>
        <v>#VALUE!</v>
      </c>
      <c r="W183" s="296" t="e">
        <f aca="false" t="array" ref="W183:W183">IFERROR(INDEX('bank schedule'!#ref!, SMALL(IF('Bank Schedule'!$K$2:$K$825="Vacant", ROW('Bank Schedule'!$K$2:$K$825)), ROW(180:180))), "")</f>
        <v>#VALUE!</v>
      </c>
      <c r="X183" s="296" t="e">
        <f aca="false" t="array" ref="X183:X183">IFERROR(INDEX('bank schedule'!#ref!, SMALL(IF('Bank Schedule'!$K$2:$K$825="Vacant", ROW('Bank Schedule'!$K$2:$K$825)), ROW(180:180))), "")</f>
        <v>#VALUE!</v>
      </c>
      <c r="Y183" s="100"/>
      <c r="Z183" s="9" t="str">
        <f aca="false" t="array" ref="Z183:Z183">IFERROR(INDEX('Bank Schedule'!V:V, SMALL(IF('Bank Schedule'!$K$2:$K$825="Vacant", ROW('Bank Schedule'!$K$2:$K$825)), ROW(180:180))), "")</f>
        <v/>
      </c>
      <c r="AA183" s="9" t="str">
        <f aca="false" t="array" ref="AA183:AA183">IFERROR(INDEX('Bank Schedule'!W:W, SMALL(IF('Bank Schedule'!$K$2:$K$825="Vacant", ROW('Bank Schedule'!$K$2:$K$825)), ROW(180:180))), "")</f>
        <v/>
      </c>
      <c r="AB183" s="42" t="str">
        <f aca="false" t="array" ref="AB183:AB183">IFERROR(INDEX('Bank Schedule'!AA:AA, SMALL(IF('Bank Schedule'!$K$2:$K$825="Vacant", ROW('Bank Schedule'!$K$2:$K$825)), ROW(180:180))), "")</f>
        <v/>
      </c>
      <c r="AC183" s="14" t="str">
        <f aca="false" t="array" ref="AC183:AC183">IFERROR(INDEX('Bank Schedule'!AB:AB, SMALL(IF('Bank Schedule'!$K$2:$K$825="Vacant", ROW('Bank Schedule'!$K$2:$K$825)), ROW(180:180))), "")</f>
        <v/>
      </c>
      <c r="AD183" s="5" t="str">
        <f aca="false" t="array" ref="AD183:AD183">IFERROR(INDEX('Bank Schedule'!AC:AC, SMALL(IF('Bank Schedule'!$K$2:$K$825="Vacant", ROW('Bank Schedule'!$K$2:$K$825)), ROW(180:180))), "")</f>
        <v/>
      </c>
      <c r="AE183" s="15" t="str">
        <f aca="false" t="array" ref="AE183:AE183">IFERROR(INDEX('Bank Schedule'!AD:AD, SMALL(IF('Bank Schedule'!$K$2:$K$825="Vacant", ROW('Bank Schedule'!$K$2:$K$825)), ROW(180:180))), "")</f>
        <v/>
      </c>
    </row>
    <row r="184" customFormat="false" ht="23.25" hidden="false" customHeight="true" outlineLevel="0" collapsed="false">
      <c r="A184" s="29" t="str">
        <f aca="false" t="array" ref="A184:A184">IFERROR(INDEX('Bank Schedule'!A:A, SMALL(IF('Bank Schedule'!$K$2:$K$825="Vacant", ROW('Bank Schedule'!$K$2:$K$825)), ROW(181:181))), "")</f>
        <v/>
      </c>
      <c r="B184" s="11" t="str">
        <f aca="false" t="array" ref="B184:B184">IFERROR(INDEX('Bank Schedule'!B:B, SMALL(IF('Bank Schedule'!$K$2:$K$825="Vacant", ROW('Bank Schedule'!$K$2:$K$825)), ROW(181:181))), "")</f>
        <v/>
      </c>
      <c r="C184" s="11" t="str">
        <f aca="false" t="array" ref="C184:C184">IFERROR(INDEX('Bank Schedule'!C:C, SMALL(IF('Bank Schedule'!$K$2:$K$825="Vacant", ROW('Bank Schedule'!$K$2:$K$825)), ROW(181:181))), "")</f>
        <v/>
      </c>
      <c r="D184" s="29" t="str">
        <f aca="false" t="array" ref="D184:D184">IFERROR(INDEX('Bank Schedule'!D:D, SMALL(IF('Bank Schedule'!$K$2:$K$825="Vacant", ROW('Bank Schedule'!$K$2:$K$825)), ROW(181:181))), "")</f>
        <v/>
      </c>
      <c r="E184" s="4" t="str">
        <f aca="false" t="array" ref="E184:E184">IFERROR(INDEX('Bank Schedule'!E:E, SMALL(IF('Bank Schedule'!$K$2:$K$825="Vacant", ROW('Bank Schedule'!$K$2:$K$825)), ROW(181:181))), "")</f>
        <v/>
      </c>
      <c r="F184" s="4" t="str">
        <f aca="false" t="array" ref="F184:F184">IFERROR(INDEX('Bank Schedule'!F:F, SMALL(IF('Bank Schedule'!$K$2:$K$825="Vacant", ROW('Bank Schedule'!$K$2:$K$825)), ROW(181:181))), "")</f>
        <v/>
      </c>
      <c r="G184" s="5" t="str">
        <f aca="false" t="array" ref="G184:G184">IFERROR(INDEX('Bank Schedule'!G:G, SMALL(IF('Bank Schedule'!$K$2:$K$825="Vacant", ROW('Bank Schedule'!$K$2:$K$825)), ROW(181:181))), "")</f>
        <v/>
      </c>
      <c r="H184" s="14" t="str">
        <f aca="false" t="array" ref="H184:H184">IFERROR(INDEX('Bank Schedule'!H:H, SMALL(IF('Bank Schedule'!$K$2:$K$825="Vacant", ROW('Bank Schedule'!$K$2:$K$825)), ROW(181:181))), "")</f>
        <v/>
      </c>
      <c r="I184" s="6" t="str">
        <f aca="false" t="array" ref="I184:I184">IFERROR(INDEX('Bank Schedule'!I:I, SMALL(IF('Bank Schedule'!$K$2:$K$825="Vacant", ROW('Bank Schedule'!$K$2:$K$825)), ROW(181:181))), "")</f>
        <v/>
      </c>
      <c r="J184" s="14"/>
      <c r="K184" s="5" t="str">
        <f aca="false" t="array" ref="K184:K184">IFERROR(INDEX('Bank Schedule'!K:K, SMALL(IF('Bank Schedule'!$K$2:$K$825="Vacant", ROW('Bank Schedule'!$K$2:$K$825)), ROW(181:181))), "")</f>
        <v/>
      </c>
      <c r="L184" s="96" t="e">
        <f aca="false" t="array" ref="L184:L184">IFERROR(INDEX('bank schedule'!#ref!, SMALL(IF('Bank Schedule'!$K$2:$K$825="Vacant", ROW('Bank Schedule'!$K$2:$K$825)), ROW(181:181))), "")</f>
        <v>#VALUE!</v>
      </c>
      <c r="M184" s="7" t="str">
        <f aca="false" t="array" ref="M184:M184">IFERROR(INDEX('Bank Schedule'!L:L, SMALL(IF('Bank Schedule'!$K$2:$K$825="Vacant", ROW('Bank Schedule'!$K$2:$K$825)), ROW(181:181))), "")</f>
        <v/>
      </c>
      <c r="N184" s="295" t="str">
        <f aca="false" t="array" ref="N184:N184">IFERROR(INDEX('Bank Schedule'!M:M, SMALL(IF('Bank Schedule'!$K$2:$K$825="Vacant", ROW('Bank Schedule'!$K$2:$K$825)), ROW(181:181))), "")</f>
        <v/>
      </c>
      <c r="O184" s="8" t="str">
        <f aca="false" t="array" ref="O184:O184">IFERROR(INDEX('Bank Schedule'!N:N, SMALL(IF('Bank Schedule'!$K$2:$K$825="Vacant", ROW('Bank Schedule'!$K$2:$K$825)), ROW(181:181))), "")</f>
        <v/>
      </c>
      <c r="P184" s="8" t="str">
        <f aca="false" t="array" ref="P184:P184">IFERROR(INDEX('Bank Schedule'!O:O, SMALL(IF('Bank Schedule'!$K$2:$K$825="Vacant", ROW('Bank Schedule'!$K$2:$K$825)), ROW(181:181))), "")</f>
        <v/>
      </c>
      <c r="Q184" s="8" t="str">
        <f aca="false" t="array" ref="Q184:Q184">IFERROR(INDEX('Bank Schedule'!P:P, SMALL(IF('Bank Schedule'!$K$2:$K$825="Vacant", ROW('Bank Schedule'!$K$2:$K$825)), ROW(181:181))), "")</f>
        <v/>
      </c>
      <c r="R184" s="8" t="e">
        <f aca="false" t="array" ref="R184:R184">IFERROR(INDEX('bank schedule'!#ref!, SMALL(IF('Bank Schedule'!$K$2:$K$825="Vacant", ROW('Bank Schedule'!$K$2:$K$825)), ROW(181:181))), "")</f>
        <v>#VALUE!</v>
      </c>
      <c r="S184" s="9" t="str">
        <f aca="false" t="array" ref="S184:S184">IFERROR(INDEX('Bank Schedule'!Q:Q, SMALL(IF('Bank Schedule'!$K$2:$K$825="Vacant", ROW('Bank Schedule'!$K$2:$K$825)), ROW(181:181))), "")</f>
        <v/>
      </c>
      <c r="T184" s="296" t="str">
        <f aca="false" t="array" ref="T184:T184">IFERROR(INDEX('Bank Schedule'!R:R, SMALL(IF('Bank Schedule'!$K$2:$K$825="Vacant", ROW('Bank Schedule'!$K$2:$K$825)), ROW(181:181))), "")</f>
        <v/>
      </c>
      <c r="U184" s="296" t="str">
        <f aca="false" t="array" ref="U184:U184">IFERROR(INDEX('Bank Schedule'!S:S, SMALL(IF('Bank Schedule'!$K$2:$K$825="Vacant", ROW('Bank Schedule'!$K$2:$K$825)), ROW(181:181))), "")</f>
        <v/>
      </c>
      <c r="V184" s="296" t="e">
        <f aca="false" t="array" ref="V184:V184">IFERROR(INDEX('bank schedule'!#ref!, SMALL(IF('Bank Schedule'!$K$2:$K$825="Vacant", ROW('Bank Schedule'!$K$2:$K$825)), ROW(181:181))), "")</f>
        <v>#VALUE!</v>
      </c>
      <c r="W184" s="296" t="e">
        <f aca="false" t="array" ref="W184:W184">IFERROR(INDEX('bank schedule'!#ref!, SMALL(IF('Bank Schedule'!$K$2:$K$825="Vacant", ROW('Bank Schedule'!$K$2:$K$825)), ROW(181:181))), "")</f>
        <v>#VALUE!</v>
      </c>
      <c r="X184" s="296" t="e">
        <f aca="false" t="array" ref="X184:X184">IFERROR(INDEX('bank schedule'!#ref!, SMALL(IF('Bank Schedule'!$K$2:$K$825="Vacant", ROW('Bank Schedule'!$K$2:$K$825)), ROW(181:181))), "")</f>
        <v>#VALUE!</v>
      </c>
      <c r="Y184" s="100"/>
      <c r="Z184" s="9" t="str">
        <f aca="false" t="array" ref="Z184:Z184">IFERROR(INDEX('Bank Schedule'!V:V, SMALL(IF('Bank Schedule'!$K$2:$K$825="Vacant", ROW('Bank Schedule'!$K$2:$K$825)), ROW(181:181))), "")</f>
        <v/>
      </c>
      <c r="AA184" s="9" t="str">
        <f aca="false" t="array" ref="AA184:AA184">IFERROR(INDEX('Bank Schedule'!W:W, SMALL(IF('Bank Schedule'!$K$2:$K$825="Vacant", ROW('Bank Schedule'!$K$2:$K$825)), ROW(181:181))), "")</f>
        <v/>
      </c>
      <c r="AB184" s="42" t="str">
        <f aca="false" t="array" ref="AB184:AB184">IFERROR(INDEX('Bank Schedule'!AA:AA, SMALL(IF('Bank Schedule'!$K$2:$K$825="Vacant", ROW('Bank Schedule'!$K$2:$K$825)), ROW(181:181))), "")</f>
        <v/>
      </c>
      <c r="AC184" s="14" t="str">
        <f aca="false" t="array" ref="AC184:AC184">IFERROR(INDEX('Bank Schedule'!AB:AB, SMALL(IF('Bank Schedule'!$K$2:$K$825="Vacant", ROW('Bank Schedule'!$K$2:$K$825)), ROW(181:181))), "")</f>
        <v/>
      </c>
      <c r="AD184" s="5" t="str">
        <f aca="false" t="array" ref="AD184:AD184">IFERROR(INDEX('Bank Schedule'!AC:AC, SMALL(IF('Bank Schedule'!$K$2:$K$825="Vacant", ROW('Bank Schedule'!$K$2:$K$825)), ROW(181:181))), "")</f>
        <v/>
      </c>
      <c r="AE184" s="15" t="str">
        <f aca="false" t="array" ref="AE184:AE184">IFERROR(INDEX('Bank Schedule'!AD:AD, SMALL(IF('Bank Schedule'!$K$2:$K$825="Vacant", ROW('Bank Schedule'!$K$2:$K$825)), ROW(181:181))), "")</f>
        <v/>
      </c>
    </row>
    <row r="185" customFormat="false" ht="23.25" hidden="false" customHeight="true" outlineLevel="0" collapsed="false">
      <c r="A185" s="29" t="str">
        <f aca="false" t="array" ref="A185:A185">IFERROR(INDEX('Bank Schedule'!A:A, SMALL(IF('Bank Schedule'!$K$2:$K$825="Vacant", ROW('Bank Schedule'!$K$2:$K$825)), ROW(182:182))), "")</f>
        <v/>
      </c>
      <c r="B185" s="11" t="str">
        <f aca="false" t="array" ref="B185:B185">IFERROR(INDEX('Bank Schedule'!B:B, SMALL(IF('Bank Schedule'!$K$2:$K$825="Vacant", ROW('Bank Schedule'!$K$2:$K$825)), ROW(182:182))), "")</f>
        <v/>
      </c>
      <c r="C185" s="11" t="str">
        <f aca="false" t="array" ref="C185:C185">IFERROR(INDEX('Bank Schedule'!C:C, SMALL(IF('Bank Schedule'!$K$2:$K$825="Vacant", ROW('Bank Schedule'!$K$2:$K$825)), ROW(182:182))), "")</f>
        <v/>
      </c>
      <c r="D185" s="29" t="str">
        <f aca="false" t="array" ref="D185:D185">IFERROR(INDEX('Bank Schedule'!D:D, SMALL(IF('Bank Schedule'!$K$2:$K$825="Vacant", ROW('Bank Schedule'!$K$2:$K$825)), ROW(182:182))), "")</f>
        <v/>
      </c>
      <c r="E185" s="4" t="str">
        <f aca="false" t="array" ref="E185:E185">IFERROR(INDEX('Bank Schedule'!E:E, SMALL(IF('Bank Schedule'!$K$2:$K$825="Vacant", ROW('Bank Schedule'!$K$2:$K$825)), ROW(182:182))), "")</f>
        <v/>
      </c>
      <c r="F185" s="4" t="str">
        <f aca="false" t="array" ref="F185:F185">IFERROR(INDEX('Bank Schedule'!F:F, SMALL(IF('Bank Schedule'!$K$2:$K$825="Vacant", ROW('Bank Schedule'!$K$2:$K$825)), ROW(182:182))), "")</f>
        <v/>
      </c>
      <c r="G185" s="5" t="str">
        <f aca="false" t="array" ref="G185:G185">IFERROR(INDEX('Bank Schedule'!G:G, SMALL(IF('Bank Schedule'!$K$2:$K$825="Vacant", ROW('Bank Schedule'!$K$2:$K$825)), ROW(182:182))), "")</f>
        <v/>
      </c>
      <c r="H185" s="14" t="str">
        <f aca="false" t="array" ref="H185:H185">IFERROR(INDEX('Bank Schedule'!H:H, SMALL(IF('Bank Schedule'!$K$2:$K$825="Vacant", ROW('Bank Schedule'!$K$2:$K$825)), ROW(182:182))), "")</f>
        <v/>
      </c>
      <c r="I185" s="6" t="str">
        <f aca="false" t="array" ref="I185:I185">IFERROR(INDEX('Bank Schedule'!I:I, SMALL(IF('Bank Schedule'!$K$2:$K$825="Vacant", ROW('Bank Schedule'!$K$2:$K$825)), ROW(182:182))), "")</f>
        <v/>
      </c>
      <c r="J185" s="14"/>
      <c r="K185" s="5" t="str">
        <f aca="false" t="array" ref="K185:K185">IFERROR(INDEX('Bank Schedule'!K:K, SMALL(IF('Bank Schedule'!$K$2:$K$825="Vacant", ROW('Bank Schedule'!$K$2:$K$825)), ROW(182:182))), "")</f>
        <v/>
      </c>
      <c r="L185" s="96" t="e">
        <f aca="false" t="array" ref="L185:L185">IFERROR(INDEX('bank schedule'!#ref!, SMALL(IF('Bank Schedule'!$K$2:$K$825="Vacant", ROW('Bank Schedule'!$K$2:$K$825)), ROW(182:182))), "")</f>
        <v>#VALUE!</v>
      </c>
      <c r="M185" s="7" t="str">
        <f aca="false" t="array" ref="M185:M185">IFERROR(INDEX('Bank Schedule'!L:L, SMALL(IF('Bank Schedule'!$K$2:$K$825="Vacant", ROW('Bank Schedule'!$K$2:$K$825)), ROW(182:182))), "")</f>
        <v/>
      </c>
      <c r="N185" s="295" t="str">
        <f aca="false" t="array" ref="N185:N185">IFERROR(INDEX('Bank Schedule'!M:M, SMALL(IF('Bank Schedule'!$K$2:$K$825="Vacant", ROW('Bank Schedule'!$K$2:$K$825)), ROW(182:182))), "")</f>
        <v/>
      </c>
      <c r="O185" s="8" t="str">
        <f aca="false" t="array" ref="O185:O185">IFERROR(INDEX('Bank Schedule'!N:N, SMALL(IF('Bank Schedule'!$K$2:$K$825="Vacant", ROW('Bank Schedule'!$K$2:$K$825)), ROW(182:182))), "")</f>
        <v/>
      </c>
      <c r="P185" s="8" t="str">
        <f aca="false" t="array" ref="P185:P185">IFERROR(INDEX('Bank Schedule'!O:O, SMALL(IF('Bank Schedule'!$K$2:$K$825="Vacant", ROW('Bank Schedule'!$K$2:$K$825)), ROW(182:182))), "")</f>
        <v/>
      </c>
      <c r="Q185" s="8" t="str">
        <f aca="false" t="array" ref="Q185:Q185">IFERROR(INDEX('Bank Schedule'!P:P, SMALL(IF('Bank Schedule'!$K$2:$K$825="Vacant", ROW('Bank Schedule'!$K$2:$K$825)), ROW(182:182))), "")</f>
        <v/>
      </c>
      <c r="R185" s="8" t="e">
        <f aca="false" t="array" ref="R185:R185">IFERROR(INDEX('bank schedule'!#ref!, SMALL(IF('Bank Schedule'!$K$2:$K$825="Vacant", ROW('Bank Schedule'!$K$2:$K$825)), ROW(182:182))), "")</f>
        <v>#VALUE!</v>
      </c>
      <c r="S185" s="9" t="str">
        <f aca="false" t="array" ref="S185:S185">IFERROR(INDEX('Bank Schedule'!Q:Q, SMALL(IF('Bank Schedule'!$K$2:$K$825="Vacant", ROW('Bank Schedule'!$K$2:$K$825)), ROW(182:182))), "")</f>
        <v/>
      </c>
      <c r="T185" s="296" t="str">
        <f aca="false" t="array" ref="T185:T185">IFERROR(INDEX('Bank Schedule'!R:R, SMALL(IF('Bank Schedule'!$K$2:$K$825="Vacant", ROW('Bank Schedule'!$K$2:$K$825)), ROW(182:182))), "")</f>
        <v/>
      </c>
      <c r="U185" s="296" t="str">
        <f aca="false" t="array" ref="U185:U185">IFERROR(INDEX('Bank Schedule'!S:S, SMALL(IF('Bank Schedule'!$K$2:$K$825="Vacant", ROW('Bank Schedule'!$K$2:$K$825)), ROW(182:182))), "")</f>
        <v/>
      </c>
      <c r="V185" s="296" t="e">
        <f aca="false" t="array" ref="V185:V185">IFERROR(INDEX('bank schedule'!#ref!, SMALL(IF('Bank Schedule'!$K$2:$K$825="Vacant", ROW('Bank Schedule'!$K$2:$K$825)), ROW(182:182))), "")</f>
        <v>#VALUE!</v>
      </c>
      <c r="W185" s="296" t="e">
        <f aca="false" t="array" ref="W185:W185">IFERROR(INDEX('bank schedule'!#ref!, SMALL(IF('Bank Schedule'!$K$2:$K$825="Vacant", ROW('Bank Schedule'!$K$2:$K$825)), ROW(182:182))), "")</f>
        <v>#VALUE!</v>
      </c>
      <c r="X185" s="296" t="e">
        <f aca="false" t="array" ref="X185:X185">IFERROR(INDEX('bank schedule'!#ref!, SMALL(IF('Bank Schedule'!$K$2:$K$825="Vacant", ROW('Bank Schedule'!$K$2:$K$825)), ROW(182:182))), "")</f>
        <v>#VALUE!</v>
      </c>
      <c r="Y185" s="100"/>
      <c r="Z185" s="9" t="str">
        <f aca="false" t="array" ref="Z185:Z185">IFERROR(INDEX('Bank Schedule'!V:V, SMALL(IF('Bank Schedule'!$K$2:$K$825="Vacant", ROW('Bank Schedule'!$K$2:$K$825)), ROW(182:182))), "")</f>
        <v/>
      </c>
      <c r="AA185" s="9" t="str">
        <f aca="false" t="array" ref="AA185:AA185">IFERROR(INDEX('Bank Schedule'!W:W, SMALL(IF('Bank Schedule'!$K$2:$K$825="Vacant", ROW('Bank Schedule'!$K$2:$K$825)), ROW(182:182))), "")</f>
        <v/>
      </c>
      <c r="AB185" s="42" t="str">
        <f aca="false" t="array" ref="AB185:AB185">IFERROR(INDEX('Bank Schedule'!AA:AA, SMALL(IF('Bank Schedule'!$K$2:$K$825="Vacant", ROW('Bank Schedule'!$K$2:$K$825)), ROW(182:182))), "")</f>
        <v/>
      </c>
      <c r="AC185" s="14" t="str">
        <f aca="false" t="array" ref="AC185:AC185">IFERROR(INDEX('Bank Schedule'!AB:AB, SMALL(IF('Bank Schedule'!$K$2:$K$825="Vacant", ROW('Bank Schedule'!$K$2:$K$825)), ROW(182:182))), "")</f>
        <v/>
      </c>
      <c r="AD185" s="5" t="str">
        <f aca="false" t="array" ref="AD185:AD185">IFERROR(INDEX('Bank Schedule'!AC:AC, SMALL(IF('Bank Schedule'!$K$2:$K$825="Vacant", ROW('Bank Schedule'!$K$2:$K$825)), ROW(182:182))), "")</f>
        <v/>
      </c>
      <c r="AE185" s="15" t="str">
        <f aca="false" t="array" ref="AE185:AE185">IFERROR(INDEX('Bank Schedule'!AD:AD, SMALL(IF('Bank Schedule'!$K$2:$K$825="Vacant", ROW('Bank Schedule'!$K$2:$K$825)), ROW(182:182))), "")</f>
        <v/>
      </c>
    </row>
    <row r="186" customFormat="false" ht="23.25" hidden="false" customHeight="true" outlineLevel="0" collapsed="false">
      <c r="A186" s="29" t="str">
        <f aca="false" t="array" ref="A186:A186">IFERROR(INDEX('Bank Schedule'!A:A, SMALL(IF('Bank Schedule'!$K$2:$K$825="Vacant", ROW('Bank Schedule'!$K$2:$K$825)), ROW(183:183))), "")</f>
        <v/>
      </c>
      <c r="B186" s="11" t="str">
        <f aca="false" t="array" ref="B186:B186">IFERROR(INDEX('Bank Schedule'!B:B, SMALL(IF('Bank Schedule'!$K$2:$K$825="Vacant", ROW('Bank Schedule'!$K$2:$K$825)), ROW(183:183))), "")</f>
        <v/>
      </c>
      <c r="C186" s="11" t="str">
        <f aca="false" t="array" ref="C186:C186">IFERROR(INDEX('Bank Schedule'!C:C, SMALL(IF('Bank Schedule'!$K$2:$K$825="Vacant", ROW('Bank Schedule'!$K$2:$K$825)), ROW(183:183))), "")</f>
        <v/>
      </c>
      <c r="D186" s="29" t="str">
        <f aca="false" t="array" ref="D186:D186">IFERROR(INDEX('Bank Schedule'!D:D, SMALL(IF('Bank Schedule'!$K$2:$K$825="Vacant", ROW('Bank Schedule'!$K$2:$K$825)), ROW(183:183))), "")</f>
        <v/>
      </c>
      <c r="E186" s="4" t="str">
        <f aca="false" t="array" ref="E186:E186">IFERROR(INDEX('Bank Schedule'!E:E, SMALL(IF('Bank Schedule'!$K$2:$K$825="Vacant", ROW('Bank Schedule'!$K$2:$K$825)), ROW(183:183))), "")</f>
        <v/>
      </c>
      <c r="F186" s="4" t="str">
        <f aca="false" t="array" ref="F186:F186">IFERROR(INDEX('Bank Schedule'!F:F, SMALL(IF('Bank Schedule'!$K$2:$K$825="Vacant", ROW('Bank Schedule'!$K$2:$K$825)), ROW(183:183))), "")</f>
        <v/>
      </c>
      <c r="G186" s="5" t="str">
        <f aca="false" t="array" ref="G186:G186">IFERROR(INDEX('Bank Schedule'!G:G, SMALL(IF('Bank Schedule'!$K$2:$K$825="Vacant", ROW('Bank Schedule'!$K$2:$K$825)), ROW(183:183))), "")</f>
        <v/>
      </c>
      <c r="H186" s="14" t="str">
        <f aca="false" t="array" ref="H186:H186">IFERROR(INDEX('Bank Schedule'!H:H, SMALL(IF('Bank Schedule'!$K$2:$K$825="Vacant", ROW('Bank Schedule'!$K$2:$K$825)), ROW(183:183))), "")</f>
        <v/>
      </c>
      <c r="I186" s="6" t="str">
        <f aca="false" t="array" ref="I186:I186">IFERROR(INDEX('Bank Schedule'!I:I, SMALL(IF('Bank Schedule'!$K$2:$K$825="Vacant", ROW('Bank Schedule'!$K$2:$K$825)), ROW(183:183))), "")</f>
        <v/>
      </c>
      <c r="J186" s="14"/>
      <c r="K186" s="5" t="str">
        <f aca="false" t="array" ref="K186:K186">IFERROR(INDEX('Bank Schedule'!K:K, SMALL(IF('Bank Schedule'!$K$2:$K$825="Vacant", ROW('Bank Schedule'!$K$2:$K$825)), ROW(183:183))), "")</f>
        <v/>
      </c>
      <c r="L186" s="96" t="e">
        <f aca="false" t="array" ref="L186:L186">IFERROR(INDEX('bank schedule'!#ref!, SMALL(IF('Bank Schedule'!$K$2:$K$825="Vacant", ROW('Bank Schedule'!$K$2:$K$825)), ROW(183:183))), "")</f>
        <v>#VALUE!</v>
      </c>
      <c r="M186" s="7" t="str">
        <f aca="false" t="array" ref="M186:M186">IFERROR(INDEX('Bank Schedule'!L:L, SMALL(IF('Bank Schedule'!$K$2:$K$825="Vacant", ROW('Bank Schedule'!$K$2:$K$825)), ROW(183:183))), "")</f>
        <v/>
      </c>
      <c r="N186" s="295" t="str">
        <f aca="false" t="array" ref="N186:N186">IFERROR(INDEX('Bank Schedule'!M:M, SMALL(IF('Bank Schedule'!$K$2:$K$825="Vacant", ROW('Bank Schedule'!$K$2:$K$825)), ROW(183:183))), "")</f>
        <v/>
      </c>
      <c r="O186" s="8" t="str">
        <f aca="false" t="array" ref="O186:O186">IFERROR(INDEX('Bank Schedule'!N:N, SMALL(IF('Bank Schedule'!$K$2:$K$825="Vacant", ROW('Bank Schedule'!$K$2:$K$825)), ROW(183:183))), "")</f>
        <v/>
      </c>
      <c r="P186" s="8" t="str">
        <f aca="false" t="array" ref="P186:P186">IFERROR(INDEX('Bank Schedule'!O:O, SMALL(IF('Bank Schedule'!$K$2:$K$825="Vacant", ROW('Bank Schedule'!$K$2:$K$825)), ROW(183:183))), "")</f>
        <v/>
      </c>
      <c r="Q186" s="8" t="str">
        <f aca="false" t="array" ref="Q186:Q186">IFERROR(INDEX('Bank Schedule'!P:P, SMALL(IF('Bank Schedule'!$K$2:$K$825="Vacant", ROW('Bank Schedule'!$K$2:$K$825)), ROW(183:183))), "")</f>
        <v/>
      </c>
      <c r="R186" s="8" t="e">
        <f aca="false" t="array" ref="R186:R186">IFERROR(INDEX('bank schedule'!#ref!, SMALL(IF('Bank Schedule'!$K$2:$K$825="Vacant", ROW('Bank Schedule'!$K$2:$K$825)), ROW(183:183))), "")</f>
        <v>#VALUE!</v>
      </c>
      <c r="S186" s="9" t="str">
        <f aca="false" t="array" ref="S186:S186">IFERROR(INDEX('Bank Schedule'!Q:Q, SMALL(IF('Bank Schedule'!$K$2:$K$825="Vacant", ROW('Bank Schedule'!$K$2:$K$825)), ROW(183:183))), "")</f>
        <v/>
      </c>
      <c r="T186" s="296" t="str">
        <f aca="false" t="array" ref="T186:T186">IFERROR(INDEX('Bank Schedule'!R:R, SMALL(IF('Bank Schedule'!$K$2:$K$825="Vacant", ROW('Bank Schedule'!$K$2:$K$825)), ROW(183:183))), "")</f>
        <v/>
      </c>
      <c r="U186" s="296" t="str">
        <f aca="false" t="array" ref="U186:U186">IFERROR(INDEX('Bank Schedule'!S:S, SMALL(IF('Bank Schedule'!$K$2:$K$825="Vacant", ROW('Bank Schedule'!$K$2:$K$825)), ROW(183:183))), "")</f>
        <v/>
      </c>
      <c r="V186" s="296" t="e">
        <f aca="false" t="array" ref="V186:V186">IFERROR(INDEX('bank schedule'!#ref!, SMALL(IF('Bank Schedule'!$K$2:$K$825="Vacant", ROW('Bank Schedule'!$K$2:$K$825)), ROW(183:183))), "")</f>
        <v>#VALUE!</v>
      </c>
      <c r="W186" s="296" t="e">
        <f aca="false" t="array" ref="W186:W186">IFERROR(INDEX('bank schedule'!#ref!, SMALL(IF('Bank Schedule'!$K$2:$K$825="Vacant", ROW('Bank Schedule'!$K$2:$K$825)), ROW(183:183))), "")</f>
        <v>#VALUE!</v>
      </c>
      <c r="X186" s="296" t="e">
        <f aca="false" t="array" ref="X186:X186">IFERROR(INDEX('bank schedule'!#ref!, SMALL(IF('Bank Schedule'!$K$2:$K$825="Vacant", ROW('Bank Schedule'!$K$2:$K$825)), ROW(183:183))), "")</f>
        <v>#VALUE!</v>
      </c>
      <c r="Y186" s="100"/>
      <c r="Z186" s="9" t="str">
        <f aca="false" t="array" ref="Z186:Z186">IFERROR(INDEX('Bank Schedule'!V:V, SMALL(IF('Bank Schedule'!$K$2:$K$825="Vacant", ROW('Bank Schedule'!$K$2:$K$825)), ROW(183:183))), "")</f>
        <v/>
      </c>
      <c r="AA186" s="9" t="str">
        <f aca="false" t="array" ref="AA186:AA186">IFERROR(INDEX('Bank Schedule'!W:W, SMALL(IF('Bank Schedule'!$K$2:$K$825="Vacant", ROW('Bank Schedule'!$K$2:$K$825)), ROW(183:183))), "")</f>
        <v/>
      </c>
      <c r="AB186" s="42" t="str">
        <f aca="false" t="array" ref="AB186:AB186">IFERROR(INDEX('Bank Schedule'!AA:AA, SMALL(IF('Bank Schedule'!$K$2:$K$825="Vacant", ROW('Bank Schedule'!$K$2:$K$825)), ROW(183:183))), "")</f>
        <v/>
      </c>
      <c r="AC186" s="14" t="str">
        <f aca="false" t="array" ref="AC186:AC186">IFERROR(INDEX('Bank Schedule'!AB:AB, SMALL(IF('Bank Schedule'!$K$2:$K$825="Vacant", ROW('Bank Schedule'!$K$2:$K$825)), ROW(183:183))), "")</f>
        <v/>
      </c>
      <c r="AD186" s="5" t="str">
        <f aca="false" t="array" ref="AD186:AD186">IFERROR(INDEX('Bank Schedule'!AC:AC, SMALL(IF('Bank Schedule'!$K$2:$K$825="Vacant", ROW('Bank Schedule'!$K$2:$K$825)), ROW(183:183))), "")</f>
        <v/>
      </c>
      <c r="AE186" s="15" t="str">
        <f aca="false" t="array" ref="AE186:AE186">IFERROR(INDEX('Bank Schedule'!AD:AD, SMALL(IF('Bank Schedule'!$K$2:$K$825="Vacant", ROW('Bank Schedule'!$K$2:$K$825)), ROW(183:183))), "")</f>
        <v/>
      </c>
    </row>
    <row r="187" customFormat="false" ht="23.25" hidden="false" customHeight="true" outlineLevel="0" collapsed="false">
      <c r="A187" s="29" t="str">
        <f aca="false" t="array" ref="A187:A187">IFERROR(INDEX('Bank Schedule'!A:A, SMALL(IF('Bank Schedule'!$K$2:$K$825="Vacant", ROW('Bank Schedule'!$K$2:$K$825)), ROW(184:184))), "")</f>
        <v/>
      </c>
      <c r="B187" s="11" t="str">
        <f aca="false" t="array" ref="B187:B187">IFERROR(INDEX('Bank Schedule'!B:B, SMALL(IF('Bank Schedule'!$K$2:$K$825="Vacant", ROW('Bank Schedule'!$K$2:$K$825)), ROW(184:184))), "")</f>
        <v/>
      </c>
      <c r="C187" s="11" t="str">
        <f aca="false" t="array" ref="C187:C187">IFERROR(INDEX('Bank Schedule'!C:C, SMALL(IF('Bank Schedule'!$K$2:$K$825="Vacant", ROW('Bank Schedule'!$K$2:$K$825)), ROW(184:184))), "")</f>
        <v/>
      </c>
      <c r="D187" s="29" t="str">
        <f aca="false" t="array" ref="D187:D187">IFERROR(INDEX('Bank Schedule'!D:D, SMALL(IF('Bank Schedule'!$K$2:$K$825="Vacant", ROW('Bank Schedule'!$K$2:$K$825)), ROW(184:184))), "")</f>
        <v/>
      </c>
      <c r="E187" s="4" t="str">
        <f aca="false" t="array" ref="E187:E187">IFERROR(INDEX('Bank Schedule'!E:E, SMALL(IF('Bank Schedule'!$K$2:$K$825="Vacant", ROW('Bank Schedule'!$K$2:$K$825)), ROW(184:184))), "")</f>
        <v/>
      </c>
      <c r="F187" s="4" t="str">
        <f aca="false" t="array" ref="F187:F187">IFERROR(INDEX('Bank Schedule'!F:F, SMALL(IF('Bank Schedule'!$K$2:$K$825="Vacant", ROW('Bank Schedule'!$K$2:$K$825)), ROW(184:184))), "")</f>
        <v/>
      </c>
      <c r="G187" s="5" t="str">
        <f aca="false" t="array" ref="G187:G187">IFERROR(INDEX('Bank Schedule'!G:G, SMALL(IF('Bank Schedule'!$K$2:$K$825="Vacant", ROW('Bank Schedule'!$K$2:$K$825)), ROW(184:184))), "")</f>
        <v/>
      </c>
      <c r="H187" s="14" t="str">
        <f aca="false" t="array" ref="H187:H187">IFERROR(INDEX('Bank Schedule'!H:H, SMALL(IF('Bank Schedule'!$K$2:$K$825="Vacant", ROW('Bank Schedule'!$K$2:$K$825)), ROW(184:184))), "")</f>
        <v/>
      </c>
      <c r="I187" s="6" t="str">
        <f aca="false" t="array" ref="I187:I187">IFERROR(INDEX('Bank Schedule'!I:I, SMALL(IF('Bank Schedule'!$K$2:$K$825="Vacant", ROW('Bank Schedule'!$K$2:$K$825)), ROW(184:184))), "")</f>
        <v/>
      </c>
      <c r="J187" s="14"/>
      <c r="K187" s="5" t="str">
        <f aca="false" t="array" ref="K187:K187">IFERROR(INDEX('Bank Schedule'!K:K, SMALL(IF('Bank Schedule'!$K$2:$K$825="Vacant", ROW('Bank Schedule'!$K$2:$K$825)), ROW(184:184))), "")</f>
        <v/>
      </c>
      <c r="L187" s="96" t="e">
        <f aca="false" t="array" ref="L187:L187">IFERROR(INDEX('bank schedule'!#ref!, SMALL(IF('Bank Schedule'!$K$2:$K$825="Vacant", ROW('Bank Schedule'!$K$2:$K$825)), ROW(184:184))), "")</f>
        <v>#VALUE!</v>
      </c>
      <c r="M187" s="7" t="str">
        <f aca="false" t="array" ref="M187:M187">IFERROR(INDEX('Bank Schedule'!L:L, SMALL(IF('Bank Schedule'!$K$2:$K$825="Vacant", ROW('Bank Schedule'!$K$2:$K$825)), ROW(184:184))), "")</f>
        <v/>
      </c>
      <c r="N187" s="295" t="str">
        <f aca="false" t="array" ref="N187:N187">IFERROR(INDEX('Bank Schedule'!M:M, SMALL(IF('Bank Schedule'!$K$2:$K$825="Vacant", ROW('Bank Schedule'!$K$2:$K$825)), ROW(184:184))), "")</f>
        <v/>
      </c>
      <c r="O187" s="8" t="str">
        <f aca="false" t="array" ref="O187:O187">IFERROR(INDEX('Bank Schedule'!N:N, SMALL(IF('Bank Schedule'!$K$2:$K$825="Vacant", ROW('Bank Schedule'!$K$2:$K$825)), ROW(184:184))), "")</f>
        <v/>
      </c>
      <c r="P187" s="8" t="str">
        <f aca="false" t="array" ref="P187:P187">IFERROR(INDEX('Bank Schedule'!O:O, SMALL(IF('Bank Schedule'!$K$2:$K$825="Vacant", ROW('Bank Schedule'!$K$2:$K$825)), ROW(184:184))), "")</f>
        <v/>
      </c>
      <c r="Q187" s="8" t="str">
        <f aca="false" t="array" ref="Q187:Q187">IFERROR(INDEX('Bank Schedule'!P:P, SMALL(IF('Bank Schedule'!$K$2:$K$825="Vacant", ROW('Bank Schedule'!$K$2:$K$825)), ROW(184:184))), "")</f>
        <v/>
      </c>
      <c r="R187" s="8" t="e">
        <f aca="false" t="array" ref="R187:R187">IFERROR(INDEX('bank schedule'!#ref!, SMALL(IF('Bank Schedule'!$K$2:$K$825="Vacant", ROW('Bank Schedule'!$K$2:$K$825)), ROW(184:184))), "")</f>
        <v>#VALUE!</v>
      </c>
      <c r="S187" s="9" t="str">
        <f aca="false" t="array" ref="S187:S187">IFERROR(INDEX('Bank Schedule'!Q:Q, SMALL(IF('Bank Schedule'!$K$2:$K$825="Vacant", ROW('Bank Schedule'!$K$2:$K$825)), ROW(184:184))), "")</f>
        <v/>
      </c>
      <c r="T187" s="296" t="str">
        <f aca="false" t="array" ref="T187:T187">IFERROR(INDEX('Bank Schedule'!R:R, SMALL(IF('Bank Schedule'!$K$2:$K$825="Vacant", ROW('Bank Schedule'!$K$2:$K$825)), ROW(184:184))), "")</f>
        <v/>
      </c>
      <c r="U187" s="296" t="str">
        <f aca="false" t="array" ref="U187:U187">IFERROR(INDEX('Bank Schedule'!S:S, SMALL(IF('Bank Schedule'!$K$2:$K$825="Vacant", ROW('Bank Schedule'!$K$2:$K$825)), ROW(184:184))), "")</f>
        <v/>
      </c>
      <c r="V187" s="296" t="e">
        <f aca="false" t="array" ref="V187:V187">IFERROR(INDEX('bank schedule'!#ref!, SMALL(IF('Bank Schedule'!$K$2:$K$825="Vacant", ROW('Bank Schedule'!$K$2:$K$825)), ROW(184:184))), "")</f>
        <v>#VALUE!</v>
      </c>
      <c r="W187" s="296" t="e">
        <f aca="false" t="array" ref="W187:W187">IFERROR(INDEX('bank schedule'!#ref!, SMALL(IF('Bank Schedule'!$K$2:$K$825="Vacant", ROW('Bank Schedule'!$K$2:$K$825)), ROW(184:184))), "")</f>
        <v>#VALUE!</v>
      </c>
      <c r="X187" s="296" t="e">
        <f aca="false" t="array" ref="X187:X187">IFERROR(INDEX('bank schedule'!#ref!, SMALL(IF('Bank Schedule'!$K$2:$K$825="Vacant", ROW('Bank Schedule'!$K$2:$K$825)), ROW(184:184))), "")</f>
        <v>#VALUE!</v>
      </c>
      <c r="Y187" s="100"/>
      <c r="Z187" s="9" t="str">
        <f aca="false" t="array" ref="Z187:Z187">IFERROR(INDEX('Bank Schedule'!V:V, SMALL(IF('Bank Schedule'!$K$2:$K$825="Vacant", ROW('Bank Schedule'!$K$2:$K$825)), ROW(184:184))), "")</f>
        <v/>
      </c>
      <c r="AA187" s="9" t="str">
        <f aca="false" t="array" ref="AA187:AA187">IFERROR(INDEX('Bank Schedule'!W:W, SMALL(IF('Bank Schedule'!$K$2:$K$825="Vacant", ROW('Bank Schedule'!$K$2:$K$825)), ROW(184:184))), "")</f>
        <v/>
      </c>
      <c r="AB187" s="42" t="str">
        <f aca="false" t="array" ref="AB187:AB187">IFERROR(INDEX('Bank Schedule'!AA:AA, SMALL(IF('Bank Schedule'!$K$2:$K$825="Vacant", ROW('Bank Schedule'!$K$2:$K$825)), ROW(184:184))), "")</f>
        <v/>
      </c>
      <c r="AC187" s="14" t="str">
        <f aca="false" t="array" ref="AC187:AC187">IFERROR(INDEX('Bank Schedule'!AB:AB, SMALL(IF('Bank Schedule'!$K$2:$K$825="Vacant", ROW('Bank Schedule'!$K$2:$K$825)), ROW(184:184))), "")</f>
        <v/>
      </c>
      <c r="AD187" s="5" t="str">
        <f aca="false" t="array" ref="AD187:AD187">IFERROR(INDEX('Bank Schedule'!AC:AC, SMALL(IF('Bank Schedule'!$K$2:$K$825="Vacant", ROW('Bank Schedule'!$K$2:$K$825)), ROW(184:184))), "")</f>
        <v/>
      </c>
      <c r="AE187" s="15" t="str">
        <f aca="false" t="array" ref="AE187:AE187">IFERROR(INDEX('Bank Schedule'!AD:AD, SMALL(IF('Bank Schedule'!$K$2:$K$825="Vacant", ROW('Bank Schedule'!$K$2:$K$825)), ROW(184:184))), "")</f>
        <v/>
      </c>
    </row>
    <row r="188" customFormat="false" ht="23.25" hidden="false" customHeight="true" outlineLevel="0" collapsed="false">
      <c r="A188" s="29" t="str">
        <f aca="false" t="array" ref="A188:A188">IFERROR(INDEX('Bank Schedule'!A:A, SMALL(IF('Bank Schedule'!$K$2:$K$825="Vacant", ROW('Bank Schedule'!$K$2:$K$825)), ROW(185:185))), "")</f>
        <v/>
      </c>
      <c r="B188" s="11" t="str">
        <f aca="false" t="array" ref="B188:B188">IFERROR(INDEX('Bank Schedule'!B:B, SMALL(IF('Bank Schedule'!$K$2:$K$825="Vacant", ROW('Bank Schedule'!$K$2:$K$825)), ROW(185:185))), "")</f>
        <v/>
      </c>
      <c r="C188" s="11" t="str">
        <f aca="false" t="array" ref="C188:C188">IFERROR(INDEX('Bank Schedule'!C:C, SMALL(IF('Bank Schedule'!$K$2:$K$825="Vacant", ROW('Bank Schedule'!$K$2:$K$825)), ROW(185:185))), "")</f>
        <v/>
      </c>
      <c r="D188" s="29" t="str">
        <f aca="false" t="array" ref="D188:D188">IFERROR(INDEX('Bank Schedule'!D:D, SMALL(IF('Bank Schedule'!$K$2:$K$825="Vacant", ROW('Bank Schedule'!$K$2:$K$825)), ROW(185:185))), "")</f>
        <v/>
      </c>
      <c r="E188" s="4" t="str">
        <f aca="false" t="array" ref="E188:E188">IFERROR(INDEX('Bank Schedule'!E:E, SMALL(IF('Bank Schedule'!$K$2:$K$825="Vacant", ROW('Bank Schedule'!$K$2:$K$825)), ROW(185:185))), "")</f>
        <v/>
      </c>
      <c r="F188" s="4" t="str">
        <f aca="false" t="array" ref="F188:F188">IFERROR(INDEX('Bank Schedule'!F:F, SMALL(IF('Bank Schedule'!$K$2:$K$825="Vacant", ROW('Bank Schedule'!$K$2:$K$825)), ROW(185:185))), "")</f>
        <v/>
      </c>
      <c r="G188" s="5" t="str">
        <f aca="false" t="array" ref="G188:G188">IFERROR(INDEX('Bank Schedule'!G:G, SMALL(IF('Bank Schedule'!$K$2:$K$825="Vacant", ROW('Bank Schedule'!$K$2:$K$825)), ROW(185:185))), "")</f>
        <v/>
      </c>
      <c r="H188" s="14" t="str">
        <f aca="false" t="array" ref="H188:H188">IFERROR(INDEX('Bank Schedule'!H:H, SMALL(IF('Bank Schedule'!$K$2:$K$825="Vacant", ROW('Bank Schedule'!$K$2:$K$825)), ROW(185:185))), "")</f>
        <v/>
      </c>
      <c r="I188" s="6" t="str">
        <f aca="false" t="array" ref="I188:I188">IFERROR(INDEX('Bank Schedule'!I:I, SMALL(IF('Bank Schedule'!$K$2:$K$825="Vacant", ROW('Bank Schedule'!$K$2:$K$825)), ROW(185:185))), "")</f>
        <v/>
      </c>
      <c r="J188" s="14"/>
      <c r="K188" s="5" t="str">
        <f aca="false" t="array" ref="K188:K188">IFERROR(INDEX('Bank Schedule'!K:K, SMALL(IF('Bank Schedule'!$K$2:$K$825="Vacant", ROW('Bank Schedule'!$K$2:$K$825)), ROW(185:185))), "")</f>
        <v/>
      </c>
      <c r="L188" s="96" t="e">
        <f aca="false" t="array" ref="L188:L188">IFERROR(INDEX('bank schedule'!#ref!, SMALL(IF('Bank Schedule'!$K$2:$K$825="Vacant", ROW('Bank Schedule'!$K$2:$K$825)), ROW(185:185))), "")</f>
        <v>#VALUE!</v>
      </c>
      <c r="M188" s="7" t="str">
        <f aca="false" t="array" ref="M188:M188">IFERROR(INDEX('Bank Schedule'!L:L, SMALL(IF('Bank Schedule'!$K$2:$K$825="Vacant", ROW('Bank Schedule'!$K$2:$K$825)), ROW(185:185))), "")</f>
        <v/>
      </c>
      <c r="N188" s="295" t="str">
        <f aca="false" t="array" ref="N188:N188">IFERROR(INDEX('Bank Schedule'!M:M, SMALL(IF('Bank Schedule'!$K$2:$K$825="Vacant", ROW('Bank Schedule'!$K$2:$K$825)), ROW(185:185))), "")</f>
        <v/>
      </c>
      <c r="O188" s="8" t="str">
        <f aca="false" t="array" ref="O188:O188">IFERROR(INDEX('Bank Schedule'!N:N, SMALL(IF('Bank Schedule'!$K$2:$K$825="Vacant", ROW('Bank Schedule'!$K$2:$K$825)), ROW(185:185))), "")</f>
        <v/>
      </c>
      <c r="P188" s="8" t="str">
        <f aca="false" t="array" ref="P188:P188">IFERROR(INDEX('Bank Schedule'!O:O, SMALL(IF('Bank Schedule'!$K$2:$K$825="Vacant", ROW('Bank Schedule'!$K$2:$K$825)), ROW(185:185))), "")</f>
        <v/>
      </c>
      <c r="Q188" s="8" t="str">
        <f aca="false" t="array" ref="Q188:Q188">IFERROR(INDEX('Bank Schedule'!P:P, SMALL(IF('Bank Schedule'!$K$2:$K$825="Vacant", ROW('Bank Schedule'!$K$2:$K$825)), ROW(185:185))), "")</f>
        <v/>
      </c>
      <c r="R188" s="8" t="e">
        <f aca="false" t="array" ref="R188:R188">IFERROR(INDEX('bank schedule'!#ref!, SMALL(IF('Bank Schedule'!$K$2:$K$825="Vacant", ROW('Bank Schedule'!$K$2:$K$825)), ROW(185:185))), "")</f>
        <v>#VALUE!</v>
      </c>
      <c r="S188" s="9" t="str">
        <f aca="false" t="array" ref="S188:S188">IFERROR(INDEX('Bank Schedule'!Q:Q, SMALL(IF('Bank Schedule'!$K$2:$K$825="Vacant", ROW('Bank Schedule'!$K$2:$K$825)), ROW(185:185))), "")</f>
        <v/>
      </c>
      <c r="T188" s="296" t="str">
        <f aca="false" t="array" ref="T188:T188">IFERROR(INDEX('Bank Schedule'!R:R, SMALL(IF('Bank Schedule'!$K$2:$K$825="Vacant", ROW('Bank Schedule'!$K$2:$K$825)), ROW(185:185))), "")</f>
        <v/>
      </c>
      <c r="U188" s="296" t="str">
        <f aca="false" t="array" ref="U188:U188">IFERROR(INDEX('Bank Schedule'!S:S, SMALL(IF('Bank Schedule'!$K$2:$K$825="Vacant", ROW('Bank Schedule'!$K$2:$K$825)), ROW(185:185))), "")</f>
        <v/>
      </c>
      <c r="V188" s="296" t="e">
        <f aca="false" t="array" ref="V188:V188">IFERROR(INDEX('bank schedule'!#ref!, SMALL(IF('Bank Schedule'!$K$2:$K$825="Vacant", ROW('Bank Schedule'!$K$2:$K$825)), ROW(185:185))), "")</f>
        <v>#VALUE!</v>
      </c>
      <c r="W188" s="296" t="e">
        <f aca="false" t="array" ref="W188:W188">IFERROR(INDEX('bank schedule'!#ref!, SMALL(IF('Bank Schedule'!$K$2:$K$825="Vacant", ROW('Bank Schedule'!$K$2:$K$825)), ROW(185:185))), "")</f>
        <v>#VALUE!</v>
      </c>
      <c r="X188" s="296" t="e">
        <f aca="false" t="array" ref="X188:X188">IFERROR(INDEX('bank schedule'!#ref!, SMALL(IF('Bank Schedule'!$K$2:$K$825="Vacant", ROW('Bank Schedule'!$K$2:$K$825)), ROW(185:185))), "")</f>
        <v>#VALUE!</v>
      </c>
      <c r="Y188" s="100"/>
      <c r="Z188" s="9" t="str">
        <f aca="false" t="array" ref="Z188:Z188">IFERROR(INDEX('Bank Schedule'!V:V, SMALL(IF('Bank Schedule'!$K$2:$K$825="Vacant", ROW('Bank Schedule'!$K$2:$K$825)), ROW(185:185))), "")</f>
        <v/>
      </c>
      <c r="AA188" s="9" t="str">
        <f aca="false" t="array" ref="AA188:AA188">IFERROR(INDEX('Bank Schedule'!W:W, SMALL(IF('Bank Schedule'!$K$2:$K$825="Vacant", ROW('Bank Schedule'!$K$2:$K$825)), ROW(185:185))), "")</f>
        <v/>
      </c>
      <c r="AB188" s="42" t="str">
        <f aca="false" t="array" ref="AB188:AB188">IFERROR(INDEX('Bank Schedule'!AA:AA, SMALL(IF('Bank Schedule'!$K$2:$K$825="Vacant", ROW('Bank Schedule'!$K$2:$K$825)), ROW(185:185))), "")</f>
        <v/>
      </c>
      <c r="AC188" s="14" t="str">
        <f aca="false" t="array" ref="AC188:AC188">IFERROR(INDEX('Bank Schedule'!AB:AB, SMALL(IF('Bank Schedule'!$K$2:$K$825="Vacant", ROW('Bank Schedule'!$K$2:$K$825)), ROW(185:185))), "")</f>
        <v/>
      </c>
      <c r="AD188" s="5" t="str">
        <f aca="false" t="array" ref="AD188:AD188">IFERROR(INDEX('Bank Schedule'!AC:AC, SMALL(IF('Bank Schedule'!$K$2:$K$825="Vacant", ROW('Bank Schedule'!$K$2:$K$825)), ROW(185:185))), "")</f>
        <v/>
      </c>
      <c r="AE188" s="15" t="str">
        <f aca="false" t="array" ref="AE188:AE188">IFERROR(INDEX('Bank Schedule'!AD:AD, SMALL(IF('Bank Schedule'!$K$2:$K$825="Vacant", ROW('Bank Schedule'!$K$2:$K$825)), ROW(185:185))), "")</f>
        <v/>
      </c>
    </row>
    <row r="189" customFormat="false" ht="23.25" hidden="false" customHeight="true" outlineLevel="0" collapsed="false">
      <c r="A189" s="29" t="str">
        <f aca="false" t="array" ref="A189:A189">IFERROR(INDEX('Bank Schedule'!A:A, SMALL(IF('Bank Schedule'!$K$2:$K$825="Vacant", ROW('Bank Schedule'!$K$2:$K$825)), ROW(186:186))), "")</f>
        <v/>
      </c>
      <c r="B189" s="11" t="str">
        <f aca="false" t="array" ref="B189:B189">IFERROR(INDEX('Bank Schedule'!B:B, SMALL(IF('Bank Schedule'!$K$2:$K$825="Vacant", ROW('Bank Schedule'!$K$2:$K$825)), ROW(186:186))), "")</f>
        <v/>
      </c>
      <c r="C189" s="11" t="str">
        <f aca="false" t="array" ref="C189:C189">IFERROR(INDEX('Bank Schedule'!C:C, SMALL(IF('Bank Schedule'!$K$2:$K$825="Vacant", ROW('Bank Schedule'!$K$2:$K$825)), ROW(186:186))), "")</f>
        <v/>
      </c>
      <c r="D189" s="29" t="str">
        <f aca="false" t="array" ref="D189:D189">IFERROR(INDEX('Bank Schedule'!D:D, SMALL(IF('Bank Schedule'!$K$2:$K$825="Vacant", ROW('Bank Schedule'!$K$2:$K$825)), ROW(186:186))), "")</f>
        <v/>
      </c>
      <c r="E189" s="4" t="str">
        <f aca="false" t="array" ref="E189:E189">IFERROR(INDEX('Bank Schedule'!E:E, SMALL(IF('Bank Schedule'!$K$2:$K$825="Vacant", ROW('Bank Schedule'!$K$2:$K$825)), ROW(186:186))), "")</f>
        <v/>
      </c>
      <c r="F189" s="4" t="str">
        <f aca="false" t="array" ref="F189:F189">IFERROR(INDEX('Bank Schedule'!F:F, SMALL(IF('Bank Schedule'!$K$2:$K$825="Vacant", ROW('Bank Schedule'!$K$2:$K$825)), ROW(186:186))), "")</f>
        <v/>
      </c>
      <c r="G189" s="5" t="str">
        <f aca="false" t="array" ref="G189:G189">IFERROR(INDEX('Bank Schedule'!G:G, SMALL(IF('Bank Schedule'!$K$2:$K$825="Vacant", ROW('Bank Schedule'!$K$2:$K$825)), ROW(186:186))), "")</f>
        <v/>
      </c>
      <c r="H189" s="14" t="str">
        <f aca="false" t="array" ref="H189:H189">IFERROR(INDEX('Bank Schedule'!H:H, SMALL(IF('Bank Schedule'!$K$2:$K$825="Vacant", ROW('Bank Schedule'!$K$2:$K$825)), ROW(186:186))), "")</f>
        <v/>
      </c>
      <c r="I189" s="6" t="str">
        <f aca="false" t="array" ref="I189:I189">IFERROR(INDEX('Bank Schedule'!I:I, SMALL(IF('Bank Schedule'!$K$2:$K$825="Vacant", ROW('Bank Schedule'!$K$2:$K$825)), ROW(186:186))), "")</f>
        <v/>
      </c>
      <c r="J189" s="14"/>
      <c r="K189" s="5" t="str">
        <f aca="false" t="array" ref="K189:K189">IFERROR(INDEX('Bank Schedule'!K:K, SMALL(IF('Bank Schedule'!$K$2:$K$825="Vacant", ROW('Bank Schedule'!$K$2:$K$825)), ROW(186:186))), "")</f>
        <v/>
      </c>
      <c r="L189" s="96" t="e">
        <f aca="false" t="array" ref="L189:L189">IFERROR(INDEX('bank schedule'!#ref!, SMALL(IF('Bank Schedule'!$K$2:$K$825="Vacant", ROW('Bank Schedule'!$K$2:$K$825)), ROW(186:186))), "")</f>
        <v>#VALUE!</v>
      </c>
      <c r="M189" s="7" t="str">
        <f aca="false" t="array" ref="M189:M189">IFERROR(INDEX('Bank Schedule'!L:L, SMALL(IF('Bank Schedule'!$K$2:$K$825="Vacant", ROW('Bank Schedule'!$K$2:$K$825)), ROW(186:186))), "")</f>
        <v/>
      </c>
      <c r="N189" s="295" t="str">
        <f aca="false" t="array" ref="N189:N189">IFERROR(INDEX('Bank Schedule'!M:M, SMALL(IF('Bank Schedule'!$K$2:$K$825="Vacant", ROW('Bank Schedule'!$K$2:$K$825)), ROW(186:186))), "")</f>
        <v/>
      </c>
      <c r="O189" s="8" t="str">
        <f aca="false" t="array" ref="O189:O189">IFERROR(INDEX('Bank Schedule'!N:N, SMALL(IF('Bank Schedule'!$K$2:$K$825="Vacant", ROW('Bank Schedule'!$K$2:$K$825)), ROW(186:186))), "")</f>
        <v/>
      </c>
      <c r="P189" s="8" t="str">
        <f aca="false" t="array" ref="P189:P189">IFERROR(INDEX('Bank Schedule'!O:O, SMALL(IF('Bank Schedule'!$K$2:$K$825="Vacant", ROW('Bank Schedule'!$K$2:$K$825)), ROW(186:186))), "")</f>
        <v/>
      </c>
      <c r="Q189" s="8" t="str">
        <f aca="false" t="array" ref="Q189:Q189">IFERROR(INDEX('Bank Schedule'!P:P, SMALL(IF('Bank Schedule'!$K$2:$K$825="Vacant", ROW('Bank Schedule'!$K$2:$K$825)), ROW(186:186))), "")</f>
        <v/>
      </c>
      <c r="R189" s="8" t="e">
        <f aca="false" t="array" ref="R189:R189">IFERROR(INDEX('bank schedule'!#ref!, SMALL(IF('Bank Schedule'!$K$2:$K$825="Vacant", ROW('Bank Schedule'!$K$2:$K$825)), ROW(186:186))), "")</f>
        <v>#VALUE!</v>
      </c>
      <c r="S189" s="9" t="str">
        <f aca="false" t="array" ref="S189:S189">IFERROR(INDEX('Bank Schedule'!Q:Q, SMALL(IF('Bank Schedule'!$K$2:$K$825="Vacant", ROW('Bank Schedule'!$K$2:$K$825)), ROW(186:186))), "")</f>
        <v/>
      </c>
      <c r="T189" s="296" t="str">
        <f aca="false" t="array" ref="T189:T189">IFERROR(INDEX('Bank Schedule'!R:R, SMALL(IF('Bank Schedule'!$K$2:$K$825="Vacant", ROW('Bank Schedule'!$K$2:$K$825)), ROW(186:186))), "")</f>
        <v/>
      </c>
      <c r="U189" s="296" t="str">
        <f aca="false" t="array" ref="U189:U189">IFERROR(INDEX('Bank Schedule'!S:S, SMALL(IF('Bank Schedule'!$K$2:$K$825="Vacant", ROW('Bank Schedule'!$K$2:$K$825)), ROW(186:186))), "")</f>
        <v/>
      </c>
      <c r="V189" s="296" t="e">
        <f aca="false" t="array" ref="V189:V189">IFERROR(INDEX('bank schedule'!#ref!, SMALL(IF('Bank Schedule'!$K$2:$K$825="Vacant", ROW('Bank Schedule'!$K$2:$K$825)), ROW(186:186))), "")</f>
        <v>#VALUE!</v>
      </c>
      <c r="W189" s="296" t="e">
        <f aca="false" t="array" ref="W189:W189">IFERROR(INDEX('bank schedule'!#ref!, SMALL(IF('Bank Schedule'!$K$2:$K$825="Vacant", ROW('Bank Schedule'!$K$2:$K$825)), ROW(186:186))), "")</f>
        <v>#VALUE!</v>
      </c>
      <c r="X189" s="296" t="e">
        <f aca="false" t="array" ref="X189:X189">IFERROR(INDEX('bank schedule'!#ref!, SMALL(IF('Bank Schedule'!$K$2:$K$825="Vacant", ROW('Bank Schedule'!$K$2:$K$825)), ROW(186:186))), "")</f>
        <v>#VALUE!</v>
      </c>
      <c r="Y189" s="100"/>
      <c r="Z189" s="9" t="str">
        <f aca="false" t="array" ref="Z189:Z189">IFERROR(INDEX('Bank Schedule'!V:V, SMALL(IF('Bank Schedule'!$K$2:$K$825="Vacant", ROW('Bank Schedule'!$K$2:$K$825)), ROW(186:186))), "")</f>
        <v/>
      </c>
      <c r="AA189" s="9" t="str">
        <f aca="false" t="array" ref="AA189:AA189">IFERROR(INDEX('Bank Schedule'!W:W, SMALL(IF('Bank Schedule'!$K$2:$K$825="Vacant", ROW('Bank Schedule'!$K$2:$K$825)), ROW(186:186))), "")</f>
        <v/>
      </c>
      <c r="AB189" s="42" t="str">
        <f aca="false" t="array" ref="AB189:AB189">IFERROR(INDEX('Bank Schedule'!AA:AA, SMALL(IF('Bank Schedule'!$K$2:$K$825="Vacant", ROW('Bank Schedule'!$K$2:$K$825)), ROW(186:186))), "")</f>
        <v/>
      </c>
      <c r="AC189" s="14" t="str">
        <f aca="false" t="array" ref="AC189:AC189">IFERROR(INDEX('Bank Schedule'!AB:AB, SMALL(IF('Bank Schedule'!$K$2:$K$825="Vacant", ROW('Bank Schedule'!$K$2:$K$825)), ROW(186:186))), "")</f>
        <v/>
      </c>
      <c r="AD189" s="5" t="str">
        <f aca="false" t="array" ref="AD189:AD189">IFERROR(INDEX('Bank Schedule'!AC:AC, SMALL(IF('Bank Schedule'!$K$2:$K$825="Vacant", ROW('Bank Schedule'!$K$2:$K$825)), ROW(186:186))), "")</f>
        <v/>
      </c>
      <c r="AE189" s="15" t="str">
        <f aca="false" t="array" ref="AE189:AE189">IFERROR(INDEX('Bank Schedule'!AD:AD, SMALL(IF('Bank Schedule'!$K$2:$K$825="Vacant", ROW('Bank Schedule'!$K$2:$K$825)), ROW(186:186))), "")</f>
        <v/>
      </c>
    </row>
    <row r="190" customFormat="false" ht="23.25" hidden="false" customHeight="true" outlineLevel="0" collapsed="false">
      <c r="A190" s="29" t="str">
        <f aca="false" t="array" ref="A190:A190">IFERROR(INDEX('Bank Schedule'!A:A, SMALL(IF('Bank Schedule'!$K$2:$K$825="Vacant", ROW('Bank Schedule'!$K$2:$K$825)), ROW(187:187))), "")</f>
        <v/>
      </c>
      <c r="B190" s="11" t="str">
        <f aca="false" t="array" ref="B190:B190">IFERROR(INDEX('Bank Schedule'!B:B, SMALL(IF('Bank Schedule'!$K$2:$K$825="Vacant", ROW('Bank Schedule'!$K$2:$K$825)), ROW(187:187))), "")</f>
        <v/>
      </c>
      <c r="C190" s="11" t="str">
        <f aca="false" t="array" ref="C190:C190">IFERROR(INDEX('Bank Schedule'!C:C, SMALL(IF('Bank Schedule'!$K$2:$K$825="Vacant", ROW('Bank Schedule'!$K$2:$K$825)), ROW(187:187))), "")</f>
        <v/>
      </c>
      <c r="D190" s="29" t="str">
        <f aca="false" t="array" ref="D190:D190">IFERROR(INDEX('Bank Schedule'!D:D, SMALL(IF('Bank Schedule'!$K$2:$K$825="Vacant", ROW('Bank Schedule'!$K$2:$K$825)), ROW(187:187))), "")</f>
        <v/>
      </c>
      <c r="E190" s="4" t="str">
        <f aca="false" t="array" ref="E190:E190">IFERROR(INDEX('Bank Schedule'!E:E, SMALL(IF('Bank Schedule'!$K$2:$K$825="Vacant", ROW('Bank Schedule'!$K$2:$K$825)), ROW(187:187))), "")</f>
        <v/>
      </c>
      <c r="F190" s="4" t="str">
        <f aca="false" t="array" ref="F190:F190">IFERROR(INDEX('Bank Schedule'!F:F, SMALL(IF('Bank Schedule'!$K$2:$K$825="Vacant", ROW('Bank Schedule'!$K$2:$K$825)), ROW(187:187))), "")</f>
        <v/>
      </c>
      <c r="G190" s="5" t="str">
        <f aca="false" t="array" ref="G190:G190">IFERROR(INDEX('Bank Schedule'!G:G, SMALL(IF('Bank Schedule'!$K$2:$K$825="Vacant", ROW('Bank Schedule'!$K$2:$K$825)), ROW(187:187))), "")</f>
        <v/>
      </c>
      <c r="H190" s="14" t="str">
        <f aca="false" t="array" ref="H190:H190">IFERROR(INDEX('Bank Schedule'!H:H, SMALL(IF('Bank Schedule'!$K$2:$K$825="Vacant", ROW('Bank Schedule'!$K$2:$K$825)), ROW(187:187))), "")</f>
        <v/>
      </c>
      <c r="I190" s="6" t="str">
        <f aca="false" t="array" ref="I190:I190">IFERROR(INDEX('Bank Schedule'!I:I, SMALL(IF('Bank Schedule'!$K$2:$K$825="Vacant", ROW('Bank Schedule'!$K$2:$K$825)), ROW(187:187))), "")</f>
        <v/>
      </c>
      <c r="J190" s="14"/>
      <c r="K190" s="5" t="str">
        <f aca="false" t="array" ref="K190:K190">IFERROR(INDEX('Bank Schedule'!K:K, SMALL(IF('Bank Schedule'!$K$2:$K$825="Vacant", ROW('Bank Schedule'!$K$2:$K$825)), ROW(187:187))), "")</f>
        <v/>
      </c>
      <c r="L190" s="96" t="e">
        <f aca="false" t="array" ref="L190:L190">IFERROR(INDEX('bank schedule'!#ref!, SMALL(IF('Bank Schedule'!$K$2:$K$825="Vacant", ROW('Bank Schedule'!$K$2:$K$825)), ROW(187:187))), "")</f>
        <v>#VALUE!</v>
      </c>
      <c r="M190" s="7" t="str">
        <f aca="false" t="array" ref="M190:M190">IFERROR(INDEX('Bank Schedule'!L:L, SMALL(IF('Bank Schedule'!$K$2:$K$825="Vacant", ROW('Bank Schedule'!$K$2:$K$825)), ROW(187:187))), "")</f>
        <v/>
      </c>
      <c r="N190" s="295" t="str">
        <f aca="false" t="array" ref="N190:N190">IFERROR(INDEX('Bank Schedule'!M:M, SMALL(IF('Bank Schedule'!$K$2:$K$825="Vacant", ROW('Bank Schedule'!$K$2:$K$825)), ROW(187:187))), "")</f>
        <v/>
      </c>
      <c r="O190" s="8" t="str">
        <f aca="false" t="array" ref="O190:O190">IFERROR(INDEX('Bank Schedule'!N:N, SMALL(IF('Bank Schedule'!$K$2:$K$825="Vacant", ROW('Bank Schedule'!$K$2:$K$825)), ROW(187:187))), "")</f>
        <v/>
      </c>
      <c r="P190" s="8" t="str">
        <f aca="false" t="array" ref="P190:P190">IFERROR(INDEX('Bank Schedule'!O:O, SMALL(IF('Bank Schedule'!$K$2:$K$825="Vacant", ROW('Bank Schedule'!$K$2:$K$825)), ROW(187:187))), "")</f>
        <v/>
      </c>
      <c r="Q190" s="8" t="str">
        <f aca="false" t="array" ref="Q190:Q190">IFERROR(INDEX('Bank Schedule'!P:P, SMALL(IF('Bank Schedule'!$K$2:$K$825="Vacant", ROW('Bank Schedule'!$K$2:$K$825)), ROW(187:187))), "")</f>
        <v/>
      </c>
      <c r="R190" s="8" t="e">
        <f aca="false" t="array" ref="R190:R190">IFERROR(INDEX('bank schedule'!#ref!, SMALL(IF('Bank Schedule'!$K$2:$K$825="Vacant", ROW('Bank Schedule'!$K$2:$K$825)), ROW(187:187))), "")</f>
        <v>#VALUE!</v>
      </c>
      <c r="S190" s="9" t="str">
        <f aca="false" t="array" ref="S190:S190">IFERROR(INDEX('Bank Schedule'!Q:Q, SMALL(IF('Bank Schedule'!$K$2:$K$825="Vacant", ROW('Bank Schedule'!$K$2:$K$825)), ROW(187:187))), "")</f>
        <v/>
      </c>
      <c r="T190" s="296" t="str">
        <f aca="false" t="array" ref="T190:T190">IFERROR(INDEX('Bank Schedule'!R:R, SMALL(IF('Bank Schedule'!$K$2:$K$825="Vacant", ROW('Bank Schedule'!$K$2:$K$825)), ROW(187:187))), "")</f>
        <v/>
      </c>
      <c r="U190" s="296" t="str">
        <f aca="false" t="array" ref="U190:U190">IFERROR(INDEX('Bank Schedule'!S:S, SMALL(IF('Bank Schedule'!$K$2:$K$825="Vacant", ROW('Bank Schedule'!$K$2:$K$825)), ROW(187:187))), "")</f>
        <v/>
      </c>
      <c r="V190" s="296" t="e">
        <f aca="false" t="array" ref="V190:V190">IFERROR(INDEX('bank schedule'!#ref!, SMALL(IF('Bank Schedule'!$K$2:$K$825="Vacant", ROW('Bank Schedule'!$K$2:$K$825)), ROW(187:187))), "")</f>
        <v>#VALUE!</v>
      </c>
      <c r="W190" s="296" t="e">
        <f aca="false" t="array" ref="W190:W190">IFERROR(INDEX('bank schedule'!#ref!, SMALL(IF('Bank Schedule'!$K$2:$K$825="Vacant", ROW('Bank Schedule'!$K$2:$K$825)), ROW(187:187))), "")</f>
        <v>#VALUE!</v>
      </c>
      <c r="X190" s="296" t="e">
        <f aca="false" t="array" ref="X190:X190">IFERROR(INDEX('bank schedule'!#ref!, SMALL(IF('Bank Schedule'!$K$2:$K$825="Vacant", ROW('Bank Schedule'!$K$2:$K$825)), ROW(187:187))), "")</f>
        <v>#VALUE!</v>
      </c>
      <c r="Y190" s="100"/>
      <c r="Z190" s="9" t="str">
        <f aca="false" t="array" ref="Z190:Z190">IFERROR(INDEX('Bank Schedule'!V:V, SMALL(IF('Bank Schedule'!$K$2:$K$825="Vacant", ROW('Bank Schedule'!$K$2:$K$825)), ROW(187:187))), "")</f>
        <v/>
      </c>
      <c r="AA190" s="9" t="str">
        <f aca="false" t="array" ref="AA190:AA190">IFERROR(INDEX('Bank Schedule'!W:W, SMALL(IF('Bank Schedule'!$K$2:$K$825="Vacant", ROW('Bank Schedule'!$K$2:$K$825)), ROW(187:187))), "")</f>
        <v/>
      </c>
      <c r="AB190" s="42" t="str">
        <f aca="false" t="array" ref="AB190:AB190">IFERROR(INDEX('Bank Schedule'!AA:AA, SMALL(IF('Bank Schedule'!$K$2:$K$825="Vacant", ROW('Bank Schedule'!$K$2:$K$825)), ROW(187:187))), "")</f>
        <v/>
      </c>
      <c r="AC190" s="14" t="str">
        <f aca="false" t="array" ref="AC190:AC190">IFERROR(INDEX('Bank Schedule'!AB:AB, SMALL(IF('Bank Schedule'!$K$2:$K$825="Vacant", ROW('Bank Schedule'!$K$2:$K$825)), ROW(187:187))), "")</f>
        <v/>
      </c>
      <c r="AD190" s="5" t="str">
        <f aca="false" t="array" ref="AD190:AD190">IFERROR(INDEX('Bank Schedule'!AC:AC, SMALL(IF('Bank Schedule'!$K$2:$K$825="Vacant", ROW('Bank Schedule'!$K$2:$K$825)), ROW(187:187))), "")</f>
        <v/>
      </c>
      <c r="AE190" s="15" t="str">
        <f aca="false" t="array" ref="AE190:AE190">IFERROR(INDEX('Bank Schedule'!AD:AD, SMALL(IF('Bank Schedule'!$K$2:$K$825="Vacant", ROW('Bank Schedule'!$K$2:$K$825)), ROW(187:187))), "")</f>
        <v/>
      </c>
    </row>
    <row r="191" customFormat="false" ht="23.25" hidden="false" customHeight="true" outlineLevel="0" collapsed="false">
      <c r="A191" s="29" t="str">
        <f aca="false" t="array" ref="A191:A191">IFERROR(INDEX('Bank Schedule'!A:A, SMALL(IF('Bank Schedule'!$K$2:$K$825="Vacant", ROW('Bank Schedule'!$K$2:$K$825)), ROW(188:188))), "")</f>
        <v/>
      </c>
      <c r="B191" s="11" t="str">
        <f aca="false" t="array" ref="B191:B191">IFERROR(INDEX('Bank Schedule'!B:B, SMALL(IF('Bank Schedule'!$K$2:$K$825="Vacant", ROW('Bank Schedule'!$K$2:$K$825)), ROW(188:188))), "")</f>
        <v/>
      </c>
      <c r="C191" s="11" t="str">
        <f aca="false" t="array" ref="C191:C191">IFERROR(INDEX('Bank Schedule'!C:C, SMALL(IF('Bank Schedule'!$K$2:$K$825="Vacant", ROW('Bank Schedule'!$K$2:$K$825)), ROW(188:188))), "")</f>
        <v/>
      </c>
      <c r="D191" s="29" t="str">
        <f aca="false" t="array" ref="D191:D191">IFERROR(INDEX('Bank Schedule'!D:D, SMALL(IF('Bank Schedule'!$K$2:$K$825="Vacant", ROW('Bank Schedule'!$K$2:$K$825)), ROW(188:188))), "")</f>
        <v/>
      </c>
      <c r="E191" s="4" t="str">
        <f aca="false" t="array" ref="E191:E191">IFERROR(INDEX('Bank Schedule'!E:E, SMALL(IF('Bank Schedule'!$K$2:$K$825="Vacant", ROW('Bank Schedule'!$K$2:$K$825)), ROW(188:188))), "")</f>
        <v/>
      </c>
      <c r="F191" s="4" t="str">
        <f aca="false" t="array" ref="F191:F191">IFERROR(INDEX('Bank Schedule'!F:F, SMALL(IF('Bank Schedule'!$K$2:$K$825="Vacant", ROW('Bank Schedule'!$K$2:$K$825)), ROW(188:188))), "")</f>
        <v/>
      </c>
      <c r="G191" s="5" t="str">
        <f aca="false" t="array" ref="G191:G191">IFERROR(INDEX('Bank Schedule'!G:G, SMALL(IF('Bank Schedule'!$K$2:$K$825="Vacant", ROW('Bank Schedule'!$K$2:$K$825)), ROW(188:188))), "")</f>
        <v/>
      </c>
      <c r="H191" s="14" t="str">
        <f aca="false" t="array" ref="H191:H191">IFERROR(INDEX('Bank Schedule'!H:H, SMALL(IF('Bank Schedule'!$K$2:$K$825="Vacant", ROW('Bank Schedule'!$K$2:$K$825)), ROW(188:188))), "")</f>
        <v/>
      </c>
      <c r="I191" s="6" t="str">
        <f aca="false" t="array" ref="I191:I191">IFERROR(INDEX('Bank Schedule'!I:I, SMALL(IF('Bank Schedule'!$K$2:$K$825="Vacant", ROW('Bank Schedule'!$K$2:$K$825)), ROW(188:188))), "")</f>
        <v/>
      </c>
      <c r="J191" s="14"/>
      <c r="K191" s="5" t="str">
        <f aca="false" t="array" ref="K191:K191">IFERROR(INDEX('Bank Schedule'!K:K, SMALL(IF('Bank Schedule'!$K$2:$K$825="Vacant", ROW('Bank Schedule'!$K$2:$K$825)), ROW(188:188))), "")</f>
        <v/>
      </c>
      <c r="L191" s="96" t="e">
        <f aca="false" t="array" ref="L191:L191">IFERROR(INDEX('bank schedule'!#ref!, SMALL(IF('Bank Schedule'!$K$2:$K$825="Vacant", ROW('Bank Schedule'!$K$2:$K$825)), ROW(188:188))), "")</f>
        <v>#VALUE!</v>
      </c>
      <c r="M191" s="7" t="str">
        <f aca="false" t="array" ref="M191:M191">IFERROR(INDEX('Bank Schedule'!L:L, SMALL(IF('Bank Schedule'!$K$2:$K$825="Vacant", ROW('Bank Schedule'!$K$2:$K$825)), ROW(188:188))), "")</f>
        <v/>
      </c>
      <c r="N191" s="295" t="str">
        <f aca="false" t="array" ref="N191:N191">IFERROR(INDEX('Bank Schedule'!M:M, SMALL(IF('Bank Schedule'!$K$2:$K$825="Vacant", ROW('Bank Schedule'!$K$2:$K$825)), ROW(188:188))), "")</f>
        <v/>
      </c>
      <c r="O191" s="8" t="str">
        <f aca="false" t="array" ref="O191:O191">IFERROR(INDEX('Bank Schedule'!N:N, SMALL(IF('Bank Schedule'!$K$2:$K$825="Vacant", ROW('Bank Schedule'!$K$2:$K$825)), ROW(188:188))), "")</f>
        <v/>
      </c>
      <c r="P191" s="8" t="str">
        <f aca="false" t="array" ref="P191:P191">IFERROR(INDEX('Bank Schedule'!O:O, SMALL(IF('Bank Schedule'!$K$2:$K$825="Vacant", ROW('Bank Schedule'!$K$2:$K$825)), ROW(188:188))), "")</f>
        <v/>
      </c>
      <c r="Q191" s="8" t="str">
        <f aca="false" t="array" ref="Q191:Q191">IFERROR(INDEX('Bank Schedule'!P:P, SMALL(IF('Bank Schedule'!$K$2:$K$825="Vacant", ROW('Bank Schedule'!$K$2:$K$825)), ROW(188:188))), "")</f>
        <v/>
      </c>
      <c r="R191" s="8" t="e">
        <f aca="false" t="array" ref="R191:R191">IFERROR(INDEX('bank schedule'!#ref!, SMALL(IF('Bank Schedule'!$K$2:$K$825="Vacant", ROW('Bank Schedule'!$K$2:$K$825)), ROW(188:188))), "")</f>
        <v>#VALUE!</v>
      </c>
      <c r="S191" s="9" t="str">
        <f aca="false" t="array" ref="S191:S191">IFERROR(INDEX('Bank Schedule'!Q:Q, SMALL(IF('Bank Schedule'!$K$2:$K$825="Vacant", ROW('Bank Schedule'!$K$2:$K$825)), ROW(188:188))), "")</f>
        <v/>
      </c>
      <c r="T191" s="296" t="str">
        <f aca="false" t="array" ref="T191:T191">IFERROR(INDEX('Bank Schedule'!R:R, SMALL(IF('Bank Schedule'!$K$2:$K$825="Vacant", ROW('Bank Schedule'!$K$2:$K$825)), ROW(188:188))), "")</f>
        <v/>
      </c>
      <c r="U191" s="296" t="str">
        <f aca="false" t="array" ref="U191:U191">IFERROR(INDEX('Bank Schedule'!S:S, SMALL(IF('Bank Schedule'!$K$2:$K$825="Vacant", ROW('Bank Schedule'!$K$2:$K$825)), ROW(188:188))), "")</f>
        <v/>
      </c>
      <c r="V191" s="296" t="e">
        <f aca="false" t="array" ref="V191:V191">IFERROR(INDEX('bank schedule'!#ref!, SMALL(IF('Bank Schedule'!$K$2:$K$825="Vacant", ROW('Bank Schedule'!$K$2:$K$825)), ROW(188:188))), "")</f>
        <v>#VALUE!</v>
      </c>
      <c r="W191" s="296" t="e">
        <f aca="false" t="array" ref="W191:W191">IFERROR(INDEX('bank schedule'!#ref!, SMALL(IF('Bank Schedule'!$K$2:$K$825="Vacant", ROW('Bank Schedule'!$K$2:$K$825)), ROW(188:188))), "")</f>
        <v>#VALUE!</v>
      </c>
      <c r="X191" s="296" t="e">
        <f aca="false" t="array" ref="X191:X191">IFERROR(INDEX('bank schedule'!#ref!, SMALL(IF('Bank Schedule'!$K$2:$K$825="Vacant", ROW('Bank Schedule'!$K$2:$K$825)), ROW(188:188))), "")</f>
        <v>#VALUE!</v>
      </c>
      <c r="Y191" s="100"/>
      <c r="Z191" s="9" t="str">
        <f aca="false" t="array" ref="Z191:Z191">IFERROR(INDEX('Bank Schedule'!V:V, SMALL(IF('Bank Schedule'!$K$2:$K$825="Vacant", ROW('Bank Schedule'!$K$2:$K$825)), ROW(188:188))), "")</f>
        <v/>
      </c>
      <c r="AA191" s="9" t="str">
        <f aca="false" t="array" ref="AA191:AA191">IFERROR(INDEX('Bank Schedule'!W:W, SMALL(IF('Bank Schedule'!$K$2:$K$825="Vacant", ROW('Bank Schedule'!$K$2:$K$825)), ROW(188:188))), "")</f>
        <v/>
      </c>
      <c r="AB191" s="42" t="str">
        <f aca="false" t="array" ref="AB191:AB191">IFERROR(INDEX('Bank Schedule'!AA:AA, SMALL(IF('Bank Schedule'!$K$2:$K$825="Vacant", ROW('Bank Schedule'!$K$2:$K$825)), ROW(188:188))), "")</f>
        <v/>
      </c>
      <c r="AC191" s="14" t="str">
        <f aca="false" t="array" ref="AC191:AC191">IFERROR(INDEX('Bank Schedule'!AB:AB, SMALL(IF('Bank Schedule'!$K$2:$K$825="Vacant", ROW('Bank Schedule'!$K$2:$K$825)), ROW(188:188))), "")</f>
        <v/>
      </c>
      <c r="AD191" s="5" t="str">
        <f aca="false" t="array" ref="AD191:AD191">IFERROR(INDEX('Bank Schedule'!AC:AC, SMALL(IF('Bank Schedule'!$K$2:$K$825="Vacant", ROW('Bank Schedule'!$K$2:$K$825)), ROW(188:188))), "")</f>
        <v/>
      </c>
      <c r="AE191" s="15" t="str">
        <f aca="false" t="array" ref="AE191:AE191">IFERROR(INDEX('Bank Schedule'!AD:AD, SMALL(IF('Bank Schedule'!$K$2:$K$825="Vacant", ROW('Bank Schedule'!$K$2:$K$825)), ROW(188:188))), "")</f>
        <v/>
      </c>
    </row>
    <row r="192" customFormat="false" ht="23.25" hidden="false" customHeight="true" outlineLevel="0" collapsed="false">
      <c r="A192" s="29" t="str">
        <f aca="false" t="array" ref="A192:A192">IFERROR(INDEX('Bank Schedule'!A:A, SMALL(IF('Bank Schedule'!$K$2:$K$825="Vacant", ROW('Bank Schedule'!$K$2:$K$825)), ROW(189:189))), "")</f>
        <v/>
      </c>
      <c r="B192" s="11" t="str">
        <f aca="false" t="array" ref="B192:B192">IFERROR(INDEX('Bank Schedule'!B:B, SMALL(IF('Bank Schedule'!$K$2:$K$825="Vacant", ROW('Bank Schedule'!$K$2:$K$825)), ROW(189:189))), "")</f>
        <v/>
      </c>
      <c r="C192" s="11" t="str">
        <f aca="false" t="array" ref="C192:C192">IFERROR(INDEX('Bank Schedule'!C:C, SMALL(IF('Bank Schedule'!$K$2:$K$825="Vacant", ROW('Bank Schedule'!$K$2:$K$825)), ROW(189:189))), "")</f>
        <v/>
      </c>
      <c r="D192" s="29" t="str">
        <f aca="false" t="array" ref="D192:D192">IFERROR(INDEX('Bank Schedule'!D:D, SMALL(IF('Bank Schedule'!$K$2:$K$825="Vacant", ROW('Bank Schedule'!$K$2:$K$825)), ROW(189:189))), "")</f>
        <v/>
      </c>
      <c r="E192" s="4" t="str">
        <f aca="false" t="array" ref="E192:E192">IFERROR(INDEX('Bank Schedule'!E:E, SMALL(IF('Bank Schedule'!$K$2:$K$825="Vacant", ROW('Bank Schedule'!$K$2:$K$825)), ROW(189:189))), "")</f>
        <v/>
      </c>
      <c r="F192" s="4" t="str">
        <f aca="false" t="array" ref="F192:F192">IFERROR(INDEX('Bank Schedule'!F:F, SMALL(IF('Bank Schedule'!$K$2:$K$825="Vacant", ROW('Bank Schedule'!$K$2:$K$825)), ROW(189:189))), "")</f>
        <v/>
      </c>
      <c r="G192" s="5" t="str">
        <f aca="false" t="array" ref="G192:G192">IFERROR(INDEX('Bank Schedule'!G:G, SMALL(IF('Bank Schedule'!$K$2:$K$825="Vacant", ROW('Bank Schedule'!$K$2:$K$825)), ROW(189:189))), "")</f>
        <v/>
      </c>
      <c r="H192" s="14" t="str">
        <f aca="false" t="array" ref="H192:H192">IFERROR(INDEX('Bank Schedule'!H:H, SMALL(IF('Bank Schedule'!$K$2:$K$825="Vacant", ROW('Bank Schedule'!$K$2:$K$825)), ROW(189:189))), "")</f>
        <v/>
      </c>
      <c r="I192" s="6" t="str">
        <f aca="false" t="array" ref="I192:I192">IFERROR(INDEX('Bank Schedule'!I:I, SMALL(IF('Bank Schedule'!$K$2:$K$825="Vacant", ROW('Bank Schedule'!$K$2:$K$825)), ROW(189:189))), "")</f>
        <v/>
      </c>
      <c r="J192" s="14"/>
      <c r="K192" s="5" t="str">
        <f aca="false" t="array" ref="K192:K192">IFERROR(INDEX('Bank Schedule'!K:K, SMALL(IF('Bank Schedule'!$K$2:$K$825="Vacant", ROW('Bank Schedule'!$K$2:$K$825)), ROW(189:189))), "")</f>
        <v/>
      </c>
      <c r="L192" s="96" t="e">
        <f aca="false" t="array" ref="L192:L192">IFERROR(INDEX('bank schedule'!#ref!, SMALL(IF('Bank Schedule'!$K$2:$K$825="Vacant", ROW('Bank Schedule'!$K$2:$K$825)), ROW(189:189))), "")</f>
        <v>#VALUE!</v>
      </c>
      <c r="M192" s="7" t="str">
        <f aca="false" t="array" ref="M192:M192">IFERROR(INDEX('Bank Schedule'!L:L, SMALL(IF('Bank Schedule'!$K$2:$K$825="Vacant", ROW('Bank Schedule'!$K$2:$K$825)), ROW(189:189))), "")</f>
        <v/>
      </c>
      <c r="N192" s="295" t="str">
        <f aca="false" t="array" ref="N192:N192">IFERROR(INDEX('Bank Schedule'!M:M, SMALL(IF('Bank Schedule'!$K$2:$K$825="Vacant", ROW('Bank Schedule'!$K$2:$K$825)), ROW(189:189))), "")</f>
        <v/>
      </c>
      <c r="O192" s="8" t="str">
        <f aca="false" t="array" ref="O192:O192">IFERROR(INDEX('Bank Schedule'!N:N, SMALL(IF('Bank Schedule'!$K$2:$K$825="Vacant", ROW('Bank Schedule'!$K$2:$K$825)), ROW(189:189))), "")</f>
        <v/>
      </c>
      <c r="P192" s="8" t="str">
        <f aca="false" t="array" ref="P192:P192">IFERROR(INDEX('Bank Schedule'!O:O, SMALL(IF('Bank Schedule'!$K$2:$K$825="Vacant", ROW('Bank Schedule'!$K$2:$K$825)), ROW(189:189))), "")</f>
        <v/>
      </c>
      <c r="Q192" s="8" t="str">
        <f aca="false" t="array" ref="Q192:Q192">IFERROR(INDEX('Bank Schedule'!P:P, SMALL(IF('Bank Schedule'!$K$2:$K$825="Vacant", ROW('Bank Schedule'!$K$2:$K$825)), ROW(189:189))), "")</f>
        <v/>
      </c>
      <c r="R192" s="8" t="e">
        <f aca="false" t="array" ref="R192:R192">IFERROR(INDEX('bank schedule'!#ref!, SMALL(IF('Bank Schedule'!$K$2:$K$825="Vacant", ROW('Bank Schedule'!$K$2:$K$825)), ROW(189:189))), "")</f>
        <v>#VALUE!</v>
      </c>
      <c r="S192" s="9" t="str">
        <f aca="false" t="array" ref="S192:S192">IFERROR(INDEX('Bank Schedule'!Q:Q, SMALL(IF('Bank Schedule'!$K$2:$K$825="Vacant", ROW('Bank Schedule'!$K$2:$K$825)), ROW(189:189))), "")</f>
        <v/>
      </c>
      <c r="T192" s="296" t="str">
        <f aca="false" t="array" ref="T192:T192">IFERROR(INDEX('Bank Schedule'!R:R, SMALL(IF('Bank Schedule'!$K$2:$K$825="Vacant", ROW('Bank Schedule'!$K$2:$K$825)), ROW(189:189))), "")</f>
        <v/>
      </c>
      <c r="U192" s="296" t="str">
        <f aca="false" t="array" ref="U192:U192">IFERROR(INDEX('Bank Schedule'!S:S, SMALL(IF('Bank Schedule'!$K$2:$K$825="Vacant", ROW('Bank Schedule'!$K$2:$K$825)), ROW(189:189))), "")</f>
        <v/>
      </c>
      <c r="V192" s="296" t="e">
        <f aca="false" t="array" ref="V192:V192">IFERROR(INDEX('bank schedule'!#ref!, SMALL(IF('Bank Schedule'!$K$2:$K$825="Vacant", ROW('Bank Schedule'!$K$2:$K$825)), ROW(189:189))), "")</f>
        <v>#VALUE!</v>
      </c>
      <c r="W192" s="296" t="e">
        <f aca="false" t="array" ref="W192:W192">IFERROR(INDEX('bank schedule'!#ref!, SMALL(IF('Bank Schedule'!$K$2:$K$825="Vacant", ROW('Bank Schedule'!$K$2:$K$825)), ROW(189:189))), "")</f>
        <v>#VALUE!</v>
      </c>
      <c r="X192" s="296" t="e">
        <f aca="false" t="array" ref="X192:X192">IFERROR(INDEX('bank schedule'!#ref!, SMALL(IF('Bank Schedule'!$K$2:$K$825="Vacant", ROW('Bank Schedule'!$K$2:$K$825)), ROW(189:189))), "")</f>
        <v>#VALUE!</v>
      </c>
      <c r="Y192" s="100"/>
      <c r="Z192" s="9" t="str">
        <f aca="false" t="array" ref="Z192:Z192">IFERROR(INDEX('Bank Schedule'!V:V, SMALL(IF('Bank Schedule'!$K$2:$K$825="Vacant", ROW('Bank Schedule'!$K$2:$K$825)), ROW(189:189))), "")</f>
        <v/>
      </c>
      <c r="AA192" s="9" t="str">
        <f aca="false" t="array" ref="AA192:AA192">IFERROR(INDEX('Bank Schedule'!W:W, SMALL(IF('Bank Schedule'!$K$2:$K$825="Vacant", ROW('Bank Schedule'!$K$2:$K$825)), ROW(189:189))), "")</f>
        <v/>
      </c>
      <c r="AB192" s="42" t="str">
        <f aca="false" t="array" ref="AB192:AB192">IFERROR(INDEX('Bank Schedule'!AA:AA, SMALL(IF('Bank Schedule'!$K$2:$K$825="Vacant", ROW('Bank Schedule'!$K$2:$K$825)), ROW(189:189))), "")</f>
        <v/>
      </c>
      <c r="AC192" s="14" t="str">
        <f aca="false" t="array" ref="AC192:AC192">IFERROR(INDEX('Bank Schedule'!AB:AB, SMALL(IF('Bank Schedule'!$K$2:$K$825="Vacant", ROW('Bank Schedule'!$K$2:$K$825)), ROW(189:189))), "")</f>
        <v/>
      </c>
      <c r="AD192" s="5" t="str">
        <f aca="false" t="array" ref="AD192:AD192">IFERROR(INDEX('Bank Schedule'!AC:AC, SMALL(IF('Bank Schedule'!$K$2:$K$825="Vacant", ROW('Bank Schedule'!$K$2:$K$825)), ROW(189:189))), "")</f>
        <v/>
      </c>
      <c r="AE192" s="15" t="str">
        <f aca="false" t="array" ref="AE192:AE192">IFERROR(INDEX('Bank Schedule'!AD:AD, SMALL(IF('Bank Schedule'!$K$2:$K$825="Vacant", ROW('Bank Schedule'!$K$2:$K$825)), ROW(189:189))), "")</f>
        <v/>
      </c>
    </row>
    <row r="193" customFormat="false" ht="13.5" hidden="false" customHeight="true" outlineLevel="0" collapsed="false">
      <c r="A193" s="29" t="str">
        <f aca="false" t="array" ref="A193:A193">IFERROR(INDEX('Bank Schedule'!A:A, SMALL(IF('Bank Schedule'!$K$2:$K$825="Vacant", ROW('Bank Schedule'!$K$2:$K$825)), ROW(190:190))), "")</f>
        <v/>
      </c>
      <c r="B193" s="11" t="str">
        <f aca="false" t="array" ref="B193:B193">IFERROR(INDEX('Bank Schedule'!B:B, SMALL(IF('Bank Schedule'!$K$2:$K$825="Vacant", ROW('Bank Schedule'!$K$2:$K$825)), ROW(190:190))), "")</f>
        <v/>
      </c>
      <c r="C193" s="11" t="str">
        <f aca="false" t="array" ref="C193:C193">IFERROR(INDEX('Bank Schedule'!C:C, SMALL(IF('Bank Schedule'!$K$2:$K$825="Vacant", ROW('Bank Schedule'!$K$2:$K$825)), ROW(190:190))), "")</f>
        <v/>
      </c>
      <c r="D193" s="29" t="str">
        <f aca="false" t="array" ref="D193:D193">IFERROR(INDEX('Bank Schedule'!D:D, SMALL(IF('Bank Schedule'!$K$2:$K$825="Vacant", ROW('Bank Schedule'!$K$2:$K$825)), ROW(190:190))), "")</f>
        <v/>
      </c>
      <c r="E193" s="4" t="str">
        <f aca="false" t="array" ref="E193:E193">IFERROR(INDEX('Bank Schedule'!E:E, SMALL(IF('Bank Schedule'!$K$2:$K$825="Vacant", ROW('Bank Schedule'!$K$2:$K$825)), ROW(190:190))), "")</f>
        <v/>
      </c>
      <c r="F193" s="4" t="str">
        <f aca="false" t="array" ref="F193:F193">IFERROR(INDEX('Bank Schedule'!F:F, SMALL(IF('Bank Schedule'!$K$2:$K$825="Vacant", ROW('Bank Schedule'!$K$2:$K$825)), ROW(190:190))), "")</f>
        <v/>
      </c>
      <c r="G193" s="5" t="str">
        <f aca="false" t="array" ref="G193:G193">IFERROR(INDEX('Bank Schedule'!G:G, SMALL(IF('Bank Schedule'!$K$2:$K$825="Vacant", ROW('Bank Schedule'!$K$2:$K$825)), ROW(190:190))), "")</f>
        <v/>
      </c>
      <c r="H193" s="14" t="str">
        <f aca="false" t="array" ref="H193:H193">IFERROR(INDEX('Bank Schedule'!H:H, SMALL(IF('Bank Schedule'!$K$2:$K$825="Vacant", ROW('Bank Schedule'!$K$2:$K$825)), ROW(190:190))), "")</f>
        <v/>
      </c>
      <c r="I193" s="6" t="str">
        <f aca="false" t="array" ref="I193:I193">IFERROR(INDEX('Bank Schedule'!I:I, SMALL(IF('Bank Schedule'!$K$2:$K$825="Vacant", ROW('Bank Schedule'!$K$2:$K$825)), ROW(190:190))), "")</f>
        <v/>
      </c>
      <c r="J193" s="14"/>
      <c r="K193" s="5" t="str">
        <f aca="false" t="array" ref="K193:K193">IFERROR(INDEX('Bank Schedule'!K:K, SMALL(IF('Bank Schedule'!$K$2:$K$825="Vacant", ROW('Bank Schedule'!$K$2:$K$825)), ROW(190:190))), "")</f>
        <v/>
      </c>
      <c r="L193" s="96" t="e">
        <f aca="false" t="array" ref="L193:L193">IFERROR(INDEX('bank schedule'!#ref!, SMALL(IF('Bank Schedule'!$K$2:$K$825="Vacant", ROW('Bank Schedule'!$K$2:$K$825)), ROW(190:190))), "")</f>
        <v>#VALUE!</v>
      </c>
      <c r="M193" s="7" t="str">
        <f aca="false" t="array" ref="M193:M193">IFERROR(INDEX('Bank Schedule'!L:L, SMALL(IF('Bank Schedule'!$K$2:$K$825="Vacant", ROW('Bank Schedule'!$K$2:$K$825)), ROW(190:190))), "")</f>
        <v/>
      </c>
      <c r="N193" s="295" t="str">
        <f aca="false" t="array" ref="N193:N193">IFERROR(INDEX('Bank Schedule'!M:M, SMALL(IF('Bank Schedule'!$K$2:$K$825="Vacant", ROW('Bank Schedule'!$K$2:$K$825)), ROW(190:190))), "")</f>
        <v/>
      </c>
      <c r="O193" s="8" t="str">
        <f aca="false" t="array" ref="O193:O193">IFERROR(INDEX('Bank Schedule'!N:N, SMALL(IF('Bank Schedule'!$K$2:$K$825="Vacant", ROW('Bank Schedule'!$K$2:$K$825)), ROW(190:190))), "")</f>
        <v/>
      </c>
      <c r="P193" s="8" t="str">
        <f aca="false" t="array" ref="P193:P193">IFERROR(INDEX('Bank Schedule'!O:O, SMALL(IF('Bank Schedule'!$K$2:$K$825="Vacant", ROW('Bank Schedule'!$K$2:$K$825)), ROW(190:190))), "")</f>
        <v/>
      </c>
      <c r="Q193" s="8" t="str">
        <f aca="false" t="array" ref="Q193:Q193">IFERROR(INDEX('Bank Schedule'!P:P, SMALL(IF('Bank Schedule'!$K$2:$K$825="Vacant", ROW('Bank Schedule'!$K$2:$K$825)), ROW(190:190))), "")</f>
        <v/>
      </c>
      <c r="R193" s="8" t="e">
        <f aca="false" t="array" ref="R193:R193">IFERROR(INDEX('bank schedule'!#ref!, SMALL(IF('Bank Schedule'!$K$2:$K$825="Vacant", ROW('Bank Schedule'!$K$2:$K$825)), ROW(190:190))), "")</f>
        <v>#VALUE!</v>
      </c>
      <c r="S193" s="9" t="str">
        <f aca="false" t="array" ref="S193:S193">IFERROR(INDEX('Bank Schedule'!Q:Q, SMALL(IF('Bank Schedule'!$K$2:$K$825="Vacant", ROW('Bank Schedule'!$K$2:$K$825)), ROW(190:190))), "")</f>
        <v/>
      </c>
      <c r="T193" s="296" t="str">
        <f aca="false" t="array" ref="T193:T193">IFERROR(INDEX('Bank Schedule'!R:R, SMALL(IF('Bank Schedule'!$K$2:$K$825="Vacant", ROW('Bank Schedule'!$K$2:$K$825)), ROW(190:190))), "")</f>
        <v/>
      </c>
      <c r="U193" s="296" t="str">
        <f aca="false" t="array" ref="U193:U193">IFERROR(INDEX('Bank Schedule'!S:S, SMALL(IF('Bank Schedule'!$K$2:$K$825="Vacant", ROW('Bank Schedule'!$K$2:$K$825)), ROW(190:190))), "")</f>
        <v/>
      </c>
      <c r="V193" s="296" t="e">
        <f aca="false" t="array" ref="V193:V193">IFERROR(INDEX('bank schedule'!#ref!, SMALL(IF('Bank Schedule'!$K$2:$K$825="Vacant", ROW('Bank Schedule'!$K$2:$K$825)), ROW(190:190))), "")</f>
        <v>#VALUE!</v>
      </c>
      <c r="W193" s="296" t="e">
        <f aca="false" t="array" ref="W193:W193">IFERROR(INDEX('bank schedule'!#ref!, SMALL(IF('Bank Schedule'!$K$2:$K$825="Vacant", ROW('Bank Schedule'!$K$2:$K$825)), ROW(190:190))), "")</f>
        <v>#VALUE!</v>
      </c>
      <c r="X193" s="296" t="e">
        <f aca="false" t="array" ref="X193:X193">IFERROR(INDEX('bank schedule'!#ref!, SMALL(IF('Bank Schedule'!$K$2:$K$825="Vacant", ROW('Bank Schedule'!$K$2:$K$825)), ROW(190:190))), "")</f>
        <v>#VALUE!</v>
      </c>
      <c r="Y193" s="100"/>
      <c r="Z193" s="9" t="str">
        <f aca="false" t="array" ref="Z193:Z193">IFERROR(INDEX('Bank Schedule'!V:V, SMALL(IF('Bank Schedule'!$K$2:$K$825="Vacant", ROW('Bank Schedule'!$K$2:$K$825)), ROW(190:190))), "")</f>
        <v/>
      </c>
      <c r="AA193" s="9" t="str">
        <f aca="false" t="array" ref="AA193:AA193">IFERROR(INDEX('Bank Schedule'!W:W, SMALL(IF('Bank Schedule'!$K$2:$K$825="Vacant", ROW('Bank Schedule'!$K$2:$K$825)), ROW(190:190))), "")</f>
        <v/>
      </c>
      <c r="AB193" s="42" t="str">
        <f aca="false" t="array" ref="AB193:AB193">IFERROR(INDEX('Bank Schedule'!AA:AA, SMALL(IF('Bank Schedule'!$K$2:$K$825="Vacant", ROW('Bank Schedule'!$K$2:$K$825)), ROW(190:190))), "")</f>
        <v/>
      </c>
      <c r="AC193" s="14" t="str">
        <f aca="false" t="array" ref="AC193:AC193">IFERROR(INDEX('Bank Schedule'!AB:AB, SMALL(IF('Bank Schedule'!$K$2:$K$825="Vacant", ROW('Bank Schedule'!$K$2:$K$825)), ROW(190:190))), "")</f>
        <v/>
      </c>
      <c r="AD193" s="5" t="str">
        <f aca="false" t="array" ref="AD193:AD193">IFERROR(INDEX('Bank Schedule'!AC:AC, SMALL(IF('Bank Schedule'!$K$2:$K$825="Vacant", ROW('Bank Schedule'!$K$2:$K$825)), ROW(190:190))), "")</f>
        <v/>
      </c>
      <c r="AE193" s="15" t="str">
        <f aca="false" t="array" ref="AE193:AE193">IFERROR(INDEX('Bank Schedule'!AD:AD, SMALL(IF('Bank Schedule'!$K$2:$K$825="Vacant", ROW('Bank Schedule'!$K$2:$K$825)), ROW(190:190))), "")</f>
        <v/>
      </c>
    </row>
    <row r="194" customFormat="false" ht="13.5" hidden="false" customHeight="true" outlineLevel="0" collapsed="false">
      <c r="A194" s="29" t="str">
        <f aca="false" t="array" ref="A194:A194">IFERROR(INDEX('Bank Schedule'!A:A, SMALL(IF('Bank Schedule'!$K$2:$K$825="Vacant", ROW('Bank Schedule'!$K$2:$K$825)), ROW(191:191))), "")</f>
        <v/>
      </c>
      <c r="B194" s="11" t="str">
        <f aca="false" t="array" ref="B194:B194">IFERROR(INDEX('Bank Schedule'!B:B, SMALL(IF('Bank Schedule'!$K$2:$K$825="Vacant", ROW('Bank Schedule'!$K$2:$K$825)), ROW(191:191))), "")</f>
        <v/>
      </c>
      <c r="C194" s="11" t="str">
        <f aca="false" t="array" ref="C194:C194">IFERROR(INDEX('Bank Schedule'!C:C, SMALL(IF('Bank Schedule'!$K$2:$K$825="Vacant", ROW('Bank Schedule'!$K$2:$K$825)), ROW(191:191))), "")</f>
        <v/>
      </c>
      <c r="D194" s="29" t="str">
        <f aca="false" t="array" ref="D194:D194">IFERROR(INDEX('Bank Schedule'!D:D, SMALL(IF('Bank Schedule'!$K$2:$K$825="Vacant", ROW('Bank Schedule'!$K$2:$K$825)), ROW(191:191))), "")</f>
        <v/>
      </c>
      <c r="E194" s="4" t="str">
        <f aca="false" t="array" ref="E194:E194">IFERROR(INDEX('Bank Schedule'!E:E, SMALL(IF('Bank Schedule'!$K$2:$K$825="Vacant", ROW('Bank Schedule'!$K$2:$K$825)), ROW(191:191))), "")</f>
        <v/>
      </c>
      <c r="F194" s="4" t="str">
        <f aca="false" t="array" ref="F194:F194">IFERROR(INDEX('Bank Schedule'!F:F, SMALL(IF('Bank Schedule'!$K$2:$K$825="Vacant", ROW('Bank Schedule'!$K$2:$K$825)), ROW(191:191))), "")</f>
        <v/>
      </c>
      <c r="G194" s="5" t="str">
        <f aca="false" t="array" ref="G194:G194">IFERROR(INDEX('Bank Schedule'!G:G, SMALL(IF('Bank Schedule'!$K$2:$K$825="Vacant", ROW('Bank Schedule'!$K$2:$K$825)), ROW(191:191))), "")</f>
        <v/>
      </c>
      <c r="H194" s="14" t="str">
        <f aca="false" t="array" ref="H194:H194">IFERROR(INDEX('Bank Schedule'!H:H, SMALL(IF('Bank Schedule'!$K$2:$K$825="Vacant", ROW('Bank Schedule'!$K$2:$K$825)), ROW(191:191))), "")</f>
        <v/>
      </c>
      <c r="I194" s="6" t="str">
        <f aca="false" t="array" ref="I194:I194">IFERROR(INDEX('Bank Schedule'!I:I, SMALL(IF('Bank Schedule'!$K$2:$K$825="Vacant", ROW('Bank Schedule'!$K$2:$K$825)), ROW(191:191))), "")</f>
        <v/>
      </c>
      <c r="J194" s="14"/>
      <c r="K194" s="5" t="str">
        <f aca="false" t="array" ref="K194:K194">IFERROR(INDEX('Bank Schedule'!K:K, SMALL(IF('Bank Schedule'!$K$2:$K$825="Vacant", ROW('Bank Schedule'!$K$2:$K$825)), ROW(191:191))), "")</f>
        <v/>
      </c>
      <c r="L194" s="96" t="e">
        <f aca="false" t="array" ref="L194:L194">IFERROR(INDEX('bank schedule'!#ref!, SMALL(IF('Bank Schedule'!$K$2:$K$825="Vacant", ROW('Bank Schedule'!$K$2:$K$825)), ROW(191:191))), "")</f>
        <v>#VALUE!</v>
      </c>
      <c r="M194" s="7" t="str">
        <f aca="false" t="array" ref="M194:M194">IFERROR(INDEX('Bank Schedule'!L:L, SMALL(IF('Bank Schedule'!$K$2:$K$825="Vacant", ROW('Bank Schedule'!$K$2:$K$825)), ROW(191:191))), "")</f>
        <v/>
      </c>
      <c r="N194" s="295" t="str">
        <f aca="false" t="array" ref="N194:N194">IFERROR(INDEX('Bank Schedule'!M:M, SMALL(IF('Bank Schedule'!$K$2:$K$825="Vacant", ROW('Bank Schedule'!$K$2:$K$825)), ROW(191:191))), "")</f>
        <v/>
      </c>
      <c r="O194" s="8" t="str">
        <f aca="false" t="array" ref="O194:O194">IFERROR(INDEX('Bank Schedule'!N:N, SMALL(IF('Bank Schedule'!$K$2:$K$825="Vacant", ROW('Bank Schedule'!$K$2:$K$825)), ROW(191:191))), "")</f>
        <v/>
      </c>
      <c r="P194" s="8" t="str">
        <f aca="false" t="array" ref="P194:P194">IFERROR(INDEX('Bank Schedule'!O:O, SMALL(IF('Bank Schedule'!$K$2:$K$825="Vacant", ROW('Bank Schedule'!$K$2:$K$825)), ROW(191:191))), "")</f>
        <v/>
      </c>
      <c r="Q194" s="8" t="str">
        <f aca="false" t="array" ref="Q194:Q194">IFERROR(INDEX('Bank Schedule'!P:P, SMALL(IF('Bank Schedule'!$K$2:$K$825="Vacant", ROW('Bank Schedule'!$K$2:$K$825)), ROW(191:191))), "")</f>
        <v/>
      </c>
      <c r="R194" s="8" t="e">
        <f aca="false" t="array" ref="R194:R194">IFERROR(INDEX('bank schedule'!#ref!, SMALL(IF('Bank Schedule'!$K$2:$K$825="Vacant", ROW('Bank Schedule'!$K$2:$K$825)), ROW(191:191))), "")</f>
        <v>#VALUE!</v>
      </c>
      <c r="S194" s="9" t="str">
        <f aca="false" t="array" ref="S194:S194">IFERROR(INDEX('Bank Schedule'!Q:Q, SMALL(IF('Bank Schedule'!$K$2:$K$825="Vacant", ROW('Bank Schedule'!$K$2:$K$825)), ROW(191:191))), "")</f>
        <v/>
      </c>
      <c r="T194" s="296" t="str">
        <f aca="false" t="array" ref="T194:T194">IFERROR(INDEX('Bank Schedule'!R:R, SMALL(IF('Bank Schedule'!$K$2:$K$825="Vacant", ROW('Bank Schedule'!$K$2:$K$825)), ROW(191:191))), "")</f>
        <v/>
      </c>
      <c r="U194" s="296" t="str">
        <f aca="false" t="array" ref="U194:U194">IFERROR(INDEX('Bank Schedule'!S:S, SMALL(IF('Bank Schedule'!$K$2:$K$825="Vacant", ROW('Bank Schedule'!$K$2:$K$825)), ROW(191:191))), "")</f>
        <v/>
      </c>
      <c r="V194" s="296" t="e">
        <f aca="false" t="array" ref="V194:V194">IFERROR(INDEX('bank schedule'!#ref!, SMALL(IF('Bank Schedule'!$K$2:$K$825="Vacant", ROW('Bank Schedule'!$K$2:$K$825)), ROW(191:191))), "")</f>
        <v>#VALUE!</v>
      </c>
      <c r="W194" s="296" t="e">
        <f aca="false" t="array" ref="W194:W194">IFERROR(INDEX('bank schedule'!#ref!, SMALL(IF('Bank Schedule'!$K$2:$K$825="Vacant", ROW('Bank Schedule'!$K$2:$K$825)), ROW(191:191))), "")</f>
        <v>#VALUE!</v>
      </c>
      <c r="X194" s="296" t="e">
        <f aca="false" t="array" ref="X194:X194">IFERROR(INDEX('bank schedule'!#ref!, SMALL(IF('Bank Schedule'!$K$2:$K$825="Vacant", ROW('Bank Schedule'!$K$2:$K$825)), ROW(191:191))), "")</f>
        <v>#VALUE!</v>
      </c>
      <c r="Y194" s="100"/>
      <c r="Z194" s="9" t="str">
        <f aca="false" t="array" ref="Z194:Z194">IFERROR(INDEX('Bank Schedule'!V:V, SMALL(IF('Bank Schedule'!$K$2:$K$825="Vacant", ROW('Bank Schedule'!$K$2:$K$825)), ROW(191:191))), "")</f>
        <v/>
      </c>
      <c r="AA194" s="9" t="str">
        <f aca="false" t="array" ref="AA194:AA194">IFERROR(INDEX('Bank Schedule'!W:W, SMALL(IF('Bank Schedule'!$K$2:$K$825="Vacant", ROW('Bank Schedule'!$K$2:$K$825)), ROW(191:191))), "")</f>
        <v/>
      </c>
      <c r="AB194" s="42" t="str">
        <f aca="false" t="array" ref="AB194:AB194">IFERROR(INDEX('Bank Schedule'!AA:AA, SMALL(IF('Bank Schedule'!$K$2:$K$825="Vacant", ROW('Bank Schedule'!$K$2:$K$825)), ROW(191:191))), "")</f>
        <v/>
      </c>
      <c r="AC194" s="14" t="str">
        <f aca="false" t="array" ref="AC194:AC194">IFERROR(INDEX('Bank Schedule'!AB:AB, SMALL(IF('Bank Schedule'!$K$2:$K$825="Vacant", ROW('Bank Schedule'!$K$2:$K$825)), ROW(191:191))), "")</f>
        <v/>
      </c>
      <c r="AD194" s="5" t="str">
        <f aca="false" t="array" ref="AD194:AD194">IFERROR(INDEX('Bank Schedule'!AC:AC, SMALL(IF('Bank Schedule'!$K$2:$K$825="Vacant", ROW('Bank Schedule'!$K$2:$K$825)), ROW(191:191))), "")</f>
        <v/>
      </c>
      <c r="AE194" s="15" t="str">
        <f aca="false" t="array" ref="AE194:AE194">IFERROR(INDEX('Bank Schedule'!AD:AD, SMALL(IF('Bank Schedule'!$K$2:$K$825="Vacant", ROW('Bank Schedule'!$K$2:$K$825)), ROW(191:191))), "")</f>
        <v/>
      </c>
    </row>
    <row r="195" customFormat="false" ht="13.5" hidden="false" customHeight="true" outlineLevel="0" collapsed="false">
      <c r="A195" s="29" t="str">
        <f aca="false" t="array" ref="A195:A195">IFERROR(INDEX('Bank Schedule'!A:A, SMALL(IF('Bank Schedule'!$K$2:$K$825="Vacant", ROW('Bank Schedule'!$K$2:$K$825)), ROW(192:192))), "")</f>
        <v/>
      </c>
      <c r="B195" s="11" t="str">
        <f aca="false" t="array" ref="B195:B195">IFERROR(INDEX('Bank Schedule'!B:B, SMALL(IF('Bank Schedule'!$K$2:$K$825="Vacant", ROW('Bank Schedule'!$K$2:$K$825)), ROW(192:192))), "")</f>
        <v/>
      </c>
      <c r="C195" s="11" t="str">
        <f aca="false" t="array" ref="C195:C195">IFERROR(INDEX('Bank Schedule'!C:C, SMALL(IF('Bank Schedule'!$K$2:$K$825="Vacant", ROW('Bank Schedule'!$K$2:$K$825)), ROW(192:192))), "")</f>
        <v/>
      </c>
      <c r="D195" s="29" t="str">
        <f aca="false" t="array" ref="D195:D195">IFERROR(INDEX('Bank Schedule'!D:D, SMALL(IF('Bank Schedule'!$K$2:$K$825="Vacant", ROW('Bank Schedule'!$K$2:$K$825)), ROW(192:192))), "")</f>
        <v/>
      </c>
      <c r="E195" s="4" t="str">
        <f aca="false" t="array" ref="E195:E195">IFERROR(INDEX('Bank Schedule'!E:E, SMALL(IF('Bank Schedule'!$K$2:$K$825="Vacant", ROW('Bank Schedule'!$K$2:$K$825)), ROW(192:192))), "")</f>
        <v/>
      </c>
      <c r="F195" s="4" t="str">
        <f aca="false" t="array" ref="F195:F195">IFERROR(INDEX('Bank Schedule'!F:F, SMALL(IF('Bank Schedule'!$K$2:$K$825="Vacant", ROW('Bank Schedule'!$K$2:$K$825)), ROW(192:192))), "")</f>
        <v/>
      </c>
      <c r="G195" s="5" t="str">
        <f aca="false" t="array" ref="G195:G195">IFERROR(INDEX('Bank Schedule'!G:G, SMALL(IF('Bank Schedule'!$K$2:$K$825="Vacant", ROW('Bank Schedule'!$K$2:$K$825)), ROW(192:192))), "")</f>
        <v/>
      </c>
      <c r="H195" s="14" t="str">
        <f aca="false" t="array" ref="H195:H195">IFERROR(INDEX('Bank Schedule'!H:H, SMALL(IF('Bank Schedule'!$K$2:$K$825="Vacant", ROW('Bank Schedule'!$K$2:$K$825)), ROW(192:192))), "")</f>
        <v/>
      </c>
      <c r="I195" s="6" t="str">
        <f aca="false" t="array" ref="I195:I195">IFERROR(INDEX('Bank Schedule'!I:I, SMALL(IF('Bank Schedule'!$K$2:$K$825="Vacant", ROW('Bank Schedule'!$K$2:$K$825)), ROW(192:192))), "")</f>
        <v/>
      </c>
      <c r="J195" s="14"/>
      <c r="K195" s="5" t="str">
        <f aca="false" t="array" ref="K195:K195">IFERROR(INDEX('Bank Schedule'!K:K, SMALL(IF('Bank Schedule'!$K$2:$K$825="Vacant", ROW('Bank Schedule'!$K$2:$K$825)), ROW(192:192))), "")</f>
        <v/>
      </c>
      <c r="L195" s="96" t="e">
        <f aca="false" t="array" ref="L195:L195">IFERROR(INDEX('bank schedule'!#ref!, SMALL(IF('Bank Schedule'!$K$2:$K$825="Vacant", ROW('Bank Schedule'!$K$2:$K$825)), ROW(192:192))), "")</f>
        <v>#VALUE!</v>
      </c>
      <c r="M195" s="7" t="str">
        <f aca="false" t="array" ref="M195:M195">IFERROR(INDEX('Bank Schedule'!L:L, SMALL(IF('Bank Schedule'!$K$2:$K$825="Vacant", ROW('Bank Schedule'!$K$2:$K$825)), ROW(192:192))), "")</f>
        <v/>
      </c>
      <c r="N195" s="295" t="str">
        <f aca="false" t="array" ref="N195:N195">IFERROR(INDEX('Bank Schedule'!M:M, SMALL(IF('Bank Schedule'!$K$2:$K$825="Vacant", ROW('Bank Schedule'!$K$2:$K$825)), ROW(192:192))), "")</f>
        <v/>
      </c>
      <c r="O195" s="8" t="str">
        <f aca="false" t="array" ref="O195:O195">IFERROR(INDEX('Bank Schedule'!N:N, SMALL(IF('Bank Schedule'!$K$2:$K$825="Vacant", ROW('Bank Schedule'!$K$2:$K$825)), ROW(192:192))), "")</f>
        <v/>
      </c>
      <c r="P195" s="8" t="str">
        <f aca="false" t="array" ref="P195:P195">IFERROR(INDEX('Bank Schedule'!O:O, SMALL(IF('Bank Schedule'!$K$2:$K$825="Vacant", ROW('Bank Schedule'!$K$2:$K$825)), ROW(192:192))), "")</f>
        <v/>
      </c>
      <c r="Q195" s="8" t="str">
        <f aca="false" t="array" ref="Q195:Q195">IFERROR(INDEX('Bank Schedule'!P:P, SMALL(IF('Bank Schedule'!$K$2:$K$825="Vacant", ROW('Bank Schedule'!$K$2:$K$825)), ROW(192:192))), "")</f>
        <v/>
      </c>
      <c r="R195" s="8" t="e">
        <f aca="false" t="array" ref="R195:R195">IFERROR(INDEX('bank schedule'!#ref!, SMALL(IF('Bank Schedule'!$K$2:$K$825="Vacant", ROW('Bank Schedule'!$K$2:$K$825)), ROW(192:192))), "")</f>
        <v>#VALUE!</v>
      </c>
      <c r="S195" s="9" t="str">
        <f aca="false" t="array" ref="S195:S195">IFERROR(INDEX('Bank Schedule'!Q:Q, SMALL(IF('Bank Schedule'!$K$2:$K$825="Vacant", ROW('Bank Schedule'!$K$2:$K$825)), ROW(192:192))), "")</f>
        <v/>
      </c>
      <c r="T195" s="296" t="str">
        <f aca="false" t="array" ref="T195:T195">IFERROR(INDEX('Bank Schedule'!R:R, SMALL(IF('Bank Schedule'!$K$2:$K$825="Vacant", ROW('Bank Schedule'!$K$2:$K$825)), ROW(192:192))), "")</f>
        <v/>
      </c>
      <c r="U195" s="296" t="str">
        <f aca="false" t="array" ref="U195:U195">IFERROR(INDEX('Bank Schedule'!S:S, SMALL(IF('Bank Schedule'!$K$2:$K$825="Vacant", ROW('Bank Schedule'!$K$2:$K$825)), ROW(192:192))), "")</f>
        <v/>
      </c>
      <c r="V195" s="296" t="e">
        <f aca="false" t="array" ref="V195:V195">IFERROR(INDEX('bank schedule'!#ref!, SMALL(IF('Bank Schedule'!$K$2:$K$825="Vacant", ROW('Bank Schedule'!$K$2:$K$825)), ROW(192:192))), "")</f>
        <v>#VALUE!</v>
      </c>
      <c r="W195" s="296" t="e">
        <f aca="false" t="array" ref="W195:W195">IFERROR(INDEX('bank schedule'!#ref!, SMALL(IF('Bank Schedule'!$K$2:$K$825="Vacant", ROW('Bank Schedule'!$K$2:$K$825)), ROW(192:192))), "")</f>
        <v>#VALUE!</v>
      </c>
      <c r="X195" s="296" t="e">
        <f aca="false" t="array" ref="X195:X195">IFERROR(INDEX('bank schedule'!#ref!, SMALL(IF('Bank Schedule'!$K$2:$K$825="Vacant", ROW('Bank Schedule'!$K$2:$K$825)), ROW(192:192))), "")</f>
        <v>#VALUE!</v>
      </c>
      <c r="Y195" s="100"/>
      <c r="Z195" s="9" t="str">
        <f aca="false" t="array" ref="Z195:Z195">IFERROR(INDEX('Bank Schedule'!V:V, SMALL(IF('Bank Schedule'!$K$2:$K$825="Vacant", ROW('Bank Schedule'!$K$2:$K$825)), ROW(192:192))), "")</f>
        <v/>
      </c>
      <c r="AA195" s="9" t="str">
        <f aca="false" t="array" ref="AA195:AA195">IFERROR(INDEX('Bank Schedule'!W:W, SMALL(IF('Bank Schedule'!$K$2:$K$825="Vacant", ROW('Bank Schedule'!$K$2:$K$825)), ROW(192:192))), "")</f>
        <v/>
      </c>
      <c r="AB195" s="42" t="str">
        <f aca="false" t="array" ref="AB195:AB195">IFERROR(INDEX('Bank Schedule'!AA:AA, SMALL(IF('Bank Schedule'!$K$2:$K$825="Vacant", ROW('Bank Schedule'!$K$2:$K$825)), ROW(192:192))), "")</f>
        <v/>
      </c>
      <c r="AC195" s="14" t="str">
        <f aca="false" t="array" ref="AC195:AC195">IFERROR(INDEX('Bank Schedule'!AB:AB, SMALL(IF('Bank Schedule'!$K$2:$K$825="Vacant", ROW('Bank Schedule'!$K$2:$K$825)), ROW(192:192))), "")</f>
        <v/>
      </c>
      <c r="AD195" s="5" t="str">
        <f aca="false" t="array" ref="AD195:AD195">IFERROR(INDEX('Bank Schedule'!AC:AC, SMALL(IF('Bank Schedule'!$K$2:$K$825="Vacant", ROW('Bank Schedule'!$K$2:$K$825)), ROW(192:192))), "")</f>
        <v/>
      </c>
      <c r="AE195" s="15" t="str">
        <f aca="false" t="array" ref="AE195:AE195">IFERROR(INDEX('Bank Schedule'!AD:AD, SMALL(IF('Bank Schedule'!$K$2:$K$825="Vacant", ROW('Bank Schedule'!$K$2:$K$825)), ROW(192:192))), "")</f>
        <v/>
      </c>
    </row>
    <row r="196" customFormat="false" ht="13.5" hidden="false" customHeight="true" outlineLevel="0" collapsed="false">
      <c r="A196" s="29" t="str">
        <f aca="false" t="array" ref="A196:A196">IFERROR(INDEX('Bank Schedule'!A:A, SMALL(IF('Bank Schedule'!$K$2:$K$825="Vacant", ROW('Bank Schedule'!$K$2:$K$825)), ROW(193:193))), "")</f>
        <v/>
      </c>
      <c r="B196" s="11" t="str">
        <f aca="false" t="array" ref="B196:B196">IFERROR(INDEX('Bank Schedule'!B:B, SMALL(IF('Bank Schedule'!$K$2:$K$825="Vacant", ROW('Bank Schedule'!$K$2:$K$825)), ROW(193:193))), "")</f>
        <v/>
      </c>
      <c r="C196" s="11" t="str">
        <f aca="false" t="array" ref="C196:C196">IFERROR(INDEX('Bank Schedule'!C:C, SMALL(IF('Bank Schedule'!$K$2:$K$825="Vacant", ROW('Bank Schedule'!$K$2:$K$825)), ROW(193:193))), "")</f>
        <v/>
      </c>
      <c r="D196" s="29" t="str">
        <f aca="false" t="array" ref="D196:D196">IFERROR(INDEX('Bank Schedule'!D:D, SMALL(IF('Bank Schedule'!$K$2:$K$825="Vacant", ROW('Bank Schedule'!$K$2:$K$825)), ROW(193:193))), "")</f>
        <v/>
      </c>
      <c r="E196" s="4" t="str">
        <f aca="false" t="array" ref="E196:E196">IFERROR(INDEX('Bank Schedule'!E:E, SMALL(IF('Bank Schedule'!$K$2:$K$825="Vacant", ROW('Bank Schedule'!$K$2:$K$825)), ROW(193:193))), "")</f>
        <v/>
      </c>
      <c r="F196" s="4" t="str">
        <f aca="false" t="array" ref="F196:F196">IFERROR(INDEX('Bank Schedule'!F:F, SMALL(IF('Bank Schedule'!$K$2:$K$825="Vacant", ROW('Bank Schedule'!$K$2:$K$825)), ROW(193:193))), "")</f>
        <v/>
      </c>
      <c r="G196" s="5" t="str">
        <f aca="false" t="array" ref="G196:G196">IFERROR(INDEX('Bank Schedule'!G:G, SMALL(IF('Bank Schedule'!$K$2:$K$825="Vacant", ROW('Bank Schedule'!$K$2:$K$825)), ROW(193:193))), "")</f>
        <v/>
      </c>
      <c r="H196" s="14" t="str">
        <f aca="false" t="array" ref="H196:H196">IFERROR(INDEX('Bank Schedule'!H:H, SMALL(IF('Bank Schedule'!$K$2:$K$825="Vacant", ROW('Bank Schedule'!$K$2:$K$825)), ROW(193:193))), "")</f>
        <v/>
      </c>
      <c r="I196" s="6" t="str">
        <f aca="false" t="array" ref="I196:I196">IFERROR(INDEX('Bank Schedule'!I:I, SMALL(IF('Bank Schedule'!$K$2:$K$825="Vacant", ROW('Bank Schedule'!$K$2:$K$825)), ROW(193:193))), "")</f>
        <v/>
      </c>
      <c r="J196" s="14"/>
      <c r="K196" s="5" t="str">
        <f aca="false" t="array" ref="K196:K196">IFERROR(INDEX('Bank Schedule'!K:K, SMALL(IF('Bank Schedule'!$K$2:$K$825="Vacant", ROW('Bank Schedule'!$K$2:$K$825)), ROW(193:193))), "")</f>
        <v/>
      </c>
      <c r="L196" s="96" t="e">
        <f aca="false" t="array" ref="L196:L196">IFERROR(INDEX('bank schedule'!#ref!, SMALL(IF('Bank Schedule'!$K$2:$K$825="Vacant", ROW('Bank Schedule'!$K$2:$K$825)), ROW(193:193))), "")</f>
        <v>#VALUE!</v>
      </c>
      <c r="M196" s="7" t="str">
        <f aca="false" t="array" ref="M196:M196">IFERROR(INDEX('Bank Schedule'!L:L, SMALL(IF('Bank Schedule'!$K$2:$K$825="Vacant", ROW('Bank Schedule'!$K$2:$K$825)), ROW(193:193))), "")</f>
        <v/>
      </c>
      <c r="N196" s="295" t="str">
        <f aca="false" t="array" ref="N196:N196">IFERROR(INDEX('Bank Schedule'!M:M, SMALL(IF('Bank Schedule'!$K$2:$K$825="Vacant", ROW('Bank Schedule'!$K$2:$K$825)), ROW(193:193))), "")</f>
        <v/>
      </c>
      <c r="O196" s="8" t="str">
        <f aca="false" t="array" ref="O196:O196">IFERROR(INDEX('Bank Schedule'!N:N, SMALL(IF('Bank Schedule'!$K$2:$K$825="Vacant", ROW('Bank Schedule'!$K$2:$K$825)), ROW(193:193))), "")</f>
        <v/>
      </c>
      <c r="P196" s="8" t="str">
        <f aca="false" t="array" ref="P196:P196">IFERROR(INDEX('Bank Schedule'!O:O, SMALL(IF('Bank Schedule'!$K$2:$K$825="Vacant", ROW('Bank Schedule'!$K$2:$K$825)), ROW(193:193))), "")</f>
        <v/>
      </c>
      <c r="Q196" s="8" t="str">
        <f aca="false" t="array" ref="Q196:Q196">IFERROR(INDEX('Bank Schedule'!P:P, SMALL(IF('Bank Schedule'!$K$2:$K$825="Vacant", ROW('Bank Schedule'!$K$2:$K$825)), ROW(193:193))), "")</f>
        <v/>
      </c>
      <c r="R196" s="8" t="e">
        <f aca="false" t="array" ref="R196:R196">IFERROR(INDEX('bank schedule'!#ref!, SMALL(IF('Bank Schedule'!$K$2:$K$825="Vacant", ROW('Bank Schedule'!$K$2:$K$825)), ROW(193:193))), "")</f>
        <v>#VALUE!</v>
      </c>
      <c r="S196" s="9" t="str">
        <f aca="false" t="array" ref="S196:S196">IFERROR(INDEX('Bank Schedule'!Q:Q, SMALL(IF('Bank Schedule'!$K$2:$K$825="Vacant", ROW('Bank Schedule'!$K$2:$K$825)), ROW(193:193))), "")</f>
        <v/>
      </c>
      <c r="T196" s="296" t="str">
        <f aca="false" t="array" ref="T196:T196">IFERROR(INDEX('Bank Schedule'!R:R, SMALL(IF('Bank Schedule'!$K$2:$K$825="Vacant", ROW('Bank Schedule'!$K$2:$K$825)), ROW(193:193))), "")</f>
        <v/>
      </c>
      <c r="U196" s="296" t="str">
        <f aca="false" t="array" ref="U196:U196">IFERROR(INDEX('Bank Schedule'!S:S, SMALL(IF('Bank Schedule'!$K$2:$K$825="Vacant", ROW('Bank Schedule'!$K$2:$K$825)), ROW(193:193))), "")</f>
        <v/>
      </c>
      <c r="V196" s="296" t="e">
        <f aca="false" t="array" ref="V196:V196">IFERROR(INDEX('bank schedule'!#ref!, SMALL(IF('Bank Schedule'!$K$2:$K$825="Vacant", ROW('Bank Schedule'!$K$2:$K$825)), ROW(193:193))), "")</f>
        <v>#VALUE!</v>
      </c>
      <c r="W196" s="296" t="e">
        <f aca="false" t="array" ref="W196:W196">IFERROR(INDEX('bank schedule'!#ref!, SMALL(IF('Bank Schedule'!$K$2:$K$825="Vacant", ROW('Bank Schedule'!$K$2:$K$825)), ROW(193:193))), "")</f>
        <v>#VALUE!</v>
      </c>
      <c r="X196" s="296" t="e">
        <f aca="false" t="array" ref="X196:X196">IFERROR(INDEX('bank schedule'!#ref!, SMALL(IF('Bank Schedule'!$K$2:$K$825="Vacant", ROW('Bank Schedule'!$K$2:$K$825)), ROW(193:193))), "")</f>
        <v>#VALUE!</v>
      </c>
      <c r="Y196" s="100"/>
      <c r="Z196" s="9" t="str">
        <f aca="false" t="array" ref="Z196:Z196">IFERROR(INDEX('Bank Schedule'!V:V, SMALL(IF('Bank Schedule'!$K$2:$K$825="Vacant", ROW('Bank Schedule'!$K$2:$K$825)), ROW(193:193))), "")</f>
        <v/>
      </c>
      <c r="AA196" s="9" t="str">
        <f aca="false" t="array" ref="AA196:AA196">IFERROR(INDEX('Bank Schedule'!W:W, SMALL(IF('Bank Schedule'!$K$2:$K$825="Vacant", ROW('Bank Schedule'!$K$2:$K$825)), ROW(193:193))), "")</f>
        <v/>
      </c>
      <c r="AB196" s="42" t="str">
        <f aca="false" t="array" ref="AB196:AB196">IFERROR(INDEX('Bank Schedule'!AA:AA, SMALL(IF('Bank Schedule'!$K$2:$K$825="Vacant", ROW('Bank Schedule'!$K$2:$K$825)), ROW(193:193))), "")</f>
        <v/>
      </c>
      <c r="AC196" s="14" t="str">
        <f aca="false" t="array" ref="AC196:AC196">IFERROR(INDEX('Bank Schedule'!AB:AB, SMALL(IF('Bank Schedule'!$K$2:$K$825="Vacant", ROW('Bank Schedule'!$K$2:$K$825)), ROW(193:193))), "")</f>
        <v/>
      </c>
      <c r="AD196" s="5" t="str">
        <f aca="false" t="array" ref="AD196:AD196">IFERROR(INDEX('Bank Schedule'!AC:AC, SMALL(IF('Bank Schedule'!$K$2:$K$825="Vacant", ROW('Bank Schedule'!$K$2:$K$825)), ROW(193:193))), "")</f>
        <v/>
      </c>
      <c r="AE196" s="15" t="str">
        <f aca="false" t="array" ref="AE196:AE196">IFERROR(INDEX('Bank Schedule'!AD:AD, SMALL(IF('Bank Schedule'!$K$2:$K$825="Vacant", ROW('Bank Schedule'!$K$2:$K$825)), ROW(193:193))), "")</f>
        <v/>
      </c>
    </row>
    <row r="197" customFormat="false" ht="13.5" hidden="false" customHeight="true" outlineLevel="0" collapsed="false">
      <c r="A197" s="29" t="str">
        <f aca="false" t="array" ref="A197:A197">IFERROR(INDEX('Bank Schedule'!A:A, SMALL(IF('Bank Schedule'!$K$2:$K$825="Vacant", ROW('Bank Schedule'!$K$2:$K$825)), ROW(194:194))), "")</f>
        <v/>
      </c>
      <c r="B197" s="11" t="str">
        <f aca="false" t="array" ref="B197:B197">IFERROR(INDEX('Bank Schedule'!B:B, SMALL(IF('Bank Schedule'!$K$2:$K$825="Vacant", ROW('Bank Schedule'!$K$2:$K$825)), ROW(194:194))), "")</f>
        <v/>
      </c>
      <c r="C197" s="11" t="str">
        <f aca="false" t="array" ref="C197:C197">IFERROR(INDEX('Bank Schedule'!C:C, SMALL(IF('Bank Schedule'!$K$2:$K$825="Vacant", ROW('Bank Schedule'!$K$2:$K$825)), ROW(194:194))), "")</f>
        <v/>
      </c>
      <c r="D197" s="29" t="str">
        <f aca="false" t="array" ref="D197:D197">IFERROR(INDEX('Bank Schedule'!D:D, SMALL(IF('Bank Schedule'!$K$2:$K$825="Vacant", ROW('Bank Schedule'!$K$2:$K$825)), ROW(194:194))), "")</f>
        <v/>
      </c>
      <c r="E197" s="4" t="str">
        <f aca="false" t="array" ref="E197:E197">IFERROR(INDEX('Bank Schedule'!E:E, SMALL(IF('Bank Schedule'!$K$2:$K$825="Vacant", ROW('Bank Schedule'!$K$2:$K$825)), ROW(194:194))), "")</f>
        <v/>
      </c>
      <c r="F197" s="4" t="str">
        <f aca="false" t="array" ref="F197:F197">IFERROR(INDEX('Bank Schedule'!F:F, SMALL(IF('Bank Schedule'!$K$2:$K$825="Vacant", ROW('Bank Schedule'!$K$2:$K$825)), ROW(194:194))), "")</f>
        <v/>
      </c>
      <c r="G197" s="5" t="str">
        <f aca="false" t="array" ref="G197:G197">IFERROR(INDEX('Bank Schedule'!G:G, SMALL(IF('Bank Schedule'!$K$2:$K$825="Vacant", ROW('Bank Schedule'!$K$2:$K$825)), ROW(194:194))), "")</f>
        <v/>
      </c>
      <c r="H197" s="14" t="str">
        <f aca="false" t="array" ref="H197:H197">IFERROR(INDEX('Bank Schedule'!H:H, SMALL(IF('Bank Schedule'!$K$2:$K$825="Vacant", ROW('Bank Schedule'!$K$2:$K$825)), ROW(194:194))), "")</f>
        <v/>
      </c>
      <c r="I197" s="6" t="str">
        <f aca="false" t="array" ref="I197:I197">IFERROR(INDEX('Bank Schedule'!I:I, SMALL(IF('Bank Schedule'!$K$2:$K$825="Vacant", ROW('Bank Schedule'!$K$2:$K$825)), ROW(194:194))), "")</f>
        <v/>
      </c>
      <c r="J197" s="14"/>
      <c r="K197" s="5" t="str">
        <f aca="false" t="array" ref="K197:K197">IFERROR(INDEX('Bank Schedule'!K:K, SMALL(IF('Bank Schedule'!$K$2:$K$825="Vacant", ROW('Bank Schedule'!$K$2:$K$825)), ROW(194:194))), "")</f>
        <v/>
      </c>
      <c r="L197" s="96" t="e">
        <f aca="false" t="array" ref="L197:L197">IFERROR(INDEX('bank schedule'!#ref!, SMALL(IF('Bank Schedule'!$K$2:$K$825="Vacant", ROW('Bank Schedule'!$K$2:$K$825)), ROW(194:194))), "")</f>
        <v>#VALUE!</v>
      </c>
      <c r="M197" s="7" t="str">
        <f aca="false" t="array" ref="M197:M197">IFERROR(INDEX('Bank Schedule'!L:L, SMALL(IF('Bank Schedule'!$K$2:$K$825="Vacant", ROW('Bank Schedule'!$K$2:$K$825)), ROW(194:194))), "")</f>
        <v/>
      </c>
      <c r="N197" s="295" t="str">
        <f aca="false" t="array" ref="N197:N197">IFERROR(INDEX('Bank Schedule'!M:M, SMALL(IF('Bank Schedule'!$K$2:$K$825="Vacant", ROW('Bank Schedule'!$K$2:$K$825)), ROW(194:194))), "")</f>
        <v/>
      </c>
      <c r="O197" s="8" t="str">
        <f aca="false" t="array" ref="O197:O197">IFERROR(INDEX('Bank Schedule'!N:N, SMALL(IF('Bank Schedule'!$K$2:$K$825="Vacant", ROW('Bank Schedule'!$K$2:$K$825)), ROW(194:194))), "")</f>
        <v/>
      </c>
      <c r="P197" s="8" t="str">
        <f aca="false" t="array" ref="P197:P197">IFERROR(INDEX('Bank Schedule'!O:O, SMALL(IF('Bank Schedule'!$K$2:$K$825="Vacant", ROW('Bank Schedule'!$K$2:$K$825)), ROW(194:194))), "")</f>
        <v/>
      </c>
      <c r="Q197" s="8" t="str">
        <f aca="false" t="array" ref="Q197:Q197">IFERROR(INDEX('Bank Schedule'!P:P, SMALL(IF('Bank Schedule'!$K$2:$K$825="Vacant", ROW('Bank Schedule'!$K$2:$K$825)), ROW(194:194))), "")</f>
        <v/>
      </c>
      <c r="R197" s="8" t="e">
        <f aca="false" t="array" ref="R197:R197">IFERROR(INDEX('bank schedule'!#ref!, SMALL(IF('Bank Schedule'!$K$2:$K$825="Vacant", ROW('Bank Schedule'!$K$2:$K$825)), ROW(194:194))), "")</f>
        <v>#VALUE!</v>
      </c>
      <c r="S197" s="9" t="str">
        <f aca="false" t="array" ref="S197:S197">IFERROR(INDEX('Bank Schedule'!Q:Q, SMALL(IF('Bank Schedule'!$K$2:$K$825="Vacant", ROW('Bank Schedule'!$K$2:$K$825)), ROW(194:194))), "")</f>
        <v/>
      </c>
      <c r="T197" s="296" t="str">
        <f aca="false" t="array" ref="T197:T197">IFERROR(INDEX('Bank Schedule'!R:R, SMALL(IF('Bank Schedule'!$K$2:$K$825="Vacant", ROW('Bank Schedule'!$K$2:$K$825)), ROW(194:194))), "")</f>
        <v/>
      </c>
      <c r="U197" s="296" t="str">
        <f aca="false" t="array" ref="U197:U197">IFERROR(INDEX('Bank Schedule'!S:S, SMALL(IF('Bank Schedule'!$K$2:$K$825="Vacant", ROW('Bank Schedule'!$K$2:$K$825)), ROW(194:194))), "")</f>
        <v/>
      </c>
      <c r="V197" s="296" t="e">
        <f aca="false" t="array" ref="V197:V197">IFERROR(INDEX('bank schedule'!#ref!, SMALL(IF('Bank Schedule'!$K$2:$K$825="Vacant", ROW('Bank Schedule'!$K$2:$K$825)), ROW(194:194))), "")</f>
        <v>#VALUE!</v>
      </c>
      <c r="W197" s="296" t="e">
        <f aca="false" t="array" ref="W197:W197">IFERROR(INDEX('bank schedule'!#ref!, SMALL(IF('Bank Schedule'!$K$2:$K$825="Vacant", ROW('Bank Schedule'!$K$2:$K$825)), ROW(194:194))), "")</f>
        <v>#VALUE!</v>
      </c>
      <c r="X197" s="296" t="e">
        <f aca="false" t="array" ref="X197:X197">IFERROR(INDEX('bank schedule'!#ref!, SMALL(IF('Bank Schedule'!$K$2:$K$825="Vacant", ROW('Bank Schedule'!$K$2:$K$825)), ROW(194:194))), "")</f>
        <v>#VALUE!</v>
      </c>
      <c r="Y197" s="100"/>
      <c r="Z197" s="9" t="str">
        <f aca="false" t="array" ref="Z197:Z197">IFERROR(INDEX('Bank Schedule'!V:V, SMALL(IF('Bank Schedule'!$K$2:$K$825="Vacant", ROW('Bank Schedule'!$K$2:$K$825)), ROW(194:194))), "")</f>
        <v/>
      </c>
      <c r="AA197" s="9" t="str">
        <f aca="false" t="array" ref="AA197:AA197">IFERROR(INDEX('Bank Schedule'!W:W, SMALL(IF('Bank Schedule'!$K$2:$K$825="Vacant", ROW('Bank Schedule'!$K$2:$K$825)), ROW(194:194))), "")</f>
        <v/>
      </c>
      <c r="AB197" s="42" t="str">
        <f aca="false" t="array" ref="AB197:AB197">IFERROR(INDEX('Bank Schedule'!AA:AA, SMALL(IF('Bank Schedule'!$K$2:$K$825="Vacant", ROW('Bank Schedule'!$K$2:$K$825)), ROW(194:194))), "")</f>
        <v/>
      </c>
      <c r="AC197" s="14" t="str">
        <f aca="false" t="array" ref="AC197:AC197">IFERROR(INDEX('Bank Schedule'!AB:AB, SMALL(IF('Bank Schedule'!$K$2:$K$825="Vacant", ROW('Bank Schedule'!$K$2:$K$825)), ROW(194:194))), "")</f>
        <v/>
      </c>
      <c r="AD197" s="5" t="str">
        <f aca="false" t="array" ref="AD197:AD197">IFERROR(INDEX('Bank Schedule'!AC:AC, SMALL(IF('Bank Schedule'!$K$2:$K$825="Vacant", ROW('Bank Schedule'!$K$2:$K$825)), ROW(194:194))), "")</f>
        <v/>
      </c>
      <c r="AE197" s="15" t="str">
        <f aca="false" t="array" ref="AE197:AE197">IFERROR(INDEX('Bank Schedule'!AD:AD, SMALL(IF('Bank Schedule'!$K$2:$K$825="Vacant", ROW('Bank Schedule'!$K$2:$K$825)), ROW(194:194))), "")</f>
        <v/>
      </c>
    </row>
  </sheetData>
  <autoFilter ref="A3:AE197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24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83203125" defaultRowHeight="12.75" customHeight="true" zeroHeight="false" outlineLevelRow="0" outlineLevelCol="0"/>
  <cols>
    <col collapsed="false" customWidth="true" hidden="false" outlineLevel="0" max="1" min="1" style="4" width="42.5"/>
    <col collapsed="false" customWidth="true" hidden="false" outlineLevel="0" max="2" min="2" style="4" width="24.67"/>
  </cols>
  <sheetData>
    <row r="1" s="3" customFormat="true" ht="12.75" hidden="false" customHeight="false" outlineLevel="0" collapsed="false">
      <c r="A1" s="21" t="s">
        <v>10</v>
      </c>
      <c r="B1" s="358" t="s">
        <v>889</v>
      </c>
    </row>
    <row r="2" s="3" customFormat="true" ht="12.75" hidden="false" customHeight="false" outlineLevel="0" collapsed="false">
      <c r="A2" s="359" t="s">
        <v>890</v>
      </c>
      <c r="B2" s="360" t="s">
        <v>891</v>
      </c>
    </row>
    <row r="3" s="3" customFormat="true" ht="12.75" hidden="false" customHeight="false" outlineLevel="0" collapsed="false">
      <c r="A3" s="361" t="s">
        <v>41</v>
      </c>
      <c r="B3" s="362" t="s">
        <v>892</v>
      </c>
    </row>
    <row r="4" s="3" customFormat="true" ht="12.75" hidden="false" customHeight="false" outlineLevel="0" collapsed="false">
      <c r="A4" s="361" t="s">
        <v>893</v>
      </c>
      <c r="B4" s="363" t="s">
        <v>49</v>
      </c>
    </row>
    <row r="5" s="3" customFormat="true" ht="12.75" hidden="false" customHeight="false" outlineLevel="0" collapsed="false">
      <c r="A5" s="361" t="s">
        <v>539</v>
      </c>
      <c r="B5" s="363" t="s">
        <v>894</v>
      </c>
    </row>
    <row r="6" s="3" customFormat="true" ht="12.75" hidden="false" customHeight="false" outlineLevel="0" collapsed="false">
      <c r="A6" s="361" t="s">
        <v>627</v>
      </c>
      <c r="B6" s="363" t="s">
        <v>49</v>
      </c>
    </row>
    <row r="7" s="3" customFormat="true" ht="12.75" hidden="false" customHeight="false" outlineLevel="0" collapsed="false">
      <c r="A7" s="361" t="s">
        <v>657</v>
      </c>
      <c r="B7" s="363" t="s">
        <v>49</v>
      </c>
    </row>
    <row r="8" s="3" customFormat="true" ht="12.75" hidden="false" customHeight="false" outlineLevel="0" collapsed="false">
      <c r="A8" s="361" t="s">
        <v>895</v>
      </c>
      <c r="B8" s="363" t="s">
        <v>892</v>
      </c>
    </row>
    <row r="9" s="3" customFormat="true" ht="12.75" hidden="false" customHeight="false" outlineLevel="0" collapsed="false">
      <c r="A9" s="189" t="s">
        <v>832</v>
      </c>
      <c r="B9" s="189" t="s">
        <v>892</v>
      </c>
    </row>
    <row r="10" s="3" customFormat="true" ht="12.75" hidden="false" customHeight="false" outlineLevel="0" collapsed="false">
      <c r="A10" s="361" t="s">
        <v>683</v>
      </c>
      <c r="B10" s="363" t="s">
        <v>242</v>
      </c>
    </row>
    <row r="11" s="3" customFormat="true" ht="12.75" hidden="false" customHeight="false" outlineLevel="0" collapsed="false">
      <c r="A11" s="189" t="s">
        <v>842</v>
      </c>
      <c r="B11" s="189" t="s">
        <v>49</v>
      </c>
    </row>
    <row r="12" s="3" customFormat="true" ht="12.75" hidden="false" customHeight="false" outlineLevel="0" collapsed="false">
      <c r="A12" s="361" t="s">
        <v>896</v>
      </c>
      <c r="B12" s="363" t="s">
        <v>49</v>
      </c>
    </row>
    <row r="13" s="3" customFormat="true" ht="12.75" hidden="false" customHeight="false" outlineLevel="0" collapsed="false">
      <c r="A13" s="361" t="s">
        <v>91</v>
      </c>
      <c r="B13" s="363" t="s">
        <v>897</v>
      </c>
    </row>
    <row r="14" s="3" customFormat="true" ht="12.75" hidden="false" customHeight="false" outlineLevel="0" collapsed="false">
      <c r="A14" s="361" t="s">
        <v>570</v>
      </c>
      <c r="B14" s="363" t="s">
        <v>49</v>
      </c>
    </row>
    <row r="15" s="3" customFormat="true" ht="12.75" hidden="false" customHeight="false" outlineLevel="0" collapsed="false">
      <c r="A15" s="361" t="s">
        <v>117</v>
      </c>
      <c r="B15" s="363" t="s">
        <v>49</v>
      </c>
    </row>
    <row r="16" s="3" customFormat="true" ht="12.75" hidden="false" customHeight="false" outlineLevel="0" collapsed="false">
      <c r="A16" s="361" t="s">
        <v>326</v>
      </c>
      <c r="B16" s="363" t="s">
        <v>49</v>
      </c>
    </row>
    <row r="17" s="3" customFormat="true" ht="12.75" hidden="false" customHeight="false" outlineLevel="0" collapsed="false">
      <c r="A17" s="361" t="s">
        <v>326</v>
      </c>
      <c r="B17" s="363" t="s">
        <v>49</v>
      </c>
    </row>
    <row r="18" s="3" customFormat="true" ht="12.75" hidden="false" customHeight="false" outlineLevel="0" collapsed="false">
      <c r="A18" s="361" t="s">
        <v>326</v>
      </c>
      <c r="B18" s="363" t="s">
        <v>49</v>
      </c>
    </row>
    <row r="19" s="3" customFormat="true" ht="12.75" hidden="false" customHeight="false" outlineLevel="0" collapsed="false">
      <c r="A19" s="364" t="s">
        <v>487</v>
      </c>
      <c r="B19" s="364" t="s">
        <v>898</v>
      </c>
    </row>
    <row r="20" s="3" customFormat="true" ht="12.75" hidden="false" customHeight="false" outlineLevel="0" collapsed="false">
      <c r="A20" s="361" t="s">
        <v>487</v>
      </c>
      <c r="B20" s="363" t="s">
        <v>898</v>
      </c>
    </row>
    <row r="21" s="3" customFormat="true" ht="12.75" hidden="false" customHeight="false" outlineLevel="0" collapsed="false">
      <c r="A21" s="361" t="s">
        <v>487</v>
      </c>
      <c r="B21" s="363" t="s">
        <v>898</v>
      </c>
    </row>
    <row r="22" s="3" customFormat="true" ht="12.75" hidden="false" customHeight="false" outlineLevel="0" collapsed="false">
      <c r="A22" s="361" t="s">
        <v>487</v>
      </c>
      <c r="B22" s="363" t="s">
        <v>898</v>
      </c>
    </row>
    <row r="23" s="3" customFormat="true" ht="12.75" hidden="false" customHeight="false" outlineLevel="0" collapsed="false">
      <c r="A23" s="361" t="s">
        <v>487</v>
      </c>
      <c r="B23" s="363" t="s">
        <v>892</v>
      </c>
    </row>
    <row r="24" s="3" customFormat="true" ht="12.75" hidden="false" customHeight="false" outlineLevel="0" collapsed="false">
      <c r="A24" s="361" t="s">
        <v>186</v>
      </c>
      <c r="B24" s="363" t="s">
        <v>899</v>
      </c>
    </row>
    <row r="25" s="3" customFormat="true" ht="12.75" hidden="false" customHeight="false" outlineLevel="0" collapsed="false">
      <c r="A25" s="361" t="s">
        <v>265</v>
      </c>
      <c r="B25" s="363" t="s">
        <v>49</v>
      </c>
    </row>
    <row r="26" s="3" customFormat="true" ht="12.75" hidden="false" customHeight="false" outlineLevel="0" collapsed="false">
      <c r="A26" s="361" t="s">
        <v>274</v>
      </c>
      <c r="B26" s="363" t="s">
        <v>894</v>
      </c>
    </row>
    <row r="27" s="3" customFormat="true" ht="12.75" hidden="false" customHeight="false" outlineLevel="0" collapsed="false">
      <c r="A27" s="361" t="s">
        <v>900</v>
      </c>
      <c r="B27" s="363" t="s">
        <v>898</v>
      </c>
    </row>
    <row r="28" s="3" customFormat="true" ht="12.75" hidden="false" customHeight="false" outlineLevel="0" collapsed="false">
      <c r="A28" s="189" t="s">
        <v>901</v>
      </c>
      <c r="B28" s="189" t="s">
        <v>892</v>
      </c>
    </row>
    <row r="29" s="3" customFormat="true" ht="12.75" hidden="false" customHeight="false" outlineLevel="0" collapsed="false">
      <c r="A29" s="361" t="s">
        <v>733</v>
      </c>
      <c r="B29" s="363" t="s">
        <v>898</v>
      </c>
    </row>
    <row r="30" s="3" customFormat="true" ht="12.75" hidden="false" customHeight="false" outlineLevel="0" collapsed="false">
      <c r="A30" s="361" t="s">
        <v>696</v>
      </c>
      <c r="B30" s="363" t="s">
        <v>891</v>
      </c>
    </row>
    <row r="31" s="3" customFormat="true" ht="12.75" hidden="false" customHeight="false" outlineLevel="0" collapsed="false">
      <c r="A31" s="361" t="s">
        <v>437</v>
      </c>
      <c r="B31" s="363" t="s">
        <v>894</v>
      </c>
    </row>
    <row r="32" s="3" customFormat="true" ht="12.75" hidden="false" customHeight="false" outlineLevel="0" collapsed="false">
      <c r="A32" s="361" t="s">
        <v>786</v>
      </c>
      <c r="B32" s="363" t="s">
        <v>242</v>
      </c>
    </row>
    <row r="33" s="3" customFormat="true" ht="12.75" hidden="false" customHeight="false" outlineLevel="0" collapsed="false">
      <c r="A33" s="361" t="s">
        <v>514</v>
      </c>
      <c r="B33" s="363" t="s">
        <v>49</v>
      </c>
    </row>
    <row r="34" s="3" customFormat="true" ht="12.75" hidden="false" customHeight="false" outlineLevel="0" collapsed="false">
      <c r="A34" s="361" t="s">
        <v>453</v>
      </c>
      <c r="B34" s="363" t="s">
        <v>892</v>
      </c>
    </row>
    <row r="35" s="3" customFormat="true" ht="12.75" hidden="false" customHeight="false" outlineLevel="0" collapsed="false">
      <c r="A35" s="361" t="s">
        <v>375</v>
      </c>
      <c r="B35" s="363" t="s">
        <v>892</v>
      </c>
    </row>
    <row r="36" s="3" customFormat="true" ht="12.75" hidden="false" customHeight="false" outlineLevel="0" collapsed="false">
      <c r="A36" s="361" t="s">
        <v>635</v>
      </c>
      <c r="B36" s="363" t="s">
        <v>892</v>
      </c>
    </row>
    <row r="37" s="3" customFormat="true" ht="12.75" hidden="false" customHeight="false" outlineLevel="0" collapsed="false">
      <c r="A37" s="361" t="s">
        <v>579</v>
      </c>
      <c r="B37" s="363" t="s">
        <v>49</v>
      </c>
    </row>
    <row r="38" s="3" customFormat="true" ht="12.75" hidden="false" customHeight="false" outlineLevel="0" collapsed="false">
      <c r="A38" s="189" t="s">
        <v>801</v>
      </c>
      <c r="B38" s="189" t="s">
        <v>892</v>
      </c>
    </row>
    <row r="39" s="3" customFormat="true" ht="12.75" hidden="false" customHeight="false" outlineLevel="0" collapsed="false">
      <c r="A39" s="361" t="s">
        <v>702</v>
      </c>
      <c r="B39" s="363" t="s">
        <v>894</v>
      </c>
    </row>
    <row r="40" s="3" customFormat="true" ht="12.75" hidden="false" customHeight="false" outlineLevel="0" collapsed="false">
      <c r="A40" s="361" t="s">
        <v>902</v>
      </c>
      <c r="B40" s="363" t="s">
        <v>49</v>
      </c>
    </row>
    <row r="41" s="3" customFormat="true" ht="12.75" hidden="false" customHeight="false" outlineLevel="0" collapsed="false">
      <c r="A41" s="361" t="s">
        <v>902</v>
      </c>
      <c r="B41" s="363" t="s">
        <v>49</v>
      </c>
    </row>
    <row r="42" s="3" customFormat="true" ht="12.75" hidden="false" customHeight="false" outlineLevel="0" collapsed="false">
      <c r="A42" s="361" t="s">
        <v>63</v>
      </c>
      <c r="B42" s="363" t="s">
        <v>903</v>
      </c>
    </row>
    <row r="43" s="3" customFormat="true" ht="12.75" hidden="false" customHeight="false" outlineLevel="0" collapsed="false">
      <c r="A43" s="361" t="s">
        <v>131</v>
      </c>
      <c r="B43" s="363" t="s">
        <v>894</v>
      </c>
    </row>
    <row r="44" s="3" customFormat="true" ht="12.75" hidden="false" customHeight="false" outlineLevel="0" collapsed="false">
      <c r="A44" s="189" t="s">
        <v>814</v>
      </c>
      <c r="B44" s="189" t="s">
        <v>892</v>
      </c>
    </row>
    <row r="45" s="3" customFormat="true" ht="12.75" hidden="false" customHeight="false" outlineLevel="0" collapsed="false">
      <c r="A45" s="365" t="s">
        <v>904</v>
      </c>
      <c r="B45" s="366"/>
    </row>
    <row r="46" s="3" customFormat="true" ht="12.75" hidden="false" customHeight="false" outlineLevel="0" collapsed="false">
      <c r="A46" s="361" t="s">
        <v>457</v>
      </c>
      <c r="B46" s="363" t="s">
        <v>892</v>
      </c>
    </row>
    <row r="47" s="3" customFormat="true" ht="12.75" hidden="false" customHeight="false" outlineLevel="0" collapsed="false">
      <c r="A47" s="361" t="s">
        <v>240</v>
      </c>
      <c r="B47" s="363" t="s">
        <v>892</v>
      </c>
    </row>
    <row r="48" s="3" customFormat="true" ht="12.75" hidden="false" customHeight="false" outlineLevel="0" collapsed="false">
      <c r="A48" s="361" t="s">
        <v>341</v>
      </c>
      <c r="B48" s="363" t="s">
        <v>898</v>
      </c>
    </row>
    <row r="49" s="3" customFormat="true" ht="12.75" hidden="false" customHeight="false" outlineLevel="0" collapsed="false">
      <c r="A49" s="361" t="s">
        <v>208</v>
      </c>
      <c r="B49" s="363" t="s">
        <v>894</v>
      </c>
    </row>
    <row r="50" s="3" customFormat="true" ht="12.75" hidden="false" customHeight="false" outlineLevel="0" collapsed="false">
      <c r="A50" s="361" t="s">
        <v>905</v>
      </c>
      <c r="B50" s="363" t="s">
        <v>898</v>
      </c>
    </row>
    <row r="51" s="3" customFormat="true" ht="12.75" hidden="false" customHeight="false" outlineLevel="0" collapsed="false">
      <c r="A51" s="361" t="s">
        <v>905</v>
      </c>
      <c r="B51" s="363" t="s">
        <v>898</v>
      </c>
    </row>
    <row r="52" s="3" customFormat="true" ht="12.75" hidden="false" customHeight="false" outlineLevel="0" collapsed="false">
      <c r="A52" s="361" t="s">
        <v>905</v>
      </c>
      <c r="B52" s="363" t="s">
        <v>898</v>
      </c>
    </row>
    <row r="53" s="3" customFormat="true" ht="12.75" hidden="false" customHeight="false" outlineLevel="0" collapsed="false">
      <c r="A53" s="361" t="s">
        <v>905</v>
      </c>
      <c r="B53" s="363" t="s">
        <v>898</v>
      </c>
    </row>
    <row r="54" s="3" customFormat="true" ht="12.75" hidden="false" customHeight="false" outlineLevel="0" collapsed="false">
      <c r="A54" s="361" t="s">
        <v>261</v>
      </c>
      <c r="B54" s="363" t="s">
        <v>898</v>
      </c>
    </row>
    <row r="55" s="3" customFormat="true" ht="12.75" hidden="false" customHeight="false" outlineLevel="0" collapsed="false">
      <c r="A55" s="361" t="s">
        <v>261</v>
      </c>
      <c r="B55" s="363" t="s">
        <v>898</v>
      </c>
    </row>
    <row r="56" s="3" customFormat="true" ht="12.75" hidden="false" customHeight="false" outlineLevel="0" collapsed="false">
      <c r="A56" s="361" t="s">
        <v>906</v>
      </c>
      <c r="B56" s="363" t="s">
        <v>892</v>
      </c>
    </row>
    <row r="57" s="3" customFormat="true" ht="12.75" hidden="false" customHeight="false" outlineLevel="0" collapsed="false">
      <c r="A57" s="361" t="s">
        <v>760</v>
      </c>
      <c r="B57" s="363" t="s">
        <v>49</v>
      </c>
    </row>
    <row r="58" s="3" customFormat="true" ht="12.75" hidden="false" customHeight="false" outlineLevel="0" collapsed="false">
      <c r="A58" s="361" t="s">
        <v>413</v>
      </c>
      <c r="B58" s="363" t="s">
        <v>49</v>
      </c>
    </row>
    <row r="59" s="3" customFormat="true" ht="12.75" hidden="false" customHeight="false" outlineLevel="0" collapsed="false">
      <c r="A59" s="361" t="s">
        <v>594</v>
      </c>
      <c r="B59" s="363" t="s">
        <v>49</v>
      </c>
    </row>
    <row r="60" s="3" customFormat="true" ht="12.75" hidden="false" customHeight="false" outlineLevel="0" collapsed="false">
      <c r="A60" s="189" t="s">
        <v>860</v>
      </c>
      <c r="B60" s="363" t="s">
        <v>891</v>
      </c>
    </row>
    <row r="61" s="3" customFormat="true" ht="12.75" hidden="false" customHeight="false" outlineLevel="0" collapsed="false">
      <c r="A61" s="361" t="s">
        <v>781</v>
      </c>
      <c r="B61" s="363" t="s">
        <v>242</v>
      </c>
    </row>
    <row r="62" s="3" customFormat="true" ht="12.75" hidden="false" customHeight="false" outlineLevel="0" collapsed="false">
      <c r="A62" s="361" t="s">
        <v>613</v>
      </c>
      <c r="B62" s="363" t="s">
        <v>49</v>
      </c>
    </row>
    <row r="63" s="3" customFormat="true" ht="12.75" hidden="false" customHeight="false" outlineLevel="0" collapsed="false">
      <c r="A63" s="361" t="s">
        <v>504</v>
      </c>
      <c r="B63" s="363" t="s">
        <v>892</v>
      </c>
    </row>
    <row r="64" s="3" customFormat="true" ht="12.75" hidden="false" customHeight="false" outlineLevel="0" collapsed="false">
      <c r="A64" s="361" t="s">
        <v>72</v>
      </c>
      <c r="B64" s="367" t="s">
        <v>898</v>
      </c>
    </row>
    <row r="65" s="3" customFormat="true" ht="12.75" hidden="false" customHeight="false" outlineLevel="0" collapsed="false">
      <c r="A65" s="361" t="s">
        <v>72</v>
      </c>
      <c r="B65" s="363" t="s">
        <v>898</v>
      </c>
    </row>
    <row r="66" s="3" customFormat="true" ht="12.75" hidden="false" customHeight="false" outlineLevel="0" collapsed="false">
      <c r="A66" s="363" t="s">
        <v>907</v>
      </c>
      <c r="B66" s="363" t="s">
        <v>898</v>
      </c>
    </row>
    <row r="67" s="3" customFormat="true" ht="12.75" hidden="false" customHeight="false" outlineLevel="0" collapsed="false">
      <c r="A67" s="361" t="s">
        <v>74</v>
      </c>
      <c r="B67" s="367" t="s">
        <v>908</v>
      </c>
    </row>
    <row r="68" s="3" customFormat="true" ht="12.75" hidden="false" customHeight="false" outlineLevel="0" collapsed="false">
      <c r="A68" s="189" t="s">
        <v>847</v>
      </c>
      <c r="B68" s="189" t="s">
        <v>49</v>
      </c>
    </row>
    <row r="69" s="3" customFormat="true" ht="12.75" hidden="false" customHeight="false" outlineLevel="0" collapsed="false">
      <c r="A69" s="361" t="s">
        <v>629</v>
      </c>
      <c r="B69" s="363" t="s">
        <v>49</v>
      </c>
    </row>
    <row r="70" s="3" customFormat="true" ht="12.75" hidden="false" customHeight="false" outlineLevel="0" collapsed="false">
      <c r="A70" s="361" t="s">
        <v>206</v>
      </c>
      <c r="B70" s="363" t="s">
        <v>49</v>
      </c>
    </row>
    <row r="71" s="3" customFormat="true" ht="12.75" hidden="false" customHeight="false" outlineLevel="0" collapsed="false">
      <c r="A71" s="361" t="s">
        <v>439</v>
      </c>
      <c r="B71" s="363" t="s">
        <v>898</v>
      </c>
    </row>
    <row r="72" s="3" customFormat="true" ht="12.75" hidden="false" customHeight="false" outlineLevel="0" collapsed="false">
      <c r="A72" s="361" t="s">
        <v>210</v>
      </c>
      <c r="B72" s="363" t="s">
        <v>892</v>
      </c>
    </row>
    <row r="73" s="3" customFormat="true" ht="12.75" hidden="false" customHeight="false" outlineLevel="0" collapsed="false">
      <c r="A73" s="361" t="s">
        <v>210</v>
      </c>
      <c r="B73" s="363" t="s">
        <v>892</v>
      </c>
    </row>
    <row r="74" s="3" customFormat="true" ht="12.75" hidden="false" customHeight="false" outlineLevel="0" collapsed="false">
      <c r="A74" s="361" t="s">
        <v>210</v>
      </c>
      <c r="B74" s="363" t="s">
        <v>909</v>
      </c>
    </row>
    <row r="75" s="3" customFormat="true" ht="12.75" hidden="false" customHeight="false" outlineLevel="0" collapsed="false">
      <c r="A75" s="361" t="s">
        <v>197</v>
      </c>
      <c r="B75" s="363" t="s">
        <v>898</v>
      </c>
    </row>
    <row r="76" s="3" customFormat="true" ht="12.75" hidden="false" customHeight="false" outlineLevel="0" collapsed="false">
      <c r="A76" s="361" t="s">
        <v>197</v>
      </c>
      <c r="B76" s="363" t="s">
        <v>898</v>
      </c>
    </row>
    <row r="77" s="3" customFormat="true" ht="12.75" hidden="false" customHeight="false" outlineLevel="0" collapsed="false">
      <c r="A77" s="361" t="s">
        <v>238</v>
      </c>
      <c r="B77" s="363" t="s">
        <v>49</v>
      </c>
    </row>
    <row r="78" s="3" customFormat="true" ht="12.75" hidden="false" customHeight="false" outlineLevel="0" collapsed="false">
      <c r="A78" s="361" t="s">
        <v>619</v>
      </c>
      <c r="B78" s="363" t="s">
        <v>898</v>
      </c>
    </row>
    <row r="79" s="3" customFormat="true" ht="12.75" hidden="false" customHeight="false" outlineLevel="0" collapsed="false">
      <c r="A79" s="361" t="s">
        <v>619</v>
      </c>
      <c r="B79" s="363" t="s">
        <v>892</v>
      </c>
    </row>
    <row r="80" s="3" customFormat="true" ht="12.75" hidden="false" customHeight="false" outlineLevel="0" collapsed="false">
      <c r="A80" s="361" t="s">
        <v>619</v>
      </c>
      <c r="B80" s="363" t="s">
        <v>892</v>
      </c>
    </row>
    <row r="81" s="3" customFormat="true" ht="12.75" hidden="false" customHeight="false" outlineLevel="0" collapsed="false">
      <c r="A81" s="361" t="s">
        <v>619</v>
      </c>
      <c r="B81" s="363" t="s">
        <v>898</v>
      </c>
    </row>
    <row r="82" s="3" customFormat="true" ht="12.75" hidden="false" customHeight="false" outlineLevel="0" collapsed="false">
      <c r="A82" s="361" t="s">
        <v>99</v>
      </c>
      <c r="B82" s="363" t="s">
        <v>897</v>
      </c>
    </row>
    <row r="83" s="3" customFormat="true" ht="12.75" hidden="false" customHeight="false" outlineLevel="0" collapsed="false">
      <c r="A83" s="361" t="s">
        <v>332</v>
      </c>
      <c r="B83" s="363" t="s">
        <v>898</v>
      </c>
    </row>
    <row r="84" s="3" customFormat="true" ht="12.75" hidden="false" customHeight="false" outlineLevel="0" collapsed="false">
      <c r="A84" s="361" t="s">
        <v>332</v>
      </c>
      <c r="B84" s="363" t="s">
        <v>898</v>
      </c>
    </row>
    <row r="85" s="3" customFormat="true" ht="12.75" hidden="false" customHeight="false" outlineLevel="0" collapsed="false">
      <c r="A85" s="361" t="s">
        <v>332</v>
      </c>
      <c r="B85" s="363" t="s">
        <v>898</v>
      </c>
    </row>
    <row r="86" s="3" customFormat="true" ht="12.75" hidden="false" customHeight="false" outlineLevel="0" collapsed="false">
      <c r="A86" s="361" t="s">
        <v>332</v>
      </c>
      <c r="B86" s="363" t="s">
        <v>898</v>
      </c>
    </row>
    <row r="87" s="3" customFormat="true" ht="12.75" hidden="false" customHeight="false" outlineLevel="0" collapsed="false">
      <c r="A87" s="361" t="s">
        <v>332</v>
      </c>
      <c r="B87" s="363" t="s">
        <v>898</v>
      </c>
    </row>
    <row r="88" s="3" customFormat="true" ht="12.75" hidden="false" customHeight="false" outlineLevel="0" collapsed="false">
      <c r="A88" s="361" t="s">
        <v>332</v>
      </c>
      <c r="B88" s="363" t="s">
        <v>898</v>
      </c>
    </row>
    <row r="89" s="3" customFormat="true" ht="12.75" hidden="false" customHeight="false" outlineLevel="0" collapsed="false">
      <c r="A89" s="361" t="s">
        <v>723</v>
      </c>
      <c r="B89" s="363" t="s">
        <v>899</v>
      </c>
    </row>
    <row r="90" s="3" customFormat="true" ht="12.75" hidden="false" customHeight="false" outlineLevel="0" collapsed="false">
      <c r="A90" s="361" t="s">
        <v>232</v>
      </c>
      <c r="B90" s="363" t="s">
        <v>49</v>
      </c>
    </row>
    <row r="91" s="3" customFormat="true" ht="12.75" hidden="false" customHeight="false" outlineLevel="0" collapsed="false">
      <c r="A91" s="361" t="s">
        <v>910</v>
      </c>
      <c r="B91" s="363" t="s">
        <v>49</v>
      </c>
    </row>
    <row r="92" s="3" customFormat="true" ht="12.75" hidden="false" customHeight="false" outlineLevel="0" collapsed="false">
      <c r="A92" s="361" t="s">
        <v>660</v>
      </c>
      <c r="B92" s="363" t="s">
        <v>49</v>
      </c>
    </row>
    <row r="93" s="3" customFormat="true" ht="12.75" hidden="false" customHeight="false" outlineLevel="0" collapsed="false">
      <c r="A93" s="361" t="s">
        <v>660</v>
      </c>
      <c r="B93" s="363" t="s">
        <v>49</v>
      </c>
    </row>
    <row r="94" s="3" customFormat="true" ht="12.75" hidden="false" customHeight="false" outlineLevel="0" collapsed="false">
      <c r="A94" s="361" t="s">
        <v>267</v>
      </c>
      <c r="B94" s="363" t="s">
        <v>898</v>
      </c>
    </row>
    <row r="95" s="3" customFormat="true" ht="12.75" hidden="false" customHeight="false" outlineLevel="0" collapsed="false">
      <c r="A95" s="361" t="s">
        <v>449</v>
      </c>
      <c r="B95" s="363" t="s">
        <v>897</v>
      </c>
    </row>
    <row r="96" s="3" customFormat="true" ht="12.75" hidden="false" customHeight="false" outlineLevel="0" collapsed="false">
      <c r="A96" s="361" t="s">
        <v>449</v>
      </c>
      <c r="B96" s="363" t="s">
        <v>897</v>
      </c>
    </row>
    <row r="97" s="3" customFormat="true" ht="12.75" hidden="false" customHeight="false" outlineLevel="0" collapsed="false">
      <c r="A97" s="361" t="s">
        <v>911</v>
      </c>
      <c r="B97" s="363" t="s">
        <v>892</v>
      </c>
    </row>
    <row r="98" s="3" customFormat="true" ht="12.75" hidden="false" customHeight="false" outlineLevel="0" collapsed="false">
      <c r="A98" s="361" t="s">
        <v>912</v>
      </c>
      <c r="B98" s="363" t="s">
        <v>894</v>
      </c>
    </row>
    <row r="99" s="3" customFormat="true" ht="12.75" hidden="false" customHeight="false" outlineLevel="0" collapsed="false">
      <c r="A99" s="361" t="s">
        <v>561</v>
      </c>
      <c r="B99" s="363" t="s">
        <v>892</v>
      </c>
    </row>
    <row r="100" s="3" customFormat="true" ht="12.75" hidden="false" customHeight="false" outlineLevel="0" collapsed="false">
      <c r="A100" s="361" t="s">
        <v>324</v>
      </c>
      <c r="B100" s="363" t="s">
        <v>898</v>
      </c>
    </row>
    <row r="101" s="3" customFormat="true" ht="12.75" hidden="false" customHeight="false" outlineLevel="0" collapsed="false">
      <c r="A101" s="361" t="s">
        <v>648</v>
      </c>
      <c r="B101" s="363" t="s">
        <v>913</v>
      </c>
    </row>
    <row r="102" s="3" customFormat="true" ht="12.75" hidden="false" customHeight="false" outlineLevel="0" collapsed="false">
      <c r="A102" s="189" t="s">
        <v>807</v>
      </c>
      <c r="B102" s="189" t="s">
        <v>892</v>
      </c>
    </row>
    <row r="103" s="3" customFormat="true" ht="12.75" hidden="false" customHeight="false" outlineLevel="0" collapsed="false">
      <c r="A103" s="361" t="s">
        <v>544</v>
      </c>
      <c r="B103" s="363" t="s">
        <v>897</v>
      </c>
    </row>
    <row r="104" s="3" customFormat="true" ht="12.75" hidden="false" customHeight="false" outlineLevel="0" collapsed="false">
      <c r="A104" s="361" t="s">
        <v>304</v>
      </c>
      <c r="B104" s="363" t="s">
        <v>49</v>
      </c>
    </row>
    <row r="105" s="3" customFormat="true" ht="12.75" hidden="false" customHeight="false" outlineLevel="0" collapsed="false">
      <c r="A105" s="361" t="s">
        <v>252</v>
      </c>
      <c r="B105" s="363" t="s">
        <v>898</v>
      </c>
    </row>
    <row r="106" s="3" customFormat="true" ht="12.75" hidden="false" customHeight="false" outlineLevel="0" collapsed="false">
      <c r="A106" s="361" t="s">
        <v>252</v>
      </c>
      <c r="B106" s="363" t="s">
        <v>898</v>
      </c>
    </row>
    <row r="107" s="3" customFormat="true" ht="12.75" hidden="false" customHeight="false" outlineLevel="0" collapsed="false">
      <c r="A107" s="361" t="s">
        <v>157</v>
      </c>
      <c r="B107" s="363" t="s">
        <v>894</v>
      </c>
    </row>
    <row r="108" s="3" customFormat="true" ht="12.75" hidden="false" customHeight="false" outlineLevel="0" collapsed="false">
      <c r="A108" s="361" t="s">
        <v>108</v>
      </c>
      <c r="B108" s="363" t="s">
        <v>899</v>
      </c>
    </row>
    <row r="109" s="3" customFormat="true" ht="12.75" hidden="false" customHeight="false" outlineLevel="0" collapsed="false">
      <c r="A109" s="189" t="s">
        <v>803</v>
      </c>
      <c r="B109" s="189" t="s">
        <v>897</v>
      </c>
    </row>
    <row r="110" s="3" customFormat="true" ht="12.75" hidden="false" customHeight="false" outlineLevel="0" collapsed="false">
      <c r="A110" s="361" t="s">
        <v>766</v>
      </c>
      <c r="B110" s="363" t="s">
        <v>49</v>
      </c>
    </row>
    <row r="111" s="3" customFormat="true" ht="12.75" hidden="false" customHeight="false" outlineLevel="0" collapsed="false">
      <c r="A111" s="363" t="s">
        <v>299</v>
      </c>
      <c r="B111" s="363" t="s">
        <v>242</v>
      </c>
    </row>
    <row r="112" s="3" customFormat="true" ht="12.75" hidden="false" customHeight="false" outlineLevel="0" collapsed="false">
      <c r="A112" s="189" t="s">
        <v>808</v>
      </c>
      <c r="B112" s="189" t="s">
        <v>894</v>
      </c>
    </row>
    <row r="113" s="3" customFormat="true" ht="12.75" hidden="false" customHeight="false" outlineLevel="0" collapsed="false">
      <c r="A113" s="361" t="s">
        <v>617</v>
      </c>
      <c r="B113" s="363" t="s">
        <v>894</v>
      </c>
    </row>
    <row r="114" s="3" customFormat="true" ht="12.75" hidden="false" customHeight="false" outlineLevel="0" collapsed="false">
      <c r="A114" s="365" t="s">
        <v>698</v>
      </c>
      <c r="B114" s="366"/>
    </row>
    <row r="115" s="3" customFormat="true" ht="12.75" hidden="false" customHeight="false" outlineLevel="0" collapsed="false">
      <c r="A115" s="361" t="s">
        <v>762</v>
      </c>
      <c r="B115" s="363" t="s">
        <v>903</v>
      </c>
    </row>
    <row r="116" s="3" customFormat="true" ht="12.75" hidden="false" customHeight="false" outlineLevel="0" collapsed="false">
      <c r="A116" s="361" t="s">
        <v>542</v>
      </c>
      <c r="B116" s="363" t="s">
        <v>894</v>
      </c>
    </row>
    <row r="117" s="3" customFormat="true" ht="12.75" hidden="false" customHeight="false" outlineLevel="0" collapsed="false">
      <c r="A117" s="361" t="s">
        <v>307</v>
      </c>
      <c r="B117" s="363" t="s">
        <v>892</v>
      </c>
    </row>
    <row r="118" s="3" customFormat="true" ht="12.75" hidden="false" customHeight="false" outlineLevel="0" collapsed="false">
      <c r="A118" s="361" t="s">
        <v>372</v>
      </c>
      <c r="B118" s="363" t="s">
        <v>894</v>
      </c>
    </row>
    <row r="119" s="3" customFormat="true" ht="12.75" hidden="false" customHeight="false" outlineLevel="0" collapsed="false">
      <c r="A119" s="189" t="s">
        <v>827</v>
      </c>
      <c r="B119" s="189" t="s">
        <v>899</v>
      </c>
    </row>
    <row r="120" s="3" customFormat="true" ht="12.75" hidden="false" customHeight="false" outlineLevel="0" collapsed="false">
      <c r="A120" s="361" t="s">
        <v>914</v>
      </c>
      <c r="B120" s="363" t="s">
        <v>49</v>
      </c>
    </row>
    <row r="121" s="3" customFormat="true" ht="12.75" hidden="false" customHeight="false" outlineLevel="0" collapsed="false">
      <c r="A121" s="361" t="s">
        <v>282</v>
      </c>
      <c r="B121" s="363" t="s">
        <v>49</v>
      </c>
    </row>
    <row r="122" s="3" customFormat="true" ht="12.75" hidden="false" customHeight="false" outlineLevel="0" collapsed="false">
      <c r="A122" s="361" t="s">
        <v>148</v>
      </c>
      <c r="B122" s="363" t="s">
        <v>49</v>
      </c>
    </row>
    <row r="123" s="3" customFormat="true" ht="12.75" hidden="false" customHeight="false" outlineLevel="0" collapsed="false">
      <c r="A123" s="361" t="s">
        <v>270</v>
      </c>
      <c r="B123" s="363" t="s">
        <v>892</v>
      </c>
    </row>
    <row r="124" s="3" customFormat="true" ht="12.75" hidden="false" customHeight="false" outlineLevel="0" collapsed="false">
      <c r="A124" s="361" t="s">
        <v>116</v>
      </c>
      <c r="B124" s="363" t="s">
        <v>892</v>
      </c>
    </row>
    <row r="125" s="3" customFormat="true" ht="12.75" hidden="false" customHeight="false" outlineLevel="0" collapsed="false">
      <c r="A125" s="361" t="s">
        <v>915</v>
      </c>
      <c r="B125" s="363" t="s">
        <v>892</v>
      </c>
    </row>
    <row r="126" s="3" customFormat="true" ht="12.75" hidden="false" customHeight="false" outlineLevel="0" collapsed="false">
      <c r="A126" s="189" t="s">
        <v>850</v>
      </c>
      <c r="B126" s="189" t="s">
        <v>892</v>
      </c>
    </row>
    <row r="127" s="3" customFormat="true" ht="12.75" hidden="false" customHeight="false" outlineLevel="0" collapsed="false">
      <c r="A127" s="361" t="s">
        <v>115</v>
      </c>
      <c r="B127" s="363" t="s">
        <v>49</v>
      </c>
    </row>
    <row r="128" s="3" customFormat="true" ht="12.75" hidden="false" customHeight="false" outlineLevel="0" collapsed="false">
      <c r="A128" s="361" t="s">
        <v>384</v>
      </c>
      <c r="B128" s="363" t="s">
        <v>899</v>
      </c>
    </row>
    <row r="129" s="3" customFormat="true" ht="12.75" hidden="false" customHeight="false" outlineLevel="0" collapsed="false">
      <c r="A129" s="361" t="s">
        <v>574</v>
      </c>
      <c r="B129" s="363" t="s">
        <v>49</v>
      </c>
    </row>
    <row r="130" s="3" customFormat="true" ht="12.75" hidden="false" customHeight="false" outlineLevel="0" collapsed="false">
      <c r="A130" s="361" t="s">
        <v>551</v>
      </c>
      <c r="B130" s="363" t="s">
        <v>894</v>
      </c>
    </row>
    <row r="131" s="3" customFormat="true" ht="12.75" hidden="false" customHeight="false" outlineLevel="0" collapsed="false">
      <c r="A131" s="361" t="s">
        <v>551</v>
      </c>
      <c r="B131" s="363" t="s">
        <v>894</v>
      </c>
    </row>
    <row r="132" s="3" customFormat="true" ht="12.75" hidden="false" customHeight="false" outlineLevel="0" collapsed="false">
      <c r="A132" s="361" t="s">
        <v>377</v>
      </c>
      <c r="B132" s="363" t="s">
        <v>892</v>
      </c>
    </row>
    <row r="133" s="3" customFormat="true" ht="12.75" hidden="false" customHeight="false" outlineLevel="0" collapsed="false">
      <c r="A133" s="361" t="s">
        <v>141</v>
      </c>
      <c r="B133" s="363" t="s">
        <v>898</v>
      </c>
    </row>
    <row r="134" s="3" customFormat="true" ht="12.75" hidden="false" customHeight="false" outlineLevel="0" collapsed="false">
      <c r="A134" s="361" t="s">
        <v>416</v>
      </c>
      <c r="B134" s="363" t="s">
        <v>897</v>
      </c>
    </row>
    <row r="135" s="3" customFormat="true" ht="12.75" hidden="false" customHeight="false" outlineLevel="0" collapsed="false">
      <c r="A135" s="361" t="s">
        <v>416</v>
      </c>
      <c r="B135" s="363" t="s">
        <v>897</v>
      </c>
    </row>
    <row r="136" s="3" customFormat="true" ht="12.75" hidden="false" customHeight="false" outlineLevel="0" collapsed="false">
      <c r="A136" s="361" t="s">
        <v>416</v>
      </c>
      <c r="B136" s="363" t="s">
        <v>897</v>
      </c>
    </row>
    <row r="137" s="3" customFormat="true" ht="12.75" hidden="false" customHeight="false" outlineLevel="0" collapsed="false">
      <c r="A137" s="361" t="s">
        <v>416</v>
      </c>
      <c r="B137" s="363" t="s">
        <v>897</v>
      </c>
    </row>
    <row r="138" s="3" customFormat="true" ht="12.75" hidden="false" customHeight="false" outlineLevel="0" collapsed="false">
      <c r="A138" s="361" t="s">
        <v>416</v>
      </c>
      <c r="B138" s="363" t="s">
        <v>897</v>
      </c>
    </row>
    <row r="139" s="3" customFormat="true" ht="12.75" hidden="false" customHeight="false" outlineLevel="0" collapsed="false">
      <c r="A139" s="361" t="s">
        <v>416</v>
      </c>
      <c r="B139" s="363" t="s">
        <v>897</v>
      </c>
    </row>
    <row r="140" s="3" customFormat="true" ht="12.75" hidden="false" customHeight="false" outlineLevel="0" collapsed="false">
      <c r="A140" s="361" t="s">
        <v>416</v>
      </c>
      <c r="B140" s="363" t="s">
        <v>897</v>
      </c>
    </row>
    <row r="141" s="3" customFormat="true" ht="12.75" hidden="false" customHeight="false" outlineLevel="0" collapsed="false">
      <c r="A141" s="361" t="s">
        <v>416</v>
      </c>
      <c r="B141" s="363" t="s">
        <v>897</v>
      </c>
    </row>
    <row r="142" s="3" customFormat="true" ht="12.75" hidden="false" customHeight="false" outlineLevel="0" collapsed="false">
      <c r="A142" s="361" t="s">
        <v>416</v>
      </c>
      <c r="B142" s="363" t="s">
        <v>897</v>
      </c>
    </row>
    <row r="143" s="3" customFormat="true" ht="12.75" hidden="false" customHeight="false" outlineLevel="0" collapsed="false">
      <c r="A143" s="361" t="s">
        <v>416</v>
      </c>
      <c r="B143" s="363" t="s">
        <v>897</v>
      </c>
    </row>
    <row r="144" s="3" customFormat="true" ht="12.75" hidden="false" customHeight="false" outlineLevel="0" collapsed="false">
      <c r="A144" s="361" t="s">
        <v>416</v>
      </c>
      <c r="B144" s="363" t="s">
        <v>897</v>
      </c>
    </row>
    <row r="145" s="3" customFormat="true" ht="12.75" hidden="false" customHeight="false" outlineLevel="0" collapsed="false">
      <c r="A145" s="361" t="s">
        <v>416</v>
      </c>
      <c r="B145" s="363" t="s">
        <v>897</v>
      </c>
    </row>
    <row r="146" s="3" customFormat="true" ht="12.75" hidden="false" customHeight="false" outlineLevel="0" collapsed="false">
      <c r="A146" s="361" t="s">
        <v>584</v>
      </c>
      <c r="B146" s="363" t="s">
        <v>898</v>
      </c>
    </row>
    <row r="147" s="3" customFormat="true" ht="12.75" hidden="false" customHeight="false" outlineLevel="0" collapsed="false">
      <c r="A147" s="182" t="s">
        <v>798</v>
      </c>
      <c r="B147" s="182" t="s">
        <v>49</v>
      </c>
    </row>
    <row r="148" s="3" customFormat="true" ht="12.75" hidden="false" customHeight="false" outlineLevel="0" collapsed="false">
      <c r="A148" s="361" t="s">
        <v>789</v>
      </c>
      <c r="B148" s="363" t="s">
        <v>242</v>
      </c>
    </row>
    <row r="149" s="3" customFormat="true" ht="12.75" hidden="false" customHeight="false" outlineLevel="0" collapsed="false">
      <c r="A149" s="361" t="s">
        <v>916</v>
      </c>
      <c r="B149" s="363" t="s">
        <v>909</v>
      </c>
    </row>
    <row r="150" s="3" customFormat="true" ht="12.75" hidden="false" customHeight="false" outlineLevel="0" collapsed="false">
      <c r="A150" s="361" t="s">
        <v>770</v>
      </c>
      <c r="B150" s="363" t="s">
        <v>913</v>
      </c>
    </row>
    <row r="151" s="3" customFormat="true" ht="12.75" hidden="false" customHeight="false" outlineLevel="0" collapsed="false">
      <c r="A151" s="361" t="s">
        <v>770</v>
      </c>
      <c r="B151" s="363" t="s">
        <v>913</v>
      </c>
    </row>
    <row r="152" s="3" customFormat="true" ht="12.75" hidden="false" customHeight="false" outlineLevel="0" collapsed="false">
      <c r="A152" s="361" t="s">
        <v>770</v>
      </c>
      <c r="B152" s="363" t="s">
        <v>913</v>
      </c>
    </row>
    <row r="153" s="3" customFormat="true" ht="12.75" hidden="false" customHeight="false" outlineLevel="0" collapsed="false">
      <c r="A153" s="361" t="s">
        <v>770</v>
      </c>
      <c r="B153" s="363" t="s">
        <v>913</v>
      </c>
    </row>
    <row r="154" s="3" customFormat="true" ht="12.75" hidden="false" customHeight="false" outlineLevel="0" collapsed="false">
      <c r="A154" s="361" t="s">
        <v>169</v>
      </c>
      <c r="B154" s="363" t="s">
        <v>891</v>
      </c>
    </row>
    <row r="155" s="3" customFormat="true" ht="12.75" hidden="false" customHeight="false" outlineLevel="0" collapsed="false">
      <c r="A155" s="361" t="s">
        <v>169</v>
      </c>
      <c r="B155" s="361" t="s">
        <v>891</v>
      </c>
    </row>
    <row r="156" s="3" customFormat="true" ht="12.75" hidden="false" customHeight="false" outlineLevel="0" collapsed="false">
      <c r="A156" s="361" t="s">
        <v>169</v>
      </c>
      <c r="B156" s="361" t="s">
        <v>891</v>
      </c>
    </row>
    <row r="157" s="3" customFormat="true" ht="12.75" hidden="false" customHeight="false" outlineLevel="0" collapsed="false">
      <c r="A157" s="361" t="s">
        <v>169</v>
      </c>
      <c r="B157" s="361" t="s">
        <v>891</v>
      </c>
    </row>
    <row r="158" s="3" customFormat="true" ht="12.75" hidden="false" customHeight="false" outlineLevel="0" collapsed="false">
      <c r="A158" s="361" t="s">
        <v>169</v>
      </c>
      <c r="B158" s="361" t="s">
        <v>891</v>
      </c>
    </row>
    <row r="159" s="3" customFormat="true" ht="12.75" hidden="false" customHeight="false" outlineLevel="0" collapsed="false">
      <c r="A159" s="361" t="s">
        <v>169</v>
      </c>
      <c r="B159" s="361" t="s">
        <v>891</v>
      </c>
    </row>
    <row r="160" s="3" customFormat="true" ht="12.75" hidden="false" customHeight="false" outlineLevel="0" collapsed="false">
      <c r="A160" s="189" t="s">
        <v>169</v>
      </c>
      <c r="B160" s="363" t="s">
        <v>891</v>
      </c>
    </row>
    <row r="161" s="3" customFormat="true" ht="12.75" hidden="false" customHeight="false" outlineLevel="0" collapsed="false">
      <c r="A161" s="189" t="s">
        <v>169</v>
      </c>
      <c r="B161" s="363" t="s">
        <v>891</v>
      </c>
    </row>
    <row r="162" s="3" customFormat="true" ht="12.75" hidden="false" customHeight="false" outlineLevel="0" collapsed="false">
      <c r="A162" s="361" t="s">
        <v>745</v>
      </c>
      <c r="B162" s="363" t="s">
        <v>917</v>
      </c>
    </row>
    <row r="163" s="3" customFormat="true" ht="12.75" hidden="false" customHeight="false" outlineLevel="0" collapsed="false">
      <c r="A163" s="361" t="s">
        <v>918</v>
      </c>
      <c r="B163" s="363" t="s">
        <v>898</v>
      </c>
    </row>
    <row r="164" s="3" customFormat="true" ht="12.75" hidden="false" customHeight="false" outlineLevel="0" collapsed="false">
      <c r="A164" s="361" t="s">
        <v>591</v>
      </c>
      <c r="B164" s="363" t="s">
        <v>898</v>
      </c>
    </row>
    <row r="165" s="3" customFormat="true" ht="12.75" hidden="false" customHeight="false" outlineLevel="0" collapsed="false">
      <c r="A165" s="189" t="s">
        <v>835</v>
      </c>
      <c r="B165" s="189" t="s">
        <v>49</v>
      </c>
    </row>
    <row r="166" s="3" customFormat="true" ht="12.75" hidden="false" customHeight="false" outlineLevel="0" collapsed="false">
      <c r="A166" s="361" t="s">
        <v>598</v>
      </c>
      <c r="B166" s="363" t="s">
        <v>892</v>
      </c>
    </row>
    <row r="167" s="3" customFormat="true" ht="12.75" hidden="false" customHeight="false" outlineLevel="0" collapsed="false">
      <c r="A167" s="361" t="s">
        <v>225</v>
      </c>
      <c r="B167" s="363" t="s">
        <v>894</v>
      </c>
    </row>
    <row r="168" s="3" customFormat="true" ht="12.75" hidden="false" customHeight="false" outlineLevel="0" collapsed="false">
      <c r="A168" s="361" t="s">
        <v>572</v>
      </c>
      <c r="B168" s="363" t="s">
        <v>894</v>
      </c>
    </row>
    <row r="169" s="3" customFormat="true" ht="12.75" hidden="false" customHeight="false" outlineLevel="0" collapsed="false">
      <c r="A169" s="361" t="s">
        <v>622</v>
      </c>
      <c r="B169" s="363" t="s">
        <v>894</v>
      </c>
    </row>
    <row r="170" s="3" customFormat="true" ht="12.75" hidden="false" customHeight="false" outlineLevel="0" collapsed="false">
      <c r="A170" s="361" t="s">
        <v>484</v>
      </c>
      <c r="B170" s="363" t="s">
        <v>897</v>
      </c>
    </row>
    <row r="171" s="3" customFormat="true" ht="12.75" hidden="false" customHeight="false" outlineLevel="0" collapsed="false">
      <c r="A171" s="361" t="s">
        <v>346</v>
      </c>
      <c r="B171" s="363" t="s">
        <v>892</v>
      </c>
    </row>
    <row r="172" s="3" customFormat="true" ht="12.75" hidden="false" customHeight="false" outlineLevel="0" collapsed="false">
      <c r="A172" s="361" t="s">
        <v>530</v>
      </c>
      <c r="B172" s="363" t="s">
        <v>894</v>
      </c>
    </row>
    <row r="173" s="3" customFormat="true" ht="12.75" hidden="false" customHeight="false" outlineLevel="0" collapsed="false">
      <c r="A173" s="361" t="s">
        <v>596</v>
      </c>
      <c r="B173" s="363" t="s">
        <v>49</v>
      </c>
    </row>
    <row r="174" s="3" customFormat="true" ht="12.75" hidden="false" customHeight="false" outlineLevel="0" collapsed="false">
      <c r="A174" s="361" t="s">
        <v>564</v>
      </c>
      <c r="B174" s="363" t="s">
        <v>49</v>
      </c>
    </row>
    <row r="175" s="3" customFormat="true" ht="12.75" hidden="false" customHeight="false" outlineLevel="0" collapsed="false">
      <c r="A175" s="365" t="s">
        <v>150</v>
      </c>
      <c r="B175" s="366"/>
    </row>
    <row r="176" s="3" customFormat="true" ht="12.75" hidden="false" customHeight="false" outlineLevel="0" collapsed="false">
      <c r="A176" s="361" t="s">
        <v>357</v>
      </c>
      <c r="B176" s="363" t="s">
        <v>898</v>
      </c>
    </row>
    <row r="177" s="3" customFormat="true" ht="12.75" hidden="false" customHeight="false" outlineLevel="0" collapsed="false">
      <c r="A177" s="361" t="s">
        <v>357</v>
      </c>
      <c r="B177" s="363" t="s">
        <v>898</v>
      </c>
    </row>
    <row r="178" s="3" customFormat="true" ht="12.75" hidden="false" customHeight="false" outlineLevel="0" collapsed="false">
      <c r="A178" s="361" t="s">
        <v>357</v>
      </c>
      <c r="B178" s="363" t="s">
        <v>898</v>
      </c>
    </row>
    <row r="179" s="3" customFormat="true" ht="12.75" hidden="false" customHeight="false" outlineLevel="0" collapsed="false">
      <c r="A179" s="361" t="s">
        <v>344</v>
      </c>
      <c r="B179" s="363" t="s">
        <v>898</v>
      </c>
    </row>
    <row r="180" s="3" customFormat="true" ht="12.75" hidden="false" customHeight="false" outlineLevel="0" collapsed="false">
      <c r="A180" s="361" t="s">
        <v>919</v>
      </c>
      <c r="B180" s="367" t="s">
        <v>892</v>
      </c>
    </row>
    <row r="181" s="3" customFormat="true" ht="12.75" hidden="false" customHeight="false" outlineLevel="0" collapsed="false">
      <c r="A181" s="361" t="s">
        <v>920</v>
      </c>
      <c r="B181" s="363" t="s">
        <v>49</v>
      </c>
    </row>
    <row r="182" s="3" customFormat="true" ht="12.75" hidden="false" customHeight="false" outlineLevel="0" collapsed="false">
      <c r="A182" s="361" t="s">
        <v>560</v>
      </c>
      <c r="B182" s="363" t="s">
        <v>898</v>
      </c>
    </row>
    <row r="183" s="3" customFormat="true" ht="12.75" hidden="false" customHeight="false" outlineLevel="0" collapsed="false">
      <c r="A183" s="361" t="s">
        <v>390</v>
      </c>
      <c r="B183" s="363" t="s">
        <v>49</v>
      </c>
    </row>
    <row r="184" s="3" customFormat="true" ht="12.75" hidden="false" customHeight="false" outlineLevel="0" collapsed="false">
      <c r="A184" s="361" t="s">
        <v>390</v>
      </c>
      <c r="B184" s="363" t="s">
        <v>49</v>
      </c>
    </row>
    <row r="185" s="3" customFormat="true" ht="12.75" hidden="false" customHeight="false" outlineLevel="0" collapsed="false">
      <c r="A185" s="361" t="s">
        <v>390</v>
      </c>
      <c r="B185" s="363" t="s">
        <v>49</v>
      </c>
    </row>
    <row r="186" s="3" customFormat="true" ht="12.75" hidden="false" customHeight="false" outlineLevel="0" collapsed="false">
      <c r="A186" s="361" t="s">
        <v>525</v>
      </c>
      <c r="B186" s="363" t="s">
        <v>242</v>
      </c>
    </row>
    <row r="187" s="3" customFormat="true" ht="12.75" hidden="false" customHeight="false" outlineLevel="0" collapsed="false">
      <c r="A187" s="361" t="s">
        <v>516</v>
      </c>
      <c r="B187" s="363" t="s">
        <v>892</v>
      </c>
    </row>
    <row r="188" s="3" customFormat="true" ht="12.75" hidden="false" customHeight="false" outlineLevel="0" collapsed="false">
      <c r="A188" s="361" t="s">
        <v>921</v>
      </c>
      <c r="B188" s="363" t="s">
        <v>242</v>
      </c>
    </row>
    <row r="189" s="3" customFormat="true" ht="12.75" hidden="false" customHeight="false" outlineLevel="0" collapsed="false">
      <c r="A189" s="361" t="s">
        <v>512</v>
      </c>
      <c r="B189" s="363" t="s">
        <v>49</v>
      </c>
    </row>
    <row r="190" s="3" customFormat="true" ht="12.75" hidden="false" customHeight="false" outlineLevel="0" collapsed="false">
      <c r="A190" s="189" t="s">
        <v>922</v>
      </c>
      <c r="B190" s="189" t="s">
        <v>892</v>
      </c>
    </row>
    <row r="191" s="3" customFormat="true" ht="12.75" hidden="false" customHeight="false" outlineLevel="0" collapsed="false">
      <c r="A191" s="361" t="s">
        <v>523</v>
      </c>
      <c r="B191" s="363" t="s">
        <v>892</v>
      </c>
    </row>
    <row r="192" s="3" customFormat="true" ht="12.75" hidden="false" customHeight="false" outlineLevel="0" collapsed="false">
      <c r="A192" s="361" t="s">
        <v>95</v>
      </c>
      <c r="B192" s="363" t="s">
        <v>909</v>
      </c>
    </row>
    <row r="193" s="3" customFormat="true" ht="12.75" hidden="false" customHeight="false" outlineLevel="0" collapsed="false">
      <c r="A193" s="361" t="s">
        <v>518</v>
      </c>
      <c r="B193" s="363" t="s">
        <v>909</v>
      </c>
    </row>
    <row r="194" s="3" customFormat="true" ht="12.75" hidden="false" customHeight="false" outlineLevel="0" collapsed="false">
      <c r="A194" s="361" t="s">
        <v>520</v>
      </c>
      <c r="B194" s="363" t="s">
        <v>909</v>
      </c>
    </row>
    <row r="195" s="3" customFormat="true" ht="12.75" hidden="false" customHeight="false" outlineLevel="0" collapsed="false">
      <c r="A195" s="361" t="s">
        <v>533</v>
      </c>
      <c r="B195" s="363" t="s">
        <v>49</v>
      </c>
    </row>
    <row r="196" s="3" customFormat="true" ht="12.75" hidden="false" customHeight="false" outlineLevel="0" collapsed="false">
      <c r="A196" s="361" t="s">
        <v>101</v>
      </c>
      <c r="B196" s="363" t="s">
        <v>892</v>
      </c>
    </row>
    <row r="197" s="3" customFormat="true" ht="12.75" hidden="false" customHeight="false" outlineLevel="0" collapsed="false">
      <c r="A197" s="189" t="s">
        <v>857</v>
      </c>
      <c r="B197" s="189" t="s">
        <v>892</v>
      </c>
    </row>
    <row r="198" s="3" customFormat="true" ht="12.75" hidden="false" customHeight="false" outlineLevel="0" collapsed="false">
      <c r="A198" s="189" t="s">
        <v>857</v>
      </c>
      <c r="B198" s="189" t="s">
        <v>892</v>
      </c>
    </row>
    <row r="199" s="3" customFormat="true" ht="12.75" hidden="false" customHeight="false" outlineLevel="0" collapsed="false">
      <c r="A199" s="189" t="s">
        <v>825</v>
      </c>
      <c r="B199" s="189" t="s">
        <v>892</v>
      </c>
    </row>
    <row r="200" s="3" customFormat="true" ht="12.75" hidden="false" customHeight="false" outlineLevel="0" collapsed="false">
      <c r="A200" s="361" t="s">
        <v>347</v>
      </c>
      <c r="B200" s="363" t="s">
        <v>892</v>
      </c>
    </row>
    <row r="201" s="3" customFormat="true" ht="12.75" hidden="false" customHeight="false" outlineLevel="0" collapsed="false">
      <c r="A201" s="189" t="s">
        <v>802</v>
      </c>
      <c r="B201" s="189" t="s">
        <v>899</v>
      </c>
    </row>
    <row r="202" s="3" customFormat="true" ht="12.75" hidden="false" customHeight="false" outlineLevel="0" collapsed="false">
      <c r="A202" s="361" t="s">
        <v>433</v>
      </c>
      <c r="B202" s="363" t="s">
        <v>894</v>
      </c>
    </row>
    <row r="203" s="3" customFormat="true" ht="12.75" hidden="false" customHeight="false" outlineLevel="0" collapsed="false">
      <c r="A203" s="189" t="s">
        <v>433</v>
      </c>
      <c r="B203" s="189" t="s">
        <v>894</v>
      </c>
    </row>
    <row r="204" s="3" customFormat="true" ht="12.75" hidden="false" customHeight="false" outlineLevel="0" collapsed="false">
      <c r="A204" s="361" t="s">
        <v>279</v>
      </c>
      <c r="B204" s="363" t="s">
        <v>894</v>
      </c>
    </row>
    <row r="205" s="3" customFormat="true" ht="12.75" hidden="false" customHeight="false" outlineLevel="0" collapsed="false">
      <c r="A205" s="361" t="s">
        <v>279</v>
      </c>
      <c r="B205" s="363" t="s">
        <v>894</v>
      </c>
    </row>
    <row r="206" s="3" customFormat="true" ht="12.75" hidden="false" customHeight="false" outlineLevel="0" collapsed="false">
      <c r="A206" s="361" t="s">
        <v>279</v>
      </c>
      <c r="B206" s="363" t="s">
        <v>894</v>
      </c>
    </row>
    <row r="207" s="3" customFormat="true" ht="12.75" hidden="false" customHeight="false" outlineLevel="0" collapsed="false">
      <c r="A207" s="189" t="s">
        <v>845</v>
      </c>
      <c r="B207" s="189" t="s">
        <v>49</v>
      </c>
    </row>
    <row r="208" s="3" customFormat="true" ht="12.75" hidden="false" customHeight="false" outlineLevel="0" collapsed="false">
      <c r="A208" s="361" t="s">
        <v>370</v>
      </c>
      <c r="B208" s="363" t="s">
        <v>898</v>
      </c>
    </row>
    <row r="209" s="3" customFormat="true" ht="12.75" hidden="false" customHeight="false" outlineLevel="0" collapsed="false">
      <c r="A209" s="361" t="s">
        <v>640</v>
      </c>
      <c r="B209" s="363" t="s">
        <v>49</v>
      </c>
    </row>
    <row r="210" s="3" customFormat="true" ht="12.75" hidden="false" customHeight="false" outlineLevel="0" collapsed="false">
      <c r="A210" s="361" t="s">
        <v>221</v>
      </c>
      <c r="B210" s="363" t="s">
        <v>892</v>
      </c>
    </row>
    <row r="211" s="3" customFormat="true" ht="12.75" hidden="false" customHeight="false" outlineLevel="0" collapsed="false">
      <c r="A211" s="361" t="s">
        <v>271</v>
      </c>
      <c r="B211" s="363" t="s">
        <v>892</v>
      </c>
    </row>
    <row r="212" s="3" customFormat="true" ht="12.75" hidden="false" customHeight="false" outlineLevel="0" collapsed="false">
      <c r="A212" s="361" t="s">
        <v>444</v>
      </c>
      <c r="B212" s="363" t="s">
        <v>909</v>
      </c>
    </row>
    <row r="213" s="3" customFormat="true" ht="12.75" hidden="false" customHeight="false" outlineLevel="0" collapsed="false">
      <c r="A213" s="361" t="s">
        <v>536</v>
      </c>
      <c r="B213" s="363" t="s">
        <v>49</v>
      </c>
    </row>
    <row r="214" s="3" customFormat="true" ht="12.75" hidden="false" customHeight="false" outlineLevel="0" collapsed="false">
      <c r="A214" s="361" t="s">
        <v>923</v>
      </c>
      <c r="B214" s="363" t="s">
        <v>898</v>
      </c>
    </row>
    <row r="215" s="3" customFormat="true" ht="12.75" hidden="false" customHeight="false" outlineLevel="0" collapsed="false">
      <c r="A215" s="361" t="s">
        <v>769</v>
      </c>
      <c r="B215" s="363" t="s">
        <v>49</v>
      </c>
    </row>
    <row r="216" s="3" customFormat="true" ht="12.75" hidden="false" customHeight="false" outlineLevel="0" collapsed="false">
      <c r="A216" s="361" t="s">
        <v>664</v>
      </c>
      <c r="B216" s="363" t="s">
        <v>894</v>
      </c>
    </row>
    <row r="217" s="3" customFormat="true" ht="12.75" hidden="false" customHeight="false" outlineLevel="0" collapsed="false">
      <c r="A217" s="361" t="s">
        <v>585</v>
      </c>
      <c r="B217" s="363" t="s">
        <v>892</v>
      </c>
    </row>
    <row r="218" s="3" customFormat="true" ht="12.75" hidden="false" customHeight="false" outlineLevel="0" collapsed="false">
      <c r="A218" s="361" t="s">
        <v>295</v>
      </c>
      <c r="B218" s="363" t="s">
        <v>894</v>
      </c>
    </row>
    <row r="219" s="3" customFormat="true" ht="12.75" hidden="false" customHeight="false" outlineLevel="0" collapsed="false">
      <c r="A219" s="361" t="s">
        <v>558</v>
      </c>
      <c r="B219" s="363" t="s">
        <v>49</v>
      </c>
    </row>
    <row r="220" s="3" customFormat="true" ht="12.75" hidden="false" customHeight="false" outlineLevel="0" collapsed="false">
      <c r="A220" s="361" t="s">
        <v>709</v>
      </c>
      <c r="B220" s="363" t="s">
        <v>49</v>
      </c>
    </row>
    <row r="221" s="3" customFormat="true" ht="12.75" hidden="false" customHeight="false" outlineLevel="0" collapsed="false">
      <c r="A221" s="361" t="s">
        <v>741</v>
      </c>
      <c r="B221" s="363" t="s">
        <v>49</v>
      </c>
    </row>
    <row r="222" s="3" customFormat="true" ht="12.75" hidden="false" customHeight="false" outlineLevel="0" collapsed="false">
      <c r="A222" s="361" t="s">
        <v>924</v>
      </c>
      <c r="B222" s="363" t="s">
        <v>898</v>
      </c>
    </row>
    <row r="223" s="3" customFormat="true" ht="12.75" hidden="false" customHeight="false" outlineLevel="0" collapsed="false">
      <c r="A223" s="361" t="s">
        <v>924</v>
      </c>
      <c r="B223" s="363" t="s">
        <v>898</v>
      </c>
    </row>
    <row r="224" s="3" customFormat="true" ht="12.75" hidden="false" customHeight="false" outlineLevel="0" collapsed="false">
      <c r="A224" s="368" t="s">
        <v>830</v>
      </c>
      <c r="B224" s="368"/>
    </row>
    <row r="225" s="3" customFormat="true" ht="12.75" hidden="false" customHeight="false" outlineLevel="0" collapsed="false">
      <c r="A225" s="361" t="s">
        <v>102</v>
      </c>
      <c r="B225" s="363" t="s">
        <v>897</v>
      </c>
    </row>
    <row r="226" s="3" customFormat="true" ht="12.75" hidden="false" customHeight="false" outlineLevel="0" collapsed="false">
      <c r="A226" s="364" t="s">
        <v>728</v>
      </c>
      <c r="B226" s="363" t="s">
        <v>892</v>
      </c>
    </row>
    <row r="227" s="3" customFormat="true" ht="12.75" hidden="false" customHeight="false" outlineLevel="0" collapsed="false">
      <c r="A227" s="361" t="s">
        <v>216</v>
      </c>
      <c r="B227" s="363" t="s">
        <v>892</v>
      </c>
    </row>
    <row r="228" s="3" customFormat="true" ht="12.75" hidden="false" customHeight="false" outlineLevel="0" collapsed="false">
      <c r="A228" s="361" t="s">
        <v>409</v>
      </c>
      <c r="B228" s="363" t="s">
        <v>898</v>
      </c>
    </row>
    <row r="229" s="3" customFormat="true" ht="12.75" hidden="false" customHeight="false" outlineLevel="0" collapsed="false">
      <c r="A229" s="361" t="s">
        <v>153</v>
      </c>
      <c r="B229" s="363" t="s">
        <v>898</v>
      </c>
    </row>
    <row r="230" s="3" customFormat="true" ht="12.75" hidden="false" customHeight="false" outlineLevel="0" collapsed="false">
      <c r="A230" s="361" t="s">
        <v>925</v>
      </c>
      <c r="B230" s="363" t="s">
        <v>908</v>
      </c>
    </row>
    <row r="231" s="3" customFormat="true" ht="12.75" hidden="false" customHeight="false" outlineLevel="0" collapsed="false">
      <c r="A231" s="361" t="s">
        <v>353</v>
      </c>
      <c r="B231" s="363" t="s">
        <v>894</v>
      </c>
    </row>
    <row r="232" s="3" customFormat="true" ht="12.75" hidden="false" customHeight="false" outlineLevel="0" collapsed="false">
      <c r="A232" s="361" t="s">
        <v>259</v>
      </c>
      <c r="B232" s="363" t="s">
        <v>909</v>
      </c>
    </row>
    <row r="233" s="3" customFormat="true" ht="25.5" hidden="false" customHeight="true" outlineLevel="0" collapsed="false">
      <c r="A233" s="361" t="s">
        <v>248</v>
      </c>
      <c r="B233" s="363" t="s">
        <v>892</v>
      </c>
    </row>
    <row r="234" s="3" customFormat="true" ht="12.75" hidden="false" customHeight="false" outlineLevel="0" collapsed="false">
      <c r="A234" s="361" t="s">
        <v>310</v>
      </c>
      <c r="B234" s="363" t="s">
        <v>892</v>
      </c>
    </row>
    <row r="235" s="3" customFormat="true" ht="12.75" hidden="false" customHeight="false" outlineLevel="0" collapsed="false">
      <c r="A235" s="361" t="s">
        <v>556</v>
      </c>
      <c r="B235" s="363" t="s">
        <v>892</v>
      </c>
    </row>
    <row r="236" s="3" customFormat="true" ht="12.75" hidden="false" customHeight="false" outlineLevel="0" collapsed="false">
      <c r="A236" s="361" t="s">
        <v>313</v>
      </c>
      <c r="B236" s="363" t="s">
        <v>892</v>
      </c>
    </row>
    <row r="237" s="3" customFormat="true" ht="12.75" hidden="false" customHeight="false" outlineLevel="0" collapsed="false">
      <c r="A237" s="361" t="s">
        <v>447</v>
      </c>
      <c r="B237" s="363" t="s">
        <v>894</v>
      </c>
    </row>
    <row r="238" s="3" customFormat="true" ht="12.75" hidden="false" customHeight="false" outlineLevel="0" collapsed="false">
      <c r="A238" s="361" t="s">
        <v>493</v>
      </c>
      <c r="B238" s="363" t="s">
        <v>49</v>
      </c>
    </row>
    <row r="239" s="3" customFormat="true" ht="12.75" hidden="false" customHeight="false" outlineLevel="0" collapsed="false">
      <c r="A239" s="361" t="s">
        <v>322</v>
      </c>
      <c r="B239" s="363" t="s">
        <v>898</v>
      </c>
    </row>
    <row r="240" s="3" customFormat="true" ht="12.75" hidden="false" customHeight="false" outlineLevel="0" collapsed="false">
      <c r="A240" s="361" t="s">
        <v>302</v>
      </c>
      <c r="B240" s="363" t="s">
        <v>898</v>
      </c>
    </row>
    <row r="241" s="3" customFormat="true" ht="12.75" hidden="false" customHeight="false" outlineLevel="0" collapsed="false">
      <c r="A241" s="361" t="s">
        <v>302</v>
      </c>
      <c r="B241" s="363" t="s">
        <v>898</v>
      </c>
    </row>
    <row r="242" s="3" customFormat="true" ht="12.75" hidden="false" customHeight="false" outlineLevel="0" collapsed="false">
      <c r="A242" s="361" t="s">
        <v>926</v>
      </c>
      <c r="B242" s="363" t="s">
        <v>892</v>
      </c>
    </row>
    <row r="243" s="3" customFormat="true" ht="12.75" hidden="false" customHeight="false" outlineLevel="0" collapsed="false">
      <c r="A243" s="361" t="s">
        <v>451</v>
      </c>
      <c r="B243" s="363" t="s">
        <v>917</v>
      </c>
    </row>
    <row r="244" s="3" customFormat="true" ht="12.75" hidden="false" customHeight="false" outlineLevel="0" collapsed="false">
      <c r="A244" s="361" t="s">
        <v>927</v>
      </c>
      <c r="B244" s="363" t="s">
        <v>898</v>
      </c>
    </row>
    <row r="245" s="3" customFormat="true" ht="12.75" hidden="false" customHeight="false" outlineLevel="0" collapsed="false">
      <c r="A245" s="361" t="s">
        <v>691</v>
      </c>
      <c r="B245" s="363" t="s">
        <v>49</v>
      </c>
    </row>
    <row r="246" s="3" customFormat="true" ht="12.75" hidden="false" customHeight="false" outlineLevel="0" collapsed="false">
      <c r="A246" s="361" t="s">
        <v>653</v>
      </c>
      <c r="B246" s="363" t="s">
        <v>49</v>
      </c>
    </row>
    <row r="247" s="3" customFormat="true" ht="12.75" hidden="false" customHeight="false" outlineLevel="0" collapsed="false">
      <c r="A247" s="361" t="s">
        <v>714</v>
      </c>
      <c r="B247" s="363" t="s">
        <v>894</v>
      </c>
    </row>
    <row r="248" s="3" customFormat="true" ht="12.75" hidden="false" customHeight="false" outlineLevel="0" collapsed="false">
      <c r="A248" s="361" t="s">
        <v>255</v>
      </c>
      <c r="B248" s="363" t="s">
        <v>49</v>
      </c>
    </row>
    <row r="249" s="3" customFormat="true" ht="12.75" hidden="false" customHeight="false" outlineLevel="0" collapsed="false">
      <c r="A249" s="361" t="s">
        <v>239</v>
      </c>
      <c r="B249" s="363" t="s">
        <v>892</v>
      </c>
    </row>
    <row r="250" s="3" customFormat="true" ht="12.75" hidden="false" customHeight="false" outlineLevel="0" collapsed="false">
      <c r="A250" s="361" t="s">
        <v>239</v>
      </c>
      <c r="B250" s="363" t="s">
        <v>892</v>
      </c>
    </row>
    <row r="251" s="3" customFormat="true" ht="12.75" hidden="false" customHeight="false" outlineLevel="0" collapsed="false">
      <c r="A251" s="361" t="s">
        <v>541</v>
      </c>
      <c r="B251" s="363" t="s">
        <v>49</v>
      </c>
    </row>
    <row r="252" s="3" customFormat="true" ht="12.75" hidden="false" customHeight="false" outlineLevel="0" collapsed="false">
      <c r="A252" s="361" t="s">
        <v>928</v>
      </c>
      <c r="B252" s="363" t="s">
        <v>242</v>
      </c>
    </row>
    <row r="253" s="3" customFormat="true" ht="12.75" hidden="false" customHeight="false" outlineLevel="0" collapsed="false">
      <c r="A253" s="365" t="s">
        <v>144</v>
      </c>
      <c r="B253" s="366"/>
    </row>
    <row r="254" s="3" customFormat="true" ht="12.75" hidden="false" customHeight="false" outlineLevel="0" collapsed="false">
      <c r="A254" s="361" t="s">
        <v>739</v>
      </c>
      <c r="B254" s="363" t="s">
        <v>892</v>
      </c>
    </row>
    <row r="255" s="3" customFormat="true" ht="12.75" hidden="false" customHeight="false" outlineLevel="0" collapsed="false">
      <c r="A255" s="361" t="s">
        <v>213</v>
      </c>
      <c r="B255" s="363" t="s">
        <v>909</v>
      </c>
    </row>
    <row r="256" s="3" customFormat="true" ht="12.75" hidden="false" customHeight="false" outlineLevel="0" collapsed="false">
      <c r="A256" s="361" t="s">
        <v>213</v>
      </c>
      <c r="B256" s="363" t="s">
        <v>909</v>
      </c>
    </row>
    <row r="257" s="3" customFormat="true" ht="12.75" hidden="false" customHeight="false" outlineLevel="0" collapsed="false">
      <c r="A257" s="361" t="s">
        <v>213</v>
      </c>
      <c r="B257" s="363" t="s">
        <v>909</v>
      </c>
    </row>
    <row r="258" s="3" customFormat="true" ht="12.75" hidden="false" customHeight="false" outlineLevel="0" collapsed="false">
      <c r="A258" s="361" t="s">
        <v>646</v>
      </c>
      <c r="B258" s="363" t="s">
        <v>909</v>
      </c>
    </row>
    <row r="259" s="3" customFormat="true" ht="12.75" hidden="false" customHeight="false" outlineLevel="0" collapsed="false">
      <c r="A259" s="189" t="s">
        <v>817</v>
      </c>
      <c r="B259" s="189" t="s">
        <v>894</v>
      </c>
    </row>
    <row r="260" s="3" customFormat="true" ht="12.75" hidden="false" customHeight="false" outlineLevel="0" collapsed="false">
      <c r="A260" s="361" t="s">
        <v>338</v>
      </c>
      <c r="B260" s="363" t="s">
        <v>903</v>
      </c>
    </row>
    <row r="261" s="3" customFormat="true" ht="12.75" hidden="false" customHeight="false" outlineLevel="0" collapsed="false">
      <c r="A261" s="361" t="s">
        <v>496</v>
      </c>
      <c r="B261" s="363" t="s">
        <v>909</v>
      </c>
    </row>
    <row r="262" s="3" customFormat="true" ht="12.75" hidden="false" customHeight="false" outlineLevel="0" collapsed="false">
      <c r="A262" s="361" t="s">
        <v>126</v>
      </c>
      <c r="B262" s="363" t="s">
        <v>894</v>
      </c>
    </row>
    <row r="263" s="3" customFormat="true" ht="12.75" hidden="false" customHeight="false" outlineLevel="0" collapsed="false">
      <c r="A263" s="361" t="s">
        <v>98</v>
      </c>
      <c r="B263" s="363" t="s">
        <v>909</v>
      </c>
    </row>
    <row r="264" s="3" customFormat="true" ht="12.75" hidden="false" customHeight="false" outlineLevel="0" collapsed="false">
      <c r="A264" s="369" t="s">
        <v>680</v>
      </c>
      <c r="B264" s="370" t="s">
        <v>892</v>
      </c>
    </row>
    <row r="265" s="3" customFormat="true" ht="12.75" hidden="false" customHeight="false" outlineLevel="0" collapsed="false">
      <c r="A265" s="361" t="s">
        <v>431</v>
      </c>
      <c r="B265" s="363" t="s">
        <v>894</v>
      </c>
    </row>
    <row r="266" s="3" customFormat="true" ht="12.75" hidden="false" customHeight="false" outlineLevel="0" collapsed="false">
      <c r="A266" s="361" t="s">
        <v>179</v>
      </c>
      <c r="B266" s="363" t="s">
        <v>909</v>
      </c>
    </row>
    <row r="267" s="3" customFormat="true" ht="12.75" hidden="false" customHeight="false" outlineLevel="0" collapsed="false">
      <c r="A267" s="361" t="s">
        <v>505</v>
      </c>
      <c r="B267" s="363" t="s">
        <v>898</v>
      </c>
    </row>
    <row r="268" s="3" customFormat="true" ht="12.75" hidden="false" customHeight="false" outlineLevel="0" collapsed="false">
      <c r="A268" s="361" t="s">
        <v>505</v>
      </c>
      <c r="B268" s="363" t="s">
        <v>898</v>
      </c>
    </row>
    <row r="269" s="3" customFormat="true" ht="12.75" hidden="false" customHeight="false" outlineLevel="0" collapsed="false">
      <c r="A269" s="361" t="s">
        <v>268</v>
      </c>
      <c r="B269" s="363" t="s">
        <v>909</v>
      </c>
    </row>
    <row r="270" s="3" customFormat="true" ht="12.75" hidden="false" customHeight="false" outlineLevel="0" collapsed="false">
      <c r="A270" s="361" t="s">
        <v>138</v>
      </c>
      <c r="B270" s="363" t="s">
        <v>49</v>
      </c>
    </row>
    <row r="271" s="3" customFormat="true" ht="12.75" hidden="false" customHeight="false" outlineLevel="0" collapsed="false">
      <c r="A271" s="361" t="s">
        <v>424</v>
      </c>
      <c r="B271" s="363" t="s">
        <v>892</v>
      </c>
    </row>
    <row r="272" s="3" customFormat="true" ht="12.75" hidden="false" customHeight="false" outlineLevel="0" collapsed="false">
      <c r="A272" s="361" t="s">
        <v>193</v>
      </c>
      <c r="B272" s="363" t="s">
        <v>894</v>
      </c>
    </row>
    <row r="273" s="3" customFormat="true" ht="12.75" hidden="false" customHeight="false" outlineLevel="0" collapsed="false">
      <c r="A273" s="361" t="s">
        <v>784</v>
      </c>
      <c r="B273" s="363" t="s">
        <v>242</v>
      </c>
    </row>
    <row r="274" s="3" customFormat="true" ht="12.75" hidden="false" customHeight="false" outlineLevel="0" collapsed="false">
      <c r="A274" s="361" t="s">
        <v>509</v>
      </c>
      <c r="B274" s="363" t="s">
        <v>897</v>
      </c>
    </row>
    <row r="275" s="3" customFormat="true" ht="12.75" hidden="false" customHeight="false" outlineLevel="0" collapsed="false">
      <c r="A275" s="361" t="s">
        <v>764</v>
      </c>
      <c r="B275" s="363" t="s">
        <v>49</v>
      </c>
    </row>
    <row r="276" s="3" customFormat="true" ht="12.75" hidden="false" customHeight="false" outlineLevel="0" collapsed="false">
      <c r="A276" s="361" t="s">
        <v>755</v>
      </c>
      <c r="B276" s="363" t="s">
        <v>894</v>
      </c>
    </row>
    <row r="277" s="3" customFormat="true" ht="12.75" hidden="false" customHeight="false" outlineLevel="0" collapsed="false">
      <c r="A277" s="361" t="s">
        <v>755</v>
      </c>
      <c r="B277" s="363" t="s">
        <v>894</v>
      </c>
    </row>
    <row r="278" s="3" customFormat="true" ht="12.75" hidden="false" customHeight="false" outlineLevel="0" collapsed="false">
      <c r="A278" s="361" t="s">
        <v>755</v>
      </c>
      <c r="B278" s="363" t="s">
        <v>894</v>
      </c>
    </row>
    <row r="279" s="3" customFormat="true" ht="12.75" hidden="false" customHeight="false" outlineLevel="0" collapsed="false">
      <c r="A279" s="361" t="s">
        <v>792</v>
      </c>
      <c r="B279" s="363" t="s">
        <v>898</v>
      </c>
    </row>
    <row r="280" s="3" customFormat="true" ht="12.75" hidden="false" customHeight="false" outlineLevel="0" collapsed="false">
      <c r="A280" s="361" t="s">
        <v>367</v>
      </c>
      <c r="B280" s="363" t="s">
        <v>49</v>
      </c>
    </row>
    <row r="281" s="3" customFormat="true" ht="12.75" hidden="false" customHeight="false" outlineLevel="0" collapsed="false">
      <c r="A281" s="361" t="s">
        <v>400</v>
      </c>
      <c r="B281" s="363" t="s">
        <v>894</v>
      </c>
    </row>
    <row r="282" s="3" customFormat="true" ht="12.75" hidden="false" customHeight="false" outlineLevel="0" collapsed="false">
      <c r="A282" s="361" t="s">
        <v>474</v>
      </c>
      <c r="B282" s="363" t="s">
        <v>913</v>
      </c>
    </row>
    <row r="283" s="3" customFormat="true" ht="12.75" hidden="false" customHeight="false" outlineLevel="0" collapsed="false">
      <c r="A283" s="189" t="s">
        <v>812</v>
      </c>
      <c r="B283" s="189" t="s">
        <v>892</v>
      </c>
    </row>
    <row r="284" s="3" customFormat="true" ht="12.75" hidden="false" customHeight="false" outlineLevel="0" collapsed="false">
      <c r="A284" s="361" t="s">
        <v>490</v>
      </c>
      <c r="B284" s="363" t="s">
        <v>49</v>
      </c>
    </row>
    <row r="285" s="3" customFormat="true" ht="12.75" hidden="false" customHeight="false" outlineLevel="0" collapsed="false">
      <c r="A285" s="361" t="s">
        <v>705</v>
      </c>
      <c r="B285" s="363" t="s">
        <v>49</v>
      </c>
    </row>
    <row r="286" s="3" customFormat="true" ht="12.75" hidden="false" customHeight="false" outlineLevel="0" collapsed="false">
      <c r="A286" s="189" t="s">
        <v>805</v>
      </c>
      <c r="B286" s="189" t="s">
        <v>892</v>
      </c>
    </row>
    <row r="287" s="3" customFormat="true" ht="12.75" hidden="false" customHeight="false" outlineLevel="0" collapsed="false">
      <c r="A287" s="4"/>
      <c r="B287" s="96"/>
    </row>
    <row r="288" s="3" customFormat="true" ht="12.75" hidden="false" customHeight="false" outlineLevel="0" collapsed="false">
      <c r="A288" s="40"/>
      <c r="B288" s="115"/>
    </row>
    <row r="289" s="3" customFormat="true" ht="12.75" hidden="false" customHeight="false" outlineLevel="0" collapsed="false">
      <c r="A289" s="40"/>
      <c r="B289" s="115"/>
    </row>
    <row r="290" s="3" customFormat="true" ht="12.75" hidden="false" customHeight="false" outlineLevel="0" collapsed="false">
      <c r="A290" s="49"/>
      <c r="B290" s="371"/>
    </row>
    <row r="291" s="3" customFormat="true" ht="12.75" hidden="false" customHeight="false" outlineLevel="0" collapsed="false">
      <c r="A291" s="40"/>
      <c r="B291" s="115"/>
    </row>
    <row r="292" s="3" customFormat="true" ht="12.75" hidden="false" customHeight="false" outlineLevel="0" collapsed="false">
      <c r="A292" s="4"/>
      <c r="B292" s="96"/>
    </row>
    <row r="293" s="3" customFormat="true" ht="12.75" hidden="false" customHeight="false" outlineLevel="0" collapsed="false">
      <c r="A293" s="4"/>
      <c r="B293" s="96"/>
    </row>
    <row r="294" s="3" customFormat="true" ht="12.75" hidden="false" customHeight="false" outlineLevel="0" collapsed="false">
      <c r="A294" s="4"/>
      <c r="B294" s="96"/>
    </row>
    <row r="295" customFormat="false" ht="12.75" hidden="false" customHeight="false" outlineLevel="0" collapsed="false">
      <c r="B295" s="96"/>
    </row>
    <row r="296" customFormat="false" ht="12.75" hidden="false" customHeight="false" outlineLevel="0" collapsed="false">
      <c r="A296" s="40"/>
      <c r="B296" s="115"/>
    </row>
    <row r="297" customFormat="false" ht="12.75" hidden="false" customHeight="false" outlineLevel="0" collapsed="false">
      <c r="B297" s="96"/>
    </row>
    <row r="298" customFormat="false" ht="12.75" hidden="false" customHeight="false" outlineLevel="0" collapsed="false">
      <c r="B298" s="96"/>
    </row>
    <row r="299" customFormat="false" ht="12.75" hidden="false" customHeight="false" outlineLevel="0" collapsed="false">
      <c r="B299" s="96"/>
    </row>
    <row r="300" customFormat="false" ht="12.75" hidden="false" customHeight="false" outlineLevel="0" collapsed="false">
      <c r="B300" s="96"/>
    </row>
    <row r="301" customFormat="false" ht="12.75" hidden="false" customHeight="false" outlineLevel="0" collapsed="false">
      <c r="A301" s="40"/>
      <c r="B301" s="115"/>
    </row>
    <row r="302" customFormat="false" ht="12.75" hidden="false" customHeight="false" outlineLevel="0" collapsed="false">
      <c r="A302" s="40"/>
      <c r="B302" s="115"/>
    </row>
    <row r="303" customFormat="false" ht="12.75" hidden="false" customHeight="false" outlineLevel="0" collapsed="false">
      <c r="B303" s="96"/>
    </row>
    <row r="304" customFormat="false" ht="12.75" hidden="false" customHeight="false" outlineLevel="0" collapsed="false">
      <c r="B304" s="96"/>
    </row>
    <row r="305" customFormat="false" ht="12.75" hidden="false" customHeight="false" outlineLevel="0" collapsed="false">
      <c r="B305" s="96"/>
    </row>
    <row r="306" customFormat="false" ht="12.75" hidden="false" customHeight="false" outlineLevel="0" collapsed="false">
      <c r="B306" s="96"/>
    </row>
    <row r="307" customFormat="false" ht="12.75" hidden="false" customHeight="false" outlineLevel="0" collapsed="false">
      <c r="B307" s="96"/>
    </row>
    <row r="308" customFormat="false" ht="12.75" hidden="false" customHeight="false" outlineLevel="0" collapsed="false">
      <c r="A308" s="49"/>
      <c r="B308" s="371"/>
    </row>
    <row r="309" customFormat="false" ht="12.75" hidden="false" customHeight="false" outlineLevel="0" collapsed="false">
      <c r="A309" s="40"/>
      <c r="B309" s="115"/>
    </row>
    <row r="310" customFormat="false" ht="12.75" hidden="false" customHeight="false" outlineLevel="0" collapsed="false">
      <c r="B310" s="96"/>
    </row>
    <row r="311" customFormat="false" ht="12.75" hidden="false" customHeight="false" outlineLevel="0" collapsed="false">
      <c r="B311" s="96"/>
    </row>
    <row r="312" customFormat="false" ht="12.75" hidden="false" customHeight="false" outlineLevel="0" collapsed="false">
      <c r="B312" s="96"/>
    </row>
    <row r="313" customFormat="false" ht="12.75" hidden="false" customHeight="false" outlineLevel="0" collapsed="false">
      <c r="B313" s="96"/>
    </row>
    <row r="314" customFormat="false" ht="12.75" hidden="false" customHeight="false" outlineLevel="0" collapsed="false">
      <c r="A314" s="40"/>
      <c r="B314" s="115"/>
    </row>
    <row r="315" customFormat="false" ht="12.75" hidden="false" customHeight="false" outlineLevel="0" collapsed="false">
      <c r="A315" s="69"/>
      <c r="B315" s="96"/>
    </row>
    <row r="316" customFormat="false" ht="12.75" hidden="false" customHeight="false" outlineLevel="0" collapsed="false">
      <c r="B316" s="96"/>
    </row>
    <row r="317" customFormat="false" ht="12.75" hidden="false" customHeight="false" outlineLevel="0" collapsed="false">
      <c r="B317" s="96"/>
    </row>
    <row r="318" customFormat="false" ht="12.75" hidden="false" customHeight="false" outlineLevel="0" collapsed="false">
      <c r="B318" s="115"/>
    </row>
    <row r="319" customFormat="false" ht="12.75" hidden="false" customHeight="false" outlineLevel="0" collapsed="false">
      <c r="A319" s="40"/>
      <c r="B319" s="372"/>
    </row>
    <row r="320" customFormat="false" ht="12.75" hidden="false" customHeight="false" outlineLevel="0" collapsed="false">
      <c r="A320" s="71"/>
    </row>
    <row r="321" customFormat="false" ht="12.75" hidden="false" customHeight="false" outlineLevel="0" collapsed="false">
      <c r="B321" s="96"/>
    </row>
    <row r="322" customFormat="false" ht="12.75" hidden="false" customHeight="false" outlineLevel="0" collapsed="false">
      <c r="B322" s="96"/>
    </row>
    <row r="323" customFormat="false" ht="12.75" hidden="false" customHeight="false" outlineLevel="0" collapsed="false">
      <c r="B323" s="96"/>
    </row>
    <row r="324" customFormat="false" ht="12.75" hidden="false" customHeight="false" outlineLevel="0" collapsed="false">
      <c r="A324" s="40"/>
      <c r="B324" s="115"/>
    </row>
    <row r="325" customFormat="false" ht="12.75" hidden="false" customHeight="false" outlineLevel="0" collapsed="false">
      <c r="B325" s="96"/>
    </row>
    <row r="326" customFormat="false" ht="12.75" hidden="false" customHeight="false" outlineLevel="0" collapsed="false">
      <c r="A326" s="49"/>
      <c r="B326" s="371"/>
    </row>
    <row r="327" customFormat="false" ht="12.75" hidden="false" customHeight="false" outlineLevel="0" collapsed="false">
      <c r="B327" s="96"/>
    </row>
    <row r="328" customFormat="false" ht="12.75" hidden="false" customHeight="false" outlineLevel="0" collapsed="false">
      <c r="A328" s="40"/>
      <c r="B328" s="115"/>
    </row>
    <row r="329" customFormat="false" ht="12.75" hidden="false" customHeight="false" outlineLevel="0" collapsed="false">
      <c r="A329" s="69"/>
      <c r="B329" s="96"/>
    </row>
    <row r="330" customFormat="false" ht="12.75" hidden="false" customHeight="false" outlineLevel="0" collapsed="false">
      <c r="B330" s="96"/>
    </row>
    <row r="331" customFormat="false" ht="12.75" hidden="false" customHeight="false" outlineLevel="0" collapsed="false">
      <c r="B331" s="96"/>
    </row>
    <row r="332" customFormat="false" ht="12.75" hidden="false" customHeight="false" outlineLevel="0" collapsed="false">
      <c r="B332" s="96"/>
    </row>
    <row r="333" customFormat="false" ht="12.75" hidden="false" customHeight="false" outlineLevel="0" collapsed="false">
      <c r="A333" s="40"/>
      <c r="B333" s="115"/>
    </row>
    <row r="334" customFormat="false" ht="12.75" hidden="false" customHeight="false" outlineLevel="0" collapsed="false">
      <c r="B334" s="96"/>
    </row>
    <row r="335" customFormat="false" ht="12.75" hidden="false" customHeight="false" outlineLevel="0" collapsed="false">
      <c r="B335" s="96"/>
    </row>
    <row r="336" customFormat="false" ht="12.75" hidden="false" customHeight="false" outlineLevel="0" collapsed="false">
      <c r="B336" s="96"/>
    </row>
    <row r="337" customFormat="false" ht="12.75" hidden="false" customHeight="false" outlineLevel="0" collapsed="false">
      <c r="B337" s="96"/>
    </row>
    <row r="338" customFormat="false" ht="12.75" hidden="false" customHeight="false" outlineLevel="0" collapsed="false">
      <c r="A338" s="40"/>
      <c r="B338" s="115"/>
    </row>
    <row r="339" customFormat="false" ht="12.75" hidden="false" customHeight="false" outlineLevel="0" collapsed="false">
      <c r="B339" s="96"/>
    </row>
    <row r="340" customFormat="false" ht="12.75" hidden="false" customHeight="false" outlineLevel="0" collapsed="false">
      <c r="B340" s="96"/>
    </row>
    <row r="341" customFormat="false" ht="12.75" hidden="false" customHeight="false" outlineLevel="0" collapsed="false">
      <c r="B341" s="96"/>
    </row>
    <row r="342" customFormat="false" ht="12.75" hidden="false" customHeight="false" outlineLevel="0" collapsed="false">
      <c r="B342" s="96"/>
    </row>
    <row r="343" customFormat="false" ht="12.75" hidden="false" customHeight="false" outlineLevel="0" collapsed="false">
      <c r="A343" s="40"/>
      <c r="B343" s="115"/>
    </row>
    <row r="344" customFormat="false" ht="12.75" hidden="false" customHeight="false" outlineLevel="0" collapsed="false">
      <c r="A344" s="79"/>
      <c r="B344" s="373"/>
    </row>
    <row r="345" customFormat="false" ht="12.75" hidden="false" customHeight="false" outlineLevel="0" collapsed="false">
      <c r="B345" s="96"/>
    </row>
    <row r="346" customFormat="false" ht="12.75" hidden="false" customHeight="false" outlineLevel="0" collapsed="false">
      <c r="B346" s="96"/>
    </row>
    <row r="347" customFormat="false" ht="12.75" hidden="false" customHeight="false" outlineLevel="0" collapsed="false">
      <c r="B347" s="96"/>
    </row>
    <row r="348" customFormat="false" ht="12.75" hidden="false" customHeight="false" outlineLevel="0" collapsed="false">
      <c r="A348" s="40"/>
      <c r="B348" s="115"/>
    </row>
    <row r="349" customFormat="false" ht="12.75" hidden="false" customHeight="false" outlineLevel="0" collapsed="false">
      <c r="B349" s="96"/>
    </row>
    <row r="350" customFormat="false" ht="12.75" hidden="false" customHeight="false" outlineLevel="0" collapsed="false">
      <c r="B350" s="96"/>
    </row>
    <row r="351" customFormat="false" ht="12.75" hidden="false" customHeight="false" outlineLevel="0" collapsed="false">
      <c r="B351" s="96"/>
    </row>
    <row r="352" customFormat="false" ht="12.75" hidden="false" customHeight="false" outlineLevel="0" collapsed="false">
      <c r="B352" s="96"/>
    </row>
    <row r="353" customFormat="false" ht="12.75" hidden="false" customHeight="false" outlineLevel="0" collapsed="false">
      <c r="A353" s="40"/>
      <c r="B353" s="115"/>
    </row>
    <row r="354" customFormat="false" ht="12.75" hidden="false" customHeight="false" outlineLevel="0" collapsed="false">
      <c r="A354" s="85"/>
      <c r="B354" s="373"/>
    </row>
    <row r="355" customFormat="false" ht="12.75" hidden="false" customHeight="false" outlineLevel="0" collapsed="false">
      <c r="B355" s="96"/>
    </row>
    <row r="356" customFormat="false" ht="12.75" hidden="false" customHeight="false" outlineLevel="0" collapsed="false">
      <c r="A356" s="40"/>
      <c r="B356" s="115"/>
    </row>
    <row r="357" customFormat="false" ht="12.75" hidden="false" customHeight="false" outlineLevel="0" collapsed="false">
      <c r="A357" s="40"/>
      <c r="B357" s="115"/>
    </row>
    <row r="358" customFormat="false" ht="12.75" hidden="false" customHeight="false" outlineLevel="0" collapsed="false">
      <c r="B358" s="96"/>
    </row>
    <row r="359" customFormat="false" ht="12.75" hidden="false" customHeight="false" outlineLevel="0" collapsed="false">
      <c r="A359" s="94"/>
      <c r="B359" s="373"/>
    </row>
    <row r="360" customFormat="false" ht="12.75" hidden="false" customHeight="false" outlineLevel="0" collapsed="false">
      <c r="B360" s="96"/>
    </row>
    <row r="361" customFormat="false" ht="12.75" hidden="false" customHeight="false" outlineLevel="0" collapsed="false">
      <c r="A361" s="40"/>
      <c r="B361" s="115"/>
    </row>
    <row r="362" customFormat="false" ht="12.75" hidden="false" customHeight="false" outlineLevel="0" collapsed="false">
      <c r="B362" s="96"/>
    </row>
    <row r="363" customFormat="false" ht="12.75" hidden="false" customHeight="false" outlineLevel="0" collapsed="false">
      <c r="B363" s="96"/>
    </row>
    <row r="364" customFormat="false" ht="12.75" hidden="false" customHeight="false" outlineLevel="0" collapsed="false">
      <c r="B364" s="96"/>
    </row>
    <row r="365" customFormat="false" ht="12.75" hidden="false" customHeight="false" outlineLevel="0" collapsed="false">
      <c r="B365" s="96"/>
    </row>
    <row r="366" customFormat="false" ht="12.75" hidden="false" customHeight="false" outlineLevel="0" collapsed="false">
      <c r="A366" s="40"/>
      <c r="B366" s="115"/>
    </row>
    <row r="367" customFormat="false" ht="12.75" hidden="false" customHeight="false" outlineLevel="0" collapsed="false">
      <c r="B367" s="96"/>
    </row>
    <row r="368" customFormat="false" ht="12.75" hidden="false" customHeight="false" outlineLevel="0" collapsed="false">
      <c r="B368" s="96"/>
    </row>
    <row r="369" customFormat="false" ht="12.75" hidden="false" customHeight="false" outlineLevel="0" collapsed="false">
      <c r="B369" s="96"/>
    </row>
    <row r="370" customFormat="false" ht="12.75" hidden="false" customHeight="false" outlineLevel="0" collapsed="false">
      <c r="B370" s="96"/>
    </row>
    <row r="371" customFormat="false" ht="12.75" hidden="false" customHeight="false" outlineLevel="0" collapsed="false">
      <c r="A371" s="40"/>
      <c r="B371" s="115"/>
    </row>
    <row r="372" customFormat="false" ht="12.75" hidden="false" customHeight="false" outlineLevel="0" collapsed="false">
      <c r="B372" s="96"/>
    </row>
    <row r="373" customFormat="false" ht="12.75" hidden="false" customHeight="false" outlineLevel="0" collapsed="false">
      <c r="B373" s="96"/>
    </row>
    <row r="374" customFormat="false" ht="12.75" hidden="false" customHeight="false" outlineLevel="0" collapsed="false">
      <c r="B374" s="96"/>
    </row>
    <row r="375" customFormat="false" ht="12.75" hidden="false" customHeight="false" outlineLevel="0" collapsed="false">
      <c r="B375" s="96"/>
    </row>
    <row r="376" customFormat="false" ht="12.75" hidden="false" customHeight="false" outlineLevel="0" collapsed="false">
      <c r="A376" s="40"/>
      <c r="B376" s="115"/>
    </row>
    <row r="377" customFormat="false" ht="12.75" hidden="false" customHeight="false" outlineLevel="0" collapsed="false">
      <c r="B377" s="96"/>
    </row>
    <row r="378" customFormat="false" ht="12.75" hidden="false" customHeight="false" outlineLevel="0" collapsed="false">
      <c r="B378" s="96"/>
    </row>
    <row r="379" customFormat="false" ht="12.75" hidden="false" customHeight="false" outlineLevel="0" collapsed="false">
      <c r="B379" s="96"/>
    </row>
    <row r="380" customFormat="false" ht="12.75" hidden="false" customHeight="false" outlineLevel="0" collapsed="false">
      <c r="B380" s="96"/>
    </row>
    <row r="381" customFormat="false" ht="12.75" hidden="false" customHeight="false" outlineLevel="0" collapsed="false">
      <c r="A381" s="40"/>
      <c r="B381" s="115"/>
    </row>
    <row r="382" customFormat="false" ht="12.75" hidden="false" customHeight="false" outlineLevel="0" collapsed="false">
      <c r="B382" s="96"/>
    </row>
    <row r="383" customFormat="false" ht="12.75" hidden="false" customHeight="false" outlineLevel="0" collapsed="false">
      <c r="B383" s="96"/>
    </row>
    <row r="384" customFormat="false" ht="12.75" hidden="false" customHeight="false" outlineLevel="0" collapsed="false">
      <c r="B384" s="96"/>
    </row>
    <row r="385" customFormat="false" ht="12.75" hidden="false" customHeight="false" outlineLevel="0" collapsed="false">
      <c r="B385" s="96"/>
    </row>
    <row r="386" customFormat="false" ht="12.75" hidden="false" customHeight="false" outlineLevel="0" collapsed="false">
      <c r="A386" s="40"/>
      <c r="B386" s="115"/>
    </row>
    <row r="387" customFormat="false" ht="12.75" hidden="false" customHeight="false" outlineLevel="0" collapsed="false">
      <c r="A387" s="79"/>
      <c r="B387" s="373"/>
    </row>
    <row r="388" customFormat="false" ht="12.75" hidden="false" customHeight="false" outlineLevel="0" collapsed="false">
      <c r="A388" s="49"/>
      <c r="B388" s="371"/>
    </row>
    <row r="389" customFormat="false" ht="12.75" hidden="false" customHeight="false" outlineLevel="0" collapsed="false">
      <c r="B389" s="96"/>
    </row>
    <row r="390" customFormat="false" ht="12.75" hidden="false" customHeight="false" outlineLevel="0" collapsed="false">
      <c r="A390" s="40"/>
      <c r="B390" s="115"/>
    </row>
    <row r="391" customFormat="false" ht="12.75" hidden="false" customHeight="false" outlineLevel="0" collapsed="false">
      <c r="A391" s="71"/>
      <c r="B391" s="372"/>
    </row>
    <row r="392" customFormat="false" ht="12.75" hidden="false" customHeight="false" outlineLevel="0" collapsed="false">
      <c r="B392" s="96"/>
    </row>
    <row r="393" customFormat="false" ht="12.75" hidden="false" customHeight="false" outlineLevel="0" collapsed="false">
      <c r="B393" s="96"/>
    </row>
    <row r="394" customFormat="false" ht="12.75" hidden="false" customHeight="false" outlineLevel="0" collapsed="false">
      <c r="B394" s="96"/>
    </row>
    <row r="395" customFormat="false" ht="12.75" hidden="false" customHeight="false" outlineLevel="0" collapsed="false">
      <c r="A395" s="40"/>
      <c r="B395" s="115"/>
    </row>
    <row r="396" customFormat="false" ht="12.75" hidden="false" customHeight="false" outlineLevel="0" collapsed="false">
      <c r="A396" s="97"/>
      <c r="B396" s="374"/>
    </row>
    <row r="397" customFormat="false" ht="12.75" hidden="false" customHeight="false" outlineLevel="0" collapsed="false">
      <c r="B397" s="96"/>
    </row>
    <row r="398" customFormat="false" ht="12.75" hidden="false" customHeight="false" outlineLevel="0" collapsed="false">
      <c r="B398" s="96"/>
    </row>
    <row r="399" customFormat="false" ht="12.75" hidden="false" customHeight="false" outlineLevel="0" collapsed="false">
      <c r="B399" s="96"/>
    </row>
    <row r="400" customFormat="false" ht="12.75" hidden="false" customHeight="false" outlineLevel="0" collapsed="false">
      <c r="A400" s="40"/>
      <c r="B400" s="115"/>
    </row>
    <row r="401" customFormat="false" ht="12.75" hidden="false" customHeight="false" outlineLevel="0" collapsed="false">
      <c r="B401" s="96"/>
    </row>
    <row r="402" customFormat="false" ht="12.75" hidden="false" customHeight="false" outlineLevel="0" collapsed="false">
      <c r="B402" s="96"/>
    </row>
    <row r="403" customFormat="false" ht="12.75" hidden="false" customHeight="false" outlineLevel="0" collapsed="false">
      <c r="B403" s="96"/>
    </row>
    <row r="404" customFormat="false" ht="12.75" hidden="false" customHeight="false" outlineLevel="0" collapsed="false">
      <c r="B404" s="96"/>
    </row>
    <row r="405" customFormat="false" ht="12.75" hidden="false" customHeight="false" outlineLevel="0" collapsed="false">
      <c r="B405" s="96"/>
    </row>
    <row r="406" customFormat="false" ht="12.75" hidden="false" customHeight="false" outlineLevel="0" collapsed="false">
      <c r="B406" s="96"/>
    </row>
    <row r="407" customFormat="false" ht="12.75" hidden="false" customHeight="false" outlineLevel="0" collapsed="false">
      <c r="B407" s="96"/>
    </row>
    <row r="408" customFormat="false" ht="12.75" hidden="false" customHeight="false" outlineLevel="0" collapsed="false">
      <c r="B408" s="96"/>
    </row>
    <row r="409" customFormat="false" ht="12.75" hidden="false" customHeight="false" outlineLevel="0" collapsed="false">
      <c r="B409" s="96"/>
    </row>
    <row r="410" customFormat="false" ht="12.75" hidden="false" customHeight="false" outlineLevel="0" collapsed="false">
      <c r="A410" s="40"/>
      <c r="B410" s="115"/>
    </row>
    <row r="411" customFormat="false" ht="12.75" hidden="false" customHeight="false" outlineLevel="0" collapsed="false">
      <c r="A411" s="97"/>
      <c r="B411" s="374"/>
    </row>
    <row r="412" customFormat="false" ht="12.75" hidden="false" customHeight="false" outlineLevel="0" collapsed="false">
      <c r="B412" s="96"/>
    </row>
    <row r="413" customFormat="false" ht="12.75" hidden="false" customHeight="false" outlineLevel="0" collapsed="false">
      <c r="B413" s="96"/>
    </row>
    <row r="414" customFormat="false" ht="12.75" hidden="false" customHeight="false" outlineLevel="0" collapsed="false">
      <c r="B414" s="96"/>
    </row>
    <row r="415" customFormat="false" ht="12.75" hidden="false" customHeight="false" outlineLevel="0" collapsed="false">
      <c r="A415" s="40"/>
      <c r="B415" s="115"/>
    </row>
    <row r="416" customFormat="false" ht="12.75" hidden="false" customHeight="false" outlineLevel="0" collapsed="false">
      <c r="B416" s="96"/>
    </row>
    <row r="417" customFormat="false" ht="12.75" hidden="false" customHeight="false" outlineLevel="0" collapsed="false">
      <c r="B417" s="96"/>
    </row>
    <row r="418" customFormat="false" ht="12.75" hidden="false" customHeight="false" outlineLevel="0" collapsed="false">
      <c r="A418" s="40"/>
      <c r="B418" s="115"/>
    </row>
    <row r="419" customFormat="false" ht="12.75" hidden="false" customHeight="false" outlineLevel="0" collapsed="false">
      <c r="A419" s="79"/>
      <c r="B419" s="373"/>
    </row>
    <row r="420" customFormat="false" ht="12.75" hidden="false" customHeight="false" outlineLevel="0" collapsed="false">
      <c r="B420" s="96"/>
    </row>
    <row r="421" customFormat="false" ht="12.75" hidden="false" customHeight="false" outlineLevel="0" collapsed="false">
      <c r="B421" s="96"/>
    </row>
    <row r="422" customFormat="false" ht="12.75" hidden="false" customHeight="false" outlineLevel="0" collapsed="false">
      <c r="B422" s="96"/>
    </row>
    <row r="423" customFormat="false" ht="12.75" hidden="false" customHeight="false" outlineLevel="0" collapsed="false">
      <c r="A423" s="40"/>
      <c r="B423" s="115"/>
    </row>
    <row r="424" customFormat="false" ht="12.75" hidden="false" customHeight="false" outlineLevel="0" collapsed="false">
      <c r="B424" s="96"/>
    </row>
    <row r="425" customFormat="false" ht="12.75" hidden="false" customHeight="false" outlineLevel="0" collapsed="false">
      <c r="B425" s="96"/>
    </row>
    <row r="426" customFormat="false" ht="12.75" hidden="false" customHeight="false" outlineLevel="0" collapsed="false">
      <c r="A426" s="49"/>
      <c r="B426" s="371"/>
    </row>
    <row r="427" customFormat="false" ht="12.75" hidden="false" customHeight="false" outlineLevel="0" collapsed="false">
      <c r="A427" s="40"/>
      <c r="B427" s="115"/>
    </row>
    <row r="428" customFormat="false" ht="12.75" hidden="false" customHeight="false" outlineLevel="0" collapsed="false">
      <c r="B428" s="96"/>
    </row>
    <row r="429" customFormat="false" ht="12.75" hidden="false" customHeight="false" outlineLevel="0" collapsed="false">
      <c r="B429" s="96"/>
    </row>
    <row r="430" customFormat="false" ht="12.75" hidden="false" customHeight="false" outlineLevel="0" collapsed="false">
      <c r="A430" s="40"/>
      <c r="B430" s="115"/>
    </row>
    <row r="431" customFormat="false" ht="12.75" hidden="false" customHeight="false" outlineLevel="0" collapsed="false">
      <c r="B431" s="96"/>
    </row>
    <row r="432" customFormat="false" ht="12.75" hidden="false" customHeight="false" outlineLevel="0" collapsed="false">
      <c r="B432" s="96"/>
    </row>
    <row r="433" customFormat="false" ht="12.75" hidden="false" customHeight="false" outlineLevel="0" collapsed="false">
      <c r="A433" s="49"/>
      <c r="B433" s="371"/>
    </row>
    <row r="434" customFormat="false" ht="12.75" hidden="false" customHeight="false" outlineLevel="0" collapsed="false">
      <c r="A434" s="40"/>
      <c r="B434" s="115"/>
    </row>
    <row r="435" customFormat="false" ht="12.75" hidden="false" customHeight="false" outlineLevel="0" collapsed="false">
      <c r="A435" s="69"/>
      <c r="B435" s="96"/>
    </row>
    <row r="436" customFormat="false" ht="12.75" hidden="false" customHeight="false" outlineLevel="0" collapsed="false">
      <c r="B436" s="96"/>
    </row>
    <row r="437" customFormat="false" ht="12.75" hidden="false" customHeight="false" outlineLevel="0" collapsed="false">
      <c r="A437" s="71"/>
      <c r="B437" s="96"/>
    </row>
    <row r="438" customFormat="false" ht="12.75" hidden="false" customHeight="false" outlineLevel="0" collapsed="false">
      <c r="B438" s="96"/>
    </row>
    <row r="439" customFormat="false" ht="12.75" hidden="false" customHeight="false" outlineLevel="0" collapsed="false">
      <c r="A439" s="40"/>
      <c r="B439" s="115"/>
    </row>
    <row r="440" customFormat="false" ht="12.75" hidden="false" customHeight="false" outlineLevel="0" collapsed="false">
      <c r="B440" s="96"/>
    </row>
    <row r="441" customFormat="false" ht="12.75" hidden="false" customHeight="false" outlineLevel="0" collapsed="false">
      <c r="B441" s="96"/>
    </row>
    <row r="442" customFormat="false" ht="12.75" hidden="false" customHeight="false" outlineLevel="0" collapsed="false">
      <c r="B442" s="96"/>
    </row>
    <row r="443" customFormat="false" ht="12.75" hidden="false" customHeight="false" outlineLevel="0" collapsed="false">
      <c r="B443" s="96"/>
    </row>
    <row r="444" customFormat="false" ht="12.75" hidden="false" customHeight="false" outlineLevel="0" collapsed="false">
      <c r="A444" s="40"/>
      <c r="B444" s="115"/>
    </row>
    <row r="445" customFormat="false" ht="12.75" hidden="false" customHeight="false" outlineLevel="0" collapsed="false">
      <c r="A445" s="97"/>
      <c r="B445" s="374"/>
    </row>
    <row r="446" customFormat="false" ht="12.75" hidden="false" customHeight="false" outlineLevel="0" collapsed="false">
      <c r="B446" s="96"/>
    </row>
    <row r="447" customFormat="false" ht="12.75" hidden="false" customHeight="false" outlineLevel="0" collapsed="false">
      <c r="B447" s="96"/>
    </row>
    <row r="448" customFormat="false" ht="12.75" hidden="false" customHeight="false" outlineLevel="0" collapsed="false">
      <c r="B448" s="96"/>
    </row>
    <row r="449" customFormat="false" ht="12.75" hidden="false" customHeight="false" outlineLevel="0" collapsed="false">
      <c r="B449" s="96"/>
    </row>
    <row r="450" customFormat="false" ht="12.75" hidden="false" customHeight="false" outlineLevel="0" collapsed="false">
      <c r="B450" s="96"/>
    </row>
    <row r="451" customFormat="false" ht="12.75" hidden="false" customHeight="false" outlineLevel="0" collapsed="false">
      <c r="B451" s="96"/>
    </row>
    <row r="452" customFormat="false" ht="12.75" hidden="false" customHeight="false" outlineLevel="0" collapsed="false">
      <c r="B452" s="96"/>
    </row>
    <row r="453" customFormat="false" ht="12.75" hidden="false" customHeight="false" outlineLevel="0" collapsed="false">
      <c r="B453" s="96"/>
    </row>
    <row r="454" customFormat="false" ht="12.75" hidden="false" customHeight="false" outlineLevel="0" collapsed="false">
      <c r="B454" s="96"/>
    </row>
    <row r="455" customFormat="false" ht="12.75" hidden="false" customHeight="false" outlineLevel="0" collapsed="false">
      <c r="B455" s="96"/>
    </row>
    <row r="456" customFormat="false" ht="12.75" hidden="false" customHeight="false" outlineLevel="0" collapsed="false">
      <c r="A456" s="40"/>
      <c r="B456" s="115"/>
    </row>
    <row r="457" customFormat="false" ht="12.75" hidden="false" customHeight="false" outlineLevel="0" collapsed="false">
      <c r="A457" s="85"/>
      <c r="B457" s="373"/>
    </row>
    <row r="458" customFormat="false" ht="12.75" hidden="false" customHeight="false" outlineLevel="0" collapsed="false">
      <c r="B458" s="96"/>
    </row>
    <row r="459" customFormat="false" ht="12.75" hidden="false" customHeight="false" outlineLevel="0" collapsed="false">
      <c r="B459" s="96"/>
    </row>
    <row r="460" customFormat="false" ht="12.75" hidden="false" customHeight="false" outlineLevel="0" collapsed="false">
      <c r="B460" s="96"/>
    </row>
    <row r="461" customFormat="false" ht="12.75" hidden="false" customHeight="false" outlineLevel="0" collapsed="false">
      <c r="A461" s="40"/>
      <c r="B461" s="115"/>
    </row>
    <row r="462" customFormat="false" ht="12.75" hidden="false" customHeight="false" outlineLevel="0" collapsed="false">
      <c r="A462" s="79"/>
      <c r="B462" s="373"/>
    </row>
    <row r="463" customFormat="false" ht="12.75" hidden="false" customHeight="false" outlineLevel="0" collapsed="false">
      <c r="B463" s="96"/>
    </row>
    <row r="464" customFormat="false" ht="12.75" hidden="false" customHeight="false" outlineLevel="0" collapsed="false">
      <c r="A464" s="40"/>
      <c r="B464" s="115"/>
    </row>
    <row r="465" customFormat="false" ht="12.75" hidden="false" customHeight="false" outlineLevel="0" collapsed="false">
      <c r="B465" s="96"/>
    </row>
    <row r="466" customFormat="false" ht="12.75" hidden="false" customHeight="false" outlineLevel="0" collapsed="false">
      <c r="B466" s="96"/>
    </row>
    <row r="467" customFormat="false" ht="12.75" hidden="false" customHeight="false" outlineLevel="0" collapsed="false">
      <c r="A467" s="40"/>
      <c r="B467" s="115"/>
    </row>
    <row r="468" customFormat="false" ht="12.75" hidden="false" customHeight="false" outlineLevel="0" collapsed="false">
      <c r="A468" s="40"/>
      <c r="B468" s="115"/>
    </row>
    <row r="469" customFormat="false" ht="12.75" hidden="false" customHeight="false" outlineLevel="0" collapsed="false">
      <c r="B469" s="96"/>
    </row>
    <row r="470" customFormat="false" ht="12.75" hidden="false" customHeight="false" outlineLevel="0" collapsed="false">
      <c r="B470" s="96"/>
    </row>
    <row r="471" customFormat="false" ht="12.75" hidden="false" customHeight="false" outlineLevel="0" collapsed="false">
      <c r="B471" s="96"/>
    </row>
    <row r="472" customFormat="false" ht="12.75" hidden="false" customHeight="false" outlineLevel="0" collapsed="false">
      <c r="A472" s="40"/>
      <c r="B472" s="115"/>
    </row>
    <row r="473" customFormat="false" ht="12.75" hidden="false" customHeight="false" outlineLevel="0" collapsed="false">
      <c r="A473" s="79"/>
      <c r="B473" s="373"/>
    </row>
    <row r="474" customFormat="false" ht="12.75" hidden="false" customHeight="false" outlineLevel="0" collapsed="false">
      <c r="B474" s="96"/>
    </row>
    <row r="475" customFormat="false" ht="12.75" hidden="false" customHeight="false" outlineLevel="0" collapsed="false">
      <c r="B475" s="96"/>
    </row>
    <row r="476" customFormat="false" ht="12.75" hidden="false" customHeight="false" outlineLevel="0" collapsed="false">
      <c r="B476" s="96"/>
    </row>
    <row r="477" customFormat="false" ht="12.75" hidden="false" customHeight="false" outlineLevel="0" collapsed="false">
      <c r="A477" s="40"/>
      <c r="B477" s="115"/>
    </row>
    <row r="478" customFormat="false" ht="12.75" hidden="false" customHeight="false" outlineLevel="0" collapsed="false">
      <c r="B478" s="96"/>
    </row>
    <row r="479" customFormat="false" ht="12.75" hidden="false" customHeight="false" outlineLevel="0" collapsed="false">
      <c r="B479" s="96"/>
    </row>
    <row r="480" customFormat="false" ht="12.75" hidden="false" customHeight="false" outlineLevel="0" collapsed="false">
      <c r="A480" s="49"/>
      <c r="B480" s="371"/>
    </row>
    <row r="481" customFormat="false" ht="12.75" hidden="false" customHeight="false" outlineLevel="0" collapsed="false">
      <c r="B481" s="96"/>
    </row>
    <row r="482" customFormat="false" ht="12.75" hidden="false" customHeight="false" outlineLevel="0" collapsed="false">
      <c r="A482" s="40"/>
      <c r="B482" s="115"/>
    </row>
    <row r="483" customFormat="false" ht="12.75" hidden="false" customHeight="false" outlineLevel="0" collapsed="false">
      <c r="B483" s="96"/>
    </row>
    <row r="484" customFormat="false" ht="12.75" hidden="false" customHeight="false" outlineLevel="0" collapsed="false">
      <c r="A484" s="49"/>
      <c r="B484" s="371"/>
    </row>
    <row r="485" customFormat="false" ht="12.75" hidden="false" customHeight="false" outlineLevel="0" collapsed="false">
      <c r="A485" s="49"/>
      <c r="B485" s="371"/>
    </row>
    <row r="486" customFormat="false" ht="12.75" hidden="false" customHeight="false" outlineLevel="0" collapsed="false">
      <c r="A486" s="49"/>
      <c r="B486" s="371"/>
    </row>
    <row r="487" customFormat="false" ht="12.75" hidden="false" customHeight="false" outlineLevel="0" collapsed="false">
      <c r="A487" s="40"/>
      <c r="B487" s="115"/>
    </row>
    <row r="488" customFormat="false" ht="12.75" hidden="false" customHeight="false" outlineLevel="0" collapsed="false">
      <c r="B488" s="96"/>
    </row>
    <row r="489" customFormat="false" ht="12.75" hidden="false" customHeight="false" outlineLevel="0" collapsed="false">
      <c r="B489" s="96"/>
    </row>
    <row r="490" customFormat="false" ht="12.75" hidden="false" customHeight="false" outlineLevel="0" collapsed="false">
      <c r="B490" s="96"/>
    </row>
    <row r="491" customFormat="false" ht="12.75" hidden="false" customHeight="false" outlineLevel="0" collapsed="false">
      <c r="B491" s="96"/>
    </row>
    <row r="492" customFormat="false" ht="12.75" hidden="false" customHeight="false" outlineLevel="0" collapsed="false">
      <c r="A492" s="40"/>
      <c r="B492" s="115"/>
    </row>
    <row r="493" customFormat="false" ht="12.75" hidden="false" customHeight="false" outlineLevel="0" collapsed="false">
      <c r="B493" s="96"/>
    </row>
    <row r="494" customFormat="false" ht="12.75" hidden="false" customHeight="false" outlineLevel="0" collapsed="false">
      <c r="B494" s="96"/>
    </row>
    <row r="495" customFormat="false" ht="12.75" hidden="false" customHeight="false" outlineLevel="0" collapsed="false">
      <c r="B495" s="96"/>
    </row>
    <row r="496" customFormat="false" ht="12.75" hidden="false" customHeight="false" outlineLevel="0" collapsed="false">
      <c r="B496" s="96"/>
    </row>
    <row r="497" customFormat="false" ht="12.75" hidden="false" customHeight="false" outlineLevel="0" collapsed="false">
      <c r="A497" s="40"/>
      <c r="B497" s="115"/>
    </row>
    <row r="498" customFormat="false" ht="12.75" hidden="false" customHeight="false" outlineLevel="0" collapsed="false">
      <c r="A498" s="85"/>
      <c r="B498" s="373"/>
    </row>
    <row r="499" customFormat="false" ht="12.75" hidden="false" customHeight="false" outlineLevel="0" collapsed="false">
      <c r="B499" s="96"/>
    </row>
    <row r="500" customFormat="false" ht="12.75" hidden="false" customHeight="false" outlineLevel="0" collapsed="false">
      <c r="B500" s="96"/>
    </row>
    <row r="501" customFormat="false" ht="12.75" hidden="false" customHeight="false" outlineLevel="0" collapsed="false">
      <c r="B501" s="96"/>
    </row>
    <row r="502" customFormat="false" ht="12.75" hidden="false" customHeight="false" outlineLevel="0" collapsed="false">
      <c r="A502" s="40"/>
      <c r="B502" s="115"/>
    </row>
    <row r="503" customFormat="false" ht="12.75" hidden="false" customHeight="false" outlineLevel="0" collapsed="false">
      <c r="B503" s="96"/>
    </row>
    <row r="504" customFormat="false" ht="12.75" hidden="false" customHeight="false" outlineLevel="0" collapsed="false">
      <c r="B504" s="96"/>
    </row>
    <row r="505" customFormat="false" ht="12.75" hidden="false" customHeight="false" outlineLevel="0" collapsed="false">
      <c r="B505" s="96"/>
    </row>
    <row r="506" customFormat="false" ht="12.75" hidden="false" customHeight="false" outlineLevel="0" collapsed="false">
      <c r="B506" s="96"/>
    </row>
    <row r="507" customFormat="false" ht="12.75" hidden="false" customHeight="false" outlineLevel="0" collapsed="false">
      <c r="A507" s="40"/>
      <c r="B507" s="115"/>
    </row>
    <row r="508" customFormat="false" ht="12.75" hidden="false" customHeight="false" outlineLevel="0" collapsed="false">
      <c r="B508" s="96"/>
    </row>
    <row r="509" customFormat="false" ht="12.75" hidden="false" customHeight="false" outlineLevel="0" collapsed="false">
      <c r="B509" s="96"/>
    </row>
    <row r="510" customFormat="false" ht="12.75" hidden="false" customHeight="false" outlineLevel="0" collapsed="false">
      <c r="B510" s="96"/>
    </row>
    <row r="511" customFormat="false" ht="12.75" hidden="false" customHeight="false" outlineLevel="0" collapsed="false">
      <c r="B511" s="96"/>
    </row>
    <row r="512" customFormat="false" ht="12.75" hidden="false" customHeight="false" outlineLevel="0" collapsed="false">
      <c r="A512" s="40"/>
      <c r="B512" s="115"/>
    </row>
    <row r="513" customFormat="false" ht="12.75" hidden="false" customHeight="false" outlineLevel="0" collapsed="false">
      <c r="B513" s="96"/>
    </row>
    <row r="514" customFormat="false" ht="12.75" hidden="false" customHeight="false" outlineLevel="0" collapsed="false">
      <c r="B514" s="96"/>
    </row>
    <row r="515" customFormat="false" ht="12.75" hidden="false" customHeight="false" outlineLevel="0" collapsed="false">
      <c r="B515" s="96"/>
    </row>
    <row r="516" customFormat="false" ht="12.75" hidden="false" customHeight="false" outlineLevel="0" collapsed="false">
      <c r="B516" s="96"/>
    </row>
    <row r="517" customFormat="false" ht="12.75" hidden="false" customHeight="false" outlineLevel="0" collapsed="false">
      <c r="A517" s="40"/>
      <c r="B517" s="115"/>
    </row>
    <row r="518" customFormat="false" ht="12.75" hidden="false" customHeight="false" outlineLevel="0" collapsed="false">
      <c r="B518" s="96"/>
    </row>
    <row r="519" customFormat="false" ht="12.75" hidden="false" customHeight="false" outlineLevel="0" collapsed="false">
      <c r="B519" s="96"/>
    </row>
    <row r="520" customFormat="false" ht="12.75" hidden="false" customHeight="false" outlineLevel="0" collapsed="false">
      <c r="B520" s="96"/>
    </row>
    <row r="521" customFormat="false" ht="12.75" hidden="false" customHeight="false" outlineLevel="0" collapsed="false">
      <c r="B521" s="96"/>
    </row>
    <row r="522" customFormat="false" ht="12.75" hidden="false" customHeight="false" outlineLevel="0" collapsed="false">
      <c r="A522" s="40"/>
      <c r="B522" s="115"/>
    </row>
    <row r="523" customFormat="false" ht="12.75" hidden="false" customHeight="false" outlineLevel="0" collapsed="false">
      <c r="A523" s="40"/>
      <c r="B523" s="115"/>
    </row>
    <row r="524" customFormat="false" ht="12.75" hidden="false" customHeight="false" outlineLevel="0" collapsed="false">
      <c r="B524" s="96"/>
    </row>
    <row r="525" customFormat="false" ht="12.75" hidden="false" customHeight="false" outlineLevel="0" collapsed="false">
      <c r="B525" s="96"/>
    </row>
    <row r="526" customFormat="false" ht="12.75" hidden="false" customHeight="false" outlineLevel="0" collapsed="false">
      <c r="B526" s="96"/>
    </row>
    <row r="527" customFormat="false" ht="12.75" hidden="false" customHeight="false" outlineLevel="0" collapsed="false">
      <c r="A527" s="40"/>
      <c r="B527" s="115"/>
    </row>
    <row r="528" customFormat="false" ht="12.75" hidden="false" customHeight="false" outlineLevel="0" collapsed="false">
      <c r="A528" s="79"/>
      <c r="B528" s="373"/>
    </row>
    <row r="529" customFormat="false" ht="12.75" hidden="false" customHeight="false" outlineLevel="0" collapsed="false">
      <c r="B529" s="96"/>
    </row>
    <row r="530" customFormat="false" ht="12.75" hidden="false" customHeight="false" outlineLevel="0" collapsed="false">
      <c r="B530" s="96"/>
    </row>
    <row r="531" customFormat="false" ht="12.75" hidden="false" customHeight="false" outlineLevel="0" collapsed="false">
      <c r="B531" s="96"/>
    </row>
    <row r="532" customFormat="false" ht="12.75" hidden="false" customHeight="false" outlineLevel="0" collapsed="false">
      <c r="A532" s="40"/>
      <c r="B532" s="115"/>
    </row>
    <row r="533" customFormat="false" ht="12.75" hidden="false" customHeight="false" outlineLevel="0" collapsed="false">
      <c r="B533" s="96"/>
    </row>
    <row r="534" customFormat="false" ht="12.75" hidden="false" customHeight="false" outlineLevel="0" collapsed="false">
      <c r="B534" s="96"/>
    </row>
    <row r="535" customFormat="false" ht="12.75" hidden="false" customHeight="false" outlineLevel="0" collapsed="false">
      <c r="B535" s="96"/>
    </row>
    <row r="536" customFormat="false" ht="12.75" hidden="false" customHeight="false" outlineLevel="0" collapsed="false">
      <c r="B536" s="96"/>
    </row>
    <row r="537" customFormat="false" ht="12.75" hidden="false" customHeight="false" outlineLevel="0" collapsed="false">
      <c r="A537" s="40"/>
      <c r="B537" s="115"/>
    </row>
    <row r="538" customFormat="false" ht="12.75" hidden="false" customHeight="false" outlineLevel="0" collapsed="false">
      <c r="B538" s="96"/>
    </row>
    <row r="539" customFormat="false" ht="12.75" hidden="false" customHeight="false" outlineLevel="0" collapsed="false">
      <c r="B539" s="96"/>
    </row>
    <row r="540" customFormat="false" ht="12.75" hidden="false" customHeight="false" outlineLevel="0" collapsed="false">
      <c r="B540" s="96"/>
    </row>
    <row r="541" customFormat="false" ht="12.75" hidden="false" customHeight="false" outlineLevel="0" collapsed="false">
      <c r="B541" s="96"/>
    </row>
    <row r="542" customFormat="false" ht="12.75" hidden="false" customHeight="false" outlineLevel="0" collapsed="false">
      <c r="A542" s="40"/>
      <c r="B542" s="115"/>
    </row>
    <row r="543" customFormat="false" ht="12.75" hidden="false" customHeight="false" outlineLevel="0" collapsed="false">
      <c r="A543" s="40"/>
      <c r="B543" s="115"/>
    </row>
    <row r="544" customFormat="false" ht="12.75" hidden="false" customHeight="false" outlineLevel="0" collapsed="false">
      <c r="B544" s="96"/>
    </row>
    <row r="545" customFormat="false" ht="12.75" hidden="false" customHeight="false" outlineLevel="0" collapsed="false">
      <c r="B545" s="96"/>
    </row>
    <row r="546" customFormat="false" ht="12.75" hidden="false" customHeight="false" outlineLevel="0" collapsed="false">
      <c r="B546" s="96"/>
    </row>
    <row r="547" customFormat="false" ht="12.75" hidden="false" customHeight="false" outlineLevel="0" collapsed="false">
      <c r="A547" s="40"/>
      <c r="B547" s="115"/>
    </row>
    <row r="548" customFormat="false" ht="12.75" hidden="false" customHeight="false" outlineLevel="0" collapsed="false">
      <c r="B548" s="96"/>
    </row>
    <row r="549" customFormat="false" ht="12.75" hidden="false" customHeight="false" outlineLevel="0" collapsed="false">
      <c r="B549" s="96"/>
    </row>
    <row r="550" customFormat="false" ht="12.75" hidden="false" customHeight="false" outlineLevel="0" collapsed="false">
      <c r="B550" s="96"/>
    </row>
    <row r="551" customFormat="false" ht="12.75" hidden="false" customHeight="false" outlineLevel="0" collapsed="false">
      <c r="B551" s="96"/>
    </row>
    <row r="552" customFormat="false" ht="12.75" hidden="false" customHeight="false" outlineLevel="0" collapsed="false">
      <c r="A552" s="40"/>
      <c r="B552" s="115"/>
    </row>
    <row r="553" customFormat="false" ht="12.75" hidden="false" customHeight="false" outlineLevel="0" collapsed="false">
      <c r="B553" s="96"/>
    </row>
    <row r="554" customFormat="false" ht="12.75" hidden="false" customHeight="false" outlineLevel="0" collapsed="false">
      <c r="B554" s="96"/>
    </row>
    <row r="555" customFormat="false" ht="12.75" hidden="false" customHeight="false" outlineLevel="0" collapsed="false">
      <c r="A555" s="40"/>
      <c r="B555" s="115"/>
    </row>
    <row r="556" customFormat="false" ht="12.75" hidden="false" customHeight="false" outlineLevel="0" collapsed="false">
      <c r="A556" s="69"/>
      <c r="B556" s="96"/>
    </row>
    <row r="557" customFormat="false" ht="12.75" hidden="false" customHeight="false" outlineLevel="0" collapsed="false">
      <c r="B557" s="96"/>
    </row>
    <row r="558" customFormat="false" ht="12.75" hidden="false" customHeight="false" outlineLevel="0" collapsed="false">
      <c r="B558" s="96"/>
    </row>
    <row r="559" customFormat="false" ht="12.75" hidden="false" customHeight="false" outlineLevel="0" collapsed="false">
      <c r="B559" s="96"/>
    </row>
    <row r="560" customFormat="false" ht="12.75" hidden="false" customHeight="false" outlineLevel="0" collapsed="false">
      <c r="A560" s="40"/>
      <c r="B560" s="115"/>
    </row>
    <row r="561" customFormat="false" ht="12.75" hidden="false" customHeight="false" outlineLevel="0" collapsed="false">
      <c r="A561" s="71"/>
      <c r="B561" s="372"/>
    </row>
    <row r="562" customFormat="false" ht="12.75" hidden="false" customHeight="false" outlineLevel="0" collapsed="false">
      <c r="B562" s="96"/>
    </row>
    <row r="563" customFormat="false" ht="12.75" hidden="false" customHeight="false" outlineLevel="0" collapsed="false">
      <c r="B563" s="96"/>
    </row>
    <row r="564" customFormat="false" ht="12.75" hidden="false" customHeight="false" outlineLevel="0" collapsed="false">
      <c r="B564" s="96"/>
    </row>
    <row r="565" customFormat="false" ht="12.75" hidden="false" customHeight="false" outlineLevel="0" collapsed="false">
      <c r="B565" s="96"/>
    </row>
    <row r="566" customFormat="false" ht="12.75" hidden="false" customHeight="false" outlineLevel="0" collapsed="false">
      <c r="A566" s="40"/>
      <c r="B566" s="115"/>
    </row>
    <row r="567" customFormat="false" ht="12.75" hidden="false" customHeight="false" outlineLevel="0" collapsed="false">
      <c r="A567" s="71"/>
      <c r="B567" s="372"/>
    </row>
    <row r="568" customFormat="false" ht="12.75" hidden="false" customHeight="false" outlineLevel="0" collapsed="false">
      <c r="B568" s="96"/>
    </row>
    <row r="569" customFormat="false" ht="12.75" hidden="false" customHeight="false" outlineLevel="0" collapsed="false">
      <c r="B569" s="96"/>
    </row>
    <row r="570" customFormat="false" ht="13.5" hidden="false" customHeight="true" outlineLevel="0" collapsed="false">
      <c r="A570" s="375"/>
      <c r="B570" s="376"/>
    </row>
    <row r="571" customFormat="false" ht="13.5" hidden="false" customHeight="true" outlineLevel="0" collapsed="false">
      <c r="A571" s="40"/>
      <c r="B571" s="115"/>
    </row>
    <row r="572" customFormat="false" ht="12.75" hidden="false" customHeight="false" outlineLevel="0" collapsed="false">
      <c r="B572" s="96"/>
    </row>
    <row r="573" customFormat="false" ht="12.75" hidden="false" customHeight="false" outlineLevel="0" collapsed="false">
      <c r="B573" s="96"/>
    </row>
    <row r="574" customFormat="false" ht="12.75" hidden="false" customHeight="false" outlineLevel="0" collapsed="false">
      <c r="A574" s="49"/>
      <c r="B574" s="371"/>
    </row>
    <row r="575" customFormat="false" ht="12.75" hidden="false" customHeight="false" outlineLevel="0" collapsed="false">
      <c r="A575" s="40"/>
      <c r="B575" s="115"/>
    </row>
    <row r="576" customFormat="false" ht="12.75" hidden="false" customHeight="false" outlineLevel="0" collapsed="false">
      <c r="A576" s="85"/>
      <c r="B576" s="373"/>
    </row>
    <row r="577" customFormat="false" ht="12.75" hidden="false" customHeight="false" outlineLevel="0" collapsed="false">
      <c r="A577" s="134"/>
      <c r="B577" s="377"/>
    </row>
    <row r="578" customFormat="false" ht="12.75" hidden="false" customHeight="false" outlineLevel="0" collapsed="false">
      <c r="A578" s="134"/>
      <c r="B578" s="377"/>
    </row>
    <row r="579" customFormat="false" ht="12.75" hidden="false" customHeight="false" outlineLevel="0" collapsed="false">
      <c r="A579" s="134"/>
      <c r="B579" s="377"/>
    </row>
    <row r="580" customFormat="false" ht="12.75" hidden="false" customHeight="false" outlineLevel="0" collapsed="false">
      <c r="A580" s="134"/>
      <c r="B580" s="377"/>
    </row>
    <row r="581" customFormat="false" ht="12.75" hidden="false" customHeight="false" outlineLevel="0" collapsed="false">
      <c r="A581" s="40"/>
      <c r="B581" s="115"/>
    </row>
    <row r="582" customFormat="false" ht="12.75" hidden="false" customHeight="false" outlineLevel="0" collapsed="false">
      <c r="A582" s="135"/>
      <c r="B582" s="96"/>
    </row>
    <row r="583" customFormat="false" ht="12.75" hidden="false" customHeight="false" outlineLevel="0" collapsed="false">
      <c r="B583" s="96"/>
    </row>
    <row r="584" customFormat="false" ht="12.75" hidden="false" customHeight="false" outlineLevel="0" collapsed="false">
      <c r="B584" s="96"/>
    </row>
    <row r="585" customFormat="false" ht="12.75" hidden="false" customHeight="false" outlineLevel="0" collapsed="false">
      <c r="B585" s="96"/>
    </row>
    <row r="586" customFormat="false" ht="12.75" hidden="false" customHeight="false" outlineLevel="0" collapsed="false">
      <c r="A586" s="40"/>
      <c r="B586" s="115"/>
    </row>
    <row r="587" customFormat="false" ht="12.75" hidden="false" customHeight="false" outlineLevel="0" collapsed="false">
      <c r="A587" s="135"/>
      <c r="B587" s="96"/>
    </row>
    <row r="588" customFormat="false" ht="12.75" hidden="false" customHeight="false" outlineLevel="0" collapsed="false">
      <c r="B588" s="96"/>
    </row>
    <row r="589" customFormat="false" ht="12.75" hidden="false" customHeight="false" outlineLevel="0" collapsed="false">
      <c r="A589" s="49"/>
      <c r="B589" s="371"/>
    </row>
    <row r="590" customFormat="false" ht="12.75" hidden="false" customHeight="false" outlineLevel="0" collapsed="false">
      <c r="A590" s="40"/>
      <c r="B590" s="115"/>
    </row>
    <row r="591" customFormat="false" ht="12.75" hidden="false" customHeight="false" outlineLevel="0" collapsed="false">
      <c r="A591" s="85"/>
      <c r="B591" s="373"/>
    </row>
    <row r="593" customFormat="false" ht="12.75" hidden="false" customHeight="false" outlineLevel="0" collapsed="false">
      <c r="B593" s="115"/>
    </row>
    <row r="594" customFormat="false" ht="12.75" hidden="false" customHeight="false" outlineLevel="0" collapsed="false">
      <c r="B594" s="115"/>
    </row>
    <row r="595" customFormat="false" ht="12.75" hidden="false" customHeight="false" outlineLevel="0" collapsed="false">
      <c r="A595" s="40"/>
      <c r="B595" s="96"/>
    </row>
    <row r="596" customFormat="false" ht="12.75" hidden="false" customHeight="false" outlineLevel="0" collapsed="false">
      <c r="A596" s="40"/>
      <c r="B596" s="96"/>
    </row>
    <row r="597" customFormat="false" ht="12.75" hidden="false" customHeight="false" outlineLevel="0" collapsed="false">
      <c r="B597" s="96"/>
    </row>
    <row r="598" customFormat="false" ht="12.75" hidden="false" customHeight="false" outlineLevel="0" collapsed="false">
      <c r="B598" s="96"/>
    </row>
    <row r="599" customFormat="false" ht="12.75" hidden="false" customHeight="false" outlineLevel="0" collapsed="false">
      <c r="B599" s="96"/>
    </row>
    <row r="600" customFormat="false" ht="12.75" hidden="false" customHeight="false" outlineLevel="0" collapsed="false">
      <c r="A600" s="40"/>
      <c r="B600" s="115"/>
    </row>
    <row r="601" customFormat="false" ht="12.75" hidden="false" customHeight="false" outlineLevel="0" collapsed="false">
      <c r="B601" s="96"/>
    </row>
    <row r="602" customFormat="false" ht="12.75" hidden="false" customHeight="false" outlineLevel="0" collapsed="false">
      <c r="B602" s="96"/>
    </row>
    <row r="603" customFormat="false" ht="12.75" hidden="false" customHeight="false" outlineLevel="0" collapsed="false">
      <c r="A603" s="94"/>
      <c r="B603" s="373"/>
    </row>
    <row r="604" customFormat="false" ht="12.75" hidden="false" customHeight="false" outlineLevel="0" collapsed="false">
      <c r="B604" s="96"/>
    </row>
    <row r="605" customFormat="false" ht="12.75" hidden="false" customHeight="false" outlineLevel="0" collapsed="false">
      <c r="A605" s="40"/>
      <c r="B605" s="115"/>
    </row>
    <row r="606" customFormat="false" ht="12.75" hidden="false" customHeight="false" outlineLevel="0" collapsed="false">
      <c r="B606" s="96"/>
    </row>
    <row r="607" customFormat="false" ht="12.75" hidden="false" customHeight="false" outlineLevel="0" collapsed="false">
      <c r="A607" s="49"/>
      <c r="B607" s="96"/>
    </row>
    <row r="609" customFormat="false" ht="12.75" hidden="false" customHeight="false" outlineLevel="0" collapsed="false">
      <c r="A609" s="160"/>
      <c r="B609" s="160"/>
    </row>
    <row r="611" customFormat="false" ht="12.75" hidden="false" customHeight="false" outlineLevel="0" collapsed="false">
      <c r="A611" s="162"/>
      <c r="B611" s="162"/>
    </row>
    <row r="612" customFormat="false" ht="12.75" hidden="false" customHeight="false" outlineLevel="0" collapsed="false">
      <c r="A612" s="162"/>
      <c r="B612" s="162"/>
    </row>
    <row r="613" customFormat="false" ht="12.75" hidden="false" customHeight="false" outlineLevel="0" collapsed="false">
      <c r="A613" s="162"/>
      <c r="B613" s="162"/>
    </row>
    <row r="614" customFormat="false" ht="12.75" hidden="false" customHeight="false" outlineLevel="0" collapsed="false">
      <c r="A614" s="162"/>
      <c r="B614" s="162"/>
    </row>
    <row r="615" customFormat="false" ht="12.75" hidden="false" customHeight="false" outlineLevel="0" collapsed="false">
      <c r="A615" s="162"/>
      <c r="B615" s="162"/>
    </row>
    <row r="616" customFormat="false" ht="12.75" hidden="false" customHeight="false" outlineLevel="0" collapsed="false">
      <c r="A616" s="162"/>
      <c r="B616" s="162"/>
    </row>
    <row r="617" customFormat="false" ht="12.75" hidden="false" customHeight="false" outlineLevel="0" collapsed="false">
      <c r="A617" s="162"/>
      <c r="B617" s="162"/>
    </row>
    <row r="618" customFormat="false" ht="12.75" hidden="false" customHeight="false" outlineLevel="0" collapsed="false">
      <c r="A618" s="189"/>
      <c r="B618" s="189"/>
    </row>
    <row r="619" customFormat="false" ht="12.75" hidden="false" customHeight="false" outlineLevel="0" collapsed="false">
      <c r="A619" s="199"/>
      <c r="B619" s="199"/>
    </row>
    <row r="620" customFormat="false" ht="12.75" hidden="false" customHeight="false" outlineLevel="0" collapsed="false">
      <c r="A620" s="189"/>
      <c r="B620" s="189"/>
    </row>
    <row r="621" customFormat="false" ht="12.75" hidden="false" customHeight="false" outlineLevel="0" collapsed="false">
      <c r="A621" s="189"/>
      <c r="B621" s="189"/>
    </row>
    <row r="622" customFormat="false" ht="12.75" hidden="false" customHeight="false" outlineLevel="0" collapsed="false">
      <c r="A622" s="189"/>
      <c r="B622" s="189"/>
    </row>
    <row r="623" customFormat="false" ht="12.75" hidden="false" customHeight="false" outlineLevel="0" collapsed="false">
      <c r="A623" s="189"/>
      <c r="B623" s="189"/>
    </row>
    <row r="624" customFormat="false" ht="12.75" hidden="false" customHeight="false" outlineLevel="0" collapsed="false">
      <c r="A624" s="189"/>
      <c r="B624" s="189"/>
    </row>
    <row r="625" customFormat="false" ht="12.75" hidden="false" customHeight="false" outlineLevel="0" collapsed="false">
      <c r="A625" s="189"/>
      <c r="B625" s="189"/>
    </row>
    <row r="626" customFormat="false" ht="12.75" hidden="false" customHeight="false" outlineLevel="0" collapsed="false">
      <c r="A626" s="189"/>
      <c r="B626" s="189"/>
    </row>
    <row r="627" customFormat="false" ht="12.75" hidden="false" customHeight="false" outlineLevel="0" collapsed="false">
      <c r="A627" s="189"/>
      <c r="B627" s="189"/>
    </row>
    <row r="628" customFormat="false" ht="12.75" hidden="false" customHeight="false" outlineLevel="0" collapsed="false">
      <c r="A628" s="189"/>
      <c r="B628" s="189"/>
    </row>
    <row r="629" customFormat="false" ht="12.75" hidden="false" customHeight="false" outlineLevel="0" collapsed="false">
      <c r="A629" s="189"/>
      <c r="B629" s="189"/>
    </row>
    <row r="630" customFormat="false" ht="12.75" hidden="false" customHeight="false" outlineLevel="0" collapsed="false">
      <c r="A630" s="189"/>
      <c r="B630" s="189"/>
    </row>
    <row r="631" customFormat="false" ht="12.75" hidden="false" customHeight="false" outlineLevel="0" collapsed="false">
      <c r="A631" s="189"/>
      <c r="B631" s="189"/>
    </row>
    <row r="632" customFormat="false" ht="12.75" hidden="false" customHeight="false" outlineLevel="0" collapsed="false">
      <c r="A632" s="189"/>
      <c r="B632" s="189"/>
    </row>
    <row r="633" customFormat="false" ht="12.75" hidden="false" customHeight="false" outlineLevel="0" collapsed="false">
      <c r="A633" s="199"/>
      <c r="B633" s="199"/>
    </row>
    <row r="634" customFormat="false" ht="12.75" hidden="false" customHeight="false" outlineLevel="0" collapsed="false">
      <c r="A634" s="189"/>
      <c r="B634" s="189"/>
    </row>
    <row r="635" customFormat="false" ht="12.75" hidden="false" customHeight="false" outlineLevel="0" collapsed="false">
      <c r="A635" s="189"/>
      <c r="B635" s="189"/>
    </row>
    <row r="636" customFormat="false" ht="12.75" hidden="false" customHeight="false" outlineLevel="0" collapsed="false">
      <c r="A636" s="189"/>
      <c r="B636" s="189"/>
    </row>
    <row r="637" customFormat="false" ht="12.75" hidden="false" customHeight="false" outlineLevel="0" collapsed="false">
      <c r="A637" s="189"/>
      <c r="B637" s="189"/>
    </row>
    <row r="638" customFormat="false" ht="13.5" hidden="false" customHeight="true" outlineLevel="0" collapsed="false">
      <c r="A638" s="378"/>
      <c r="B638" s="378"/>
    </row>
    <row r="639" customFormat="false" ht="13.5" hidden="false" customHeight="true" outlineLevel="0" collapsed="false">
      <c r="A639" s="109"/>
      <c r="B639" s="109"/>
    </row>
    <row r="640" customFormat="false" ht="12.75" hidden="false" customHeight="false" outlineLevel="0" collapsed="false">
      <c r="A640" s="189"/>
      <c r="B640" s="189"/>
    </row>
    <row r="641" customFormat="false" ht="12.75" hidden="false" customHeight="false" outlineLevel="0" collapsed="false">
      <c r="A641" s="189"/>
      <c r="B641" s="189"/>
    </row>
    <row r="642" customFormat="false" ht="12.75" hidden="false" customHeight="false" outlineLevel="0" collapsed="false">
      <c r="A642" s="162"/>
      <c r="B642" s="162"/>
    </row>
    <row r="643" customFormat="false" ht="12.75" hidden="false" customHeight="false" outlineLevel="0" collapsed="false">
      <c r="A643" s="162"/>
      <c r="B643" s="162"/>
    </row>
    <row r="644" customFormat="false" ht="12.75" hidden="false" customHeight="false" outlineLevel="0" collapsed="false">
      <c r="A644" s="109"/>
      <c r="B644" s="109"/>
    </row>
    <row r="645" customFormat="false" ht="12.75" hidden="false" customHeight="false" outlineLevel="0" collapsed="false">
      <c r="A645" s="109"/>
      <c r="B645" s="109"/>
    </row>
    <row r="646" customFormat="false" ht="12.75" hidden="false" customHeight="false" outlineLevel="0" collapsed="false">
      <c r="A646" s="109"/>
      <c r="B646" s="109"/>
    </row>
    <row r="647" customFormat="false" ht="12.75" hidden="false" customHeight="false" outlineLevel="0" collapsed="false">
      <c r="A647" s="189"/>
      <c r="B647" s="189"/>
    </row>
    <row r="648" customFormat="false" ht="12.75" hidden="false" customHeight="false" outlineLevel="0" collapsed="false">
      <c r="A648" s="189"/>
      <c r="B648" s="189"/>
    </row>
    <row r="649" customFormat="false" ht="12.75" hidden="false" customHeight="false" outlineLevel="0" collapsed="false">
      <c r="A649" s="379"/>
      <c r="B649" s="379"/>
    </row>
    <row r="650" customFormat="false" ht="12.75" hidden="false" customHeight="false" outlineLevel="0" collapsed="false">
      <c r="A650" s="189"/>
      <c r="B650" s="211"/>
    </row>
    <row r="651" customFormat="false" ht="12.75" hidden="false" customHeight="false" outlineLevel="0" collapsed="false">
      <c r="A651" s="189"/>
      <c r="B651" s="189"/>
    </row>
    <row r="652" customFormat="false" ht="13.5" hidden="false" customHeight="true" outlineLevel="0" collapsed="false">
      <c r="A652" s="380"/>
      <c r="B652" s="380"/>
    </row>
    <row r="653" customFormat="false" ht="13.5" hidden="false" customHeight="true" outlineLevel="0" collapsed="false">
      <c r="A653" s="189"/>
      <c r="B653" s="189"/>
    </row>
    <row r="654" customFormat="false" ht="12.75" hidden="false" customHeight="false" outlineLevel="0" collapsed="false">
      <c r="A654" s="379"/>
      <c r="B654" s="379"/>
    </row>
    <row r="655" customFormat="false" ht="13.5" hidden="false" customHeight="true" outlineLevel="0" collapsed="false">
      <c r="A655" s="375"/>
      <c r="B655" s="375"/>
    </row>
    <row r="656" customFormat="false" ht="13.5" hidden="false" customHeight="true" outlineLevel="0" collapsed="false"/>
    <row r="657" customFormat="false" ht="12.75" hidden="false" customHeight="false" outlineLevel="0" collapsed="false">
      <c r="A657" s="264"/>
      <c r="B657" s="264"/>
    </row>
    <row r="658" customFormat="false" ht="12.75" hidden="false" customHeight="false" outlineLevel="0" collapsed="false">
      <c r="A658" s="267"/>
      <c r="B658" s="267"/>
    </row>
    <row r="660" customFormat="false" ht="12.75" hidden="false" customHeight="false" outlineLevel="0" collapsed="false">
      <c r="A660" s="268"/>
      <c r="B660" s="381"/>
    </row>
    <row r="662" customFormat="false" ht="12.75" hidden="false" customHeight="false" outlineLevel="0" collapsed="false">
      <c r="A662" s="268"/>
      <c r="B662" s="381"/>
    </row>
    <row r="663" customFormat="false" ht="12.75" hidden="false" customHeight="false" outlineLevel="0" collapsed="false">
      <c r="A663" s="270"/>
      <c r="B663" s="270"/>
    </row>
    <row r="664" customFormat="false" ht="12.75" hidden="false" customHeight="false" outlineLevel="0" collapsed="false">
      <c r="A664" s="94"/>
      <c r="B664" s="94"/>
    </row>
    <row r="666" customFormat="false" ht="12.75" hidden="false" customHeight="false" outlineLevel="0" collapsed="false">
      <c r="A666" s="29"/>
      <c r="B666" s="29"/>
    </row>
    <row r="668" customFormat="false" ht="12.75" hidden="false" customHeight="false" outlineLevel="0" collapsed="false">
      <c r="B668" s="283"/>
    </row>
    <row r="669" customFormat="false" ht="12.75" hidden="false" customHeight="false" outlineLevel="0" collapsed="false">
      <c r="A669" s="283"/>
      <c r="B669" s="283"/>
    </row>
    <row r="670" customFormat="false" ht="12.75" hidden="false" customHeight="false" outlineLevel="0" collapsed="false">
      <c r="A670" s="283"/>
      <c r="B670" s="283"/>
    </row>
    <row r="671" customFormat="false" ht="12.75" hidden="false" customHeight="false" outlineLevel="0" collapsed="false">
      <c r="A671" s="283"/>
      <c r="B671" s="283"/>
    </row>
    <row r="679" customFormat="false" ht="12.75" hidden="false" customHeight="false" outlineLevel="0" collapsed="false">
      <c r="B679" s="96"/>
    </row>
    <row r="680" customFormat="false" ht="12.75" hidden="false" customHeight="false" outlineLevel="0" collapsed="false">
      <c r="A680" s="96"/>
    </row>
    <row r="801" customFormat="false" ht="12.75" hidden="false" customHeight="false" outlineLevel="0" collapsed="false">
      <c r="B801" s="135"/>
    </row>
    <row r="802" customFormat="false" ht="12.75" hidden="false" customHeight="false" outlineLevel="0" collapsed="false">
      <c r="A802" s="287"/>
      <c r="B802" s="135"/>
    </row>
    <row r="803" customFormat="false" ht="12.75" hidden="false" customHeight="false" outlineLevel="0" collapsed="false">
      <c r="A803" s="287"/>
      <c r="B803" s="135"/>
    </row>
    <row r="804" customFormat="false" ht="12.75" hidden="false" customHeight="false" outlineLevel="0" collapsed="false">
      <c r="A804" s="287"/>
      <c r="B804" s="135"/>
    </row>
    <row r="805" customFormat="false" ht="12.75" hidden="false" customHeight="false" outlineLevel="0" collapsed="false">
      <c r="A805" s="287"/>
      <c r="B805" s="135"/>
    </row>
    <row r="806" customFormat="false" ht="12.75" hidden="false" customHeight="false" outlineLevel="0" collapsed="false">
      <c r="A806" s="287"/>
      <c r="B806" s="135"/>
    </row>
    <row r="807" customFormat="false" ht="12.75" hidden="false" customHeight="false" outlineLevel="0" collapsed="false">
      <c r="A807" s="287"/>
      <c r="B807" s="135"/>
    </row>
    <row r="808" customFormat="false" ht="12.75" hidden="false" customHeight="false" outlineLevel="0" collapsed="false">
      <c r="A808" s="287"/>
      <c r="B808" s="135"/>
    </row>
    <row r="809" customFormat="false" ht="12.75" hidden="false" customHeight="false" outlineLevel="0" collapsed="false">
      <c r="A809" s="287"/>
      <c r="B809" s="135"/>
    </row>
    <row r="810" customFormat="false" ht="12.75" hidden="false" customHeight="false" outlineLevel="0" collapsed="false">
      <c r="A810" s="287"/>
      <c r="B810" s="135"/>
    </row>
    <row r="811" customFormat="false" ht="12.75" hidden="false" customHeight="false" outlineLevel="0" collapsed="false">
      <c r="A811" s="287"/>
      <c r="B811" s="135"/>
    </row>
    <row r="812" customFormat="false" ht="12.75" hidden="false" customHeight="false" outlineLevel="0" collapsed="false">
      <c r="A812" s="287"/>
      <c r="B812" s="135"/>
    </row>
    <row r="813" customFormat="false" ht="12.75" hidden="false" customHeight="false" outlineLevel="0" collapsed="false">
      <c r="A813" s="287"/>
      <c r="B813" s="135"/>
    </row>
    <row r="814" customFormat="false" ht="12.75" hidden="false" customHeight="false" outlineLevel="0" collapsed="false">
      <c r="A814" s="287"/>
      <c r="B814" s="135"/>
    </row>
    <row r="815" customFormat="false" ht="12.75" hidden="false" customHeight="false" outlineLevel="0" collapsed="false">
      <c r="A815" s="287"/>
      <c r="B815" s="135"/>
    </row>
    <row r="816" customFormat="false" ht="12.75" hidden="false" customHeight="false" outlineLevel="0" collapsed="false">
      <c r="A816" s="287"/>
      <c r="B816" s="135"/>
    </row>
    <row r="817" customFormat="false" ht="12.75" hidden="false" customHeight="false" outlineLevel="0" collapsed="false">
      <c r="A817" s="287"/>
      <c r="B817" s="135"/>
    </row>
    <row r="818" customFormat="false" ht="12.75" hidden="false" customHeight="false" outlineLevel="0" collapsed="false">
      <c r="A818" s="287"/>
      <c r="B818" s="135"/>
    </row>
    <row r="819" customFormat="false" ht="12.75" hidden="false" customHeight="false" outlineLevel="0" collapsed="false">
      <c r="A819" s="287"/>
      <c r="B819" s="135"/>
    </row>
    <row r="820" customFormat="false" ht="12.75" hidden="false" customHeight="false" outlineLevel="0" collapsed="false">
      <c r="A820" s="287"/>
      <c r="B820" s="135"/>
    </row>
    <row r="821" customFormat="false" ht="12.75" hidden="false" customHeight="false" outlineLevel="0" collapsed="false">
      <c r="A821" s="287"/>
      <c r="B821" s="135"/>
    </row>
    <row r="822" customFormat="false" ht="12.75" hidden="false" customHeight="false" outlineLevel="0" collapsed="false">
      <c r="A822" s="287"/>
      <c r="B822" s="135"/>
    </row>
    <row r="823" customFormat="false" ht="12.75" hidden="false" customHeight="false" outlineLevel="0" collapsed="false">
      <c r="A823" s="287"/>
      <c r="B823" s="135"/>
    </row>
    <row r="824" customFormat="false" ht="12.75" hidden="false" customHeight="false" outlineLevel="0" collapsed="false">
      <c r="A824" s="287"/>
    </row>
  </sheetData>
  <autoFilter ref="A1:B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E116"/>
  <sheetViews>
    <sheetView showFormulas="false" showGridLines="true" showRowColHeaders="true" showZeros="true" rightToLeft="false" tabSelected="false" showOutlineSymbols="true" defaultGridColor="true" view="pageBreakPreview" topLeftCell="A39" colorId="64" zoomScale="100" zoomScaleNormal="85" zoomScalePageLayoutView="100" workbookViewId="0">
      <selection pane="topLeft" activeCell="M69" activeCellId="0" sqref="M69"/>
    </sheetView>
  </sheetViews>
  <sheetFormatPr defaultColWidth="8.83203125" defaultRowHeight="12.75" customHeight="true" zeroHeight="false" outlineLevelRow="0" outlineLevelCol="0"/>
  <cols>
    <col collapsed="false" customWidth="true" hidden="false" outlineLevel="0" max="1" min="1" style="1" width="9.16"/>
    <col collapsed="false" customWidth="true" hidden="false" outlineLevel="0" max="4" min="3" style="1" width="9.16"/>
    <col collapsed="false" customWidth="true" hidden="false" outlineLevel="0" max="5" min="5" style="1" width="38.67"/>
    <col collapsed="false" customWidth="true" hidden="false" outlineLevel="0" max="6" min="6" style="1" width="22.5"/>
    <col collapsed="false" customWidth="true" hidden="false" outlineLevel="0" max="7" min="7" style="1" width="15"/>
    <col collapsed="false" customWidth="true" hidden="true" outlineLevel="0" max="9" min="9" style="1" width="9.16"/>
    <col collapsed="false" customWidth="true" hidden="true" outlineLevel="0" max="10" min="10" style="1" width="33.52"/>
    <col collapsed="false" customWidth="true" hidden="false" outlineLevel="0" max="11" min="11" style="1" width="30.16"/>
    <col collapsed="false" customWidth="true" hidden="false" outlineLevel="0" max="12" min="12" style="1" width="20.51"/>
    <col collapsed="false" customWidth="true" hidden="false" outlineLevel="0" max="13" min="13" style="1" width="16.5"/>
    <col collapsed="false" customWidth="true" hidden="true" outlineLevel="0" max="14" min="14" style="1" width="17.5"/>
    <col collapsed="false" customWidth="true" hidden="false" outlineLevel="0" max="16" min="15" style="1" width="17.5"/>
    <col collapsed="false" customWidth="true" hidden="false" outlineLevel="0" max="17" min="17" style="292" width="10.16"/>
    <col collapsed="false" customWidth="true" hidden="true" outlineLevel="0" max="18" min="18" style="1" width="9.16"/>
    <col collapsed="false" customWidth="true" hidden="true" outlineLevel="0" max="19" min="19" style="1" width="11.5"/>
    <col collapsed="false" customWidth="true" hidden="false" outlineLevel="0" max="20" min="20" style="1" width="11.5"/>
    <col collapsed="false" customWidth="true" hidden="true" outlineLevel="0" max="21" min="21" style="1" width="12.5"/>
    <col collapsed="false" customWidth="true" hidden="false" outlineLevel="0" max="22" min="22" style="292" width="10.16"/>
    <col collapsed="false" customWidth="true" hidden="true" outlineLevel="0" max="23" min="23" style="1" width="13"/>
    <col collapsed="false" customWidth="true" hidden="false" outlineLevel="0" max="24" min="24" style="382" width="10.66"/>
    <col collapsed="false" customWidth="true" hidden="false" outlineLevel="0" max="25" min="25" style="293" width="9.16"/>
    <col collapsed="false" customWidth="true" hidden="false" outlineLevel="0" max="26" min="26" style="1" width="9.16"/>
    <col collapsed="false" customWidth="true" hidden="true" outlineLevel="0" max="27" min="27" style="1" width="9.16"/>
    <col collapsed="false" customWidth="true" hidden="true" outlineLevel="0" max="28" min="28" style="1" width="13"/>
    <col collapsed="false" customWidth="true" hidden="false" outlineLevel="0" max="29" min="29" style="1" width="10.33"/>
    <col collapsed="false" customWidth="true" hidden="false" outlineLevel="0" max="30" min="30" style="1" width="65"/>
  </cols>
  <sheetData>
    <row r="2" customFormat="false" ht="12.75" hidden="false" customHeight="false" outlineLevel="0" collapsed="false">
      <c r="B2" s="383" t="s">
        <v>929</v>
      </c>
      <c r="C2" s="383"/>
      <c r="D2" s="383"/>
      <c r="E2" s="383"/>
      <c r="H2" s="289"/>
      <c r="I2" s="289"/>
      <c r="T2" s="292"/>
      <c r="U2" s="292"/>
      <c r="Z2" s="293"/>
    </row>
    <row r="3" customFormat="false" ht="24" hidden="false" customHeight="true" outlineLevel="0" collapsed="false">
      <c r="B3" s="17" t="s">
        <v>1</v>
      </c>
      <c r="C3" s="17" t="s">
        <v>2</v>
      </c>
      <c r="D3" s="18" t="s">
        <v>3</v>
      </c>
      <c r="E3" s="18" t="s">
        <v>4</v>
      </c>
      <c r="F3" s="18" t="s">
        <v>5</v>
      </c>
      <c r="G3" s="19" t="s">
        <v>6</v>
      </c>
      <c r="H3" s="20" t="s">
        <v>7</v>
      </c>
      <c r="I3" s="20"/>
      <c r="J3" s="20" t="s">
        <v>8</v>
      </c>
      <c r="K3" s="21" t="s">
        <v>10</v>
      </c>
      <c r="L3" s="22" t="s">
        <v>930</v>
      </c>
      <c r="M3" s="22" t="s">
        <v>931</v>
      </c>
      <c r="N3" s="22" t="s">
        <v>13</v>
      </c>
      <c r="O3" s="22" t="s">
        <v>14</v>
      </c>
      <c r="P3" s="22" t="s">
        <v>15</v>
      </c>
      <c r="Q3" s="303" t="s">
        <v>16</v>
      </c>
      <c r="R3" s="23" t="s">
        <v>17</v>
      </c>
      <c r="S3" s="23" t="s">
        <v>18</v>
      </c>
      <c r="T3" s="303" t="s">
        <v>19</v>
      </c>
      <c r="U3" s="303" t="s">
        <v>20</v>
      </c>
      <c r="V3" s="303" t="s">
        <v>21</v>
      </c>
      <c r="W3" s="19" t="s">
        <v>22</v>
      </c>
      <c r="X3" s="384" t="s">
        <v>932</v>
      </c>
      <c r="Y3" s="304"/>
      <c r="Z3" s="19" t="s">
        <v>25</v>
      </c>
      <c r="AB3" s="24" t="s">
        <v>26</v>
      </c>
      <c r="AC3" s="25" t="s">
        <v>28</v>
      </c>
      <c r="AD3" s="26" t="s">
        <v>29</v>
      </c>
    </row>
    <row r="4" customFormat="false" ht="15.75" hidden="false" customHeight="true" outlineLevel="0" collapsed="false">
      <c r="A4" s="3" t="n">
        <f aca="true" t="array" ref="A4:A4">_xlfn._xlws.SORT(_xlfn._xlws.FILTER('Bank Schedule'!A1:AD999, (('Bank Schedule'!M1:M999 &lt; TODAY()+180) * ('Bank Schedule'!M1:M999 &lt;&gt; ""))), 13, TRUE())</f>
        <v>0</v>
      </c>
      <c r="B4" s="3"/>
      <c r="C4" s="3"/>
      <c r="D4" s="3"/>
      <c r="E4" s="385"/>
      <c r="F4" s="385"/>
      <c r="G4" s="385"/>
      <c r="H4" s="385"/>
      <c r="I4" s="385"/>
      <c r="J4" s="385"/>
      <c r="K4" s="386"/>
      <c r="L4" s="386"/>
      <c r="M4" s="386"/>
      <c r="N4" s="386"/>
      <c r="O4" s="386"/>
      <c r="P4" s="387"/>
      <c r="Q4" s="387"/>
      <c r="R4" s="385"/>
      <c r="S4" s="387"/>
      <c r="T4" s="387"/>
      <c r="U4" s="387"/>
      <c r="V4" s="387"/>
      <c r="W4" s="385"/>
      <c r="X4" s="388"/>
      <c r="Y4" s="389"/>
      <c r="Z4" s="385"/>
      <c r="AA4" s="385"/>
      <c r="AB4" s="385"/>
      <c r="AC4" s="385"/>
    </row>
    <row r="5" customFormat="false" ht="12.75" hidden="false" customHeight="false" outlineLevel="0" collapsed="false">
      <c r="H5" s="289"/>
      <c r="K5" s="390"/>
      <c r="L5" s="390"/>
      <c r="M5" s="390"/>
      <c r="N5" s="390"/>
      <c r="O5" s="390"/>
      <c r="P5" s="391"/>
      <c r="S5" s="292"/>
      <c r="T5" s="292"/>
      <c r="U5" s="292"/>
    </row>
    <row r="6" customFormat="false" ht="12.75" hidden="false" customHeight="false" outlineLevel="0" collapsed="false">
      <c r="H6" s="289"/>
      <c r="K6" s="390"/>
      <c r="L6" s="390"/>
      <c r="M6" s="390"/>
      <c r="N6" s="390"/>
      <c r="O6" s="390"/>
      <c r="P6" s="391"/>
      <c r="S6" s="292"/>
      <c r="T6" s="292"/>
      <c r="U6" s="292"/>
    </row>
    <row r="7" customFormat="false" ht="12.75" hidden="false" customHeight="false" outlineLevel="0" collapsed="false">
      <c r="H7" s="289"/>
      <c r="K7" s="390"/>
      <c r="L7" s="390"/>
      <c r="M7" s="390"/>
      <c r="N7" s="390"/>
      <c r="O7" s="390"/>
      <c r="P7" s="391"/>
      <c r="S7" s="292"/>
      <c r="T7" s="292"/>
      <c r="U7" s="292"/>
    </row>
    <row r="8" customFormat="false" ht="12.75" hidden="false" customHeight="false" outlineLevel="0" collapsed="false">
      <c r="H8" s="289"/>
      <c r="K8" s="390"/>
      <c r="L8" s="390"/>
      <c r="M8" s="390"/>
      <c r="N8" s="390"/>
      <c r="O8" s="390"/>
      <c r="P8" s="391"/>
      <c r="S8" s="292"/>
      <c r="T8" s="292"/>
      <c r="U8" s="292"/>
    </row>
    <row r="9" customFormat="false" ht="12.75" hidden="false" customHeight="false" outlineLevel="0" collapsed="false">
      <c r="H9" s="289"/>
      <c r="K9" s="390"/>
      <c r="L9" s="390"/>
      <c r="M9" s="390"/>
      <c r="N9" s="390"/>
      <c r="O9" s="390"/>
      <c r="P9" s="391"/>
      <c r="S9" s="292"/>
      <c r="T9" s="292"/>
      <c r="U9" s="292"/>
    </row>
    <row r="10" customFormat="false" ht="12.75" hidden="false" customHeight="false" outlineLevel="0" collapsed="false">
      <c r="H10" s="289"/>
      <c r="K10" s="390"/>
      <c r="L10" s="390"/>
      <c r="M10" s="390"/>
      <c r="N10" s="390"/>
      <c r="O10" s="390"/>
      <c r="P10" s="391"/>
      <c r="S10" s="292"/>
      <c r="T10" s="292"/>
      <c r="U10" s="292"/>
    </row>
    <row r="11" customFormat="false" ht="12.75" hidden="false" customHeight="false" outlineLevel="0" collapsed="false">
      <c r="H11" s="289"/>
      <c r="K11" s="390"/>
      <c r="L11" s="390"/>
      <c r="M11" s="390"/>
      <c r="N11" s="390"/>
      <c r="O11" s="390"/>
      <c r="P11" s="391"/>
      <c r="S11" s="292"/>
      <c r="T11" s="292"/>
      <c r="U11" s="292"/>
    </row>
    <row r="12" customFormat="false" ht="12.75" hidden="false" customHeight="false" outlineLevel="0" collapsed="false">
      <c r="H12" s="289"/>
      <c r="K12" s="390"/>
      <c r="L12" s="390"/>
      <c r="M12" s="390"/>
      <c r="N12" s="390"/>
      <c r="O12" s="390"/>
      <c r="P12" s="391"/>
      <c r="S12" s="292"/>
      <c r="T12" s="292"/>
      <c r="U12" s="292"/>
    </row>
    <row r="13" customFormat="false" ht="12.75" hidden="false" customHeight="false" outlineLevel="0" collapsed="false">
      <c r="H13" s="289"/>
      <c r="K13" s="390"/>
      <c r="L13" s="390"/>
      <c r="M13" s="390"/>
      <c r="N13" s="390"/>
      <c r="O13" s="390"/>
      <c r="P13" s="391"/>
      <c r="S13" s="292"/>
      <c r="T13" s="292"/>
      <c r="U13" s="292"/>
    </row>
    <row r="14" customFormat="false" ht="12.75" hidden="false" customHeight="false" outlineLevel="0" collapsed="false">
      <c r="H14" s="289"/>
      <c r="K14" s="390"/>
      <c r="L14" s="390"/>
      <c r="M14" s="390"/>
      <c r="N14" s="390"/>
      <c r="O14" s="390"/>
      <c r="P14" s="391"/>
      <c r="S14" s="292"/>
      <c r="T14" s="292"/>
      <c r="U14" s="292"/>
    </row>
    <row r="15" customFormat="false" ht="12.75" hidden="false" customHeight="false" outlineLevel="0" collapsed="false">
      <c r="H15" s="289"/>
      <c r="K15" s="390"/>
      <c r="L15" s="390"/>
      <c r="M15" s="390"/>
      <c r="N15" s="390"/>
      <c r="O15" s="390"/>
      <c r="P15" s="391"/>
      <c r="S15" s="292"/>
      <c r="T15" s="292"/>
      <c r="U15" s="292"/>
    </row>
    <row r="16" customFormat="false" ht="12.75" hidden="false" customHeight="false" outlineLevel="0" collapsed="false">
      <c r="H16" s="289"/>
      <c r="K16" s="390"/>
      <c r="L16" s="390"/>
      <c r="M16" s="390"/>
      <c r="N16" s="390"/>
      <c r="O16" s="390"/>
      <c r="P16" s="391"/>
      <c r="S16" s="292"/>
      <c r="T16" s="292"/>
      <c r="U16" s="292"/>
    </row>
    <row r="17" customFormat="false" ht="12.75" hidden="false" customHeight="false" outlineLevel="0" collapsed="false">
      <c r="H17" s="289"/>
      <c r="K17" s="390"/>
      <c r="L17" s="390"/>
      <c r="M17" s="390"/>
      <c r="N17" s="390"/>
      <c r="O17" s="390"/>
      <c r="P17" s="391"/>
      <c r="S17" s="292"/>
      <c r="T17" s="292"/>
      <c r="U17" s="292"/>
    </row>
    <row r="18" customFormat="false" ht="12.75" hidden="false" customHeight="false" outlineLevel="0" collapsed="false">
      <c r="H18" s="289"/>
      <c r="K18" s="390"/>
      <c r="L18" s="390"/>
      <c r="M18" s="390"/>
      <c r="N18" s="390"/>
      <c r="O18" s="390"/>
      <c r="P18" s="391"/>
      <c r="S18" s="292"/>
      <c r="T18" s="292"/>
      <c r="U18" s="292"/>
    </row>
    <row r="19" customFormat="false" ht="12.75" hidden="false" customHeight="false" outlineLevel="0" collapsed="false">
      <c r="H19" s="289"/>
      <c r="K19" s="390"/>
      <c r="L19" s="390"/>
      <c r="M19" s="390"/>
      <c r="N19" s="390"/>
      <c r="O19" s="390"/>
      <c r="P19" s="391"/>
      <c r="S19" s="292"/>
      <c r="T19" s="292"/>
      <c r="U19" s="292"/>
    </row>
    <row r="20" customFormat="false" ht="12.75" hidden="false" customHeight="false" outlineLevel="0" collapsed="false">
      <c r="H20" s="289"/>
      <c r="K20" s="390"/>
      <c r="L20" s="390"/>
      <c r="M20" s="390"/>
      <c r="N20" s="390"/>
      <c r="O20" s="390"/>
      <c r="P20" s="391"/>
      <c r="S20" s="292"/>
      <c r="T20" s="292"/>
      <c r="U20" s="292"/>
    </row>
    <row r="21" customFormat="false" ht="12.75" hidden="false" customHeight="false" outlineLevel="0" collapsed="false">
      <c r="H21" s="289"/>
      <c r="K21" s="390"/>
      <c r="L21" s="390"/>
      <c r="M21" s="390"/>
      <c r="N21" s="390"/>
      <c r="O21" s="390"/>
      <c r="P21" s="391"/>
      <c r="S21" s="292"/>
      <c r="T21" s="292"/>
      <c r="U21" s="292"/>
    </row>
    <row r="22" customFormat="false" ht="12.75" hidden="false" customHeight="false" outlineLevel="0" collapsed="false">
      <c r="H22" s="289"/>
      <c r="K22" s="390"/>
      <c r="L22" s="390"/>
      <c r="M22" s="390"/>
      <c r="N22" s="390"/>
      <c r="O22" s="390"/>
      <c r="P22" s="391"/>
      <c r="S22" s="292"/>
      <c r="T22" s="292"/>
      <c r="U22" s="292"/>
    </row>
    <row r="23" customFormat="false" ht="12.75" hidden="false" customHeight="false" outlineLevel="0" collapsed="false">
      <c r="H23" s="289"/>
      <c r="K23" s="390"/>
      <c r="L23" s="390"/>
      <c r="M23" s="390"/>
      <c r="N23" s="390"/>
      <c r="O23" s="390"/>
      <c r="P23" s="391"/>
      <c r="S23" s="292"/>
      <c r="T23" s="292"/>
      <c r="U23" s="292"/>
    </row>
    <row r="24" customFormat="false" ht="12.75" hidden="false" customHeight="false" outlineLevel="0" collapsed="false">
      <c r="H24" s="289"/>
      <c r="K24" s="390"/>
      <c r="L24" s="390"/>
      <c r="M24" s="390"/>
      <c r="N24" s="390"/>
      <c r="O24" s="390"/>
      <c r="P24" s="391"/>
      <c r="S24" s="292"/>
      <c r="T24" s="292"/>
      <c r="U24" s="292"/>
    </row>
    <row r="25" customFormat="false" ht="12.75" hidden="false" customHeight="false" outlineLevel="0" collapsed="false">
      <c r="H25" s="289"/>
      <c r="K25" s="390"/>
      <c r="L25" s="390"/>
      <c r="M25" s="390"/>
      <c r="N25" s="390"/>
      <c r="O25" s="390"/>
      <c r="P25" s="391"/>
      <c r="S25" s="292"/>
      <c r="T25" s="292"/>
      <c r="U25" s="292"/>
    </row>
    <row r="26" customFormat="false" ht="12.75" hidden="false" customHeight="false" outlineLevel="0" collapsed="false">
      <c r="H26" s="289"/>
      <c r="K26" s="390"/>
      <c r="L26" s="390"/>
      <c r="M26" s="390"/>
      <c r="N26" s="390"/>
      <c r="O26" s="390"/>
      <c r="P26" s="391"/>
      <c r="S26" s="292"/>
      <c r="T26" s="292"/>
      <c r="U26" s="292"/>
    </row>
    <row r="27" customFormat="false" ht="12.75" hidden="false" customHeight="false" outlineLevel="0" collapsed="false">
      <c r="H27" s="289"/>
      <c r="K27" s="390"/>
      <c r="L27" s="390"/>
      <c r="M27" s="390"/>
      <c r="N27" s="390"/>
      <c r="O27" s="390"/>
      <c r="P27" s="391"/>
      <c r="S27" s="292"/>
      <c r="T27" s="292"/>
      <c r="U27" s="292"/>
    </row>
    <row r="28" customFormat="false" ht="12.75" hidden="false" customHeight="false" outlineLevel="0" collapsed="false">
      <c r="H28" s="289"/>
      <c r="K28" s="390"/>
      <c r="L28" s="390"/>
      <c r="M28" s="390"/>
      <c r="N28" s="390"/>
      <c r="O28" s="390"/>
      <c r="P28" s="391"/>
      <c r="S28" s="292"/>
      <c r="T28" s="292"/>
      <c r="U28" s="292"/>
    </row>
    <row r="29" customFormat="false" ht="12.75" hidden="false" customHeight="false" outlineLevel="0" collapsed="false">
      <c r="H29" s="289"/>
      <c r="K29" s="390"/>
      <c r="L29" s="390"/>
      <c r="M29" s="390"/>
      <c r="N29" s="390"/>
      <c r="O29" s="390"/>
      <c r="P29" s="391"/>
      <c r="S29" s="292"/>
      <c r="T29" s="292"/>
      <c r="U29" s="292"/>
    </row>
    <row r="30" customFormat="false" ht="12.75" hidden="false" customHeight="false" outlineLevel="0" collapsed="false">
      <c r="H30" s="289"/>
      <c r="K30" s="390"/>
      <c r="L30" s="390"/>
      <c r="M30" s="390"/>
      <c r="N30" s="390"/>
      <c r="O30" s="390"/>
      <c r="P30" s="391"/>
      <c r="S30" s="292"/>
      <c r="T30" s="292"/>
      <c r="U30" s="292"/>
    </row>
    <row r="31" customFormat="false" ht="12.75" hidden="false" customHeight="false" outlineLevel="0" collapsed="false">
      <c r="H31" s="289"/>
      <c r="K31" s="390"/>
      <c r="L31" s="390"/>
      <c r="M31" s="390"/>
      <c r="N31" s="390"/>
      <c r="O31" s="390"/>
      <c r="P31" s="391"/>
      <c r="S31" s="292"/>
      <c r="T31" s="292"/>
      <c r="U31" s="292"/>
    </row>
    <row r="32" customFormat="false" ht="12.75" hidden="false" customHeight="false" outlineLevel="0" collapsed="false">
      <c r="H32" s="289"/>
      <c r="K32" s="390"/>
      <c r="L32" s="390"/>
      <c r="M32" s="390"/>
      <c r="N32" s="390"/>
      <c r="O32" s="390"/>
      <c r="P32" s="391"/>
      <c r="S32" s="292"/>
      <c r="T32" s="292"/>
      <c r="U32" s="292"/>
    </row>
    <row r="33" customFormat="false" ht="12.75" hidden="false" customHeight="false" outlineLevel="0" collapsed="false">
      <c r="H33" s="289"/>
      <c r="K33" s="390"/>
      <c r="L33" s="390"/>
      <c r="M33" s="390"/>
      <c r="N33" s="390"/>
      <c r="O33" s="390"/>
      <c r="P33" s="391"/>
      <c r="S33" s="292"/>
      <c r="T33" s="292"/>
      <c r="U33" s="292"/>
    </row>
    <row r="34" customFormat="false" ht="12.75" hidden="false" customHeight="false" outlineLevel="0" collapsed="false">
      <c r="H34" s="289"/>
      <c r="K34" s="390"/>
      <c r="L34" s="390"/>
      <c r="M34" s="390"/>
      <c r="N34" s="390"/>
      <c r="O34" s="390"/>
      <c r="P34" s="391"/>
      <c r="S34" s="292"/>
      <c r="T34" s="292"/>
      <c r="U34" s="292"/>
    </row>
    <row r="35" customFormat="false" ht="12.75" hidden="false" customHeight="false" outlineLevel="0" collapsed="false">
      <c r="H35" s="289"/>
      <c r="K35" s="390"/>
      <c r="L35" s="390"/>
      <c r="M35" s="390"/>
      <c r="N35" s="390"/>
      <c r="O35" s="390"/>
      <c r="P35" s="391"/>
      <c r="S35" s="292"/>
      <c r="T35" s="292"/>
      <c r="U35" s="292"/>
    </row>
    <row r="36" customFormat="false" ht="12.75" hidden="false" customHeight="false" outlineLevel="0" collapsed="false">
      <c r="H36" s="289"/>
      <c r="K36" s="390"/>
      <c r="L36" s="390"/>
      <c r="P36" s="391"/>
      <c r="S36" s="292"/>
      <c r="T36" s="292"/>
      <c r="U36" s="292"/>
    </row>
    <row r="37" customFormat="false" ht="12.75" hidden="false" customHeight="false" outlineLevel="0" collapsed="false">
      <c r="H37" s="289"/>
      <c r="P37" s="292"/>
      <c r="S37" s="292"/>
      <c r="T37" s="292"/>
      <c r="U37" s="292"/>
    </row>
    <row r="38" customFormat="false" ht="12.75" hidden="false" customHeight="false" outlineLevel="0" collapsed="false">
      <c r="H38" s="289"/>
      <c r="P38" s="292"/>
      <c r="S38" s="292"/>
      <c r="T38" s="292"/>
      <c r="U38" s="292"/>
    </row>
    <row r="39" customFormat="false" ht="12.75" hidden="false" customHeight="false" outlineLevel="0" collapsed="false">
      <c r="A39" s="3"/>
      <c r="B39" s="383" t="s">
        <v>933</v>
      </c>
      <c r="C39" s="383"/>
      <c r="D39" s="383"/>
      <c r="E39" s="383"/>
      <c r="H39" s="289"/>
      <c r="I39" s="289"/>
      <c r="T39" s="292"/>
      <c r="U39" s="292"/>
      <c r="Z39" s="293"/>
    </row>
    <row r="40" customFormat="false" ht="24" hidden="false" customHeight="true" outlineLevel="0" collapsed="false">
      <c r="B40" s="17" t="s">
        <v>1</v>
      </c>
      <c r="C40" s="17" t="s">
        <v>2</v>
      </c>
      <c r="D40" s="18" t="s">
        <v>3</v>
      </c>
      <c r="E40" s="18" t="s">
        <v>4</v>
      </c>
      <c r="F40" s="18" t="s">
        <v>5</v>
      </c>
      <c r="G40" s="19" t="s">
        <v>6</v>
      </c>
      <c r="H40" s="20" t="s">
        <v>7</v>
      </c>
      <c r="I40" s="20"/>
      <c r="J40" s="20" t="s">
        <v>8</v>
      </c>
      <c r="K40" s="21" t="s">
        <v>10</v>
      </c>
      <c r="L40" s="22" t="s">
        <v>930</v>
      </c>
      <c r="M40" s="22" t="s">
        <v>931</v>
      </c>
      <c r="N40" s="22" t="s">
        <v>13</v>
      </c>
      <c r="O40" s="22" t="s">
        <v>14</v>
      </c>
      <c r="P40" s="22" t="s">
        <v>15</v>
      </c>
      <c r="Q40" s="303" t="s">
        <v>16</v>
      </c>
      <c r="R40" s="23" t="s">
        <v>17</v>
      </c>
      <c r="S40" s="23" t="s">
        <v>18</v>
      </c>
      <c r="T40" s="303" t="s">
        <v>19</v>
      </c>
      <c r="U40" s="303" t="s">
        <v>20</v>
      </c>
      <c r="V40" s="303" t="s">
        <v>21</v>
      </c>
      <c r="W40" s="19" t="s">
        <v>22</v>
      </c>
      <c r="X40" s="384"/>
      <c r="Y40" s="304"/>
      <c r="Z40" s="19" t="s">
        <v>25</v>
      </c>
      <c r="AB40" s="24" t="s">
        <v>26</v>
      </c>
      <c r="AC40" s="25" t="s">
        <v>28</v>
      </c>
      <c r="AD40" s="26" t="s">
        <v>29</v>
      </c>
    </row>
    <row r="41" customFormat="false" ht="12.75" hidden="false" customHeight="false" outlineLevel="0" collapsed="false">
      <c r="A41" s="3" t="n">
        <f aca="true" t="array" ref="A41:A41">_xlfn._xlws.SORT(_xlfn._xlws.FILTER('Bank Schedule'!A:AD, (('Bank Schedule'!P:P &lt; TODAY()) * ('Bank Schedule'!P:P &lt;&gt; "")) + (('Bank Schedule'!P:P &lt;= TODAY() + 220) * ('Bank Schedule'!P:P &lt;&gt; ""))), 16, TRUE())</f>
        <v>0</v>
      </c>
      <c r="H41" s="289"/>
      <c r="K41" s="390"/>
      <c r="L41" s="390"/>
      <c r="M41" s="390"/>
      <c r="O41" s="390"/>
      <c r="P41" s="390"/>
      <c r="S41" s="292"/>
      <c r="T41" s="292"/>
      <c r="U41" s="292"/>
      <c r="W41" s="392"/>
      <c r="X41" s="393"/>
    </row>
    <row r="42" customFormat="false" ht="12.75" hidden="false" customHeight="false" outlineLevel="0" collapsed="false">
      <c r="A42" s="3"/>
      <c r="H42" s="289"/>
      <c r="K42" s="390"/>
      <c r="L42" s="390"/>
      <c r="M42" s="390"/>
      <c r="O42" s="390"/>
      <c r="P42" s="390"/>
      <c r="S42" s="292"/>
      <c r="T42" s="292"/>
      <c r="U42" s="292"/>
      <c r="W42" s="392"/>
      <c r="X42" s="393"/>
    </row>
    <row r="43" customFormat="false" ht="12.75" hidden="false" customHeight="false" outlineLevel="0" collapsed="false">
      <c r="A43" s="3"/>
      <c r="H43" s="289"/>
      <c r="K43" s="390"/>
      <c r="L43" s="390"/>
      <c r="M43" s="390"/>
      <c r="O43" s="390"/>
      <c r="P43" s="390"/>
      <c r="S43" s="292"/>
      <c r="T43" s="292"/>
      <c r="U43" s="292"/>
      <c r="W43" s="392"/>
      <c r="X43" s="393"/>
    </row>
    <row r="44" customFormat="false" ht="12.75" hidden="false" customHeight="false" outlineLevel="0" collapsed="false">
      <c r="A44" s="3"/>
      <c r="H44" s="289"/>
      <c r="K44" s="390"/>
      <c r="L44" s="390"/>
      <c r="M44" s="390"/>
      <c r="O44" s="390"/>
      <c r="P44" s="390"/>
      <c r="S44" s="292"/>
      <c r="T44" s="292"/>
      <c r="U44" s="292"/>
      <c r="W44" s="392"/>
      <c r="X44" s="393"/>
    </row>
    <row r="45" customFormat="false" ht="12.75" hidden="false" customHeight="false" outlineLevel="0" collapsed="false">
      <c r="A45" s="3"/>
      <c r="H45" s="289"/>
      <c r="K45" s="390"/>
      <c r="L45" s="390"/>
      <c r="M45" s="390"/>
      <c r="O45" s="390"/>
      <c r="P45" s="390"/>
      <c r="S45" s="292"/>
      <c r="T45" s="292"/>
      <c r="U45" s="292"/>
      <c r="W45" s="392"/>
      <c r="X45" s="393"/>
    </row>
    <row r="46" customFormat="false" ht="12.75" hidden="false" customHeight="false" outlineLevel="0" collapsed="false">
      <c r="A46" s="3"/>
      <c r="H46" s="289"/>
      <c r="K46" s="390"/>
      <c r="L46" s="390"/>
      <c r="M46" s="390"/>
      <c r="O46" s="390"/>
      <c r="P46" s="390"/>
      <c r="S46" s="292"/>
      <c r="T46" s="292"/>
      <c r="U46" s="292"/>
      <c r="W46" s="392"/>
      <c r="X46" s="393"/>
    </row>
    <row r="47" customFormat="false" ht="12.75" hidden="false" customHeight="false" outlineLevel="0" collapsed="false">
      <c r="A47" s="3"/>
      <c r="H47" s="289"/>
      <c r="K47" s="390"/>
      <c r="L47" s="390"/>
      <c r="M47" s="390"/>
      <c r="O47" s="390"/>
      <c r="P47" s="390"/>
      <c r="S47" s="292"/>
      <c r="T47" s="292"/>
      <c r="U47" s="292"/>
      <c r="W47" s="392"/>
      <c r="X47" s="393"/>
    </row>
    <row r="48" customFormat="false" ht="12.75" hidden="false" customHeight="false" outlineLevel="0" collapsed="false">
      <c r="A48" s="3"/>
      <c r="H48" s="289"/>
      <c r="K48" s="390"/>
      <c r="L48" s="390"/>
      <c r="M48" s="390"/>
      <c r="O48" s="390"/>
      <c r="P48" s="390"/>
      <c r="S48" s="292"/>
      <c r="T48" s="292"/>
      <c r="U48" s="292"/>
      <c r="W48" s="392"/>
      <c r="X48" s="393"/>
    </row>
    <row r="49" customFormat="false" ht="12.75" hidden="false" customHeight="false" outlineLevel="0" collapsed="false">
      <c r="A49" s="3"/>
      <c r="H49" s="289"/>
      <c r="K49" s="390"/>
      <c r="L49" s="390"/>
      <c r="M49" s="390"/>
      <c r="O49" s="390"/>
      <c r="P49" s="390"/>
      <c r="S49" s="292"/>
      <c r="T49" s="292"/>
      <c r="U49" s="292"/>
      <c r="W49" s="392"/>
      <c r="X49" s="393"/>
    </row>
    <row r="50" customFormat="false" ht="12.75" hidden="false" customHeight="false" outlineLevel="0" collapsed="false">
      <c r="A50" s="3"/>
      <c r="H50" s="289"/>
      <c r="K50" s="390"/>
      <c r="L50" s="390"/>
      <c r="M50" s="390"/>
      <c r="O50" s="390"/>
      <c r="P50" s="390"/>
      <c r="S50" s="292"/>
      <c r="T50" s="292"/>
      <c r="U50" s="292"/>
      <c r="W50" s="392"/>
      <c r="X50" s="393"/>
    </row>
    <row r="51" customFormat="false" ht="12.75" hidden="false" customHeight="false" outlineLevel="0" collapsed="false">
      <c r="A51" s="3"/>
      <c r="H51" s="289"/>
      <c r="K51" s="390"/>
      <c r="L51" s="390"/>
      <c r="M51" s="390"/>
      <c r="O51" s="390"/>
      <c r="P51" s="390"/>
      <c r="S51" s="292"/>
      <c r="T51" s="292"/>
      <c r="U51" s="292"/>
      <c r="W51" s="392"/>
      <c r="X51" s="393"/>
    </row>
    <row r="52" customFormat="false" ht="12.75" hidden="false" customHeight="false" outlineLevel="0" collapsed="false">
      <c r="A52" s="3"/>
      <c r="H52" s="289"/>
      <c r="K52" s="390"/>
      <c r="L52" s="390"/>
      <c r="M52" s="390"/>
      <c r="O52" s="390"/>
      <c r="P52" s="390"/>
      <c r="S52" s="292"/>
      <c r="T52" s="292"/>
      <c r="U52" s="292"/>
      <c r="W52" s="392"/>
      <c r="X52" s="393"/>
    </row>
    <row r="53" customFormat="false" ht="12.75" hidden="false" customHeight="false" outlineLevel="0" collapsed="false">
      <c r="A53" s="3"/>
      <c r="H53" s="289"/>
      <c r="K53" s="390"/>
      <c r="L53" s="390"/>
      <c r="M53" s="390"/>
      <c r="O53" s="390"/>
      <c r="P53" s="390"/>
      <c r="S53" s="292"/>
      <c r="T53" s="292"/>
      <c r="U53" s="292"/>
      <c r="W53" s="392"/>
      <c r="X53" s="393"/>
    </row>
    <row r="54" customFormat="false" ht="12.75" hidden="false" customHeight="false" outlineLevel="0" collapsed="false">
      <c r="A54" s="3"/>
      <c r="H54" s="289"/>
      <c r="K54" s="390"/>
      <c r="L54" s="390"/>
      <c r="M54" s="390"/>
      <c r="O54" s="390"/>
      <c r="P54" s="390"/>
      <c r="S54" s="292"/>
      <c r="T54" s="292"/>
      <c r="U54" s="292"/>
      <c r="W54" s="392"/>
      <c r="X54" s="393"/>
    </row>
    <row r="55" customFormat="false" ht="12.75" hidden="false" customHeight="false" outlineLevel="0" collapsed="false">
      <c r="H55" s="289"/>
      <c r="K55" s="390"/>
      <c r="L55" s="390"/>
      <c r="M55" s="390"/>
      <c r="O55" s="390"/>
      <c r="P55" s="390"/>
      <c r="S55" s="292"/>
      <c r="T55" s="292"/>
      <c r="U55" s="292"/>
      <c r="W55" s="392"/>
      <c r="X55" s="393"/>
    </row>
    <row r="56" customFormat="false" ht="12.75" hidden="false" customHeight="false" outlineLevel="0" collapsed="false">
      <c r="H56" s="289"/>
      <c r="K56" s="390"/>
      <c r="L56" s="390"/>
      <c r="M56" s="390"/>
      <c r="O56" s="390"/>
      <c r="P56" s="390"/>
      <c r="S56" s="292"/>
      <c r="T56" s="292"/>
      <c r="U56" s="292"/>
      <c r="W56" s="392"/>
      <c r="X56" s="393"/>
    </row>
    <row r="57" customFormat="false" ht="12.75" hidden="false" customHeight="false" outlineLevel="0" collapsed="false">
      <c r="H57" s="289"/>
      <c r="K57" s="390"/>
      <c r="L57" s="390"/>
      <c r="M57" s="390"/>
      <c r="O57" s="390"/>
      <c r="P57" s="390"/>
      <c r="S57" s="292"/>
      <c r="T57" s="292"/>
      <c r="U57" s="292"/>
      <c r="W57" s="392"/>
      <c r="X57" s="393"/>
    </row>
    <row r="58" customFormat="false" ht="12.75" hidden="false" customHeight="false" outlineLevel="0" collapsed="false">
      <c r="H58" s="289"/>
      <c r="K58" s="390"/>
      <c r="L58" s="390"/>
      <c r="M58" s="390"/>
      <c r="O58" s="390"/>
      <c r="P58" s="390"/>
      <c r="S58" s="292"/>
      <c r="T58" s="292"/>
      <c r="U58" s="292"/>
      <c r="W58" s="392"/>
      <c r="X58" s="393"/>
    </row>
    <row r="59" customFormat="false" ht="12.75" hidden="false" customHeight="false" outlineLevel="0" collapsed="false">
      <c r="H59" s="289"/>
      <c r="K59" s="390"/>
      <c r="L59" s="390"/>
      <c r="M59" s="390"/>
      <c r="O59" s="390"/>
      <c r="P59" s="390"/>
      <c r="S59" s="292"/>
      <c r="T59" s="292"/>
      <c r="U59" s="292"/>
      <c r="W59" s="392"/>
      <c r="X59" s="393"/>
    </row>
    <row r="60" customFormat="false" ht="12.75" hidden="false" customHeight="false" outlineLevel="0" collapsed="false">
      <c r="H60" s="289"/>
      <c r="K60" s="390"/>
      <c r="L60" s="390"/>
      <c r="M60" s="390"/>
      <c r="O60" s="390"/>
      <c r="P60" s="390"/>
      <c r="S60" s="292"/>
      <c r="T60" s="292"/>
      <c r="U60" s="292"/>
      <c r="W60" s="392"/>
      <c r="X60" s="393"/>
    </row>
    <row r="61" customFormat="false" ht="12.75" hidden="false" customHeight="false" outlineLevel="0" collapsed="false">
      <c r="H61" s="289"/>
      <c r="K61" s="390"/>
      <c r="L61" s="390"/>
      <c r="M61" s="390"/>
      <c r="O61" s="390"/>
      <c r="P61" s="390"/>
      <c r="S61" s="292"/>
      <c r="T61" s="292"/>
      <c r="U61" s="292"/>
      <c r="W61" s="392"/>
      <c r="X61" s="393"/>
    </row>
    <row r="62" customFormat="false" ht="12.75" hidden="false" customHeight="false" outlineLevel="0" collapsed="false">
      <c r="H62" s="289"/>
      <c r="K62" s="390"/>
      <c r="L62" s="390"/>
      <c r="M62" s="390"/>
      <c r="O62" s="390"/>
      <c r="P62" s="390"/>
      <c r="S62" s="292"/>
      <c r="T62" s="292"/>
      <c r="U62" s="292"/>
      <c r="W62" s="392"/>
      <c r="X62" s="393"/>
    </row>
    <row r="63" customFormat="false" ht="12.75" hidden="false" customHeight="false" outlineLevel="0" collapsed="false">
      <c r="H63" s="289"/>
      <c r="K63" s="390"/>
      <c r="L63" s="390"/>
      <c r="M63" s="390"/>
      <c r="O63" s="390"/>
      <c r="P63" s="390"/>
      <c r="S63" s="292"/>
      <c r="T63" s="292"/>
      <c r="U63" s="292"/>
      <c r="W63" s="392"/>
      <c r="X63" s="393"/>
    </row>
    <row r="64" customFormat="false" ht="12.75" hidden="false" customHeight="false" outlineLevel="0" collapsed="false">
      <c r="H64" s="289"/>
      <c r="K64" s="390"/>
      <c r="L64" s="390"/>
      <c r="M64" s="390"/>
      <c r="O64" s="390"/>
      <c r="P64" s="390"/>
      <c r="S64" s="292"/>
      <c r="T64" s="292"/>
      <c r="U64" s="292"/>
      <c r="W64" s="392"/>
      <c r="X64" s="393"/>
    </row>
    <row r="65" customFormat="false" ht="12.75" hidden="false" customHeight="false" outlineLevel="0" collapsed="false">
      <c r="H65" s="289"/>
      <c r="K65" s="390"/>
      <c r="L65" s="390"/>
      <c r="M65" s="390"/>
      <c r="O65" s="390"/>
      <c r="P65" s="390"/>
      <c r="S65" s="292"/>
      <c r="T65" s="292"/>
      <c r="U65" s="292"/>
      <c r="W65" s="392"/>
      <c r="X65" s="393"/>
    </row>
    <row r="66" customFormat="false" ht="12.75" hidden="false" customHeight="false" outlineLevel="0" collapsed="false">
      <c r="H66" s="289"/>
      <c r="K66" s="390"/>
      <c r="L66" s="390"/>
      <c r="M66" s="390"/>
      <c r="N66" s="390"/>
      <c r="O66" s="390"/>
      <c r="P66" s="390"/>
      <c r="S66" s="292"/>
      <c r="T66" s="292"/>
      <c r="U66" s="292"/>
      <c r="W66" s="392"/>
      <c r="X66" s="393"/>
    </row>
    <row r="67" customFormat="false" ht="12.75" hidden="false" customHeight="false" outlineLevel="0" collapsed="false">
      <c r="H67" s="289"/>
      <c r="K67" s="390"/>
      <c r="L67" s="390"/>
      <c r="M67" s="390"/>
      <c r="O67" s="390"/>
      <c r="P67" s="390"/>
      <c r="S67" s="292"/>
      <c r="T67" s="292"/>
      <c r="U67" s="292"/>
      <c r="W67" s="392"/>
      <c r="X67" s="393"/>
    </row>
    <row r="68" customFormat="false" ht="12.75" hidden="false" customHeight="false" outlineLevel="0" collapsed="false">
      <c r="H68" s="289"/>
      <c r="K68" s="390"/>
      <c r="L68" s="390"/>
      <c r="M68" s="390"/>
      <c r="O68" s="390"/>
      <c r="P68" s="390"/>
      <c r="S68" s="292"/>
      <c r="T68" s="292"/>
      <c r="U68" s="292"/>
      <c r="W68" s="392"/>
      <c r="X68" s="393"/>
    </row>
    <row r="69" customFormat="false" ht="12.75" hidden="false" customHeight="false" outlineLevel="0" collapsed="false">
      <c r="H69" s="289"/>
      <c r="K69" s="390"/>
      <c r="L69" s="390"/>
      <c r="M69" s="390"/>
      <c r="O69" s="390"/>
      <c r="P69" s="292"/>
      <c r="S69" s="292"/>
      <c r="T69" s="292"/>
      <c r="U69" s="292"/>
      <c r="W69" s="392"/>
      <c r="X69" s="393"/>
    </row>
    <row r="70" customFormat="false" ht="12.75" hidden="false" customHeight="false" outlineLevel="0" collapsed="false">
      <c r="H70" s="289"/>
      <c r="K70" s="390"/>
      <c r="L70" s="390"/>
      <c r="O70" s="390"/>
      <c r="P70" s="292"/>
      <c r="S70" s="292"/>
      <c r="T70" s="292"/>
      <c r="U70" s="292"/>
      <c r="W70" s="392"/>
      <c r="X70" s="393"/>
    </row>
    <row r="71" customFormat="false" ht="12.75" hidden="false" customHeight="false" outlineLevel="0" collapsed="false">
      <c r="B71" s="383" t="s">
        <v>934</v>
      </c>
      <c r="C71" s="383"/>
      <c r="D71" s="383"/>
      <c r="E71" s="383"/>
      <c r="H71" s="289"/>
      <c r="I71" s="289"/>
      <c r="T71" s="292"/>
      <c r="U71" s="292"/>
      <c r="Z71" s="293"/>
    </row>
    <row r="72" customFormat="false" ht="24" hidden="false" customHeight="true" outlineLevel="0" collapsed="false">
      <c r="A72" s="3"/>
      <c r="B72" s="17" t="s">
        <v>1</v>
      </c>
      <c r="C72" s="17" t="s">
        <v>2</v>
      </c>
      <c r="D72" s="18" t="s">
        <v>3</v>
      </c>
      <c r="E72" s="18" t="s">
        <v>4</v>
      </c>
      <c r="F72" s="18" t="s">
        <v>5</v>
      </c>
      <c r="G72" s="19" t="s">
        <v>6</v>
      </c>
      <c r="H72" s="20" t="s">
        <v>7</v>
      </c>
      <c r="I72" s="20"/>
      <c r="J72" s="20" t="s">
        <v>8</v>
      </c>
      <c r="K72" s="21" t="s">
        <v>10</v>
      </c>
      <c r="L72" s="22" t="s">
        <v>930</v>
      </c>
      <c r="M72" s="22" t="s">
        <v>931</v>
      </c>
      <c r="N72" s="22" t="s">
        <v>13</v>
      </c>
      <c r="O72" s="22" t="s">
        <v>14</v>
      </c>
      <c r="P72" s="22" t="s">
        <v>15</v>
      </c>
      <c r="Q72" s="303" t="s">
        <v>16</v>
      </c>
      <c r="R72" s="23" t="s">
        <v>17</v>
      </c>
      <c r="S72" s="23" t="s">
        <v>18</v>
      </c>
      <c r="T72" s="303" t="s">
        <v>19</v>
      </c>
      <c r="U72" s="303" t="s">
        <v>20</v>
      </c>
      <c r="V72" s="303" t="s">
        <v>21</v>
      </c>
      <c r="W72" s="19" t="s">
        <v>22</v>
      </c>
      <c r="X72" s="384"/>
      <c r="Y72" s="304"/>
      <c r="Z72" s="19" t="s">
        <v>25</v>
      </c>
      <c r="AB72" s="24" t="s">
        <v>26</v>
      </c>
      <c r="AC72" s="25" t="s">
        <v>28</v>
      </c>
      <c r="AD72" s="26" t="s">
        <v>29</v>
      </c>
    </row>
    <row r="73" customFormat="false" ht="13.5" hidden="false" customHeight="true" outlineLevel="0" collapsed="false">
      <c r="B73" s="394"/>
      <c r="C73" s="394"/>
      <c r="D73" s="28"/>
      <c r="E73" s="28"/>
      <c r="F73" s="28"/>
      <c r="G73" s="394"/>
      <c r="H73" s="395"/>
      <c r="I73" s="395"/>
      <c r="J73" s="395"/>
      <c r="K73" s="28"/>
      <c r="L73" s="396"/>
      <c r="M73" s="396"/>
      <c r="N73" s="396"/>
      <c r="O73" s="396"/>
      <c r="P73" s="396"/>
      <c r="Q73" s="397"/>
      <c r="R73" s="398"/>
      <c r="S73" s="398"/>
      <c r="T73" s="397"/>
      <c r="U73" s="397"/>
      <c r="V73" s="397"/>
      <c r="W73" s="394"/>
      <c r="X73" s="399"/>
      <c r="Y73" s="400"/>
      <c r="Z73" s="400"/>
      <c r="AA73" s="394"/>
      <c r="AB73" s="401"/>
      <c r="AC73" s="402"/>
      <c r="AD73" s="402"/>
    </row>
    <row r="74" customFormat="false" ht="12.75" hidden="false" customHeight="false" outlineLevel="0" collapsed="false">
      <c r="A74" s="3" t="n">
        <f aca="true" t="array" ref="A74:AE116">_xlfn._xlws.SORT(_xlfn._xlws.FILTER('Bank Schedule'!A:AE, (('Bank Schedule'!O:O &lt; TODAY()) * ('Bank Schedule'!O:O &lt;&gt; "")) + (('Bank Schedule'!O:O &lt;= TODAY() + 220) * ('Bank Schedule'!O:O &lt;&gt; ""))), 15, TRUE())</f>
        <v>0</v>
      </c>
      <c r="B74" s="1" t="str">
        <v>WS</v>
      </c>
      <c r="C74" s="1" t="str">
        <v>MEL</v>
      </c>
      <c r="D74" s="1" t="n">
        <v>550570</v>
      </c>
      <c r="E74" s="1" t="str">
        <v>Moray House, 23-35 Great Titchfield Street &amp; 63-65 Mortimer Street</v>
      </c>
      <c r="F74" s="1" t="str">
        <v>Suites 2 &amp; 3 First Floor  </v>
      </c>
      <c r="G74" s="1" t="str">
        <v>Showroom/Office</v>
      </c>
      <c r="H74" s="289" t="n">
        <v>2851</v>
      </c>
      <c r="I74" s="1" t="n">
        <v>2851</v>
      </c>
      <c r="J74" s="1" t="n">
        <v>2750</v>
      </c>
      <c r="K74" s="390" t="str">
        <v>Wacoal Emea Ltd.</v>
      </c>
      <c r="L74" s="390" t="n">
        <v>42192</v>
      </c>
      <c r="M74" s="1" t="n">
        <v>45844</v>
      </c>
      <c r="N74" s="390" t="n">
        <v>0</v>
      </c>
      <c r="O74" s="390" t="n">
        <v>44019</v>
      </c>
      <c r="P74" s="390" t="n">
        <v>0</v>
      </c>
      <c r="Q74" s="292" t="n">
        <v>156000</v>
      </c>
      <c r="R74" s="1" t="n">
        <v>156000</v>
      </c>
      <c r="S74" s="292" t="n">
        <v>0</v>
      </c>
      <c r="T74" s="292" t="n">
        <v>151300</v>
      </c>
      <c r="U74" s="292" t="n">
        <v>151300</v>
      </c>
      <c r="V74" s="292" t="n">
        <v>178200</v>
      </c>
      <c r="W74" s="392" t="n">
        <v>178200</v>
      </c>
      <c r="X74" s="393" t="n">
        <v>62.504384426517</v>
      </c>
      <c r="Y74" s="293" t="n">
        <v>0.177792465300727</v>
      </c>
      <c r="Z74" s="1" t="str">
        <v>C</v>
      </c>
      <c r="AA74" s="1" t="n">
        <v>0</v>
      </c>
      <c r="AB74" s="1" t="n">
        <v>0</v>
      </c>
      <c r="AC74" s="1" t="str">
        <v>No</v>
      </c>
      <c r="AD74" s="1" t="str">
        <v>Tenant vacating on expiry. Renewal discussions ended.</v>
      </c>
      <c r="AE74" s="1" t="n">
        <v>0</v>
      </c>
    </row>
    <row r="75" customFormat="false" ht="12.75" hidden="false" customHeight="false" outlineLevel="0" collapsed="false">
      <c r="A75" s="1" t="n">
        <v>0</v>
      </c>
      <c r="B75" s="1" t="str">
        <v>CD</v>
      </c>
      <c r="C75" s="1" t="str">
        <v>OOS</v>
      </c>
      <c r="D75" s="1" t="n">
        <v>888010</v>
      </c>
      <c r="E75" s="1" t="str">
        <v>184-190 Oxford Street &amp; 28/30 Market Place</v>
      </c>
      <c r="F75" s="1" t="str">
        <v>2nd Floor, 30 Market Place</v>
      </c>
      <c r="G75" s="1" t="str">
        <v>Office</v>
      </c>
      <c r="H75" s="289" t="n">
        <v>4463</v>
      </c>
      <c r="I75" s="1" t="n">
        <v>4463</v>
      </c>
      <c r="J75" s="1" t="n">
        <v>4500</v>
      </c>
      <c r="K75" s="390" t="str">
        <v>Joint London Ltd</v>
      </c>
      <c r="L75" s="390" t="n">
        <v>42286</v>
      </c>
      <c r="M75" s="1" t="n">
        <v>45938</v>
      </c>
      <c r="N75" s="390" t="n">
        <v>0</v>
      </c>
      <c r="O75" s="390" t="n">
        <v>44113</v>
      </c>
      <c r="P75" s="390" t="n">
        <v>0</v>
      </c>
      <c r="Q75" s="292" t="n">
        <v>367290</v>
      </c>
      <c r="R75" s="1" t="n">
        <v>367290</v>
      </c>
      <c r="S75" s="292" t="n">
        <v>0</v>
      </c>
      <c r="T75" s="292" t="n">
        <v>345000</v>
      </c>
      <c r="U75" s="292" t="n">
        <v>345000</v>
      </c>
      <c r="V75" s="292" t="n">
        <v>368000</v>
      </c>
      <c r="W75" s="392" t="n">
        <v>368000</v>
      </c>
      <c r="X75" s="393" t="n">
        <v>82.4557472552095</v>
      </c>
      <c r="Y75" s="293" t="n">
        <v>0.0666666666666667</v>
      </c>
      <c r="Z75" s="1" t="str">
        <v>B</v>
      </c>
      <c r="AA75" s="1" t="n">
        <v>0</v>
      </c>
      <c r="AB75" s="1" t="n">
        <v>0</v>
      </c>
      <c r="AC75" s="1" t="str">
        <v>No</v>
      </c>
      <c r="AD75" s="1" t="n">
        <v>0</v>
      </c>
      <c r="AE75" s="1" t="n">
        <v>0</v>
      </c>
    </row>
    <row r="76" customFormat="false" ht="12.75" hidden="false" customHeight="false" outlineLevel="0" collapsed="false">
      <c r="A76" s="1" t="n">
        <v>0</v>
      </c>
      <c r="B76" s="1" t="str">
        <v>CD</v>
      </c>
      <c r="C76" s="1" t="str">
        <v>MEL</v>
      </c>
      <c r="D76" s="1" t="n">
        <v>550840</v>
      </c>
      <c r="E76" s="1" t="str">
        <v>41 Great Portland Street</v>
      </c>
      <c r="F76" s="1" t="str">
        <v>Basement to Fourth</v>
      </c>
      <c r="G76" s="1" t="str">
        <v>Offices</v>
      </c>
      <c r="H76" s="289" t="n">
        <v>2313</v>
      </c>
      <c r="I76" s="1" t="n">
        <v>2313</v>
      </c>
      <c r="J76" s="1" t="n">
        <v>2250</v>
      </c>
      <c r="K76" s="390" t="str">
        <v>S.Hardwick &amp; L.Morris (t/a Hardwick &amp; Morris Chartered Accountants)</v>
      </c>
      <c r="L76" s="390" t="n">
        <v>42339</v>
      </c>
      <c r="M76" s="1" t="n">
        <v>45991</v>
      </c>
      <c r="N76" s="390" t="n">
        <v>0</v>
      </c>
      <c r="O76" s="390" t="n">
        <v>44166</v>
      </c>
      <c r="P76" s="390" t="n">
        <v>0</v>
      </c>
      <c r="Q76" s="292" t="n">
        <v>112000</v>
      </c>
      <c r="R76" s="1" t="n">
        <v>112000</v>
      </c>
      <c r="S76" s="292" t="n">
        <v>112000</v>
      </c>
      <c r="T76" s="292" t="n">
        <v>106600</v>
      </c>
      <c r="U76" s="292" t="n">
        <v>106600</v>
      </c>
      <c r="V76" s="292" t="n">
        <v>102100</v>
      </c>
      <c r="W76" s="392" t="n">
        <v>102100</v>
      </c>
      <c r="X76" s="393" t="n">
        <v>44.1418071768266</v>
      </c>
      <c r="Y76" s="293" t="n">
        <v>-0.0422138836772983</v>
      </c>
      <c r="Z76" s="1" t="str">
        <v>E</v>
      </c>
      <c r="AA76" s="1" t="n">
        <v>0</v>
      </c>
      <c r="AB76" s="1" t="n">
        <v>1750000</v>
      </c>
      <c r="AC76" s="1" t="str">
        <v>No</v>
      </c>
      <c r="AD76" s="1" t="n">
        <v>0</v>
      </c>
      <c r="AE76" s="1" t="n">
        <v>0</v>
      </c>
    </row>
    <row r="77" customFormat="false" ht="12.75" hidden="false" customHeight="false" outlineLevel="0" collapsed="false">
      <c r="A77" s="1" t="n">
        <v>0</v>
      </c>
      <c r="B77" s="1" t="str">
        <v>CD</v>
      </c>
      <c r="C77" s="1" t="str">
        <v>OOS</v>
      </c>
      <c r="D77" s="1" t="n">
        <v>888010</v>
      </c>
      <c r="E77" s="1" t="str">
        <v>184-190 Oxford Street &amp; 28/30 Market Place</v>
      </c>
      <c r="F77" s="1" t="str">
        <v>190 Oxford Street (B &amp; G)</v>
      </c>
      <c r="G77" s="1" t="str">
        <v>Retail</v>
      </c>
      <c r="H77" s="289" t="n">
        <v>5350</v>
      </c>
      <c r="I77" s="1" t="n">
        <v>5350</v>
      </c>
      <c r="J77" s="1" t="n">
        <v>5500</v>
      </c>
      <c r="K77" s="390" t="str">
        <v>Office Holdings Ltd</v>
      </c>
      <c r="L77" s="390" t="n">
        <v>40651</v>
      </c>
      <c r="M77" s="1" t="n">
        <v>46129</v>
      </c>
      <c r="N77" s="390" t="n">
        <v>0</v>
      </c>
      <c r="O77" s="390" t="n">
        <v>44304</v>
      </c>
      <c r="P77" s="390" t="n">
        <v>0</v>
      </c>
      <c r="Q77" s="292" t="n">
        <v>730000</v>
      </c>
      <c r="R77" s="1" t="n">
        <v>730000</v>
      </c>
      <c r="S77" s="292" t="n">
        <v>0</v>
      </c>
      <c r="T77" s="292" t="n">
        <v>400000</v>
      </c>
      <c r="U77" s="292" t="n">
        <v>400000</v>
      </c>
      <c r="V77" s="292" t="n">
        <v>450000</v>
      </c>
      <c r="W77" s="392" t="n">
        <v>450000</v>
      </c>
      <c r="X77" s="393" t="n">
        <v>84.1121495327103</v>
      </c>
      <c r="Y77" s="293" t="n">
        <v>0.125</v>
      </c>
      <c r="Z77" s="1" t="str">
        <v>C</v>
      </c>
      <c r="AA77" s="1" t="n">
        <v>0</v>
      </c>
      <c r="AB77" s="1" t="n">
        <v>0</v>
      </c>
      <c r="AC77" s="1" t="str">
        <v>Yes</v>
      </c>
      <c r="AD77" s="1" t="n">
        <v>0</v>
      </c>
      <c r="AE77" s="1" t="n">
        <v>0</v>
      </c>
    </row>
    <row r="78" customFormat="false" ht="12.75" hidden="false" customHeight="false" outlineLevel="0" collapsed="false">
      <c r="A78" s="1" t="n">
        <v>0</v>
      </c>
      <c r="B78" s="1" t="str">
        <v>CD</v>
      </c>
      <c r="C78" s="1" t="str">
        <v>OPG</v>
      </c>
      <c r="D78" s="1" t="n">
        <v>800200</v>
      </c>
      <c r="E78" s="1" t="str">
        <v>33 Eastcastle Street</v>
      </c>
      <c r="F78" s="1" t="str">
        <v>Whole Building</v>
      </c>
      <c r="G78" s="1" t="str">
        <v>Retail &amp; Office</v>
      </c>
      <c r="H78" s="289" t="n">
        <v>3122</v>
      </c>
      <c r="I78" s="1" t="n">
        <v>3122</v>
      </c>
      <c r="J78" s="1" t="n">
        <v>3000</v>
      </c>
      <c r="K78" s="390" t="str">
        <v>Leon Restaurants Ltd</v>
      </c>
      <c r="L78" s="390" t="n">
        <v>42580</v>
      </c>
      <c r="M78" s="1" t="n">
        <v>46231</v>
      </c>
      <c r="N78" s="390" t="n">
        <v>0</v>
      </c>
      <c r="O78" s="390" t="n">
        <v>44406</v>
      </c>
      <c r="P78" s="390" t="n">
        <v>0</v>
      </c>
      <c r="Q78" s="292" t="n">
        <v>170000</v>
      </c>
      <c r="R78" s="1" t="n">
        <v>170000</v>
      </c>
      <c r="S78" s="292" t="n">
        <v>0</v>
      </c>
      <c r="T78" s="292" t="n">
        <v>124100</v>
      </c>
      <c r="U78" s="292" t="n">
        <v>124100</v>
      </c>
      <c r="V78" s="292" t="n">
        <v>124100</v>
      </c>
      <c r="W78" s="392" t="n">
        <v>124100</v>
      </c>
      <c r="X78" s="393" t="n">
        <v>39.7501601537476</v>
      </c>
      <c r="Y78" s="293" t="n">
        <v>0</v>
      </c>
      <c r="Z78" s="1" t="str">
        <v>E</v>
      </c>
      <c r="AA78" s="1" t="n">
        <v>0</v>
      </c>
      <c r="AB78" s="1" t="n">
        <v>1325000</v>
      </c>
      <c r="AC78" s="1" t="str">
        <v>No</v>
      </c>
      <c r="AD78" s="1" t="n">
        <v>0</v>
      </c>
      <c r="AE78" s="1" t="n">
        <v>0</v>
      </c>
    </row>
    <row r="79" customFormat="false" ht="12.75" hidden="false" customHeight="false" outlineLevel="0" collapsed="false">
      <c r="A79" s="1" t="n">
        <v>0</v>
      </c>
      <c r="B79" s="1" t="str">
        <v>JM</v>
      </c>
      <c r="C79" s="1" t="str">
        <v>MEL</v>
      </c>
      <c r="D79" s="1" t="n">
        <v>100650</v>
      </c>
      <c r="E79" s="1" t="str">
        <v>50-60 Eastcastle Street</v>
      </c>
      <c r="F79" s="1" t="str">
        <v>Winsley St. Sub-station (N)</v>
      </c>
      <c r="G79" s="1" t="str">
        <v>Plant Room</v>
      </c>
      <c r="H79" s="289" t="n">
        <v>0</v>
      </c>
      <c r="I79" s="1" t="n">
        <v>0</v>
      </c>
      <c r="J79" s="1" t="n">
        <v>0</v>
      </c>
      <c r="K79" s="390" t="str">
        <v>London Power Networks Plc</v>
      </c>
      <c r="L79" s="390" t="n">
        <v>39295</v>
      </c>
      <c r="M79" s="1" t="n">
        <v>46599</v>
      </c>
      <c r="N79" s="390" t="n">
        <v>0</v>
      </c>
      <c r="O79" s="390" t="n">
        <v>44409</v>
      </c>
      <c r="P79" s="390" t="n">
        <v>0</v>
      </c>
      <c r="Q79" s="292" t="n">
        <v>681</v>
      </c>
      <c r="R79" s="1" t="n">
        <v>681</v>
      </c>
      <c r="S79" s="292" t="n">
        <v>0</v>
      </c>
      <c r="T79" s="292" t="n">
        <v>700</v>
      </c>
      <c r="U79" s="292" t="n">
        <v>700</v>
      </c>
      <c r="V79" s="292" t="n">
        <v>700</v>
      </c>
      <c r="W79" s="392" t="n">
        <v>700</v>
      </c>
      <c r="X79" s="393" t="n">
        <v>0</v>
      </c>
      <c r="Y79" s="293" t="n">
        <v>0</v>
      </c>
      <c r="Z79" s="1" t="n">
        <v>0</v>
      </c>
      <c r="AA79" s="1" t="n">
        <v>0</v>
      </c>
      <c r="AB79" s="1" t="n">
        <v>0</v>
      </c>
      <c r="AC79" s="1" t="str">
        <v>No</v>
      </c>
      <c r="AD79" s="1" t="str">
        <v>Landlords redevelopment break on 6 months notice. Rent review is RPI indexation. </v>
      </c>
      <c r="AE79" s="1" t="n">
        <v>0</v>
      </c>
    </row>
    <row r="80" customFormat="false" ht="12.75" hidden="false" customHeight="false" outlineLevel="0" collapsed="false">
      <c r="A80" s="1" t="n">
        <v>0</v>
      </c>
      <c r="B80" s="1" t="str">
        <v>JM</v>
      </c>
      <c r="C80" s="1" t="str">
        <v>MEL</v>
      </c>
      <c r="D80" s="1" t="n">
        <v>100650</v>
      </c>
      <c r="E80" s="1" t="str">
        <v>50-60 Eastcastle Street</v>
      </c>
      <c r="F80" s="1" t="str">
        <v>Winsley St. Sub-station (S)</v>
      </c>
      <c r="G80" s="1" t="str">
        <v>Plant Room</v>
      </c>
      <c r="H80" s="289" t="n">
        <v>0</v>
      </c>
      <c r="I80" s="1" t="n">
        <v>0</v>
      </c>
      <c r="J80" s="1" t="n">
        <v>0</v>
      </c>
      <c r="K80" s="390" t="str">
        <v>London Power Networks Plc</v>
      </c>
      <c r="L80" s="390" t="n">
        <v>39295</v>
      </c>
      <c r="M80" s="1" t="n">
        <v>46599</v>
      </c>
      <c r="N80" s="390" t="n">
        <v>0</v>
      </c>
      <c r="O80" s="390" t="n">
        <v>44409</v>
      </c>
      <c r="P80" s="390" t="n">
        <v>0</v>
      </c>
      <c r="Q80" s="292" t="n">
        <v>681</v>
      </c>
      <c r="R80" s="1" t="n">
        <v>681</v>
      </c>
      <c r="S80" s="292" t="n">
        <v>0</v>
      </c>
      <c r="T80" s="292" t="n">
        <v>700</v>
      </c>
      <c r="U80" s="292" t="n">
        <v>700</v>
      </c>
      <c r="V80" s="292" t="n">
        <v>700</v>
      </c>
      <c r="W80" s="392" t="n">
        <v>700</v>
      </c>
      <c r="X80" s="393" t="n">
        <v>0</v>
      </c>
      <c r="Y80" s="293" t="n">
        <v>0</v>
      </c>
      <c r="Z80" s="1" t="n">
        <v>0</v>
      </c>
      <c r="AA80" s="1" t="n">
        <v>0</v>
      </c>
      <c r="AB80" s="1" t="n">
        <v>0</v>
      </c>
      <c r="AC80" s="1" t="str">
        <v>No</v>
      </c>
      <c r="AD80" s="1" t="str">
        <v>Landlords redevelopment break on 6 months notice. Rent review is RPI indexation. </v>
      </c>
      <c r="AE80" s="1" t="n">
        <v>0</v>
      </c>
    </row>
    <row r="81" customFormat="false" ht="12.75" hidden="false" customHeight="false" outlineLevel="0" collapsed="false">
      <c r="A81" s="1" t="n">
        <v>0</v>
      </c>
      <c r="B81" s="1" t="str">
        <v>JM</v>
      </c>
      <c r="C81" s="1" t="str">
        <v>MEL</v>
      </c>
      <c r="D81" s="1" t="n">
        <v>100650</v>
      </c>
      <c r="E81" s="1" t="str">
        <v>150/154 Oxford Street</v>
      </c>
      <c r="F81" s="1" t="str">
        <v>Part Basement to Second Floors &amp; Rooftop Switch Room</v>
      </c>
      <c r="G81" s="1" t="str">
        <v>Retail</v>
      </c>
      <c r="H81" s="289" t="n">
        <v>61433</v>
      </c>
      <c r="I81" s="1" t="n">
        <v>61433</v>
      </c>
      <c r="J81" s="1" t="n">
        <v>60000</v>
      </c>
      <c r="K81" s="390" t="str">
        <v>Sportsdirect.com Retail Ltd</v>
      </c>
      <c r="L81" s="390" t="n">
        <v>40925</v>
      </c>
      <c r="M81" s="1" t="n">
        <v>46403</v>
      </c>
      <c r="N81" s="390" t="n">
        <v>0</v>
      </c>
      <c r="O81" s="390" t="n">
        <v>44578</v>
      </c>
      <c r="P81" s="390" t="n">
        <v>0</v>
      </c>
      <c r="Q81" s="292" t="n">
        <v>4275000</v>
      </c>
      <c r="R81" s="1" t="n">
        <v>4275000</v>
      </c>
      <c r="S81" s="292" t="n">
        <v>4275000</v>
      </c>
      <c r="T81" s="292" t="n">
        <v>2569000</v>
      </c>
      <c r="U81" s="292" t="n">
        <v>2569000</v>
      </c>
      <c r="V81" s="292" t="n">
        <v>3039000</v>
      </c>
      <c r="W81" s="392" t="n">
        <v>3039000</v>
      </c>
      <c r="X81" s="393" t="n">
        <v>49.4685266876109</v>
      </c>
      <c r="Y81" s="293" t="n">
        <v>0.182950564421954</v>
      </c>
      <c r="Z81" s="1" t="str">
        <v>B</v>
      </c>
      <c r="AA81" s="1" t="n">
        <v>0</v>
      </c>
      <c r="AB81" s="1" t="n">
        <v>66775000</v>
      </c>
      <c r="AC81" s="1" t="str">
        <v>Yes</v>
      </c>
      <c r="AD81" s="1" t="str">
        <v>Electricity Substation sublet by Sportsdirect.com. Rent review not yet activated. </v>
      </c>
      <c r="AE81" s="1" t="n">
        <v>0</v>
      </c>
    </row>
    <row r="82" customFormat="false" ht="12.75" hidden="false" customHeight="false" outlineLevel="0" collapsed="false">
      <c r="A82" s="1" t="n">
        <v>0</v>
      </c>
      <c r="B82" s="1" t="str">
        <v>JM</v>
      </c>
      <c r="C82" s="1" t="str">
        <v>MEL</v>
      </c>
      <c r="D82" s="1" t="n">
        <v>550690</v>
      </c>
      <c r="E82" s="1" t="str">
        <v>Kenilworth House - 79-80 Margaret Street</v>
      </c>
      <c r="F82" s="1" t="str">
        <v>Ground (West) &amp; Part Basement</v>
      </c>
      <c r="G82" s="1" t="str">
        <v>Showroom</v>
      </c>
      <c r="H82" s="289" t="n">
        <v>1989</v>
      </c>
      <c r="I82" s="1" t="n">
        <v>1989</v>
      </c>
      <c r="J82" s="1" t="n">
        <v>2000</v>
      </c>
      <c r="K82" s="390" t="str">
        <v>Edwards Cheshire Company Ltd.</v>
      </c>
      <c r="L82" s="390" t="n">
        <v>42874</v>
      </c>
      <c r="M82" s="1" t="n">
        <v>46525</v>
      </c>
      <c r="N82" s="390" t="n">
        <v>0</v>
      </c>
      <c r="O82" s="390" t="n">
        <v>44700</v>
      </c>
      <c r="P82" s="390" t="n">
        <v>0</v>
      </c>
      <c r="Q82" s="292" t="n">
        <v>82575</v>
      </c>
      <c r="R82" s="1" t="n">
        <v>82575</v>
      </c>
      <c r="S82" s="292" t="n">
        <v>0</v>
      </c>
      <c r="T82" s="292" t="n">
        <v>75000</v>
      </c>
      <c r="U82" s="292" t="n">
        <v>75000</v>
      </c>
      <c r="V82" s="292" t="n">
        <v>87300</v>
      </c>
      <c r="W82" s="392" t="n">
        <v>87300</v>
      </c>
      <c r="X82" s="393" t="n">
        <v>43.8914027149321</v>
      </c>
      <c r="Y82" s="293" t="n">
        <v>0.164</v>
      </c>
      <c r="Z82" s="1" t="str">
        <v>C</v>
      </c>
      <c r="AA82" s="1" t="n">
        <v>0</v>
      </c>
      <c r="AB82" s="1" t="n">
        <v>0</v>
      </c>
      <c r="AC82" s="1" t="str">
        <v>No</v>
      </c>
      <c r="AD82" s="1" t="n">
        <v>0</v>
      </c>
      <c r="AE82" s="1" t="n">
        <v>0</v>
      </c>
    </row>
    <row r="83" customFormat="false" ht="12.75" hidden="false" customHeight="false" outlineLevel="0" collapsed="false">
      <c r="A83" s="1" t="n">
        <v>0</v>
      </c>
      <c r="B83" s="1" t="str">
        <v>CD</v>
      </c>
      <c r="C83" s="1" t="str">
        <v>OPG</v>
      </c>
      <c r="D83" s="1" t="n">
        <v>800400</v>
      </c>
      <c r="E83" s="1" t="str">
        <v>5 Margaret Street</v>
      </c>
      <c r="F83" s="1" t="str">
        <v>Whole Building</v>
      </c>
      <c r="G83" s="1" t="str">
        <v>Retail &amp; Office</v>
      </c>
      <c r="H83" s="289" t="n">
        <v>2598</v>
      </c>
      <c r="I83" s="1" t="n">
        <v>2598</v>
      </c>
      <c r="J83" s="1" t="n">
        <v>2500</v>
      </c>
      <c r="K83" s="390" t="str">
        <v>Workpad Fitzrovia Ltd</v>
      </c>
      <c r="L83" s="390" t="n">
        <v>43070</v>
      </c>
      <c r="M83" s="1" t="n">
        <v>46721</v>
      </c>
      <c r="N83" s="390" t="n">
        <v>0</v>
      </c>
      <c r="O83" s="390" t="n">
        <v>44896</v>
      </c>
      <c r="P83" s="390" t="n">
        <v>0</v>
      </c>
      <c r="Q83" s="292" t="n">
        <v>155000</v>
      </c>
      <c r="R83" s="1" t="n">
        <v>155000</v>
      </c>
      <c r="S83" s="292" t="n">
        <v>0</v>
      </c>
      <c r="T83" s="292" t="n">
        <v>118500</v>
      </c>
      <c r="U83" s="292" t="n">
        <v>118500</v>
      </c>
      <c r="V83" s="292" t="n">
        <v>121500</v>
      </c>
      <c r="W83" s="392" t="n">
        <v>121500</v>
      </c>
      <c r="X83" s="393" t="n">
        <v>46.7667436489607</v>
      </c>
      <c r="Y83" s="293" t="n">
        <v>0.0253164556962025</v>
      </c>
      <c r="Z83" s="1" t="str">
        <v>A</v>
      </c>
      <c r="AA83" s="1" t="n">
        <v>0</v>
      </c>
      <c r="AB83" s="1" t="n">
        <v>2200000</v>
      </c>
      <c r="AC83" s="1" t="str">
        <v>No</v>
      </c>
      <c r="AD83" s="1" t="n">
        <v>0</v>
      </c>
      <c r="AE83" s="1" t="n">
        <v>0</v>
      </c>
    </row>
    <row r="84" customFormat="false" ht="12.75" hidden="false" customHeight="false" outlineLevel="0" collapsed="false">
      <c r="A84" s="1" t="n">
        <v>0</v>
      </c>
      <c r="B84" s="1" t="str">
        <v>CD</v>
      </c>
      <c r="C84" s="1" t="str">
        <v>MEL</v>
      </c>
      <c r="D84" s="1" t="n">
        <v>550300</v>
      </c>
      <c r="E84" s="1" t="str">
        <v>3/4/4a Little Portland Street</v>
      </c>
      <c r="F84" s="1" t="str">
        <v>Basement (South) (Front)</v>
      </c>
      <c r="G84" s="1" t="str">
        <v>Workshop</v>
      </c>
      <c r="H84" s="289" t="n">
        <v>1051</v>
      </c>
      <c r="I84" s="1" t="n">
        <v>1051</v>
      </c>
      <c r="J84" s="1" t="n">
        <v>1000</v>
      </c>
      <c r="K84" s="390" t="str">
        <v>Langham Estate Management Ltd</v>
      </c>
      <c r="L84" s="390" t="n">
        <v>43549</v>
      </c>
      <c r="M84" s="1" t="n">
        <v>46836</v>
      </c>
      <c r="N84" s="390" t="n">
        <v>0</v>
      </c>
      <c r="O84" s="390" t="n">
        <v>45010</v>
      </c>
      <c r="P84" s="390" t="n">
        <v>0</v>
      </c>
      <c r="Q84" s="292" t="n">
        <v>28200</v>
      </c>
      <c r="R84" s="1" t="n">
        <v>28200</v>
      </c>
      <c r="S84" s="292" t="n">
        <v>0</v>
      </c>
      <c r="T84" s="292" t="n">
        <v>32000</v>
      </c>
      <c r="U84" s="292" t="n">
        <v>32000</v>
      </c>
      <c r="V84" s="292" t="n">
        <v>21000</v>
      </c>
      <c r="W84" s="392" t="n">
        <v>21000</v>
      </c>
      <c r="X84" s="393" t="n">
        <v>19.9809705042816</v>
      </c>
      <c r="Y84" s="293" t="n">
        <v>-0.34375</v>
      </c>
      <c r="Z84" s="1" t="str">
        <v>E</v>
      </c>
      <c r="AA84" s="1" t="n">
        <v>0</v>
      </c>
      <c r="AB84" s="1" t="n">
        <v>0</v>
      </c>
      <c r="AC84" s="1" t="str">
        <v>No</v>
      </c>
      <c r="AD84" s="1" t="str">
        <v>Mutual rolling break on 6 months notice. Internal Lease to another Lee Family Group Company.</v>
      </c>
      <c r="AE84" s="1" t="n">
        <v>0</v>
      </c>
    </row>
    <row r="85" customFormat="false" ht="12.75" hidden="false" customHeight="false" outlineLevel="0" collapsed="false">
      <c r="A85" s="1" t="n">
        <v>0</v>
      </c>
      <c r="B85" s="1" t="str">
        <v>CM</v>
      </c>
      <c r="C85" s="1" t="str">
        <v>MEL</v>
      </c>
      <c r="D85" s="1" t="n">
        <v>550340</v>
      </c>
      <c r="E85" s="1" t="str">
        <v>London House, 9a Margaret Street</v>
      </c>
      <c r="F85" s="1" t="str">
        <v>Basement (Vaults)</v>
      </c>
      <c r="G85" s="1" t="str">
        <v>Storage</v>
      </c>
      <c r="H85" s="289" t="n">
        <v>400</v>
      </c>
      <c r="I85" s="1" t="n">
        <v>400</v>
      </c>
      <c r="J85" s="1" t="n">
        <v>0</v>
      </c>
      <c r="K85" s="390" t="str">
        <v>Langham Estate Management Ltd</v>
      </c>
      <c r="L85" s="390" t="n">
        <v>43184</v>
      </c>
      <c r="M85" s="1" t="n">
        <v>46836</v>
      </c>
      <c r="N85" s="390" t="n">
        <v>0</v>
      </c>
      <c r="O85" s="390" t="n">
        <v>45010</v>
      </c>
      <c r="P85" s="390" t="n">
        <v>0</v>
      </c>
      <c r="Q85" s="292" t="n">
        <v>2400</v>
      </c>
      <c r="R85" s="1" t="n">
        <v>2400</v>
      </c>
      <c r="S85" s="292" t="n">
        <v>0</v>
      </c>
      <c r="T85" s="292" t="n">
        <v>2000</v>
      </c>
      <c r="U85" s="292" t="n">
        <v>2000</v>
      </c>
      <c r="V85" s="292" t="n">
        <v>2000</v>
      </c>
      <c r="W85" s="392" t="n">
        <v>2000</v>
      </c>
      <c r="X85" s="393" t="n">
        <v>5</v>
      </c>
      <c r="Y85" s="293" t="n">
        <v>0</v>
      </c>
      <c r="Z85" s="1" t="n">
        <v>0</v>
      </c>
      <c r="AA85" s="1" t="n">
        <v>0</v>
      </c>
      <c r="AB85" s="1" t="n">
        <v>0</v>
      </c>
      <c r="AC85" s="1" t="str">
        <v>No</v>
      </c>
      <c r="AD85" s="1" t="str">
        <v>Mutual rolling break on 6 months notice. Internal Lease to another Lee Family Group Company.</v>
      </c>
      <c r="AE85" s="1" t="n">
        <v>0</v>
      </c>
    </row>
    <row r="86" customFormat="false" ht="12.75" hidden="false" customHeight="false" outlineLevel="0" collapsed="false">
      <c r="A86" s="1" t="n">
        <v>0</v>
      </c>
      <c r="B86" s="1" t="str">
        <v>CM</v>
      </c>
      <c r="C86" s="1" t="str">
        <v>MEL</v>
      </c>
      <c r="D86" s="1" t="n">
        <v>550340</v>
      </c>
      <c r="E86" s="1" t="str">
        <v>London House, 9a Margaret Street</v>
      </c>
      <c r="F86" s="1" t="str">
        <v>Basement (South)</v>
      </c>
      <c r="G86" s="1" t="str">
        <v>Office/ Storage</v>
      </c>
      <c r="H86" s="289" t="n">
        <v>873</v>
      </c>
      <c r="I86" s="1" t="n">
        <v>873</v>
      </c>
      <c r="J86" s="1" t="n">
        <v>0</v>
      </c>
      <c r="K86" s="390" t="str">
        <v>Langham Estate Management Ltd</v>
      </c>
      <c r="L86" s="390" t="n">
        <v>43184</v>
      </c>
      <c r="M86" s="1" t="n">
        <v>46836</v>
      </c>
      <c r="N86" s="390" t="n">
        <v>0</v>
      </c>
      <c r="O86" s="390" t="n">
        <v>45010</v>
      </c>
      <c r="P86" s="390" t="n">
        <v>0</v>
      </c>
      <c r="Q86" s="292" t="n">
        <v>24500</v>
      </c>
      <c r="R86" s="1" t="n">
        <v>24500</v>
      </c>
      <c r="S86" s="292" t="n">
        <v>0</v>
      </c>
      <c r="T86" s="292" t="n">
        <v>17500</v>
      </c>
      <c r="U86" s="292" t="n">
        <v>17500</v>
      </c>
      <c r="V86" s="292" t="n">
        <v>26200</v>
      </c>
      <c r="W86" s="392" t="n">
        <v>26200</v>
      </c>
      <c r="X86" s="393" t="n">
        <v>30.0114547537228</v>
      </c>
      <c r="Y86" s="293" t="n">
        <v>0.497142857142857</v>
      </c>
      <c r="Z86" s="1" t="str">
        <v>D</v>
      </c>
      <c r="AA86" s="1" t="n">
        <v>0</v>
      </c>
      <c r="AB86" s="1" t="n">
        <v>0</v>
      </c>
      <c r="AC86" s="1" t="str">
        <v>No</v>
      </c>
      <c r="AD86" s="1" t="str">
        <v>Mutual rolling break on 6 months notice. Internal Lease to another Lee Family Group Company.</v>
      </c>
      <c r="AE86" s="1" t="n">
        <v>0</v>
      </c>
    </row>
    <row r="87" customFormat="false" ht="12.75" hidden="false" customHeight="false" outlineLevel="0" collapsed="false">
      <c r="A87" s="1" t="n">
        <v>0</v>
      </c>
      <c r="B87" s="1" t="str">
        <v>CM</v>
      </c>
      <c r="C87" s="1" t="str">
        <v>MEL</v>
      </c>
      <c r="D87" s="1" t="n">
        <v>550340</v>
      </c>
      <c r="E87" s="1" t="str">
        <v>London House, 9a Margaret Street</v>
      </c>
      <c r="F87" s="1" t="str">
        <v>Basement (North)</v>
      </c>
      <c r="G87" s="1" t="str">
        <v>Office</v>
      </c>
      <c r="H87" s="289" t="n">
        <v>624</v>
      </c>
      <c r="I87" s="1" t="n">
        <v>624</v>
      </c>
      <c r="J87" s="1" t="n">
        <v>0</v>
      </c>
      <c r="K87" s="390" t="str">
        <v>Langham Estate Management Ltd</v>
      </c>
      <c r="L87" s="390" t="n">
        <v>43184</v>
      </c>
      <c r="M87" s="1" t="n">
        <v>46836</v>
      </c>
      <c r="N87" s="390" t="n">
        <v>0</v>
      </c>
      <c r="O87" s="390" t="n">
        <v>45010</v>
      </c>
      <c r="P87" s="390" t="n">
        <v>0</v>
      </c>
      <c r="Q87" s="292" t="n">
        <v>15600</v>
      </c>
      <c r="R87" s="1" t="n">
        <v>15600</v>
      </c>
      <c r="S87" s="292" t="n">
        <v>0</v>
      </c>
      <c r="T87" s="292" t="n">
        <v>12500</v>
      </c>
      <c r="U87" s="292" t="n">
        <v>12500</v>
      </c>
      <c r="V87" s="292" t="n">
        <v>18700</v>
      </c>
      <c r="W87" s="392" t="n">
        <v>18700</v>
      </c>
      <c r="X87" s="393" t="n">
        <v>29.9679487179487</v>
      </c>
      <c r="Y87" s="293" t="n">
        <v>0.496</v>
      </c>
      <c r="Z87" s="1" t="str">
        <v>D</v>
      </c>
      <c r="AA87" s="1" t="n">
        <v>0</v>
      </c>
      <c r="AB87" s="1" t="n">
        <v>0</v>
      </c>
      <c r="AC87" s="1" t="str">
        <v>No</v>
      </c>
      <c r="AD87" s="1" t="str">
        <v>Mutual rolling break on 6 months notice. Internal Lease to another Lee Family Group Company.</v>
      </c>
      <c r="AE87" s="1" t="n">
        <v>0</v>
      </c>
    </row>
    <row r="88" customFormat="false" ht="12.75" hidden="false" customHeight="false" outlineLevel="0" collapsed="false">
      <c r="A88" s="1" t="n">
        <v>0</v>
      </c>
      <c r="B88" s="1" t="str">
        <v>CM</v>
      </c>
      <c r="C88" s="1" t="str">
        <v>MEL</v>
      </c>
      <c r="D88" s="1" t="n">
        <v>550340</v>
      </c>
      <c r="E88" s="1" t="str">
        <v>London House, 9a Margaret Street</v>
      </c>
      <c r="F88" s="1" t="str">
        <v>First Floor (East)</v>
      </c>
      <c r="G88" s="1" t="str">
        <v>Office</v>
      </c>
      <c r="H88" s="289" t="n">
        <v>1445</v>
      </c>
      <c r="I88" s="1" t="n">
        <v>1445</v>
      </c>
      <c r="J88" s="1" t="n">
        <v>0</v>
      </c>
      <c r="K88" s="390" t="str">
        <v>Langham Estate Management Ltd</v>
      </c>
      <c r="L88" s="390" t="n">
        <v>43184</v>
      </c>
      <c r="M88" s="1" t="n">
        <v>46836</v>
      </c>
      <c r="N88" s="390" t="n">
        <v>0</v>
      </c>
      <c r="O88" s="390" t="n">
        <v>45010</v>
      </c>
      <c r="P88" s="390" t="n">
        <v>0</v>
      </c>
      <c r="Q88" s="292" t="n">
        <v>79500</v>
      </c>
      <c r="R88" s="1" t="n">
        <v>79500</v>
      </c>
      <c r="S88" s="292" t="n">
        <v>0</v>
      </c>
      <c r="T88" s="292" t="n">
        <v>86700</v>
      </c>
      <c r="U88" s="292" t="n">
        <v>86700</v>
      </c>
      <c r="V88" s="292" t="n">
        <v>90300</v>
      </c>
      <c r="W88" s="392" t="n">
        <v>90300</v>
      </c>
      <c r="X88" s="393" t="n">
        <v>62.4913494809689</v>
      </c>
      <c r="Y88" s="293" t="n">
        <v>0.041522491349481</v>
      </c>
      <c r="Z88" s="1" t="str">
        <v>D</v>
      </c>
      <c r="AA88" s="1" t="n">
        <v>0</v>
      </c>
      <c r="AB88" s="1" t="n">
        <v>0</v>
      </c>
      <c r="AC88" s="1" t="str">
        <v>No</v>
      </c>
      <c r="AD88" s="1" t="str">
        <v>Mutual rolling break on 6 months notice. Internal Lease to another Lee Family Group Company.</v>
      </c>
      <c r="AE88" s="1" t="n">
        <v>0</v>
      </c>
    </row>
    <row r="89" customFormat="false" ht="12.75" hidden="false" customHeight="false" outlineLevel="0" collapsed="false">
      <c r="A89" s="1" t="n">
        <v>0</v>
      </c>
      <c r="B89" s="1" t="str">
        <v>CM</v>
      </c>
      <c r="C89" s="1" t="str">
        <v>MEL</v>
      </c>
      <c r="D89" s="1" t="n">
        <v>550340</v>
      </c>
      <c r="E89" s="1" t="str">
        <v>London House, 9a Margaret Street</v>
      </c>
      <c r="F89" s="1" t="str">
        <v>First Floor (West)</v>
      </c>
      <c r="G89" s="1" t="str">
        <v>Office</v>
      </c>
      <c r="H89" s="289" t="n">
        <v>1200</v>
      </c>
      <c r="I89" s="1" t="n">
        <v>1200</v>
      </c>
      <c r="J89" s="1" t="n">
        <v>0</v>
      </c>
      <c r="K89" s="390" t="str">
        <v>Langham Estate Management Ltd</v>
      </c>
      <c r="L89" s="390" t="n">
        <v>43184</v>
      </c>
      <c r="M89" s="1" t="n">
        <v>46836</v>
      </c>
      <c r="N89" s="390" t="n">
        <v>0</v>
      </c>
      <c r="O89" s="390" t="n">
        <v>45010</v>
      </c>
      <c r="P89" s="390" t="n">
        <v>0</v>
      </c>
      <c r="Q89" s="292" t="n">
        <v>66000</v>
      </c>
      <c r="R89" s="1" t="n">
        <v>66000</v>
      </c>
      <c r="S89" s="292" t="n">
        <v>0</v>
      </c>
      <c r="T89" s="292" t="n">
        <v>72000</v>
      </c>
      <c r="U89" s="292" t="n">
        <v>72000</v>
      </c>
      <c r="V89" s="292" t="n">
        <v>75000</v>
      </c>
      <c r="W89" s="392" t="n">
        <v>75000</v>
      </c>
      <c r="X89" s="393" t="n">
        <v>62.5</v>
      </c>
      <c r="Y89" s="293" t="n">
        <v>0.0416666666666667</v>
      </c>
      <c r="Z89" s="1" t="str">
        <v>C</v>
      </c>
      <c r="AA89" s="1" t="n">
        <v>0</v>
      </c>
      <c r="AB89" s="1" t="n">
        <v>0</v>
      </c>
      <c r="AC89" s="1" t="str">
        <v>No</v>
      </c>
      <c r="AD89" s="1" t="str">
        <v>Mutual rolling break on 6 months notice. Internal Lease to another Lee Family Group Company.</v>
      </c>
      <c r="AE89" s="1" t="n">
        <v>0</v>
      </c>
    </row>
    <row r="90" customFormat="false" ht="12.75" hidden="false" customHeight="false" outlineLevel="0" collapsed="false">
      <c r="A90" s="1" t="n">
        <v>0</v>
      </c>
      <c r="B90" s="1" t="str">
        <v>CM</v>
      </c>
      <c r="C90" s="1" t="str">
        <v>MEL</v>
      </c>
      <c r="D90" s="1" t="n">
        <v>550340</v>
      </c>
      <c r="E90" s="1" t="str">
        <v>London House, 9a Margaret Street</v>
      </c>
      <c r="F90" s="1" t="str">
        <v>Second Floor (East)</v>
      </c>
      <c r="G90" s="1" t="str">
        <v>Office</v>
      </c>
      <c r="H90" s="289" t="n">
        <v>373</v>
      </c>
      <c r="I90" s="1" t="n">
        <v>373</v>
      </c>
      <c r="J90" s="1" t="n">
        <v>0</v>
      </c>
      <c r="K90" s="390" t="str">
        <v>Langham Estate Management Ltd</v>
      </c>
      <c r="L90" s="390" t="n">
        <v>43184</v>
      </c>
      <c r="M90" s="1" t="n">
        <v>46836</v>
      </c>
      <c r="N90" s="390" t="n">
        <v>0</v>
      </c>
      <c r="O90" s="390" t="n">
        <v>45010</v>
      </c>
      <c r="P90" s="390" t="n">
        <v>0</v>
      </c>
      <c r="Q90" s="292" t="n">
        <v>18650</v>
      </c>
      <c r="R90" s="1" t="n">
        <v>18650</v>
      </c>
      <c r="S90" s="292" t="n">
        <v>0</v>
      </c>
      <c r="T90" s="292" t="n">
        <v>22400</v>
      </c>
      <c r="U90" s="292" t="n">
        <v>22400</v>
      </c>
      <c r="V90" s="292" t="n">
        <v>23300</v>
      </c>
      <c r="W90" s="392" t="n">
        <v>23300</v>
      </c>
      <c r="X90" s="393" t="n">
        <v>62.4664879356568</v>
      </c>
      <c r="Y90" s="293" t="n">
        <v>0.0401785714285714</v>
      </c>
      <c r="Z90" s="1" t="str">
        <v>D</v>
      </c>
      <c r="AA90" s="1" t="n">
        <v>0</v>
      </c>
      <c r="AB90" s="1" t="n">
        <v>0</v>
      </c>
      <c r="AC90" s="1" t="str">
        <v>No</v>
      </c>
      <c r="AD90" s="1" t="str">
        <v>Mutual rolling break on 6 months notice. Internal Lease to another Lee Family Group Company.</v>
      </c>
      <c r="AE90" s="1" t="n">
        <v>0</v>
      </c>
    </row>
    <row r="91" customFormat="false" ht="12.75" hidden="false" customHeight="false" outlineLevel="0" collapsed="false">
      <c r="A91" s="1" t="n">
        <v>0</v>
      </c>
      <c r="B91" s="1" t="str">
        <v>CM</v>
      </c>
      <c r="C91" s="1" t="str">
        <v>MEL</v>
      </c>
      <c r="D91" s="1" t="n">
        <v>550340</v>
      </c>
      <c r="E91" s="1" t="str">
        <v>London House, 9a Margaret Street</v>
      </c>
      <c r="F91" s="1" t="str">
        <v>Second Floor (West)</v>
      </c>
      <c r="G91" s="1" t="str">
        <v>Office</v>
      </c>
      <c r="H91" s="289" t="n">
        <v>346</v>
      </c>
      <c r="I91" s="1" t="n">
        <v>346</v>
      </c>
      <c r="J91" s="1" t="n">
        <v>0</v>
      </c>
      <c r="K91" s="390" t="str">
        <v>Langham Estate Management Ltd</v>
      </c>
      <c r="L91" s="390" t="n">
        <v>43184</v>
      </c>
      <c r="M91" s="1" t="n">
        <v>46836</v>
      </c>
      <c r="N91" s="390" t="n">
        <v>0</v>
      </c>
      <c r="O91" s="390" t="n">
        <v>45010</v>
      </c>
      <c r="P91" s="390" t="n">
        <v>0</v>
      </c>
      <c r="Q91" s="292" t="n">
        <v>18150</v>
      </c>
      <c r="R91" s="1" t="n">
        <v>18150</v>
      </c>
      <c r="S91" s="292" t="n">
        <v>0</v>
      </c>
      <c r="T91" s="292" t="n">
        <v>20800</v>
      </c>
      <c r="U91" s="292" t="n">
        <v>20800</v>
      </c>
      <c r="V91" s="292" t="n">
        <v>21600</v>
      </c>
      <c r="W91" s="392" t="n">
        <v>21600</v>
      </c>
      <c r="X91" s="393" t="n">
        <v>62.4277456647399</v>
      </c>
      <c r="Y91" s="293" t="n">
        <v>0.0384615384615385</v>
      </c>
      <c r="Z91" s="1" t="str">
        <v>D</v>
      </c>
      <c r="AA91" s="1" t="n">
        <v>0</v>
      </c>
      <c r="AB91" s="1" t="n">
        <v>0</v>
      </c>
      <c r="AC91" s="1" t="str">
        <v>No</v>
      </c>
      <c r="AD91" s="1" t="str">
        <v>Mutual rolling break on 6 months notice. Internal Lease to another Lee Family Group Company.</v>
      </c>
      <c r="AE91" s="1" t="n">
        <v>0</v>
      </c>
    </row>
    <row r="92" customFormat="false" ht="12.75" hidden="false" customHeight="false" outlineLevel="0" collapsed="false">
      <c r="A92" s="1" t="n">
        <v>0</v>
      </c>
      <c r="B92" s="1" t="str">
        <v>JM</v>
      </c>
      <c r="C92" s="1" t="str">
        <v>MEL</v>
      </c>
      <c r="D92" s="1" t="n">
        <v>550630</v>
      </c>
      <c r="E92" s="1" t="str">
        <v>Sackville House - 78 Margaret Street</v>
      </c>
      <c r="F92" s="1" t="str">
        <v>Basement</v>
      </c>
      <c r="G92" s="1" t="str">
        <v>Storage</v>
      </c>
      <c r="H92" s="289" t="n">
        <v>927</v>
      </c>
      <c r="I92" s="1" t="n">
        <v>927</v>
      </c>
      <c r="J92" s="1" t="n">
        <v>1000</v>
      </c>
      <c r="K92" s="390" t="str">
        <v>Langham Estate Management Ltd</v>
      </c>
      <c r="L92" s="390" t="n">
        <v>43184</v>
      </c>
      <c r="M92" s="1" t="n">
        <v>46836</v>
      </c>
      <c r="N92" s="390" t="n">
        <v>0</v>
      </c>
      <c r="O92" s="390" t="n">
        <v>45010</v>
      </c>
      <c r="P92" s="390" t="n">
        <v>0</v>
      </c>
      <c r="Q92" s="292" t="n">
        <v>13900</v>
      </c>
      <c r="R92" s="1" t="n">
        <v>13900</v>
      </c>
      <c r="S92" s="292" t="n">
        <v>0</v>
      </c>
      <c r="T92" s="292" t="n">
        <v>13900</v>
      </c>
      <c r="U92" s="292" t="n">
        <v>13900</v>
      </c>
      <c r="V92" s="292" t="n">
        <v>13900</v>
      </c>
      <c r="W92" s="392" t="n">
        <v>13900</v>
      </c>
      <c r="X92" s="393" t="n">
        <v>14.9946062567422</v>
      </c>
      <c r="Y92" s="293" t="n">
        <v>0</v>
      </c>
      <c r="Z92" s="1" t="str">
        <v>D</v>
      </c>
      <c r="AA92" s="1" t="n">
        <v>0</v>
      </c>
      <c r="AB92" s="1" t="n">
        <v>0</v>
      </c>
      <c r="AC92" s="1" t="str">
        <v>No</v>
      </c>
      <c r="AD92" s="1" t="str">
        <v>Mothballed.</v>
      </c>
      <c r="AE92" s="1" t="n">
        <v>0</v>
      </c>
    </row>
    <row r="93" customFormat="false" ht="12.75" hidden="false" customHeight="false" outlineLevel="0" collapsed="false">
      <c r="A93" s="1" t="n">
        <v>0</v>
      </c>
      <c r="B93" s="1" t="str">
        <v>WS</v>
      </c>
      <c r="C93" s="1" t="str">
        <v>MEL</v>
      </c>
      <c r="D93" s="1" t="n">
        <v>550570</v>
      </c>
      <c r="E93" s="1" t="str">
        <v>Moray House, 23-35 Great Titchfield Street &amp; 63-65 Mortimer Street</v>
      </c>
      <c r="F93" s="1" t="str">
        <v>Third Floor</v>
      </c>
      <c r="G93" s="1" t="str">
        <v>Showroom/ Office</v>
      </c>
      <c r="H93" s="289" t="n">
        <v>4169</v>
      </c>
      <c r="I93" s="1" t="n">
        <v>4169</v>
      </c>
      <c r="J93" s="1" t="n">
        <v>4000</v>
      </c>
      <c r="K93" s="390" t="str">
        <v>Knotel Moray House Ltd.</v>
      </c>
      <c r="L93" s="390" t="n">
        <v>43378</v>
      </c>
      <c r="M93" s="1" t="n">
        <v>47030</v>
      </c>
      <c r="N93" s="390" t="n">
        <v>0</v>
      </c>
      <c r="O93" s="390" t="n">
        <v>45204</v>
      </c>
      <c r="P93" s="390" t="n">
        <v>0</v>
      </c>
      <c r="Q93" s="292" t="n">
        <v>257635</v>
      </c>
      <c r="R93" s="1" t="n">
        <v>257635</v>
      </c>
      <c r="S93" s="292" t="n">
        <v>0</v>
      </c>
      <c r="T93" s="292" t="n">
        <v>264100</v>
      </c>
      <c r="U93" s="292" t="n">
        <v>264100</v>
      </c>
      <c r="V93" s="292" t="n">
        <v>271000</v>
      </c>
      <c r="W93" s="392" t="n">
        <v>271000</v>
      </c>
      <c r="X93" s="393" t="n">
        <v>65.0035979851283</v>
      </c>
      <c r="Y93" s="293" t="n">
        <v>0.0261264672472548</v>
      </c>
      <c r="Z93" s="1" t="str">
        <v>D</v>
      </c>
      <c r="AA93" s="1" t="n">
        <v>0</v>
      </c>
      <c r="AB93" s="1" t="n">
        <v>0</v>
      </c>
      <c r="AC93" s="1" t="str">
        <v>No</v>
      </c>
      <c r="AD93" s="1" t="str">
        <v>Landlords redevelopment break @ 04/10/26 on 9 months notice.</v>
      </c>
      <c r="AE93" s="1" t="n">
        <v>0</v>
      </c>
    </row>
    <row r="94" customFormat="false" ht="12.75" hidden="false" customHeight="false" outlineLevel="0" collapsed="false">
      <c r="A94" s="1" t="n">
        <v>0</v>
      </c>
      <c r="B94" s="1" t="str">
        <v>CD</v>
      </c>
      <c r="C94" s="1" t="str">
        <v>MEL</v>
      </c>
      <c r="D94" s="1" t="n">
        <v>550310</v>
      </c>
      <c r="E94" s="1" t="str">
        <v>Alexandra House, 6 Little Portland Street</v>
      </c>
      <c r="F94" s="1" t="str">
        <v>Ground Floor &amp; Part Basement</v>
      </c>
      <c r="G94" s="1" t="str">
        <v>Restaurant</v>
      </c>
      <c r="H94" s="289" t="n">
        <v>4430</v>
      </c>
      <c r="I94" s="1" t="n">
        <v>4430</v>
      </c>
      <c r="J94" s="1" t="n">
        <v>4500</v>
      </c>
      <c r="K94" s="390" t="str">
        <v>Burger &amp; Lobster Restaurant Group Ltd.</v>
      </c>
      <c r="L94" s="390" t="n">
        <v>41585</v>
      </c>
      <c r="M94" s="1" t="n">
        <v>47063</v>
      </c>
      <c r="N94" s="390" t="n">
        <v>0</v>
      </c>
      <c r="O94" s="390" t="n">
        <v>45237</v>
      </c>
      <c r="P94" s="390" t="n">
        <v>0</v>
      </c>
      <c r="Q94" s="292" t="n">
        <v>170000</v>
      </c>
      <c r="R94" s="1" t="n">
        <v>170000</v>
      </c>
      <c r="S94" s="292" t="n">
        <v>0</v>
      </c>
      <c r="T94" s="292" t="n">
        <v>146900</v>
      </c>
      <c r="U94" s="292" t="n">
        <v>146900</v>
      </c>
      <c r="V94" s="292" t="n">
        <v>152100</v>
      </c>
      <c r="W94" s="392" t="n">
        <v>152100</v>
      </c>
      <c r="X94" s="393" t="n">
        <v>34.334085778781</v>
      </c>
      <c r="Y94" s="293" t="n">
        <v>0.0353982300884956</v>
      </c>
      <c r="Z94" s="1" t="str">
        <v>B</v>
      </c>
      <c r="AA94" s="1" t="n">
        <v>0</v>
      </c>
      <c r="AB94" s="1" t="n">
        <v>0</v>
      </c>
      <c r="AC94" s="1" t="str">
        <v>No</v>
      </c>
      <c r="AD94" s="1" t="str">
        <v>Rent review not yet activated due to level of passing rent.</v>
      </c>
      <c r="AE94" s="1" t="n">
        <v>0</v>
      </c>
    </row>
    <row r="95" customFormat="false" ht="12.75" hidden="false" customHeight="false" outlineLevel="0" collapsed="false">
      <c r="A95" s="1" t="n">
        <v>0</v>
      </c>
      <c r="B95" s="1" t="str">
        <v>CM</v>
      </c>
      <c r="C95" s="1" t="str">
        <v>MEL</v>
      </c>
      <c r="D95" s="1" t="n">
        <v>550880</v>
      </c>
      <c r="E95" s="1" t="str">
        <v>3 Great Titchfield Street</v>
      </c>
      <c r="F95" s="1" t="str">
        <v>Basement &amp; Ground</v>
      </c>
      <c r="G95" s="1" t="str">
        <v>Restaurant</v>
      </c>
      <c r="H95" s="289" t="n">
        <v>1440</v>
      </c>
      <c r="I95" s="1" t="n">
        <v>1440</v>
      </c>
      <c r="J95" s="1" t="n">
        <v>1500</v>
      </c>
      <c r="K95" s="390" t="str">
        <v>Pho Trading Ltd.</v>
      </c>
      <c r="L95" s="390" t="n">
        <v>43430</v>
      </c>
      <c r="M95" s="1" t="n">
        <v>47082</v>
      </c>
      <c r="N95" s="390" t="n">
        <v>0</v>
      </c>
      <c r="O95" s="390" t="n">
        <v>45256</v>
      </c>
      <c r="P95" s="390" t="n">
        <v>0</v>
      </c>
      <c r="Q95" s="292" t="n">
        <v>100000</v>
      </c>
      <c r="R95" s="1" t="n">
        <v>100000</v>
      </c>
      <c r="S95" s="292" t="n">
        <v>0</v>
      </c>
      <c r="T95" s="292" t="n">
        <v>100000</v>
      </c>
      <c r="U95" s="292" t="n">
        <v>100000</v>
      </c>
      <c r="V95" s="292" t="n">
        <v>100000</v>
      </c>
      <c r="W95" s="392" t="n">
        <v>100000</v>
      </c>
      <c r="X95" s="393" t="n">
        <v>69.4444444444444</v>
      </c>
      <c r="Y95" s="293" t="n">
        <v>0</v>
      </c>
      <c r="Z95" s="1" t="str">
        <v>C</v>
      </c>
      <c r="AA95" s="1" t="n">
        <v>0</v>
      </c>
      <c r="AB95" s="1" t="n">
        <v>0</v>
      </c>
      <c r="AC95" s="1" t="str">
        <v>No</v>
      </c>
      <c r="AD95" s="1" t="str">
        <v>Rent review not activated due to level of passing rent.</v>
      </c>
      <c r="AE95" s="1" t="n">
        <v>0</v>
      </c>
    </row>
    <row r="96" customFormat="false" ht="12.75" hidden="false" customHeight="false" outlineLevel="0" collapsed="false">
      <c r="A96" s="1" t="n">
        <v>0</v>
      </c>
      <c r="B96" s="1" t="str">
        <v>WS</v>
      </c>
      <c r="C96" s="1" t="str">
        <v>MEL</v>
      </c>
      <c r="D96" s="1" t="n">
        <v>550420</v>
      </c>
      <c r="E96" s="1" t="str">
        <v>Golderbrock House,  15-19 Great Titchfield Street</v>
      </c>
      <c r="F96" s="1" t="str">
        <v>Second Floor</v>
      </c>
      <c r="G96" s="1" t="str">
        <v>Office</v>
      </c>
      <c r="H96" s="289" t="n">
        <v>1404</v>
      </c>
      <c r="I96" s="1" t="n">
        <v>1404</v>
      </c>
      <c r="J96" s="1" t="n">
        <v>1500</v>
      </c>
      <c r="K96" s="390" t="str">
        <v>Final Cut Ltd.</v>
      </c>
      <c r="L96" s="390" t="n">
        <v>44490</v>
      </c>
      <c r="M96" s="1" t="n">
        <v>45930</v>
      </c>
      <c r="N96" s="390" t="n">
        <v>0</v>
      </c>
      <c r="O96" s="390" t="n">
        <v>45258</v>
      </c>
      <c r="P96" s="390" t="n">
        <v>0</v>
      </c>
      <c r="Q96" s="292" t="n">
        <v>78000</v>
      </c>
      <c r="R96" s="1" t="n">
        <v>78000</v>
      </c>
      <c r="S96" s="292" t="n">
        <v>0</v>
      </c>
      <c r="T96" s="292" t="n">
        <v>79100</v>
      </c>
      <c r="U96" s="292" t="n">
        <v>79100</v>
      </c>
      <c r="V96" s="292" t="n">
        <v>80700</v>
      </c>
      <c r="W96" s="392" t="n">
        <v>80700</v>
      </c>
      <c r="X96" s="393" t="n">
        <v>57.4786324786325</v>
      </c>
      <c r="Y96" s="293" t="n">
        <v>0.0202275600505689</v>
      </c>
      <c r="Z96" s="1" t="str">
        <v>C</v>
      </c>
      <c r="AA96" s="1" t="n">
        <v>0</v>
      </c>
      <c r="AB96" s="1" t="n">
        <v>0</v>
      </c>
      <c r="AC96" s="1" t="str">
        <v>No</v>
      </c>
      <c r="AD96" s="1" t="n">
        <v>0</v>
      </c>
      <c r="AE96" s="1" t="n">
        <v>0</v>
      </c>
    </row>
    <row r="97" customFormat="false" ht="12.75" hidden="false" customHeight="false" outlineLevel="0" collapsed="false">
      <c r="A97" s="1" t="n">
        <v>0</v>
      </c>
      <c r="B97" s="1" t="str">
        <v>JM</v>
      </c>
      <c r="C97" s="1" t="str">
        <v>MEL</v>
      </c>
      <c r="D97" s="1" t="n">
        <v>100650</v>
      </c>
      <c r="E97" s="1" t="str">
        <v>50-60 Eastcastle Street</v>
      </c>
      <c r="F97" s="1" t="str">
        <v>Basement (West)</v>
      </c>
      <c r="G97" s="1" t="str">
        <v>Building Managers Office</v>
      </c>
      <c r="H97" s="289" t="n">
        <v>780</v>
      </c>
      <c r="I97" s="1" t="n">
        <v>780</v>
      </c>
      <c r="J97" s="1" t="n">
        <v>750</v>
      </c>
      <c r="K97" s="390" t="str">
        <v>Langham Estate Management Ltd</v>
      </c>
      <c r="L97" s="390" t="n">
        <v>44562</v>
      </c>
      <c r="M97" s="1" t="n">
        <v>46752</v>
      </c>
      <c r="N97" s="390" t="n">
        <v>0</v>
      </c>
      <c r="O97" s="390" t="n">
        <v>45292</v>
      </c>
      <c r="P97" s="390" t="n">
        <v>0</v>
      </c>
      <c r="Q97" s="292" t="n">
        <v>17100</v>
      </c>
      <c r="R97" s="1" t="n">
        <v>17100</v>
      </c>
      <c r="S97" s="292" t="n">
        <v>0</v>
      </c>
      <c r="T97" s="292" t="n">
        <v>12500</v>
      </c>
      <c r="U97" s="292" t="n">
        <v>12500</v>
      </c>
      <c r="V97" s="292" t="n">
        <v>12500</v>
      </c>
      <c r="W97" s="392" t="n">
        <v>12500</v>
      </c>
      <c r="X97" s="393" t="n">
        <v>16.025641025641</v>
      </c>
      <c r="Y97" s="293" t="n">
        <v>0</v>
      </c>
      <c r="Z97" s="1" t="str">
        <v>D</v>
      </c>
      <c r="AA97" s="1" t="n">
        <v>0</v>
      </c>
      <c r="AB97" s="1" t="n">
        <v>0</v>
      </c>
      <c r="AC97" s="1" t="str">
        <v>No</v>
      </c>
      <c r="AD97" s="1" t="str">
        <v>2 yearly rent reviews. Mutual rolling break on 6 months notice. Internal Lease to another Lee Family Group Company.</v>
      </c>
      <c r="AE97" s="1" t="n">
        <v>0</v>
      </c>
    </row>
    <row r="98" customFormat="false" ht="12.75" hidden="false" customHeight="false" outlineLevel="0" collapsed="false">
      <c r="A98" s="1" t="n">
        <v>0</v>
      </c>
      <c r="B98" s="1" t="str">
        <v>CM</v>
      </c>
      <c r="C98" s="1" t="str">
        <v>MEL</v>
      </c>
      <c r="D98" s="1" t="n">
        <v>550800</v>
      </c>
      <c r="E98" s="1" t="str">
        <v>25 Margaret Street</v>
      </c>
      <c r="F98" s="1" t="str">
        <v>Ground Floor </v>
      </c>
      <c r="G98" s="1" t="str">
        <v>Retail</v>
      </c>
      <c r="H98" s="289" t="n">
        <v>515</v>
      </c>
      <c r="I98" s="1" t="n">
        <v>515</v>
      </c>
      <c r="J98" s="1" t="n">
        <v>500</v>
      </c>
      <c r="K98" s="390" t="str">
        <v>Camran Naseri &amp; Rehana Miah</v>
      </c>
      <c r="L98" s="390" t="n">
        <v>44756</v>
      </c>
      <c r="M98" s="1" t="n">
        <v>47154</v>
      </c>
      <c r="N98" s="390" t="n">
        <v>0</v>
      </c>
      <c r="O98" s="390" t="n">
        <v>45328</v>
      </c>
      <c r="P98" s="390" t="n">
        <v>0</v>
      </c>
      <c r="Q98" s="292" t="n">
        <v>37500</v>
      </c>
      <c r="R98" s="1" t="n">
        <v>37500</v>
      </c>
      <c r="S98" s="292" t="n">
        <v>0</v>
      </c>
      <c r="T98" s="292" t="n">
        <v>37502</v>
      </c>
      <c r="U98" s="292" t="n">
        <v>37502</v>
      </c>
      <c r="V98" s="292" t="n">
        <v>37500</v>
      </c>
      <c r="W98" s="392" t="n">
        <v>37500</v>
      </c>
      <c r="X98" s="393" t="n">
        <v>72.8155339805825</v>
      </c>
      <c r="Y98" s="293" t="n">
        <v>-5.33304890405845E-005</v>
      </c>
      <c r="Z98" s="1" t="str">
        <v>B</v>
      </c>
      <c r="AA98" s="1" t="n">
        <v>0</v>
      </c>
      <c r="AB98" s="1" t="n">
        <v>0</v>
      </c>
      <c r="AC98" s="1" t="str">
        <v>No</v>
      </c>
      <c r="AD98" s="1" t="n">
        <v>0</v>
      </c>
      <c r="AE98" s="1" t="n">
        <v>0</v>
      </c>
    </row>
    <row r="99" customFormat="false" ht="12.75" hidden="false" customHeight="false" outlineLevel="0" collapsed="false">
      <c r="A99" s="1" t="n">
        <v>0</v>
      </c>
      <c r="B99" s="1" t="str">
        <v>WS</v>
      </c>
      <c r="C99" s="1" t="str">
        <v>OPG</v>
      </c>
      <c r="D99" s="1" t="n">
        <v>800500</v>
      </c>
      <c r="E99" s="1" t="str">
        <v>85 Mortimer Street</v>
      </c>
      <c r="F99" s="1" t="str">
        <v>Basement &amp; Ground</v>
      </c>
      <c r="G99" s="1" t="str">
        <v>Showroom</v>
      </c>
      <c r="H99" s="289" t="n">
        <v>1582</v>
      </c>
      <c r="I99" s="1" t="n">
        <v>1582</v>
      </c>
      <c r="J99" s="1" t="n">
        <v>1500</v>
      </c>
      <c r="K99" s="390" t="str">
        <v>The Feel Good Group Ltd.</v>
      </c>
      <c r="L99" s="390" t="n">
        <v>43514</v>
      </c>
      <c r="M99" s="1" t="n">
        <v>46982</v>
      </c>
      <c r="N99" s="390" t="n">
        <v>0</v>
      </c>
      <c r="O99" s="390" t="n">
        <v>45340</v>
      </c>
      <c r="P99" s="390" t="n">
        <v>0</v>
      </c>
      <c r="Q99" s="292" t="n">
        <v>70000</v>
      </c>
      <c r="R99" s="1" t="n">
        <v>70000</v>
      </c>
      <c r="S99" s="292" t="n">
        <v>0</v>
      </c>
      <c r="T99" s="292" t="n">
        <v>63300</v>
      </c>
      <c r="U99" s="292" t="n">
        <v>63300</v>
      </c>
      <c r="V99" s="292" t="n">
        <v>63300</v>
      </c>
      <c r="W99" s="392" t="n">
        <v>63300</v>
      </c>
      <c r="X99" s="393" t="n">
        <v>40.0126422250316</v>
      </c>
      <c r="Y99" s="293" t="n">
        <v>0</v>
      </c>
      <c r="Z99" s="1" t="str">
        <v>C</v>
      </c>
      <c r="AA99" s="1" t="n">
        <v>0</v>
      </c>
      <c r="AB99" s="1" t="n">
        <v>0</v>
      </c>
      <c r="AC99" s="1" t="str">
        <v>No</v>
      </c>
      <c r="AD99" s="1" t="n">
        <v>0</v>
      </c>
      <c r="AE99" s="1" t="n">
        <v>0</v>
      </c>
    </row>
    <row r="100" customFormat="false" ht="12.75" hidden="false" customHeight="false" outlineLevel="0" collapsed="false">
      <c r="A100" s="1" t="n">
        <v>0</v>
      </c>
      <c r="B100" s="1" t="str">
        <v>CD</v>
      </c>
      <c r="C100" s="1" t="str">
        <v>MEL</v>
      </c>
      <c r="D100" s="1" t="n">
        <v>550500</v>
      </c>
      <c r="E100" s="1" t="str">
        <v>5 Little Portland Street</v>
      </c>
      <c r="F100" s="1" t="str">
        <v>Ground &amp; Basement</v>
      </c>
      <c r="G100" s="1" t="str">
        <v>Bar</v>
      </c>
      <c r="H100" s="289" t="n">
        <v>2520</v>
      </c>
      <c r="I100" s="1" t="n">
        <v>2520</v>
      </c>
      <c r="J100" s="1" t="n">
        <v>2500</v>
      </c>
      <c r="K100" s="390" t="str">
        <v>The Social Little Portland Street Ltd.</v>
      </c>
      <c r="L100" s="390" t="n">
        <v>43571</v>
      </c>
      <c r="M100" s="1" t="n">
        <v>47223</v>
      </c>
      <c r="N100" s="390" t="n">
        <v>0</v>
      </c>
      <c r="O100" s="390" t="n">
        <v>45398</v>
      </c>
      <c r="P100" s="390" t="n">
        <v>0</v>
      </c>
      <c r="Q100" s="292" t="n">
        <v>82500</v>
      </c>
      <c r="R100" s="1" t="n">
        <v>82500</v>
      </c>
      <c r="S100" s="292" t="n">
        <v>0</v>
      </c>
      <c r="T100" s="292" t="n">
        <v>70000</v>
      </c>
      <c r="U100" s="292" t="n">
        <v>70000</v>
      </c>
      <c r="V100" s="292" t="n">
        <v>70000</v>
      </c>
      <c r="W100" s="392" t="n">
        <v>70000</v>
      </c>
      <c r="X100" s="393" t="n">
        <v>27.7777777777778</v>
      </c>
      <c r="Y100" s="293" t="n">
        <v>0</v>
      </c>
      <c r="Z100" s="1" t="str">
        <v>B</v>
      </c>
      <c r="AA100" s="1" t="n">
        <v>0</v>
      </c>
      <c r="AB100" s="1" t="n">
        <v>0</v>
      </c>
      <c r="AC100" s="1" t="str">
        <v>No</v>
      </c>
      <c r="AD100" s="1" t="n">
        <v>0</v>
      </c>
      <c r="AE100" s="1" t="n">
        <v>0</v>
      </c>
    </row>
    <row r="101" customFormat="false" ht="12.75" hidden="false" customHeight="false" outlineLevel="0" collapsed="false">
      <c r="A101" s="1" t="n">
        <v>0</v>
      </c>
      <c r="B101" s="1" t="str">
        <v>CD</v>
      </c>
      <c r="C101" s="1" t="str">
        <v>OPG</v>
      </c>
      <c r="D101" s="1" t="n">
        <v>800100</v>
      </c>
      <c r="E101" s="1" t="str">
        <v>Julco House, 26-28 Great Portland Street</v>
      </c>
      <c r="F101" s="1" t="str">
        <v>Ground Floor &amp; Basement</v>
      </c>
      <c r="G101" s="1" t="str">
        <v>Restaurant</v>
      </c>
      <c r="H101" s="289" t="n">
        <v>4332</v>
      </c>
      <c r="I101" s="1" t="n">
        <v>4332</v>
      </c>
      <c r="J101" s="1" t="n">
        <v>4250</v>
      </c>
      <c r="K101" s="390" t="str">
        <v>Oaxaca Ltd.</v>
      </c>
      <c r="L101" s="390" t="n">
        <v>41789</v>
      </c>
      <c r="M101" s="1" t="n">
        <v>47267</v>
      </c>
      <c r="N101" s="390" t="n">
        <v>0</v>
      </c>
      <c r="O101" s="390" t="n">
        <v>45442</v>
      </c>
      <c r="P101" s="390" t="n">
        <v>0</v>
      </c>
      <c r="Q101" s="292" t="n">
        <v>255000</v>
      </c>
      <c r="R101" s="1" t="n">
        <v>255000</v>
      </c>
      <c r="S101" s="292" t="n">
        <v>0</v>
      </c>
      <c r="T101" s="292" t="n">
        <v>290500</v>
      </c>
      <c r="U101" s="292" t="n">
        <v>290500</v>
      </c>
      <c r="V101" s="292" t="n">
        <v>290500</v>
      </c>
      <c r="W101" s="392" t="n">
        <v>290500</v>
      </c>
      <c r="X101" s="393" t="n">
        <v>67.0590951061865</v>
      </c>
      <c r="Y101" s="293" t="n">
        <v>0</v>
      </c>
      <c r="Z101" s="1" t="str">
        <v>B</v>
      </c>
      <c r="AA101" s="1" t="str">
        <v>*</v>
      </c>
      <c r="AB101" s="1" t="n">
        <v>0</v>
      </c>
      <c r="AC101" s="1" t="str">
        <v>No</v>
      </c>
      <c r="AD101" s="1" t="str">
        <v>Rent £255,000 pa with a top-up of 11% turnover up to a maximum of £300,000 pa.</v>
      </c>
      <c r="AE101" s="1" t="n">
        <v>0</v>
      </c>
    </row>
    <row r="102" customFormat="false" ht="12.75" hidden="false" customHeight="false" outlineLevel="0" collapsed="false">
      <c r="A102" s="1" t="n">
        <v>0</v>
      </c>
      <c r="B102" s="1" t="str">
        <v>WS</v>
      </c>
      <c r="C102" s="1" t="str">
        <v>MEL</v>
      </c>
      <c r="D102" s="1" t="n">
        <v>550960</v>
      </c>
      <c r="E102" s="1" t="str">
        <v>21 Little Portland Street</v>
      </c>
      <c r="F102" s="1" t="str">
        <v>Lower Ground and Ground Floors</v>
      </c>
      <c r="G102" s="1" t="str">
        <v>Office</v>
      </c>
      <c r="H102" s="289" t="n">
        <v>2820</v>
      </c>
      <c r="I102" s="1" t="n">
        <v>2820</v>
      </c>
      <c r="J102" s="1" t="n">
        <v>3000</v>
      </c>
      <c r="K102" s="390" t="str">
        <v>FRIBA Limited</v>
      </c>
      <c r="L102" s="390" t="n">
        <v>43794</v>
      </c>
      <c r="M102" s="1" t="n">
        <v>47446</v>
      </c>
      <c r="N102" s="390" t="n">
        <v>0</v>
      </c>
      <c r="O102" s="390" t="n">
        <v>45621</v>
      </c>
      <c r="P102" s="390" t="n">
        <v>0</v>
      </c>
      <c r="Q102" s="292" t="n">
        <v>124773</v>
      </c>
      <c r="R102" s="1" t="n">
        <v>124773</v>
      </c>
      <c r="S102" s="292" t="n">
        <v>0</v>
      </c>
      <c r="T102" s="292" t="n">
        <v>126900</v>
      </c>
      <c r="U102" s="292" t="n">
        <v>126900</v>
      </c>
      <c r="V102" s="292" t="n">
        <v>141000</v>
      </c>
      <c r="W102" s="392" t="n">
        <v>141000</v>
      </c>
      <c r="X102" s="393" t="n">
        <v>50</v>
      </c>
      <c r="Y102" s="293" t="n">
        <v>0.111111111111111</v>
      </c>
      <c r="Z102" s="1" t="str">
        <v>D</v>
      </c>
      <c r="AA102" s="1" t="n">
        <v>0</v>
      </c>
      <c r="AB102" s="1" t="n">
        <v>0</v>
      </c>
      <c r="AC102" s="1" t="str">
        <v>No</v>
      </c>
      <c r="AD102" s="1" t="str">
        <v>Premises inter connected with 19 Margaret Street and let under a single lease. The floor area is shown for this building only. Rent shown pro rata.</v>
      </c>
      <c r="AE102" s="1" t="n">
        <v>0</v>
      </c>
    </row>
    <row r="103" customFormat="false" ht="12.75" hidden="false" customHeight="false" outlineLevel="0" collapsed="false">
      <c r="A103" s="1" t="n">
        <v>0</v>
      </c>
      <c r="B103" s="1" t="str">
        <v>WS</v>
      </c>
      <c r="C103" s="1" t="str">
        <v>MEL</v>
      </c>
      <c r="D103" s="1" t="n">
        <v>550950</v>
      </c>
      <c r="E103" s="1" t="str">
        <v>19 Margaret Street</v>
      </c>
      <c r="F103" s="1" t="str">
        <v>Lower Ground and Ground Floors</v>
      </c>
      <c r="G103" s="1" t="str">
        <v>Office</v>
      </c>
      <c r="H103" s="289" t="n">
        <v>2370</v>
      </c>
      <c r="I103" s="1" t="n">
        <v>2370</v>
      </c>
      <c r="J103" s="1" t="n">
        <v>0</v>
      </c>
      <c r="K103" s="390" t="str">
        <v>FRIBA Limited</v>
      </c>
      <c r="L103" s="390" t="n">
        <v>43794</v>
      </c>
      <c r="M103" s="1" t="n">
        <v>47446</v>
      </c>
      <c r="N103" s="390" t="n">
        <v>0</v>
      </c>
      <c r="O103" s="390" t="n">
        <v>45621</v>
      </c>
      <c r="P103" s="390" t="n">
        <v>0</v>
      </c>
      <c r="Q103" s="292" t="n">
        <v>104885</v>
      </c>
      <c r="R103" s="1" t="n">
        <v>104885</v>
      </c>
      <c r="S103" s="292" t="n">
        <v>0</v>
      </c>
      <c r="T103" s="292" t="n">
        <v>100700</v>
      </c>
      <c r="U103" s="292" t="n">
        <v>100700</v>
      </c>
      <c r="V103" s="292" t="n">
        <v>100700</v>
      </c>
      <c r="W103" s="392" t="n">
        <v>100700</v>
      </c>
      <c r="X103" s="393" t="n">
        <v>42.4894514767933</v>
      </c>
      <c r="Y103" s="293" t="n">
        <v>0</v>
      </c>
      <c r="Z103" s="1" t="str">
        <v>D</v>
      </c>
      <c r="AA103" s="1" t="n">
        <v>0</v>
      </c>
      <c r="AB103" s="1" t="n">
        <v>0</v>
      </c>
      <c r="AC103" s="1" t="str">
        <v>No</v>
      </c>
      <c r="AD103" s="1" t="str">
        <v>This unit interconnects with G &amp; B, 21 Lt Portland St. The floor area shown is only for this unit. Rent shown pro rata. Tenant break on 6 months notice. Rent review @ 25/11/24.</v>
      </c>
      <c r="AE103" s="1" t="n">
        <v>0</v>
      </c>
    </row>
    <row r="104" customFormat="false" ht="12.75" hidden="false" customHeight="false" outlineLevel="0" collapsed="false">
      <c r="A104" s="1" t="n">
        <v>0</v>
      </c>
      <c r="B104" s="1" t="str">
        <v>CD</v>
      </c>
      <c r="C104" s="1" t="str">
        <v>MEL</v>
      </c>
      <c r="D104" s="1" t="n">
        <v>550300</v>
      </c>
      <c r="E104" s="1" t="str">
        <v>3/4/4a Little Portland Street</v>
      </c>
      <c r="F104" s="1" t="str">
        <v>Electricity Sub-Station</v>
      </c>
      <c r="G104" s="1" t="str">
        <v>Sub-Station</v>
      </c>
      <c r="H104" s="289" t="n">
        <v>0</v>
      </c>
      <c r="I104" s="1" t="n">
        <v>0</v>
      </c>
      <c r="J104" s="1" t="n">
        <v>0</v>
      </c>
      <c r="K104" s="390" t="str">
        <v>London Power Networks Plc</v>
      </c>
      <c r="L104" s="390" t="n">
        <v>43866</v>
      </c>
      <c r="M104" s="1" t="n">
        <v>47518</v>
      </c>
      <c r="N104" s="390" t="n">
        <v>0</v>
      </c>
      <c r="O104" s="390" t="n">
        <v>45693</v>
      </c>
      <c r="P104" s="390" t="n">
        <v>0</v>
      </c>
      <c r="Q104" s="292" t="n">
        <v>1000</v>
      </c>
      <c r="R104" s="1" t="n">
        <v>1000</v>
      </c>
      <c r="S104" s="292" t="n">
        <v>0</v>
      </c>
      <c r="T104" s="292" t="n">
        <v>1000</v>
      </c>
      <c r="U104" s="292" t="n">
        <v>1000</v>
      </c>
      <c r="V104" s="292" t="n">
        <v>1000</v>
      </c>
      <c r="W104" s="392" t="n">
        <v>1000</v>
      </c>
      <c r="X104" s="393" t="n">
        <v>0</v>
      </c>
      <c r="Y104" s="293" t="n">
        <v>0</v>
      </c>
      <c r="Z104" s="1" t="n">
        <v>0</v>
      </c>
      <c r="AA104" s="1" t="n">
        <v>0</v>
      </c>
      <c r="AB104" s="1" t="n">
        <v>0</v>
      </c>
      <c r="AC104" s="1" t="str">
        <v>Yes</v>
      </c>
      <c r="AD104" s="1" t="str">
        <v>Rent review is RPI. Rolling landlords redevelopment break after 04/02/25 on 9 months notice.</v>
      </c>
      <c r="AE104" s="1" t="n">
        <v>0</v>
      </c>
    </row>
    <row r="105" customFormat="false" ht="12.75" hidden="false" customHeight="false" outlineLevel="0" collapsed="false">
      <c r="A105" s="1" t="n">
        <v>0</v>
      </c>
      <c r="B105" s="1" t="str">
        <v>SH</v>
      </c>
      <c r="C105" s="1" t="str">
        <v>MEL</v>
      </c>
      <c r="D105" s="1" t="n">
        <v>550480</v>
      </c>
      <c r="E105" s="1" t="str">
        <v>6-10a Great Portland Street</v>
      </c>
      <c r="F105" s="1" t="str">
        <v>Basement</v>
      </c>
      <c r="G105" s="1" t="str">
        <v>Sub-Station</v>
      </c>
      <c r="H105" s="289" t="n">
        <v>0</v>
      </c>
      <c r="I105" s="1" t="n">
        <v>0</v>
      </c>
      <c r="J105" s="1" t="n">
        <v>0</v>
      </c>
      <c r="K105" s="390" t="str">
        <v>London Power Networks Plc</v>
      </c>
      <c r="L105" s="390" t="n">
        <v>39295</v>
      </c>
      <c r="M105" s="1" t="n">
        <v>46599</v>
      </c>
      <c r="N105" s="390" t="n">
        <v>0</v>
      </c>
      <c r="O105" s="390" t="n">
        <v>45870</v>
      </c>
      <c r="P105" s="390" t="n">
        <v>0</v>
      </c>
      <c r="Q105" s="292" t="n">
        <v>903</v>
      </c>
      <c r="R105" s="1" t="n">
        <v>903</v>
      </c>
      <c r="S105" s="292" t="n">
        <v>0</v>
      </c>
      <c r="T105" s="292" t="n">
        <v>625</v>
      </c>
      <c r="U105" s="292" t="n">
        <v>625</v>
      </c>
      <c r="V105" s="292" t="n">
        <v>625</v>
      </c>
      <c r="W105" s="392" t="n">
        <v>625</v>
      </c>
      <c r="X105" s="393" t="n">
        <v>0</v>
      </c>
      <c r="Y105" s="293" t="n">
        <v>0</v>
      </c>
      <c r="Z105" s="1" t="n">
        <v>0</v>
      </c>
      <c r="AA105" s="1" t="n">
        <v>0</v>
      </c>
      <c r="AB105" s="1" t="n">
        <v>0</v>
      </c>
      <c r="AC105" s="1" t="str">
        <v>No</v>
      </c>
      <c r="AD105" s="1" t="str">
        <v>Landlords redevelopment break on 6 months notice. Rent review is RPI indexation (every 2 years. Rent review completed. Backdated rent increased £737 wef 01/08/21 &amp; £903 wef 01/08/23.</v>
      </c>
      <c r="AE105" s="1" t="n">
        <v>0</v>
      </c>
    </row>
    <row r="106" customFormat="false" ht="12.75" hidden="false" customHeight="false" outlineLevel="0" collapsed="false">
      <c r="A106" s="1" t="n">
        <v>0</v>
      </c>
      <c r="B106" s="1" t="str">
        <v>CD</v>
      </c>
      <c r="C106" s="1" t="str">
        <v>OOS</v>
      </c>
      <c r="D106" s="1" t="n">
        <v>888010</v>
      </c>
      <c r="E106" s="1" t="str">
        <v>184-190 Oxford Street &amp; 28/30 Market Place</v>
      </c>
      <c r="F106" s="1" t="str">
        <v>1st Floor, 28 Market Place</v>
      </c>
      <c r="G106" s="1" t="str">
        <v>Retail</v>
      </c>
      <c r="H106" s="289" t="n">
        <v>2044</v>
      </c>
      <c r="I106" s="1" t="n">
        <v>2044</v>
      </c>
      <c r="J106" s="1" t="n">
        <v>2000</v>
      </c>
      <c r="K106" s="390" t="str">
        <v>EP Commodities Ltd</v>
      </c>
      <c r="L106" s="390" t="n">
        <v>42650</v>
      </c>
      <c r="M106" s="1" t="n">
        <v>46301</v>
      </c>
      <c r="N106" s="390" t="n">
        <v>0</v>
      </c>
      <c r="O106" s="390" t="n">
        <v>45885</v>
      </c>
      <c r="P106" s="390" t="n">
        <v>0</v>
      </c>
      <c r="Q106" s="292" t="n">
        <v>115701</v>
      </c>
      <c r="R106" s="1" t="n">
        <v>115701</v>
      </c>
      <c r="S106" s="292" t="n">
        <v>0</v>
      </c>
      <c r="T106" s="292" t="n">
        <v>110000</v>
      </c>
      <c r="U106" s="292" t="n">
        <v>110000</v>
      </c>
      <c r="V106" s="292" t="n">
        <v>112000</v>
      </c>
      <c r="W106" s="392" t="n">
        <v>112000</v>
      </c>
      <c r="X106" s="393" t="n">
        <v>54.7945205479452</v>
      </c>
      <c r="Y106" s="293" t="n">
        <v>0.0181818181818182</v>
      </c>
      <c r="Z106" s="1" t="str">
        <v>B</v>
      </c>
      <c r="AA106" s="1" t="n">
        <v>0</v>
      </c>
      <c r="AB106" s="1" t="n">
        <v>0</v>
      </c>
      <c r="AC106" s="1" t="str">
        <v>No</v>
      </c>
      <c r="AD106" s="1" t="str">
        <v>Annual RPI rent increase (min 1%, max 4%). </v>
      </c>
      <c r="AE106" s="1" t="n">
        <v>0</v>
      </c>
    </row>
    <row r="107" customFormat="false" ht="12.75" hidden="false" customHeight="false" outlineLevel="0" collapsed="false">
      <c r="A107" s="1" t="n">
        <v>0</v>
      </c>
      <c r="B107" s="1" t="str">
        <v>CD</v>
      </c>
      <c r="C107" s="1" t="str">
        <v>MEL</v>
      </c>
      <c r="D107" s="1" t="n">
        <v>550500</v>
      </c>
      <c r="E107" s="1" t="str">
        <v>5 Little Portland Street</v>
      </c>
      <c r="F107" s="1" t="str">
        <v>First to Third Floors</v>
      </c>
      <c r="G107" s="1" t="str">
        <v>Office</v>
      </c>
      <c r="H107" s="289" t="n">
        <v>2186</v>
      </c>
      <c r="I107" s="1" t="n">
        <v>2186</v>
      </c>
      <c r="J107" s="1" t="n">
        <v>2000</v>
      </c>
      <c r="K107" s="390" t="str">
        <v>Oaxaca Ltd.</v>
      </c>
      <c r="L107" s="390" t="n">
        <v>43398</v>
      </c>
      <c r="M107" s="1" t="n">
        <v>47050</v>
      </c>
      <c r="N107" s="390" t="n">
        <v>0</v>
      </c>
      <c r="O107" s="390" t="n">
        <v>45955</v>
      </c>
      <c r="P107" s="390" t="n">
        <v>45954</v>
      </c>
      <c r="Q107" s="292" t="n">
        <v>101200</v>
      </c>
      <c r="R107" s="1" t="n">
        <v>101200</v>
      </c>
      <c r="S107" s="292" t="n">
        <v>0</v>
      </c>
      <c r="T107" s="292" t="n">
        <v>117100</v>
      </c>
      <c r="U107" s="292" t="n">
        <v>117100</v>
      </c>
      <c r="V107" s="292" t="n">
        <v>117100</v>
      </c>
      <c r="W107" s="392" t="n">
        <v>117100</v>
      </c>
      <c r="X107" s="393" t="n">
        <v>53.5681610247027</v>
      </c>
      <c r="Y107" s="293" t="n">
        <v>0</v>
      </c>
      <c r="Z107" s="1" t="str">
        <v>E</v>
      </c>
      <c r="AA107" s="1" t="n">
        <v>0</v>
      </c>
      <c r="AB107" s="1" t="n">
        <v>0</v>
      </c>
      <c r="AC107" s="1" t="str">
        <v>No</v>
      </c>
      <c r="AD107" s="1" t="str">
        <v>Tenant break on 6 months notice. Tenant has a 20% concession reducing the rent until the 25/10/25 review date, after this date it reverts to £126,500 pa.</v>
      </c>
      <c r="AE107" s="1" t="n">
        <v>0</v>
      </c>
    </row>
    <row r="108" customFormat="false" ht="12.75" hidden="false" customHeight="false" outlineLevel="0" collapsed="false">
      <c r="A108" s="1" t="n">
        <v>0</v>
      </c>
      <c r="B108" s="1" t="str">
        <v>WS</v>
      </c>
      <c r="C108" s="1" t="str">
        <v>MEL</v>
      </c>
      <c r="D108" s="1" t="n">
        <v>550870</v>
      </c>
      <c r="E108" s="1" t="str">
        <v>67 - 81 Mortimer Street</v>
      </c>
      <c r="F108" s="1" t="str">
        <v>Ground Floor &amp; Bsmt. (No.79-81)</v>
      </c>
      <c r="G108" s="1" t="str">
        <v>Restaurant</v>
      </c>
      <c r="H108" s="289" t="n">
        <v>3114</v>
      </c>
      <c r="I108" s="1" t="n">
        <v>3114</v>
      </c>
      <c r="J108" s="1" t="n">
        <v>3000</v>
      </c>
      <c r="K108" s="390" t="str">
        <v>PHBB Restaurants Ltd.</v>
      </c>
      <c r="L108" s="390" t="n">
        <v>44143</v>
      </c>
      <c r="M108" s="1" t="n">
        <v>49620</v>
      </c>
      <c r="N108" s="390" t="n">
        <v>0</v>
      </c>
      <c r="O108" s="390" t="n">
        <v>45969</v>
      </c>
      <c r="P108" s="390" t="n">
        <v>0</v>
      </c>
      <c r="Q108" s="292" t="n">
        <v>175000</v>
      </c>
      <c r="R108" s="1" t="n">
        <v>175000</v>
      </c>
      <c r="S108" s="292" t="n">
        <v>0</v>
      </c>
      <c r="T108" s="292" t="n">
        <v>146200</v>
      </c>
      <c r="U108" s="292" t="n">
        <v>146200</v>
      </c>
      <c r="V108" s="292" t="n">
        <v>146200</v>
      </c>
      <c r="W108" s="392" t="n">
        <v>146200</v>
      </c>
      <c r="X108" s="393" t="n">
        <v>46.9492614001285</v>
      </c>
      <c r="Y108" s="293" t="n">
        <v>0</v>
      </c>
      <c r="Z108" s="1" t="str">
        <v>D</v>
      </c>
      <c r="AA108" s="1" t="n">
        <v>0</v>
      </c>
      <c r="AB108" s="1" t="n">
        <v>0</v>
      </c>
      <c r="AC108" s="1" t="str">
        <v>Yes</v>
      </c>
      <c r="AD108" s="1" t="str">
        <v>54 Act protected lease. All Inclusive (excl rates). </v>
      </c>
      <c r="AE108" s="1" t="n">
        <v>0</v>
      </c>
    </row>
    <row r="109" customFormat="false" ht="12.75" hidden="false" customHeight="false" outlineLevel="0" collapsed="false">
      <c r="A109" s="1" t="n">
        <v>0</v>
      </c>
      <c r="B109" s="1" t="str">
        <v>JM</v>
      </c>
      <c r="C109" s="1" t="str">
        <v>MEL</v>
      </c>
      <c r="D109" s="1" t="n">
        <v>550940</v>
      </c>
      <c r="E109" s="1" t="str">
        <v>Radiant House, 34-38 Mortimer Street &amp; 3-4 Bywell Place</v>
      </c>
      <c r="F109" s="1" t="str">
        <v>Fourth (36-38)</v>
      </c>
      <c r="G109" s="1" t="str">
        <v>Office</v>
      </c>
      <c r="H109" s="289" t="n">
        <v>1055</v>
      </c>
      <c r="I109" s="1" t="n">
        <v>1055</v>
      </c>
      <c r="J109" s="1" t="n">
        <v>1000</v>
      </c>
      <c r="K109" s="390" t="str">
        <v>Carver Associates Ltd.</v>
      </c>
      <c r="L109" s="390" t="n">
        <v>44887</v>
      </c>
      <c r="M109" s="1" t="n">
        <v>46712</v>
      </c>
      <c r="N109" s="390" t="n">
        <v>0</v>
      </c>
      <c r="O109" s="390" t="n">
        <v>45983</v>
      </c>
      <c r="P109" s="390" t="n">
        <v>45982</v>
      </c>
      <c r="Q109" s="292" t="n">
        <v>63070</v>
      </c>
      <c r="R109" s="1" t="n">
        <v>63070</v>
      </c>
      <c r="S109" s="292" t="n">
        <v>0</v>
      </c>
      <c r="T109" s="292" t="n">
        <v>61000</v>
      </c>
      <c r="U109" s="292" t="n">
        <v>61000</v>
      </c>
      <c r="V109" s="292" t="n">
        <v>60700</v>
      </c>
      <c r="W109" s="392" t="n">
        <v>60700</v>
      </c>
      <c r="X109" s="393" t="n">
        <v>57.5355450236967</v>
      </c>
      <c r="Y109" s="293" t="n">
        <v>-0.00491803278688525</v>
      </c>
      <c r="Z109" s="1" t="str">
        <v>D</v>
      </c>
      <c r="AA109" s="1" t="n">
        <v>0</v>
      </c>
      <c r="AB109" s="1" t="n">
        <v>0</v>
      </c>
      <c r="AC109" s="1" t="str">
        <v>No</v>
      </c>
      <c r="AD109" s="1" t="str">
        <v>Tenant has annual breaks on 6 months notice. </v>
      </c>
      <c r="AE109" s="1" t="n">
        <v>0</v>
      </c>
    </row>
    <row r="110" customFormat="false" ht="12.75" hidden="false" customHeight="false" outlineLevel="0" collapsed="false">
      <c r="A110" s="1" t="n">
        <v>0</v>
      </c>
      <c r="B110" s="1" t="str">
        <v>WS</v>
      </c>
      <c r="C110" s="1" t="str">
        <v>MEL</v>
      </c>
      <c r="D110" s="1" t="n">
        <v>550490</v>
      </c>
      <c r="E110" s="1" t="str">
        <v>11-13 Market Place</v>
      </c>
      <c r="F110" s="1" t="str">
        <v>Whole Building</v>
      </c>
      <c r="G110" s="1" t="str">
        <v>Bar &amp; Office</v>
      </c>
      <c r="H110" s="289" t="n">
        <v>6979</v>
      </c>
      <c r="I110" s="1" t="n">
        <v>6979</v>
      </c>
      <c r="J110" s="1" t="n">
        <v>7000</v>
      </c>
      <c r="K110" s="390" t="str">
        <v>Market Place (London) Holdings Ltd</v>
      </c>
      <c r="L110" s="390" t="n">
        <v>44185</v>
      </c>
      <c r="M110" s="1" t="n">
        <v>47836</v>
      </c>
      <c r="N110" s="390" t="n">
        <v>0</v>
      </c>
      <c r="O110" s="390" t="n">
        <v>46011</v>
      </c>
      <c r="P110" s="390" t="n">
        <v>0</v>
      </c>
      <c r="Q110" s="292" t="n">
        <v>420000</v>
      </c>
      <c r="R110" s="1" t="n">
        <v>420000</v>
      </c>
      <c r="S110" s="292" t="n">
        <v>420000</v>
      </c>
      <c r="T110" s="292" t="n">
        <v>364600</v>
      </c>
      <c r="U110" s="292" t="n">
        <v>364600</v>
      </c>
      <c r="V110" s="292" t="n">
        <v>414100</v>
      </c>
      <c r="W110" s="392" t="n">
        <v>414100</v>
      </c>
      <c r="X110" s="393" t="n">
        <v>59.335148302049</v>
      </c>
      <c r="Y110" s="293" t="n">
        <v>0.135765222161273</v>
      </c>
      <c r="Z110" s="1" t="str">
        <v>E</v>
      </c>
      <c r="AA110" s="1" t="n">
        <v>0</v>
      </c>
      <c r="AB110" s="1" t="n">
        <v>7475000</v>
      </c>
      <c r="AC110" s="1" t="str">
        <v>No</v>
      </c>
      <c r="AD110" s="1" t="str">
        <v>Upper floors sublet.</v>
      </c>
      <c r="AE110" s="1" t="n">
        <v>0</v>
      </c>
    </row>
    <row r="111" customFormat="false" ht="12.75" hidden="false" customHeight="false" outlineLevel="0" collapsed="false">
      <c r="A111" s="1" t="n">
        <v>0</v>
      </c>
      <c r="B111" s="1" t="str">
        <v>JM</v>
      </c>
      <c r="C111" s="1" t="str">
        <v>MEL</v>
      </c>
      <c r="D111" s="1" t="n">
        <v>100850</v>
      </c>
      <c r="E111" s="1" t="str">
        <v>142-144 Oxford Street</v>
      </c>
      <c r="F111" s="1" t="str">
        <v>Flats 1 - 9 Inclusive</v>
      </c>
      <c r="G111" s="1" t="str">
        <v>Residential</v>
      </c>
      <c r="H111" s="289" t="n">
        <v>4011</v>
      </c>
      <c r="I111" s="1" t="n">
        <v>4011</v>
      </c>
      <c r="J111" s="1" t="n">
        <v>4000</v>
      </c>
      <c r="K111" s="390" t="str">
        <v>Advan Capital Limited</v>
      </c>
      <c r="L111" s="390" t="n">
        <v>44204</v>
      </c>
      <c r="M111" s="1" t="n">
        <v>47855</v>
      </c>
      <c r="N111" s="390" t="n">
        <v>0</v>
      </c>
      <c r="O111" s="390" t="n">
        <v>46030</v>
      </c>
      <c r="P111" s="390" t="n">
        <v>0</v>
      </c>
      <c r="Q111" s="292" t="n">
        <v>130000</v>
      </c>
      <c r="R111" s="1" t="n">
        <v>130000</v>
      </c>
      <c r="S111" s="292" t="n">
        <v>0</v>
      </c>
      <c r="T111" s="292" t="n">
        <v>130000</v>
      </c>
      <c r="U111" s="292" t="n">
        <v>130000</v>
      </c>
      <c r="V111" s="292" t="n">
        <v>130000</v>
      </c>
      <c r="W111" s="1" t="n">
        <v>130000</v>
      </c>
      <c r="X111" s="382" t="n">
        <v>32.4108701072052</v>
      </c>
      <c r="Y111" s="293" t="n">
        <v>0</v>
      </c>
      <c r="Z111" s="1" t="str">
        <v>B</v>
      </c>
      <c r="AA111" s="1" t="n">
        <v>0</v>
      </c>
      <c r="AB111" s="1" t="n">
        <v>0</v>
      </c>
      <c r="AC111" s="1" t="str">
        <v>No</v>
      </c>
      <c r="AD111" s="1" t="n">
        <v>0</v>
      </c>
      <c r="AE111" s="1" t="n">
        <v>0</v>
      </c>
    </row>
    <row r="112" customFormat="false" ht="12.75" hidden="false" customHeight="false" outlineLevel="0" collapsed="false">
      <c r="A112" s="1" t="n">
        <v>0</v>
      </c>
      <c r="B112" s="1" t="str">
        <v>SH</v>
      </c>
      <c r="C112" s="1" t="str">
        <v>MEL</v>
      </c>
      <c r="D112" s="1" t="n">
        <v>550190</v>
      </c>
      <c r="E112" s="1" t="str">
        <v>Circus House,  21 Great Titchfield Street</v>
      </c>
      <c r="F112" s="1" t="str">
        <v>Basement &amp; Ground (East)</v>
      </c>
      <c r="G112" s="1" t="str">
        <v>Showroom/ Office</v>
      </c>
      <c r="H112" s="289" t="n">
        <v>3443</v>
      </c>
      <c r="I112" s="1" t="n">
        <v>3443</v>
      </c>
      <c r="J112" s="1" t="n">
        <v>3500</v>
      </c>
      <c r="K112" s="390" t="str">
        <v>The Graphical Tree Ltd</v>
      </c>
      <c r="L112" s="390" t="n">
        <v>44348</v>
      </c>
      <c r="M112" s="1" t="n">
        <v>47999</v>
      </c>
      <c r="N112" s="390" t="n">
        <v>0</v>
      </c>
      <c r="O112" s="403" t="n">
        <v>46174</v>
      </c>
      <c r="P112" s="292" t="n">
        <v>46173</v>
      </c>
      <c r="Q112" s="292" t="n">
        <v>75000</v>
      </c>
      <c r="R112" s="1" t="n">
        <v>75000</v>
      </c>
      <c r="S112" s="292" t="n">
        <v>0</v>
      </c>
      <c r="T112" s="292" t="n">
        <v>75800</v>
      </c>
      <c r="U112" s="292" t="n">
        <v>75800</v>
      </c>
      <c r="V112" s="292" t="n">
        <v>75000</v>
      </c>
      <c r="W112" s="1" t="n">
        <v>75000</v>
      </c>
      <c r="X112" s="382" t="n">
        <v>21.7833284925937</v>
      </c>
      <c r="Y112" s="293" t="n">
        <v>-0.0105540897097625</v>
      </c>
      <c r="Z112" s="1" t="str">
        <v>B</v>
      </c>
      <c r="AA112" s="1" t="n">
        <v>0</v>
      </c>
      <c r="AB112" s="1" t="n">
        <v>0</v>
      </c>
      <c r="AC112" s="1" t="str">
        <v>No</v>
      </c>
      <c r="AD112" s="1" t="str">
        <v>Tenant break on 6 months notice. Rent free 01/06/26 to 31/08/26 if not exercised. Landlord rolling break from 07/10/25.</v>
      </c>
      <c r="AE112" s="1" t="n">
        <v>0</v>
      </c>
    </row>
    <row r="113" customFormat="false" ht="12.75" hidden="false" customHeight="false" outlineLevel="0" collapsed="false">
      <c r="A113" s="1" t="n">
        <v>0</v>
      </c>
      <c r="B113" s="1" t="str">
        <v>SH</v>
      </c>
      <c r="C113" s="1" t="str">
        <v>MEL</v>
      </c>
      <c r="D113" s="1" t="n">
        <v>550600</v>
      </c>
      <c r="E113" s="1" t="str">
        <v>45-49 Great Portland Street</v>
      </c>
      <c r="F113" s="1" t="str">
        <v>First, Second &amp; Third Floors</v>
      </c>
      <c r="G113" s="1" t="str">
        <v>Office</v>
      </c>
      <c r="H113" s="1" t="n">
        <v>3441</v>
      </c>
      <c r="I113" s="1" t="n">
        <v>3441</v>
      </c>
      <c r="J113" s="1" t="n">
        <v>3500</v>
      </c>
      <c r="K113" s="1" t="str">
        <v>DMR Film Ventures (Facilities) Ltd.</v>
      </c>
      <c r="L113" s="1" t="n">
        <v>44358</v>
      </c>
      <c r="M113" s="1" t="n">
        <v>48009</v>
      </c>
      <c r="N113" s="1" t="n">
        <v>0</v>
      </c>
      <c r="O113" s="1" t="n">
        <v>46184</v>
      </c>
      <c r="P113" s="1" t="n">
        <v>46183</v>
      </c>
      <c r="Q113" s="292" t="n">
        <v>189000</v>
      </c>
      <c r="R113" s="1" t="n">
        <v>189000</v>
      </c>
      <c r="S113" s="1" t="n">
        <v>0</v>
      </c>
      <c r="T113" s="1" t="n">
        <v>189300</v>
      </c>
      <c r="U113" s="1" t="n">
        <v>189300</v>
      </c>
      <c r="V113" s="292" t="n">
        <v>189300</v>
      </c>
      <c r="W113" s="1" t="n">
        <v>189300</v>
      </c>
      <c r="X113" s="382" t="n">
        <v>55.0130775937228</v>
      </c>
      <c r="Y113" s="293" t="n">
        <v>0</v>
      </c>
      <c r="Z113" s="1" t="str">
        <v>E</v>
      </c>
      <c r="AA113" s="1" t="n">
        <v>0</v>
      </c>
      <c r="AB113" s="1" t="n">
        <v>0</v>
      </c>
      <c r="AC113" s="1" t="str">
        <v>No</v>
      </c>
      <c r="AD113" s="1" t="str">
        <v>Tenant break on 6 months notice. 6 months rent free if not exercised.</v>
      </c>
      <c r="AE113" s="1" t="n">
        <v>0</v>
      </c>
    </row>
    <row r="114" customFormat="false" ht="12.75" hidden="false" customHeight="false" outlineLevel="0" collapsed="false">
      <c r="A114" s="1" t="n">
        <v>0</v>
      </c>
      <c r="B114" s="1" t="str">
        <v>CD</v>
      </c>
      <c r="C114" s="1" t="str">
        <v>MEL</v>
      </c>
      <c r="D114" s="1" t="n">
        <v>550410</v>
      </c>
      <c r="E114" s="1" t="str">
        <v>19-21 Great Portland Street .</v>
      </c>
      <c r="F114" s="1" t="str">
        <v>Fourth Floor</v>
      </c>
      <c r="G114" s="1" t="str">
        <v>Offices</v>
      </c>
      <c r="H114" s="1" t="n">
        <v>1197</v>
      </c>
      <c r="I114" s="1" t="n">
        <v>1197</v>
      </c>
      <c r="J114" s="1" t="n">
        <v>1000</v>
      </c>
      <c r="K114" s="1" t="str">
        <v>Factory Studios Limited.</v>
      </c>
      <c r="L114" s="1" t="n">
        <v>44362</v>
      </c>
      <c r="M114" s="1" t="n">
        <v>48013</v>
      </c>
      <c r="N114" s="1" t="n">
        <v>0</v>
      </c>
      <c r="O114" s="1" t="n">
        <v>46197</v>
      </c>
      <c r="P114" s="1" t="n">
        <v>46197</v>
      </c>
      <c r="Q114" s="292" t="n">
        <v>80000</v>
      </c>
      <c r="R114" s="1" t="n">
        <v>80000</v>
      </c>
      <c r="S114" s="1" t="n">
        <v>0</v>
      </c>
      <c r="T114" s="1" t="n">
        <v>80000</v>
      </c>
      <c r="U114" s="1" t="n">
        <v>80000</v>
      </c>
      <c r="V114" s="292" t="n">
        <v>80800</v>
      </c>
      <c r="W114" s="1" t="n">
        <v>80800</v>
      </c>
      <c r="X114" s="382" t="n">
        <v>67.5020885547201</v>
      </c>
      <c r="Y114" s="293" t="n">
        <v>0.01</v>
      </c>
      <c r="Z114" s="1" t="str">
        <v>B</v>
      </c>
      <c r="AA114" s="1" t="n">
        <v>0</v>
      </c>
      <c r="AB114" s="1" t="n">
        <v>0</v>
      </c>
      <c r="AC114" s="1" t="str">
        <v>No</v>
      </c>
      <c r="AD114" s="1" t="str">
        <v>Tenant break subject to 6 months notice.</v>
      </c>
      <c r="AE114" s="1" t="n">
        <v>0</v>
      </c>
    </row>
    <row r="115" customFormat="false" ht="12.75" hidden="false" customHeight="false" outlineLevel="0" collapsed="false">
      <c r="A115" s="1" t="n">
        <v>0</v>
      </c>
      <c r="B115" s="1" t="str">
        <v>CD</v>
      </c>
      <c r="C115" s="1" t="str">
        <v>MEL</v>
      </c>
      <c r="D115" s="1" t="n">
        <v>550400</v>
      </c>
      <c r="E115" s="1" t="str">
        <v>23-25 Great Portland Street &amp; 54-55 Margaret Street</v>
      </c>
      <c r="F115" s="1" t="str">
        <v>First to Fourth Floors</v>
      </c>
      <c r="G115" s="1" t="str">
        <v>Office</v>
      </c>
      <c r="H115" s="1" t="n">
        <v>3545</v>
      </c>
      <c r="I115" s="1" t="n">
        <v>3545</v>
      </c>
      <c r="J115" s="1" t="n">
        <v>3500</v>
      </c>
      <c r="K115" s="1" t="str">
        <v>Factory Studios Limited.</v>
      </c>
      <c r="L115" s="1" t="n">
        <v>44362</v>
      </c>
      <c r="M115" s="1" t="n">
        <v>48013</v>
      </c>
      <c r="N115" s="1" t="n">
        <v>0</v>
      </c>
      <c r="O115" s="1" t="n">
        <v>46197</v>
      </c>
      <c r="P115" s="1" t="n">
        <v>46197</v>
      </c>
      <c r="Q115" s="292" t="n">
        <v>220000</v>
      </c>
      <c r="R115" s="1" t="n">
        <v>220000</v>
      </c>
      <c r="S115" s="1" t="n">
        <v>0</v>
      </c>
      <c r="T115" s="1" t="n">
        <v>220000</v>
      </c>
      <c r="U115" s="1" t="n">
        <v>220000</v>
      </c>
      <c r="V115" s="292" t="n">
        <v>220000</v>
      </c>
      <c r="W115" s="1" t="n">
        <v>220000</v>
      </c>
      <c r="X115" s="382" t="n">
        <v>62.0592383638928</v>
      </c>
      <c r="Y115" s="293" t="n">
        <v>0</v>
      </c>
      <c r="Z115" s="1" t="str">
        <v>C</v>
      </c>
      <c r="AA115" s="1" t="n">
        <v>0</v>
      </c>
      <c r="AB115" s="1" t="n">
        <v>0</v>
      </c>
      <c r="AC115" s="1" t="str">
        <v>No</v>
      </c>
      <c r="AD115" s="1" t="str">
        <v>Tenant break on 6 months notice.</v>
      </c>
      <c r="AE115" s="1" t="n">
        <v>0</v>
      </c>
    </row>
    <row r="116" customFormat="false" ht="12.75" hidden="false" customHeight="false" outlineLevel="0" collapsed="false">
      <c r="A116" s="1" t="n">
        <v>0</v>
      </c>
      <c r="B116" s="1" t="str">
        <v>CD</v>
      </c>
      <c r="C116" s="1" t="str">
        <v>OPG</v>
      </c>
      <c r="D116" s="1" t="n">
        <v>800100</v>
      </c>
      <c r="E116" s="1" t="str">
        <v>Julco House, 26-28 Great Portland Street</v>
      </c>
      <c r="F116" s="1" t="str">
        <v>Basement Vaults</v>
      </c>
      <c r="G116" s="1" t="str">
        <v>Electricity Sub-Station</v>
      </c>
      <c r="H116" s="1" t="n">
        <v>0</v>
      </c>
      <c r="I116" s="1" t="n">
        <v>0</v>
      </c>
      <c r="J116" s="1" t="n">
        <v>0</v>
      </c>
      <c r="K116" s="1" t="str">
        <v>London Power Networks Plc</v>
      </c>
      <c r="L116" s="1" t="n">
        <v>42552</v>
      </c>
      <c r="M116" s="1" t="n">
        <v>47267</v>
      </c>
      <c r="N116" s="1" t="n">
        <v>0</v>
      </c>
      <c r="O116" s="1" t="n">
        <v>46204</v>
      </c>
      <c r="P116" s="1" t="n">
        <v>0</v>
      </c>
      <c r="Q116" s="292" t="n">
        <v>1160</v>
      </c>
      <c r="R116" s="1" t="n">
        <v>1160</v>
      </c>
      <c r="S116" s="1" t="n">
        <v>0</v>
      </c>
      <c r="T116" s="1" t="n">
        <v>1160</v>
      </c>
      <c r="U116" s="1" t="n">
        <v>1160</v>
      </c>
      <c r="V116" s="292" t="n">
        <v>1160</v>
      </c>
      <c r="W116" s="1" t="n">
        <v>1160</v>
      </c>
      <c r="X116" s="382" t="n">
        <v>0</v>
      </c>
      <c r="Y116" s="293" t="n">
        <v>0</v>
      </c>
      <c r="Z116" s="1" t="n">
        <v>0</v>
      </c>
      <c r="AA116" s="1" t="n">
        <v>0</v>
      </c>
      <c r="AB116" s="1" t="n">
        <v>0</v>
      </c>
      <c r="AC116" s="1" t="str">
        <v>Yes</v>
      </c>
      <c r="AD116" s="1" t="str">
        <v>Rent review to RPI.</v>
      </c>
      <c r="AE116" s="1" t="n">
        <v>0</v>
      </c>
    </row>
  </sheetData>
  <mergeCells count="3">
    <mergeCell ref="B2:E2"/>
    <mergeCell ref="B39:E39"/>
    <mergeCell ref="B71:E71"/>
  </mergeCells>
  <conditionalFormatting sqref="P41:P70">
    <cfRule type="expression" priority="2" aboveAverage="0" equalAverage="0" bottom="0" percent="0" rank="0" text="" dxfId="3">
      <formula>P48&gt;TODAY()+180</formula>
    </cfRule>
  </conditionalFormatting>
  <conditionalFormatting sqref="M4:M39">
    <cfRule type="expression" priority="3" aboveAverage="0" equalAverage="0" bottom="0" percent="0" rank="0" text="" dxfId="3">
      <formula>AND(M5&lt;&gt;"", M5&gt;=TODAY(), M5&lt;=TODAY()+180)</formula>
    </cfRule>
  </conditionalFormatting>
  <conditionalFormatting sqref="P71">
    <cfRule type="expression" priority="4" aboveAverage="0" equalAverage="0" bottom="0" percent="0" rank="0" text="" dxfId="3">
      <formula>P71&gt;TODAY()+180</formula>
    </cfRule>
  </conditionalFormatting>
  <conditionalFormatting sqref="M72:M73">
    <cfRule type="expression" priority="5" aboveAverage="0" equalAverage="0" bottom="0" percent="0" rank="0" text="" dxfId="0">
      <formula>AND(M72&lt;=(TODAY()+90), M72&gt;=TODAY())</formula>
    </cfRule>
    <cfRule type="expression" priority="6" aboveAverage="0" equalAverage="0" bottom="0" percent="0" rank="0" text="" dxfId="4">
      <formula>AND(ISNUMBER(M72), M72&lt;TODAY())</formula>
    </cfRule>
  </conditionalFormatting>
  <conditionalFormatting sqref="M40">
    <cfRule type="expression" priority="7" aboveAverage="0" equalAverage="0" bottom="0" percent="0" rank="0" text="" dxfId="0">
      <formula>AND(M40&lt;=(TODAY()+90), M40&gt;=TODAY())</formula>
    </cfRule>
    <cfRule type="expression" priority="8" aboveAverage="0" equalAverage="0" bottom="0" percent="0" rank="0" text="" dxfId="4">
      <formula>AND(ISNUMBER(M40), M40&lt;TODAY())</formula>
    </cfRule>
  </conditionalFormatting>
  <conditionalFormatting sqref="M3">
    <cfRule type="expression" priority="9" aboveAverage="0" equalAverage="0" bottom="0" percent="0" rank="0" text="" dxfId="0">
      <formula>AND(M3&lt;=(TODAY()+90), M3&gt;=TODAY())</formula>
    </cfRule>
    <cfRule type="expression" priority="10" aboveAverage="0" equalAverage="0" bottom="0" percent="0" rank="0" text="" dxfId="4">
      <formula>AND(ISNUMBER(M3), M3&lt;TODAY())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AV479"/>
  <sheetViews>
    <sheetView showFormulas="false" showGridLines="true" showRowColHeaders="true" showZeros="true" rightToLeft="false" tabSelected="false" showOutlineSymbols="true" defaultGridColor="true" view="pageBreakPreview" topLeftCell="A410" colorId="64" zoomScale="100" zoomScaleNormal="85" zoomScalePageLayoutView="100" workbookViewId="0">
      <selection pane="topLeft" activeCell="E438" activeCellId="0" sqref="E438"/>
    </sheetView>
  </sheetViews>
  <sheetFormatPr defaultColWidth="8.83203125" defaultRowHeight="12.75" customHeight="true" zeroHeight="false" outlineLevelRow="0" outlineLevelCol="0"/>
  <cols>
    <col collapsed="false" customWidth="true" hidden="false" outlineLevel="0" max="2" min="2" style="1" width="10.83"/>
    <col collapsed="false" customWidth="true" hidden="false" outlineLevel="0" max="3" min="3" style="1" width="13.83"/>
    <col collapsed="false" customWidth="true" hidden="false" outlineLevel="0" max="4" min="4" style="1" width="12.33"/>
    <col collapsed="false" customWidth="true" hidden="false" outlineLevel="0" max="5" min="5" style="1" width="12.67"/>
    <col collapsed="false" customWidth="true" hidden="false" outlineLevel="0" max="6" min="6" style="1" width="15.51"/>
    <col collapsed="false" customWidth="true" hidden="false" outlineLevel="0" max="7" min="7" style="1" width="12.83"/>
    <col collapsed="false" customWidth="true" hidden="false" outlineLevel="0" max="8" min="8" style="1" width="13.34"/>
    <col collapsed="false" customWidth="true" hidden="false" outlineLevel="0" max="9" min="9" style="1" width="12.5"/>
    <col collapsed="false" customWidth="true" hidden="false" outlineLevel="0" max="10" min="10" style="1" width="13"/>
    <col collapsed="false" customWidth="true" hidden="false" outlineLevel="0" max="11" min="11" style="1" width="15.33"/>
    <col collapsed="false" customWidth="true" hidden="false" outlineLevel="0" max="12" min="12" style="1" width="13.16"/>
    <col collapsed="false" customWidth="true" hidden="false" outlineLevel="0" max="13" min="13" style="1" width="17.5"/>
    <col collapsed="false" customWidth="true" hidden="false" outlineLevel="0" max="14" min="14" style="1" width="12.67"/>
    <col collapsed="false" customWidth="true" hidden="false" outlineLevel="0" max="15" min="15" style="1" width="18.16"/>
    <col collapsed="false" customWidth="true" hidden="false" outlineLevel="0" max="16" min="16" style="1" width="12.67"/>
    <col collapsed="false" customWidth="true" hidden="false" outlineLevel="0" max="17" min="17" style="1" width="17.5"/>
    <col collapsed="false" customWidth="true" hidden="false" outlineLevel="0" max="18" min="18" style="1" width="15.33"/>
    <col collapsed="false" customWidth="true" hidden="false" outlineLevel="0" max="19" min="19" style="1" width="11.16"/>
    <col collapsed="false" customWidth="true" hidden="false" outlineLevel="0" max="20" min="20" style="1" width="12.5"/>
    <col collapsed="false" customWidth="true" hidden="false" outlineLevel="0" max="21" min="21" style="1" width="13.5"/>
    <col collapsed="false" customWidth="true" hidden="false" outlineLevel="0" max="22" min="22" style="1" width="11.5"/>
    <col collapsed="false" customWidth="true" hidden="false" outlineLevel="0" max="23" min="23" style="1" width="14.16"/>
    <col collapsed="false" customWidth="true" hidden="false" outlineLevel="0" max="24" min="24" style="1" width="13.5"/>
    <col collapsed="false" customWidth="true" hidden="false" outlineLevel="0" max="25" min="25" style="1" width="11.83"/>
    <col collapsed="false" customWidth="true" hidden="false" outlineLevel="0" max="26" min="26" style="1" width="15.66"/>
    <col collapsed="false" customWidth="true" hidden="false" outlineLevel="0" max="27" min="27" style="1" width="13.5"/>
    <col collapsed="false" customWidth="true" hidden="false" outlineLevel="0" max="30" min="28" style="1" width="15.66"/>
    <col collapsed="false" customWidth="true" hidden="false" outlineLevel="0" max="31" min="31" style="1" width="14.52"/>
    <col collapsed="false" customWidth="true" hidden="false" outlineLevel="0" max="32" min="32" style="1" width="13.34"/>
    <col collapsed="false" customWidth="true" hidden="false" outlineLevel="0" max="33" min="33" style="1" width="14.16"/>
    <col collapsed="false" customWidth="true" hidden="false" outlineLevel="0" max="46" min="34" style="1" width="14.67"/>
    <col collapsed="false" customWidth="true" hidden="false" outlineLevel="0" max="48" min="48" style="1" width="14.33"/>
  </cols>
  <sheetData>
    <row r="3" customFormat="false" ht="13.5" hidden="false" customHeight="true" outlineLevel="0" collapsed="false">
      <c r="B3" s="404" t="s">
        <v>935</v>
      </c>
      <c r="C3" s="404"/>
      <c r="D3" s="404" t="s">
        <v>876</v>
      </c>
      <c r="E3" s="404"/>
      <c r="F3" s="404" t="s">
        <v>936</v>
      </c>
      <c r="G3" s="404" t="s">
        <v>937</v>
      </c>
      <c r="H3" s="404" t="s">
        <v>938</v>
      </c>
      <c r="I3" s="404" t="s">
        <v>939</v>
      </c>
      <c r="M3" s="1" t="s">
        <v>877</v>
      </c>
      <c r="O3" s="1" t="s">
        <v>940</v>
      </c>
    </row>
    <row r="4" customFormat="false" ht="13.5" hidden="false" customHeight="true" outlineLevel="0" collapsed="false"/>
    <row r="5" customFormat="false" ht="15" hidden="false" customHeight="true" outlineLevel="0" collapsed="false">
      <c r="B5" s="1" t="s">
        <v>941</v>
      </c>
      <c r="C5" s="405" t="n">
        <f aca="false">D5/D11</f>
        <v>0.262020693852709</v>
      </c>
      <c r="D5" s="406" t="n">
        <v>861</v>
      </c>
      <c r="E5" s="407"/>
      <c r="F5" s="408" t="n">
        <f aca="false">F10*D5</f>
        <v>26475.5859750456</v>
      </c>
      <c r="G5" s="409" t="n">
        <f aca="false">G10*D5</f>
        <v>1703.39653073646</v>
      </c>
      <c r="H5" s="409" t="n">
        <f aca="false">D5*H10</f>
        <v>7749</v>
      </c>
      <c r="I5" s="409" t="n">
        <f aca="false">D5*I10</f>
        <v>6027</v>
      </c>
      <c r="J5" s="406"/>
      <c r="K5" s="382" t="n">
        <f aca="false">SUM(F5:I5)</f>
        <v>41954.9825057821</v>
      </c>
      <c r="L5" s="406"/>
      <c r="M5" s="409" t="n">
        <v>114000</v>
      </c>
      <c r="O5" s="410" t="n">
        <f aca="false">M5-K5</f>
        <v>72045.0174942179</v>
      </c>
      <c r="P5" s="382" t="n">
        <f aca="false">O5/D5</f>
        <v>83.675978506641</v>
      </c>
      <c r="Q5" s="1" t="s">
        <v>942</v>
      </c>
    </row>
    <row r="6" customFormat="false" ht="15" hidden="false" customHeight="true" outlineLevel="0" collapsed="false">
      <c r="B6" s="406" t="s">
        <v>943</v>
      </c>
      <c r="C6" s="405" t="n">
        <f aca="false">D6/D11</f>
        <v>0.255629945222155</v>
      </c>
      <c r="D6" s="406" t="n">
        <v>840</v>
      </c>
      <c r="E6" s="407"/>
      <c r="F6" s="408" t="n">
        <f aca="false">F10*D6</f>
        <v>25829.8399756543</v>
      </c>
      <c r="G6" s="409" t="n">
        <f aca="false">G10*D6</f>
        <v>1661.85027388923</v>
      </c>
      <c r="H6" s="409" t="n">
        <f aca="false">D6*H10</f>
        <v>7560</v>
      </c>
      <c r="I6" s="409" t="n">
        <f aca="false">D6*I10</f>
        <v>5880</v>
      </c>
      <c r="J6" s="406"/>
      <c r="K6" s="382" t="n">
        <f aca="false">SUM(F6:I6)</f>
        <v>40931.6902495435</v>
      </c>
      <c r="L6" s="406"/>
      <c r="M6" s="409" t="n">
        <v>117000</v>
      </c>
      <c r="O6" s="410" t="n">
        <f aca="false">M6-K6</f>
        <v>76068.3097504565</v>
      </c>
      <c r="P6" s="382" t="n">
        <f aca="false">O6/D6</f>
        <v>90.5575116076863</v>
      </c>
      <c r="Q6" s="1" t="s">
        <v>944</v>
      </c>
    </row>
    <row r="7" customFormat="false" ht="15" hidden="false" customHeight="true" outlineLevel="0" collapsed="false">
      <c r="B7" s="411" t="s">
        <v>945</v>
      </c>
      <c r="C7" s="405" t="n">
        <f aca="false">D7/D11</f>
        <v>0.246500304321363</v>
      </c>
      <c r="D7" s="411" t="n">
        <v>810</v>
      </c>
      <c r="E7" s="407"/>
      <c r="F7" s="412" t="n">
        <f aca="false">F10*D7</f>
        <v>24907.3456908095</v>
      </c>
      <c r="G7" s="413" t="n">
        <f aca="false">G10*D7</f>
        <v>1602.49847839318</v>
      </c>
      <c r="H7" s="413" t="n">
        <f aca="false">D7*H10</f>
        <v>7290</v>
      </c>
      <c r="I7" s="413" t="n">
        <f aca="false">D7*I10</f>
        <v>5670</v>
      </c>
      <c r="J7" s="411"/>
      <c r="K7" s="382" t="n">
        <f aca="false">SUM(F7:I7)</f>
        <v>39469.8441692026</v>
      </c>
      <c r="L7" s="411"/>
      <c r="M7" s="409" t="n">
        <v>90000</v>
      </c>
      <c r="O7" s="410" t="n">
        <f aca="false">M7-K7</f>
        <v>50530.1558307974</v>
      </c>
      <c r="P7" s="382" t="n">
        <f aca="false">O7/D7</f>
        <v>62.3829084330832</v>
      </c>
      <c r="Q7" s="1" t="s">
        <v>946</v>
      </c>
    </row>
    <row r="8" customFormat="false" ht="15" hidden="false" customHeight="true" outlineLevel="0" collapsed="false">
      <c r="B8" s="411" t="s">
        <v>947</v>
      </c>
      <c r="C8" s="405" t="n">
        <f aca="false">D8/D11</f>
        <v>0.235849056603774</v>
      </c>
      <c r="D8" s="411" t="n">
        <v>775</v>
      </c>
      <c r="E8" s="407"/>
      <c r="F8" s="412" t="n">
        <f aca="false">F10*D8</f>
        <v>23831.1023584905</v>
      </c>
      <c r="G8" s="413" t="n">
        <f aca="false">G10*D8</f>
        <v>1533.25471698113</v>
      </c>
      <c r="H8" s="413" t="n">
        <f aca="false">D8*H10</f>
        <v>6975</v>
      </c>
      <c r="I8" s="413" t="n">
        <f aca="false">D8*I10</f>
        <v>5425</v>
      </c>
      <c r="J8" s="411"/>
      <c r="K8" s="382" t="n">
        <f aca="false">SUM(F8:I8)</f>
        <v>37764.3570754717</v>
      </c>
      <c r="L8" s="411"/>
      <c r="M8" s="413" t="n">
        <f aca="false">496466/5</f>
        <v>99293.2</v>
      </c>
      <c r="O8" s="410" t="n">
        <f aca="false">M8-K8</f>
        <v>61528.8429245283</v>
      </c>
      <c r="P8" s="382" t="n">
        <f aca="false">O8/D8</f>
        <v>79.3920553864882</v>
      </c>
      <c r="Q8" s="1" t="s">
        <v>948</v>
      </c>
    </row>
    <row r="10" customFormat="false" ht="13.5" hidden="false" customHeight="true" outlineLevel="0" collapsed="false">
      <c r="B10" s="414"/>
      <c r="C10" s="415" t="n">
        <f aca="false">SUM(C5:C9)</f>
        <v>1</v>
      </c>
      <c r="D10" s="416" t="n">
        <f aca="false">SUM(D5:D9)</f>
        <v>3286</v>
      </c>
      <c r="E10" s="417"/>
      <c r="F10" s="418" t="n">
        <v>30.7498094948265</v>
      </c>
      <c r="G10" s="419" t="n">
        <v>1.97839318320146</v>
      </c>
      <c r="H10" s="420" t="n">
        <v>9</v>
      </c>
      <c r="I10" s="420" t="n">
        <v>7</v>
      </c>
      <c r="K10" s="294" t="n">
        <f aca="false">SUM(F10:I10)</f>
        <v>48.728202678028</v>
      </c>
      <c r="M10" s="421" t="n">
        <f aca="false">SUM(M5:M9)</f>
        <v>420293.2</v>
      </c>
      <c r="O10" s="421" t="n">
        <f aca="false">SUM(O5:O9)</f>
        <v>260172.326</v>
      </c>
    </row>
    <row r="11" customFormat="false" ht="15" hidden="false" customHeight="true" outlineLevel="0" collapsed="false">
      <c r="D11" s="289" t="n">
        <f aca="false">SUM(D4:D8)</f>
        <v>3286</v>
      </c>
      <c r="E11" s="422"/>
      <c r="F11" s="422" t="n">
        <f aca="false">SUM(F4:F9)</f>
        <v>101043.874</v>
      </c>
      <c r="G11" s="422" t="n">
        <f aca="false">SUM(G5:G9)</f>
        <v>6501</v>
      </c>
      <c r="H11" s="422" t="n">
        <f aca="false">SUM(H4:H9)</f>
        <v>29574</v>
      </c>
      <c r="I11" s="422" t="n">
        <f aca="false">SUM(I4:I9)</f>
        <v>23002</v>
      </c>
      <c r="K11" s="292" t="n">
        <f aca="false">SUM(F11:I11)</f>
        <v>160120.874</v>
      </c>
    </row>
    <row r="12" customFormat="false" ht="13.5" hidden="false" customHeight="true" outlineLevel="0" collapsed="false"/>
    <row r="13" customFormat="false" ht="12.75" hidden="false" customHeight="false" outlineLevel="0" collapsed="false">
      <c r="X13" s="16"/>
    </row>
    <row r="14" customFormat="false" ht="12.75" hidden="false" customHeight="false" outlineLevel="0" collapsed="false">
      <c r="R14" s="423"/>
    </row>
    <row r="15" customFormat="false" ht="12.75" hidden="false" customHeight="false" outlineLevel="0" collapsed="false">
      <c r="R15" s="423"/>
    </row>
    <row r="16" customFormat="false" ht="12.75" hidden="false" customHeight="false" outlineLevel="0" collapsed="false">
      <c r="B16" s="424"/>
      <c r="C16" s="425"/>
      <c r="D16" s="425"/>
      <c r="E16" s="425"/>
      <c r="F16" s="425"/>
      <c r="G16" s="425"/>
      <c r="H16" s="426"/>
      <c r="R16" s="423"/>
    </row>
    <row r="17" customFormat="false" ht="12.75" hidden="false" customHeight="false" outlineLevel="0" collapsed="false">
      <c r="B17" s="427"/>
      <c r="C17" s="72" t="s">
        <v>949</v>
      </c>
      <c r="G17" s="3" t="s">
        <v>950</v>
      </c>
      <c r="H17" s="337"/>
      <c r="R17" s="423"/>
    </row>
    <row r="18" customFormat="false" ht="12.75" hidden="false" customHeight="false" outlineLevel="0" collapsed="false">
      <c r="B18" s="427"/>
      <c r="H18" s="337"/>
      <c r="N18" s="3" t="s">
        <v>951</v>
      </c>
      <c r="R18" s="423"/>
    </row>
    <row r="19" customFormat="false" ht="12.75" hidden="false" customHeight="false" outlineLevel="0" collapsed="false">
      <c r="B19" s="427"/>
      <c r="C19" s="1" t="n">
        <v>480</v>
      </c>
      <c r="E19" s="428" t="n">
        <f aca="false">SUM(G19-C19)/G19</f>
        <v>0.283582089552239</v>
      </c>
      <c r="G19" s="1" t="n">
        <v>670</v>
      </c>
      <c r="H19" s="337"/>
      <c r="L19" s="423" t="n">
        <v>6760</v>
      </c>
      <c r="M19" s="421" t="n">
        <f aca="false">L19/12</f>
        <v>563.333333333333</v>
      </c>
      <c r="N19" s="421" t="n">
        <f aca="false">M19*3</f>
        <v>1690</v>
      </c>
      <c r="R19" s="423"/>
    </row>
    <row r="20" customFormat="false" ht="12.75" hidden="false" customHeight="false" outlineLevel="0" collapsed="false">
      <c r="B20" s="427"/>
      <c r="C20" s="429" t="n">
        <f aca="false">C23/C19</f>
        <v>57</v>
      </c>
      <c r="G20" s="1" t="n">
        <v>62.5</v>
      </c>
      <c r="H20" s="337"/>
      <c r="N20" s="421" t="n">
        <f aca="false">N19/2</f>
        <v>845</v>
      </c>
      <c r="R20" s="423"/>
    </row>
    <row r="21" customFormat="false" ht="12.75" hidden="false" customHeight="false" outlineLevel="0" collapsed="false">
      <c r="B21" s="427"/>
      <c r="H21" s="337"/>
      <c r="R21" s="423"/>
    </row>
    <row r="22" customFormat="false" ht="12.75" hidden="false" customHeight="false" outlineLevel="0" collapsed="false">
      <c r="B22" s="427" t="n">
        <v>1</v>
      </c>
      <c r="C22" s="423" t="n">
        <f aca="false">2280*8</f>
        <v>18240</v>
      </c>
      <c r="D22" s="3" t="s">
        <v>952</v>
      </c>
      <c r="F22" s="1" t="n">
        <v>1</v>
      </c>
      <c r="G22" s="423" t="n">
        <f aca="false">G23/12*10</f>
        <v>34895.8333333333</v>
      </c>
      <c r="H22" s="430" t="s">
        <v>953</v>
      </c>
      <c r="R22" s="423"/>
      <c r="W22" s="3"/>
    </row>
    <row r="23" customFormat="false" ht="12.75" hidden="false" customHeight="false" outlineLevel="0" collapsed="false">
      <c r="B23" s="427" t="n">
        <v>2</v>
      </c>
      <c r="C23" s="423" t="n">
        <v>27360</v>
      </c>
      <c r="F23" s="1" t="n">
        <v>2</v>
      </c>
      <c r="G23" s="423" t="n">
        <f aca="false">G19*G20</f>
        <v>41875</v>
      </c>
      <c r="H23" s="337"/>
      <c r="R23" s="423"/>
      <c r="S23" s="429"/>
      <c r="U23" s="293"/>
    </row>
    <row r="24" customFormat="false" ht="12.75" hidden="false" customHeight="false" outlineLevel="0" collapsed="false">
      <c r="B24" s="427" t="n">
        <v>3</v>
      </c>
      <c r="C24" s="423" t="n">
        <v>27360</v>
      </c>
      <c r="F24" s="1" t="n">
        <v>3</v>
      </c>
      <c r="G24" s="423" t="n">
        <f aca="false">G23</f>
        <v>41875</v>
      </c>
      <c r="H24" s="337"/>
      <c r="R24" s="423"/>
      <c r="S24" s="431"/>
      <c r="T24" s="432"/>
      <c r="U24" s="16"/>
      <c r="W24" s="423"/>
      <c r="X24" s="61"/>
    </row>
    <row r="25" customFormat="false" ht="12.75" hidden="false" customHeight="false" outlineLevel="0" collapsed="false">
      <c r="B25" s="427" t="n">
        <v>4</v>
      </c>
      <c r="C25" s="423" t="n">
        <f aca="false">2280*11</f>
        <v>25080</v>
      </c>
      <c r="F25" s="1" t="n">
        <v>4</v>
      </c>
      <c r="G25" s="423" t="n">
        <f aca="false">G24/12*10</f>
        <v>34895.8333333333</v>
      </c>
      <c r="H25" s="430" t="s">
        <v>953</v>
      </c>
      <c r="R25" s="423"/>
      <c r="W25" s="423"/>
    </row>
    <row r="26" customFormat="false" ht="12.75" hidden="false" customHeight="false" outlineLevel="0" collapsed="false">
      <c r="B26" s="427" t="n">
        <v>5</v>
      </c>
      <c r="C26" s="423" t="n">
        <v>27360</v>
      </c>
      <c r="F26" s="1" t="n">
        <v>5</v>
      </c>
      <c r="G26" s="423" t="n">
        <f aca="false">G24</f>
        <v>41875</v>
      </c>
      <c r="H26" s="337"/>
      <c r="R26" s="423"/>
    </row>
    <row r="27" customFormat="false" ht="12.75" hidden="false" customHeight="false" outlineLevel="0" collapsed="false">
      <c r="B27" s="427"/>
      <c r="H27" s="337"/>
      <c r="M27" s="3" t="s">
        <v>954</v>
      </c>
      <c r="R27" s="423"/>
    </row>
    <row r="28" customFormat="false" ht="12.75" hidden="false" customHeight="false" outlineLevel="0" collapsed="false">
      <c r="B28" s="427"/>
      <c r="C28" s="429" t="n">
        <f aca="false">SUM(C22:C27)</f>
        <v>125400</v>
      </c>
      <c r="G28" s="429" t="n">
        <f aca="false">SUM(G22:G27)</f>
        <v>195416.666666667</v>
      </c>
      <c r="H28" s="337"/>
      <c r="M28" s="3" t="s">
        <v>955</v>
      </c>
      <c r="N28" s="433" t="n">
        <f aca="false">M30/12</f>
        <v>6237.66666666667</v>
      </c>
      <c r="P28" s="3"/>
      <c r="R28" s="423"/>
      <c r="S28" s="429"/>
      <c r="T28" s="434"/>
      <c r="U28" s="293"/>
    </row>
    <row r="29" customFormat="false" ht="12.75" hidden="false" customHeight="false" outlineLevel="0" collapsed="false">
      <c r="B29" s="427"/>
      <c r="E29" s="428" t="n">
        <f aca="false">D30/G28</f>
        <v>0.358294243070363</v>
      </c>
      <c r="H29" s="337"/>
      <c r="R29" s="435"/>
    </row>
    <row r="30" customFormat="false" ht="12.75" hidden="false" customHeight="false" outlineLevel="0" collapsed="false">
      <c r="B30" s="427"/>
      <c r="D30" s="429" t="n">
        <f aca="false">G28-C28</f>
        <v>70016.6666666667</v>
      </c>
      <c r="G30" s="421" t="n">
        <f aca="false">SUM(G22:G26)/5/G19</f>
        <v>58.3333333333333</v>
      </c>
      <c r="H30" s="337"/>
      <c r="L30" s="3" t="s">
        <v>956</v>
      </c>
      <c r="M30" s="289" t="n">
        <v>74852</v>
      </c>
      <c r="N30" s="289" t="n">
        <v>72100</v>
      </c>
      <c r="O30" s="436" t="n">
        <f aca="false">M30-N30</f>
        <v>2752</v>
      </c>
      <c r="P30" s="437"/>
      <c r="R30" s="423"/>
      <c r="S30" s="3"/>
    </row>
    <row r="31" customFormat="false" ht="12.75" hidden="false" customHeight="false" outlineLevel="0" collapsed="false">
      <c r="B31" s="427"/>
      <c r="H31" s="337"/>
      <c r="L31" s="3" t="s">
        <v>957</v>
      </c>
      <c r="M31" s="289" t="n">
        <v>26000</v>
      </c>
      <c r="N31" s="289" t="n">
        <v>25950</v>
      </c>
      <c r="O31" s="436" t="n">
        <f aca="false">M31-N31</f>
        <v>50</v>
      </c>
      <c r="P31" s="437"/>
      <c r="R31" s="423"/>
    </row>
    <row r="32" customFormat="false" ht="12.75" hidden="false" customHeight="false" outlineLevel="0" collapsed="false">
      <c r="B32" s="427"/>
      <c r="H32" s="337"/>
      <c r="L32" s="3" t="s">
        <v>958</v>
      </c>
      <c r="M32" s="289" t="n">
        <v>11000</v>
      </c>
      <c r="N32" s="289" t="n">
        <v>10815</v>
      </c>
      <c r="O32" s="436" t="n">
        <f aca="false">M32-N32</f>
        <v>185</v>
      </c>
      <c r="P32" s="437"/>
      <c r="R32" s="423"/>
    </row>
    <row r="33" customFormat="false" ht="12.75" hidden="false" customHeight="false" outlineLevel="0" collapsed="false">
      <c r="B33" s="427"/>
      <c r="H33" s="337"/>
      <c r="L33" s="3" t="s">
        <v>959</v>
      </c>
      <c r="M33" s="289" t="n">
        <f aca="false">1074*2</f>
        <v>2148</v>
      </c>
      <c r="N33" s="289" t="n">
        <v>2000</v>
      </c>
      <c r="O33" s="436" t="n">
        <f aca="false">M33-N33</f>
        <v>148</v>
      </c>
      <c r="P33" s="437"/>
      <c r="R33" s="423"/>
      <c r="X33" s="429"/>
    </row>
    <row r="34" customFormat="false" ht="12.75" hidden="false" customHeight="false" outlineLevel="0" collapsed="false">
      <c r="B34" s="438"/>
      <c r="C34" s="340"/>
      <c r="D34" s="340"/>
      <c r="E34" s="340"/>
      <c r="F34" s="340"/>
      <c r="G34" s="340"/>
      <c r="H34" s="439"/>
      <c r="M34" s="289" t="n">
        <f aca="false">SUM(M30:M33)</f>
        <v>114000</v>
      </c>
      <c r="N34" s="437" t="n">
        <f aca="false">SUM(N30:N33)</f>
        <v>110865</v>
      </c>
      <c r="P34" s="437"/>
      <c r="R34" s="440"/>
    </row>
    <row r="35" customFormat="false" ht="12.75" hidden="false" customHeight="false" outlineLevel="0" collapsed="false">
      <c r="R35" s="429"/>
      <c r="S35" s="3"/>
      <c r="T35" s="3"/>
      <c r="U35" s="421"/>
      <c r="V35" s="293"/>
    </row>
    <row r="36" customFormat="false" ht="12.75" hidden="false" customHeight="false" outlineLevel="0" collapsed="false">
      <c r="M36" s="432" t="n">
        <f aca="false">M34/12</f>
        <v>9500</v>
      </c>
      <c r="N36" s="1" t="n">
        <f aca="false">M34/1074</f>
        <v>106.145251396648</v>
      </c>
      <c r="P36" s="432"/>
      <c r="R36" s="440"/>
      <c r="S36" s="440"/>
      <c r="T36" s="293"/>
    </row>
    <row r="38" customFormat="false" ht="12.75" hidden="false" customHeight="false" outlineLevel="0" collapsed="false">
      <c r="N38" s="436" t="n">
        <f aca="false">SUM((M30/12)*3)*1.2</f>
        <v>22455.6</v>
      </c>
    </row>
    <row r="44" customFormat="false" ht="12.75" hidden="false" customHeight="false" outlineLevel="0" collapsed="false">
      <c r="D44" s="293" t="n">
        <f aca="false">SUM(D48-D45)/D48</f>
        <v>0.0526315789473684</v>
      </c>
      <c r="Q44" s="423"/>
      <c r="R44" s="441"/>
      <c r="S44" s="442"/>
      <c r="W44" s="423"/>
      <c r="X44" s="441"/>
      <c r="Y44" s="442"/>
    </row>
    <row r="45" customFormat="false" ht="12.75" hidden="false" customHeight="false" outlineLevel="0" collapsed="false">
      <c r="D45" s="1" t="n">
        <v>1350</v>
      </c>
      <c r="Q45" s="423"/>
      <c r="R45" s="441"/>
      <c r="S45" s="442"/>
      <c r="W45" s="423"/>
      <c r="X45" s="441"/>
      <c r="Y45" s="442"/>
    </row>
    <row r="46" customFormat="false" ht="12.75" hidden="false" customHeight="false" outlineLevel="0" collapsed="false">
      <c r="B46" s="3" t="s">
        <v>960</v>
      </c>
      <c r="D46" s="3" t="s">
        <v>961</v>
      </c>
      <c r="E46" s="3" t="s">
        <v>962</v>
      </c>
      <c r="G46" s="3" t="s">
        <v>963</v>
      </c>
      <c r="I46" s="3" t="s">
        <v>964</v>
      </c>
      <c r="K46" s="3" t="s">
        <v>965</v>
      </c>
      <c r="L46" s="3" t="s">
        <v>966</v>
      </c>
      <c r="M46" s="3" t="s">
        <v>967</v>
      </c>
      <c r="Q46" s="423"/>
      <c r="R46" s="441"/>
      <c r="S46" s="442"/>
      <c r="W46" s="423"/>
      <c r="X46" s="441"/>
      <c r="Y46" s="442"/>
    </row>
    <row r="47" customFormat="false" ht="12.75" hidden="false" customHeight="false" outlineLevel="0" collapsed="false">
      <c r="D47" s="3" t="s">
        <v>968</v>
      </c>
      <c r="H47" s="3" t="s">
        <v>968</v>
      </c>
      <c r="Q47" s="423"/>
      <c r="R47" s="441"/>
      <c r="S47" s="442"/>
      <c r="W47" s="423"/>
      <c r="X47" s="441"/>
      <c r="Y47" s="442"/>
    </row>
    <row r="48" customFormat="false" ht="12.75" hidden="false" customHeight="false" outlineLevel="0" collapsed="false">
      <c r="D48" s="289" t="n">
        <v>1425</v>
      </c>
      <c r="H48" s="289" t="n">
        <v>1425</v>
      </c>
      <c r="I48" s="289"/>
      <c r="J48" s="289"/>
      <c r="K48" s="289"/>
      <c r="L48" s="289"/>
      <c r="M48" s="289" t="n">
        <v>1425</v>
      </c>
      <c r="Q48" s="423"/>
      <c r="R48" s="441"/>
      <c r="S48" s="442"/>
      <c r="W48" s="423"/>
      <c r="X48" s="441"/>
      <c r="Y48" s="442"/>
    </row>
    <row r="49" customFormat="false" ht="12.75" hidden="false" customHeight="false" outlineLevel="0" collapsed="false">
      <c r="B49" s="1" t="s">
        <v>969</v>
      </c>
      <c r="C49" s="423"/>
      <c r="D49" s="432" t="n">
        <f aca="false" t="array" ref="D49:D49">SUM(((D52:D55)/4)/D48)</f>
        <v>57.0175438596491</v>
      </c>
      <c r="F49" s="1" t="s">
        <v>969</v>
      </c>
      <c r="G49" s="423"/>
      <c r="H49" s="432" t="n">
        <f aca="false" t="array" ref="H49:H49">SUM(((H52:H55)/4)/H48)</f>
        <v>57.719298245614</v>
      </c>
      <c r="K49" s="1" t="s">
        <v>969</v>
      </c>
      <c r="L49" s="423"/>
      <c r="M49" s="432" t="n">
        <f aca="false" t="array" ref="M49:M49">SUM(((M52:M55)/4)/M48)</f>
        <v>58.3333333333333</v>
      </c>
      <c r="Q49" s="423"/>
      <c r="R49" s="441"/>
      <c r="S49" s="442"/>
      <c r="W49" s="423"/>
      <c r="X49" s="441"/>
      <c r="Y49" s="442"/>
    </row>
    <row r="50" customFormat="false" ht="12.75" hidden="false" customHeight="false" outlineLevel="0" collapsed="false">
      <c r="Q50" s="423"/>
      <c r="R50" s="441"/>
      <c r="S50" s="442"/>
      <c r="W50" s="423"/>
      <c r="X50" s="441"/>
      <c r="Y50" s="442"/>
    </row>
    <row r="51" customFormat="false" ht="12.75" hidden="false" customHeight="false" outlineLevel="0" collapsed="false">
      <c r="B51" s="1" t="n">
        <v>1</v>
      </c>
      <c r="C51" s="423"/>
      <c r="D51" s="423" t="n">
        <f aca="false">75000/12*2</f>
        <v>12500</v>
      </c>
      <c r="F51" s="1" t="n">
        <v>1</v>
      </c>
      <c r="G51" s="423"/>
      <c r="H51" s="423" t="n">
        <f aca="false">78000/12*4</f>
        <v>26000</v>
      </c>
      <c r="K51" s="1" t="n">
        <v>1</v>
      </c>
      <c r="L51" s="423"/>
      <c r="M51" s="423" t="n">
        <f aca="false">80000/2</f>
        <v>40000</v>
      </c>
      <c r="Q51" s="423"/>
      <c r="R51" s="441"/>
      <c r="S51" s="442"/>
      <c r="T51" s="429"/>
      <c r="W51" s="423"/>
      <c r="X51" s="441"/>
      <c r="Y51" s="442"/>
      <c r="Z51" s="429" t="n">
        <f aca="false">SUM(W44:W55)</f>
        <v>0</v>
      </c>
      <c r="AB51" s="429"/>
    </row>
    <row r="52" customFormat="false" ht="12.75" hidden="false" customHeight="false" outlineLevel="0" collapsed="false">
      <c r="B52" s="1" t="n">
        <v>2</v>
      </c>
      <c r="D52" s="423" t="n">
        <v>77500</v>
      </c>
      <c r="F52" s="1" t="n">
        <v>2</v>
      </c>
      <c r="H52" s="423" t="n">
        <f aca="false">79000</f>
        <v>79000</v>
      </c>
      <c r="K52" s="1" t="n">
        <v>2</v>
      </c>
      <c r="M52" s="423" t="n">
        <f aca="false">80000+1250</f>
        <v>81250</v>
      </c>
      <c r="Q52" s="423"/>
      <c r="R52" s="441"/>
      <c r="S52" s="442"/>
      <c r="W52" s="423"/>
      <c r="X52" s="441"/>
      <c r="Y52" s="442"/>
    </row>
    <row r="53" customFormat="false" ht="12.75" hidden="false" customHeight="false" outlineLevel="0" collapsed="false">
      <c r="B53" s="1" t="n">
        <v>3</v>
      </c>
      <c r="D53" s="429" t="n">
        <v>80000</v>
      </c>
      <c r="F53" s="1" t="n">
        <v>3</v>
      </c>
      <c r="H53" s="429" t="n">
        <v>81500</v>
      </c>
      <c r="K53" s="1" t="n">
        <v>3</v>
      </c>
      <c r="M53" s="423" t="n">
        <f aca="false">M52+1250</f>
        <v>82500</v>
      </c>
      <c r="Q53" s="423"/>
      <c r="R53" s="441"/>
      <c r="S53" s="442"/>
      <c r="W53" s="423"/>
      <c r="X53" s="441"/>
      <c r="Y53" s="442"/>
      <c r="AB53" s="429"/>
    </row>
    <row r="54" customFormat="false" ht="12.75" hidden="false" customHeight="false" outlineLevel="0" collapsed="false">
      <c r="B54" s="1" t="n">
        <v>4</v>
      </c>
      <c r="D54" s="429" t="n">
        <f aca="false">+D53+2500</f>
        <v>82500</v>
      </c>
      <c r="F54" s="1" t="n">
        <v>4</v>
      </c>
      <c r="H54" s="429" t="n">
        <f aca="false">+H53+1500</f>
        <v>83000</v>
      </c>
      <c r="J54" s="421"/>
      <c r="K54" s="1" t="n">
        <v>4</v>
      </c>
      <c r="M54" s="423" t="n">
        <f aca="false">M53+1250</f>
        <v>83750</v>
      </c>
      <c r="Q54" s="423"/>
      <c r="R54" s="441"/>
      <c r="S54" s="442"/>
      <c r="W54" s="423"/>
      <c r="X54" s="441"/>
      <c r="Y54" s="442"/>
      <c r="AB54" s="429"/>
    </row>
    <row r="55" customFormat="false" ht="13.5" hidden="false" customHeight="true" outlineLevel="0" collapsed="false">
      <c r="B55" s="1" t="n">
        <v>5</v>
      </c>
      <c r="D55" s="429" t="n">
        <f aca="false">+D54+2500</f>
        <v>85000</v>
      </c>
      <c r="F55" s="404" t="n">
        <v>5</v>
      </c>
      <c r="G55" s="404"/>
      <c r="H55" s="443" t="n">
        <f aca="false">+H54+2500</f>
        <v>85500</v>
      </c>
      <c r="I55" s="404"/>
      <c r="J55" s="404"/>
      <c r="K55" s="404" t="n">
        <v>5</v>
      </c>
      <c r="L55" s="404"/>
      <c r="M55" s="444" t="n">
        <f aca="false">M54+1250</f>
        <v>85000</v>
      </c>
      <c r="N55" s="404"/>
      <c r="Q55" s="423"/>
      <c r="R55" s="441"/>
      <c r="S55" s="442"/>
      <c r="W55" s="423"/>
      <c r="X55" s="441"/>
      <c r="Y55" s="442"/>
      <c r="AB55" s="429"/>
    </row>
    <row r="56" customFormat="false" ht="13.5" hidden="false" customHeight="true" outlineLevel="0" collapsed="false">
      <c r="D56" s="423"/>
      <c r="F56" s="1" t="n">
        <v>6</v>
      </c>
      <c r="G56" s="423"/>
      <c r="H56" s="423" t="n">
        <f aca="false">85000/12*8</f>
        <v>56666.6666666667</v>
      </c>
      <c r="K56" s="1" t="n">
        <v>6</v>
      </c>
      <c r="L56" s="423"/>
      <c r="M56" s="423" t="n">
        <f aca="false">85000/2</f>
        <v>42500</v>
      </c>
      <c r="Q56" s="423"/>
      <c r="R56" s="441"/>
      <c r="S56" s="442"/>
      <c r="W56" s="423"/>
      <c r="X56" s="441"/>
      <c r="Y56" s="442"/>
      <c r="AB56" s="429"/>
    </row>
    <row r="57" customFormat="false" ht="12.75" hidden="false" customHeight="false" outlineLevel="0" collapsed="false">
      <c r="D57" s="423"/>
      <c r="F57" s="1" t="n">
        <v>7</v>
      </c>
      <c r="H57" s="423" t="n">
        <f aca="false">85000</f>
        <v>85000</v>
      </c>
      <c r="K57" s="1" t="n">
        <v>7</v>
      </c>
      <c r="M57" s="423" t="n">
        <f aca="false">85000</f>
        <v>85000</v>
      </c>
      <c r="Q57" s="423"/>
      <c r="R57" s="441"/>
      <c r="S57" s="442"/>
      <c r="W57" s="423"/>
      <c r="X57" s="441"/>
      <c r="Y57" s="442"/>
      <c r="AB57" s="429"/>
    </row>
    <row r="58" customFormat="false" ht="12.75" hidden="false" customHeight="false" outlineLevel="0" collapsed="false">
      <c r="D58" s="292" t="n">
        <f aca="false">D51+D52+D53+D54+D55</f>
        <v>337500</v>
      </c>
      <c r="F58" s="1" t="n">
        <v>8</v>
      </c>
      <c r="H58" s="423" t="n">
        <f aca="false">85000</f>
        <v>85000</v>
      </c>
      <c r="K58" s="1" t="n">
        <v>8</v>
      </c>
      <c r="M58" s="423" t="n">
        <f aca="false">85000</f>
        <v>85000</v>
      </c>
      <c r="Q58" s="423"/>
      <c r="R58" s="441"/>
      <c r="S58" s="442"/>
      <c r="W58" s="423"/>
      <c r="X58" s="441"/>
      <c r="Y58" s="442"/>
      <c r="AB58" s="429"/>
    </row>
    <row r="59" customFormat="false" ht="12.75" hidden="false" customHeight="false" outlineLevel="0" collapsed="false">
      <c r="D59" s="292" t="n">
        <f aca="false">D58/5</f>
        <v>67500</v>
      </c>
      <c r="F59" s="1" t="n">
        <v>9</v>
      </c>
      <c r="H59" s="423" t="n">
        <f aca="false">85000</f>
        <v>85000</v>
      </c>
      <c r="J59" s="421"/>
      <c r="K59" s="1" t="n">
        <v>9</v>
      </c>
      <c r="M59" s="423" t="n">
        <f aca="false">85000</f>
        <v>85000</v>
      </c>
      <c r="Q59" s="423"/>
      <c r="R59" s="441"/>
      <c r="S59" s="442"/>
      <c r="W59" s="423"/>
      <c r="X59" s="441"/>
      <c r="Y59" s="442"/>
      <c r="AB59" s="429"/>
    </row>
    <row r="60" customFormat="false" ht="12.75" hidden="false" customHeight="false" outlineLevel="0" collapsed="false">
      <c r="D60" s="423" t="n">
        <f aca="false">D59/D48</f>
        <v>47.3684210526316</v>
      </c>
      <c r="F60" s="1" t="n">
        <v>10</v>
      </c>
      <c r="H60" s="423" t="n">
        <f aca="false">85000</f>
        <v>85000</v>
      </c>
      <c r="K60" s="1" t="n">
        <v>10</v>
      </c>
      <c r="M60" s="423" t="n">
        <f aca="false">85000</f>
        <v>85000</v>
      </c>
      <c r="Q60" s="423"/>
      <c r="R60" s="441"/>
      <c r="S60" s="442"/>
      <c r="W60" s="423"/>
      <c r="X60" s="441"/>
      <c r="Y60" s="442"/>
      <c r="AB60" s="429"/>
    </row>
    <row r="61" customFormat="false" ht="12.75" hidden="false" customHeight="false" outlineLevel="0" collapsed="false">
      <c r="Q61" s="423"/>
      <c r="R61" s="441"/>
      <c r="S61" s="442"/>
      <c r="W61" s="423"/>
      <c r="X61" s="441"/>
      <c r="Y61" s="442"/>
      <c r="AB61" s="429"/>
    </row>
    <row r="62" customFormat="false" ht="15" hidden="false" customHeight="true" outlineLevel="0" collapsed="false">
      <c r="C62" s="429"/>
      <c r="D62" s="445"/>
      <c r="Q62" s="423"/>
      <c r="R62" s="441"/>
      <c r="S62" s="442"/>
      <c r="T62" s="429"/>
      <c r="W62" s="423"/>
      <c r="X62" s="441"/>
      <c r="Y62" s="442"/>
      <c r="Z62" s="429" t="n">
        <f aca="false">SUM(W56:W67)</f>
        <v>0</v>
      </c>
      <c r="AB62" s="429"/>
    </row>
    <row r="63" customFormat="false" ht="12.75" hidden="false" customHeight="false" outlineLevel="0" collapsed="false">
      <c r="Q63" s="423"/>
      <c r="R63" s="441"/>
      <c r="S63" s="442"/>
      <c r="W63" s="423"/>
      <c r="X63" s="441"/>
      <c r="Y63" s="442"/>
      <c r="AB63" s="429"/>
    </row>
    <row r="64" customFormat="false" ht="12.75" hidden="false" customHeight="false" outlineLevel="0" collapsed="false">
      <c r="D64" s="382"/>
      <c r="Q64" s="423"/>
      <c r="R64" s="441"/>
      <c r="S64" s="442"/>
      <c r="W64" s="423"/>
      <c r="X64" s="441"/>
      <c r="Y64" s="442"/>
      <c r="AB64" s="429"/>
    </row>
    <row r="65" customFormat="false" ht="12.75" hidden="false" customHeight="false" outlineLevel="0" collapsed="false">
      <c r="C65" s="421"/>
      <c r="D65" s="421"/>
      <c r="H65" s="423"/>
      <c r="M65" s="423"/>
      <c r="Q65" s="423"/>
      <c r="R65" s="441"/>
      <c r="S65" s="442"/>
      <c r="W65" s="423"/>
      <c r="X65" s="441"/>
      <c r="Y65" s="442"/>
      <c r="AB65" s="429"/>
    </row>
    <row r="66" customFormat="false" ht="12.75" hidden="false" customHeight="false" outlineLevel="0" collapsed="false">
      <c r="C66" s="446" t="s">
        <v>970</v>
      </c>
      <c r="D66" s="1" t="n">
        <v>240</v>
      </c>
      <c r="E66" s="423" t="n">
        <f aca="false">E67*0.95</f>
        <v>46.93</v>
      </c>
      <c r="F66" s="423" t="n">
        <f aca="false">E66*D66</f>
        <v>11263.2</v>
      </c>
      <c r="H66" s="423" t="n">
        <f aca="false">SUM(H51:H65)</f>
        <v>751666.666666667</v>
      </c>
      <c r="M66" s="423" t="n">
        <f aca="false">SUM(M51:M65)</f>
        <v>755000</v>
      </c>
      <c r="Q66" s="423"/>
      <c r="R66" s="441"/>
      <c r="S66" s="442"/>
      <c r="W66" s="423"/>
      <c r="X66" s="441"/>
      <c r="Y66" s="442"/>
      <c r="AB66" s="429"/>
    </row>
    <row r="67" customFormat="false" ht="12.75" hidden="false" customHeight="false" outlineLevel="0" collapsed="false">
      <c r="C67" s="446" t="s">
        <v>971</v>
      </c>
      <c r="D67" s="1" t="n">
        <v>240</v>
      </c>
      <c r="E67" s="423" t="n">
        <f aca="false">E68*0.95</f>
        <v>49.4</v>
      </c>
      <c r="F67" s="423" t="n">
        <f aca="false">E67*D67</f>
        <v>11856</v>
      </c>
      <c r="H67" s="292" t="n">
        <f aca="false">H66/10</f>
        <v>75166.6666666667</v>
      </c>
      <c r="M67" s="423" t="n">
        <f aca="false">M66/10</f>
        <v>75500</v>
      </c>
      <c r="Q67" s="423"/>
      <c r="R67" s="441"/>
      <c r="S67" s="442"/>
      <c r="W67" s="423"/>
      <c r="X67" s="441"/>
      <c r="Y67" s="442"/>
      <c r="AB67" s="429"/>
    </row>
    <row r="68" customFormat="false" ht="12.75" hidden="false" customHeight="false" outlineLevel="0" collapsed="false">
      <c r="C68" s="446" t="s">
        <v>972</v>
      </c>
      <c r="D68" s="1" t="n">
        <v>240</v>
      </c>
      <c r="E68" s="423" t="n">
        <v>52</v>
      </c>
      <c r="F68" s="423" t="n">
        <f aca="false">E68*D68</f>
        <v>12480</v>
      </c>
      <c r="H68" s="447" t="n">
        <f aca="false">H67/H48</f>
        <v>52.7485380116959</v>
      </c>
      <c r="I68" s="448"/>
      <c r="J68" s="448"/>
      <c r="K68" s="448"/>
      <c r="L68" s="448"/>
      <c r="M68" s="447" t="n">
        <f aca="false">M67/M48</f>
        <v>52.9824561403509</v>
      </c>
      <c r="Q68" s="423"/>
      <c r="R68" s="441"/>
      <c r="S68" s="442"/>
      <c r="W68" s="423"/>
      <c r="X68" s="441"/>
      <c r="Y68" s="442"/>
      <c r="AB68" s="429"/>
    </row>
    <row r="69" customFormat="false" ht="12.75" hidden="false" customHeight="false" outlineLevel="0" collapsed="false">
      <c r="C69" s="446" t="s">
        <v>973</v>
      </c>
      <c r="D69" s="1" t="n">
        <v>325</v>
      </c>
      <c r="E69" s="423" t="n">
        <v>100</v>
      </c>
      <c r="F69" s="423" t="n">
        <f aca="false">E69*D69</f>
        <v>32500</v>
      </c>
      <c r="H69" s="429"/>
      <c r="M69" s="423"/>
      <c r="Q69" s="423"/>
      <c r="R69" s="441"/>
      <c r="S69" s="442"/>
      <c r="W69" s="423"/>
      <c r="X69" s="441"/>
      <c r="Y69" s="442"/>
      <c r="AB69" s="429"/>
    </row>
    <row r="70" customFormat="false" ht="12.75" hidden="false" customHeight="false" outlineLevel="0" collapsed="false">
      <c r="C70" s="446" t="s">
        <v>974</v>
      </c>
      <c r="D70" s="1" t="n">
        <v>380</v>
      </c>
      <c r="E70" s="423" t="n">
        <f aca="false">E69/2</f>
        <v>50</v>
      </c>
      <c r="F70" s="423" t="n">
        <f aca="false">E70*D70</f>
        <v>19000</v>
      </c>
      <c r="Q70" s="423"/>
      <c r="R70" s="441"/>
      <c r="S70" s="442"/>
      <c r="W70" s="423"/>
      <c r="X70" s="441"/>
      <c r="Y70" s="442"/>
      <c r="AB70" s="429"/>
    </row>
    <row r="71" customFormat="false" ht="12.75" hidden="false" customHeight="false" outlineLevel="0" collapsed="false">
      <c r="K71" s="423"/>
      <c r="Q71" s="423"/>
      <c r="R71" s="441"/>
      <c r="S71" s="442"/>
      <c r="W71" s="423"/>
      <c r="X71" s="441"/>
      <c r="Y71" s="442"/>
    </row>
    <row r="72" customFormat="false" ht="12.75" hidden="false" customHeight="false" outlineLevel="0" collapsed="false">
      <c r="D72" s="1" t="n">
        <f aca="false">SUM(D66:D71)</f>
        <v>1425</v>
      </c>
      <c r="F72" s="432" t="n">
        <f aca="false">SUM(F66:F71)</f>
        <v>87099.2</v>
      </c>
      <c r="K72" s="423"/>
      <c r="Q72" s="423"/>
      <c r="R72" s="441"/>
      <c r="S72" s="442"/>
      <c r="U72" s="429"/>
      <c r="W72" s="423"/>
      <c r="X72" s="441"/>
      <c r="Y72" s="442"/>
    </row>
    <row r="73" customFormat="false" ht="12.75" hidden="false" customHeight="false" outlineLevel="0" collapsed="false">
      <c r="K73" s="423"/>
      <c r="Q73" s="423"/>
      <c r="R73" s="441"/>
      <c r="S73" s="442"/>
      <c r="W73" s="423"/>
      <c r="X73" s="441"/>
      <c r="Y73" s="442"/>
    </row>
    <row r="74" customFormat="false" ht="12.75" hidden="false" customHeight="false" outlineLevel="0" collapsed="false">
      <c r="K74" s="423"/>
      <c r="Q74" s="423"/>
      <c r="R74" s="441"/>
      <c r="S74" s="442"/>
      <c r="W74" s="423"/>
      <c r="X74" s="441"/>
      <c r="Y74" s="442"/>
    </row>
    <row r="75" customFormat="false" ht="12.75" hidden="false" customHeight="false" outlineLevel="0" collapsed="false">
      <c r="K75" s="423"/>
      <c r="Q75" s="423"/>
      <c r="R75" s="441"/>
      <c r="S75" s="442"/>
      <c r="W75" s="423"/>
      <c r="X75" s="441"/>
      <c r="Y75" s="442"/>
    </row>
    <row r="76" customFormat="false" ht="12.75" hidden="false" customHeight="false" outlineLevel="0" collapsed="false">
      <c r="C76" s="449" t="n">
        <v>1310000</v>
      </c>
      <c r="E76" s="449" t="n">
        <f aca="false">C76*0.5</f>
        <v>655000</v>
      </c>
      <c r="F76" s="450" t="n">
        <f aca="false">E76/100*5.8</f>
        <v>37990</v>
      </c>
      <c r="G76" s="451" t="n">
        <f aca="false">F76/365</f>
        <v>104.082191780822</v>
      </c>
      <c r="Q76" s="423"/>
      <c r="R76" s="441"/>
      <c r="S76" s="442"/>
      <c r="W76" s="423"/>
      <c r="X76" s="441"/>
      <c r="Y76" s="442"/>
    </row>
    <row r="77" customFormat="false" ht="12.75" hidden="false" customHeight="false" outlineLevel="0" collapsed="false">
      <c r="Q77" s="423"/>
      <c r="R77" s="441"/>
      <c r="S77" s="442"/>
      <c r="W77" s="423"/>
      <c r="X77" s="441"/>
      <c r="Y77" s="442"/>
    </row>
    <row r="78" customFormat="false" ht="12.75" hidden="false" customHeight="false" outlineLevel="0" collapsed="false">
      <c r="H78" s="451" t="n">
        <f aca="false">G76*95</f>
        <v>9887.80821917808</v>
      </c>
      <c r="Q78" s="423"/>
      <c r="R78" s="441"/>
      <c r="S78" s="442"/>
      <c r="W78" s="423"/>
      <c r="X78" s="441"/>
      <c r="Y78" s="442"/>
    </row>
    <row r="79" customFormat="false" ht="12.75" hidden="false" customHeight="false" outlineLevel="0" collapsed="false">
      <c r="Q79" s="423"/>
      <c r="R79" s="441"/>
      <c r="S79" s="442"/>
      <c r="W79" s="423"/>
      <c r="X79" s="441"/>
      <c r="Y79" s="442"/>
    </row>
    <row r="80" customFormat="false" ht="12.75" hidden="false" customHeight="false" outlineLevel="0" collapsed="false">
      <c r="D80" s="16" t="n">
        <v>45573</v>
      </c>
      <c r="E80" s="16" t="n">
        <v>45594</v>
      </c>
      <c r="F80" s="1" t="n">
        <f aca="false">E80-D80</f>
        <v>21</v>
      </c>
      <c r="G80" s="451" t="n">
        <f aca="false">G76*F80</f>
        <v>2185.72602739726</v>
      </c>
      <c r="Q80" s="423"/>
      <c r="R80" s="441"/>
      <c r="S80" s="442"/>
      <c r="W80" s="423"/>
      <c r="X80" s="441"/>
      <c r="Y80" s="442"/>
    </row>
    <row r="81" customFormat="false" ht="12.75" hidden="false" customHeight="false" outlineLevel="0" collapsed="false">
      <c r="Q81" s="423"/>
      <c r="R81" s="441"/>
      <c r="S81" s="442"/>
      <c r="W81" s="423"/>
      <c r="X81" s="441"/>
      <c r="Y81" s="442"/>
    </row>
    <row r="82" customFormat="false" ht="12.75" hidden="false" customHeight="false" outlineLevel="0" collapsed="false">
      <c r="Q82" s="423"/>
      <c r="R82" s="441"/>
      <c r="S82" s="442"/>
      <c r="W82" s="423"/>
      <c r="X82" s="441"/>
      <c r="Y82" s="442"/>
    </row>
    <row r="83" customFormat="false" ht="12.75" hidden="false" customHeight="false" outlineLevel="0" collapsed="false">
      <c r="Q83" s="423"/>
      <c r="R83" s="441"/>
      <c r="S83" s="442"/>
      <c r="W83" s="423"/>
      <c r="X83" s="441"/>
      <c r="Y83" s="442"/>
    </row>
    <row r="84" customFormat="false" ht="12.75" hidden="false" customHeight="false" outlineLevel="0" collapsed="false">
      <c r="Q84" s="423"/>
      <c r="R84" s="441"/>
      <c r="S84" s="442"/>
      <c r="W84" s="423"/>
      <c r="X84" s="441"/>
      <c r="Y84" s="442"/>
    </row>
    <row r="85" customFormat="false" ht="12.75" hidden="false" customHeight="false" outlineLevel="0" collapsed="false">
      <c r="Q85" s="423"/>
      <c r="R85" s="441"/>
      <c r="S85" s="442"/>
      <c r="W85" s="423"/>
      <c r="X85" s="441"/>
      <c r="Y85" s="442"/>
    </row>
    <row r="86" customFormat="false" ht="12.75" hidden="false" customHeight="false" outlineLevel="0" collapsed="false">
      <c r="Q86" s="423"/>
      <c r="R86" s="441"/>
      <c r="S86" s="442"/>
      <c r="W86" s="423"/>
      <c r="X86" s="441"/>
      <c r="Y86" s="442"/>
    </row>
    <row r="87" customFormat="false" ht="12.75" hidden="false" customHeight="false" outlineLevel="0" collapsed="false">
      <c r="Q87" s="423"/>
      <c r="R87" s="441"/>
      <c r="S87" s="442"/>
      <c r="W87" s="423"/>
      <c r="X87" s="441"/>
      <c r="Y87" s="442"/>
    </row>
    <row r="88" customFormat="false" ht="12.75" hidden="false" customHeight="false" outlineLevel="0" collapsed="false">
      <c r="Q88" s="423"/>
      <c r="R88" s="441"/>
      <c r="S88" s="442"/>
      <c r="W88" s="423"/>
      <c r="X88" s="441"/>
      <c r="Y88" s="442"/>
    </row>
    <row r="89" customFormat="false" ht="12.75" hidden="false" customHeight="false" outlineLevel="0" collapsed="false">
      <c r="Q89" s="423"/>
      <c r="R89" s="441"/>
      <c r="S89" s="442"/>
      <c r="W89" s="423"/>
      <c r="X89" s="441"/>
      <c r="Y89" s="442"/>
    </row>
    <row r="90" customFormat="false" ht="12.75" hidden="false" customHeight="false" outlineLevel="0" collapsed="false">
      <c r="Q90" s="423"/>
      <c r="R90" s="441"/>
      <c r="S90" s="442"/>
      <c r="W90" s="423"/>
      <c r="X90" s="441"/>
      <c r="Y90" s="442"/>
    </row>
    <row r="91" customFormat="false" ht="12.75" hidden="false" customHeight="false" outlineLevel="0" collapsed="false">
      <c r="Q91" s="423"/>
      <c r="R91" s="441"/>
      <c r="S91" s="442"/>
      <c r="W91" s="423"/>
      <c r="X91" s="441"/>
      <c r="Y91" s="442"/>
    </row>
    <row r="92" customFormat="false" ht="12.75" hidden="false" customHeight="false" outlineLevel="0" collapsed="false">
      <c r="B92" s="1" t="s">
        <v>975</v>
      </c>
      <c r="Q92" s="423"/>
      <c r="R92" s="441"/>
      <c r="S92" s="442"/>
      <c r="W92" s="423"/>
      <c r="X92" s="441"/>
      <c r="Y92" s="442"/>
    </row>
    <row r="93" customFormat="false" ht="12.75" hidden="false" customHeight="false" outlineLevel="0" collapsed="false">
      <c r="B93" s="3" t="s">
        <v>976</v>
      </c>
      <c r="Q93" s="423"/>
      <c r="R93" s="441"/>
      <c r="S93" s="442"/>
      <c r="W93" s="423"/>
      <c r="X93" s="441"/>
      <c r="Y93" s="442"/>
    </row>
    <row r="94" customFormat="false" ht="12.75" hidden="false" customHeight="false" outlineLevel="0" collapsed="false">
      <c r="D94" s="292" t="n">
        <v>185000</v>
      </c>
      <c r="E94" s="432" t="n">
        <f aca="false">D94/$C$99</f>
        <v>55.7228915662651</v>
      </c>
      <c r="F94" s="1" t="n">
        <v>1</v>
      </c>
      <c r="G94" s="423" t="n">
        <f aca="false">175000/2</f>
        <v>87500</v>
      </c>
      <c r="H94" s="423" t="n">
        <f aca="false">175000</f>
        <v>175000</v>
      </c>
      <c r="Q94" s="423"/>
      <c r="R94" s="441"/>
      <c r="S94" s="442"/>
      <c r="W94" s="423"/>
      <c r="X94" s="441"/>
      <c r="Y94" s="442"/>
    </row>
    <row r="95" customFormat="false" ht="12.75" hidden="false" customHeight="false" outlineLevel="0" collapsed="false">
      <c r="D95" s="292" t="n">
        <v>50750</v>
      </c>
      <c r="E95" s="432" t="n">
        <f aca="false">D95/$C$99</f>
        <v>15.2861445783133</v>
      </c>
      <c r="F95" s="1" t="n">
        <v>2</v>
      </c>
      <c r="G95" s="423" t="n">
        <v>175000</v>
      </c>
      <c r="H95" s="423" t="n">
        <v>175000</v>
      </c>
      <c r="Q95" s="423"/>
      <c r="R95" s="441"/>
      <c r="S95" s="442"/>
      <c r="W95" s="423"/>
      <c r="X95" s="441"/>
      <c r="Y95" s="442"/>
    </row>
    <row r="96" customFormat="false" ht="12.75" hidden="false" customHeight="false" outlineLevel="0" collapsed="false">
      <c r="D96" s="292" t="n">
        <v>27000</v>
      </c>
      <c r="E96" s="432" t="n">
        <f aca="false">D96/$C$99</f>
        <v>8.13253012048193</v>
      </c>
      <c r="F96" s="1" t="n">
        <v>3</v>
      </c>
      <c r="G96" s="423" t="n">
        <v>175000</v>
      </c>
      <c r="H96" s="423" t="n">
        <v>175000</v>
      </c>
      <c r="Q96" s="423"/>
      <c r="R96" s="441"/>
      <c r="S96" s="442"/>
      <c r="W96" s="423"/>
      <c r="X96" s="441"/>
      <c r="Y96" s="442"/>
    </row>
    <row r="97" customFormat="false" ht="12.75" hidden="false" customHeight="false" outlineLevel="0" collapsed="false">
      <c r="C97" s="289"/>
      <c r="F97" s="1" t="n">
        <v>4</v>
      </c>
      <c r="G97" s="423" t="n">
        <v>175000</v>
      </c>
      <c r="H97" s="423" t="n">
        <v>175000</v>
      </c>
      <c r="Q97" s="423"/>
      <c r="R97" s="441"/>
      <c r="S97" s="442"/>
      <c r="W97" s="423"/>
      <c r="X97" s="441"/>
      <c r="Y97" s="442"/>
    </row>
    <row r="98" customFormat="false" ht="12.75" hidden="false" customHeight="false" outlineLevel="0" collapsed="false">
      <c r="C98" s="289"/>
      <c r="D98" s="292" t="n">
        <f aca="false">SUM(D94:D97)</f>
        <v>262750</v>
      </c>
      <c r="F98" s="1" t="n">
        <v>5</v>
      </c>
      <c r="G98" s="423" t="n">
        <v>175000</v>
      </c>
      <c r="H98" s="423" t="n">
        <v>175000</v>
      </c>
      <c r="Q98" s="423"/>
      <c r="R98" s="441"/>
      <c r="S98" s="442"/>
      <c r="W98" s="423"/>
      <c r="X98" s="441"/>
      <c r="Y98" s="442"/>
    </row>
    <row r="99" customFormat="false" ht="12.75" hidden="false" customHeight="false" outlineLevel="0" collapsed="false">
      <c r="C99" s="289" t="n">
        <v>3320</v>
      </c>
      <c r="D99" s="432" t="n">
        <f aca="false">D98/C99</f>
        <v>79.1415662650602</v>
      </c>
      <c r="Q99" s="423"/>
      <c r="R99" s="441"/>
      <c r="S99" s="442"/>
      <c r="W99" s="423"/>
      <c r="X99" s="441"/>
      <c r="Y99" s="442"/>
    </row>
    <row r="100" customFormat="false" ht="12.75" hidden="false" customHeight="false" outlineLevel="0" collapsed="false">
      <c r="C100" s="289"/>
      <c r="F100" s="432"/>
      <c r="G100" s="429" t="n">
        <f aca="false">SUM(G94:G99)</f>
        <v>787500</v>
      </c>
      <c r="H100" s="429" t="n">
        <f aca="false">SUM(H94:H99)</f>
        <v>875000</v>
      </c>
      <c r="Q100" s="423"/>
      <c r="R100" s="441"/>
      <c r="S100" s="442"/>
      <c r="W100" s="423"/>
      <c r="X100" s="441"/>
      <c r="Y100" s="442"/>
    </row>
    <row r="101" customFormat="false" ht="12.75" hidden="false" customHeight="false" outlineLevel="0" collapsed="false">
      <c r="C101" s="289"/>
      <c r="F101" s="294"/>
      <c r="G101" s="429" t="n">
        <f aca="false">G100/5</f>
        <v>157500</v>
      </c>
      <c r="H101" s="429" t="n">
        <f aca="false">H100/5</f>
        <v>175000</v>
      </c>
      <c r="Q101" s="423"/>
      <c r="R101" s="441"/>
      <c r="S101" s="442"/>
      <c r="W101" s="423"/>
      <c r="X101" s="441"/>
      <c r="Y101" s="442"/>
    </row>
    <row r="102" customFormat="false" ht="12.75" hidden="false" customHeight="false" outlineLevel="0" collapsed="false">
      <c r="F102" s="452"/>
      <c r="G102" s="432" t="n">
        <f aca="false">G101/C99</f>
        <v>47.4397590361446</v>
      </c>
      <c r="H102" s="432" t="n">
        <f aca="false">H101/C99</f>
        <v>52.710843373494</v>
      </c>
      <c r="Q102" s="423"/>
      <c r="R102" s="441"/>
      <c r="S102" s="442"/>
      <c r="T102" s="453"/>
      <c r="W102" s="423"/>
      <c r="X102" s="441"/>
      <c r="Y102" s="442"/>
    </row>
    <row r="103" customFormat="false" ht="12.75" hidden="false" customHeight="false" outlineLevel="0" collapsed="false">
      <c r="F103" s="294"/>
      <c r="Q103" s="423"/>
      <c r="R103" s="441"/>
      <c r="S103" s="442"/>
      <c r="T103" s="453"/>
      <c r="W103" s="423"/>
      <c r="X103" s="441"/>
      <c r="Y103" s="442"/>
    </row>
    <row r="104" customFormat="false" ht="12.75" hidden="false" customHeight="false" outlineLevel="0" collapsed="false">
      <c r="F104" s="294"/>
      <c r="G104" s="382"/>
    </row>
    <row r="105" customFormat="false" ht="12.75" hidden="false" customHeight="false" outlineLevel="0" collapsed="false">
      <c r="D105" s="3"/>
      <c r="F105" s="294"/>
    </row>
    <row r="106" customFormat="false" ht="12.75" hidden="false" customHeight="false" outlineLevel="0" collapsed="false">
      <c r="D106" s="3"/>
      <c r="F106" s="454"/>
      <c r="Q106" s="432"/>
      <c r="R106" s="423"/>
      <c r="S106" s="436"/>
      <c r="W106" s="429"/>
    </row>
    <row r="107" customFormat="false" ht="12.75" hidden="false" customHeight="false" outlineLevel="0" collapsed="false">
      <c r="D107" s="3"/>
      <c r="F107" s="382"/>
    </row>
    <row r="108" customFormat="false" ht="12.75" hidden="false" customHeight="false" outlineLevel="0" collapsed="false">
      <c r="D108" s="432"/>
    </row>
    <row r="109" customFormat="false" ht="12.75" hidden="false" customHeight="false" outlineLevel="0" collapsed="false">
      <c r="D109" s="432"/>
    </row>
    <row r="110" customFormat="false" ht="12.75" hidden="false" customHeight="false" outlineLevel="0" collapsed="false">
      <c r="D110" s="432"/>
    </row>
    <row r="113" customFormat="false" ht="12.75" hidden="false" customHeight="false" outlineLevel="0" collapsed="false">
      <c r="B113" s="340"/>
      <c r="C113" s="340"/>
      <c r="D113" s="455"/>
      <c r="E113" s="340"/>
      <c r="F113" s="340"/>
      <c r="G113" s="340"/>
      <c r="H113" s="340"/>
      <c r="I113" s="340"/>
      <c r="J113" s="340"/>
      <c r="K113" s="340"/>
      <c r="L113" s="340"/>
      <c r="M113" s="340"/>
    </row>
    <row r="115" customFormat="false" ht="12.75" hidden="false" customHeight="false" outlineLevel="0" collapsed="false">
      <c r="B115" s="1" t="s">
        <v>977</v>
      </c>
    </row>
    <row r="116" customFormat="false" ht="12.75" hidden="false" customHeight="false" outlineLevel="0" collapsed="false">
      <c r="G116" s="429" t="n">
        <f aca="false">F118-F117</f>
        <v>32500</v>
      </c>
    </row>
    <row r="117" customFormat="false" ht="12.75" hidden="false" customHeight="false" outlineLevel="0" collapsed="false">
      <c r="C117" s="1" t="n">
        <v>1</v>
      </c>
      <c r="D117" s="432" t="n">
        <f aca="false">130000/12*9</f>
        <v>97500</v>
      </c>
      <c r="F117" s="429" t="n">
        <f aca="false">F118/12*9</f>
        <v>97500</v>
      </c>
      <c r="H117" s="421" t="n">
        <f aca="false">128000/12*9</f>
        <v>96000</v>
      </c>
      <c r="J117" s="429" t="n">
        <f aca="false">128000/12*9</f>
        <v>96000</v>
      </c>
    </row>
    <row r="118" customFormat="false" ht="12.75" hidden="false" customHeight="false" outlineLevel="0" collapsed="false">
      <c r="C118" s="1" t="n">
        <v>2</v>
      </c>
      <c r="D118" s="432" t="n">
        <v>130000</v>
      </c>
      <c r="F118" s="429" t="n">
        <f aca="false">D118</f>
        <v>130000</v>
      </c>
      <c r="H118" s="432" t="n">
        <v>128000</v>
      </c>
      <c r="J118" s="429" t="n">
        <f aca="false">H118</f>
        <v>128000</v>
      </c>
    </row>
    <row r="119" customFormat="false" ht="12.75" hidden="false" customHeight="false" outlineLevel="0" collapsed="false">
      <c r="C119" s="1" t="n">
        <v>3</v>
      </c>
      <c r="D119" s="432" t="n">
        <v>130000</v>
      </c>
      <c r="F119" s="429" t="n">
        <f aca="false">D119</f>
        <v>130000</v>
      </c>
      <c r="H119" s="432" t="n">
        <v>128000</v>
      </c>
      <c r="J119" s="429" t="n">
        <f aca="false">F119</f>
        <v>130000</v>
      </c>
    </row>
    <row r="120" customFormat="false" ht="12.75" hidden="false" customHeight="false" outlineLevel="0" collapsed="false">
      <c r="C120" s="1" t="n">
        <v>4</v>
      </c>
      <c r="D120" s="432" t="n">
        <v>125000</v>
      </c>
      <c r="F120" s="429" t="n">
        <v>130000</v>
      </c>
      <c r="H120" s="432" t="n">
        <v>128000</v>
      </c>
      <c r="J120" s="429" t="n">
        <f aca="false">F120</f>
        <v>130000</v>
      </c>
    </row>
    <row r="121" customFormat="false" ht="12.75" hidden="false" customHeight="false" outlineLevel="0" collapsed="false">
      <c r="C121" s="1" t="n">
        <v>5</v>
      </c>
      <c r="D121" s="432" t="n">
        <v>125000</v>
      </c>
      <c r="F121" s="429" t="n">
        <v>130000</v>
      </c>
      <c r="H121" s="432" t="n">
        <v>128000</v>
      </c>
      <c r="J121" s="429" t="n">
        <f aca="false">F121</f>
        <v>130000</v>
      </c>
    </row>
    <row r="123" customFormat="false" ht="12.75" hidden="false" customHeight="false" outlineLevel="0" collapsed="false">
      <c r="D123" s="421" t="n">
        <f aca="false">SUM(D117:D122)</f>
        <v>607500</v>
      </c>
      <c r="E123" s="421"/>
      <c r="F123" s="421" t="n">
        <f aca="false">SUM(F117:F122)</f>
        <v>617500</v>
      </c>
      <c r="H123" s="421" t="n">
        <f aca="false">SUM(H117:H122)</f>
        <v>608000</v>
      </c>
      <c r="I123" s="421"/>
      <c r="J123" s="429" t="n">
        <f aca="false">SUM(J117:J122)</f>
        <v>614000</v>
      </c>
    </row>
    <row r="125" customFormat="false" ht="12.75" hidden="false" customHeight="false" outlineLevel="0" collapsed="false">
      <c r="D125" s="421" t="n">
        <f aca="false">D123/5</f>
        <v>121500</v>
      </c>
      <c r="E125" s="421"/>
      <c r="F125" s="421" t="n">
        <f aca="false">F123/5</f>
        <v>123500</v>
      </c>
      <c r="H125" s="421" t="n">
        <f aca="false">H123/5</f>
        <v>121600</v>
      </c>
      <c r="I125" s="421"/>
      <c r="J125" s="429" t="n">
        <f aca="false">J123/5</f>
        <v>122800</v>
      </c>
    </row>
    <row r="134" customFormat="false" ht="12.75" hidden="false" customHeight="false" outlineLevel="0" collapsed="false">
      <c r="E134" s="1" t="s">
        <v>978</v>
      </c>
    </row>
    <row r="135" customFormat="false" ht="12.75" hidden="false" customHeight="false" outlineLevel="0" collapsed="false">
      <c r="E135" s="456" t="n">
        <f aca="false">12*E137</f>
        <v>2.666766</v>
      </c>
      <c r="G135" s="1" t="n">
        <v>24997</v>
      </c>
      <c r="H135" s="1" t="n">
        <f aca="false">G135/1.2</f>
        <v>20830.8333333333</v>
      </c>
    </row>
    <row r="136" customFormat="false" ht="12.75" hidden="false" customHeight="false" outlineLevel="0" collapsed="false">
      <c r="D136" s="382"/>
      <c r="E136" s="382"/>
      <c r="F136" s="382"/>
    </row>
    <row r="137" customFormat="false" ht="12.75" hidden="false" customHeight="false" outlineLevel="0" collapsed="false">
      <c r="D137" s="382" t="n">
        <v>93665</v>
      </c>
      <c r="E137" s="1" t="n">
        <v>0.2222305</v>
      </c>
      <c r="F137" s="382" t="n">
        <f aca="false">+E137*D137</f>
        <v>20815.2197825</v>
      </c>
      <c r="G137" s="382" t="n">
        <f aca="false">F137*1.2</f>
        <v>24978.263739</v>
      </c>
      <c r="I137" s="382" t="n">
        <f aca="false">G138-G137</f>
        <v>17170.986261</v>
      </c>
    </row>
    <row r="138" customFormat="false" ht="12.75" hidden="false" customHeight="false" outlineLevel="0" collapsed="false">
      <c r="F138" s="382" t="n">
        <f aca="false">D137/12*4.5</f>
        <v>35124.375</v>
      </c>
      <c r="G138" s="382" t="n">
        <f aca="false">F138*1.2</f>
        <v>42149.25</v>
      </c>
    </row>
    <row r="139" customFormat="false" ht="12.75" hidden="false" customHeight="false" outlineLevel="0" collapsed="false">
      <c r="C139" s="289"/>
      <c r="Q139" s="1" t="s">
        <v>979</v>
      </c>
      <c r="R139" s="1" t="s">
        <v>980</v>
      </c>
    </row>
    <row r="140" customFormat="false" ht="12.75" hidden="false" customHeight="false" outlineLevel="0" collapsed="false">
      <c r="L140" s="423"/>
      <c r="Q140" s="1" t="n">
        <f aca="false">SUM((U142*2)+51)</f>
        <v>153</v>
      </c>
      <c r="R140" s="1" t="n">
        <f aca="false">SUM(U140*6)+29.5</f>
        <v>212</v>
      </c>
      <c r="S140" s="1" t="n">
        <f aca="false">SUM(Q140:R140)</f>
        <v>365</v>
      </c>
      <c r="U140" s="1" t="n">
        <f aca="false">365/12</f>
        <v>30.4166666666667</v>
      </c>
      <c r="V140" s="1" t="n">
        <f aca="false">U140*3</f>
        <v>91.25</v>
      </c>
    </row>
    <row r="141" customFormat="false" ht="12.75" hidden="false" customHeight="false" outlineLevel="0" collapsed="false">
      <c r="B141" s="457" t="s">
        <v>981</v>
      </c>
      <c r="K141" s="423"/>
    </row>
    <row r="142" customFormat="false" ht="12.75" hidden="false" customHeight="false" outlineLevel="0" collapsed="false">
      <c r="F142" s="3" t="s">
        <v>982</v>
      </c>
      <c r="H142" s="3" t="s">
        <v>983</v>
      </c>
      <c r="K142" s="458"/>
      <c r="U142" s="1" t="n">
        <v>51</v>
      </c>
      <c r="V142" s="1" t="n">
        <f aca="false">U142+V140</f>
        <v>142.25</v>
      </c>
    </row>
    <row r="143" customFormat="false" ht="12.75" hidden="false" customHeight="false" outlineLevel="0" collapsed="false">
      <c r="F143" s="3" t="s">
        <v>984</v>
      </c>
      <c r="I143" s="3" t="s">
        <v>985</v>
      </c>
      <c r="K143" s="459" t="n">
        <v>8</v>
      </c>
      <c r="L143" s="423"/>
      <c r="M143" s="334" t="s">
        <v>986</v>
      </c>
      <c r="R143" s="1" t="s">
        <v>987</v>
      </c>
      <c r="S143" s="1" t="s">
        <v>988</v>
      </c>
    </row>
    <row r="144" customFormat="false" ht="12.75" hidden="false" customHeight="false" outlineLevel="0" collapsed="false">
      <c r="C144" s="3" t="s">
        <v>989</v>
      </c>
      <c r="G144" s="340" t="n">
        <f aca="false">SUM(G145:G148)</f>
        <v>6</v>
      </c>
      <c r="H144" s="340" t="n">
        <f aca="false">SUM(H145:H148)</f>
        <v>8.5</v>
      </c>
      <c r="K144" s="460"/>
      <c r="Q144" s="1" t="s">
        <v>990</v>
      </c>
      <c r="R144" s="289" t="n">
        <v>600000</v>
      </c>
      <c r="S144" s="436" t="n">
        <f aca="false">R144/365</f>
        <v>1643.83561643836</v>
      </c>
      <c r="V144" s="1" t="n">
        <f aca="false">V142*2</f>
        <v>284.5</v>
      </c>
    </row>
    <row r="145" customFormat="false" ht="15" hidden="false" customHeight="true" outlineLevel="0" collapsed="false">
      <c r="B145" s="1" t="n">
        <v>1</v>
      </c>
      <c r="C145" s="432" t="n">
        <f aca="false">C149/12*9.5</f>
        <v>74151.4583333333</v>
      </c>
      <c r="D145" s="1" t="n">
        <f aca="false">12-9.5</f>
        <v>2.5</v>
      </c>
      <c r="E145" s="461"/>
      <c r="F145" s="432" t="n">
        <f aca="false">F149/12*9.5</f>
        <v>86038.3333333333</v>
      </c>
      <c r="G145" s="1" t="n">
        <f aca="false">12-9.5</f>
        <v>2.5</v>
      </c>
      <c r="H145" s="1" t="n">
        <v>3</v>
      </c>
      <c r="I145" s="423" t="n">
        <f aca="false">I149/12*9</f>
        <v>81510</v>
      </c>
      <c r="K145" s="462" t="n">
        <f aca="false">K149/12*9.5</f>
        <v>86038.3333333333</v>
      </c>
      <c r="L145" s="1" t="n">
        <v>2.5</v>
      </c>
      <c r="M145" s="461" t="n">
        <f aca="false">M146/12*7</f>
        <v>62125</v>
      </c>
      <c r="Q145" s="1" t="s">
        <v>991</v>
      </c>
      <c r="R145" s="1" t="s">
        <v>992</v>
      </c>
    </row>
    <row r="146" customFormat="false" ht="15" hidden="false" customHeight="true" outlineLevel="0" collapsed="false">
      <c r="B146" s="1" t="n">
        <v>2</v>
      </c>
      <c r="C146" s="432" t="n">
        <f aca="false">C149/12*10.5</f>
        <v>81956.875</v>
      </c>
      <c r="D146" s="1" t="n">
        <f aca="false">12-10.5</f>
        <v>1.5</v>
      </c>
      <c r="E146" s="461"/>
      <c r="F146" s="432" t="n">
        <f aca="false">F149/12*10.5</f>
        <v>95095</v>
      </c>
      <c r="G146" s="1" t="n">
        <f aca="false">12-10.5</f>
        <v>1.5</v>
      </c>
      <c r="H146" s="1" t="n">
        <v>2</v>
      </c>
      <c r="I146" s="423" t="n">
        <f aca="false">I149/12*10</f>
        <v>90566.6666666667</v>
      </c>
      <c r="K146" s="462" t="n">
        <f aca="false">K149/12*9.5</f>
        <v>86038.3333333333</v>
      </c>
      <c r="L146" s="1" t="n">
        <v>2.5</v>
      </c>
      <c r="M146" s="461" t="n">
        <v>106500</v>
      </c>
      <c r="Q146" s="436" t="n">
        <f aca="false">Q140*S144</f>
        <v>251506.849315068</v>
      </c>
      <c r="R146" s="436" t="n">
        <f aca="false">R144-Q146</f>
        <v>348493.150684932</v>
      </c>
      <c r="V146" s="1" t="n">
        <f aca="false">365-V144</f>
        <v>80.5</v>
      </c>
    </row>
    <row r="147" customFormat="false" ht="15" hidden="false" customHeight="true" outlineLevel="0" collapsed="false">
      <c r="B147" s="1" t="n">
        <v>3</v>
      </c>
      <c r="C147" s="432" t="n">
        <f aca="false">C149/12*11</f>
        <v>85859.5833333333</v>
      </c>
      <c r="D147" s="1" t="n">
        <f aca="false">12-11</f>
        <v>1</v>
      </c>
      <c r="E147" s="461"/>
      <c r="F147" s="432" t="n">
        <f aca="false">F149/12*11</f>
        <v>99623.3333333333</v>
      </c>
      <c r="G147" s="1" t="n">
        <f aca="false">12-11</f>
        <v>1</v>
      </c>
      <c r="H147" s="1" t="n">
        <v>1.5</v>
      </c>
      <c r="I147" s="423" t="n">
        <f aca="false">I149/12*10.5</f>
        <v>95095</v>
      </c>
      <c r="K147" s="462" t="n">
        <f aca="false">K149/12*10.5</f>
        <v>95095</v>
      </c>
      <c r="L147" s="1" t="n">
        <v>1.5</v>
      </c>
      <c r="M147" s="461" t="n">
        <f aca="false">M146</f>
        <v>106500</v>
      </c>
    </row>
    <row r="148" customFormat="false" ht="15" hidden="false" customHeight="true" outlineLevel="0" collapsed="false">
      <c r="B148" s="1" t="n">
        <v>4</v>
      </c>
      <c r="C148" s="432" t="n">
        <f aca="false">C149/12*11</f>
        <v>85859.5833333333</v>
      </c>
      <c r="D148" s="1" t="n">
        <f aca="false">12-11</f>
        <v>1</v>
      </c>
      <c r="E148" s="461"/>
      <c r="F148" s="432" t="n">
        <f aca="false">F149/12*11</f>
        <v>99623.3333333333</v>
      </c>
      <c r="G148" s="1" t="n">
        <f aca="false">12-11</f>
        <v>1</v>
      </c>
      <c r="H148" s="1" t="n">
        <v>2</v>
      </c>
      <c r="I148" s="423" t="n">
        <f aca="false">I149/12*10</f>
        <v>90566.6666666667</v>
      </c>
      <c r="K148" s="462" t="n">
        <f aca="false">K149/12*10.5</f>
        <v>95095</v>
      </c>
      <c r="L148" s="1" t="n">
        <v>1.5</v>
      </c>
      <c r="M148" s="461" t="n">
        <f aca="false">M147/12*10</f>
        <v>88750</v>
      </c>
      <c r="Q148" s="1" t="s">
        <v>993</v>
      </c>
      <c r="R148" s="436" t="n">
        <f aca="false">R146*0.1</f>
        <v>34849.3150684932</v>
      </c>
    </row>
    <row r="149" customFormat="false" ht="15" hidden="false" customHeight="true" outlineLevel="0" collapsed="false">
      <c r="B149" s="1" t="n">
        <v>5</v>
      </c>
      <c r="C149" s="432" t="n">
        <v>93665</v>
      </c>
      <c r="E149" s="461"/>
      <c r="F149" s="432" t="n">
        <v>108680</v>
      </c>
      <c r="I149" s="423" t="n">
        <f aca="false">F149</f>
        <v>108680</v>
      </c>
      <c r="K149" s="462" t="n">
        <v>108680</v>
      </c>
      <c r="M149" s="461" t="n">
        <f aca="false">M147</f>
        <v>106500</v>
      </c>
    </row>
    <row r="150" customFormat="false" ht="12.75" hidden="false" customHeight="false" outlineLevel="0" collapsed="false">
      <c r="K150" s="460"/>
      <c r="P150" s="1" t="s">
        <v>994</v>
      </c>
      <c r="R150" s="436" t="n">
        <f aca="false">Q146+R148</f>
        <v>286356.164383562</v>
      </c>
    </row>
    <row r="151" customFormat="false" ht="12.75" hidden="false" customHeight="false" outlineLevel="0" collapsed="false">
      <c r="B151" s="463" t="s">
        <v>877</v>
      </c>
      <c r="C151" s="464" t="n">
        <f aca="false">SUM(C145:C150)</f>
        <v>421492.5</v>
      </c>
      <c r="D151" s="349"/>
      <c r="E151" s="464"/>
      <c r="F151" s="465" t="n">
        <f aca="false">SUM(F145:F150)</f>
        <v>489060</v>
      </c>
      <c r="G151" s="349"/>
      <c r="H151" s="349"/>
      <c r="I151" s="464" t="n">
        <f aca="false">SUM(I145:I150)</f>
        <v>466418.333333333</v>
      </c>
      <c r="J151" s="349"/>
      <c r="K151" s="466" t="n">
        <f aca="false">SUM(K145:K149)</f>
        <v>470946.666666667</v>
      </c>
      <c r="L151" s="349"/>
      <c r="M151" s="467" t="n">
        <f aca="false">SUM(M145:M150)</f>
        <v>470375</v>
      </c>
    </row>
    <row r="152" customFormat="false" ht="12.75" hidden="false" customHeight="false" outlineLevel="0" collapsed="false">
      <c r="C152" s="421" t="n">
        <f aca="false">C149/1310</f>
        <v>71.5</v>
      </c>
      <c r="E152" s="432"/>
      <c r="F152" s="447" t="n">
        <f aca="false">I149/E153</f>
        <v>71.5</v>
      </c>
      <c r="G152" s="447"/>
      <c r="H152" s="447"/>
      <c r="I152" s="447" t="n">
        <f aca="false">I149/E153</f>
        <v>71.5</v>
      </c>
      <c r="J152" s="447"/>
      <c r="K152" s="468" t="n">
        <f aca="false">SUM((K149/E153))</f>
        <v>71.5</v>
      </c>
      <c r="L152" s="447"/>
      <c r="M152" s="432" t="n">
        <f aca="false">SUM((M149/E153))</f>
        <v>70.0657894736842</v>
      </c>
      <c r="O152" s="421"/>
    </row>
    <row r="153" customFormat="false" ht="12.75" hidden="false" customHeight="false" outlineLevel="0" collapsed="false">
      <c r="C153" s="432" t="n">
        <f aca="false">C151/5/1310</f>
        <v>64.35</v>
      </c>
      <c r="D153" s="469" t="s">
        <v>876</v>
      </c>
      <c r="E153" s="470" t="n">
        <v>1520</v>
      </c>
      <c r="F153" s="432" t="n">
        <f aca="false">F151/5/E153</f>
        <v>64.35</v>
      </c>
      <c r="I153" s="432" t="n">
        <f aca="false">I151/5/E153</f>
        <v>61.3708333333333</v>
      </c>
      <c r="K153" s="468" t="n">
        <f aca="false">K151/5/E153</f>
        <v>61.9666666666667</v>
      </c>
      <c r="M153" s="432" t="n">
        <f aca="false">M151/5/E153</f>
        <v>61.8914473684211</v>
      </c>
      <c r="O153" s="421"/>
      <c r="Q153" s="1" t="s">
        <v>995</v>
      </c>
      <c r="R153" s="423" t="n">
        <v>61800000</v>
      </c>
    </row>
    <row r="154" customFormat="false" ht="12.75" hidden="false" customHeight="false" outlineLevel="0" collapsed="false">
      <c r="F154" s="432"/>
      <c r="G154" s="432"/>
      <c r="I154" s="432" t="n">
        <f aca="false">F151-I151</f>
        <v>22641.6666666667</v>
      </c>
      <c r="K154" s="468" t="n">
        <f aca="false">F151-K151</f>
        <v>18113.3333333334</v>
      </c>
      <c r="M154" s="432" t="n">
        <f aca="false">F151-M151</f>
        <v>18685</v>
      </c>
      <c r="Q154" s="1" t="s">
        <v>996</v>
      </c>
      <c r="R154" s="429" t="n">
        <f aca="false">R153*S154</f>
        <v>33990000</v>
      </c>
      <c r="S154" s="293" t="n">
        <v>0.55</v>
      </c>
    </row>
    <row r="155" customFormat="false" ht="12.75" hidden="false" customHeight="false" outlineLevel="0" collapsed="false">
      <c r="K155" s="460"/>
      <c r="Q155" s="1" t="s">
        <v>997</v>
      </c>
      <c r="R155" s="471" t="n">
        <f aca="false">R154*S155</f>
        <v>1869450</v>
      </c>
      <c r="S155" s="452" t="n">
        <v>0.055</v>
      </c>
    </row>
    <row r="156" customFormat="false" ht="12.75" hidden="false" customHeight="false" outlineLevel="0" collapsed="false">
      <c r="K156" s="460"/>
    </row>
    <row r="157" customFormat="false" ht="12.75" hidden="false" customHeight="false" outlineLevel="0" collapsed="false">
      <c r="D157" s="3" t="s">
        <v>998</v>
      </c>
      <c r="E157" s="432" t="n">
        <v>93665</v>
      </c>
      <c r="F157" s="421" t="n">
        <f aca="false">F149-E157</f>
        <v>15015</v>
      </c>
      <c r="I157" s="421" t="n">
        <f aca="false">I149-E157</f>
        <v>15015</v>
      </c>
      <c r="K157" s="472" t="n">
        <f aca="false">K149-E157</f>
        <v>15015</v>
      </c>
      <c r="M157" s="421" t="n">
        <f aca="false">M146-E157</f>
        <v>12835</v>
      </c>
      <c r="R157" s="421" t="n">
        <f aca="false">R155+R150</f>
        <v>2155806.16438356</v>
      </c>
    </row>
    <row r="158" customFormat="false" ht="12.75" hidden="false" customHeight="false" outlineLevel="0" collapsed="false">
      <c r="F158" s="421" t="n">
        <f aca="false">F157*3</f>
        <v>45045</v>
      </c>
      <c r="I158" s="421" t="n">
        <f aca="false">I157*3</f>
        <v>45045</v>
      </c>
      <c r="K158" s="472" t="n">
        <f aca="false">K157*3</f>
        <v>45045</v>
      </c>
      <c r="L158" s="421"/>
      <c r="M158" s="421" t="n">
        <f aca="false">M157*3</f>
        <v>38505</v>
      </c>
    </row>
    <row r="159" customFormat="false" ht="12.75" hidden="false" customHeight="false" outlineLevel="0" collapsed="false">
      <c r="K159" s="460"/>
      <c r="Q159" s="289" t="n">
        <v>40000</v>
      </c>
      <c r="R159" s="423" t="n">
        <f aca="false">+Q159*8</f>
        <v>320000</v>
      </c>
    </row>
    <row r="160" customFormat="false" ht="12.75" hidden="false" customHeight="false" outlineLevel="0" collapsed="false">
      <c r="I160" s="405" t="n">
        <f aca="false">SUM((I154/I158))</f>
        <v>0.502645502645503</v>
      </c>
      <c r="J160" s="405"/>
      <c r="K160" s="473" t="n">
        <f aca="false">SUM((K154/K158))</f>
        <v>0.402116402116403</v>
      </c>
      <c r="L160" s="405"/>
      <c r="M160" s="405" t="n">
        <f aca="false">SUM((M154/M158))</f>
        <v>0.485261654330606</v>
      </c>
    </row>
    <row r="161" customFormat="false" ht="12.75" hidden="false" customHeight="false" outlineLevel="0" collapsed="false">
      <c r="K161" s="460"/>
      <c r="R161" s="421" t="n">
        <f aca="false">+R157+R159</f>
        <v>2475806.16438356</v>
      </c>
    </row>
    <row r="162" customFormat="false" ht="12.75" hidden="false" customHeight="false" outlineLevel="0" collapsed="false">
      <c r="K162" s="460"/>
    </row>
    <row r="163" customFormat="false" ht="12.75" hidden="false" customHeight="false" outlineLevel="0" collapsed="false">
      <c r="I163" s="405" t="n">
        <f aca="false">I154/I151</f>
        <v>0.0485436893203884</v>
      </c>
      <c r="J163" s="405"/>
      <c r="K163" s="473" t="n">
        <f aca="false">K154/K151</f>
        <v>0.0384615384615386</v>
      </c>
      <c r="L163" s="405"/>
      <c r="M163" s="405" t="n">
        <f aca="false">M154/M151</f>
        <v>0.0397236247674728</v>
      </c>
    </row>
    <row r="164" customFormat="false" ht="12.75" hidden="false" customHeight="false" outlineLevel="0" collapsed="false">
      <c r="K164" s="460"/>
    </row>
    <row r="165" customFormat="false" ht="12.75" hidden="false" customHeight="false" outlineLevel="0" collapsed="false">
      <c r="F165" s="421" t="n">
        <f aca="false">F151-$C$151</f>
        <v>67567.5</v>
      </c>
      <c r="G165" s="421"/>
      <c r="H165" s="421"/>
      <c r="I165" s="421" t="n">
        <f aca="false">I151-$C$151</f>
        <v>44925.8333333333</v>
      </c>
      <c r="J165" s="421"/>
      <c r="K165" s="421" t="n">
        <f aca="false">K151-$C$151</f>
        <v>49454.1666666666</v>
      </c>
      <c r="L165" s="421"/>
      <c r="M165" s="421" t="n">
        <f aca="false">M151-$C$151</f>
        <v>48882.5</v>
      </c>
    </row>
    <row r="170" customFormat="false" ht="12.75" hidden="false" customHeight="false" outlineLevel="0" collapsed="false">
      <c r="B170" s="3" t="s">
        <v>999</v>
      </c>
      <c r="J170" s="1" t="n">
        <f aca="false">71.5*1528</f>
        <v>109252</v>
      </c>
    </row>
    <row r="171" customFormat="false" ht="12.75" hidden="false" customHeight="false" outlineLevel="0" collapsed="false">
      <c r="B171" s="3" t="s">
        <v>1000</v>
      </c>
      <c r="J171" s="421" t="n">
        <f aca="false">J170-K149</f>
        <v>572</v>
      </c>
    </row>
    <row r="173" customFormat="false" ht="12.75" hidden="false" customHeight="false" outlineLevel="0" collapsed="false">
      <c r="C173" s="1" t="n">
        <v>450</v>
      </c>
    </row>
    <row r="174" customFormat="false" ht="12.75" hidden="false" customHeight="false" outlineLevel="0" collapsed="false">
      <c r="D174" s="3" t="s">
        <v>1001</v>
      </c>
      <c r="E174" s="1" t="n">
        <f aca="false">F175-D175</f>
        <v>1825</v>
      </c>
    </row>
    <row r="175" customFormat="false" ht="12.75" hidden="false" customHeight="false" outlineLevel="0" collapsed="false">
      <c r="D175" s="1" t="n">
        <v>23600</v>
      </c>
      <c r="F175" s="1" t="n">
        <v>25425</v>
      </c>
    </row>
    <row r="176" customFormat="false" ht="12.75" hidden="false" customHeight="false" outlineLevel="0" collapsed="false">
      <c r="D176" s="456" t="n">
        <f aca="false">D175/C173</f>
        <v>52.4444444444444</v>
      </c>
      <c r="F176" s="1" t="n">
        <f aca="false">F175/C173</f>
        <v>56.5</v>
      </c>
    </row>
    <row r="177" customFormat="false" ht="12.75" hidden="false" customHeight="false" outlineLevel="0" collapsed="false">
      <c r="E177" s="1" t="n">
        <f aca="false">F178-D178</f>
        <v>1376</v>
      </c>
    </row>
    <row r="178" customFormat="false" ht="12.75" hidden="false" customHeight="false" outlineLevel="0" collapsed="false">
      <c r="D178" s="1" t="n">
        <v>4500</v>
      </c>
      <c r="F178" s="1" t="n">
        <v>5876</v>
      </c>
    </row>
    <row r="179" customFormat="false" ht="12.75" hidden="false" customHeight="false" outlineLevel="0" collapsed="false">
      <c r="D179" s="456" t="n">
        <f aca="false">D178/$C$173</f>
        <v>10</v>
      </c>
      <c r="E179" s="456"/>
      <c r="F179" s="456" t="n">
        <f aca="false">F178/$C$173</f>
        <v>13.0577777777778</v>
      </c>
    </row>
    <row r="180" customFormat="false" ht="12.75" hidden="false" customHeight="false" outlineLevel="0" collapsed="false">
      <c r="D180" s="456"/>
      <c r="E180" s="456" t="n">
        <f aca="false">F179-D179</f>
        <v>3.05777777777778</v>
      </c>
      <c r="F180" s="456"/>
    </row>
    <row r="181" customFormat="false" ht="12.75" hidden="false" customHeight="false" outlineLevel="0" collapsed="false">
      <c r="W181" s="1" t="n">
        <v>1100</v>
      </c>
    </row>
    <row r="185" customFormat="false" ht="12.75" hidden="false" customHeight="false" outlineLevel="0" collapsed="false">
      <c r="A185" s="424"/>
      <c r="B185" s="425"/>
      <c r="C185" s="425"/>
      <c r="D185" s="425"/>
      <c r="E185" s="425"/>
      <c r="F185" s="425"/>
      <c r="G185" s="425"/>
      <c r="H185" s="425"/>
      <c r="I185" s="425"/>
      <c r="J185" s="425"/>
      <c r="K185" s="425"/>
      <c r="L185" s="425"/>
      <c r="M185" s="425"/>
      <c r="N185" s="426"/>
      <c r="P185" s="3" t="s">
        <v>1002</v>
      </c>
    </row>
    <row r="186" customFormat="false" ht="12.75" hidden="false" customHeight="false" outlineLevel="0" collapsed="false">
      <c r="A186" s="427"/>
      <c r="G186" s="3" t="s">
        <v>1003</v>
      </c>
      <c r="J186" s="3" t="s">
        <v>1004</v>
      </c>
      <c r="M186" s="3" t="s">
        <v>1005</v>
      </c>
      <c r="N186" s="337"/>
      <c r="P186" s="1" t="n">
        <v>1946</v>
      </c>
    </row>
    <row r="187" customFormat="false" ht="12.75" hidden="false" customHeight="false" outlineLevel="0" collapsed="false">
      <c r="A187" s="427"/>
      <c r="B187" s="3" t="s">
        <v>1006</v>
      </c>
      <c r="N187" s="337"/>
      <c r="R187" s="1" t="s">
        <v>887</v>
      </c>
      <c r="T187" s="1" t="s">
        <v>887</v>
      </c>
      <c r="V187" s="1" t="s">
        <v>887</v>
      </c>
      <c r="X187" s="1" t="s">
        <v>887</v>
      </c>
    </row>
    <row r="188" customFormat="false" ht="12.75" hidden="false" customHeight="false" outlineLevel="0" collapsed="false">
      <c r="A188" s="427"/>
      <c r="B188" s="3" t="s">
        <v>1007</v>
      </c>
      <c r="G188" s="3" t="s">
        <v>1008</v>
      </c>
      <c r="J188" s="3" t="s">
        <v>1009</v>
      </c>
      <c r="M188" s="3" t="s">
        <v>1010</v>
      </c>
      <c r="N188" s="337"/>
      <c r="P188" s="1" t="n">
        <v>1</v>
      </c>
      <c r="Q188" s="1" t="n">
        <v>95000</v>
      </c>
      <c r="R188" s="474" t="n">
        <f aca="false">Q188/$P$186</f>
        <v>48.8180883864337</v>
      </c>
      <c r="S188" s="423" t="n">
        <v>100000</v>
      </c>
      <c r="T188" s="475" t="n">
        <f aca="false">S188/$P$186</f>
        <v>51.3874614594039</v>
      </c>
      <c r="U188" s="423" t="n">
        <v>102500</v>
      </c>
      <c r="V188" s="475" t="n">
        <f aca="false">U188/$P$186</f>
        <v>52.672147995889</v>
      </c>
      <c r="W188" s="423" t="n">
        <v>110000</v>
      </c>
      <c r="X188" s="475" t="n">
        <f aca="false">W188/$P$186</f>
        <v>56.5262076053443</v>
      </c>
    </row>
    <row r="189" customFormat="false" ht="12.75" hidden="false" customHeight="false" outlineLevel="0" collapsed="false">
      <c r="A189" s="427"/>
      <c r="B189" s="476" t="n">
        <v>1950</v>
      </c>
      <c r="D189" s="292" t="n">
        <v>100000</v>
      </c>
      <c r="F189" s="292" t="n">
        <v>105000</v>
      </c>
      <c r="G189" s="1" t="n">
        <f aca="false">105000/12*3</f>
        <v>26250</v>
      </c>
      <c r="J189" s="292" t="n">
        <v>118000</v>
      </c>
      <c r="K189" s="292" t="n">
        <f aca="false">J189/12*5</f>
        <v>49166.6666666667</v>
      </c>
      <c r="M189" s="292" t="n">
        <v>100000</v>
      </c>
      <c r="N189" s="477" t="n">
        <f aca="false">M189/2</f>
        <v>50000</v>
      </c>
      <c r="P189" s="1" t="n">
        <v>2</v>
      </c>
      <c r="Q189" s="1" t="n">
        <v>100000</v>
      </c>
      <c r="R189" s="474" t="n">
        <f aca="false">Q189/$P$186</f>
        <v>51.3874614594039</v>
      </c>
      <c r="S189" s="423" t="n">
        <v>105000</v>
      </c>
      <c r="T189" s="475" t="n">
        <f aca="false">S189/$P$186</f>
        <v>53.9568345323741</v>
      </c>
      <c r="U189" s="423" t="n">
        <v>107500</v>
      </c>
      <c r="V189" s="475" t="n">
        <f aca="false">U189/$P$186</f>
        <v>55.2415210688592</v>
      </c>
      <c r="W189" s="423" t="n">
        <v>110000</v>
      </c>
      <c r="X189" s="475" t="n">
        <f aca="false">W189/$P$186</f>
        <v>56.5262076053443</v>
      </c>
    </row>
    <row r="190" customFormat="false" ht="12.75" hidden="false" customHeight="false" outlineLevel="0" collapsed="false">
      <c r="A190" s="427"/>
      <c r="D190" s="292" t="n">
        <v>102500</v>
      </c>
      <c r="F190" s="292" t="n">
        <v>105000</v>
      </c>
      <c r="G190" s="1" t="n">
        <v>105000</v>
      </c>
      <c r="J190" s="292" t="n">
        <v>118000</v>
      </c>
      <c r="K190" s="292" t="n">
        <f aca="false">J190</f>
        <v>118000</v>
      </c>
      <c r="M190" s="292" t="n">
        <v>105000</v>
      </c>
      <c r="N190" s="477" t="n">
        <f aca="false">M190</f>
        <v>105000</v>
      </c>
      <c r="P190" s="1" t="n">
        <v>3</v>
      </c>
      <c r="Q190" s="1" t="n">
        <v>105000</v>
      </c>
      <c r="R190" s="474" t="n">
        <f aca="false">Q190/$P$186</f>
        <v>53.9568345323741</v>
      </c>
      <c r="S190" s="423" t="n">
        <v>110000</v>
      </c>
      <c r="T190" s="475" t="n">
        <f aca="false">S190/$P$186</f>
        <v>56.5262076053443</v>
      </c>
      <c r="U190" s="423" t="n">
        <v>112250</v>
      </c>
      <c r="V190" s="475" t="n">
        <f aca="false">U190/$P$186</f>
        <v>57.6824254881809</v>
      </c>
      <c r="W190" s="423" t="n">
        <v>115000</v>
      </c>
      <c r="X190" s="475" t="n">
        <f aca="false">W190/$P$186</f>
        <v>59.0955806783145</v>
      </c>
    </row>
    <row r="191" customFormat="false" ht="12.75" hidden="false" customHeight="false" outlineLevel="0" collapsed="false">
      <c r="A191" s="427"/>
      <c r="D191" s="292" t="n">
        <v>105000</v>
      </c>
      <c r="F191" s="292" t="n">
        <v>110000</v>
      </c>
      <c r="G191" s="1" t="n">
        <v>110000</v>
      </c>
      <c r="J191" s="292" t="n">
        <v>118000</v>
      </c>
      <c r="K191" s="292" t="n">
        <f aca="false">J191</f>
        <v>118000</v>
      </c>
      <c r="M191" s="292" t="n">
        <v>110000</v>
      </c>
      <c r="N191" s="477" t="n">
        <f aca="false">M191</f>
        <v>110000</v>
      </c>
      <c r="P191" s="1" t="n">
        <v>4</v>
      </c>
      <c r="Q191" s="1" t="n">
        <v>110000</v>
      </c>
      <c r="R191" s="474" t="n">
        <f aca="false">Q191/$P$186</f>
        <v>56.5262076053443</v>
      </c>
      <c r="S191" s="423" t="n">
        <v>115000</v>
      </c>
      <c r="T191" s="475" t="n">
        <f aca="false">S191/$P$186</f>
        <v>59.0955806783145</v>
      </c>
      <c r="U191" s="423" t="n">
        <v>117500</v>
      </c>
      <c r="V191" s="475" t="n">
        <f aca="false">U191/$P$186</f>
        <v>60.3802672147996</v>
      </c>
      <c r="W191" s="423" t="n">
        <f aca="false">W190+5000</f>
        <v>120000</v>
      </c>
      <c r="X191" s="475" t="n">
        <f aca="false">W191/$P$186</f>
        <v>61.6649537512847</v>
      </c>
    </row>
    <row r="192" customFormat="false" ht="12.75" hidden="false" customHeight="false" outlineLevel="0" collapsed="false">
      <c r="A192" s="427"/>
      <c r="D192" s="292" t="n">
        <v>107500</v>
      </c>
      <c r="F192" s="292" t="n">
        <v>110000</v>
      </c>
      <c r="G192" s="1" t="n">
        <v>110000</v>
      </c>
      <c r="J192" s="292" t="n">
        <v>118000</v>
      </c>
      <c r="K192" s="292" t="n">
        <f aca="false">J192</f>
        <v>118000</v>
      </c>
      <c r="M192" s="292" t="n">
        <v>115000</v>
      </c>
      <c r="N192" s="477" t="n">
        <f aca="false">M192</f>
        <v>115000</v>
      </c>
      <c r="P192" s="1" t="n">
        <v>5</v>
      </c>
      <c r="Q192" s="1" t="n">
        <v>120000</v>
      </c>
      <c r="R192" s="474" t="n">
        <f aca="false">Q192/$P$186</f>
        <v>61.6649537512847</v>
      </c>
      <c r="S192" s="423" t="n">
        <v>120000</v>
      </c>
      <c r="T192" s="475" t="n">
        <f aca="false">S192/$P$186</f>
        <v>61.6649537512847</v>
      </c>
      <c r="U192" s="423" t="n">
        <v>120000</v>
      </c>
      <c r="V192" s="475" t="n">
        <f aca="false">U192/$P$186</f>
        <v>61.6649537512847</v>
      </c>
      <c r="W192" s="423" t="n">
        <v>120000</v>
      </c>
      <c r="X192" s="475" t="n">
        <f aca="false">W192/$P$186</f>
        <v>61.6649537512847</v>
      </c>
    </row>
    <row r="193" customFormat="false" ht="12.75" hidden="false" customHeight="false" outlineLevel="0" collapsed="false">
      <c r="A193" s="427"/>
      <c r="D193" s="292" t="n">
        <v>110000</v>
      </c>
      <c r="F193" s="292" t="n">
        <v>120000</v>
      </c>
      <c r="G193" s="1" t="n">
        <v>120000</v>
      </c>
      <c r="J193" s="292" t="n">
        <v>118000</v>
      </c>
      <c r="K193" s="292" t="n">
        <f aca="false">J193</f>
        <v>118000</v>
      </c>
      <c r="M193" s="292" t="n">
        <v>120000</v>
      </c>
      <c r="N193" s="477" t="n">
        <f aca="false">M193/12*10</f>
        <v>100000</v>
      </c>
    </row>
    <row r="194" customFormat="false" ht="12.75" hidden="false" customHeight="false" outlineLevel="0" collapsed="false">
      <c r="A194" s="427"/>
      <c r="N194" s="478"/>
      <c r="Q194" s="292" t="n">
        <f aca="false">SUM(Q188:Q193)</f>
        <v>530000</v>
      </c>
      <c r="S194" s="292" t="n">
        <f aca="false">SUM(S188:S193)</f>
        <v>550000</v>
      </c>
      <c r="U194" s="292" t="n">
        <f aca="false">SUM(U188:U193)</f>
        <v>559750</v>
      </c>
      <c r="W194" s="292" t="n">
        <f aca="false">SUM(W188:W193)</f>
        <v>575000</v>
      </c>
    </row>
    <row r="195" customFormat="false" ht="12.75" hidden="false" customHeight="false" outlineLevel="0" collapsed="false">
      <c r="A195" s="427"/>
      <c r="D195" s="292" t="n">
        <f aca="false">SUM(D189:D194)</f>
        <v>525000</v>
      </c>
      <c r="E195" s="292"/>
      <c r="F195" s="292" t="n">
        <f aca="false">SUM(F189:F194)</f>
        <v>550000</v>
      </c>
      <c r="G195" s="292" t="n">
        <f aca="false">SUM(G189:G194)</f>
        <v>471250</v>
      </c>
      <c r="H195" s="292" t="n">
        <f aca="false">K195-G195</f>
        <v>49916.6666666667</v>
      </c>
      <c r="J195" s="292" t="n">
        <f aca="false">SUM(J189:J194)</f>
        <v>590000</v>
      </c>
      <c r="K195" s="292" t="n">
        <f aca="false">SUM(K189:K194)</f>
        <v>521166.666666667</v>
      </c>
      <c r="M195" s="292" t="n">
        <f aca="false">SUM(M189:M194)</f>
        <v>550000</v>
      </c>
      <c r="N195" s="477" t="n">
        <f aca="false">SUM(N189:N194)</f>
        <v>480000</v>
      </c>
      <c r="Q195" s="382" t="n">
        <f aca="false">Q194/5/$P$186</f>
        <v>54.4707091469681</v>
      </c>
      <c r="S195" s="382" t="n">
        <f aca="false">S194/5/$P$186</f>
        <v>56.5262076053443</v>
      </c>
      <c r="U195" s="382" t="n">
        <f aca="false">U194/5/$P$186</f>
        <v>57.5282631038027</v>
      </c>
      <c r="W195" s="382" t="n">
        <f aca="false">W194/5/$P$186</f>
        <v>59.0955806783145</v>
      </c>
    </row>
    <row r="196" customFormat="false" ht="12.75" hidden="false" customHeight="false" outlineLevel="0" collapsed="false">
      <c r="A196" s="427"/>
      <c r="D196" s="382" t="n">
        <f aca="false">D195/5/B189</f>
        <v>53.8461538461539</v>
      </c>
      <c r="E196" s="382"/>
      <c r="F196" s="382" t="n">
        <f aca="false">F195/5/B189</f>
        <v>56.4102564102564</v>
      </c>
      <c r="G196" s="382" t="n">
        <f aca="false">G195/5/$B$189</f>
        <v>48.3333333333333</v>
      </c>
      <c r="J196" s="382" t="n">
        <f aca="false">J195/5/$B$189</f>
        <v>60.5128205128205</v>
      </c>
      <c r="K196" s="382" t="n">
        <f aca="false">K195/5/$B$189</f>
        <v>53.4529914529915</v>
      </c>
      <c r="M196" s="382" t="n">
        <f aca="false">M195/5/$B$189</f>
        <v>56.4102564102564</v>
      </c>
      <c r="N196" s="479" t="n">
        <f aca="false">N195/5/$B$189</f>
        <v>49.2307692307692</v>
      </c>
      <c r="Q196" s="292" t="n">
        <f aca="false">SUM(Q188:Q192)/5</f>
        <v>106000</v>
      </c>
      <c r="R196" s="292"/>
      <c r="S196" s="292" t="n">
        <f aca="false">SUM(S188:S192)/5</f>
        <v>110000</v>
      </c>
      <c r="U196" s="292" t="n">
        <f aca="false">SUM(U188:U192)/5</f>
        <v>111950</v>
      </c>
      <c r="W196" s="292" t="n">
        <f aca="false">SUM(W188:W192)/5</f>
        <v>115000</v>
      </c>
    </row>
    <row r="197" customFormat="false" ht="12.75" hidden="false" customHeight="false" outlineLevel="0" collapsed="false">
      <c r="A197" s="427"/>
      <c r="N197" s="337"/>
    </row>
    <row r="198" customFormat="false" ht="12.75" hidden="false" customHeight="false" outlineLevel="0" collapsed="false">
      <c r="A198" s="427"/>
      <c r="F198" s="382" t="n">
        <f aca="false">F196-J196</f>
        <v>-4.1025641025641</v>
      </c>
      <c r="G198" s="432" t="n">
        <f aca="false">SUM(G189:G193)/5</f>
        <v>94250</v>
      </c>
      <c r="J198" s="382" t="n">
        <f aca="false">G196-K196</f>
        <v>-5.11965811965812</v>
      </c>
      <c r="K198" s="432" t="n">
        <f aca="false">SUM(K189:K193)/5</f>
        <v>104233.333333333</v>
      </c>
      <c r="N198" s="432" t="n">
        <f aca="false">SUM(N189:N193)/5</f>
        <v>96000</v>
      </c>
    </row>
    <row r="199" customFormat="false" ht="12.75" hidden="false" customHeight="false" outlineLevel="0" collapsed="false">
      <c r="A199" s="427"/>
      <c r="F199" s="3" t="s">
        <v>1011</v>
      </c>
      <c r="J199" s="3" t="s">
        <v>1011</v>
      </c>
      <c r="M199" s="3" t="s">
        <v>1011</v>
      </c>
      <c r="N199" s="337"/>
    </row>
    <row r="200" customFormat="false" ht="12.75" hidden="false" customHeight="false" outlineLevel="0" collapsed="false">
      <c r="A200" s="438"/>
      <c r="B200" s="340"/>
      <c r="C200" s="340"/>
      <c r="D200" s="340"/>
      <c r="E200" s="340"/>
      <c r="F200" s="292" t="n">
        <f aca="false">SUM(F189:F193)/5</f>
        <v>110000</v>
      </c>
      <c r="G200" s="340"/>
      <c r="H200" s="340"/>
      <c r="I200" s="340"/>
      <c r="J200" s="292" t="n">
        <f aca="false">SUM(J189:J193)/5</f>
        <v>118000</v>
      </c>
      <c r="K200" s="340"/>
      <c r="L200" s="340"/>
      <c r="M200" s="292" t="n">
        <f aca="false">SUM(M189:M193)/5</f>
        <v>110000</v>
      </c>
      <c r="N200" s="439"/>
    </row>
    <row r="204" customFormat="false" ht="12.75" hidden="false" customHeight="false" outlineLevel="0" collapsed="false">
      <c r="B204" s="3" t="s">
        <v>1012</v>
      </c>
    </row>
    <row r="206" customFormat="false" ht="12.75" hidden="false" customHeight="false" outlineLevel="0" collapsed="false">
      <c r="B206" s="3" t="s">
        <v>1013</v>
      </c>
      <c r="D206" s="437" t="n">
        <v>1525</v>
      </c>
    </row>
    <row r="207" customFormat="false" ht="12.75" hidden="false" customHeight="false" outlineLevel="0" collapsed="false">
      <c r="B207" s="1" t="n">
        <v>2025</v>
      </c>
      <c r="M207" s="1" t="n">
        <v>2026</v>
      </c>
      <c r="Z207" s="1" t="n">
        <v>2027</v>
      </c>
    </row>
    <row r="208" customFormat="false" ht="12.75" hidden="false" customHeight="false" outlineLevel="0" collapsed="false">
      <c r="B208" s="3" t="s">
        <v>1014</v>
      </c>
      <c r="C208" s="3" t="s">
        <v>1015</v>
      </c>
      <c r="D208" s="3" t="s">
        <v>1016</v>
      </c>
      <c r="E208" s="3" t="s">
        <v>1017</v>
      </c>
      <c r="F208" s="3" t="s">
        <v>1018</v>
      </c>
      <c r="G208" s="3" t="s">
        <v>1019</v>
      </c>
      <c r="H208" s="3" t="s">
        <v>1020</v>
      </c>
      <c r="I208" s="3" t="s">
        <v>1021</v>
      </c>
      <c r="J208" s="3" t="s">
        <v>1022</v>
      </c>
      <c r="K208" s="3" t="s">
        <v>1023</v>
      </c>
      <c r="L208" s="3" t="s">
        <v>1024</v>
      </c>
      <c r="M208" s="3" t="s">
        <v>1025</v>
      </c>
      <c r="N208" s="3" t="s">
        <v>1014</v>
      </c>
      <c r="O208" s="3" t="s">
        <v>1026</v>
      </c>
      <c r="P208" s="3" t="s">
        <v>1016</v>
      </c>
      <c r="Q208" s="3" t="s">
        <v>1027</v>
      </c>
      <c r="R208" s="3" t="s">
        <v>1018</v>
      </c>
      <c r="S208" s="3" t="s">
        <v>1019</v>
      </c>
      <c r="T208" s="3" t="s">
        <v>1020</v>
      </c>
      <c r="U208" s="3" t="s">
        <v>1021</v>
      </c>
      <c r="V208" s="3" t="s">
        <v>1022</v>
      </c>
      <c r="W208" s="3" t="s">
        <v>1023</v>
      </c>
      <c r="X208" s="3" t="s">
        <v>1024</v>
      </c>
      <c r="Y208" s="3" t="s">
        <v>1025</v>
      </c>
      <c r="Z208" s="3" t="s">
        <v>1014</v>
      </c>
      <c r="AA208" s="3" t="s">
        <v>1026</v>
      </c>
      <c r="AB208" s="3" t="s">
        <v>1016</v>
      </c>
      <c r="AC208" s="3" t="s">
        <v>1027</v>
      </c>
      <c r="AD208" s="3" t="s">
        <v>1018</v>
      </c>
      <c r="AE208" s="3" t="s">
        <v>1019</v>
      </c>
    </row>
    <row r="209" customFormat="false" ht="12.75" hidden="false" customHeight="false" outlineLevel="0" collapsed="false">
      <c r="B209" s="1" t="n">
        <v>0</v>
      </c>
      <c r="C209" s="1" t="n">
        <v>0</v>
      </c>
      <c r="D209" s="1" t="n">
        <v>6250</v>
      </c>
      <c r="E209" s="1" t="n">
        <v>6250</v>
      </c>
      <c r="F209" s="1" t="n">
        <v>6250</v>
      </c>
      <c r="G209" s="1" t="n">
        <v>6250</v>
      </c>
      <c r="H209" s="1" t="n">
        <v>6250</v>
      </c>
      <c r="I209" s="1" t="n">
        <v>6250</v>
      </c>
      <c r="J209" s="1" t="n">
        <v>6250</v>
      </c>
      <c r="K209" s="1" t="n">
        <v>6250</v>
      </c>
      <c r="L209" s="1" t="n">
        <v>6250</v>
      </c>
      <c r="M209" s="1" t="n">
        <v>6250</v>
      </c>
      <c r="N209" s="1" t="n">
        <f aca="false">M209</f>
        <v>6250</v>
      </c>
      <c r="O209" s="1" t="n">
        <f aca="false">N209</f>
        <v>6250</v>
      </c>
      <c r="P209" s="1" t="n">
        <f aca="false">O209</f>
        <v>6250</v>
      </c>
      <c r="Q209" s="1" t="n">
        <f aca="false">P209</f>
        <v>6250</v>
      </c>
      <c r="R209" s="1" t="n">
        <f aca="false">Q209</f>
        <v>6250</v>
      </c>
      <c r="S209" s="1" t="n">
        <f aca="false">R209</f>
        <v>6250</v>
      </c>
      <c r="T209" s="1" t="n">
        <f aca="false">S209</f>
        <v>6250</v>
      </c>
      <c r="U209" s="1" t="n">
        <f aca="false">T209</f>
        <v>6250</v>
      </c>
      <c r="V209" s="1" t="n">
        <f aca="false">U209</f>
        <v>6250</v>
      </c>
      <c r="W209" s="1" t="n">
        <f aca="false">V209</f>
        <v>6250</v>
      </c>
      <c r="X209" s="1" t="n">
        <f aca="false">W209</f>
        <v>6250</v>
      </c>
      <c r="Y209" s="1" t="n">
        <f aca="false">X209</f>
        <v>6250</v>
      </c>
      <c r="Z209" s="1" t="n">
        <v>7750</v>
      </c>
      <c r="AA209" s="1" t="n">
        <v>7750</v>
      </c>
      <c r="AB209" s="1" t="n">
        <v>7750</v>
      </c>
      <c r="AC209" s="1" t="n">
        <v>7750</v>
      </c>
      <c r="AD209" s="1" t="n">
        <v>7750</v>
      </c>
      <c r="AE209" s="1" t="n">
        <v>7750</v>
      </c>
    </row>
    <row r="210" customFormat="false" ht="12.75" hidden="false" customHeight="false" outlineLevel="0" collapsed="false">
      <c r="B210" s="480" t="n">
        <f aca="false">SUM(B209:M209)</f>
        <v>62500</v>
      </c>
      <c r="C210" s="480"/>
      <c r="D210" s="480"/>
      <c r="E210" s="480"/>
      <c r="F210" s="480"/>
      <c r="G210" s="480"/>
      <c r="H210" s="480"/>
      <c r="I210" s="480"/>
      <c r="J210" s="480"/>
      <c r="K210" s="480"/>
      <c r="L210" s="480"/>
      <c r="M210" s="480"/>
      <c r="N210" s="480" t="n">
        <f aca="false">SUM(N209:Y209)</f>
        <v>75000</v>
      </c>
      <c r="O210" s="480"/>
      <c r="P210" s="480"/>
      <c r="Q210" s="480"/>
      <c r="R210" s="480"/>
      <c r="S210" s="480"/>
      <c r="T210" s="480"/>
      <c r="U210" s="480"/>
      <c r="V210" s="480"/>
      <c r="W210" s="480"/>
      <c r="X210" s="480"/>
      <c r="Y210" s="480"/>
      <c r="Z210" s="480" t="n">
        <f aca="false">SUM(Z209:AK209)</f>
        <v>46500</v>
      </c>
      <c r="AA210" s="480"/>
      <c r="AB210" s="480"/>
      <c r="AC210" s="480"/>
      <c r="AD210" s="480"/>
      <c r="AE210" s="480"/>
      <c r="AF210" s="480"/>
      <c r="AG210" s="480"/>
      <c r="AH210" s="480"/>
      <c r="AI210" s="480"/>
      <c r="AJ210" s="480"/>
      <c r="AK210" s="480"/>
    </row>
    <row r="212" customFormat="false" ht="12.75" hidden="false" customHeight="false" outlineLevel="0" collapsed="false">
      <c r="AE212" s="1" t="n">
        <f aca="false">Z210*2</f>
        <v>93000</v>
      </c>
    </row>
    <row r="214" customFormat="false" ht="12.75" hidden="false" customHeight="false" outlineLevel="0" collapsed="false">
      <c r="B214" s="3" t="s">
        <v>960</v>
      </c>
      <c r="H214" s="3" t="s">
        <v>1028</v>
      </c>
      <c r="N214" s="3" t="s">
        <v>1029</v>
      </c>
      <c r="T214" s="3" t="s">
        <v>1030</v>
      </c>
    </row>
    <row r="215" customFormat="false" ht="12.75" hidden="false" customHeight="false" outlineLevel="0" collapsed="false">
      <c r="H215" s="1" t="n">
        <v>1525</v>
      </c>
    </row>
    <row r="216" customFormat="false" ht="12.75" hidden="false" customHeight="false" outlineLevel="0" collapsed="false">
      <c r="B216" s="3" t="s">
        <v>1031</v>
      </c>
      <c r="C216" s="423" t="n">
        <f aca="false">SUM(75000/12)*10</f>
        <v>62500</v>
      </c>
      <c r="D216" s="423" t="n">
        <f aca="false">C216/$D$206</f>
        <v>40.9836065573771</v>
      </c>
      <c r="E216" s="449" t="n">
        <v>75000</v>
      </c>
      <c r="H216" s="3" t="s">
        <v>1031</v>
      </c>
      <c r="I216" s="423" t="n">
        <f aca="false">6250*10</f>
        <v>62500</v>
      </c>
      <c r="J216" s="423" t="n">
        <f aca="false">I216/$D$206</f>
        <v>40.9836065573771</v>
      </c>
      <c r="K216" s="429" t="n">
        <f aca="false">I216/12</f>
        <v>5208.33333333333</v>
      </c>
      <c r="N216" s="3" t="s">
        <v>1031</v>
      </c>
      <c r="O216" s="423" t="n">
        <f aca="false">6250*10</f>
        <v>62500</v>
      </c>
      <c r="P216" s="423" t="n">
        <f aca="false">O216/$D$206</f>
        <v>40.9836065573771</v>
      </c>
      <c r="Q216" s="429" t="n">
        <f aca="false">O216/12</f>
        <v>5208.33333333333</v>
      </c>
      <c r="T216" s="3" t="s">
        <v>1031</v>
      </c>
      <c r="U216" s="423" t="n">
        <f aca="false">5250*10</f>
        <v>52500</v>
      </c>
      <c r="V216" s="423" t="n">
        <f aca="false">U216/$D$206</f>
        <v>34.4262295081967</v>
      </c>
      <c r="W216" s="429" t="n">
        <f aca="false">U216/12</f>
        <v>4375</v>
      </c>
    </row>
    <row r="217" customFormat="false" ht="12.75" hidden="false" customHeight="false" outlineLevel="0" collapsed="false">
      <c r="B217" s="3" t="s">
        <v>1032</v>
      </c>
      <c r="C217" s="423" t="n">
        <v>93000</v>
      </c>
      <c r="D217" s="423" t="n">
        <f aca="false">C217/$D$206</f>
        <v>60.9836065573771</v>
      </c>
      <c r="H217" s="3" t="s">
        <v>1032</v>
      </c>
      <c r="I217" s="423" t="n">
        <v>80000</v>
      </c>
      <c r="J217" s="423" t="n">
        <f aca="false">I217/$D$206</f>
        <v>52.4590163934426</v>
      </c>
      <c r="K217" s="429" t="n">
        <f aca="false">I217/12</f>
        <v>6666.66666666667</v>
      </c>
      <c r="N217" s="3" t="s">
        <v>1032</v>
      </c>
      <c r="O217" s="423" t="n">
        <v>72500</v>
      </c>
      <c r="P217" s="423" t="n">
        <f aca="false">O217/$D$206</f>
        <v>47.5409836065574</v>
      </c>
      <c r="Q217" s="429" t="n">
        <f aca="false">O217/12</f>
        <v>6041.66666666667</v>
      </c>
      <c r="T217" s="3" t="s">
        <v>1032</v>
      </c>
      <c r="U217" s="423" t="n">
        <v>63000</v>
      </c>
      <c r="V217" s="423" t="n">
        <f aca="false">U217/$D$206</f>
        <v>41.3114754098361</v>
      </c>
      <c r="W217" s="429" t="n">
        <f aca="false">U217/12</f>
        <v>5250</v>
      </c>
    </row>
    <row r="218" customFormat="false" ht="12.75" hidden="false" customHeight="false" outlineLevel="0" collapsed="false">
      <c r="B218" s="3" t="s">
        <v>1033</v>
      </c>
      <c r="C218" s="423" t="n">
        <f aca="false">46500*2</f>
        <v>93000</v>
      </c>
      <c r="D218" s="423" t="n">
        <f aca="false">C218/$D$206</f>
        <v>60.9836065573771</v>
      </c>
      <c r="H218" s="3" t="s">
        <v>1033</v>
      </c>
      <c r="I218" s="423" t="n">
        <v>85000</v>
      </c>
      <c r="J218" s="423" t="n">
        <f aca="false">I218/$D$206</f>
        <v>55.7377049180328</v>
      </c>
      <c r="K218" s="429" t="n">
        <f aca="false">I218/12</f>
        <v>7083.33333333333</v>
      </c>
      <c r="N218" s="3" t="s">
        <v>1033</v>
      </c>
      <c r="O218" s="423" t="n">
        <v>82000</v>
      </c>
      <c r="P218" s="423" t="n">
        <f aca="false">O218/$D$206</f>
        <v>53.7704918032787</v>
      </c>
      <c r="Q218" s="429" t="n">
        <f aca="false">O218/12</f>
        <v>6833.33333333333</v>
      </c>
      <c r="T218" s="3" t="s">
        <v>1033</v>
      </c>
      <c r="U218" s="423" t="n">
        <f aca="false">7750*12</f>
        <v>93000</v>
      </c>
      <c r="V218" s="423" t="n">
        <f aca="false">U218/$D$206</f>
        <v>60.9836065573771</v>
      </c>
      <c r="W218" s="429" t="n">
        <f aca="false">U218/12</f>
        <v>7750</v>
      </c>
    </row>
    <row r="219" customFormat="false" ht="12.75" hidden="false" customHeight="false" outlineLevel="0" collapsed="false">
      <c r="B219" s="3" t="s">
        <v>1034</v>
      </c>
      <c r="C219" s="423" t="n">
        <f aca="false">46500*2</f>
        <v>93000</v>
      </c>
      <c r="D219" s="423" t="n">
        <f aca="false">C219/$D$206</f>
        <v>60.9836065573771</v>
      </c>
      <c r="H219" s="3" t="s">
        <v>1034</v>
      </c>
      <c r="I219" s="423" t="n">
        <v>90000</v>
      </c>
      <c r="J219" s="423" t="n">
        <f aca="false">I219/$D$206</f>
        <v>59.016393442623</v>
      </c>
      <c r="K219" s="429" t="n">
        <f aca="false">I219/12</f>
        <v>7500</v>
      </c>
      <c r="N219" s="3" t="s">
        <v>1034</v>
      </c>
      <c r="O219" s="435" t="n">
        <v>90000</v>
      </c>
      <c r="P219" s="423" t="n">
        <f aca="false">O219/$D$206</f>
        <v>59.016393442623</v>
      </c>
      <c r="Q219" s="429" t="n">
        <f aca="false">O219/12</f>
        <v>7500</v>
      </c>
      <c r="T219" s="3" t="s">
        <v>1034</v>
      </c>
      <c r="U219" s="435" t="n">
        <f aca="false">U218</f>
        <v>93000</v>
      </c>
      <c r="V219" s="423" t="n">
        <f aca="false">U219/$D$206</f>
        <v>60.9836065573771</v>
      </c>
      <c r="W219" s="429" t="n">
        <f aca="false">U219/12</f>
        <v>7750</v>
      </c>
    </row>
    <row r="220" customFormat="false" ht="12.75" hidden="false" customHeight="false" outlineLevel="0" collapsed="false">
      <c r="B220" s="3" t="s">
        <v>1035</v>
      </c>
      <c r="C220" s="423" t="n">
        <f aca="false">46500*2</f>
        <v>93000</v>
      </c>
      <c r="D220" s="423" t="n">
        <f aca="false">C220/$D$206</f>
        <v>60.9836065573771</v>
      </c>
      <c r="H220" s="3" t="s">
        <v>1035</v>
      </c>
      <c r="I220" s="423" t="n">
        <v>93000</v>
      </c>
      <c r="J220" s="423" t="n">
        <f aca="false">I220/$D$206</f>
        <v>60.9836065573771</v>
      </c>
      <c r="N220" s="3" t="s">
        <v>1035</v>
      </c>
      <c r="O220" s="423" t="n">
        <v>93000</v>
      </c>
      <c r="P220" s="423" t="n">
        <f aca="false">O220/$D$206</f>
        <v>60.9836065573771</v>
      </c>
      <c r="Q220" s="429" t="n">
        <f aca="false">O220/12</f>
        <v>7750</v>
      </c>
      <c r="T220" s="3" t="s">
        <v>1035</v>
      </c>
      <c r="U220" s="423" t="n">
        <v>93000</v>
      </c>
      <c r="V220" s="423" t="n">
        <f aca="false">U220/$D$206</f>
        <v>60.9836065573771</v>
      </c>
      <c r="W220" s="429" t="n">
        <f aca="false">U220/12</f>
        <v>7750</v>
      </c>
    </row>
    <row r="221" customFormat="false" ht="12.75" hidden="false" customHeight="false" outlineLevel="0" collapsed="false">
      <c r="B221" s="3"/>
      <c r="H221" s="3"/>
      <c r="N221" s="3"/>
      <c r="T221" s="3"/>
    </row>
    <row r="222" customFormat="false" ht="12.75" hidden="false" customHeight="false" outlineLevel="0" collapsed="false">
      <c r="B222" s="3" t="s">
        <v>1036</v>
      </c>
      <c r="C222" s="429" t="n">
        <f aca="false">SUM(C216:C220)/5</f>
        <v>86900</v>
      </c>
      <c r="H222" s="3" t="s">
        <v>1036</v>
      </c>
      <c r="I222" s="429" t="n">
        <f aca="false">SUM(I216:I220)/5</f>
        <v>82100</v>
      </c>
      <c r="N222" s="3" t="s">
        <v>1036</v>
      </c>
      <c r="O222" s="429" t="n">
        <f aca="false">SUM(O216:O220)/5</f>
        <v>80000</v>
      </c>
      <c r="T222" s="3" t="s">
        <v>1036</v>
      </c>
      <c r="U222" s="429" t="n">
        <f aca="false">SUM(U216:U220)/5</f>
        <v>78900</v>
      </c>
    </row>
    <row r="223" customFormat="false" ht="12.75" hidden="false" customHeight="false" outlineLevel="0" collapsed="false">
      <c r="B223" s="3" t="s">
        <v>877</v>
      </c>
      <c r="C223" s="481" t="n">
        <f aca="false">SUM(C216:C220)</f>
        <v>434500</v>
      </c>
      <c r="F223" s="429" t="n">
        <f aca="false">I223-$C$223</f>
        <v>-24000</v>
      </c>
      <c r="H223" s="3" t="s">
        <v>877</v>
      </c>
      <c r="I223" s="481" t="n">
        <f aca="false">SUM(I216:I220)</f>
        <v>410500</v>
      </c>
      <c r="L223" s="429" t="n">
        <f aca="false">O223-$C$223</f>
        <v>-34500</v>
      </c>
      <c r="N223" s="3" t="s">
        <v>877</v>
      </c>
      <c r="O223" s="481" t="n">
        <f aca="false">SUM(O216:O220)</f>
        <v>400000</v>
      </c>
      <c r="R223" s="429" t="n">
        <f aca="false">U223-$C$223</f>
        <v>-40000</v>
      </c>
      <c r="T223" s="3" t="s">
        <v>877</v>
      </c>
      <c r="U223" s="481" t="n">
        <f aca="false">SUM(U216:U220)</f>
        <v>394500</v>
      </c>
    </row>
    <row r="224" customFormat="false" ht="18" hidden="false" customHeight="true" outlineLevel="0" collapsed="false"/>
    <row r="225" customFormat="false" ht="12.75" hidden="false" customHeight="false" outlineLevel="0" collapsed="false">
      <c r="AL225" s="482"/>
    </row>
    <row r="226" customFormat="false" ht="12.75" hidden="false" customHeight="false" outlineLevel="0" collapsed="false">
      <c r="AL226" s="482"/>
    </row>
    <row r="227" customFormat="false" ht="12.75" hidden="false" customHeight="false" outlineLevel="0" collapsed="false">
      <c r="B227" s="1" t="s">
        <v>1037</v>
      </c>
      <c r="H227" s="1" t="n">
        <v>2024</v>
      </c>
      <c r="I227" s="1" t="n">
        <v>2025</v>
      </c>
      <c r="J227" s="1" t="n">
        <v>2025</v>
      </c>
      <c r="K227" s="1" t="n">
        <v>2025</v>
      </c>
      <c r="L227" s="1" t="n">
        <v>2025</v>
      </c>
      <c r="M227" s="1" t="n">
        <v>2025</v>
      </c>
      <c r="N227" s="1" t="n">
        <v>2025</v>
      </c>
      <c r="O227" s="1" t="n">
        <v>2025</v>
      </c>
      <c r="P227" s="1" t="n">
        <v>2025</v>
      </c>
      <c r="Q227" s="1" t="n">
        <v>2025</v>
      </c>
      <c r="R227" s="1" t="n">
        <v>2025</v>
      </c>
      <c r="S227" s="1" t="n">
        <v>2025</v>
      </c>
      <c r="T227" s="1" t="n">
        <v>2025</v>
      </c>
      <c r="U227" s="1" t="n">
        <v>2026</v>
      </c>
      <c r="V227" s="1" t="n">
        <v>2026</v>
      </c>
      <c r="W227" s="1" t="n">
        <v>2026</v>
      </c>
      <c r="X227" s="1" t="n">
        <v>2026</v>
      </c>
      <c r="Y227" s="1" t="n">
        <v>2026</v>
      </c>
      <c r="Z227" s="1" t="n">
        <v>2026</v>
      </c>
      <c r="AA227" s="1" t="n">
        <v>2026</v>
      </c>
      <c r="AB227" s="1" t="n">
        <v>2026</v>
      </c>
      <c r="AC227" s="1" t="n">
        <v>2026</v>
      </c>
      <c r="AD227" s="1" t="n">
        <v>2026</v>
      </c>
      <c r="AE227" s="1" t="n">
        <v>2026</v>
      </c>
      <c r="AF227" s="1" t="n">
        <v>2026</v>
      </c>
      <c r="AG227" s="1" t="n">
        <v>2027</v>
      </c>
      <c r="AH227" s="1" t="n">
        <v>2027</v>
      </c>
      <c r="AI227" s="1" t="n">
        <v>2027</v>
      </c>
      <c r="AJ227" s="1" t="n">
        <v>2027</v>
      </c>
      <c r="AK227" s="1" t="n">
        <v>2027</v>
      </c>
      <c r="AL227" s="482" t="n">
        <v>2027</v>
      </c>
      <c r="AM227" s="1" t="n">
        <v>2027</v>
      </c>
      <c r="AN227" s="1" t="n">
        <v>2027</v>
      </c>
      <c r="AO227" s="1" t="n">
        <v>2027</v>
      </c>
      <c r="AP227" s="1" t="n">
        <v>2027</v>
      </c>
      <c r="AQ227" s="1" t="n">
        <v>2027</v>
      </c>
      <c r="AR227" s="1" t="n">
        <v>2027</v>
      </c>
    </row>
    <row r="228" customFormat="false" ht="12.75" hidden="false" customHeight="false" outlineLevel="0" collapsed="false">
      <c r="B228" s="1" t="s">
        <v>1038</v>
      </c>
      <c r="C228" s="483" t="n">
        <v>1636</v>
      </c>
      <c r="H228" s="3" t="s">
        <v>1039</v>
      </c>
      <c r="I228" s="3" t="s">
        <v>1040</v>
      </c>
      <c r="J228" s="3" t="s">
        <v>1026</v>
      </c>
      <c r="K228" s="334" t="s">
        <v>1016</v>
      </c>
      <c r="L228" s="334" t="s">
        <v>1027</v>
      </c>
      <c r="M228" s="334" t="s">
        <v>1018</v>
      </c>
      <c r="N228" s="334" t="s">
        <v>1019</v>
      </c>
      <c r="O228" s="334" t="s">
        <v>1020</v>
      </c>
      <c r="P228" s="334" t="s">
        <v>1021</v>
      </c>
      <c r="Q228" s="334" t="s">
        <v>1022</v>
      </c>
      <c r="R228" s="334" t="s">
        <v>1023</v>
      </c>
      <c r="S228" s="334" t="s">
        <v>1024</v>
      </c>
      <c r="T228" s="334" t="s">
        <v>1025</v>
      </c>
      <c r="U228" s="334" t="s">
        <v>1014</v>
      </c>
      <c r="V228" s="334" t="s">
        <v>1026</v>
      </c>
      <c r="W228" s="334" t="s">
        <v>1016</v>
      </c>
      <c r="X228" s="334" t="s">
        <v>1027</v>
      </c>
      <c r="Y228" s="334" t="s">
        <v>1018</v>
      </c>
      <c r="Z228" s="334" t="s">
        <v>1019</v>
      </c>
      <c r="AA228" s="334" t="s">
        <v>1020</v>
      </c>
      <c r="AB228" s="334" t="s">
        <v>1021</v>
      </c>
      <c r="AC228" s="334" t="s">
        <v>1022</v>
      </c>
      <c r="AD228" s="334" t="s">
        <v>1023</v>
      </c>
      <c r="AE228" s="334" t="s">
        <v>1024</v>
      </c>
      <c r="AF228" s="334" t="s">
        <v>1025</v>
      </c>
      <c r="AG228" s="334" t="s">
        <v>1014</v>
      </c>
      <c r="AH228" s="334" t="s">
        <v>1026</v>
      </c>
      <c r="AI228" s="334" t="s">
        <v>1016</v>
      </c>
      <c r="AJ228" s="334" t="s">
        <v>1027</v>
      </c>
      <c r="AK228" s="334" t="s">
        <v>1018</v>
      </c>
      <c r="AL228" s="484" t="s">
        <v>1019</v>
      </c>
      <c r="AM228" s="334" t="s">
        <v>1020</v>
      </c>
      <c r="AN228" s="334" t="s">
        <v>1021</v>
      </c>
      <c r="AO228" s="334" t="s">
        <v>1022</v>
      </c>
      <c r="AP228" s="334" t="s">
        <v>1023</v>
      </c>
      <c r="AQ228" s="334" t="s">
        <v>1024</v>
      </c>
      <c r="AR228" s="334" t="s">
        <v>1025</v>
      </c>
      <c r="AS228" s="334"/>
      <c r="AT228" s="334"/>
    </row>
    <row r="229" customFormat="false" ht="12.75" hidden="false" customHeight="false" outlineLevel="0" collapsed="false">
      <c r="C229" s="3" t="s">
        <v>1041</v>
      </c>
      <c r="D229" s="3" t="s">
        <v>1042</v>
      </c>
      <c r="K229" s="485" t="n">
        <f aca="false">$C$230/12</f>
        <v>10565.8333333333</v>
      </c>
      <c r="L229" s="485" t="n">
        <f aca="false">$C$230/12</f>
        <v>10565.8333333333</v>
      </c>
      <c r="M229" s="486" t="n">
        <f aca="false">$C$230/12</f>
        <v>10565.8333333333</v>
      </c>
      <c r="N229" s="486" t="n">
        <f aca="false">$C$230/12</f>
        <v>10565.8333333333</v>
      </c>
      <c r="O229" s="486" t="n">
        <f aca="false">$C$230/12</f>
        <v>10565.8333333333</v>
      </c>
      <c r="P229" s="486" t="n">
        <f aca="false">$C$230/12</f>
        <v>10565.8333333333</v>
      </c>
      <c r="Q229" s="486" t="n">
        <f aca="false">$C$230/12</f>
        <v>10565.8333333333</v>
      </c>
      <c r="R229" s="486" t="n">
        <f aca="false">$C$230/12</f>
        <v>10565.8333333333</v>
      </c>
      <c r="S229" s="486" t="n">
        <f aca="false">$C$230/12</f>
        <v>10565.8333333333</v>
      </c>
      <c r="T229" s="486" t="n">
        <f aca="false">$C$230/12</f>
        <v>10565.8333333333</v>
      </c>
      <c r="U229" s="486" t="n">
        <f aca="false">$C$230/12</f>
        <v>10565.8333333333</v>
      </c>
      <c r="V229" s="486" t="n">
        <f aca="false">$C$230/12</f>
        <v>10565.8333333333</v>
      </c>
      <c r="W229" s="486" t="n">
        <f aca="false">$C$230/12</f>
        <v>10565.8333333333</v>
      </c>
      <c r="X229" s="486" t="n">
        <f aca="false">$C$230/12</f>
        <v>10565.8333333333</v>
      </c>
      <c r="Y229" s="486" t="n">
        <f aca="false">$C$230/12</f>
        <v>10565.8333333333</v>
      </c>
      <c r="Z229" s="486" t="n">
        <f aca="false">$C$230/12</f>
        <v>10565.8333333333</v>
      </c>
      <c r="AA229" s="486" t="n">
        <f aca="false">$C$230/12</f>
        <v>10565.8333333333</v>
      </c>
      <c r="AB229" s="486" t="n">
        <f aca="false">$C$230/12</f>
        <v>10565.8333333333</v>
      </c>
      <c r="AC229" s="486" t="n">
        <f aca="false">$C$230/12</f>
        <v>10565.8333333333</v>
      </c>
      <c r="AD229" s="486" t="n">
        <f aca="false">$C$230/12</f>
        <v>10565.8333333333</v>
      </c>
      <c r="AE229" s="486" t="n">
        <f aca="false">$C$230/12</f>
        <v>10565.8333333333</v>
      </c>
      <c r="AF229" s="486" t="n">
        <f aca="false">$C$230/12</f>
        <v>10565.8333333333</v>
      </c>
      <c r="AG229" s="486" t="n">
        <f aca="false">$C$230/12</f>
        <v>10565.8333333333</v>
      </c>
      <c r="AH229" s="486" t="n">
        <f aca="false">$C$230/12</f>
        <v>10565.8333333333</v>
      </c>
      <c r="AI229" s="486" t="n">
        <f aca="false">$C$230/12</f>
        <v>10565.8333333333</v>
      </c>
      <c r="AJ229" s="486" t="n">
        <f aca="false">$C$230/12</f>
        <v>10565.8333333333</v>
      </c>
      <c r="AK229" s="486" t="n">
        <f aca="false">$C$230/12</f>
        <v>10565.8333333333</v>
      </c>
      <c r="AL229" s="487" t="n">
        <f aca="false">$C$230/12</f>
        <v>10565.8333333333</v>
      </c>
      <c r="AM229" s="486" t="n">
        <f aca="false">$C$230/12</f>
        <v>10565.8333333333</v>
      </c>
      <c r="AN229" s="486" t="n">
        <f aca="false">$C$230/12</f>
        <v>10565.8333333333</v>
      </c>
      <c r="AO229" s="486" t="n">
        <f aca="false">$C$230/12</f>
        <v>10565.8333333333</v>
      </c>
      <c r="AP229" s="486" t="n">
        <f aca="false">$C$230/12</f>
        <v>10565.8333333333</v>
      </c>
      <c r="AQ229" s="486" t="n">
        <f aca="false">$C$230/12</f>
        <v>10565.8333333333</v>
      </c>
      <c r="AR229" s="486" t="n">
        <f aca="false">$C$230/12</f>
        <v>10565.8333333333</v>
      </c>
      <c r="AS229" s="486"/>
      <c r="AT229" s="488" t="n">
        <f aca="false">34/12</f>
        <v>2.83333333333333</v>
      </c>
      <c r="AV229" s="421" t="n">
        <f aca="false">SUM(K229:AT229)</f>
        <v>359241.166666667</v>
      </c>
    </row>
    <row r="230" customFormat="false" ht="12.75" hidden="false" customHeight="false" outlineLevel="0" collapsed="false">
      <c r="B230" s="447" t="n">
        <v>77.5</v>
      </c>
      <c r="C230" s="423" t="n">
        <f aca="false">$C$228*B230</f>
        <v>126790</v>
      </c>
      <c r="D230" s="429" t="n">
        <f aca="false">C230/12</f>
        <v>10565.8333333333</v>
      </c>
      <c r="K230" s="315"/>
      <c r="L230" s="315"/>
      <c r="M230" s="315"/>
      <c r="N230" s="486" t="n">
        <f aca="false">$C$232/12</f>
        <v>11861</v>
      </c>
      <c r="O230" s="486" t="n">
        <f aca="false">$C$232/12</f>
        <v>11861</v>
      </c>
      <c r="P230" s="486" t="n">
        <f aca="false">$C$232/12</f>
        <v>11861</v>
      </c>
      <c r="Q230" s="486" t="n">
        <f aca="false">$C$232/12</f>
        <v>11861</v>
      </c>
      <c r="R230" s="486" t="n">
        <f aca="false">$C$232/12</f>
        <v>11861</v>
      </c>
      <c r="S230" s="486" t="n">
        <f aca="false">$C$232/12</f>
        <v>11861</v>
      </c>
      <c r="T230" s="486" t="n">
        <f aca="false">$C$232/12</f>
        <v>11861</v>
      </c>
      <c r="U230" s="486" t="n">
        <f aca="false">$C$232/12</f>
        <v>11861</v>
      </c>
      <c r="V230" s="486" t="n">
        <f aca="false">$C$232/12</f>
        <v>11861</v>
      </c>
      <c r="W230" s="486" t="n">
        <f aca="false">$C$232/12</f>
        <v>11861</v>
      </c>
      <c r="X230" s="486" t="n">
        <f aca="false">$C$232/12</f>
        <v>11861</v>
      </c>
      <c r="Y230" s="486" t="n">
        <f aca="false">$C$232/12</f>
        <v>11861</v>
      </c>
      <c r="Z230" s="486" t="n">
        <f aca="false">$C$232/12</f>
        <v>11861</v>
      </c>
      <c r="AA230" s="486" t="n">
        <f aca="false">$C$232/12</f>
        <v>11861</v>
      </c>
      <c r="AB230" s="486" t="n">
        <f aca="false">$C$232/12</f>
        <v>11861</v>
      </c>
      <c r="AC230" s="486" t="n">
        <f aca="false">$C$232/12</f>
        <v>11861</v>
      </c>
      <c r="AD230" s="486" t="n">
        <f aca="false">$C$232/12</f>
        <v>11861</v>
      </c>
      <c r="AE230" s="486" t="n">
        <f aca="false">$C$232/12</f>
        <v>11861</v>
      </c>
      <c r="AF230" s="486" t="n">
        <f aca="false">$C$232/12</f>
        <v>11861</v>
      </c>
      <c r="AG230" s="486" t="n">
        <f aca="false">$C$232/12</f>
        <v>11861</v>
      </c>
      <c r="AH230" s="486" t="n">
        <f aca="false">$C$232/12</f>
        <v>11861</v>
      </c>
      <c r="AI230" s="486" t="n">
        <f aca="false">$C$232/12</f>
        <v>11861</v>
      </c>
      <c r="AJ230" s="486" t="n">
        <f aca="false">$C$232/12</f>
        <v>11861</v>
      </c>
      <c r="AK230" s="486" t="n">
        <f aca="false">$C$232/12</f>
        <v>11861</v>
      </c>
      <c r="AL230" s="487" t="n">
        <f aca="false">$C$232/12</f>
        <v>11861</v>
      </c>
      <c r="AM230" s="486" t="n">
        <f aca="false">$C$232/12</f>
        <v>11861</v>
      </c>
      <c r="AN230" s="486" t="n">
        <f aca="false">$C$232/12</f>
        <v>11861</v>
      </c>
      <c r="AO230" s="486" t="n">
        <f aca="false">$C$232/12</f>
        <v>11861</v>
      </c>
      <c r="AP230" s="486" t="n">
        <f aca="false">$C$232/12</f>
        <v>11861</v>
      </c>
      <c r="AQ230" s="486" t="n">
        <f aca="false">$C$232/12</f>
        <v>11861</v>
      </c>
      <c r="AR230" s="486" t="n">
        <f aca="false">$C$232/12</f>
        <v>11861</v>
      </c>
      <c r="AS230" s="486"/>
      <c r="AT230" s="488" t="n">
        <f aca="false">31/12</f>
        <v>2.58333333333333</v>
      </c>
      <c r="AV230" s="421" t="n">
        <f aca="false">SUM(K230:AT230)</f>
        <v>367693.583333333</v>
      </c>
    </row>
    <row r="231" customFormat="false" ht="12.75" hidden="false" customHeight="false" outlineLevel="0" collapsed="false">
      <c r="B231" s="447"/>
      <c r="C231" s="423"/>
      <c r="D231" s="429"/>
      <c r="K231" s="315"/>
      <c r="L231" s="315"/>
      <c r="M231" s="315"/>
      <c r="N231" s="315"/>
      <c r="O231" s="315"/>
      <c r="P231" s="315"/>
      <c r="Q231" s="315"/>
      <c r="R231" s="315"/>
      <c r="S231" s="315"/>
      <c r="T231" s="315"/>
      <c r="U231" s="315"/>
      <c r="V231" s="315"/>
      <c r="W231" s="315"/>
      <c r="X231" s="315"/>
      <c r="Y231" s="315"/>
      <c r="Z231" s="315"/>
      <c r="AA231" s="315"/>
      <c r="AB231" s="315"/>
      <c r="AC231" s="315"/>
      <c r="AD231" s="315"/>
      <c r="AE231" s="315"/>
      <c r="AF231" s="315"/>
      <c r="AG231" s="315"/>
      <c r="AH231" s="315"/>
      <c r="AI231" s="315"/>
      <c r="AJ231" s="315"/>
      <c r="AK231" s="315"/>
      <c r="AL231" s="489"/>
      <c r="AM231" s="315"/>
      <c r="AN231" s="315"/>
      <c r="AO231" s="315"/>
      <c r="AP231" s="315"/>
      <c r="AQ231" s="315"/>
      <c r="AR231" s="315"/>
      <c r="AS231" s="315"/>
      <c r="AT231" s="315"/>
      <c r="AV231" s="421"/>
    </row>
    <row r="232" customFormat="false" ht="12.75" hidden="false" customHeight="false" outlineLevel="0" collapsed="false">
      <c r="B232" s="447" t="n">
        <v>87</v>
      </c>
      <c r="C232" s="423" t="n">
        <f aca="false">$C$228*B232</f>
        <v>142332</v>
      </c>
      <c r="D232" s="429" t="n">
        <f aca="false">C232/12</f>
        <v>11861</v>
      </c>
      <c r="K232" s="315"/>
      <c r="L232" s="315"/>
      <c r="M232" s="315"/>
      <c r="N232" s="315"/>
      <c r="O232" s="315"/>
      <c r="P232" s="315"/>
      <c r="Q232" s="315"/>
      <c r="R232" s="315"/>
      <c r="S232" s="315"/>
      <c r="T232" s="315"/>
      <c r="U232" s="315"/>
      <c r="V232" s="315"/>
      <c r="W232" s="315"/>
      <c r="X232" s="315"/>
      <c r="Y232" s="315"/>
      <c r="Z232" s="315"/>
      <c r="AA232" s="315"/>
      <c r="AB232" s="315"/>
      <c r="AC232" s="315"/>
      <c r="AD232" s="315"/>
      <c r="AE232" s="315"/>
      <c r="AF232" s="315"/>
      <c r="AG232" s="315"/>
      <c r="AH232" s="315"/>
      <c r="AI232" s="315"/>
      <c r="AJ232" s="315"/>
      <c r="AK232" s="315"/>
      <c r="AL232" s="489"/>
      <c r="AM232" s="315"/>
      <c r="AN232" s="315"/>
      <c r="AO232" s="315"/>
      <c r="AP232" s="315"/>
      <c r="AQ232" s="315"/>
      <c r="AR232" s="315"/>
      <c r="AS232" s="315"/>
      <c r="AT232" s="315"/>
    </row>
    <row r="233" customFormat="false" ht="12.75" hidden="false" customHeight="false" outlineLevel="0" collapsed="false">
      <c r="K233" s="315"/>
      <c r="L233" s="315"/>
      <c r="M233" s="315"/>
      <c r="N233" s="315"/>
      <c r="O233" s="315"/>
      <c r="P233" s="315"/>
      <c r="Q233" s="315"/>
      <c r="R233" s="315"/>
      <c r="S233" s="315"/>
      <c r="T233" s="315"/>
      <c r="U233" s="315"/>
      <c r="V233" s="315"/>
      <c r="W233" s="315"/>
      <c r="X233" s="315"/>
      <c r="Y233" s="315"/>
      <c r="Z233" s="315"/>
      <c r="AA233" s="315"/>
      <c r="AB233" s="315"/>
      <c r="AC233" s="315"/>
      <c r="AD233" s="315"/>
      <c r="AE233" s="315"/>
      <c r="AF233" s="315"/>
      <c r="AG233" s="315"/>
      <c r="AH233" s="315"/>
      <c r="AI233" s="315"/>
      <c r="AJ233" s="315"/>
      <c r="AK233" s="315"/>
      <c r="AL233" s="489"/>
      <c r="AM233" s="315"/>
      <c r="AN233" s="315"/>
      <c r="AO233" s="315"/>
      <c r="AP233" s="315"/>
      <c r="AQ233" s="315"/>
      <c r="AR233" s="315"/>
      <c r="AS233" s="315"/>
      <c r="AT233" s="315"/>
    </row>
    <row r="237" customFormat="false" ht="12.75" hidden="false" customHeight="false" outlineLevel="0" collapsed="false">
      <c r="B237" s="3" t="s">
        <v>1043</v>
      </c>
    </row>
    <row r="238" customFormat="false" ht="12.75" hidden="false" customHeight="false" outlineLevel="0" collapsed="false">
      <c r="D238" s="440" t="n">
        <v>180000</v>
      </c>
      <c r="E238" s="457"/>
      <c r="F238" s="440" t="n">
        <v>182000</v>
      </c>
      <c r="G238" s="457"/>
      <c r="H238" s="440" t="n">
        <v>185000</v>
      </c>
      <c r="M238" s="1" t="n">
        <v>688</v>
      </c>
    </row>
    <row r="239" customFormat="false" ht="12.75" hidden="false" customHeight="false" outlineLevel="0" collapsed="false">
      <c r="B239" s="289" t="n">
        <v>2651</v>
      </c>
      <c r="D239" s="423" t="n">
        <f aca="false">D238/B239</f>
        <v>67.8989060731799</v>
      </c>
      <c r="E239" s="429"/>
      <c r="F239" s="423" t="n">
        <f aca="false">F238/B239</f>
        <v>68.6533383628819</v>
      </c>
      <c r="G239" s="429"/>
      <c r="H239" s="423" t="n">
        <f aca="false">H238/B239</f>
        <v>69.7849867974349</v>
      </c>
      <c r="M239" s="1" t="n">
        <v>363</v>
      </c>
    </row>
    <row r="240" customFormat="false" ht="12.75" hidden="false" customHeight="false" outlineLevel="0" collapsed="false">
      <c r="C240" s="1" t="n">
        <v>1</v>
      </c>
      <c r="D240" s="423" t="n">
        <f aca="false">D238/12*8</f>
        <v>120000</v>
      </c>
      <c r="F240" s="423" t="n">
        <f aca="false">F238/12*8</f>
        <v>121333.333333333</v>
      </c>
      <c r="H240" s="423" t="n">
        <f aca="false">H238/12*8</f>
        <v>123333.333333333</v>
      </c>
      <c r="M240" s="1" t="n">
        <v>933</v>
      </c>
    </row>
    <row r="241" customFormat="false" ht="12.75" hidden="false" customHeight="false" outlineLevel="0" collapsed="false">
      <c r="C241" s="1" t="n">
        <v>2</v>
      </c>
      <c r="D241" s="423" t="n">
        <v>180000</v>
      </c>
      <c r="F241" s="423" t="n">
        <f aca="false">F238</f>
        <v>182000</v>
      </c>
      <c r="H241" s="423" t="n">
        <f aca="false">H238</f>
        <v>185000</v>
      </c>
      <c r="M241" s="1" t="n">
        <v>480</v>
      </c>
    </row>
    <row r="242" customFormat="false" ht="12.75" hidden="false" customHeight="false" outlineLevel="0" collapsed="false">
      <c r="C242" s="1" t="n">
        <v>3</v>
      </c>
      <c r="D242" s="423" t="n">
        <v>180000</v>
      </c>
      <c r="F242" s="423" t="n">
        <f aca="false">F241</f>
        <v>182000</v>
      </c>
      <c r="H242" s="423" t="n">
        <f aca="false">H241</f>
        <v>185000</v>
      </c>
      <c r="M242" s="1" t="n">
        <v>325</v>
      </c>
    </row>
    <row r="243" customFormat="false" ht="12.75" hidden="false" customHeight="false" outlineLevel="0" collapsed="false">
      <c r="C243" s="1" t="n">
        <v>4</v>
      </c>
      <c r="D243" s="435" t="n">
        <f aca="false">D238/12*10</f>
        <v>150000</v>
      </c>
      <c r="F243" s="435" t="n">
        <f aca="false">F238/12*10</f>
        <v>151666.666666667</v>
      </c>
      <c r="H243" s="435" t="n">
        <f aca="false">H238/12*10</f>
        <v>154166.666666667</v>
      </c>
      <c r="M243" s="1" t="n">
        <v>490</v>
      </c>
    </row>
    <row r="244" customFormat="false" ht="12.75" hidden="false" customHeight="false" outlineLevel="0" collapsed="false">
      <c r="C244" s="1" t="n">
        <v>5</v>
      </c>
      <c r="D244" s="423" t="n">
        <v>180000</v>
      </c>
      <c r="F244" s="423" t="n">
        <f aca="false">F242</f>
        <v>182000</v>
      </c>
      <c r="H244" s="423" t="n">
        <f aca="false">H242</f>
        <v>185000</v>
      </c>
    </row>
    <row r="245" customFormat="false" ht="12.75" hidden="false" customHeight="false" outlineLevel="0" collapsed="false">
      <c r="M245" s="1" t="n">
        <f aca="false">SUM(M238:M243)</f>
        <v>3279</v>
      </c>
    </row>
    <row r="246" customFormat="false" ht="12.75" hidden="false" customHeight="false" outlineLevel="0" collapsed="false">
      <c r="C246" s="469" t="s">
        <v>888</v>
      </c>
      <c r="D246" s="429" t="n">
        <f aca="false">SUM(D240:D245)</f>
        <v>810000</v>
      </c>
      <c r="F246" s="429" t="n">
        <f aca="false">SUM(F240:F245)</f>
        <v>819000</v>
      </c>
      <c r="H246" s="429" t="n">
        <f aca="false">SUM(H240:H245)</f>
        <v>832500</v>
      </c>
    </row>
    <row r="247" customFormat="false" ht="12.75" hidden="false" customHeight="false" outlineLevel="0" collapsed="false">
      <c r="D247" s="429" t="n">
        <f aca="false">D246/5</f>
        <v>162000</v>
      </c>
      <c r="F247" s="429" t="n">
        <f aca="false">F246/5</f>
        <v>163800</v>
      </c>
      <c r="H247" s="429" t="n">
        <f aca="false">H246/5</f>
        <v>166500</v>
      </c>
      <c r="M247" s="382" t="n">
        <f aca="false">M245*57</f>
        <v>186903</v>
      </c>
    </row>
    <row r="248" customFormat="false" ht="12.75" hidden="false" customHeight="false" outlineLevel="0" collapsed="false">
      <c r="D248" s="432" t="n">
        <f aca="false">D247/B239</f>
        <v>61.1090154658619</v>
      </c>
      <c r="F248" s="432" t="n">
        <f aca="false">F247/B239</f>
        <v>61.7880045265937</v>
      </c>
      <c r="H248" s="432" t="n">
        <f aca="false">H247/B239</f>
        <v>62.8064881176914</v>
      </c>
    </row>
    <row r="254" customFormat="false" ht="12.75" hidden="false" customHeight="false" outlineLevel="0" collapsed="false">
      <c r="C254" s="3" t="s">
        <v>1044</v>
      </c>
    </row>
    <row r="255" customFormat="false" ht="12.75" hidden="false" customHeight="false" outlineLevel="0" collapsed="false">
      <c r="D255" s="457" t="s">
        <v>1045</v>
      </c>
      <c r="E255" s="457" t="s">
        <v>956</v>
      </c>
      <c r="F255" s="457" t="s">
        <v>1046</v>
      </c>
      <c r="G255" s="457" t="s">
        <v>958</v>
      </c>
    </row>
    <row r="256" customFormat="false" ht="12.75" hidden="false" customHeight="false" outlineLevel="0" collapsed="false">
      <c r="D256" s="1" t="n">
        <v>835</v>
      </c>
      <c r="E256" s="490" t="n">
        <v>42502</v>
      </c>
      <c r="F256" s="423" t="n">
        <v>14940</v>
      </c>
      <c r="G256" s="423" t="n">
        <v>7445</v>
      </c>
      <c r="I256" s="490" t="n">
        <f aca="false">SUM(E256:G256)</f>
        <v>64887</v>
      </c>
      <c r="J256" s="491" t="n">
        <f aca="false">I256/D256</f>
        <v>77.7089820359281</v>
      </c>
    </row>
    <row r="257" customFormat="false" ht="12.75" hidden="false" customHeight="false" outlineLevel="0" collapsed="false">
      <c r="E257" s="491" t="n">
        <f aca="false">E256/$D$256</f>
        <v>50.9005988023952</v>
      </c>
      <c r="F257" s="491" t="n">
        <f aca="false">F256/$D$256</f>
        <v>17.8922155688623</v>
      </c>
      <c r="G257" s="491" t="n">
        <f aca="false">G256/$D$256</f>
        <v>8.91616766467066</v>
      </c>
    </row>
    <row r="258" customFormat="false" ht="12.75" hidden="false" customHeight="false" outlineLevel="0" collapsed="false">
      <c r="C258" s="3" t="s">
        <v>1047</v>
      </c>
    </row>
    <row r="259" customFormat="false" ht="12.75" hidden="false" customHeight="false" outlineLevel="0" collapsed="false">
      <c r="D259" s="1" t="n">
        <v>1250</v>
      </c>
      <c r="E259" s="423" t="n">
        <v>67500</v>
      </c>
      <c r="F259" s="423" t="n">
        <v>27200</v>
      </c>
      <c r="G259" s="1" t="n">
        <v>3000</v>
      </c>
      <c r="I259" s="490" t="n">
        <f aca="false">SUM(E259:G259)</f>
        <v>97700</v>
      </c>
      <c r="J259" s="491" t="n">
        <f aca="false">I259/D259</f>
        <v>78.16</v>
      </c>
    </row>
    <row r="260" customFormat="false" ht="12.75" hidden="false" customHeight="false" outlineLevel="0" collapsed="false">
      <c r="E260" s="491" t="n">
        <f aca="false">E259/$D$259</f>
        <v>54</v>
      </c>
      <c r="F260" s="491" t="n">
        <f aca="false">F259/$D$259</f>
        <v>21.76</v>
      </c>
      <c r="G260" s="491" t="n">
        <f aca="false">G259/$D$259</f>
        <v>2.4</v>
      </c>
      <c r="I260" s="490"/>
      <c r="J260" s="491"/>
    </row>
    <row r="261" customFormat="false" ht="12.75" hidden="false" customHeight="false" outlineLevel="0" collapsed="false">
      <c r="D261" s="293" t="n">
        <f aca="false">SUM(D259-D256)/D256</f>
        <v>0.497005988023952</v>
      </c>
      <c r="I261" s="293" t="n">
        <f aca="false">SUM(I259-I256)/I256</f>
        <v>0.505694515080062</v>
      </c>
    </row>
    <row r="263" customFormat="false" ht="12.75" hidden="false" customHeight="false" outlineLevel="0" collapsed="false">
      <c r="E263" s="491" t="n">
        <f aca="false">E256/100</f>
        <v>425.02</v>
      </c>
    </row>
    <row r="270" customFormat="false" ht="12.75" hidden="false" customHeight="false" outlineLevel="0" collapsed="false">
      <c r="Q270" s="3" t="s">
        <v>1048</v>
      </c>
      <c r="R270" s="449" t="n">
        <v>100500</v>
      </c>
    </row>
    <row r="271" customFormat="false" ht="12.75" hidden="false" customHeight="false" outlineLevel="0" collapsed="false">
      <c r="P271" s="3" t="s">
        <v>1049</v>
      </c>
    </row>
    <row r="272" customFormat="false" ht="12.75" hidden="false" customHeight="false" outlineLevel="0" collapsed="false">
      <c r="C272" s="1" t="s">
        <v>1050</v>
      </c>
      <c r="E272" s="3" t="s">
        <v>1051</v>
      </c>
      <c r="F272" s="449" t="n">
        <v>130000</v>
      </c>
      <c r="J272" s="3" t="s">
        <v>1052</v>
      </c>
      <c r="L272" s="3" t="s">
        <v>1053</v>
      </c>
      <c r="M272" s="3" t="s">
        <v>1054</v>
      </c>
      <c r="P272" s="3" t="s">
        <v>1055</v>
      </c>
      <c r="R272" s="3" t="s">
        <v>1056</v>
      </c>
    </row>
    <row r="273" customFormat="false" ht="12.75" hidden="false" customHeight="false" outlineLevel="0" collapsed="false">
      <c r="C273" s="289" t="n">
        <v>1938</v>
      </c>
      <c r="D273" s="289"/>
      <c r="E273" s="289"/>
      <c r="J273" s="6" t="n">
        <v>1468</v>
      </c>
    </row>
    <row r="274" customFormat="false" ht="12.75" hidden="false" customHeight="false" outlineLevel="0" collapsed="false">
      <c r="C274" s="289"/>
      <c r="D274" s="289"/>
      <c r="E274" s="289"/>
    </row>
    <row r="275" customFormat="false" ht="12.75" hidden="false" customHeight="false" outlineLevel="0" collapsed="false">
      <c r="C275" s="289" t="n">
        <v>1</v>
      </c>
      <c r="D275" s="423" t="n">
        <v>152250</v>
      </c>
      <c r="E275" s="492" t="n">
        <f aca="false">D275/$C$273</f>
        <v>78.5603715170279</v>
      </c>
      <c r="F275" s="440" t="n">
        <f aca="false">D275/12*6</f>
        <v>76125</v>
      </c>
      <c r="G275" s="493" t="n">
        <f aca="false">F275/$C$273</f>
        <v>39.2801857585139</v>
      </c>
      <c r="J275" s="289" t="n">
        <v>1</v>
      </c>
      <c r="K275" s="423" t="n">
        <v>98280</v>
      </c>
      <c r="L275" s="492" t="n">
        <f aca="false">K275/$J$273</f>
        <v>66.9482288828338</v>
      </c>
      <c r="M275" s="440" t="n">
        <f aca="false">K275*0.5</f>
        <v>49140</v>
      </c>
      <c r="N275" s="493" t="n">
        <f aca="false">M275/$J$273</f>
        <v>33.4741144414169</v>
      </c>
      <c r="P275" s="289" t="n">
        <v>1</v>
      </c>
      <c r="Q275" s="423" t="n">
        <v>105000</v>
      </c>
      <c r="R275" s="494" t="n">
        <f aca="false">Q275/$J$273</f>
        <v>71.5258855585831</v>
      </c>
      <c r="S275" s="440" t="n">
        <f aca="false">+SUM((Q275/12)*8)/2</f>
        <v>35000</v>
      </c>
      <c r="T275" s="495" t="n">
        <f aca="false">S275/$J$273</f>
        <v>23.841961852861</v>
      </c>
    </row>
    <row r="276" customFormat="false" ht="12.75" hidden="false" customHeight="false" outlineLevel="0" collapsed="false">
      <c r="C276" s="289" t="n">
        <v>2</v>
      </c>
      <c r="D276" s="423" t="n">
        <v>152250</v>
      </c>
      <c r="E276" s="492" t="n">
        <f aca="false">D276/$C$273</f>
        <v>78.5603715170279</v>
      </c>
      <c r="F276" s="440" t="n">
        <f aca="false">D276</f>
        <v>152250</v>
      </c>
      <c r="G276" s="493" t="n">
        <f aca="false">F276/$C$273</f>
        <v>78.5603715170279</v>
      </c>
      <c r="J276" s="289" t="n">
        <v>2</v>
      </c>
      <c r="K276" s="423" t="n">
        <v>98280</v>
      </c>
      <c r="L276" s="492" t="n">
        <f aca="false">K276/$J$273</f>
        <v>66.9482288828338</v>
      </c>
      <c r="M276" s="440" t="n">
        <f aca="false">K276</f>
        <v>98280</v>
      </c>
      <c r="N276" s="493" t="n">
        <f aca="false">M276/$J$273</f>
        <v>66.9482288828338</v>
      </c>
      <c r="P276" s="289" t="n">
        <v>2</v>
      </c>
      <c r="Q276" s="423" t="n">
        <v>105000</v>
      </c>
      <c r="R276" s="494" t="n">
        <f aca="false">Q276/$J$273</f>
        <v>71.5258855585831</v>
      </c>
      <c r="S276" s="440" t="n">
        <f aca="false">+SUM((Q276/12)*10)</f>
        <v>87500</v>
      </c>
      <c r="T276" s="495" t="n">
        <f aca="false">S276/$J$273</f>
        <v>59.6049046321526</v>
      </c>
    </row>
    <row r="277" customFormat="false" ht="12.75" hidden="false" customHeight="false" outlineLevel="0" collapsed="false">
      <c r="C277" s="289" t="n">
        <v>3</v>
      </c>
      <c r="D277" s="423" t="n">
        <v>152250</v>
      </c>
      <c r="E277" s="492" t="n">
        <f aca="false">D277/$C$273</f>
        <v>78.5603715170279</v>
      </c>
      <c r="F277" s="440" t="n">
        <f aca="false">D277</f>
        <v>152250</v>
      </c>
      <c r="G277" s="493" t="n">
        <f aca="false">F277/$C$273</f>
        <v>78.5603715170279</v>
      </c>
      <c r="J277" s="289" t="n">
        <v>3</v>
      </c>
      <c r="K277" s="423" t="n">
        <v>98280</v>
      </c>
      <c r="L277" s="492" t="n">
        <f aca="false">K277/$J$273</f>
        <v>66.9482288828338</v>
      </c>
      <c r="M277" s="440" t="n">
        <f aca="false">K277</f>
        <v>98280</v>
      </c>
      <c r="N277" s="493" t="n">
        <f aca="false">M277/$J$273</f>
        <v>66.9482288828338</v>
      </c>
      <c r="P277" s="289" t="n">
        <v>3</v>
      </c>
      <c r="Q277" s="423" t="n">
        <v>105000</v>
      </c>
      <c r="R277" s="494" t="n">
        <f aca="false">Q277/$J$273</f>
        <v>71.5258855585831</v>
      </c>
      <c r="S277" s="440" t="n">
        <f aca="false">Q277</f>
        <v>105000</v>
      </c>
      <c r="T277" s="495" t="n">
        <f aca="false">S277/$J$273</f>
        <v>71.5258855585831</v>
      </c>
    </row>
    <row r="278" customFormat="false" ht="12.75" hidden="false" customHeight="false" outlineLevel="0" collapsed="false">
      <c r="D278" s="423"/>
      <c r="E278" s="294"/>
      <c r="F278" s="440"/>
      <c r="G278" s="457"/>
      <c r="J278" s="289" t="n">
        <v>4</v>
      </c>
      <c r="K278" s="423" t="n">
        <v>98280</v>
      </c>
      <c r="L278" s="492" t="n">
        <f aca="false">K278/$J$273</f>
        <v>66.9482288828338</v>
      </c>
      <c r="M278" s="440" t="n">
        <f aca="false">K278</f>
        <v>98280</v>
      </c>
      <c r="N278" s="493" t="n">
        <f aca="false">M278/$J$273</f>
        <v>66.9482288828338</v>
      </c>
      <c r="P278" s="289" t="n">
        <v>4</v>
      </c>
      <c r="Q278" s="423" t="n">
        <v>105000</v>
      </c>
      <c r="R278" s="494" t="n">
        <f aca="false">Q278/$J$273</f>
        <v>71.5258855585831</v>
      </c>
      <c r="S278" s="440" t="n">
        <f aca="false">Q278</f>
        <v>105000</v>
      </c>
      <c r="T278" s="495" t="n">
        <f aca="false">S278/$J$273</f>
        <v>71.5258855585831</v>
      </c>
    </row>
    <row r="279" customFormat="false" ht="12.75" hidden="false" customHeight="false" outlineLevel="0" collapsed="false">
      <c r="D279" s="423" t="n">
        <f aca="false">SUM(D275:D278)</f>
        <v>456750</v>
      </c>
      <c r="E279" s="436"/>
      <c r="F279" s="440" t="n">
        <f aca="false">SUM(F275:F278)</f>
        <v>380625</v>
      </c>
      <c r="G279" s="457"/>
      <c r="J279" s="289" t="n">
        <v>5</v>
      </c>
      <c r="K279" s="423" t="n">
        <v>98280</v>
      </c>
      <c r="L279" s="492" t="n">
        <f aca="false">K279/$J$273</f>
        <v>66.9482288828338</v>
      </c>
      <c r="M279" s="440" t="n">
        <f aca="false">K279</f>
        <v>98280</v>
      </c>
      <c r="N279" s="493" t="n">
        <f aca="false">M279/$J$273</f>
        <v>66.9482288828338</v>
      </c>
      <c r="P279" s="289" t="n">
        <v>5</v>
      </c>
      <c r="Q279" s="423" t="n">
        <v>105000</v>
      </c>
      <c r="R279" s="494" t="n">
        <f aca="false">Q279/$J$273</f>
        <v>71.5258855585831</v>
      </c>
      <c r="S279" s="440" t="n">
        <f aca="false">Q279</f>
        <v>105000</v>
      </c>
      <c r="T279" s="495" t="n">
        <f aca="false">S279/$J$273</f>
        <v>71.5258855585831</v>
      </c>
    </row>
    <row r="280" customFormat="false" ht="13.5" hidden="false" customHeight="true" outlineLevel="0" collapsed="false">
      <c r="D280" s="423" t="n">
        <f aca="false">D279/3</f>
        <v>152250</v>
      </c>
      <c r="E280" s="492" t="n">
        <f aca="false">D280/$C$273</f>
        <v>78.5603715170279</v>
      </c>
      <c r="F280" s="496" t="n">
        <f aca="false">F279/3</f>
        <v>126875</v>
      </c>
      <c r="G280" s="497" t="n">
        <f aca="false">F280/$C$273</f>
        <v>65.4669762641899</v>
      </c>
    </row>
    <row r="281" customFormat="false" ht="12.75" hidden="false" customHeight="false" outlineLevel="0" collapsed="false">
      <c r="K281" s="423" t="n">
        <f aca="false">SUM(K275:K279)</f>
        <v>491400</v>
      </c>
      <c r="L281" s="436"/>
      <c r="M281" s="440" t="n">
        <f aca="false">SUM(M275:M279)</f>
        <v>442260</v>
      </c>
      <c r="N281" s="457"/>
      <c r="Q281" s="423" t="n">
        <f aca="false">SUM(Q275:Q279)</f>
        <v>525000</v>
      </c>
      <c r="R281" s="436"/>
      <c r="S281" s="440" t="n">
        <f aca="false">SUM(S275:S279)</f>
        <v>437500</v>
      </c>
      <c r="T281" s="457"/>
    </row>
    <row r="282" customFormat="false" ht="13.5" hidden="false" customHeight="true" outlineLevel="0" collapsed="false">
      <c r="F282" s="429" t="n">
        <f aca="false">D279-F279</f>
        <v>76125</v>
      </c>
      <c r="K282" s="423" t="n">
        <f aca="false">K281/5</f>
        <v>98280</v>
      </c>
      <c r="L282" s="492" t="n">
        <f aca="false">K282/$J$273</f>
        <v>66.9482288828338</v>
      </c>
      <c r="M282" s="496" t="n">
        <f aca="false">M281/5</f>
        <v>88452</v>
      </c>
      <c r="N282" s="497" t="n">
        <f aca="false">M282/$J$273</f>
        <v>60.2534059945504</v>
      </c>
      <c r="Q282" s="423" t="n">
        <f aca="false">Q281/5</f>
        <v>105000</v>
      </c>
      <c r="R282" s="494" t="n">
        <f aca="false">Q282/$J$273</f>
        <v>71.5258855585831</v>
      </c>
      <c r="S282" s="496" t="n">
        <f aca="false">S281/5</f>
        <v>87500</v>
      </c>
      <c r="T282" s="497" t="n">
        <f aca="false">S282/$J$273</f>
        <v>59.6049046321526</v>
      </c>
    </row>
    <row r="284" customFormat="false" ht="12.75" hidden="false" customHeight="false" outlineLevel="0" collapsed="false">
      <c r="B284" s="3" t="s">
        <v>1057</v>
      </c>
      <c r="M284" s="429" t="n">
        <f aca="false">K281-M281</f>
        <v>49140</v>
      </c>
    </row>
    <row r="285" customFormat="false" ht="12.75" hidden="false" customHeight="false" outlineLevel="0" collapsed="false">
      <c r="C285" s="3" t="s">
        <v>1058</v>
      </c>
    </row>
    <row r="286" customFormat="false" ht="12.75" hidden="false" customHeight="false" outlineLevel="0" collapsed="false">
      <c r="D286" s="3" t="s">
        <v>1045</v>
      </c>
      <c r="F286" s="3" t="s">
        <v>1059</v>
      </c>
      <c r="G286" s="3" t="s">
        <v>1060</v>
      </c>
    </row>
    <row r="287" customFormat="false" ht="12.75" hidden="false" customHeight="false" outlineLevel="0" collapsed="false">
      <c r="F287" s="292" t="n">
        <f aca="false">F294*F293</f>
        <v>375750</v>
      </c>
      <c r="G287" s="1" t="n">
        <v>9</v>
      </c>
      <c r="M287" s="433" t="n">
        <f aca="false">C273+J273</f>
        <v>3406</v>
      </c>
      <c r="N287" s="429" t="n">
        <f aca="false">F280+M282</f>
        <v>215327</v>
      </c>
      <c r="O287" s="1" t="n">
        <f aca="false">N287/M287</f>
        <v>63.2199060481503</v>
      </c>
    </row>
    <row r="288" customFormat="false" ht="12.75" hidden="false" customHeight="false" outlineLevel="0" collapsed="false">
      <c r="D288" s="289"/>
      <c r="E288" s="292"/>
      <c r="F288" s="292"/>
    </row>
    <row r="289" customFormat="false" ht="12.75" hidden="false" customHeight="false" outlineLevel="0" collapsed="false">
      <c r="F289" s="292" t="n">
        <f aca="false">D294*D293</f>
        <v>361250</v>
      </c>
      <c r="G289" s="1" t="n">
        <v>8</v>
      </c>
    </row>
    <row r="290" customFormat="false" ht="12.75" hidden="false" customHeight="false" outlineLevel="0" collapsed="false">
      <c r="E290" s="292"/>
      <c r="F290" s="292"/>
    </row>
    <row r="291" customFormat="false" ht="12.75" hidden="false" customHeight="false" outlineLevel="0" collapsed="false">
      <c r="F291" s="292" t="n">
        <f aca="false">H294*H293</f>
        <v>361250</v>
      </c>
      <c r="G291" s="1" t="n">
        <v>8</v>
      </c>
    </row>
    <row r="292" customFormat="false" ht="12.75" hidden="false" customHeight="false" outlineLevel="0" collapsed="false">
      <c r="D292" s="334" t="s">
        <v>1061</v>
      </c>
      <c r="E292" s="315"/>
      <c r="F292" s="334" t="s">
        <v>1062</v>
      </c>
      <c r="G292" s="315"/>
      <c r="H292" s="334" t="s">
        <v>1063</v>
      </c>
    </row>
    <row r="293" customFormat="false" ht="12.75" hidden="false" customHeight="false" outlineLevel="0" collapsed="false">
      <c r="D293" s="498" t="n">
        <v>4250</v>
      </c>
      <c r="E293" s="498"/>
      <c r="F293" s="498" t="n">
        <v>4463</v>
      </c>
      <c r="G293" s="498"/>
      <c r="H293" s="498" t="n">
        <v>4250</v>
      </c>
      <c r="O293" s="294"/>
      <c r="P293" s="294"/>
    </row>
    <row r="294" customFormat="false" ht="12.75" hidden="false" customHeight="false" outlineLevel="0" collapsed="false">
      <c r="D294" s="499" t="n">
        <v>85</v>
      </c>
      <c r="E294" s="315"/>
      <c r="F294" s="500" t="n">
        <v>84.1922473672418</v>
      </c>
      <c r="G294" s="315"/>
      <c r="H294" s="500" t="n">
        <v>85</v>
      </c>
      <c r="M294" s="3" t="s">
        <v>1064</v>
      </c>
      <c r="N294" s="1" t="n">
        <v>2847</v>
      </c>
      <c r="O294" s="294" t="n">
        <v>199500</v>
      </c>
      <c r="P294" s="294" t="n">
        <f aca="false">O294/$N$294</f>
        <v>70.0737618545838</v>
      </c>
    </row>
    <row r="295" customFormat="false" ht="12.75" hidden="false" customHeight="false" outlineLevel="0" collapsed="false">
      <c r="D295" s="3"/>
      <c r="F295" s="3"/>
      <c r="O295" s="294" t="n">
        <v>73500</v>
      </c>
      <c r="P295" s="294" t="n">
        <f aca="false">O295/$N$294</f>
        <v>25.8166491043203</v>
      </c>
    </row>
    <row r="296" customFormat="false" ht="12.75" hidden="false" customHeight="false" outlineLevel="0" collapsed="false">
      <c r="C296" s="1" t="n">
        <v>1</v>
      </c>
      <c r="D296" s="292" t="n">
        <f aca="false">SUM(F289/12*1)</f>
        <v>30104.1666666667</v>
      </c>
      <c r="F296" s="292" t="n">
        <f aca="false">SUM(F287-(F287/12*G287))</f>
        <v>93937.5000000001</v>
      </c>
      <c r="H296" s="292" t="n">
        <v>0</v>
      </c>
      <c r="O296" s="294" t="n">
        <v>28250</v>
      </c>
      <c r="P296" s="294" t="n">
        <f aca="false">O296/$N$294</f>
        <v>9.92272567615033</v>
      </c>
    </row>
    <row r="297" customFormat="false" ht="12.75" hidden="false" customHeight="false" outlineLevel="0" collapsed="false">
      <c r="C297" s="1" t="n">
        <v>2</v>
      </c>
      <c r="D297" s="292" t="n">
        <f aca="false">F289</f>
        <v>361250</v>
      </c>
      <c r="F297" s="292" t="n">
        <f aca="false">$F$287</f>
        <v>375750</v>
      </c>
      <c r="H297" s="292" t="n">
        <f aca="false">$F$291</f>
        <v>361250</v>
      </c>
      <c r="O297" s="294"/>
      <c r="P297" s="294" t="n">
        <f aca="false">SUM(O294:O296)</f>
        <v>301250</v>
      </c>
      <c r="Q297" s="382" t="n">
        <f aca="false">P297/N294</f>
        <v>105.813136635054</v>
      </c>
    </row>
    <row r="298" customFormat="false" ht="12.75" hidden="false" customHeight="false" outlineLevel="0" collapsed="false">
      <c r="C298" s="1" t="n">
        <v>3</v>
      </c>
      <c r="D298" s="292" t="n">
        <f aca="false">D297</f>
        <v>361250</v>
      </c>
      <c r="F298" s="292" t="n">
        <f aca="false">F297</f>
        <v>375750</v>
      </c>
      <c r="H298" s="292" t="n">
        <f aca="false">H297</f>
        <v>361250</v>
      </c>
      <c r="O298" s="294"/>
      <c r="P298" s="294"/>
    </row>
    <row r="299" customFormat="false" ht="12.75" hidden="false" customHeight="false" outlineLevel="0" collapsed="false">
      <c r="C299" s="1" t="n">
        <v>4</v>
      </c>
      <c r="D299" s="292" t="n">
        <f aca="false">D298</f>
        <v>361250</v>
      </c>
      <c r="F299" s="292" t="n">
        <f aca="false">F298</f>
        <v>375750</v>
      </c>
      <c r="H299" s="292" t="n">
        <f aca="false">H298</f>
        <v>361250</v>
      </c>
      <c r="M299" s="3" t="s">
        <v>1064</v>
      </c>
      <c r="N299" s="1" t="n">
        <v>2650</v>
      </c>
      <c r="O299" s="294" t="n">
        <v>185000</v>
      </c>
      <c r="P299" s="294" t="n">
        <f aca="false">O299/$N$299</f>
        <v>69.811320754717</v>
      </c>
    </row>
    <row r="300" customFormat="false" ht="12.75" hidden="false" customHeight="false" outlineLevel="0" collapsed="false">
      <c r="C300" s="1" t="n">
        <v>5</v>
      </c>
      <c r="D300" s="292" t="n">
        <f aca="false">D299</f>
        <v>361250</v>
      </c>
      <c r="F300" s="292" t="n">
        <f aca="false">F299</f>
        <v>375750</v>
      </c>
      <c r="H300" s="292" t="n">
        <f aca="false">H299</f>
        <v>361250</v>
      </c>
      <c r="O300" s="294" t="n">
        <v>69000</v>
      </c>
      <c r="P300" s="294" t="n">
        <f aca="false">O300/$N$299</f>
        <v>26.0377358490566</v>
      </c>
    </row>
    <row r="301" customFormat="false" ht="12.75" hidden="false" customHeight="false" outlineLevel="0" collapsed="false">
      <c r="H301" s="292" t="n">
        <f aca="false">SUM(H302/12*2)</f>
        <v>60208.3333333333</v>
      </c>
      <c r="O301" s="294" t="n">
        <v>27000</v>
      </c>
      <c r="P301" s="294" t="n">
        <f aca="false">O301/$N$299</f>
        <v>10.188679245283</v>
      </c>
    </row>
    <row r="302" customFormat="false" ht="12.75" hidden="false" customHeight="false" outlineLevel="0" collapsed="false">
      <c r="D302" s="292" t="n">
        <f aca="false">SUM(D296:D301)</f>
        <v>1475104.16666667</v>
      </c>
      <c r="F302" s="292" t="n">
        <f aca="false">SUM(F296:F301)</f>
        <v>1596937.5</v>
      </c>
      <c r="H302" s="292" t="n">
        <f aca="false">$F$291</f>
        <v>361250</v>
      </c>
      <c r="O302" s="294"/>
      <c r="P302" s="294" t="n">
        <f aca="false">SUM(O299:O301)</f>
        <v>281000</v>
      </c>
      <c r="Q302" s="382" t="n">
        <f aca="false">P302/N299</f>
        <v>106.037735849057</v>
      </c>
    </row>
    <row r="303" customFormat="false" ht="12.75" hidden="false" customHeight="false" outlineLevel="0" collapsed="false">
      <c r="D303" s="382" t="n">
        <f aca="false">D302/5</f>
        <v>295020.833333333</v>
      </c>
      <c r="F303" s="382" t="n">
        <f aca="false">F302/5</f>
        <v>319387.5</v>
      </c>
      <c r="H303" s="292" t="n">
        <f aca="false">H302</f>
        <v>361250</v>
      </c>
      <c r="O303" s="294"/>
      <c r="P303" s="294"/>
    </row>
    <row r="304" customFormat="false" ht="12.75" hidden="false" customHeight="false" outlineLevel="0" collapsed="false">
      <c r="D304" s="382" t="n">
        <f aca="false">D303/D293</f>
        <v>69.4166666666667</v>
      </c>
      <c r="F304" s="382" t="n">
        <f aca="false">F303/F293</f>
        <v>71.5634102621555</v>
      </c>
      <c r="H304" s="292" t="n">
        <f aca="false">H303</f>
        <v>361250</v>
      </c>
      <c r="M304" s="3" t="s">
        <v>1065</v>
      </c>
      <c r="N304" s="1" t="n">
        <v>2610</v>
      </c>
      <c r="O304" s="294" t="n">
        <v>183000</v>
      </c>
      <c r="P304" s="294" t="n">
        <f aca="false">O304/$N$304</f>
        <v>70.1149425287356</v>
      </c>
    </row>
    <row r="305" customFormat="false" ht="12.75" hidden="false" customHeight="false" outlineLevel="0" collapsed="false">
      <c r="H305" s="292" t="n">
        <f aca="false">H304</f>
        <v>361250</v>
      </c>
      <c r="O305" s="294" t="n">
        <v>69000</v>
      </c>
      <c r="P305" s="294" t="n">
        <f aca="false">O305/$N$304</f>
        <v>26.4367816091954</v>
      </c>
    </row>
    <row r="306" customFormat="false" ht="12.75" hidden="false" customHeight="false" outlineLevel="0" collapsed="false">
      <c r="O306" s="294" t="n">
        <v>30000</v>
      </c>
      <c r="P306" s="294" t="n">
        <f aca="false">O306/$N$304</f>
        <v>11.4942528735632</v>
      </c>
    </row>
    <row r="307" customFormat="false" ht="12.75" hidden="false" customHeight="false" outlineLevel="0" collapsed="false">
      <c r="O307" s="294"/>
      <c r="P307" s="294" t="n">
        <f aca="false">SUM(O304:O306)</f>
        <v>282000</v>
      </c>
      <c r="Q307" s="382" t="n">
        <f aca="false">P307/N304</f>
        <v>108.045977011494</v>
      </c>
    </row>
    <row r="308" customFormat="false" ht="12.75" hidden="false" customHeight="false" outlineLevel="0" collapsed="false">
      <c r="H308" s="292" t="n">
        <f aca="false">SUM(H296:H305)</f>
        <v>2950208.33333333</v>
      </c>
      <c r="O308" s="294"/>
      <c r="P308" s="294"/>
    </row>
    <row r="309" customFormat="false" ht="12.75" hidden="false" customHeight="false" outlineLevel="0" collapsed="false">
      <c r="H309" s="382" t="n">
        <f aca="false">H308/10</f>
        <v>295020.833333333</v>
      </c>
      <c r="O309" s="294"/>
      <c r="P309" s="294"/>
    </row>
    <row r="310" customFormat="false" ht="12.75" hidden="false" customHeight="false" outlineLevel="0" collapsed="false">
      <c r="B310" s="457"/>
      <c r="H310" s="382" t="n">
        <f aca="false">H309/H293</f>
        <v>69.4166666666667</v>
      </c>
      <c r="M310" s="3" t="s">
        <v>1065</v>
      </c>
      <c r="N310" s="1" t="n">
        <v>2510</v>
      </c>
      <c r="O310" s="294" t="n">
        <v>180750</v>
      </c>
      <c r="P310" s="294" t="n">
        <f aca="false">O310/$N$310</f>
        <v>72.0119521912351</v>
      </c>
    </row>
    <row r="311" customFormat="false" ht="12.75" hidden="false" customHeight="false" outlineLevel="0" collapsed="false">
      <c r="O311" s="294" t="n">
        <v>60750</v>
      </c>
      <c r="P311" s="294" t="n">
        <f aca="false">O311/$N$310</f>
        <v>24.203187250996</v>
      </c>
    </row>
    <row r="312" customFormat="false" ht="12.75" hidden="false" customHeight="false" outlineLevel="0" collapsed="false">
      <c r="A312" s="3"/>
      <c r="B312" s="501"/>
      <c r="D312" s="2"/>
      <c r="G312" s="3"/>
      <c r="O312" s="294" t="n">
        <v>25250</v>
      </c>
      <c r="P312" s="294" t="n">
        <f aca="false">O312/$N$310</f>
        <v>10.0597609561753</v>
      </c>
    </row>
    <row r="313" customFormat="false" ht="12.75" hidden="false" customHeight="false" outlineLevel="0" collapsed="false">
      <c r="A313" s="3"/>
      <c r="B313" s="289"/>
      <c r="O313" s="294"/>
      <c r="P313" s="294" t="n">
        <f aca="false">SUM(O310:O312)</f>
        <v>266750</v>
      </c>
      <c r="Q313" s="382" t="n">
        <f aca="false">P313/N310</f>
        <v>106.274900398406</v>
      </c>
    </row>
    <row r="314" customFormat="false" ht="12.75" hidden="false" customHeight="false" outlineLevel="0" collapsed="false">
      <c r="D314" s="292"/>
    </row>
    <row r="316" customFormat="false" ht="12.75" hidden="false" customHeight="false" outlineLevel="0" collapsed="false">
      <c r="B316" s="457" t="s">
        <v>1066</v>
      </c>
      <c r="F316" s="3" t="s">
        <v>984</v>
      </c>
      <c r="H316" s="502" t="s">
        <v>1067</v>
      </c>
      <c r="J316" s="3" t="s">
        <v>1068</v>
      </c>
      <c r="L316" s="1" t="s">
        <v>1069</v>
      </c>
      <c r="O316" s="289"/>
    </row>
    <row r="317" customFormat="false" ht="12.75" hidden="false" customHeight="false" outlineLevel="0" collapsed="false">
      <c r="A317" s="3" t="s">
        <v>876</v>
      </c>
      <c r="B317" s="1" t="n">
        <v>691</v>
      </c>
      <c r="D317" s="3" t="s">
        <v>1070</v>
      </c>
      <c r="H317" s="503"/>
      <c r="L317" s="3" t="s">
        <v>1071</v>
      </c>
    </row>
    <row r="318" customFormat="false" ht="12.75" hidden="false" customHeight="false" outlineLevel="0" collapsed="false">
      <c r="D318" s="292" t="n">
        <v>55</v>
      </c>
      <c r="F318" s="504" t="n">
        <v>56</v>
      </c>
      <c r="H318" s="505" t="n">
        <v>57</v>
      </c>
      <c r="J318" s="504" t="n">
        <v>58</v>
      </c>
      <c r="L318" s="506" t="n">
        <v>58</v>
      </c>
      <c r="O318" s="289"/>
    </row>
    <row r="319" customFormat="false" ht="12.75" hidden="false" customHeight="false" outlineLevel="0" collapsed="false">
      <c r="H319" s="503"/>
      <c r="O319" s="289"/>
    </row>
    <row r="320" customFormat="false" ht="12.75" hidden="false" customHeight="false" outlineLevel="0" collapsed="false">
      <c r="C320" s="1" t="n">
        <v>1</v>
      </c>
      <c r="D320" s="382" t="n">
        <f aca="false">D321/2</f>
        <v>19002.5</v>
      </c>
      <c r="F320" s="292" t="n">
        <f aca="false">F321/12*6</f>
        <v>19348</v>
      </c>
      <c r="G320" s="292"/>
      <c r="H320" s="507" t="n">
        <f aca="false">H321/12*6</f>
        <v>19693.5</v>
      </c>
      <c r="J320" s="292" t="n">
        <f aca="false">J321/2</f>
        <v>20039</v>
      </c>
      <c r="L320" s="292" t="n">
        <f aca="false">L321/12*6</f>
        <v>20039</v>
      </c>
      <c r="O320" s="289"/>
    </row>
    <row r="321" customFormat="false" ht="12.75" hidden="false" customHeight="false" outlineLevel="0" collapsed="false">
      <c r="C321" s="1" t="n">
        <v>2</v>
      </c>
      <c r="D321" s="292" t="n">
        <f aca="false">D318*B317</f>
        <v>38005</v>
      </c>
      <c r="F321" s="292" t="n">
        <f aca="false">F318*B317</f>
        <v>38696</v>
      </c>
      <c r="G321" s="292"/>
      <c r="H321" s="507" t="n">
        <f aca="false">H318*B317</f>
        <v>39387</v>
      </c>
      <c r="J321" s="292" t="n">
        <f aca="false">J318*$B$317</f>
        <v>40078</v>
      </c>
      <c r="L321" s="292" t="n">
        <f aca="false">L318*B317</f>
        <v>40078</v>
      </c>
      <c r="O321" s="289"/>
    </row>
    <row r="322" customFormat="false" ht="12.75" hidden="false" customHeight="false" outlineLevel="0" collapsed="false">
      <c r="C322" s="1" t="n">
        <v>3</v>
      </c>
      <c r="D322" s="292" t="n">
        <f aca="false">D321</f>
        <v>38005</v>
      </c>
      <c r="F322" s="292" t="n">
        <f aca="false">F321</f>
        <v>38696</v>
      </c>
      <c r="G322" s="292"/>
      <c r="H322" s="507" t="n">
        <f aca="false">H321</f>
        <v>39387</v>
      </c>
      <c r="I322" s="292"/>
      <c r="J322" s="292" t="n">
        <f aca="false">J321</f>
        <v>40078</v>
      </c>
      <c r="L322" s="292" t="n">
        <f aca="false">L321</f>
        <v>40078</v>
      </c>
      <c r="O322" s="289"/>
    </row>
    <row r="323" customFormat="false" ht="12.75" hidden="false" customHeight="false" outlineLevel="0" collapsed="false">
      <c r="C323" s="1" t="n">
        <v>4</v>
      </c>
      <c r="D323" s="292" t="n">
        <f aca="false">D322/12*8</f>
        <v>25336.6666666667</v>
      </c>
      <c r="F323" s="292" t="n">
        <f aca="false">F322</f>
        <v>38696</v>
      </c>
      <c r="G323" s="292"/>
      <c r="H323" s="507" t="n">
        <f aca="false">H322/12*10.5</f>
        <v>34463.625</v>
      </c>
      <c r="J323" s="292" t="n">
        <f aca="false">J322/12*10</f>
        <v>33398.3333333333</v>
      </c>
      <c r="L323" s="292" t="n">
        <f aca="false">L322*0.75</f>
        <v>30058.5</v>
      </c>
      <c r="O323" s="289"/>
    </row>
    <row r="324" customFormat="false" ht="12.75" hidden="false" customHeight="false" outlineLevel="0" collapsed="false">
      <c r="C324" s="1" t="n">
        <v>5</v>
      </c>
      <c r="D324" s="292" t="n">
        <f aca="false">D322</f>
        <v>38005</v>
      </c>
      <c r="F324" s="292" t="n">
        <f aca="false">F322</f>
        <v>38696</v>
      </c>
      <c r="G324" s="292"/>
      <c r="H324" s="507" t="n">
        <f aca="false">H322</f>
        <v>39387</v>
      </c>
      <c r="J324" s="292" t="n">
        <f aca="false">J322</f>
        <v>40078</v>
      </c>
      <c r="L324" s="292" t="n">
        <f aca="false">L322</f>
        <v>40078</v>
      </c>
      <c r="O324" s="289"/>
    </row>
    <row r="325" customFormat="false" ht="12.75" hidden="false" customHeight="false" outlineLevel="0" collapsed="false">
      <c r="H325" s="503"/>
      <c r="O325" s="289"/>
    </row>
    <row r="326" customFormat="false" ht="12.75" hidden="false" customHeight="false" outlineLevel="0" collapsed="false">
      <c r="D326" s="382" t="n">
        <f aca="false">SUM(D320:D325)</f>
        <v>158354.166666667</v>
      </c>
      <c r="E326" s="382"/>
      <c r="F326" s="382" t="n">
        <f aca="false">SUM(F320:F325)</f>
        <v>174132</v>
      </c>
      <c r="G326" s="382"/>
      <c r="H326" s="508" t="n">
        <f aca="false">SUM(H320:H325)</f>
        <v>172318.125</v>
      </c>
      <c r="J326" s="382" t="n">
        <f aca="false">SUM(J320:J325)</f>
        <v>173671.333333333</v>
      </c>
      <c r="L326" s="382" t="n">
        <f aca="false">SUM(L320:L325)</f>
        <v>170331.5</v>
      </c>
      <c r="O326" s="382"/>
    </row>
    <row r="327" customFormat="false" ht="12.75" hidden="false" customHeight="false" outlineLevel="0" collapsed="false">
      <c r="D327" s="382" t="n">
        <f aca="false">D326/5</f>
        <v>31670.8333333333</v>
      </c>
      <c r="E327" s="382"/>
      <c r="F327" s="382" t="n">
        <f aca="false">F326/5</f>
        <v>34826.4</v>
      </c>
      <c r="G327" s="382"/>
      <c r="H327" s="508" t="n">
        <f aca="false">H326/5</f>
        <v>34463.625</v>
      </c>
      <c r="J327" s="382" t="n">
        <f aca="false">J326/5</f>
        <v>34734.2666666667</v>
      </c>
      <c r="L327" s="382" t="n">
        <f aca="false">L326/5</f>
        <v>34066.3</v>
      </c>
      <c r="O327" s="382"/>
    </row>
    <row r="328" customFormat="false" ht="12.75" hidden="false" customHeight="false" outlineLevel="0" collapsed="false">
      <c r="D328" s="382" t="n">
        <f aca="false">D327/B317</f>
        <v>45.8333333333333</v>
      </c>
      <c r="E328" s="382"/>
      <c r="F328" s="382" t="n">
        <f aca="false">F327/B317</f>
        <v>50.4</v>
      </c>
      <c r="G328" s="382"/>
      <c r="H328" s="508" t="n">
        <f aca="false">H327/B317</f>
        <v>49.875</v>
      </c>
      <c r="J328" s="382" t="n">
        <f aca="false">J327/B317</f>
        <v>50.2666666666667</v>
      </c>
      <c r="L328" s="382" t="n">
        <f aca="false">L327/B317</f>
        <v>49.3</v>
      </c>
      <c r="O328" s="382"/>
    </row>
    <row r="329" customFormat="false" ht="12.75" hidden="false" customHeight="false" outlineLevel="0" collapsed="false">
      <c r="G329" s="382"/>
    </row>
    <row r="330" customFormat="false" ht="12.75" hidden="false" customHeight="false" outlineLevel="0" collapsed="false">
      <c r="E330" s="382" t="n">
        <f aca="false">F326-D326</f>
        <v>15777.8333333333</v>
      </c>
      <c r="G330" s="382" t="n">
        <f aca="false">L326-F326</f>
        <v>-3800.5</v>
      </c>
      <c r="I330" s="382" t="n">
        <f aca="false">H326-L326</f>
        <v>1986.625</v>
      </c>
    </row>
    <row r="334" customFormat="false" ht="12.75" hidden="false" customHeight="false" outlineLevel="0" collapsed="false">
      <c r="B334" s="3"/>
      <c r="L334" s="432"/>
      <c r="M334" s="432"/>
    </row>
    <row r="335" customFormat="false" ht="12.75" hidden="false" customHeight="false" outlineLevel="0" collapsed="false">
      <c r="A335" s="457" t="s">
        <v>1072</v>
      </c>
      <c r="L335" s="432" t="n">
        <v>71.5</v>
      </c>
      <c r="M335" s="432" t="n">
        <v>57.0712694877506</v>
      </c>
      <c r="O335" s="1" t="n">
        <v>1330</v>
      </c>
      <c r="Q335" s="509" t="n">
        <v>69.5488721804511</v>
      </c>
    </row>
    <row r="336" customFormat="false" ht="12.75" hidden="false" customHeight="false" outlineLevel="0" collapsed="false">
      <c r="A336" s="3"/>
      <c r="J336" s="1" t="n">
        <v>1796</v>
      </c>
      <c r="L336" s="1" t="s">
        <v>1073</v>
      </c>
      <c r="M336" s="1" t="s">
        <v>1074</v>
      </c>
    </row>
    <row r="337" customFormat="false" ht="12.75" hidden="false" customHeight="false" outlineLevel="0" collapsed="false">
      <c r="A337" s="3" t="s">
        <v>1075</v>
      </c>
      <c r="B337" s="289" t="n">
        <v>1074</v>
      </c>
      <c r="K337" s="1" t="n">
        <v>1</v>
      </c>
      <c r="L337" s="292" t="n">
        <f aca="false">$J$336*L335/2</f>
        <v>64207</v>
      </c>
      <c r="M337" s="292" t="n">
        <f aca="false">J336*M335/12*9</f>
        <v>76875.0000000001</v>
      </c>
      <c r="O337" s="1" t="n">
        <v>1</v>
      </c>
      <c r="Q337" s="1" t="n">
        <f aca="false">O335*Q335/12*10</f>
        <v>77083.3333333333</v>
      </c>
    </row>
    <row r="338" customFormat="false" ht="12.75" hidden="false" customHeight="false" outlineLevel="0" collapsed="false">
      <c r="K338" s="1" t="n">
        <v>2</v>
      </c>
      <c r="L338" s="292" t="n">
        <f aca="false">$J$336*L335</f>
        <v>128414</v>
      </c>
      <c r="M338" s="292" t="n">
        <f aca="false">$J$336*M335</f>
        <v>102500</v>
      </c>
      <c r="O338" s="1" t="n">
        <v>2</v>
      </c>
      <c r="Q338" s="1" t="n">
        <f aca="false">O335*Q335</f>
        <v>92500</v>
      </c>
    </row>
    <row r="339" customFormat="false" ht="12.75" hidden="false" customHeight="false" outlineLevel="0" collapsed="false">
      <c r="A339" s="3" t="s">
        <v>1076</v>
      </c>
      <c r="B339" s="423" t="n">
        <v>75000</v>
      </c>
      <c r="C339" s="292" t="n">
        <f aca="false">B339/$B$337</f>
        <v>69.8324022346369</v>
      </c>
      <c r="E339" s="421" t="n">
        <f aca="false">B339/12</f>
        <v>6250</v>
      </c>
      <c r="F339" s="510" t="n">
        <f aca="false">E339*1.2</f>
        <v>7500</v>
      </c>
      <c r="K339" s="1" t="n">
        <v>3</v>
      </c>
      <c r="L339" s="292" t="n">
        <f aca="false">$J$336*L335</f>
        <v>128414</v>
      </c>
      <c r="M339" s="292" t="n">
        <f aca="false">M338</f>
        <v>102500</v>
      </c>
      <c r="O339" s="1" t="n">
        <v>3</v>
      </c>
      <c r="Q339" s="1" t="n">
        <f aca="false">Q338</f>
        <v>92500</v>
      </c>
    </row>
    <row r="340" customFormat="false" ht="12.75" hidden="false" customHeight="false" outlineLevel="0" collapsed="false">
      <c r="A340" s="3" t="s">
        <v>1077</v>
      </c>
      <c r="B340" s="423" t="n">
        <v>26000</v>
      </c>
      <c r="C340" s="292" t="n">
        <f aca="false">B340/$B$337</f>
        <v>24.2085661080075</v>
      </c>
      <c r="K340" s="1" t="n">
        <v>4</v>
      </c>
      <c r="L340" s="292" t="n">
        <f aca="false">L337</f>
        <v>64207</v>
      </c>
      <c r="M340" s="292" t="n">
        <f aca="false">M339</f>
        <v>102500</v>
      </c>
      <c r="O340" s="1" t="n">
        <v>4</v>
      </c>
      <c r="Q340" s="1" t="n">
        <f aca="false">Q339</f>
        <v>92500</v>
      </c>
    </row>
    <row r="341" customFormat="false" ht="12.75" hidden="false" customHeight="false" outlineLevel="0" collapsed="false">
      <c r="A341" s="3" t="s">
        <v>1078</v>
      </c>
      <c r="B341" s="423" t="n">
        <v>10850</v>
      </c>
      <c r="C341" s="292" t="n">
        <f aca="false">B341/$B$337</f>
        <v>10.1024208566108</v>
      </c>
      <c r="K341" s="1" t="n">
        <v>5</v>
      </c>
      <c r="L341" s="292" t="n">
        <f aca="false">L338</f>
        <v>128414</v>
      </c>
      <c r="M341" s="292" t="n">
        <f aca="false">M339</f>
        <v>102500</v>
      </c>
      <c r="O341" s="1" t="n">
        <v>5</v>
      </c>
      <c r="Q341" s="1" t="n">
        <f aca="false">Q340</f>
        <v>92500</v>
      </c>
    </row>
    <row r="342" customFormat="false" ht="12.75" hidden="false" customHeight="false" outlineLevel="0" collapsed="false">
      <c r="A342" s="3" t="s">
        <v>1079</v>
      </c>
      <c r="B342" s="423" t="n">
        <f aca="false">B337*2.0015</f>
        <v>2149.611</v>
      </c>
      <c r="C342" s="292" t="n">
        <f aca="false">B342/$B$337</f>
        <v>2.0015</v>
      </c>
      <c r="L342" s="292"/>
      <c r="M342" s="292"/>
    </row>
    <row r="343" customFormat="false" ht="12.75" hidden="false" customHeight="false" outlineLevel="0" collapsed="false">
      <c r="B343" s="423"/>
      <c r="L343" s="292" t="n">
        <f aca="false">SUM(L337:L342)</f>
        <v>513656</v>
      </c>
      <c r="M343" s="292" t="n">
        <f aca="false">SUM(M337:M342)</f>
        <v>486875</v>
      </c>
      <c r="Q343" s="292" t="n">
        <f aca="false">SUM(Q337:Q342)</f>
        <v>447083.333333333</v>
      </c>
    </row>
    <row r="344" customFormat="false" ht="12.75" hidden="false" customHeight="false" outlineLevel="0" collapsed="false">
      <c r="B344" s="423" t="n">
        <f aca="false">SUM(B339:B342)</f>
        <v>113999.611</v>
      </c>
      <c r="C344" s="511" t="n">
        <f aca="false">B344/12</f>
        <v>9499.96758333333</v>
      </c>
      <c r="F344" s="421" t="n">
        <f aca="false">B344/12</f>
        <v>9499.96758333333</v>
      </c>
      <c r="G344" s="421" t="n">
        <f aca="false">F344*1.2</f>
        <v>11399.9611</v>
      </c>
      <c r="L344" s="292" t="n">
        <f aca="false">L343/5</f>
        <v>102731.2</v>
      </c>
      <c r="M344" s="292" t="n">
        <f aca="false">M343/5</f>
        <v>97375.0000000001</v>
      </c>
      <c r="O344" s="292" t="n">
        <f aca="false">M344-Q344</f>
        <v>7958.33333333346</v>
      </c>
      <c r="Q344" s="292" t="n">
        <f aca="false">Q343/5</f>
        <v>89416.6666666666</v>
      </c>
    </row>
    <row r="345" customFormat="false" ht="12.75" hidden="false" customHeight="false" outlineLevel="0" collapsed="false">
      <c r="L345" s="382" t="n">
        <f aca="false">L344/J336</f>
        <v>57.2</v>
      </c>
      <c r="M345" s="292" t="n">
        <f aca="false">M344/J336</f>
        <v>54.2177060133631</v>
      </c>
      <c r="Q345" s="294" t="n">
        <f aca="false">Q344/O335</f>
        <v>67.2305764411027</v>
      </c>
    </row>
    <row r="347" customFormat="false" ht="12.75" hidden="false" customHeight="false" outlineLevel="0" collapsed="false">
      <c r="L347" s="292" t="n">
        <f aca="false">L344-M344</f>
        <v>5356.19999999992</v>
      </c>
      <c r="M347" s="292" t="n">
        <f aca="false">L343-M343</f>
        <v>26780.9999999997</v>
      </c>
      <c r="O347" s="292"/>
    </row>
    <row r="349" customFormat="false" ht="12.75" hidden="false" customHeight="false" outlineLevel="0" collapsed="false">
      <c r="A349" s="1" t="s">
        <v>1080</v>
      </c>
    </row>
    <row r="351" customFormat="false" ht="12.75" hidden="false" customHeight="false" outlineLevel="0" collapsed="false">
      <c r="A351" s="476" t="n">
        <v>1992</v>
      </c>
      <c r="C351" s="1" t="n">
        <v>68</v>
      </c>
    </row>
    <row r="353" customFormat="false" ht="12.75" hidden="false" customHeight="false" outlineLevel="0" collapsed="false">
      <c r="A353" s="1" t="s">
        <v>1076</v>
      </c>
      <c r="B353" s="1" t="n">
        <v>1</v>
      </c>
      <c r="C353" s="423" t="n">
        <f aca="false">C354</f>
        <v>135456</v>
      </c>
      <c r="D353" s="429" t="n">
        <f aca="false">C353/12*9</f>
        <v>101592</v>
      </c>
      <c r="E353" s="1" t="n">
        <v>3</v>
      </c>
      <c r="Q353" s="3" t="s">
        <v>1081</v>
      </c>
    </row>
    <row r="354" customFormat="false" ht="12.75" hidden="false" customHeight="false" outlineLevel="0" collapsed="false">
      <c r="B354" s="1" t="n">
        <v>2</v>
      </c>
      <c r="C354" s="423" t="n">
        <f aca="false">C351*A351</f>
        <v>135456</v>
      </c>
      <c r="D354" s="429" t="n">
        <f aca="false">C354</f>
        <v>135456</v>
      </c>
      <c r="R354" s="293" t="n">
        <f aca="false">Q357/O358</f>
        <v>0.616463414634146</v>
      </c>
    </row>
    <row r="355" customFormat="false" ht="12.75" hidden="false" customHeight="false" outlineLevel="0" collapsed="false">
      <c r="B355" s="1" t="n">
        <v>3</v>
      </c>
      <c r="C355" s="423" t="n">
        <f aca="false">C354</f>
        <v>135456</v>
      </c>
      <c r="D355" s="421" t="n">
        <f aca="false">D354/12*11</f>
        <v>124168</v>
      </c>
      <c r="E355" s="1" t="n">
        <v>1</v>
      </c>
    </row>
    <row r="356" customFormat="false" ht="12.75" hidden="false" customHeight="false" outlineLevel="0" collapsed="false">
      <c r="B356" s="1" t="n">
        <v>4</v>
      </c>
      <c r="C356" s="423" t="n">
        <f aca="false">C355</f>
        <v>135456</v>
      </c>
      <c r="D356" s="429" t="n">
        <f aca="false">D354</f>
        <v>135456</v>
      </c>
    </row>
    <row r="357" customFormat="false" ht="12.75" hidden="false" customHeight="false" outlineLevel="0" collapsed="false">
      <c r="B357" s="1" t="n">
        <v>5</v>
      </c>
      <c r="C357" s="423" t="n">
        <f aca="false">C356</f>
        <v>135456</v>
      </c>
      <c r="D357" s="429" t="n">
        <f aca="false">D356</f>
        <v>135456</v>
      </c>
      <c r="H357" s="423"/>
      <c r="I357" s="423"/>
      <c r="J357" s="423"/>
      <c r="L357" s="423"/>
      <c r="Q357" s="433" t="n">
        <f aca="false">R358-O358</f>
        <v>1011</v>
      </c>
    </row>
    <row r="358" customFormat="false" ht="12.75" hidden="false" customHeight="false" outlineLevel="0" collapsed="false">
      <c r="L358" s="423"/>
      <c r="O358" s="289" t="n">
        <v>1640</v>
      </c>
      <c r="R358" s="1" t="n">
        <v>2651</v>
      </c>
    </row>
    <row r="359" customFormat="false" ht="12.75" hidden="false" customHeight="false" outlineLevel="0" collapsed="false">
      <c r="C359" s="429" t="n">
        <f aca="false">SUM(C353:C358)</f>
        <v>677280</v>
      </c>
      <c r="D359" s="429" t="n">
        <f aca="false">SUM(D353:D358)</f>
        <v>632128</v>
      </c>
      <c r="O359" s="423" t="n">
        <v>101000</v>
      </c>
      <c r="P359" s="423"/>
      <c r="Q359" s="423" t="n">
        <f aca="false">Q361*O358</f>
        <v>123000</v>
      </c>
      <c r="R359" s="423" t="n">
        <f aca="false">R361*R358</f>
        <v>172315</v>
      </c>
    </row>
    <row r="360" customFormat="false" ht="12.75" hidden="false" customHeight="false" outlineLevel="0" collapsed="false">
      <c r="C360" s="429" t="n">
        <f aca="false">C359/5</f>
        <v>135456</v>
      </c>
      <c r="D360" s="429" t="n">
        <f aca="false">D359/5</f>
        <v>126425.6</v>
      </c>
    </row>
    <row r="361" customFormat="false" ht="12.75" hidden="false" customHeight="false" outlineLevel="0" collapsed="false">
      <c r="C361" s="421" t="n">
        <f aca="false">C360/A351</f>
        <v>68</v>
      </c>
      <c r="D361" s="421" t="n">
        <f aca="false">D360/A351</f>
        <v>63.4666666666667</v>
      </c>
      <c r="O361" s="509" t="n">
        <f aca="false">O359/O358</f>
        <v>61.5853658536585</v>
      </c>
      <c r="Q361" s="1" t="n">
        <v>75</v>
      </c>
      <c r="R361" s="1" t="n">
        <v>65</v>
      </c>
    </row>
    <row r="362" customFormat="false" ht="12.75" hidden="false" customHeight="false" outlineLevel="0" collapsed="false">
      <c r="F362" s="1" t="n">
        <f aca="false">+A351*7</f>
        <v>13944</v>
      </c>
    </row>
    <row r="363" customFormat="false" ht="12.75" hidden="false" customHeight="false" outlineLevel="0" collapsed="false">
      <c r="A363" s="3" t="s">
        <v>502</v>
      </c>
      <c r="P363" s="1" t="n">
        <v>1</v>
      </c>
      <c r="Q363" s="423" t="n">
        <f aca="false">Q364*0.5</f>
        <v>61500</v>
      </c>
      <c r="R363" s="423" t="n">
        <f aca="false">R364/12*3</f>
        <v>43078.75</v>
      </c>
    </row>
    <row r="364" customFormat="false" ht="12.75" hidden="false" customHeight="false" outlineLevel="0" collapsed="false">
      <c r="B364" s="1" t="n">
        <v>980</v>
      </c>
      <c r="P364" s="1" t="n">
        <v>2</v>
      </c>
      <c r="Q364" s="423" t="n">
        <f aca="false">Q359</f>
        <v>123000</v>
      </c>
      <c r="R364" s="423" t="n">
        <f aca="false">R359</f>
        <v>172315</v>
      </c>
    </row>
    <row r="365" customFormat="false" ht="12.75" hidden="false" customHeight="false" outlineLevel="0" collapsed="false">
      <c r="A365" s="3" t="s">
        <v>956</v>
      </c>
      <c r="B365" s="456" t="n">
        <v>58</v>
      </c>
      <c r="C365" s="432" t="n">
        <f aca="false">$B$364*B365</f>
        <v>56840</v>
      </c>
      <c r="P365" s="1" t="n">
        <v>3</v>
      </c>
      <c r="Q365" s="423" t="n">
        <f aca="false">Q364</f>
        <v>123000</v>
      </c>
      <c r="R365" s="423" t="n">
        <f aca="false">R364</f>
        <v>172315</v>
      </c>
    </row>
    <row r="366" customFormat="false" ht="12.75" hidden="false" customHeight="false" outlineLevel="0" collapsed="false">
      <c r="A366" s="3" t="s">
        <v>957</v>
      </c>
      <c r="B366" s="1" t="n">
        <v>24.5</v>
      </c>
      <c r="C366" s="432" t="n">
        <f aca="false">$B$364*B366</f>
        <v>24010</v>
      </c>
      <c r="P366" s="1" t="n">
        <v>4</v>
      </c>
      <c r="Q366" s="423" t="n">
        <f aca="false">Q365</f>
        <v>123000</v>
      </c>
      <c r="R366" s="423" t="n">
        <f aca="false">R365</f>
        <v>172315</v>
      </c>
    </row>
    <row r="367" customFormat="false" ht="12.75" hidden="false" customHeight="false" outlineLevel="0" collapsed="false">
      <c r="A367" s="3" t="s">
        <v>938</v>
      </c>
      <c r="B367" s="1" t="n">
        <v>21</v>
      </c>
      <c r="C367" s="432" t="n">
        <f aca="false">$B$364*B367</f>
        <v>20580</v>
      </c>
      <c r="H367" s="1" t="s">
        <v>956</v>
      </c>
      <c r="I367" s="1" t="n">
        <v>246140</v>
      </c>
      <c r="J367" s="1" t="n">
        <v>19950</v>
      </c>
      <c r="K367" s="1" t="n">
        <v>17500</v>
      </c>
      <c r="L367" s="1" t="n">
        <v>86450</v>
      </c>
      <c r="M367" s="1" t="n">
        <v>231000</v>
      </c>
      <c r="N367" s="1" t="n">
        <v>90000</v>
      </c>
      <c r="O367" s="1" t="n">
        <v>74945</v>
      </c>
      <c r="P367" s="1" t="n">
        <v>5</v>
      </c>
      <c r="Q367" s="423" t="n">
        <f aca="false">Q365</f>
        <v>123000</v>
      </c>
      <c r="R367" s="423" t="n">
        <f aca="false">R365</f>
        <v>172315</v>
      </c>
    </row>
    <row r="368" customFormat="false" ht="12.75" hidden="false" customHeight="false" outlineLevel="0" collapsed="false">
      <c r="A368" s="3" t="s">
        <v>959</v>
      </c>
      <c r="B368" s="1" t="n">
        <v>1.5</v>
      </c>
      <c r="C368" s="432" t="n">
        <f aca="false">$B$364*B368</f>
        <v>1470</v>
      </c>
      <c r="Q368" s="423"/>
      <c r="R368" s="423"/>
    </row>
    <row r="369" customFormat="false" ht="12.75" hidden="false" customHeight="false" outlineLevel="0" collapsed="false">
      <c r="C369" s="432" t="n">
        <f aca="false">SUM(C365:C368)</f>
        <v>102900</v>
      </c>
      <c r="D369" s="1" t="n">
        <f aca="false">C369/12</f>
        <v>8575</v>
      </c>
      <c r="H369" s="1" t="s">
        <v>1001</v>
      </c>
      <c r="I369" s="1" t="n">
        <v>218300</v>
      </c>
      <c r="J369" s="1" t="n">
        <v>17500</v>
      </c>
      <c r="K369" s="1" t="n">
        <v>15500</v>
      </c>
      <c r="L369" s="1" t="n">
        <v>78200</v>
      </c>
      <c r="M369" s="1" t="n">
        <v>209500</v>
      </c>
      <c r="N369" s="1" t="n">
        <v>80000</v>
      </c>
      <c r="O369" s="1" t="n">
        <v>69000</v>
      </c>
      <c r="Q369" s="423" t="n">
        <f aca="false">SUM(Q363:Q368)</f>
        <v>553500</v>
      </c>
      <c r="R369" s="423" t="n">
        <f aca="false">SUM(R363:R368)</f>
        <v>732338.75</v>
      </c>
    </row>
    <row r="370" customFormat="false" ht="12.75" hidden="false" customHeight="false" outlineLevel="0" collapsed="false">
      <c r="Q370" s="423" t="n">
        <f aca="false">Q369/5</f>
        <v>110700</v>
      </c>
      <c r="R370" s="423" t="n">
        <f aca="false">R369/5</f>
        <v>146467.75</v>
      </c>
    </row>
    <row r="371" customFormat="false" ht="12.75" hidden="false" customHeight="false" outlineLevel="0" collapsed="false">
      <c r="C371" s="1" t="n">
        <f aca="false">C369/B364</f>
        <v>105</v>
      </c>
      <c r="I371" s="1" t="n">
        <f aca="false">I367-I369</f>
        <v>27840</v>
      </c>
      <c r="J371" s="1" t="n">
        <f aca="false">J367-J369</f>
        <v>2450</v>
      </c>
      <c r="K371" s="1" t="n">
        <f aca="false">K367-K369</f>
        <v>2000</v>
      </c>
      <c r="L371" s="1" t="n">
        <f aca="false">L367-L369</f>
        <v>8250</v>
      </c>
      <c r="M371" s="1" t="n">
        <f aca="false">M367-M369</f>
        <v>21500</v>
      </c>
      <c r="N371" s="1" t="n">
        <f aca="false">N367-N369</f>
        <v>10000</v>
      </c>
      <c r="O371" s="1" t="n">
        <f aca="false">O367-O369</f>
        <v>5945</v>
      </c>
      <c r="Q371" s="423" t="n">
        <f aca="false">Q370/O358</f>
        <v>67.5</v>
      </c>
      <c r="R371" s="423" t="n">
        <f aca="false">R370/R358</f>
        <v>55.25</v>
      </c>
    </row>
    <row r="372" customFormat="false" ht="12.75" hidden="false" customHeight="false" outlineLevel="0" collapsed="false">
      <c r="I372" s="293" t="n">
        <f aca="false">I371/I369</f>
        <v>0.12753092075126</v>
      </c>
      <c r="J372" s="293" t="n">
        <f aca="false">J371/J369</f>
        <v>0.14</v>
      </c>
      <c r="K372" s="293" t="n">
        <f aca="false">K371/K369</f>
        <v>0.129032258064516</v>
      </c>
      <c r="L372" s="293" t="n">
        <f aca="false">L371/L369</f>
        <v>0.105498721227621</v>
      </c>
      <c r="M372" s="293" t="n">
        <f aca="false">M371/M369</f>
        <v>0.102625298329356</v>
      </c>
      <c r="N372" s="452" t="n">
        <f aca="false">N371/N369</f>
        <v>0.125</v>
      </c>
      <c r="O372" s="452" t="n">
        <f aca="false">O371/O369</f>
        <v>0.0861594202898551</v>
      </c>
    </row>
    <row r="375" customFormat="false" ht="12.75" hidden="false" customHeight="false" outlineLevel="0" collapsed="false">
      <c r="B375" s="3"/>
      <c r="S375" s="1" t="s">
        <v>1082</v>
      </c>
      <c r="U375" s="1" t="s">
        <v>1083</v>
      </c>
    </row>
    <row r="376" customFormat="false" ht="12.75" hidden="false" customHeight="false" outlineLevel="0" collapsed="false">
      <c r="I376" s="292"/>
      <c r="Q376" s="1" t="s">
        <v>1084</v>
      </c>
      <c r="R376" s="292" t="n">
        <f aca="false">R378*R377</f>
        <v>151500</v>
      </c>
      <c r="S376" s="1" t="n">
        <v>11</v>
      </c>
    </row>
    <row r="377" customFormat="false" ht="12.75" hidden="false" customHeight="false" outlineLevel="0" collapsed="false">
      <c r="D377" s="382"/>
      <c r="I377" s="292"/>
      <c r="Q377" s="1" t="s">
        <v>1085</v>
      </c>
      <c r="R377" s="1" t="n">
        <v>2610</v>
      </c>
      <c r="U377" s="1" t="n">
        <v>2508</v>
      </c>
    </row>
    <row r="378" customFormat="false" ht="12.75" hidden="false" customHeight="false" outlineLevel="0" collapsed="false">
      <c r="A378" s="1" t="s">
        <v>1037</v>
      </c>
      <c r="I378" s="292"/>
      <c r="R378" s="448" t="n">
        <v>58.0459770114943</v>
      </c>
      <c r="S378" s="448" t="n">
        <v>58</v>
      </c>
      <c r="U378" s="1" t="n">
        <v>62</v>
      </c>
    </row>
    <row r="379" customFormat="false" ht="12.75" hidden="false" customHeight="false" outlineLevel="0" collapsed="false">
      <c r="A379" s="1" t="s">
        <v>1086</v>
      </c>
      <c r="C379" s="3" t="s">
        <v>1087</v>
      </c>
      <c r="D379" s="3" t="s">
        <v>1060</v>
      </c>
      <c r="I379" s="292"/>
    </row>
    <row r="380" customFormat="false" ht="12.75" hidden="false" customHeight="false" outlineLevel="0" collapsed="false">
      <c r="A380" s="1" t="n">
        <v>2280</v>
      </c>
      <c r="C380" s="292" t="n">
        <f aca="false">C385*C384</f>
        <v>171000</v>
      </c>
      <c r="D380" s="1" t="n">
        <v>6</v>
      </c>
      <c r="F380" s="424" t="s">
        <v>1088</v>
      </c>
      <c r="G380" s="425"/>
      <c r="H380" s="425"/>
      <c r="I380" s="512"/>
      <c r="J380" s="513" t="s">
        <v>1089</v>
      </c>
      <c r="K380" s="425"/>
      <c r="L380" s="425"/>
      <c r="M380" s="425"/>
      <c r="N380" s="426"/>
      <c r="Q380" s="1" t="n">
        <v>1</v>
      </c>
      <c r="R380" s="292" t="n">
        <f aca="false">SUM(R376-(R376/12*S376))</f>
        <v>12625</v>
      </c>
      <c r="S380" s="292" t="n">
        <f aca="false">S382/12*8/2</f>
        <v>50500</v>
      </c>
      <c r="T380" s="1" t="n">
        <v>1</v>
      </c>
      <c r="U380" s="1" t="n">
        <f aca="false">U381/2</f>
        <v>77748</v>
      </c>
    </row>
    <row r="381" customFormat="false" ht="12.75" hidden="false" customHeight="false" outlineLevel="0" collapsed="false">
      <c r="C381" s="292"/>
      <c r="F381" s="427" t="s">
        <v>1090</v>
      </c>
      <c r="H381" s="1" t="s">
        <v>1082</v>
      </c>
      <c r="I381" s="382"/>
      <c r="K381" s="1" t="s">
        <v>1082</v>
      </c>
      <c r="N381" s="337"/>
      <c r="Q381" s="1" t="n">
        <v>2</v>
      </c>
      <c r="R381" s="292" t="n">
        <f aca="false">R378*R377</f>
        <v>151500</v>
      </c>
      <c r="S381" s="292" t="n">
        <f aca="false">S382*0.75</f>
        <v>113625</v>
      </c>
      <c r="T381" s="1" t="n">
        <v>2</v>
      </c>
      <c r="U381" s="1" t="n">
        <f aca="false">U378*U377</f>
        <v>155496</v>
      </c>
    </row>
    <row r="382" customFormat="false" ht="12.75" hidden="false" customHeight="false" outlineLevel="0" collapsed="false">
      <c r="C382" s="292"/>
      <c r="F382" s="427" t="s">
        <v>1091</v>
      </c>
      <c r="G382" s="292" t="n">
        <f aca="false">G384*G383</f>
        <v>52525.7142857143</v>
      </c>
      <c r="H382" s="1" t="n">
        <v>7.5</v>
      </c>
      <c r="J382" s="292" t="n">
        <f aca="false">J384*J383</f>
        <v>76775</v>
      </c>
      <c r="K382" s="1" t="n">
        <v>4</v>
      </c>
      <c r="N382" s="337"/>
      <c r="Q382" s="1" t="n">
        <v>3</v>
      </c>
      <c r="R382" s="292" t="n">
        <f aca="false">R381</f>
        <v>151500</v>
      </c>
      <c r="S382" s="292" t="n">
        <f aca="false">R378*R377</f>
        <v>151500</v>
      </c>
      <c r="T382" s="1" t="n">
        <v>3</v>
      </c>
      <c r="U382" s="1" t="n">
        <f aca="false">U381</f>
        <v>155496</v>
      </c>
    </row>
    <row r="383" customFormat="false" ht="12.75" hidden="false" customHeight="false" outlineLevel="0" collapsed="false">
      <c r="C383" s="334" t="s">
        <v>1092</v>
      </c>
      <c r="F383" s="427"/>
      <c r="G383" s="1" t="n">
        <v>766</v>
      </c>
      <c r="J383" s="289" t="n">
        <v>1129</v>
      </c>
      <c r="N383" s="337"/>
      <c r="Q383" s="1" t="n">
        <v>4</v>
      </c>
      <c r="R383" s="292" t="n">
        <f aca="false">R382</f>
        <v>151500</v>
      </c>
      <c r="S383" s="292" t="n">
        <f aca="false">S382</f>
        <v>151500</v>
      </c>
      <c r="T383" s="1" t="n">
        <v>4</v>
      </c>
      <c r="U383" s="1" t="n">
        <f aca="false">U382</f>
        <v>155496</v>
      </c>
    </row>
    <row r="384" customFormat="false" ht="12.75" hidden="false" customHeight="false" outlineLevel="0" collapsed="false">
      <c r="C384" s="498" t="n">
        <f aca="false">A380</f>
        <v>2280</v>
      </c>
      <c r="F384" s="427"/>
      <c r="G384" s="448" t="n">
        <v>68.5714285714286</v>
      </c>
      <c r="H384" s="448" t="n">
        <v>60</v>
      </c>
      <c r="J384" s="448" t="n">
        <v>68.0026572187777</v>
      </c>
      <c r="K384" s="448" t="n">
        <v>60</v>
      </c>
      <c r="N384" s="337"/>
      <c r="Q384" s="1" t="n">
        <v>5</v>
      </c>
      <c r="R384" s="292" t="n">
        <f aca="false">R383</f>
        <v>151500</v>
      </c>
      <c r="S384" s="292" t="n">
        <f aca="false">S383</f>
        <v>151500</v>
      </c>
      <c r="T384" s="1" t="n">
        <v>5</v>
      </c>
      <c r="U384" s="1" t="n">
        <f aca="false">U383</f>
        <v>155496</v>
      </c>
    </row>
    <row r="385" customFormat="false" ht="12.75" hidden="false" customHeight="false" outlineLevel="0" collapsed="false">
      <c r="C385" s="514" t="n">
        <v>75</v>
      </c>
      <c r="D385" s="315"/>
      <c r="F385" s="427"/>
      <c r="N385" s="337"/>
      <c r="Q385" s="1" t="n">
        <v>6</v>
      </c>
      <c r="R385" s="292" t="n">
        <f aca="false">R384</f>
        <v>151500</v>
      </c>
      <c r="S385" s="292" t="n">
        <f aca="false">S384</f>
        <v>151500</v>
      </c>
    </row>
    <row r="386" customFormat="false" ht="12.75" hidden="false" customHeight="false" outlineLevel="0" collapsed="false">
      <c r="C386" s="3"/>
      <c r="D386" s="498"/>
      <c r="F386" s="427" t="n">
        <v>1</v>
      </c>
      <c r="G386" s="292" t="n">
        <f aca="false">SUM(G382-(G382/12*H382))</f>
        <v>19697.1428571429</v>
      </c>
      <c r="H386" s="292" t="n">
        <f aca="false">H384*G383</f>
        <v>45960</v>
      </c>
      <c r="J386" s="292" t="n">
        <f aca="false">SUM(J382-(J382/12*K382))</f>
        <v>51183.3333333334</v>
      </c>
      <c r="K386" s="292" t="n">
        <f aca="false">K384*J383</f>
        <v>67740</v>
      </c>
      <c r="N386" s="337"/>
      <c r="Q386" s="1" t="n">
        <v>7</v>
      </c>
      <c r="R386" s="292" t="n">
        <f aca="false">R385</f>
        <v>151500</v>
      </c>
      <c r="S386" s="292" t="n">
        <f aca="false">S385</f>
        <v>151500</v>
      </c>
    </row>
    <row r="387" customFormat="false" ht="12.75" hidden="false" customHeight="false" outlineLevel="0" collapsed="false">
      <c r="B387" s="1" t="n">
        <v>1</v>
      </c>
      <c r="C387" s="292" t="n">
        <f aca="false">SUM(C380-(C380/12*D380))</f>
        <v>85500</v>
      </c>
      <c r="D387" s="315"/>
      <c r="F387" s="427" t="n">
        <v>2</v>
      </c>
      <c r="G387" s="292" t="n">
        <f aca="false">G384*G383</f>
        <v>52525.7142857143</v>
      </c>
      <c r="H387" s="292" t="n">
        <f aca="false">H386</f>
        <v>45960</v>
      </c>
      <c r="J387" s="292" t="n">
        <f aca="false">J384*J383</f>
        <v>76775</v>
      </c>
      <c r="K387" s="292" t="n">
        <f aca="false">K386</f>
        <v>67740</v>
      </c>
      <c r="M387" s="469" t="s">
        <v>1093</v>
      </c>
      <c r="N387" s="515" t="n">
        <f aca="false">J387</f>
        <v>76775</v>
      </c>
      <c r="O387" s="292"/>
    </row>
    <row r="388" customFormat="false" ht="12.75" hidden="false" customHeight="false" outlineLevel="0" collapsed="false">
      <c r="B388" s="1" t="n">
        <v>2</v>
      </c>
      <c r="C388" s="292" t="n">
        <f aca="false">C385*C384</f>
        <v>171000</v>
      </c>
      <c r="F388" s="427" t="n">
        <v>3</v>
      </c>
      <c r="G388" s="292" t="n">
        <f aca="false">G387</f>
        <v>52525.7142857143</v>
      </c>
      <c r="H388" s="292" t="n">
        <f aca="false">H387</f>
        <v>45960</v>
      </c>
      <c r="J388" s="292" t="n">
        <f aca="false">J387</f>
        <v>76775</v>
      </c>
      <c r="K388" s="292" t="n">
        <f aca="false">K387</f>
        <v>67740</v>
      </c>
      <c r="M388" s="469" t="s">
        <v>938</v>
      </c>
      <c r="N388" s="515" t="n">
        <v>15775</v>
      </c>
      <c r="R388" s="292" t="n">
        <f aca="false">SUM(R380:R386)</f>
        <v>921625.000000001</v>
      </c>
      <c r="S388" s="292" t="n">
        <f aca="false">SUM(S380:S386)</f>
        <v>921625.000000001</v>
      </c>
      <c r="U388" s="292" t="n">
        <f aca="false">SUM(U380:U386)</f>
        <v>699732</v>
      </c>
    </row>
    <row r="389" customFormat="false" ht="12.75" hidden="false" customHeight="false" outlineLevel="0" collapsed="false">
      <c r="B389" s="1" t="n">
        <v>3</v>
      </c>
      <c r="C389" s="292" t="n">
        <f aca="false">C388</f>
        <v>171000</v>
      </c>
      <c r="F389" s="427" t="n">
        <v>4</v>
      </c>
      <c r="G389" s="292" t="n">
        <f aca="false">G388</f>
        <v>52525.7142857143</v>
      </c>
      <c r="H389" s="292" t="n">
        <f aca="false">H388</f>
        <v>45960</v>
      </c>
      <c r="J389" s="292" t="n">
        <f aca="false">J388</f>
        <v>76775</v>
      </c>
      <c r="K389" s="292" t="n">
        <f aca="false">K388</f>
        <v>67740</v>
      </c>
      <c r="M389" s="469" t="s">
        <v>1046</v>
      </c>
      <c r="N389" s="515" t="n">
        <v>24451</v>
      </c>
      <c r="R389" s="292" t="n">
        <f aca="false">R388/7</f>
        <v>131660.714285714</v>
      </c>
      <c r="S389" s="292" t="n">
        <f aca="false">S388/7</f>
        <v>131660.714285714</v>
      </c>
      <c r="U389" s="292" t="n">
        <f aca="false">U388/5</f>
        <v>139946.4</v>
      </c>
    </row>
    <row r="390" customFormat="false" ht="12.75" hidden="false" customHeight="false" outlineLevel="0" collapsed="false">
      <c r="B390" s="1" t="n">
        <v>4</v>
      </c>
      <c r="C390" s="292" t="n">
        <f aca="false">C389</f>
        <v>171000</v>
      </c>
      <c r="F390" s="427" t="n">
        <v>5</v>
      </c>
      <c r="G390" s="292" t="n">
        <f aca="false">G389</f>
        <v>52525.7142857143</v>
      </c>
      <c r="H390" s="292" t="n">
        <f aca="false">H389</f>
        <v>45960</v>
      </c>
      <c r="J390" s="292" t="n">
        <f aca="false">J389</f>
        <v>76775</v>
      </c>
      <c r="K390" s="292" t="n">
        <f aca="false">K389</f>
        <v>67740</v>
      </c>
      <c r="M390" s="469" t="s">
        <v>1094</v>
      </c>
      <c r="N390" s="516" t="n">
        <f aca="false">J383*1.2</f>
        <v>1354.8</v>
      </c>
      <c r="R390" s="423" t="n">
        <f aca="false">R389/R377</f>
        <v>50.444718117132</v>
      </c>
      <c r="S390" s="423" t="n">
        <f aca="false">S389/R377</f>
        <v>50.444718117132</v>
      </c>
      <c r="U390" s="423" t="n">
        <f aca="false">U389/U377</f>
        <v>55.8</v>
      </c>
    </row>
    <row r="391" customFormat="false" ht="12.75" hidden="false" customHeight="false" outlineLevel="0" collapsed="false">
      <c r="B391" s="1" t="n">
        <v>5</v>
      </c>
      <c r="C391" s="292" t="n">
        <f aca="false">C390</f>
        <v>171000</v>
      </c>
      <c r="F391" s="427"/>
      <c r="G391" s="292"/>
      <c r="H391" s="292"/>
      <c r="J391" s="292"/>
      <c r="K391" s="292"/>
      <c r="N391" s="515" t="n">
        <f aca="false">SUM(N387:N390)</f>
        <v>118355.8</v>
      </c>
    </row>
    <row r="392" customFormat="false" ht="12.75" hidden="false" customHeight="false" outlineLevel="0" collapsed="false">
      <c r="B392" s="1" t="n">
        <v>6</v>
      </c>
      <c r="C392" s="292" t="n">
        <f aca="false">C391</f>
        <v>171000</v>
      </c>
      <c r="F392" s="427"/>
      <c r="G392" s="292" t="n">
        <f aca="false">SUM(G386:G391)</f>
        <v>229800</v>
      </c>
      <c r="H392" s="292" t="n">
        <f aca="false">SUM(H386:H391)</f>
        <v>229800</v>
      </c>
      <c r="J392" s="292" t="n">
        <f aca="false">SUM(J386:J391)</f>
        <v>358283.333333334</v>
      </c>
      <c r="K392" s="292" t="n">
        <f aca="false">SUM(K386:K391)</f>
        <v>338700</v>
      </c>
      <c r="N392" s="337"/>
    </row>
    <row r="393" customFormat="false" ht="12.75" hidden="false" customHeight="false" outlineLevel="0" collapsed="false">
      <c r="B393" s="1" t="n">
        <v>7</v>
      </c>
      <c r="C393" s="292" t="n">
        <f aca="false">C392</f>
        <v>171000</v>
      </c>
      <c r="F393" s="427"/>
      <c r="G393" s="292" t="n">
        <f aca="false">G392/5</f>
        <v>45960</v>
      </c>
      <c r="H393" s="292" t="n">
        <f aca="false">H392/5</f>
        <v>45960</v>
      </c>
      <c r="J393" s="292" t="n">
        <f aca="false">J392/5</f>
        <v>71656.6666666667</v>
      </c>
      <c r="K393" s="292" t="n">
        <f aca="false">K392/5</f>
        <v>67740</v>
      </c>
      <c r="N393" s="337"/>
    </row>
    <row r="394" customFormat="false" ht="12.75" hidden="false" customHeight="false" outlineLevel="0" collapsed="false">
      <c r="B394" s="1" t="n">
        <v>8</v>
      </c>
      <c r="C394" s="292" t="n">
        <f aca="false">C393</f>
        <v>171000</v>
      </c>
      <c r="F394" s="427"/>
      <c r="G394" s="423" t="n">
        <f aca="false">G393/G383</f>
        <v>60</v>
      </c>
      <c r="H394" s="423" t="n">
        <f aca="false">H393/G383</f>
        <v>60</v>
      </c>
      <c r="J394" s="423" t="n">
        <f aca="false">J393/J383</f>
        <v>63.4691467375259</v>
      </c>
      <c r="K394" s="423" t="n">
        <f aca="false">K393/J383</f>
        <v>60</v>
      </c>
      <c r="M394" s="292" t="n">
        <f aca="false">SUM(N388:N389)</f>
        <v>40226</v>
      </c>
      <c r="N394" s="337"/>
    </row>
    <row r="395" customFormat="false" ht="12.75" hidden="false" customHeight="false" outlineLevel="0" collapsed="false">
      <c r="B395" s="1" t="n">
        <v>9</v>
      </c>
      <c r="C395" s="292" t="n">
        <f aca="false">C394</f>
        <v>171000</v>
      </c>
      <c r="F395" s="427"/>
      <c r="M395" s="447" t="n">
        <f aca="false">M394/J383</f>
        <v>35.62976085031</v>
      </c>
      <c r="N395" s="337"/>
    </row>
    <row r="396" customFormat="false" ht="12.75" hidden="false" customHeight="false" outlineLevel="0" collapsed="false">
      <c r="B396" s="1" t="n">
        <v>10</v>
      </c>
      <c r="C396" s="292" t="n">
        <f aca="false">C395</f>
        <v>171000</v>
      </c>
      <c r="F396" s="427"/>
      <c r="N396" s="337"/>
      <c r="T396" s="1" t="n">
        <v>325</v>
      </c>
      <c r="U396" s="456" t="n">
        <f aca="false">U397/T396</f>
        <v>52.3076923076923</v>
      </c>
      <c r="V396" s="456" t="n">
        <f aca="false">V397/T396</f>
        <v>50.7692307692308</v>
      </c>
      <c r="W396" s="456" t="n">
        <f aca="false">W397/T396</f>
        <v>41.5384615384615</v>
      </c>
      <c r="Z396" s="289" t="n">
        <v>1922</v>
      </c>
      <c r="AA396" s="289" t="n">
        <f aca="false">AA397/Z396</f>
        <v>68.678459937565</v>
      </c>
    </row>
    <row r="397" customFormat="false" ht="12.75" hidden="false" customHeight="false" outlineLevel="0" collapsed="false">
      <c r="B397" s="1" t="n">
        <v>11</v>
      </c>
      <c r="C397" s="292" t="n">
        <f aca="false">C396</f>
        <v>171000</v>
      </c>
      <c r="F397" s="438"/>
      <c r="G397" s="340"/>
      <c r="H397" s="340"/>
      <c r="I397" s="340"/>
      <c r="J397" s="340"/>
      <c r="K397" s="340"/>
      <c r="L397" s="340"/>
      <c r="M397" s="340"/>
      <c r="N397" s="439"/>
      <c r="U397" s="289" t="n">
        <v>17000</v>
      </c>
      <c r="V397" s="289" t="n">
        <v>16500</v>
      </c>
      <c r="W397" s="1" t="n">
        <v>13500</v>
      </c>
      <c r="Z397" s="289"/>
      <c r="AA397" s="289" t="n">
        <v>132000</v>
      </c>
      <c r="AB397" s="1" t="n">
        <v>135000</v>
      </c>
      <c r="AC397" s="1" t="n">
        <v>125000</v>
      </c>
    </row>
    <row r="398" customFormat="false" ht="12.75" hidden="false" customHeight="false" outlineLevel="0" collapsed="false">
      <c r="B398" s="1" t="n">
        <v>12</v>
      </c>
      <c r="C398" s="292" t="n">
        <f aca="false">C397</f>
        <v>171000</v>
      </c>
      <c r="Z398" s="289"/>
      <c r="AA398" s="289"/>
    </row>
    <row r="399" customFormat="false" ht="12.75" hidden="false" customHeight="false" outlineLevel="0" collapsed="false">
      <c r="B399" s="1" t="n">
        <v>13</v>
      </c>
      <c r="C399" s="292" t="n">
        <f aca="false">C398</f>
        <v>171000</v>
      </c>
      <c r="T399" s="1" t="n">
        <v>1</v>
      </c>
      <c r="U399" s="289" t="n">
        <f aca="false">+U400/12*8</f>
        <v>11333.3333333333</v>
      </c>
      <c r="V399" s="289" t="n">
        <f aca="false">V397/12*8</f>
        <v>11000</v>
      </c>
      <c r="W399" s="1" t="n">
        <f aca="false">W400/12*10</f>
        <v>11250</v>
      </c>
      <c r="Z399" s="1" t="n">
        <v>1</v>
      </c>
      <c r="AA399" s="433" t="n">
        <f aca="false">AA397/12*5</f>
        <v>55000</v>
      </c>
      <c r="AB399" s="433" t="n">
        <f aca="false">AB397/12*5</f>
        <v>56250</v>
      </c>
      <c r="AC399" s="433" t="n">
        <f aca="false">AC397/12*8</f>
        <v>83333.3333333333</v>
      </c>
    </row>
    <row r="400" customFormat="false" ht="12.75" hidden="false" customHeight="false" outlineLevel="0" collapsed="false">
      <c r="B400" s="1" t="n">
        <v>14</v>
      </c>
      <c r="C400" s="292" t="n">
        <f aca="false">C399</f>
        <v>171000</v>
      </c>
      <c r="T400" s="1" t="n">
        <v>2</v>
      </c>
      <c r="U400" s="289" t="n">
        <f aca="false">U397</f>
        <v>17000</v>
      </c>
      <c r="V400" s="289" t="n">
        <f aca="false">V397</f>
        <v>16500</v>
      </c>
      <c r="W400" s="1" t="n">
        <f aca="false">W397</f>
        <v>13500</v>
      </c>
      <c r="Z400" s="1" t="n">
        <v>2</v>
      </c>
      <c r="AA400" s="433" t="n">
        <f aca="false">AA397</f>
        <v>132000</v>
      </c>
      <c r="AB400" s="433" t="n">
        <f aca="false">AB397</f>
        <v>135000</v>
      </c>
      <c r="AC400" s="433" t="n">
        <f aca="false">AC397</f>
        <v>125000</v>
      </c>
    </row>
    <row r="401" customFormat="false" ht="12.75" hidden="false" customHeight="false" outlineLevel="0" collapsed="false">
      <c r="B401" s="1" t="n">
        <v>15</v>
      </c>
      <c r="C401" s="292" t="n">
        <f aca="false">C400</f>
        <v>171000</v>
      </c>
      <c r="T401" s="1" t="n">
        <v>3</v>
      </c>
      <c r="U401" s="289" t="n">
        <f aca="false">U400</f>
        <v>17000</v>
      </c>
      <c r="V401" s="289" t="n">
        <f aca="false">V400</f>
        <v>16500</v>
      </c>
      <c r="W401" s="1" t="n">
        <f aca="false">W400</f>
        <v>13500</v>
      </c>
      <c r="Z401" s="289" t="n">
        <v>3</v>
      </c>
      <c r="AA401" s="433" t="n">
        <f aca="false">AA400</f>
        <v>132000</v>
      </c>
      <c r="AB401" s="433" t="n">
        <f aca="false">AB400</f>
        <v>135000</v>
      </c>
      <c r="AC401" s="433" t="n">
        <f aca="false">AC400</f>
        <v>125000</v>
      </c>
    </row>
    <row r="402" customFormat="false" ht="12.75" hidden="false" customHeight="false" outlineLevel="0" collapsed="false">
      <c r="Z402" s="289" t="n">
        <v>4</v>
      </c>
      <c r="AA402" s="433" t="n">
        <f aca="false">AA401</f>
        <v>132000</v>
      </c>
      <c r="AB402" s="433" t="n">
        <f aca="false">AB401</f>
        <v>135000</v>
      </c>
      <c r="AC402" s="433" t="n">
        <f aca="false">AC401</f>
        <v>125000</v>
      </c>
    </row>
    <row r="403" customFormat="false" ht="12.75" hidden="false" customHeight="false" outlineLevel="0" collapsed="false">
      <c r="C403" s="292" t="n">
        <f aca="false">SUM(C387:C401)</f>
        <v>2479500</v>
      </c>
      <c r="U403" s="292" t="n">
        <f aca="false">SUM(U399:U401)</f>
        <v>45333.3333333333</v>
      </c>
      <c r="V403" s="292" t="n">
        <f aca="false">SUM(V399:V401)</f>
        <v>44000</v>
      </c>
      <c r="W403" s="292" t="n">
        <f aca="false">SUM(W399:W401)</f>
        <v>38250</v>
      </c>
      <c r="Z403" s="289" t="n">
        <v>5</v>
      </c>
      <c r="AA403" s="433" t="n">
        <f aca="false">AA402</f>
        <v>132000</v>
      </c>
      <c r="AB403" s="433" t="n">
        <f aca="false">AB402</f>
        <v>135000</v>
      </c>
      <c r="AC403" s="433" t="n">
        <f aca="false">AC402</f>
        <v>125000</v>
      </c>
    </row>
    <row r="404" customFormat="false" ht="12.75" hidden="false" customHeight="false" outlineLevel="0" collapsed="false">
      <c r="C404" s="382" t="n">
        <f aca="false">C403/15</f>
        <v>165300</v>
      </c>
      <c r="U404" s="292" t="n">
        <f aca="false">U403/3</f>
        <v>15111.1111111111</v>
      </c>
      <c r="V404" s="292" t="n">
        <f aca="false">V403/3</f>
        <v>14666.6666666667</v>
      </c>
      <c r="W404" s="292" t="n">
        <f aca="false">W403/3</f>
        <v>12750</v>
      </c>
      <c r="Z404" s="289"/>
    </row>
    <row r="405" customFormat="false" ht="12.75" hidden="false" customHeight="false" outlineLevel="0" collapsed="false">
      <c r="C405" s="382" t="n">
        <f aca="false">C404/C384</f>
        <v>72.5</v>
      </c>
      <c r="N405" s="3" t="s">
        <v>1095</v>
      </c>
      <c r="O405" s="289" t="n">
        <v>2235</v>
      </c>
      <c r="Q405" s="289" t="n">
        <v>2235</v>
      </c>
      <c r="U405" s="423" t="n">
        <f aca="false">U404/T396</f>
        <v>46.4957264957265</v>
      </c>
      <c r="V405" s="423" t="n">
        <f aca="false">V404/T396</f>
        <v>45.1282051282051</v>
      </c>
      <c r="W405" s="423" t="n">
        <f aca="false">W404/T396</f>
        <v>39.2307692307692</v>
      </c>
      <c r="AA405" s="292" t="n">
        <f aca="false">SUM(AA399:AA403)</f>
        <v>583000</v>
      </c>
      <c r="AB405" s="292" t="n">
        <f aca="false">SUM(AB399:AB403)</f>
        <v>596250</v>
      </c>
      <c r="AC405" s="292" t="n">
        <f aca="false">SUM(AC399:AC403)</f>
        <v>583333.333333333</v>
      </c>
    </row>
    <row r="406" customFormat="false" ht="12.75" hidden="false" customHeight="false" outlineLevel="0" collapsed="false">
      <c r="M406" s="4"/>
      <c r="N406" s="5"/>
      <c r="O406" s="517" t="n">
        <v>130000</v>
      </c>
      <c r="P406" s="100"/>
      <c r="Q406" s="517" t="n">
        <v>150000</v>
      </c>
      <c r="R406" s="4"/>
      <c r="AA406" s="292" t="n">
        <f aca="false">AA405/5</f>
        <v>116600</v>
      </c>
      <c r="AB406" s="292" t="n">
        <f aca="false">AB405/5</f>
        <v>119250</v>
      </c>
      <c r="AC406" s="292" t="n">
        <f aca="false">AC405/5</f>
        <v>116666.666666667</v>
      </c>
    </row>
    <row r="407" customFormat="false" ht="12.75" hidden="false" customHeight="false" outlineLevel="0" collapsed="false">
      <c r="M407" s="4"/>
      <c r="N407" s="5"/>
      <c r="O407" s="518" t="n">
        <f aca="false">O406/O405</f>
        <v>58.165548098434</v>
      </c>
      <c r="P407" s="100"/>
      <c r="Q407" s="518" t="n">
        <f aca="false">Q406/Q405</f>
        <v>67.1140939597316</v>
      </c>
      <c r="R407" s="4"/>
      <c r="Z407" s="289"/>
      <c r="AA407" s="423" t="n">
        <f aca="false">AA406/Z396</f>
        <v>60.6659729448491</v>
      </c>
      <c r="AB407" s="423" t="n">
        <f aca="false">AB406/Z396</f>
        <v>62.0447450572321</v>
      </c>
      <c r="AC407" s="423" t="n">
        <f aca="false">AC406/Z396</f>
        <v>60.7006590357267</v>
      </c>
    </row>
    <row r="408" customFormat="false" ht="12.75" hidden="false" customHeight="false" outlineLevel="0" collapsed="false">
      <c r="M408" s="4"/>
      <c r="P408" s="100"/>
      <c r="Q408" s="519"/>
      <c r="R408" s="4"/>
    </row>
    <row r="409" customFormat="false" ht="12.75" hidden="false" customHeight="false" outlineLevel="0" collapsed="false">
      <c r="D409" s="1" t="s">
        <v>1096</v>
      </c>
      <c r="E409" s="1" t="s">
        <v>1097</v>
      </c>
      <c r="F409" s="1" t="s">
        <v>1096</v>
      </c>
      <c r="G409" s="1" t="s">
        <v>1097</v>
      </c>
      <c r="H409" s="1" t="s">
        <v>1096</v>
      </c>
      <c r="I409" s="1" t="s">
        <v>1097</v>
      </c>
      <c r="M409" s="4"/>
      <c r="N409" s="5" t="n">
        <v>1</v>
      </c>
      <c r="O409" s="6"/>
      <c r="P409" s="100"/>
      <c r="Q409" s="520" t="n">
        <f aca="false">Q411/12*3</f>
        <v>37500</v>
      </c>
      <c r="R409" s="4"/>
    </row>
    <row r="410" customFormat="false" ht="12.75" hidden="false" customHeight="false" outlineLevel="0" collapsed="false">
      <c r="B410" s="1" t="s">
        <v>1098</v>
      </c>
      <c r="D410" s="1" t="s">
        <v>1099</v>
      </c>
      <c r="E410" s="1" t="s">
        <v>972</v>
      </c>
      <c r="F410" s="1" t="s">
        <v>971</v>
      </c>
      <c r="G410" s="1" t="s">
        <v>971</v>
      </c>
      <c r="H410" s="1" t="s">
        <v>970</v>
      </c>
      <c r="I410" s="1" t="s">
        <v>970</v>
      </c>
      <c r="M410" s="4"/>
      <c r="N410" s="5" t="n">
        <v>2</v>
      </c>
      <c r="O410" s="6" t="n">
        <f aca="false">$O$406/12*9</f>
        <v>97500</v>
      </c>
      <c r="P410" s="100"/>
      <c r="Q410" s="520" t="n">
        <f aca="false">Q411</f>
        <v>150000</v>
      </c>
      <c r="R410" s="4"/>
      <c r="V410" s="1" t="n">
        <v>620</v>
      </c>
    </row>
    <row r="411" customFormat="false" ht="12.75" hidden="false" customHeight="false" outlineLevel="0" collapsed="false">
      <c r="D411" s="289" t="n">
        <v>1560</v>
      </c>
      <c r="E411" s="289" t="n">
        <v>1454</v>
      </c>
      <c r="F411" s="289" t="n">
        <v>1281</v>
      </c>
      <c r="G411" s="289" t="n">
        <v>1395</v>
      </c>
      <c r="H411" s="289" t="n">
        <v>1371</v>
      </c>
      <c r="I411" s="289" t="n">
        <v>1204</v>
      </c>
      <c r="J411" s="289"/>
      <c r="M411" s="4"/>
      <c r="N411" s="5" t="n">
        <v>3</v>
      </c>
      <c r="O411" s="6" t="n">
        <f aca="false">O406</f>
        <v>130000</v>
      </c>
      <c r="P411" s="100"/>
      <c r="Q411" s="520" t="n">
        <v>150000</v>
      </c>
      <c r="R411" s="4"/>
      <c r="V411" s="509" t="n">
        <f aca="false">V414/V410</f>
        <v>59.6774193548387</v>
      </c>
      <c r="X411" s="509"/>
    </row>
    <row r="412" customFormat="false" ht="12.75" hidden="false" customHeight="false" outlineLevel="0" collapsed="false">
      <c r="D412" s="289" t="n">
        <v>60</v>
      </c>
      <c r="E412" s="289" t="n">
        <v>60</v>
      </c>
      <c r="F412" s="289" t="n">
        <v>62</v>
      </c>
      <c r="G412" s="289" t="n">
        <v>60</v>
      </c>
      <c r="H412" s="289" t="n">
        <v>62</v>
      </c>
      <c r="I412" s="289" t="n">
        <v>62</v>
      </c>
      <c r="J412" s="289"/>
      <c r="M412" s="4"/>
      <c r="N412" s="5" t="n">
        <v>4</v>
      </c>
      <c r="O412" s="6" t="n">
        <f aca="false">O411</f>
        <v>130000</v>
      </c>
      <c r="P412" s="100"/>
      <c r="Q412" s="520" t="n">
        <v>150000</v>
      </c>
      <c r="R412" s="4"/>
    </row>
    <row r="413" customFormat="false" ht="12.75" hidden="false" customHeight="false" outlineLevel="0" collapsed="false">
      <c r="B413" s="1" t="n">
        <v>1</v>
      </c>
      <c r="D413" s="289"/>
      <c r="E413" s="289"/>
      <c r="F413" s="289" t="n">
        <f aca="false">SUM(F412*F411)/12*7.5</f>
        <v>49638.75</v>
      </c>
      <c r="G413" s="289"/>
      <c r="H413" s="289" t="n">
        <f aca="false">SUM(H412*H411)/12*8</f>
        <v>56668</v>
      </c>
      <c r="I413" s="289" t="n">
        <f aca="false">SUM(I412*I411)/12*8</f>
        <v>49765.3333333333</v>
      </c>
      <c r="J413" s="289"/>
      <c r="M413" s="4"/>
      <c r="N413" s="5" t="n">
        <v>5</v>
      </c>
      <c r="O413" s="6" t="n">
        <f aca="false">O412</f>
        <v>130000</v>
      </c>
      <c r="P413" s="100"/>
      <c r="Q413" s="520" t="n">
        <v>150000</v>
      </c>
      <c r="R413" s="60"/>
      <c r="U413" s="1" t="n">
        <v>1</v>
      </c>
      <c r="V413" s="289" t="n">
        <f aca="false">V414/52*48</f>
        <v>34153.8461538462</v>
      </c>
      <c r="X413" s="289"/>
    </row>
    <row r="414" customFormat="false" ht="12.75" hidden="false" customHeight="false" outlineLevel="0" collapsed="false">
      <c r="B414" s="1" t="n">
        <v>2</v>
      </c>
      <c r="E414" s="1" t="n">
        <f aca="false">E412*E411/12*9</f>
        <v>65430</v>
      </c>
      <c r="F414" s="289" t="n">
        <f aca="false">SUM(F412*F411)</f>
        <v>79422</v>
      </c>
      <c r="H414" s="289" t="n">
        <f aca="false">SUM(H412*H411)</f>
        <v>85002</v>
      </c>
      <c r="I414" s="289" t="n">
        <f aca="false">SUM(I412*I411)</f>
        <v>74648</v>
      </c>
      <c r="M414" s="4"/>
      <c r="N414" s="5" t="n">
        <v>6</v>
      </c>
      <c r="O414" s="6" t="n">
        <f aca="false">O413</f>
        <v>130000</v>
      </c>
      <c r="P414" s="100"/>
      <c r="Q414" s="520" t="n">
        <v>150000</v>
      </c>
      <c r="R414" s="4"/>
      <c r="U414" s="1" t="n">
        <v>2</v>
      </c>
      <c r="V414" s="289" t="n">
        <v>37000</v>
      </c>
      <c r="W414" s="433" t="n">
        <f aca="false">V414-V413</f>
        <v>2846.15384615384</v>
      </c>
      <c r="X414" s="289"/>
    </row>
    <row r="415" customFormat="false" ht="12.75" hidden="false" customHeight="false" outlineLevel="0" collapsed="false">
      <c r="B415" s="1" t="n">
        <v>3</v>
      </c>
      <c r="D415" s="1" t="n">
        <f aca="false">D412*D411/12*10</f>
        <v>78000</v>
      </c>
      <c r="E415" s="1" t="n">
        <f aca="false">E411*E412</f>
        <v>87240</v>
      </c>
      <c r="F415" s="433" t="n">
        <f aca="false">F414</f>
        <v>79422</v>
      </c>
      <c r="H415" s="433" t="n">
        <f aca="false">H414</f>
        <v>85002</v>
      </c>
      <c r="I415" s="433" t="n">
        <f aca="false">I414</f>
        <v>74648</v>
      </c>
      <c r="M415" s="4"/>
      <c r="N415" s="5" t="n">
        <v>7</v>
      </c>
      <c r="O415" s="6" t="n">
        <f aca="false">O414</f>
        <v>130000</v>
      </c>
      <c r="P415" s="100"/>
      <c r="Q415" s="520" t="n">
        <v>150000</v>
      </c>
      <c r="R415" s="4"/>
      <c r="U415" s="1" t="n">
        <v>3</v>
      </c>
      <c r="V415" s="289" t="n">
        <f aca="false">V414</f>
        <v>37000</v>
      </c>
      <c r="X415" s="289"/>
    </row>
    <row r="416" customFormat="false" ht="12.75" hidden="false" customHeight="false" outlineLevel="0" collapsed="false">
      <c r="B416" s="1" t="n">
        <v>4</v>
      </c>
      <c r="D416" s="1" t="n">
        <f aca="false">D411*D412</f>
        <v>93600</v>
      </c>
      <c r="E416" s="1" t="n">
        <f aca="false">E415</f>
        <v>87240</v>
      </c>
      <c r="F416" s="1" t="n">
        <f aca="false">+F415/12*9</f>
        <v>59566.5</v>
      </c>
      <c r="H416" s="433" t="n">
        <f aca="false">H415/12*10</f>
        <v>70835</v>
      </c>
      <c r="I416" s="433" t="n">
        <f aca="false">I415/12*10</f>
        <v>62206.6666666667</v>
      </c>
      <c r="M416" s="4"/>
      <c r="N416" s="5" t="n">
        <v>8</v>
      </c>
      <c r="O416" s="6" t="n">
        <f aca="false">O415</f>
        <v>130000</v>
      </c>
      <c r="P416" s="100"/>
      <c r="Q416" s="520" t="n">
        <v>150000</v>
      </c>
      <c r="R416" s="4"/>
    </row>
    <row r="417" customFormat="false" ht="12.75" hidden="false" customHeight="false" outlineLevel="0" collapsed="false">
      <c r="B417" s="1" t="n">
        <v>5</v>
      </c>
      <c r="D417" s="1" t="n">
        <f aca="false">D416</f>
        <v>93600</v>
      </c>
      <c r="E417" s="1" t="n">
        <f aca="false">E416</f>
        <v>87240</v>
      </c>
      <c r="F417" s="433" t="n">
        <f aca="false">F415</f>
        <v>79422</v>
      </c>
      <c r="G417" s="1" t="n">
        <f aca="false">G412*G411</f>
        <v>83700</v>
      </c>
      <c r="H417" s="433" t="n">
        <f aca="false">H415</f>
        <v>85002</v>
      </c>
      <c r="I417" s="433" t="n">
        <f aca="false">I415</f>
        <v>74648</v>
      </c>
      <c r="N417" s="5" t="n">
        <v>9</v>
      </c>
      <c r="O417" s="6" t="n">
        <f aca="false">O416</f>
        <v>130000</v>
      </c>
      <c r="P417" s="353"/>
      <c r="Q417" s="520" t="n">
        <v>150000</v>
      </c>
      <c r="V417" s="521" t="n">
        <f aca="false">SUM(V413:V415)</f>
        <v>108153.846153846</v>
      </c>
      <c r="X417" s="521"/>
    </row>
    <row r="418" customFormat="false" ht="12.75" hidden="false" customHeight="false" outlineLevel="0" collapsed="false">
      <c r="N418" s="5" t="n">
        <v>10</v>
      </c>
      <c r="O418" s="6" t="n">
        <f aca="false">O417</f>
        <v>130000</v>
      </c>
      <c r="Q418" s="520" t="n">
        <v>150000</v>
      </c>
      <c r="V418" s="521" t="n">
        <f aca="false">V417/3</f>
        <v>36051.2820512821</v>
      </c>
      <c r="X418" s="521"/>
    </row>
    <row r="419" customFormat="false" ht="12.75" hidden="false" customHeight="false" outlineLevel="0" collapsed="false">
      <c r="D419" s="292" t="n">
        <f aca="false">SUM(D413:D418)</f>
        <v>265200</v>
      </c>
      <c r="E419" s="292" t="n">
        <f aca="false">SUM(E413:E418)</f>
        <v>327150</v>
      </c>
      <c r="F419" s="292" t="n">
        <f aca="false">SUM(F413:F418)</f>
        <v>347471.25</v>
      </c>
      <c r="G419" s="292" t="n">
        <f aca="false">SUM(G413:G418)</f>
        <v>83700</v>
      </c>
      <c r="H419" s="292" t="n">
        <f aca="false">SUM(H413:H418)</f>
        <v>382509</v>
      </c>
      <c r="I419" s="292" t="n">
        <f aca="false">SUM(I413:I418)</f>
        <v>335916</v>
      </c>
      <c r="V419" s="522" t="n">
        <f aca="false">V418/V410</f>
        <v>58.1472291149711</v>
      </c>
      <c r="X419" s="522"/>
    </row>
    <row r="420" customFormat="false" ht="12.75" hidden="false" customHeight="false" outlineLevel="0" collapsed="false">
      <c r="D420" s="292" t="n">
        <f aca="false">D419/3</f>
        <v>88400</v>
      </c>
      <c r="E420" s="292" t="n">
        <f aca="false">E419/4</f>
        <v>81787.5</v>
      </c>
      <c r="F420" s="292" t="n">
        <f aca="false">F419/5</f>
        <v>69494.25</v>
      </c>
      <c r="G420" s="292" t="n">
        <f aca="false">G419/1</f>
        <v>83700</v>
      </c>
      <c r="H420" s="292" t="n">
        <f aca="false">H419/5</f>
        <v>76501.8</v>
      </c>
      <c r="I420" s="292" t="n">
        <f aca="false">I419/5</f>
        <v>67183.2</v>
      </c>
      <c r="O420" s="521" t="n">
        <f aca="false">SUM(O409:O418)</f>
        <v>1137500</v>
      </c>
      <c r="Q420" s="521" t="n">
        <f aca="false">SUM(Q409:Q418)</f>
        <v>1387500</v>
      </c>
      <c r="R420" s="292" t="n">
        <f aca="false">Q420-O420</f>
        <v>250000</v>
      </c>
    </row>
    <row r="421" customFormat="false" ht="12.75" hidden="false" customHeight="false" outlineLevel="0" collapsed="false">
      <c r="D421" s="423" t="n">
        <f aca="false">D420/D411</f>
        <v>56.6666666666667</v>
      </c>
      <c r="E421" s="423" t="n">
        <f aca="false">E420/E411</f>
        <v>56.25</v>
      </c>
      <c r="F421" s="423" t="n">
        <f aca="false">F420/F411</f>
        <v>54.25</v>
      </c>
      <c r="G421" s="423" t="n">
        <f aca="false">G420/G411</f>
        <v>60</v>
      </c>
      <c r="H421" s="423" t="n">
        <f aca="false">H420/H411</f>
        <v>55.8</v>
      </c>
      <c r="I421" s="423" t="n">
        <f aca="false">I420/I411</f>
        <v>55.8</v>
      </c>
      <c r="O421" s="521" t="n">
        <f aca="false">O420/10</f>
        <v>113750</v>
      </c>
      <c r="Q421" s="521" t="n">
        <f aca="false">Q420/10</f>
        <v>138750</v>
      </c>
      <c r="R421" s="292" t="n">
        <f aca="false">Q421-O421</f>
        <v>25000</v>
      </c>
    </row>
    <row r="422" customFormat="false" ht="12.75" hidden="false" customHeight="false" outlineLevel="0" collapsed="false">
      <c r="O422" s="522" t="n">
        <f aca="false">O421/O405</f>
        <v>50.8948545861298</v>
      </c>
      <c r="Q422" s="522" t="n">
        <f aca="false">Q421/O405</f>
        <v>62.0805369127517</v>
      </c>
      <c r="R422" s="292" t="n">
        <f aca="false">Q422-O422</f>
        <v>11.1856823266219</v>
      </c>
    </row>
    <row r="427" customFormat="false" ht="12.75" hidden="false" customHeight="false" outlineLevel="0" collapsed="false">
      <c r="B427" s="1" t="s">
        <v>1100</v>
      </c>
      <c r="C427" s="1" t="n">
        <v>1255</v>
      </c>
    </row>
    <row r="429" customFormat="false" ht="12.75" hidden="false" customHeight="false" outlineLevel="0" collapsed="false">
      <c r="C429" s="1" t="n">
        <v>1</v>
      </c>
      <c r="D429" s="1" t="n">
        <v>74000</v>
      </c>
      <c r="E429" s="1" t="n">
        <v>74000</v>
      </c>
    </row>
    <row r="430" customFormat="false" ht="12.75" hidden="false" customHeight="false" outlineLevel="0" collapsed="false">
      <c r="C430" s="1" t="n">
        <v>2</v>
      </c>
      <c r="D430" s="1" t="n">
        <v>74000</v>
      </c>
      <c r="E430" s="1" t="n">
        <v>74000</v>
      </c>
      <c r="L430" s="16" t="n">
        <v>45901</v>
      </c>
      <c r="M430" s="16" t="n">
        <v>45991</v>
      </c>
      <c r="O430" s="16" t="n">
        <v>45929</v>
      </c>
      <c r="P430" s="16" t="n">
        <v>46015</v>
      </c>
    </row>
    <row r="431" customFormat="false" ht="12.75" hidden="false" customHeight="false" outlineLevel="0" collapsed="false">
      <c r="C431" s="1" t="n">
        <v>3</v>
      </c>
      <c r="D431" s="1" t="n">
        <v>78000</v>
      </c>
      <c r="E431" s="1" t="n">
        <v>74000</v>
      </c>
      <c r="M431" s="1" t="n">
        <f aca="false">M430-L430+1</f>
        <v>91</v>
      </c>
      <c r="P431" s="1" t="n">
        <f aca="false">P430-O430+1</f>
        <v>87</v>
      </c>
    </row>
    <row r="432" customFormat="false" ht="12.75" hidden="false" customHeight="false" outlineLevel="0" collapsed="false">
      <c r="C432" s="1" t="n">
        <v>4</v>
      </c>
      <c r="D432" s="1" t="n">
        <f aca="false">D431</f>
        <v>78000</v>
      </c>
      <c r="E432" s="1" t="n">
        <v>74000</v>
      </c>
    </row>
    <row r="433" customFormat="false" ht="12.75" hidden="false" customHeight="false" outlineLevel="0" collapsed="false">
      <c r="C433" s="1" t="n">
        <v>5</v>
      </c>
      <c r="D433" s="1" t="n">
        <f aca="false">D432</f>
        <v>78000</v>
      </c>
      <c r="E433" s="1" t="n">
        <v>74000</v>
      </c>
    </row>
    <row r="435" customFormat="false" ht="12.75" hidden="false" customHeight="false" outlineLevel="0" collapsed="false">
      <c r="D435" s="292" t="n">
        <f aca="false">SUM(D429:D434)</f>
        <v>382000</v>
      </c>
      <c r="E435" s="292" t="n">
        <f aca="false">SUM(E429:E434)</f>
        <v>370000</v>
      </c>
    </row>
    <row r="436" customFormat="false" ht="12.75" hidden="false" customHeight="false" outlineLevel="0" collapsed="false">
      <c r="D436" s="292" t="n">
        <f aca="false">D435/5</f>
        <v>76400</v>
      </c>
      <c r="E436" s="292" t="n">
        <f aca="false">E435/5</f>
        <v>74000</v>
      </c>
      <c r="J436" s="1" t="s">
        <v>1101</v>
      </c>
      <c r="K436" s="1" t="n">
        <v>375</v>
      </c>
      <c r="M436" s="1" t="n">
        <v>1</v>
      </c>
      <c r="N436" s="1" t="n">
        <f aca="false">J437/12*9</f>
        <v>15187.5</v>
      </c>
    </row>
    <row r="437" customFormat="false" ht="12.75" hidden="false" customHeight="false" outlineLevel="0" collapsed="false">
      <c r="D437" s="423" t="n">
        <f aca="false">D436/C427</f>
        <v>60.8764940239044</v>
      </c>
      <c r="E437" s="423" t="n">
        <f aca="false">E436/C427</f>
        <v>58.9641434262948</v>
      </c>
      <c r="J437" s="1" t="n">
        <v>20250</v>
      </c>
      <c r="K437" s="509" t="n">
        <f aca="false">J437/K436</f>
        <v>54</v>
      </c>
      <c r="M437" s="1" t="n">
        <v>2</v>
      </c>
      <c r="N437" s="1" t="n">
        <f aca="false">J437</f>
        <v>20250</v>
      </c>
    </row>
    <row r="438" customFormat="false" ht="12.75" hidden="false" customHeight="false" outlineLevel="0" collapsed="false">
      <c r="M438" s="1" t="n">
        <v>3</v>
      </c>
      <c r="N438" s="511" t="n">
        <f aca="false">J437/12*10</f>
        <v>16875</v>
      </c>
    </row>
    <row r="439" customFormat="false" ht="12.75" hidden="false" customHeight="false" outlineLevel="0" collapsed="false">
      <c r="J439" s="1" t="n">
        <v>1</v>
      </c>
    </row>
    <row r="440" customFormat="false" ht="12.75" hidden="false" customHeight="false" outlineLevel="0" collapsed="false">
      <c r="J440" s="1" t="n">
        <v>2</v>
      </c>
      <c r="K440" s="456" t="n">
        <f aca="false">($J$437/12)*(1 - 2/18)</f>
        <v>1500</v>
      </c>
      <c r="N440" s="292" t="n">
        <f aca="false">SUM(N436:N439)</f>
        <v>52312.5</v>
      </c>
    </row>
    <row r="441" customFormat="false" ht="12.75" hidden="false" customHeight="false" outlineLevel="0" collapsed="false">
      <c r="J441" s="1" t="n">
        <v>3</v>
      </c>
      <c r="K441" s="456" t="n">
        <f aca="false">($J$437/12)*(1 - 2/18)</f>
        <v>1500</v>
      </c>
      <c r="N441" s="292" t="n">
        <f aca="false">N440/3</f>
        <v>17437.5</v>
      </c>
    </row>
    <row r="442" customFormat="false" ht="12.75" hidden="false" customHeight="false" outlineLevel="0" collapsed="false">
      <c r="J442" s="1" t="n">
        <v>4</v>
      </c>
      <c r="K442" s="456" t="n">
        <f aca="false">($J$437/12)*(1 - 2/18)</f>
        <v>1500</v>
      </c>
      <c r="N442" s="423" t="n">
        <f aca="false">N441/K436</f>
        <v>46.5</v>
      </c>
    </row>
    <row r="443" customFormat="false" ht="12.75" hidden="false" customHeight="false" outlineLevel="0" collapsed="false">
      <c r="J443" s="1" t="n">
        <v>5</v>
      </c>
      <c r="K443" s="456" t="n">
        <f aca="false">($J$437/12)*(1 - 2/18)</f>
        <v>1500</v>
      </c>
    </row>
    <row r="444" customFormat="false" ht="12.75" hidden="false" customHeight="false" outlineLevel="0" collapsed="false">
      <c r="J444" s="1" t="n">
        <v>6</v>
      </c>
      <c r="K444" s="456" t="n">
        <f aca="false">($J$437/12)*(1 - 2/18)</f>
        <v>1500</v>
      </c>
      <c r="N444" s="292" t="n">
        <f aca="false">L476-N440</f>
        <v>8437.5</v>
      </c>
    </row>
    <row r="445" customFormat="false" ht="12.75" hidden="false" customHeight="false" outlineLevel="0" collapsed="false">
      <c r="J445" s="1" t="n">
        <v>7</v>
      </c>
      <c r="K445" s="456" t="n">
        <f aca="false">($J$437/12)*(1 - 2/18)</f>
        <v>1500</v>
      </c>
      <c r="N445" s="1" t="n">
        <f aca="false">N444/M474</f>
        <v>5</v>
      </c>
    </row>
    <row r="446" customFormat="false" ht="12.75" hidden="false" customHeight="false" outlineLevel="0" collapsed="false">
      <c r="J446" s="1" t="n">
        <v>8</v>
      </c>
      <c r="K446" s="456" t="n">
        <f aca="false">($J$437/12)*(1 - 2/18)</f>
        <v>1500</v>
      </c>
    </row>
    <row r="447" customFormat="false" ht="12.75" hidden="false" customHeight="false" outlineLevel="0" collapsed="false">
      <c r="J447" s="1" t="n">
        <v>9</v>
      </c>
      <c r="K447" s="456" t="n">
        <f aca="false">($J$437/12)*(1 - 2/18)</f>
        <v>1500</v>
      </c>
    </row>
    <row r="448" customFormat="false" ht="12.75" hidden="false" customHeight="false" outlineLevel="0" collapsed="false">
      <c r="J448" s="1" t="n">
        <v>10</v>
      </c>
      <c r="K448" s="456" t="n">
        <f aca="false">($J$437/12)*(1 - 2/18)</f>
        <v>1500</v>
      </c>
    </row>
    <row r="449" customFormat="false" ht="12.75" hidden="false" customHeight="false" outlineLevel="0" collapsed="false">
      <c r="J449" s="1" t="n">
        <v>11</v>
      </c>
      <c r="K449" s="456" t="n">
        <f aca="false">($J$437/12)*(1 - 2/18)</f>
        <v>1500</v>
      </c>
    </row>
    <row r="450" customFormat="false" ht="12.75" hidden="false" customHeight="false" outlineLevel="0" collapsed="false">
      <c r="J450" s="1" t="n">
        <v>12</v>
      </c>
      <c r="K450" s="456" t="n">
        <f aca="false">($J$437/12)*(1 - 2/18)</f>
        <v>1500</v>
      </c>
    </row>
    <row r="451" customFormat="false" ht="12.75" hidden="false" customHeight="false" outlineLevel="0" collapsed="false">
      <c r="J451" s="1" t="n">
        <v>13</v>
      </c>
      <c r="K451" s="456" t="n">
        <f aca="false">($J$437/12)*(1 - 2/18)</f>
        <v>1500</v>
      </c>
    </row>
    <row r="452" customFormat="false" ht="12.75" hidden="false" customHeight="false" outlineLevel="0" collapsed="false">
      <c r="J452" s="1" t="n">
        <v>14</v>
      </c>
      <c r="K452" s="456" t="n">
        <f aca="false">($J$437/12)*(1 - 2/18)</f>
        <v>1500</v>
      </c>
    </row>
    <row r="453" customFormat="false" ht="12.75" hidden="false" customHeight="false" outlineLevel="0" collapsed="false">
      <c r="J453" s="1" t="n">
        <v>15</v>
      </c>
      <c r="K453" s="456" t="n">
        <f aca="false">($J$437/12)*(1 - 2/18)</f>
        <v>1500</v>
      </c>
    </row>
    <row r="454" customFormat="false" ht="12.75" hidden="false" customHeight="false" outlineLevel="0" collapsed="false">
      <c r="J454" s="1" t="n">
        <v>16</v>
      </c>
      <c r="K454" s="456" t="n">
        <f aca="false">($J$437/12)*(1 - 2/18)</f>
        <v>1500</v>
      </c>
    </row>
    <row r="455" customFormat="false" ht="12.75" hidden="false" customHeight="false" outlineLevel="0" collapsed="false">
      <c r="J455" s="1" t="n">
        <v>17</v>
      </c>
      <c r="K455" s="456" t="n">
        <f aca="false">($J$437/12)*(1 - 2/18)</f>
        <v>1500</v>
      </c>
    </row>
    <row r="456" customFormat="false" ht="12.75" hidden="false" customHeight="false" outlineLevel="0" collapsed="false">
      <c r="J456" s="1" t="n">
        <v>18</v>
      </c>
      <c r="K456" s="456" t="n">
        <f aca="false">($J$437/12)*(1 - 2/18)</f>
        <v>1500</v>
      </c>
    </row>
    <row r="457" customFormat="false" ht="12.75" hidden="false" customHeight="false" outlineLevel="0" collapsed="false">
      <c r="J457" s="1" t="n">
        <v>19</v>
      </c>
      <c r="K457" s="456" t="n">
        <f aca="false">($J$437/12)*(1 - 2/18)</f>
        <v>1500</v>
      </c>
    </row>
    <row r="458" customFormat="false" ht="12.75" hidden="false" customHeight="false" outlineLevel="0" collapsed="false">
      <c r="J458" s="1" t="n">
        <v>20</v>
      </c>
      <c r="K458" s="456" t="n">
        <f aca="false">($J$437/12)*(1 - 2/18)</f>
        <v>1500</v>
      </c>
    </row>
    <row r="459" customFormat="false" ht="12.75" hidden="false" customHeight="false" outlineLevel="0" collapsed="false">
      <c r="J459" s="1" t="n">
        <v>21</v>
      </c>
      <c r="K459" s="456" t="n">
        <f aca="false">($J$437/12)*(1 - 2/18)</f>
        <v>1500</v>
      </c>
    </row>
    <row r="460" customFormat="false" ht="12.75" hidden="false" customHeight="false" outlineLevel="0" collapsed="false">
      <c r="J460" s="1" t="n">
        <v>22</v>
      </c>
      <c r="K460" s="456" t="n">
        <f aca="false">($J$437/12)*(1 - 2/18)</f>
        <v>1500</v>
      </c>
    </row>
    <row r="461" customFormat="false" ht="12.75" hidden="false" customHeight="false" outlineLevel="0" collapsed="false">
      <c r="J461" s="1" t="n">
        <v>23</v>
      </c>
      <c r="K461" s="456" t="n">
        <f aca="false">($J$437/12)*(1 - 2/18)</f>
        <v>1500</v>
      </c>
    </row>
    <row r="462" customFormat="false" ht="12.75" hidden="false" customHeight="false" outlineLevel="0" collapsed="false">
      <c r="J462" s="1" t="n">
        <v>24</v>
      </c>
      <c r="K462" s="456" t="n">
        <f aca="false">($J$437/12)*(1 - 2/18)</f>
        <v>1500</v>
      </c>
    </row>
    <row r="463" customFormat="false" ht="12.75" hidden="false" customHeight="false" outlineLevel="0" collapsed="false">
      <c r="J463" s="1" t="n">
        <v>25</v>
      </c>
      <c r="K463" s="456" t="n">
        <f aca="false">($J$437/12)*(1 - 2/18)</f>
        <v>1500</v>
      </c>
    </row>
    <row r="464" customFormat="false" ht="12.75" hidden="false" customHeight="false" outlineLevel="0" collapsed="false">
      <c r="J464" s="1" t="n">
        <v>26</v>
      </c>
      <c r="K464" s="456" t="n">
        <f aca="false">($J$437/12)*(1 - 2/18)</f>
        <v>1500</v>
      </c>
    </row>
    <row r="465" customFormat="false" ht="12.75" hidden="false" customHeight="false" outlineLevel="0" collapsed="false">
      <c r="J465" s="1" t="n">
        <v>27</v>
      </c>
      <c r="K465" s="456" t="n">
        <f aca="false">($J$437/12)*(1 - 2/18)</f>
        <v>1500</v>
      </c>
    </row>
    <row r="466" customFormat="false" ht="12.75" hidden="false" customHeight="false" outlineLevel="0" collapsed="false">
      <c r="J466" s="1" t="n">
        <v>28</v>
      </c>
      <c r="K466" s="456" t="n">
        <f aca="false">($J$437/12)*(1 - 2/18)</f>
        <v>1500</v>
      </c>
    </row>
    <row r="467" customFormat="false" ht="12.75" hidden="false" customHeight="false" outlineLevel="0" collapsed="false">
      <c r="J467" s="1" t="n">
        <v>29</v>
      </c>
      <c r="K467" s="456" t="n">
        <f aca="false">($J$437/12)*(1 - 2/18)</f>
        <v>1500</v>
      </c>
    </row>
    <row r="468" customFormat="false" ht="12.75" hidden="false" customHeight="false" outlineLevel="0" collapsed="false">
      <c r="J468" s="1" t="n">
        <v>30</v>
      </c>
      <c r="K468" s="456" t="n">
        <f aca="false">($J$437/12)*(1 - 2/18)</f>
        <v>1500</v>
      </c>
    </row>
    <row r="469" customFormat="false" ht="12.75" hidden="false" customHeight="false" outlineLevel="0" collapsed="false">
      <c r="J469" s="1" t="n">
        <v>31</v>
      </c>
      <c r="K469" s="456" t="n">
        <f aca="false">($J$437/12)*(1 - 2/18)</f>
        <v>1500</v>
      </c>
    </row>
    <row r="470" customFormat="false" ht="12.75" hidden="false" customHeight="false" outlineLevel="0" collapsed="false">
      <c r="J470" s="1" t="n">
        <v>32</v>
      </c>
      <c r="K470" s="456" t="n">
        <f aca="false">($J$437/12)*(1 - 2/18)</f>
        <v>1500</v>
      </c>
    </row>
    <row r="471" customFormat="false" ht="12.75" hidden="false" customHeight="false" outlineLevel="0" collapsed="false">
      <c r="J471" s="1" t="n">
        <v>33</v>
      </c>
      <c r="K471" s="456" t="n">
        <f aca="false">($J$437/12)*(1 - 2/18)</f>
        <v>1500</v>
      </c>
    </row>
    <row r="472" customFormat="false" ht="12.75" hidden="false" customHeight="false" outlineLevel="0" collapsed="false">
      <c r="J472" s="1" t="n">
        <v>34</v>
      </c>
      <c r="K472" s="456" t="n">
        <f aca="false">($J$437/12)*(1 - 2/18)</f>
        <v>1500</v>
      </c>
    </row>
    <row r="473" customFormat="false" ht="12.75" hidden="false" customHeight="false" outlineLevel="0" collapsed="false">
      <c r="J473" s="1" t="n">
        <v>35</v>
      </c>
      <c r="K473" s="456" t="n">
        <f aca="false">($J$437/12)*(1 - 2/18)</f>
        <v>1500</v>
      </c>
    </row>
    <row r="474" customFormat="false" ht="12.75" hidden="false" customHeight="false" outlineLevel="0" collapsed="false">
      <c r="J474" s="1" t="n">
        <v>36</v>
      </c>
      <c r="K474" s="456" t="n">
        <f aca="false">($J$437/12)*(1 - 2/18)</f>
        <v>1500</v>
      </c>
      <c r="M474" s="382" t="n">
        <f aca="false">L477/12</f>
        <v>1687.5</v>
      </c>
    </row>
    <row r="476" customFormat="false" ht="12.75" hidden="false" customHeight="false" outlineLevel="0" collapsed="false">
      <c r="K476" s="292" t="n">
        <f aca="false">SUM(K440:K475)</f>
        <v>52500</v>
      </c>
      <c r="L476" s="1" t="n">
        <f aca="false">J437*3</f>
        <v>60750</v>
      </c>
      <c r="M476" s="292" t="n">
        <f aca="false">L476-K476</f>
        <v>8250</v>
      </c>
    </row>
    <row r="477" customFormat="false" ht="12.75" hidden="false" customHeight="false" outlineLevel="0" collapsed="false">
      <c r="K477" s="292" t="n">
        <f aca="false">K476/3</f>
        <v>17500</v>
      </c>
      <c r="L477" s="292" t="n">
        <f aca="false">L476/3</f>
        <v>20250</v>
      </c>
    </row>
    <row r="478" customFormat="false" ht="12.75" hidden="false" customHeight="false" outlineLevel="0" collapsed="false">
      <c r="K478" s="292" t="n">
        <f aca="false">K477/K436</f>
        <v>46.6666666666667</v>
      </c>
      <c r="M478" s="509" t="n">
        <f aca="false">M476/M474</f>
        <v>4.88888888888889</v>
      </c>
    </row>
    <row r="479" customFormat="false" ht="12.75" hidden="false" customHeight="false" outlineLevel="0" collapsed="false">
      <c r="K479" s="292"/>
    </row>
  </sheetData>
  <mergeCells count="3">
    <mergeCell ref="B210:M210"/>
    <mergeCell ref="N210:Y210"/>
    <mergeCell ref="Z210:AK210"/>
  </mergeCells>
  <conditionalFormatting sqref="R406:R416">
    <cfRule type="containsText" priority="2" operator="containsText" aboveAverage="0" equalAverage="0" bottom="0" percent="0" rank="0" text="Vacant" dxfId="0">
      <formula>NOT(ISERROR(SEARCH("Vacant",R406)))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1427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8"/>
    <col collapsed="false" customWidth="true" hidden="false" outlineLevel="0" max="3" min="3" style="1" width="17"/>
    <col collapsed="false" customWidth="true" hidden="false" outlineLevel="0" max="5" min="4" style="1" width="50"/>
    <col collapsed="false" customWidth="true" hidden="false" outlineLevel="0" max="6" min="6" style="1" width="37"/>
    <col collapsed="false" customWidth="true" hidden="false" outlineLevel="0" max="7" min="7" style="1" width="10"/>
    <col collapsed="false" customWidth="true" hidden="false" outlineLevel="0" max="8" min="8" style="1" width="8"/>
    <col collapsed="false" customWidth="true" hidden="false" outlineLevel="0" max="9" min="9" style="1" width="19"/>
    <col collapsed="false" customWidth="true" hidden="false" outlineLevel="0" max="10" min="10" style="1" width="50"/>
    <col collapsed="false" customWidth="true" hidden="false" outlineLevel="0" max="11" min="11" style="1" width="23"/>
    <col collapsed="false" customWidth="true" hidden="false" outlineLevel="0" max="15" min="12" style="1" width="21"/>
    <col collapsed="false" customWidth="true" hidden="false" outlineLevel="0" max="16" min="16" style="1" width="14"/>
    <col collapsed="false" customWidth="true" hidden="false" outlineLevel="0" max="18" min="17" style="1" width="9"/>
    <col collapsed="false" customWidth="true" hidden="false" outlineLevel="0" max="19" min="19" style="1" width="16"/>
    <col collapsed="false" customWidth="true" hidden="false" outlineLevel="0" max="20" min="20" style="1" width="9"/>
    <col collapsed="false" customWidth="true" hidden="false" outlineLevel="0" max="21" min="21" style="1" width="16"/>
    <col collapsed="false" customWidth="true" hidden="false" outlineLevel="0" max="22" min="22" style="1" width="9"/>
    <col collapsed="false" customWidth="true" hidden="false" outlineLevel="0" max="23" min="23" style="1" width="18"/>
    <col collapsed="false" customWidth="true" hidden="false" outlineLevel="0" max="24" min="24" style="1" width="22"/>
    <col collapsed="false" customWidth="true" hidden="false" outlineLevel="0" max="26" min="25" style="1" width="8"/>
    <col collapsed="false" customWidth="true" hidden="false" outlineLevel="0" max="27" min="27" style="1" width="24"/>
    <col collapsed="false" customWidth="true" hidden="false" outlineLevel="0" max="28" min="28" style="1" width="20"/>
    <col collapsed="false" customWidth="true" hidden="false" outlineLevel="0" max="29" min="29" style="1" width="50"/>
    <col collapsed="false" customWidth="true" hidden="false" outlineLevel="0" max="30" min="30" style="1" width="29"/>
    <col collapsed="false" customWidth="true" hidden="false" outlineLevel="0" max="31" min="31" style="1" width="18"/>
    <col collapsed="false" customWidth="true" hidden="false" outlineLevel="0" max="32" min="32" style="1" width="16"/>
    <col collapsed="false" customWidth="true" hidden="false" outlineLevel="0" max="33" min="33" style="1" width="17"/>
    <col collapsed="false" customWidth="true" hidden="false" outlineLevel="0" max="34" min="34" style="1" width="12"/>
    <col collapsed="false" customWidth="true" hidden="false" outlineLevel="0" max="35" min="35" style="1" width="14"/>
    <col collapsed="false" customWidth="true" hidden="false" outlineLevel="0" max="36" min="36" style="1" width="8"/>
  </cols>
  <sheetData>
    <row r="1" customFormat="false" ht="19.4" hidden="false" customHeight="false" outlineLevel="0" collapsed="false">
      <c r="A1" s="17" t="s">
        <v>1</v>
      </c>
      <c r="B1" s="17" t="s">
        <v>2</v>
      </c>
      <c r="C1" s="18" t="s">
        <v>3</v>
      </c>
      <c r="D1" s="18" t="s">
        <v>4</v>
      </c>
      <c r="E1" s="18" t="s">
        <v>5</v>
      </c>
      <c r="F1" s="19" t="s">
        <v>6</v>
      </c>
      <c r="G1" s="20" t="s">
        <v>7</v>
      </c>
      <c r="H1" s="20" t="s">
        <v>8</v>
      </c>
      <c r="I1" s="20" t="s">
        <v>9</v>
      </c>
      <c r="J1" s="21" t="s">
        <v>10</v>
      </c>
      <c r="K1" s="22" t="s">
        <v>11</v>
      </c>
      <c r="L1" s="22" t="s">
        <v>12</v>
      </c>
      <c r="M1" s="22" t="s">
        <v>13</v>
      </c>
      <c r="N1" s="22" t="s">
        <v>14</v>
      </c>
      <c r="O1" s="22" t="s">
        <v>15</v>
      </c>
      <c r="P1" s="23" t="s">
        <v>16</v>
      </c>
      <c r="Q1" s="23" t="s">
        <v>17</v>
      </c>
      <c r="R1" s="23" t="s">
        <v>18</v>
      </c>
      <c r="S1" s="23" t="s">
        <v>19</v>
      </c>
      <c r="T1" s="19" t="s">
        <v>20</v>
      </c>
      <c r="U1" s="23" t="s">
        <v>21</v>
      </c>
      <c r="V1" s="19" t="s">
        <v>22</v>
      </c>
      <c r="W1" s="19" t="s">
        <v>23</v>
      </c>
      <c r="X1" s="19" t="s">
        <v>24</v>
      </c>
      <c r="Y1" s="19" t="s">
        <v>25</v>
      </c>
      <c r="Z1" s="24" t="s">
        <v>26</v>
      </c>
      <c r="AA1" s="523" t="s">
        <v>27</v>
      </c>
      <c r="AB1" s="523" t="s">
        <v>28</v>
      </c>
      <c r="AC1" s="26" t="s">
        <v>29</v>
      </c>
      <c r="AD1" s="27" t="s">
        <v>30</v>
      </c>
      <c r="AE1" s="28" t="s">
        <v>31</v>
      </c>
      <c r="AF1" s="28" t="s">
        <v>32</v>
      </c>
      <c r="AG1" s="28" t="s">
        <v>33</v>
      </c>
      <c r="AH1" s="28" t="s">
        <v>34</v>
      </c>
      <c r="AI1" s="28" t="s">
        <v>35</v>
      </c>
      <c r="AJ1" s="28" t="s">
        <v>1102</v>
      </c>
    </row>
    <row r="2" customFormat="false" ht="15" hidden="false" customHeight="false" outlineLevel="0" collapsed="false">
      <c r="A2" s="11" t="s">
        <v>37</v>
      </c>
      <c r="B2" s="11" t="s">
        <v>38</v>
      </c>
      <c r="C2" s="29" t="n">
        <v>550020</v>
      </c>
      <c r="D2" s="4" t="s">
        <v>36</v>
      </c>
      <c r="E2" s="4" t="s">
        <v>39</v>
      </c>
      <c r="F2" s="5" t="s">
        <v>40</v>
      </c>
      <c r="G2" s="43" t="n">
        <v>2011</v>
      </c>
      <c r="H2" s="9" t="n">
        <f aca="false">G2</f>
        <v>2011</v>
      </c>
      <c r="I2" s="9" t="n">
        <v>2000</v>
      </c>
      <c r="J2" s="4" t="s">
        <v>41</v>
      </c>
      <c r="K2" s="7" t="n">
        <v>45365</v>
      </c>
      <c r="L2" s="8" t="n">
        <v>47190</v>
      </c>
      <c r="O2" s="8" t="n">
        <v>46459</v>
      </c>
      <c r="P2" s="44" t="n">
        <v>115500</v>
      </c>
      <c r="Q2" s="9" t="n">
        <f aca="false">P2</f>
        <v>115500</v>
      </c>
      <c r="R2" s="44" t="n">
        <f aca="false">Q2</f>
        <v>115500</v>
      </c>
      <c r="S2" s="44" t="n">
        <v>100600</v>
      </c>
      <c r="T2" s="9" t="n">
        <f aca="false">S2</f>
        <v>100600</v>
      </c>
      <c r="U2" s="44" t="n">
        <v>115000</v>
      </c>
      <c r="V2" s="9" t="n">
        <f aca="false">U2</f>
        <v>115000</v>
      </c>
      <c r="W2" s="45" t="n">
        <f aca="false">U2/G2</f>
        <v>57.1854798607658</v>
      </c>
      <c r="X2" s="41" t="n">
        <f aca="false">SUM(U2-S2)/S2</f>
        <v>0.143141153081511</v>
      </c>
      <c r="Y2" s="9" t="s">
        <v>42</v>
      </c>
      <c r="Z2" s="42"/>
      <c r="AA2" s="44" t="n">
        <v>1825000</v>
      </c>
      <c r="AB2" s="524" t="s">
        <v>43</v>
      </c>
      <c r="AC2" s="4" t="s">
        <v>44</v>
      </c>
      <c r="AJ2" s="525" t="s">
        <v>1103</v>
      </c>
    </row>
    <row r="3" customFormat="false" ht="19.4" hidden="false" customHeight="false" outlineLevel="0" collapsed="false">
      <c r="A3" s="11" t="s">
        <v>47</v>
      </c>
      <c r="B3" s="11" t="s">
        <v>38</v>
      </c>
      <c r="C3" s="29" t="n">
        <v>550910</v>
      </c>
      <c r="D3" s="4" t="s">
        <v>46</v>
      </c>
      <c r="E3" s="4" t="s">
        <v>48</v>
      </c>
      <c r="F3" s="5" t="s">
        <v>49</v>
      </c>
      <c r="G3" s="6" t="n">
        <v>2333</v>
      </c>
      <c r="H3" s="9" t="n">
        <f aca="false">G3</f>
        <v>2333</v>
      </c>
      <c r="I3" s="9" t="n">
        <v>2000</v>
      </c>
      <c r="J3" s="4" t="s">
        <v>50</v>
      </c>
      <c r="K3" s="8" t="n">
        <v>45736</v>
      </c>
      <c r="L3" s="8" t="n">
        <v>47561</v>
      </c>
      <c r="O3" s="8" t="n">
        <v>46831</v>
      </c>
      <c r="P3" s="57" t="n">
        <v>128000</v>
      </c>
      <c r="Q3" s="9" t="n">
        <f aca="false">P3</f>
        <v>128000</v>
      </c>
      <c r="S3" s="6" t="n">
        <v>110000</v>
      </c>
      <c r="T3" s="9" t="n">
        <f aca="false">S3</f>
        <v>110000</v>
      </c>
      <c r="U3" s="6" t="n">
        <v>108100</v>
      </c>
      <c r="V3" s="9" t="n">
        <f aca="false">U3</f>
        <v>108100</v>
      </c>
      <c r="W3" s="45" t="n">
        <f aca="false">U3/G3</f>
        <v>46.3351907415345</v>
      </c>
      <c r="X3" s="41" t="n">
        <f aca="false">SUM(U3-S3)/S3</f>
        <v>-0.0172727272727273</v>
      </c>
      <c r="Y3" s="9" t="s">
        <v>42</v>
      </c>
      <c r="Z3" s="42"/>
      <c r="AA3" s="524"/>
      <c r="AB3" s="5" t="s">
        <v>43</v>
      </c>
      <c r="AC3" s="4" t="s">
        <v>51</v>
      </c>
      <c r="AD3" s="58"/>
      <c r="AE3" s="4" t="n">
        <v>1</v>
      </c>
      <c r="AF3" s="59" t="n">
        <v>3</v>
      </c>
      <c r="AH3" s="1" t="n">
        <v>4</v>
      </c>
      <c r="AJ3" s="525" t="s">
        <v>1103</v>
      </c>
    </row>
    <row r="4" customFormat="false" ht="19.4" hidden="false" customHeight="false" outlineLevel="0" collapsed="false">
      <c r="A4" s="11" t="s">
        <v>47</v>
      </c>
      <c r="B4" s="11" t="s">
        <v>38</v>
      </c>
      <c r="C4" s="29" t="n">
        <v>550910</v>
      </c>
      <c r="D4" s="4" t="s">
        <v>46</v>
      </c>
      <c r="E4" s="4" t="s">
        <v>52</v>
      </c>
      <c r="F4" s="5" t="s">
        <v>53</v>
      </c>
      <c r="G4" s="6" t="n">
        <v>6092</v>
      </c>
      <c r="H4" s="9" t="n">
        <f aca="false">G4</f>
        <v>6092</v>
      </c>
      <c r="I4" s="9" t="n">
        <v>6000</v>
      </c>
      <c r="J4" s="4" t="s">
        <v>54</v>
      </c>
      <c r="K4" s="7" t="n">
        <v>45712</v>
      </c>
      <c r="L4" s="8" t="n">
        <v>47537</v>
      </c>
      <c r="O4" s="8" t="n">
        <v>46806</v>
      </c>
      <c r="P4" s="9" t="n">
        <v>325000</v>
      </c>
      <c r="Q4" s="9" t="n">
        <f aca="false">P4</f>
        <v>325000</v>
      </c>
      <c r="S4" s="6" t="n">
        <v>225000</v>
      </c>
      <c r="T4" s="9" t="n">
        <f aca="false">S4</f>
        <v>225000</v>
      </c>
      <c r="U4" s="6" t="n">
        <v>226100</v>
      </c>
      <c r="V4" s="9" t="n">
        <f aca="false">U4</f>
        <v>226100</v>
      </c>
      <c r="W4" s="45" t="n">
        <f aca="false">U4/G4</f>
        <v>37.1142481943533</v>
      </c>
      <c r="X4" s="41" t="n">
        <f aca="false">SUM(U4-S4)/S4</f>
        <v>0.00488888888888889</v>
      </c>
      <c r="Y4" s="9" t="s">
        <v>55</v>
      </c>
      <c r="Z4" s="42"/>
      <c r="AA4" s="524"/>
      <c r="AB4" s="5" t="s">
        <v>43</v>
      </c>
      <c r="AC4" s="4" t="s">
        <v>56</v>
      </c>
      <c r="AD4" s="58"/>
      <c r="AF4" s="59" t="n">
        <v>3</v>
      </c>
      <c r="AG4" s="4" t="s">
        <v>57</v>
      </c>
      <c r="AJ4" s="525" t="s">
        <v>1103</v>
      </c>
    </row>
    <row r="5" customFormat="false" ht="19.4" hidden="false" customHeight="false" outlineLevel="0" collapsed="false">
      <c r="A5" s="11" t="s">
        <v>47</v>
      </c>
      <c r="B5" s="11" t="s">
        <v>38</v>
      </c>
      <c r="C5" s="29" t="n">
        <v>550910</v>
      </c>
      <c r="D5" s="4" t="s">
        <v>46</v>
      </c>
      <c r="E5" s="4" t="s">
        <v>58</v>
      </c>
      <c r="F5" s="5" t="s">
        <v>40</v>
      </c>
      <c r="G5" s="6" t="n">
        <v>1063</v>
      </c>
      <c r="H5" s="9" t="n">
        <f aca="false">G5</f>
        <v>1063</v>
      </c>
      <c r="I5" s="9" t="n">
        <v>1000</v>
      </c>
      <c r="J5" s="4" t="s">
        <v>59</v>
      </c>
      <c r="K5" s="8" t="n">
        <v>45551</v>
      </c>
      <c r="L5" s="8" t="n">
        <v>47376</v>
      </c>
      <c r="O5" s="8" t="n">
        <v>46645</v>
      </c>
      <c r="P5" s="6" t="n">
        <v>61425</v>
      </c>
      <c r="Q5" s="9" t="n">
        <f aca="false">P5</f>
        <v>61425</v>
      </c>
      <c r="S5" s="6" t="n">
        <v>55700</v>
      </c>
      <c r="T5" s="9" t="n">
        <f aca="false">S5</f>
        <v>55700</v>
      </c>
      <c r="U5" s="6" t="n">
        <v>61100</v>
      </c>
      <c r="V5" s="9" t="n">
        <f aca="false">U5</f>
        <v>61100</v>
      </c>
      <c r="W5" s="45" t="n">
        <f aca="false">U5/G5</f>
        <v>57.4788334901223</v>
      </c>
      <c r="X5" s="41" t="n">
        <f aca="false">SUM(U5-S5)/S5</f>
        <v>0.0969479353680431</v>
      </c>
      <c r="Y5" s="9" t="s">
        <v>60</v>
      </c>
      <c r="Z5" s="42"/>
      <c r="AA5" s="524"/>
      <c r="AB5" s="5" t="s">
        <v>43</v>
      </c>
      <c r="AC5" s="4" t="s">
        <v>61</v>
      </c>
      <c r="AG5" s="60" t="s">
        <v>57</v>
      </c>
      <c r="AJ5" s="525" t="s">
        <v>1103</v>
      </c>
    </row>
    <row r="6" customFormat="false" ht="15" hidden="false" customHeight="false" outlineLevel="0" collapsed="false">
      <c r="A6" s="11" t="s">
        <v>47</v>
      </c>
      <c r="B6" s="11" t="s">
        <v>38</v>
      </c>
      <c r="C6" s="29" t="n">
        <v>550910</v>
      </c>
      <c r="D6" s="4" t="s">
        <v>46</v>
      </c>
      <c r="E6" s="4" t="s">
        <v>62</v>
      </c>
      <c r="F6" s="5" t="s">
        <v>40</v>
      </c>
      <c r="G6" s="6" t="n">
        <v>2220</v>
      </c>
      <c r="H6" s="9" t="n">
        <f aca="false">G6</f>
        <v>2220</v>
      </c>
      <c r="I6" s="9" t="n">
        <v>2000</v>
      </c>
      <c r="J6" s="4" t="s">
        <v>63</v>
      </c>
      <c r="K6" s="8" t="n">
        <v>45086</v>
      </c>
      <c r="L6" s="8" t="n">
        <v>46181</v>
      </c>
      <c r="P6" s="6" t="n">
        <v>131400</v>
      </c>
      <c r="Q6" s="9" t="n">
        <f aca="false">P6</f>
        <v>131400</v>
      </c>
      <c r="S6" s="6" t="n">
        <v>131100</v>
      </c>
      <c r="T6" s="9" t="n">
        <f aca="false">S6</f>
        <v>131100</v>
      </c>
      <c r="U6" s="6" t="n">
        <v>133200</v>
      </c>
      <c r="V6" s="9" t="n">
        <f aca="false">U6</f>
        <v>133200</v>
      </c>
      <c r="W6" s="45" t="n">
        <f aca="false">U6/G6</f>
        <v>60</v>
      </c>
      <c r="X6" s="41" t="n">
        <f aca="false">SUM(U6-S6)/S6</f>
        <v>0.0160183066361556</v>
      </c>
      <c r="Y6" s="9" t="s">
        <v>60</v>
      </c>
      <c r="Z6" s="42"/>
      <c r="AA6" s="524"/>
      <c r="AB6" s="5" t="s">
        <v>43</v>
      </c>
      <c r="AC6" s="60" t="s">
        <v>64</v>
      </c>
      <c r="AF6" s="59"/>
      <c r="AJ6" s="525" t="s">
        <v>1103</v>
      </c>
    </row>
    <row r="7" customFormat="false" ht="15" hidden="false" customHeight="false" outlineLevel="0" collapsed="false">
      <c r="A7" s="11" t="s">
        <v>47</v>
      </c>
      <c r="B7" s="11" t="s">
        <v>38</v>
      </c>
      <c r="C7" s="29" t="n">
        <v>550910</v>
      </c>
      <c r="D7" s="4" t="s">
        <v>46</v>
      </c>
      <c r="E7" s="4" t="s">
        <v>65</v>
      </c>
      <c r="F7" s="5" t="s">
        <v>40</v>
      </c>
      <c r="G7" s="6" t="n">
        <v>1124</v>
      </c>
      <c r="H7" s="9" t="n">
        <f aca="false">G7</f>
        <v>1124</v>
      </c>
      <c r="I7" s="9" t="n">
        <v>1000</v>
      </c>
      <c r="J7" s="4" t="s">
        <v>63</v>
      </c>
      <c r="K7" s="8" t="n">
        <v>45614</v>
      </c>
      <c r="L7" s="8" t="n">
        <v>46181</v>
      </c>
      <c r="M7" s="8"/>
      <c r="N7" s="8"/>
      <c r="O7" s="8"/>
      <c r="P7" s="6" t="n">
        <v>71875</v>
      </c>
      <c r="Q7" s="9" t="n">
        <f aca="false">P7</f>
        <v>71875</v>
      </c>
      <c r="R7" s="9"/>
      <c r="S7" s="6" t="n">
        <v>60400</v>
      </c>
      <c r="T7" s="9" t="n">
        <f aca="false">S7</f>
        <v>60400</v>
      </c>
      <c r="U7" s="6" t="n">
        <v>61800</v>
      </c>
      <c r="V7" s="9" t="n">
        <f aca="false">U7</f>
        <v>61800</v>
      </c>
      <c r="W7" s="45" t="n">
        <f aca="false">U7/G7</f>
        <v>54.982206405694</v>
      </c>
      <c r="X7" s="41" t="n">
        <f aca="false">SUM(U7-S7)/S7</f>
        <v>0.0231788079470199</v>
      </c>
      <c r="Y7" s="9" t="s">
        <v>55</v>
      </c>
      <c r="Z7" s="42"/>
      <c r="AA7" s="524"/>
      <c r="AB7" s="5" t="s">
        <v>43</v>
      </c>
      <c r="AC7" s="60" t="s">
        <v>64</v>
      </c>
      <c r="AD7" s="58"/>
      <c r="AE7" s="4"/>
      <c r="AF7" s="59"/>
      <c r="AG7" s="4"/>
      <c r="AI7" s="61"/>
      <c r="AJ7" s="525" t="s">
        <v>1103</v>
      </c>
    </row>
    <row r="8" customFormat="false" ht="15" hidden="false" customHeight="false" outlineLevel="0" collapsed="false">
      <c r="A8" s="11" t="s">
        <v>47</v>
      </c>
      <c r="B8" s="11" t="s">
        <v>38</v>
      </c>
      <c r="C8" s="29" t="n">
        <v>550910</v>
      </c>
      <c r="D8" s="4" t="s">
        <v>46</v>
      </c>
      <c r="E8" s="4" t="s">
        <v>66</v>
      </c>
      <c r="F8" s="5" t="s">
        <v>40</v>
      </c>
      <c r="G8" s="6" t="n">
        <v>2238</v>
      </c>
      <c r="H8" s="9" t="n">
        <f aca="false">G8</f>
        <v>2238</v>
      </c>
      <c r="I8" s="9" t="n">
        <v>2000</v>
      </c>
      <c r="J8" s="4" t="s">
        <v>67</v>
      </c>
      <c r="K8" s="8"/>
      <c r="M8" s="8" t="n">
        <v>45636</v>
      </c>
      <c r="P8" s="6" t="n">
        <v>0</v>
      </c>
      <c r="Q8" s="9" t="n">
        <f aca="false">P8</f>
        <v>0</v>
      </c>
      <c r="S8" s="6" t="n">
        <v>134300</v>
      </c>
      <c r="T8" s="9" t="n">
        <f aca="false">S8</f>
        <v>134300</v>
      </c>
      <c r="U8" s="6" t="n">
        <v>134300</v>
      </c>
      <c r="V8" s="9" t="n">
        <f aca="false">U8</f>
        <v>134300</v>
      </c>
      <c r="W8" s="45" t="n">
        <f aca="false">U8/G8</f>
        <v>60.0089365504915</v>
      </c>
      <c r="X8" s="41" t="n">
        <f aca="false">SUM(U8-S8)/S8</f>
        <v>0</v>
      </c>
      <c r="Y8" s="9" t="s">
        <v>60</v>
      </c>
      <c r="Z8" s="42"/>
      <c r="AA8" s="524"/>
      <c r="AB8" s="5" t="s">
        <v>43</v>
      </c>
      <c r="AC8" s="4" t="s">
        <v>68</v>
      </c>
      <c r="AE8" s="4" t="n">
        <v>2</v>
      </c>
      <c r="AF8" s="59" t="n">
        <v>2</v>
      </c>
      <c r="AG8" s="60"/>
      <c r="AJ8" s="525" t="s">
        <v>1104</v>
      </c>
    </row>
    <row r="9" customFormat="false" ht="15" hidden="false" customHeight="false" outlineLevel="0" collapsed="false">
      <c r="A9" s="11" t="s">
        <v>47</v>
      </c>
      <c r="B9" s="11" t="s">
        <v>38</v>
      </c>
      <c r="C9" s="29" t="n">
        <v>550910</v>
      </c>
      <c r="D9" s="4" t="s">
        <v>46</v>
      </c>
      <c r="E9" s="4" t="s">
        <v>69</v>
      </c>
      <c r="F9" s="5" t="s">
        <v>40</v>
      </c>
      <c r="G9" s="6" t="n">
        <v>400</v>
      </c>
      <c r="H9" s="9" t="n">
        <f aca="false">G9</f>
        <v>400</v>
      </c>
      <c r="I9" s="9" t="n">
        <v>500</v>
      </c>
      <c r="J9" s="4" t="s">
        <v>67</v>
      </c>
      <c r="K9" s="8"/>
      <c r="M9" s="8" t="n">
        <v>45771</v>
      </c>
      <c r="P9" s="6" t="n">
        <v>0</v>
      </c>
      <c r="Q9" s="9" t="n">
        <f aca="false">P9</f>
        <v>0</v>
      </c>
      <c r="S9" s="6" t="n">
        <v>20600</v>
      </c>
      <c r="T9" s="9" t="n">
        <f aca="false">S9</f>
        <v>20600</v>
      </c>
      <c r="U9" s="6" t="n">
        <v>23000</v>
      </c>
      <c r="V9" s="9" t="n">
        <f aca="false">U9</f>
        <v>23000</v>
      </c>
      <c r="W9" s="45" t="n">
        <f aca="false">U9/G9</f>
        <v>57.5</v>
      </c>
      <c r="X9" s="41" t="n">
        <f aca="false">SUM(U9-S9)/S9</f>
        <v>0.116504854368932</v>
      </c>
      <c r="Y9" s="9" t="s">
        <v>60</v>
      </c>
      <c r="Z9" s="42"/>
      <c r="AA9" s="524"/>
      <c r="AB9" s="5" t="s">
        <v>43</v>
      </c>
      <c r="AC9" s="4" t="s">
        <v>68</v>
      </c>
      <c r="AE9" s="4" t="n">
        <v>1</v>
      </c>
      <c r="AF9" s="59" t="n">
        <v>1</v>
      </c>
      <c r="AJ9" s="525" t="s">
        <v>1104</v>
      </c>
    </row>
    <row r="10" customFormat="false" ht="15" hidden="false" customHeight="false" outlineLevel="0" collapsed="false">
      <c r="A10" s="11" t="s">
        <v>47</v>
      </c>
      <c r="B10" s="11" t="s">
        <v>38</v>
      </c>
      <c r="C10" s="29" t="n">
        <v>550910</v>
      </c>
      <c r="D10" s="4" t="s">
        <v>46</v>
      </c>
      <c r="E10" s="4" t="s">
        <v>70</v>
      </c>
      <c r="F10" s="5" t="s">
        <v>40</v>
      </c>
      <c r="G10" s="6" t="n">
        <v>1938</v>
      </c>
      <c r="H10" s="9" t="n">
        <f aca="false">G10</f>
        <v>1938</v>
      </c>
      <c r="I10" s="9" t="n">
        <v>2000</v>
      </c>
      <c r="J10" s="4" t="s">
        <v>67</v>
      </c>
      <c r="M10" s="8" t="n">
        <v>45217</v>
      </c>
      <c r="P10" s="9" t="n">
        <v>0</v>
      </c>
      <c r="Q10" s="9" t="n">
        <f aca="false">P10</f>
        <v>0</v>
      </c>
      <c r="S10" s="6" t="n">
        <v>109000</v>
      </c>
      <c r="T10" s="9" t="n">
        <f aca="false">S10</f>
        <v>109000</v>
      </c>
      <c r="U10" s="6" t="n">
        <v>111400</v>
      </c>
      <c r="V10" s="9" t="n">
        <f aca="false">U10</f>
        <v>111400</v>
      </c>
      <c r="W10" s="45" t="n">
        <f aca="false">U10/G10</f>
        <v>57.4819401444788</v>
      </c>
      <c r="X10" s="41" t="n">
        <f aca="false">SUM(U10-S10)/S10</f>
        <v>0.0220183486238532</v>
      </c>
      <c r="Y10" s="9" t="s">
        <v>60</v>
      </c>
      <c r="Z10" s="42"/>
      <c r="AA10" s="524"/>
      <c r="AB10" s="5" t="s">
        <v>43</v>
      </c>
      <c r="AC10" s="4" t="s">
        <v>68</v>
      </c>
      <c r="AD10" s="15" t="n">
        <v>65</v>
      </c>
      <c r="AE10" s="4" t="n">
        <v>2</v>
      </c>
      <c r="AF10" s="59" t="n">
        <v>4</v>
      </c>
      <c r="AJ10" s="525" t="s">
        <v>1104</v>
      </c>
    </row>
    <row r="11" customFormat="false" ht="15" hidden="false" customHeight="false" outlineLevel="0" collapsed="false">
      <c r="A11" s="11" t="s">
        <v>47</v>
      </c>
      <c r="B11" s="11" t="s">
        <v>38</v>
      </c>
      <c r="C11" s="29" t="n">
        <v>550910</v>
      </c>
      <c r="D11" s="4" t="s">
        <v>46</v>
      </c>
      <c r="E11" s="4" t="s">
        <v>71</v>
      </c>
      <c r="F11" s="5" t="s">
        <v>40</v>
      </c>
      <c r="G11" s="6" t="n">
        <v>419</v>
      </c>
      <c r="H11" s="9" t="n">
        <f aca="false">G11</f>
        <v>419</v>
      </c>
      <c r="I11" s="9" t="n">
        <v>500</v>
      </c>
      <c r="J11" s="4" t="s">
        <v>72</v>
      </c>
      <c r="K11" s="7" t="n">
        <v>44539</v>
      </c>
      <c r="L11" s="8" t="n">
        <v>46364</v>
      </c>
      <c r="P11" s="9" t="n">
        <v>23940</v>
      </c>
      <c r="Q11" s="9" t="n">
        <f aca="false">P11</f>
        <v>23940</v>
      </c>
      <c r="S11" s="6" t="n">
        <v>21000</v>
      </c>
      <c r="T11" s="9" t="n">
        <f aca="false">S11</f>
        <v>21000</v>
      </c>
      <c r="U11" s="6" t="n">
        <v>24100</v>
      </c>
      <c r="V11" s="9" t="n">
        <f aca="false">U11</f>
        <v>24100</v>
      </c>
      <c r="W11" s="45" t="n">
        <f aca="false">U11/G11</f>
        <v>57.5178997613365</v>
      </c>
      <c r="X11" s="41" t="n">
        <f aca="false">SUM(U11-S11)/S11</f>
        <v>0.147619047619048</v>
      </c>
      <c r="Y11" s="9" t="s">
        <v>60</v>
      </c>
      <c r="Z11" s="42"/>
      <c r="AA11" s="524"/>
      <c r="AB11" s="5" t="s">
        <v>43</v>
      </c>
      <c r="AE11" s="4" t="n">
        <v>1</v>
      </c>
      <c r="AF11" s="59" t="n">
        <v>1</v>
      </c>
      <c r="AJ11" s="525" t="s">
        <v>1103</v>
      </c>
    </row>
    <row r="12" customFormat="false" ht="15" hidden="false" customHeight="false" outlineLevel="0" collapsed="false">
      <c r="A12" s="11" t="s">
        <v>47</v>
      </c>
      <c r="B12" s="11" t="s">
        <v>38</v>
      </c>
      <c r="C12" s="29" t="n">
        <v>550910</v>
      </c>
      <c r="D12" s="4" t="s">
        <v>46</v>
      </c>
      <c r="E12" s="4" t="s">
        <v>73</v>
      </c>
      <c r="F12" s="5" t="s">
        <v>40</v>
      </c>
      <c r="G12" s="6" t="n">
        <v>972</v>
      </c>
      <c r="H12" s="9" t="n">
        <f aca="false">G12</f>
        <v>972</v>
      </c>
      <c r="I12" s="9" t="n">
        <v>1000</v>
      </c>
      <c r="J12" s="4" t="s">
        <v>74</v>
      </c>
      <c r="K12" s="7" t="n">
        <v>45100</v>
      </c>
      <c r="L12" s="8" t="n">
        <v>46926</v>
      </c>
      <c r="O12" s="8" t="n">
        <v>46195</v>
      </c>
      <c r="P12" s="6" t="n">
        <v>58560</v>
      </c>
      <c r="Q12" s="9" t="n">
        <f aca="false">P12</f>
        <v>58560</v>
      </c>
      <c r="S12" s="6" t="n">
        <v>49400</v>
      </c>
      <c r="T12" s="9" t="n">
        <f aca="false">S12</f>
        <v>49400</v>
      </c>
      <c r="U12" s="6" t="n">
        <v>58300</v>
      </c>
      <c r="V12" s="9" t="n">
        <f aca="false">U12</f>
        <v>58300</v>
      </c>
      <c r="W12" s="45" t="n">
        <f aca="false">U12/G12</f>
        <v>59.9794238683128</v>
      </c>
      <c r="X12" s="41" t="n">
        <f aca="false">SUM(U12-S12)/S12</f>
        <v>0.180161943319838</v>
      </c>
      <c r="Y12" s="9" t="s">
        <v>60</v>
      </c>
      <c r="Z12" s="42"/>
      <c r="AA12" s="524"/>
      <c r="AB12" s="5" t="s">
        <v>43</v>
      </c>
      <c r="AC12" s="4" t="s">
        <v>75</v>
      </c>
      <c r="AF12" s="59"/>
      <c r="AJ12" s="525" t="s">
        <v>1103</v>
      </c>
    </row>
    <row r="13" customFormat="false" ht="15" hidden="false" customHeight="false" outlineLevel="0" collapsed="false">
      <c r="A13" s="11" t="s">
        <v>47</v>
      </c>
      <c r="B13" s="11" t="s">
        <v>38</v>
      </c>
      <c r="C13" s="29" t="n">
        <v>550910</v>
      </c>
      <c r="D13" s="4" t="s">
        <v>46</v>
      </c>
      <c r="E13" s="4" t="s">
        <v>76</v>
      </c>
      <c r="F13" s="5" t="s">
        <v>40</v>
      </c>
      <c r="G13" s="6" t="n">
        <v>977</v>
      </c>
      <c r="H13" s="9" t="n">
        <f aca="false">G13</f>
        <v>977</v>
      </c>
      <c r="I13" s="9" t="n">
        <v>1000</v>
      </c>
      <c r="J13" s="4" t="s">
        <v>72</v>
      </c>
      <c r="K13" s="8" t="n">
        <v>45476</v>
      </c>
      <c r="L13" s="8" t="n">
        <v>47301</v>
      </c>
      <c r="O13" s="8" t="n">
        <v>46364</v>
      </c>
      <c r="P13" s="6" t="n">
        <v>58496</v>
      </c>
      <c r="Q13" s="9" t="n">
        <f aca="false">P13</f>
        <v>58496</v>
      </c>
      <c r="S13" s="6" t="n">
        <v>47400</v>
      </c>
      <c r="T13" s="9" t="n">
        <f aca="false">S13</f>
        <v>47400</v>
      </c>
      <c r="U13" s="6" t="n">
        <v>58600</v>
      </c>
      <c r="V13" s="9" t="n">
        <f aca="false">U13</f>
        <v>58600</v>
      </c>
      <c r="W13" s="45" t="n">
        <f aca="false">U13/G13</f>
        <v>59.9795291709314</v>
      </c>
      <c r="X13" s="41" t="n">
        <f aca="false">SUM(U13-S13)/S13</f>
        <v>0.236286919831224</v>
      </c>
      <c r="Y13" s="9" t="s">
        <v>55</v>
      </c>
      <c r="Z13" s="42"/>
      <c r="AA13" s="524"/>
      <c r="AB13" s="5" t="s">
        <v>43</v>
      </c>
      <c r="AC13" s="4" t="s">
        <v>77</v>
      </c>
      <c r="AE13" s="60"/>
      <c r="AF13" s="62"/>
      <c r="AG13" s="60"/>
      <c r="AJ13" s="525" t="s">
        <v>1103</v>
      </c>
    </row>
    <row r="14" customFormat="false" ht="15" hidden="false" customHeight="false" outlineLevel="0" collapsed="false">
      <c r="A14" s="11" t="s">
        <v>47</v>
      </c>
      <c r="B14" s="11" t="s">
        <v>38</v>
      </c>
      <c r="C14" s="29" t="n">
        <v>550910</v>
      </c>
      <c r="D14" s="4" t="s">
        <v>46</v>
      </c>
      <c r="E14" s="4" t="s">
        <v>78</v>
      </c>
      <c r="F14" s="5" t="s">
        <v>40</v>
      </c>
      <c r="G14" s="6" t="n">
        <v>744</v>
      </c>
      <c r="H14" s="9" t="n">
        <f aca="false">G14</f>
        <v>744</v>
      </c>
      <c r="I14" s="9" t="n">
        <v>750</v>
      </c>
      <c r="J14" s="4" t="s">
        <v>67</v>
      </c>
      <c r="K14" s="8"/>
      <c r="M14" s="8" t="n">
        <v>45182</v>
      </c>
      <c r="P14" s="6" t="n">
        <v>0</v>
      </c>
      <c r="Q14" s="9" t="n">
        <f aca="false">P14</f>
        <v>0</v>
      </c>
      <c r="S14" s="6" t="n">
        <v>34400</v>
      </c>
      <c r="T14" s="9" t="n">
        <f aca="false">S14</f>
        <v>34400</v>
      </c>
      <c r="U14" s="6" t="n">
        <v>47000</v>
      </c>
      <c r="V14" s="9" t="n">
        <f aca="false">U14</f>
        <v>47000</v>
      </c>
      <c r="W14" s="45" t="n">
        <f aca="false">U14/G14</f>
        <v>63.1720430107527</v>
      </c>
      <c r="X14" s="41" t="n">
        <f aca="false">SUM(U14-S14)/S14</f>
        <v>0.366279069767442</v>
      </c>
      <c r="Y14" s="9" t="s">
        <v>60</v>
      </c>
      <c r="Z14" s="42"/>
      <c r="AA14" s="524"/>
      <c r="AB14" s="5" t="s">
        <v>43</v>
      </c>
      <c r="AC14" s="4" t="s">
        <v>68</v>
      </c>
      <c r="AD14" s="15" t="n">
        <v>63.5</v>
      </c>
      <c r="AE14" s="4" t="n">
        <v>2</v>
      </c>
      <c r="AF14" s="59" t="n">
        <v>4</v>
      </c>
      <c r="AG14" s="4" t="s">
        <v>57</v>
      </c>
      <c r="AJ14" s="525" t="s">
        <v>1104</v>
      </c>
    </row>
    <row r="15" customFormat="false" ht="15" hidden="false" customHeight="false" outlineLevel="0" collapsed="false">
      <c r="A15" s="11" t="s">
        <v>47</v>
      </c>
      <c r="B15" s="11" t="s">
        <v>38</v>
      </c>
      <c r="C15" s="29" t="n">
        <v>550910</v>
      </c>
      <c r="D15" s="4" t="s">
        <v>46</v>
      </c>
      <c r="E15" s="4" t="s">
        <v>79</v>
      </c>
      <c r="F15" s="5" t="s">
        <v>80</v>
      </c>
      <c r="G15" s="6" t="n">
        <v>185</v>
      </c>
      <c r="H15" s="9" t="n">
        <f aca="false">G15</f>
        <v>185</v>
      </c>
      <c r="I15" s="9" t="n">
        <v>200</v>
      </c>
      <c r="J15" s="4" t="s">
        <v>81</v>
      </c>
      <c r="K15" s="8"/>
      <c r="M15" s="8" t="s">
        <v>82</v>
      </c>
      <c r="P15" s="6" t="n">
        <v>0</v>
      </c>
      <c r="Q15" s="9" t="n">
        <f aca="false">P15</f>
        <v>0</v>
      </c>
      <c r="S15" s="6" t="n">
        <v>3000</v>
      </c>
      <c r="T15" s="9" t="n">
        <f aca="false">S15</f>
        <v>3000</v>
      </c>
      <c r="U15" s="6" t="n">
        <v>4500</v>
      </c>
      <c r="V15" s="9" t="n">
        <f aca="false">U15</f>
        <v>4500</v>
      </c>
      <c r="W15" s="45" t="n">
        <f aca="false">U15/G15</f>
        <v>24.3243243243243</v>
      </c>
      <c r="X15" s="41" t="n">
        <f aca="false">SUM(U15-S15)/S15</f>
        <v>0.5</v>
      </c>
      <c r="Y15" s="9"/>
      <c r="Z15" s="42"/>
      <c r="AA15" s="524"/>
      <c r="AB15" s="5" t="s">
        <v>43</v>
      </c>
      <c r="AF15" s="59"/>
      <c r="AJ15" s="525" t="s">
        <v>1104</v>
      </c>
    </row>
    <row r="16" customFormat="false" ht="15" hidden="false" customHeight="false" outlineLevel="0" collapsed="false">
      <c r="A16" s="11" t="s">
        <v>47</v>
      </c>
      <c r="B16" s="11" t="s">
        <v>38</v>
      </c>
      <c r="C16" s="29" t="n">
        <v>550920</v>
      </c>
      <c r="D16" s="4" t="s">
        <v>84</v>
      </c>
      <c r="E16" s="4" t="s">
        <v>85</v>
      </c>
      <c r="F16" s="5" t="s">
        <v>86</v>
      </c>
      <c r="G16" s="6" t="n">
        <v>2940</v>
      </c>
      <c r="H16" s="9" t="n">
        <f aca="false">G16</f>
        <v>2940</v>
      </c>
      <c r="I16" s="9" t="n">
        <v>3000</v>
      </c>
      <c r="J16" s="4" t="s">
        <v>87</v>
      </c>
      <c r="K16" s="8" t="n">
        <v>45649</v>
      </c>
      <c r="L16" s="8" t="n">
        <v>46743</v>
      </c>
      <c r="O16" s="8" t="n">
        <v>46013</v>
      </c>
      <c r="P16" s="6" t="n">
        <v>132000</v>
      </c>
      <c r="Q16" s="9" t="n">
        <f aca="false">P16</f>
        <v>132000</v>
      </c>
      <c r="S16" s="6" t="n">
        <v>114600</v>
      </c>
      <c r="T16" s="9" t="n">
        <f aca="false">S16</f>
        <v>114600</v>
      </c>
      <c r="U16" s="6" t="n">
        <v>124500</v>
      </c>
      <c r="V16" s="9" t="n">
        <f aca="false">U16</f>
        <v>124500</v>
      </c>
      <c r="W16" s="45" t="n">
        <f aca="false">U16/G16</f>
        <v>42.3469387755102</v>
      </c>
      <c r="X16" s="41" t="n">
        <f aca="false">SUM(U16-S16)/S16</f>
        <v>0.0863874345549738</v>
      </c>
      <c r="Y16" s="9" t="s">
        <v>42</v>
      </c>
      <c r="Z16" s="42"/>
      <c r="AA16" s="524"/>
      <c r="AB16" s="5" t="s">
        <v>43</v>
      </c>
      <c r="AC16" s="4" t="s">
        <v>88</v>
      </c>
      <c r="AF16" s="59"/>
      <c r="AJ16" s="525" t="s">
        <v>1103</v>
      </c>
    </row>
    <row r="17" customFormat="false" ht="19.4" hidden="false" customHeight="false" outlineLevel="0" collapsed="false">
      <c r="A17" s="11" t="s">
        <v>47</v>
      </c>
      <c r="B17" s="11" t="s">
        <v>38</v>
      </c>
      <c r="C17" s="29" t="n">
        <v>550920</v>
      </c>
      <c r="D17" s="4" t="s">
        <v>84</v>
      </c>
      <c r="E17" s="4" t="s">
        <v>89</v>
      </c>
      <c r="F17" s="5" t="s">
        <v>90</v>
      </c>
      <c r="G17" s="6" t="n">
        <v>1398</v>
      </c>
      <c r="H17" s="9" t="n">
        <f aca="false">G17</f>
        <v>1398</v>
      </c>
      <c r="I17" s="9" t="n">
        <v>1000</v>
      </c>
      <c r="J17" s="4" t="s">
        <v>91</v>
      </c>
      <c r="K17" s="8" t="n">
        <v>45470</v>
      </c>
      <c r="L17" s="8" t="n">
        <v>47295</v>
      </c>
      <c r="O17" s="8" t="n">
        <v>46564</v>
      </c>
      <c r="P17" s="6" t="n">
        <v>89833</v>
      </c>
      <c r="Q17" s="9" t="n">
        <f aca="false">P17</f>
        <v>89833</v>
      </c>
      <c r="S17" s="6" t="n">
        <v>76900</v>
      </c>
      <c r="T17" s="9" t="n">
        <f aca="false">S17</f>
        <v>76900</v>
      </c>
      <c r="U17" s="6" t="n">
        <v>97900</v>
      </c>
      <c r="V17" s="9" t="n">
        <f aca="false">U17</f>
        <v>97900</v>
      </c>
      <c r="W17" s="45" t="n">
        <f aca="false">U17/G17</f>
        <v>70.0286123032904</v>
      </c>
      <c r="X17" s="41" t="n">
        <f aca="false">SUM(U17-S17)/S17</f>
        <v>0.273081924577373</v>
      </c>
      <c r="Y17" s="9" t="s">
        <v>60</v>
      </c>
      <c r="Z17" s="42"/>
      <c r="AA17" s="524"/>
      <c r="AB17" s="5" t="s">
        <v>43</v>
      </c>
      <c r="AC17" s="4" t="s">
        <v>92</v>
      </c>
      <c r="AF17" s="59"/>
      <c r="AJ17" s="525" t="s">
        <v>1103</v>
      </c>
    </row>
    <row r="18" customFormat="false" ht="15" hidden="false" customHeight="false" outlineLevel="0" collapsed="false">
      <c r="A18" s="11" t="s">
        <v>47</v>
      </c>
      <c r="B18" s="11" t="s">
        <v>38</v>
      </c>
      <c r="C18" s="29" t="n">
        <v>550920</v>
      </c>
      <c r="D18" s="4" t="s">
        <v>84</v>
      </c>
      <c r="E18" s="4" t="s">
        <v>93</v>
      </c>
      <c r="F18" s="5" t="s">
        <v>90</v>
      </c>
      <c r="G18" s="6" t="n">
        <v>1110</v>
      </c>
      <c r="H18" s="9" t="n">
        <f aca="false">G18</f>
        <v>1110</v>
      </c>
      <c r="I18" s="9" t="n">
        <v>1000</v>
      </c>
      <c r="J18" s="4" t="s">
        <v>67</v>
      </c>
      <c r="K18" s="8"/>
      <c r="M18" s="8" t="n">
        <v>43273</v>
      </c>
      <c r="P18" s="6" t="n">
        <v>0</v>
      </c>
      <c r="Q18" s="9" t="n">
        <f aca="false">P18</f>
        <v>0</v>
      </c>
      <c r="S18" s="6" t="n">
        <v>61100</v>
      </c>
      <c r="T18" s="9" t="n">
        <f aca="false">S18</f>
        <v>61100</v>
      </c>
      <c r="U18" s="6" t="n">
        <v>69400</v>
      </c>
      <c r="V18" s="9" t="n">
        <f aca="false">U18</f>
        <v>69400</v>
      </c>
      <c r="W18" s="45" t="n">
        <f aca="false">U18/G18</f>
        <v>62.5225225225225</v>
      </c>
      <c r="X18" s="41" t="n">
        <f aca="false">SUM(U18-S18)/S18</f>
        <v>0.135842880523732</v>
      </c>
      <c r="Y18" s="9" t="s">
        <v>42</v>
      </c>
      <c r="Z18" s="42"/>
      <c r="AA18" s="524"/>
      <c r="AB18" s="5" t="s">
        <v>43</v>
      </c>
      <c r="AC18" s="4" t="s">
        <v>68</v>
      </c>
      <c r="AD18" s="15" t="n">
        <v>63.5</v>
      </c>
      <c r="AF18" s="59" t="n">
        <v>1</v>
      </c>
      <c r="AJ18" s="525" t="s">
        <v>1104</v>
      </c>
    </row>
    <row r="19" customFormat="false" ht="15" hidden="false" customHeight="false" outlineLevel="0" collapsed="false">
      <c r="A19" s="11" t="s">
        <v>47</v>
      </c>
      <c r="B19" s="11" t="s">
        <v>38</v>
      </c>
      <c r="C19" s="29" t="n">
        <v>550920</v>
      </c>
      <c r="D19" s="4" t="s">
        <v>84</v>
      </c>
      <c r="E19" s="4" t="s">
        <v>94</v>
      </c>
      <c r="F19" s="5" t="s">
        <v>90</v>
      </c>
      <c r="G19" s="6" t="n">
        <v>481</v>
      </c>
      <c r="H19" s="9" t="n">
        <f aca="false">G19</f>
        <v>481</v>
      </c>
      <c r="I19" s="9" t="n">
        <v>500</v>
      </c>
      <c r="J19" s="4" t="s">
        <v>95</v>
      </c>
      <c r="K19" s="8" t="n">
        <v>45541</v>
      </c>
      <c r="L19" s="8" t="n">
        <v>47366</v>
      </c>
      <c r="O19" s="8" t="n">
        <v>46635</v>
      </c>
      <c r="P19" s="6" t="n">
        <v>26000</v>
      </c>
      <c r="Q19" s="9" t="n">
        <f aca="false">P19</f>
        <v>26000</v>
      </c>
      <c r="S19" s="6" t="n">
        <v>25300</v>
      </c>
      <c r="T19" s="9" t="n">
        <f aca="false">S19</f>
        <v>25300</v>
      </c>
      <c r="U19" s="6" t="n">
        <v>25300</v>
      </c>
      <c r="V19" s="9" t="n">
        <f aca="false">U19</f>
        <v>25300</v>
      </c>
      <c r="W19" s="45" t="n">
        <f aca="false">U19/G19</f>
        <v>52.5987525987526</v>
      </c>
      <c r="X19" s="41" t="n">
        <f aca="false">SUM(U19-S19)/S19</f>
        <v>0</v>
      </c>
      <c r="Y19" s="9" t="s">
        <v>60</v>
      </c>
      <c r="Z19" s="42"/>
      <c r="AA19" s="524"/>
      <c r="AB19" s="5" t="s">
        <v>43</v>
      </c>
      <c r="AC19" s="4" t="s">
        <v>77</v>
      </c>
      <c r="AE19" s="60"/>
      <c r="AF19" s="62"/>
      <c r="AG19" s="60"/>
      <c r="AJ19" s="525" t="s">
        <v>1103</v>
      </c>
    </row>
    <row r="20" customFormat="false" ht="15" hidden="false" customHeight="false" outlineLevel="0" collapsed="false">
      <c r="A20" s="11" t="s">
        <v>47</v>
      </c>
      <c r="B20" s="11" t="s">
        <v>38</v>
      </c>
      <c r="C20" s="29" t="n">
        <v>550930</v>
      </c>
      <c r="D20" s="4" t="s">
        <v>96</v>
      </c>
      <c r="E20" s="4" t="s">
        <v>85</v>
      </c>
      <c r="F20" s="5" t="s">
        <v>97</v>
      </c>
      <c r="G20" s="6" t="n">
        <v>3668</v>
      </c>
      <c r="H20" s="9" t="n">
        <f aca="false">G20</f>
        <v>3668</v>
      </c>
      <c r="I20" s="9" t="n">
        <v>3500</v>
      </c>
      <c r="J20" s="4" t="s">
        <v>98</v>
      </c>
      <c r="K20" s="8" t="n">
        <v>44757</v>
      </c>
      <c r="L20" s="8" t="n">
        <v>48409</v>
      </c>
      <c r="N20" s="8" t="n">
        <v>46583</v>
      </c>
      <c r="P20" s="6" t="n">
        <v>170000</v>
      </c>
      <c r="Q20" s="9" t="n">
        <f aca="false">P20</f>
        <v>170000</v>
      </c>
      <c r="S20" s="6" t="n">
        <v>170000</v>
      </c>
      <c r="T20" s="9" t="n">
        <f aca="false">S20</f>
        <v>170000</v>
      </c>
      <c r="U20" s="6" t="n">
        <v>170000</v>
      </c>
      <c r="V20" s="9" t="n">
        <f aca="false">U20</f>
        <v>170000</v>
      </c>
      <c r="W20" s="45" t="n">
        <f aca="false">U20/G20</f>
        <v>46.3467829880044</v>
      </c>
      <c r="X20" s="41" t="n">
        <f aca="false">SUM(U20-S20)/S20</f>
        <v>0</v>
      </c>
      <c r="Y20" s="9" t="s">
        <v>55</v>
      </c>
      <c r="Z20" s="42"/>
      <c r="AA20" s="524"/>
      <c r="AB20" s="5" t="s">
        <v>43</v>
      </c>
      <c r="AF20" s="59"/>
      <c r="AJ20" s="525" t="s">
        <v>1103</v>
      </c>
    </row>
    <row r="21" customFormat="false" ht="15" hidden="false" customHeight="false" outlineLevel="0" collapsed="false">
      <c r="A21" s="11" t="s">
        <v>47</v>
      </c>
      <c r="B21" s="11" t="s">
        <v>38</v>
      </c>
      <c r="C21" s="29" t="n">
        <v>550930</v>
      </c>
      <c r="D21" s="4" t="s">
        <v>96</v>
      </c>
      <c r="E21" s="4" t="s">
        <v>89</v>
      </c>
      <c r="F21" s="5" t="s">
        <v>90</v>
      </c>
      <c r="G21" s="6" t="n">
        <v>1418</v>
      </c>
      <c r="H21" s="9" t="n">
        <f aca="false">G21</f>
        <v>1418</v>
      </c>
      <c r="I21" s="9" t="n">
        <v>1500</v>
      </c>
      <c r="J21" s="4" t="s">
        <v>99</v>
      </c>
      <c r="K21" s="8" t="n">
        <v>45231</v>
      </c>
      <c r="L21" s="8" t="n">
        <v>46326</v>
      </c>
      <c r="P21" s="6" t="n">
        <v>174500</v>
      </c>
      <c r="Q21" s="9" t="n">
        <f aca="false">P21</f>
        <v>174500</v>
      </c>
      <c r="S21" s="6" t="n">
        <v>78000</v>
      </c>
      <c r="T21" s="9" t="n">
        <f aca="false">S21</f>
        <v>78000</v>
      </c>
      <c r="U21" s="6" t="n">
        <v>99300</v>
      </c>
      <c r="V21" s="9" t="n">
        <f aca="false">U21</f>
        <v>99300</v>
      </c>
      <c r="W21" s="45" t="n">
        <f aca="false">U21/G21</f>
        <v>70.0282087447109</v>
      </c>
      <c r="X21" s="41" t="n">
        <f aca="false">SUM(U21-S21)/S21</f>
        <v>0.273076923076923</v>
      </c>
      <c r="Y21" s="9" t="s">
        <v>55</v>
      </c>
      <c r="Z21" s="42"/>
      <c r="AA21" s="524"/>
      <c r="AB21" s="5" t="s">
        <v>43</v>
      </c>
      <c r="AC21" s="4" t="s">
        <v>100</v>
      </c>
      <c r="AF21" s="59"/>
      <c r="AJ21" s="525" t="s">
        <v>1103</v>
      </c>
    </row>
    <row r="22" customFormat="false" ht="15" hidden="false" customHeight="false" outlineLevel="0" collapsed="false">
      <c r="A22" s="11" t="s">
        <v>47</v>
      </c>
      <c r="B22" s="11" t="s">
        <v>38</v>
      </c>
      <c r="C22" s="29" t="n">
        <v>550930</v>
      </c>
      <c r="D22" s="4" t="s">
        <v>96</v>
      </c>
      <c r="E22" s="4" t="s">
        <v>93</v>
      </c>
      <c r="F22" s="5" t="s">
        <v>90</v>
      </c>
      <c r="G22" s="6" t="n">
        <v>716</v>
      </c>
      <c r="H22" s="9" t="n">
        <f aca="false">G22</f>
        <v>716</v>
      </c>
      <c r="I22" s="9" t="n">
        <v>750</v>
      </c>
      <c r="J22" s="4" t="s">
        <v>101</v>
      </c>
      <c r="K22" s="8" t="n">
        <v>44384</v>
      </c>
      <c r="L22" s="8" t="n">
        <v>46209</v>
      </c>
      <c r="P22" s="6" t="n">
        <v>41000</v>
      </c>
      <c r="Q22" s="9" t="n">
        <f aca="false">P22</f>
        <v>41000</v>
      </c>
      <c r="S22" s="6" t="n">
        <v>39400</v>
      </c>
      <c r="T22" s="9" t="n">
        <f aca="false">S22</f>
        <v>39400</v>
      </c>
      <c r="U22" s="6" t="n">
        <v>41200</v>
      </c>
      <c r="V22" s="9" t="n">
        <f aca="false">U22</f>
        <v>41200</v>
      </c>
      <c r="W22" s="45" t="n">
        <f aca="false">U22/G22</f>
        <v>57.5418994413408</v>
      </c>
      <c r="X22" s="41" t="n">
        <f aca="false">SUM(U22-S22)/S22</f>
        <v>0.0456852791878173</v>
      </c>
      <c r="Y22" s="9" t="s">
        <v>55</v>
      </c>
      <c r="Z22" s="42"/>
      <c r="AA22" s="524"/>
      <c r="AB22" s="5" t="s">
        <v>43</v>
      </c>
      <c r="AF22" s="59"/>
      <c r="AJ22" s="525" t="s">
        <v>1103</v>
      </c>
    </row>
    <row r="23" customFormat="false" ht="19.4" hidden="false" customHeight="false" outlineLevel="0" collapsed="false">
      <c r="A23" s="11" t="s">
        <v>47</v>
      </c>
      <c r="B23" s="11" t="s">
        <v>38</v>
      </c>
      <c r="C23" s="29" t="n">
        <v>550930</v>
      </c>
      <c r="D23" s="4" t="s">
        <v>96</v>
      </c>
      <c r="E23" s="4" t="s">
        <v>94</v>
      </c>
      <c r="F23" s="5" t="s">
        <v>90</v>
      </c>
      <c r="G23" s="6" t="n">
        <v>665</v>
      </c>
      <c r="H23" s="9" t="n">
        <f aca="false">G23</f>
        <v>665</v>
      </c>
      <c r="I23" s="9" t="n">
        <v>750</v>
      </c>
      <c r="J23" s="4" t="s">
        <v>102</v>
      </c>
      <c r="K23" s="8" t="n">
        <v>45617</v>
      </c>
      <c r="L23" s="8" t="n">
        <v>47442</v>
      </c>
      <c r="O23" s="8" t="n">
        <v>46527</v>
      </c>
      <c r="P23" s="6" t="n">
        <v>41875</v>
      </c>
      <c r="Q23" s="9" t="n">
        <f aca="false">P23</f>
        <v>41875</v>
      </c>
      <c r="S23" s="6" t="n">
        <v>36600</v>
      </c>
      <c r="T23" s="9" t="n">
        <f aca="false">S23</f>
        <v>36600</v>
      </c>
      <c r="U23" s="6" t="n">
        <v>38200</v>
      </c>
      <c r="V23" s="9" t="n">
        <f aca="false">U23</f>
        <v>38200</v>
      </c>
      <c r="W23" s="45" t="n">
        <f aca="false">U23/G23</f>
        <v>57.4436090225564</v>
      </c>
      <c r="X23" s="41" t="n">
        <f aca="false">SUM(U23-S23)/S23</f>
        <v>0.0437158469945355</v>
      </c>
      <c r="Y23" s="9" t="s">
        <v>55</v>
      </c>
      <c r="Z23" s="42"/>
      <c r="AA23" s="524"/>
      <c r="AB23" s="5" t="s">
        <v>43</v>
      </c>
      <c r="AC23" s="4" t="s">
        <v>103</v>
      </c>
      <c r="AD23" s="58"/>
      <c r="AF23" s="59"/>
      <c r="AJ23" s="525" t="s">
        <v>1103</v>
      </c>
    </row>
    <row r="24" customFormat="false" ht="28.35" hidden="false" customHeight="false" outlineLevel="0" collapsed="false">
      <c r="A24" s="11" t="s">
        <v>106</v>
      </c>
      <c r="B24" s="11" t="s">
        <v>38</v>
      </c>
      <c r="C24" s="29" t="n">
        <v>550560</v>
      </c>
      <c r="D24" s="4" t="s">
        <v>105</v>
      </c>
      <c r="E24" s="4" t="s">
        <v>107</v>
      </c>
      <c r="F24" s="5" t="s">
        <v>40</v>
      </c>
      <c r="G24" s="43" t="n">
        <v>12578</v>
      </c>
      <c r="H24" s="9" t="n">
        <f aca="false">G24</f>
        <v>12578</v>
      </c>
      <c r="I24" s="9" t="n">
        <v>12500</v>
      </c>
      <c r="J24" s="4" t="s">
        <v>108</v>
      </c>
      <c r="K24" s="7" t="n">
        <v>44771</v>
      </c>
      <c r="L24" s="8" t="n">
        <v>50249</v>
      </c>
      <c r="N24" s="8" t="n">
        <v>46597</v>
      </c>
      <c r="O24" s="8" t="n">
        <v>48423</v>
      </c>
      <c r="P24" s="44" t="n">
        <v>633334</v>
      </c>
      <c r="Q24" s="9" t="n">
        <f aca="false">P24</f>
        <v>633334</v>
      </c>
      <c r="R24" s="44" t="n">
        <f aca="false">Q24</f>
        <v>633334</v>
      </c>
      <c r="S24" s="44" t="n">
        <v>950000</v>
      </c>
      <c r="T24" s="9" t="n">
        <f aca="false">S24</f>
        <v>950000</v>
      </c>
      <c r="U24" s="44" t="n">
        <v>950000</v>
      </c>
      <c r="V24" s="9" t="n">
        <f aca="false">U24</f>
        <v>950000</v>
      </c>
      <c r="W24" s="45" t="n">
        <f aca="false">U24/G24</f>
        <v>75.5287009063444</v>
      </c>
      <c r="X24" s="41" t="n">
        <f aca="false">SUM(U24-S24)/S24</f>
        <v>0</v>
      </c>
      <c r="Y24" s="9" t="s">
        <v>42</v>
      </c>
      <c r="Z24" s="42"/>
      <c r="AA24" s="43" t="n">
        <v>17050000</v>
      </c>
      <c r="AB24" s="5" t="s">
        <v>43</v>
      </c>
      <c r="AC24" s="4" t="s">
        <v>109</v>
      </c>
      <c r="AD24" s="15"/>
      <c r="AE24" s="4"/>
      <c r="AF24" s="59"/>
      <c r="AG24" s="4"/>
      <c r="AJ24" s="525" t="s">
        <v>1103</v>
      </c>
    </row>
    <row r="25" customFormat="false" ht="15" hidden="false" customHeight="false" outlineLevel="0" collapsed="false">
      <c r="A25" s="11" t="s">
        <v>47</v>
      </c>
      <c r="B25" s="11" t="s">
        <v>38</v>
      </c>
      <c r="C25" s="29" t="n">
        <v>550070</v>
      </c>
      <c r="D25" s="4" t="s">
        <v>111</v>
      </c>
      <c r="E25" s="4" t="s">
        <v>112</v>
      </c>
      <c r="F25" s="5" t="s">
        <v>113</v>
      </c>
      <c r="G25" s="6" t="n">
        <v>2235</v>
      </c>
      <c r="H25" s="9" t="n">
        <f aca="false">G25</f>
        <v>2235</v>
      </c>
      <c r="I25" s="9" t="n">
        <v>2000</v>
      </c>
      <c r="J25" s="4" t="s">
        <v>67</v>
      </c>
      <c r="M25" s="8" t="n">
        <v>45754</v>
      </c>
      <c r="P25" s="9" t="n">
        <v>0</v>
      </c>
      <c r="Q25" s="9" t="n">
        <f aca="false">P25</f>
        <v>0</v>
      </c>
      <c r="S25" s="9" t="n">
        <v>143000</v>
      </c>
      <c r="T25" s="9" t="n">
        <f aca="false">S25</f>
        <v>143000</v>
      </c>
      <c r="U25" s="9" t="n">
        <v>145000</v>
      </c>
      <c r="V25" s="9" t="n">
        <f aca="false">U25</f>
        <v>145000</v>
      </c>
      <c r="W25" s="45" t="n">
        <f aca="false">U25/G25</f>
        <v>64.8769574944072</v>
      </c>
      <c r="X25" s="41" t="n">
        <f aca="false">SUM(U25-S25)/S25</f>
        <v>0.013986013986014</v>
      </c>
      <c r="Y25" s="9" t="s">
        <v>60</v>
      </c>
      <c r="Z25" s="42"/>
      <c r="AA25" s="524"/>
      <c r="AB25" s="5" t="s">
        <v>43</v>
      </c>
      <c r="AC25" s="4" t="s">
        <v>114</v>
      </c>
      <c r="AE25" s="4" t="n">
        <v>15</v>
      </c>
      <c r="AF25" s="59" t="n">
        <v>15</v>
      </c>
      <c r="AJ25" s="525" t="s">
        <v>1104</v>
      </c>
    </row>
    <row r="26" customFormat="false" ht="15" hidden="false" customHeight="false" outlineLevel="0" collapsed="false">
      <c r="A26" s="11" t="s">
        <v>47</v>
      </c>
      <c r="B26" s="11" t="s">
        <v>38</v>
      </c>
      <c r="C26" s="29" t="n">
        <v>550070</v>
      </c>
      <c r="D26" s="4" t="s">
        <v>111</v>
      </c>
      <c r="E26" s="4" t="s">
        <v>89</v>
      </c>
      <c r="F26" s="5" t="s">
        <v>40</v>
      </c>
      <c r="G26" s="6" t="n">
        <v>694</v>
      </c>
      <c r="H26" s="9" t="n">
        <f aca="false">G26</f>
        <v>694</v>
      </c>
      <c r="I26" s="9" t="n">
        <v>750</v>
      </c>
      <c r="J26" s="4" t="s">
        <v>115</v>
      </c>
      <c r="K26" s="7" t="n">
        <v>44904</v>
      </c>
      <c r="L26" s="8" t="n">
        <v>45999</v>
      </c>
      <c r="P26" s="9" t="n">
        <v>42000</v>
      </c>
      <c r="Q26" s="9" t="n">
        <f aca="false">P26</f>
        <v>42000</v>
      </c>
      <c r="S26" s="9" t="n">
        <v>42000</v>
      </c>
      <c r="T26" s="9" t="n">
        <f aca="false">S26</f>
        <v>42000</v>
      </c>
      <c r="U26" s="9" t="n">
        <v>42000</v>
      </c>
      <c r="V26" s="9" t="n">
        <f aca="false">U26</f>
        <v>42000</v>
      </c>
      <c r="W26" s="45" t="n">
        <f aca="false">U26/G26</f>
        <v>60.5187319884726</v>
      </c>
      <c r="X26" s="41" t="n">
        <f aca="false">SUM(U26-S26)/S26</f>
        <v>0</v>
      </c>
      <c r="Y26" s="9" t="s">
        <v>60</v>
      </c>
      <c r="Z26" s="42"/>
      <c r="AA26" s="524"/>
      <c r="AB26" s="5" t="s">
        <v>43</v>
      </c>
      <c r="AF26" s="59"/>
      <c r="AJ26" s="525" t="s">
        <v>1103</v>
      </c>
    </row>
    <row r="27" customFormat="false" ht="15" hidden="false" customHeight="false" outlineLevel="0" collapsed="false">
      <c r="A27" s="11" t="s">
        <v>47</v>
      </c>
      <c r="B27" s="11" t="s">
        <v>38</v>
      </c>
      <c r="C27" s="29" t="n">
        <v>550070</v>
      </c>
      <c r="D27" s="4" t="s">
        <v>111</v>
      </c>
      <c r="E27" s="4" t="s">
        <v>93</v>
      </c>
      <c r="F27" s="5" t="s">
        <v>40</v>
      </c>
      <c r="G27" s="6" t="n">
        <v>690</v>
      </c>
      <c r="H27" s="9" t="n">
        <f aca="false">G27</f>
        <v>690</v>
      </c>
      <c r="I27" s="9" t="n">
        <v>750</v>
      </c>
      <c r="J27" s="4" t="s">
        <v>116</v>
      </c>
      <c r="K27" s="7" t="n">
        <v>45412</v>
      </c>
      <c r="L27" s="8" t="n">
        <v>47237</v>
      </c>
      <c r="O27" s="8" t="n">
        <v>46326</v>
      </c>
      <c r="P27" s="9" t="n">
        <v>40020</v>
      </c>
      <c r="Q27" s="9" t="n">
        <f aca="false">P27</f>
        <v>40020</v>
      </c>
      <c r="S27" s="9" t="n">
        <v>39700</v>
      </c>
      <c r="T27" s="9" t="n">
        <f aca="false">S27</f>
        <v>39700</v>
      </c>
      <c r="U27" s="9" t="n">
        <v>40000</v>
      </c>
      <c r="V27" s="9" t="n">
        <f aca="false">U27</f>
        <v>40000</v>
      </c>
      <c r="W27" s="45" t="n">
        <f aca="false">U27/G27</f>
        <v>57.9710144927536</v>
      </c>
      <c r="X27" s="41" t="n">
        <f aca="false">SUM(U27-S27)/S27</f>
        <v>0.00755667506297229</v>
      </c>
      <c r="Y27" s="9" t="s">
        <v>60</v>
      </c>
      <c r="Z27" s="42"/>
      <c r="AA27" s="524"/>
      <c r="AB27" s="5" t="s">
        <v>43</v>
      </c>
      <c r="AC27" s="4" t="s">
        <v>77</v>
      </c>
      <c r="AF27" s="59"/>
      <c r="AJ27" s="525" t="s">
        <v>1103</v>
      </c>
    </row>
    <row r="28" customFormat="false" ht="15" hidden="false" customHeight="false" outlineLevel="0" collapsed="false">
      <c r="A28" s="11" t="s">
        <v>47</v>
      </c>
      <c r="B28" s="11" t="s">
        <v>38</v>
      </c>
      <c r="C28" s="29" t="n">
        <v>550070</v>
      </c>
      <c r="D28" s="4" t="s">
        <v>111</v>
      </c>
      <c r="E28" s="4" t="s">
        <v>94</v>
      </c>
      <c r="F28" s="5" t="s">
        <v>40</v>
      </c>
      <c r="G28" s="6" t="n">
        <v>620</v>
      </c>
      <c r="H28" s="9" t="n">
        <f aca="false">G28</f>
        <v>620</v>
      </c>
      <c r="I28" s="9" t="n">
        <v>750</v>
      </c>
      <c r="J28" s="4" t="s">
        <v>117</v>
      </c>
      <c r="K28" s="7" t="n">
        <v>44816</v>
      </c>
      <c r="L28" s="8" t="n">
        <v>45911</v>
      </c>
      <c r="P28" s="9" t="n">
        <v>33480</v>
      </c>
      <c r="Q28" s="9" t="n">
        <f aca="false">P28</f>
        <v>33480</v>
      </c>
      <c r="S28" s="9" t="n">
        <v>34100</v>
      </c>
      <c r="T28" s="9" t="n">
        <f aca="false">S28</f>
        <v>34100</v>
      </c>
      <c r="U28" s="9" t="n">
        <v>36000</v>
      </c>
      <c r="V28" s="9" t="n">
        <f aca="false">U28</f>
        <v>36000</v>
      </c>
      <c r="W28" s="45" t="n">
        <f aca="false">U28/G28</f>
        <v>58.0645161290323</v>
      </c>
      <c r="X28" s="41" t="n">
        <f aca="false">SUM(U28-S28)/S28</f>
        <v>0.0557184750733138</v>
      </c>
      <c r="Y28" s="9" t="s">
        <v>60</v>
      </c>
      <c r="Z28" s="42"/>
      <c r="AA28" s="524"/>
      <c r="AB28" s="5" t="s">
        <v>43</v>
      </c>
      <c r="AC28" s="4"/>
      <c r="AD28" s="15"/>
      <c r="AE28" s="4"/>
      <c r="AF28" s="59"/>
      <c r="AG28" s="4"/>
      <c r="AJ28" s="525" t="s">
        <v>1103</v>
      </c>
    </row>
    <row r="29" customFormat="false" ht="15" hidden="false" customHeight="false" outlineLevel="0" collapsed="false">
      <c r="A29" s="11" t="s">
        <v>47</v>
      </c>
      <c r="B29" s="11" t="s">
        <v>38</v>
      </c>
      <c r="C29" s="29" t="n">
        <v>550070</v>
      </c>
      <c r="D29" s="4" t="s">
        <v>111</v>
      </c>
      <c r="E29" s="4" t="s">
        <v>118</v>
      </c>
      <c r="F29" s="5" t="s">
        <v>40</v>
      </c>
      <c r="G29" s="6" t="n">
        <v>400</v>
      </c>
      <c r="H29" s="9" t="n">
        <f aca="false">G29</f>
        <v>400</v>
      </c>
      <c r="I29" s="9" t="n">
        <v>500</v>
      </c>
      <c r="J29" s="4" t="s">
        <v>67</v>
      </c>
      <c r="M29" s="8" t="n">
        <v>44168</v>
      </c>
      <c r="P29" s="9" t="n">
        <v>0</v>
      </c>
      <c r="Q29" s="9" t="n">
        <f aca="false">P29</f>
        <v>0</v>
      </c>
      <c r="S29" s="9" t="n">
        <v>21600</v>
      </c>
      <c r="T29" s="9" t="n">
        <f aca="false">S29</f>
        <v>21600</v>
      </c>
      <c r="U29" s="9" t="n">
        <v>22000</v>
      </c>
      <c r="V29" s="9" t="n">
        <f aca="false">U29</f>
        <v>22000</v>
      </c>
      <c r="W29" s="45" t="n">
        <f aca="false">U29/G29</f>
        <v>55</v>
      </c>
      <c r="X29" s="41" t="n">
        <f aca="false">SUM(U29-S29)/S29</f>
        <v>0.0185185185185185</v>
      </c>
      <c r="Y29" s="9" t="s">
        <v>60</v>
      </c>
      <c r="Z29" s="42"/>
      <c r="AA29" s="524"/>
      <c r="AB29" s="5" t="s">
        <v>43</v>
      </c>
      <c r="AC29" s="4" t="s">
        <v>119</v>
      </c>
      <c r="AF29" s="59"/>
      <c r="AJ29" s="525" t="s">
        <v>1104</v>
      </c>
    </row>
    <row r="30" customFormat="false" ht="15" hidden="false" customHeight="false" outlineLevel="0" collapsed="false">
      <c r="A30" s="11" t="s">
        <v>47</v>
      </c>
      <c r="B30" s="11" t="s">
        <v>38</v>
      </c>
      <c r="C30" s="29" t="n">
        <v>550070</v>
      </c>
      <c r="D30" s="4" t="s">
        <v>111</v>
      </c>
      <c r="E30" s="4" t="s">
        <v>120</v>
      </c>
      <c r="F30" s="5" t="s">
        <v>121</v>
      </c>
      <c r="G30" s="6" t="n">
        <v>0</v>
      </c>
      <c r="H30" s="9" t="n">
        <f aca="false">G30</f>
        <v>0</v>
      </c>
      <c r="I30" s="9"/>
      <c r="J30" s="4" t="s">
        <v>81</v>
      </c>
      <c r="M30" s="8" t="s">
        <v>82</v>
      </c>
      <c r="P30" s="9" t="n">
        <v>0</v>
      </c>
      <c r="Q30" s="44" t="n">
        <f aca="false">P30</f>
        <v>0</v>
      </c>
      <c r="R30" s="44"/>
      <c r="S30" s="9" t="n">
        <v>0</v>
      </c>
      <c r="T30" s="44" t="n">
        <f aca="false">S30</f>
        <v>0</v>
      </c>
      <c r="U30" s="9" t="n">
        <v>0</v>
      </c>
      <c r="V30" s="44" t="n">
        <f aca="false">U30</f>
        <v>0</v>
      </c>
      <c r="W30" s="44"/>
      <c r="X30" s="64"/>
      <c r="Y30" s="44"/>
      <c r="Z30" s="67"/>
      <c r="AA30" s="524"/>
      <c r="AB30" s="5" t="s">
        <v>43</v>
      </c>
      <c r="AF30" s="59"/>
      <c r="AJ30" s="525" t="s">
        <v>1104</v>
      </c>
    </row>
    <row r="31" customFormat="false" ht="19.4" hidden="false" customHeight="false" outlineLevel="0" collapsed="false">
      <c r="A31" s="11" t="s">
        <v>47</v>
      </c>
      <c r="B31" s="11" t="s">
        <v>38</v>
      </c>
      <c r="C31" s="29" t="n">
        <v>550470</v>
      </c>
      <c r="D31" s="4" t="s">
        <v>123</v>
      </c>
      <c r="E31" s="4" t="s">
        <v>124</v>
      </c>
      <c r="F31" s="5" t="s">
        <v>125</v>
      </c>
      <c r="G31" s="6" t="n">
        <v>2945</v>
      </c>
      <c r="H31" s="6" t="n">
        <f aca="false">G31</f>
        <v>2945</v>
      </c>
      <c r="I31" s="6" t="n">
        <v>3000</v>
      </c>
      <c r="J31" s="4" t="s">
        <v>126</v>
      </c>
      <c r="K31" s="7" t="n">
        <v>41457</v>
      </c>
      <c r="L31" s="8" t="n">
        <v>46935</v>
      </c>
      <c r="P31" s="9" t="n">
        <v>147500</v>
      </c>
      <c r="Q31" s="9" t="n">
        <f aca="false">P31</f>
        <v>147500</v>
      </c>
      <c r="S31" s="9" t="n">
        <v>147500</v>
      </c>
      <c r="T31" s="9" t="n">
        <f aca="false">S31</f>
        <v>147500</v>
      </c>
      <c r="U31" s="9" t="n">
        <v>147500</v>
      </c>
      <c r="V31" s="9" t="n">
        <f aca="false">U31</f>
        <v>147500</v>
      </c>
      <c r="W31" s="45" t="n">
        <f aca="false">U31/G31</f>
        <v>50.0848896434635</v>
      </c>
      <c r="X31" s="41" t="n">
        <f aca="false">SUM(U31-S31)/S31</f>
        <v>0</v>
      </c>
      <c r="Y31" s="9" t="s">
        <v>127</v>
      </c>
      <c r="Z31" s="42"/>
      <c r="AA31" s="524"/>
      <c r="AB31" s="5" t="s">
        <v>43</v>
      </c>
      <c r="AC31" s="4" t="s">
        <v>128</v>
      </c>
      <c r="AF31" s="59"/>
      <c r="AJ31" s="525" t="s">
        <v>1103</v>
      </c>
    </row>
    <row r="32" customFormat="false" ht="15" hidden="false" customHeight="false" outlineLevel="0" collapsed="false">
      <c r="A32" s="11" t="s">
        <v>47</v>
      </c>
      <c r="B32" s="11" t="s">
        <v>38</v>
      </c>
      <c r="C32" s="29" t="n">
        <v>550470</v>
      </c>
      <c r="D32" s="4" t="s">
        <v>123</v>
      </c>
      <c r="E32" s="4" t="s">
        <v>129</v>
      </c>
      <c r="F32" s="5" t="s">
        <v>130</v>
      </c>
      <c r="G32" s="6" t="n">
        <v>2103</v>
      </c>
      <c r="H32" s="6" t="n">
        <f aca="false">G32</f>
        <v>2103</v>
      </c>
      <c r="I32" s="6" t="n">
        <v>2000</v>
      </c>
      <c r="J32" s="4" t="s">
        <v>131</v>
      </c>
      <c r="K32" s="7" t="n">
        <v>45669</v>
      </c>
      <c r="L32" s="8" t="n">
        <v>51146</v>
      </c>
      <c r="N32" s="8" t="n">
        <v>47495</v>
      </c>
      <c r="O32" s="8" t="n">
        <v>49320</v>
      </c>
      <c r="P32" s="9" t="n">
        <v>220000</v>
      </c>
      <c r="Q32" s="9" t="n">
        <f aca="false">P32</f>
        <v>220000</v>
      </c>
      <c r="S32" s="9" t="n">
        <v>176200</v>
      </c>
      <c r="T32" s="9" t="n">
        <f aca="false">S32</f>
        <v>176200</v>
      </c>
      <c r="U32" s="9" t="n">
        <v>220000</v>
      </c>
      <c r="V32" s="9" t="n">
        <f aca="false">U32</f>
        <v>220000</v>
      </c>
      <c r="W32" s="45" t="n">
        <f aca="false">U32/G32</f>
        <v>104.612458392772</v>
      </c>
      <c r="X32" s="41" t="n">
        <f aca="false">SUM(U32-S32)/S32</f>
        <v>0.248581157775255</v>
      </c>
      <c r="Y32" s="9" t="s">
        <v>55</v>
      </c>
      <c r="Z32" s="42"/>
      <c r="AA32" s="524"/>
      <c r="AB32" s="5" t="s">
        <v>43</v>
      </c>
      <c r="AC32" s="4" t="s">
        <v>132</v>
      </c>
      <c r="AF32" s="59"/>
      <c r="AJ32" s="525" t="s">
        <v>1103</v>
      </c>
    </row>
    <row r="33" customFormat="false" ht="28.35" hidden="false" customHeight="false" outlineLevel="0" collapsed="false">
      <c r="A33" s="11" t="s">
        <v>47</v>
      </c>
      <c r="B33" s="11" t="s">
        <v>38</v>
      </c>
      <c r="C33" s="29" t="n">
        <v>550470</v>
      </c>
      <c r="D33" s="4" t="s">
        <v>123</v>
      </c>
      <c r="E33" s="4" t="s">
        <v>133</v>
      </c>
      <c r="F33" s="5" t="s">
        <v>134</v>
      </c>
      <c r="G33" s="6" t="n">
        <v>5667</v>
      </c>
      <c r="H33" s="6" t="n">
        <f aca="false">G33</f>
        <v>5667</v>
      </c>
      <c r="I33" s="6" t="n">
        <v>5500</v>
      </c>
      <c r="J33" s="4" t="s">
        <v>135</v>
      </c>
      <c r="K33" s="7" t="n">
        <v>45567</v>
      </c>
      <c r="L33" s="8" t="n">
        <v>51044</v>
      </c>
      <c r="N33" s="8" t="n">
        <v>47393</v>
      </c>
      <c r="P33" s="9" t="n">
        <v>150000</v>
      </c>
      <c r="Q33" s="9" t="n">
        <f aca="false">P33</f>
        <v>150000</v>
      </c>
      <c r="S33" s="9" t="n">
        <v>255000</v>
      </c>
      <c r="T33" s="9" t="n">
        <f aca="false">S33</f>
        <v>255000</v>
      </c>
      <c r="U33" s="9" t="n">
        <v>300000</v>
      </c>
      <c r="V33" s="9" t="n">
        <f aca="false">U33</f>
        <v>300000</v>
      </c>
      <c r="W33" s="45" t="n">
        <f aca="false">U33/G33</f>
        <v>52.9380624669137</v>
      </c>
      <c r="X33" s="41" t="n">
        <f aca="false">SUM(U33-S33)/S33</f>
        <v>0.176470588235294</v>
      </c>
      <c r="Y33" s="9" t="s">
        <v>55</v>
      </c>
      <c r="Z33" s="42"/>
      <c r="AA33" s="524"/>
      <c r="AB33" s="5" t="s">
        <v>43</v>
      </c>
      <c r="AC33" s="4" t="s">
        <v>136</v>
      </c>
      <c r="AF33" s="59"/>
      <c r="AJ33" s="525" t="s">
        <v>1103</v>
      </c>
    </row>
    <row r="34" customFormat="false" ht="15" hidden="false" customHeight="false" outlineLevel="0" collapsed="false">
      <c r="A34" s="11" t="s">
        <v>47</v>
      </c>
      <c r="B34" s="11" t="s">
        <v>38</v>
      </c>
      <c r="C34" s="29" t="n">
        <v>550470</v>
      </c>
      <c r="D34" s="4" t="s">
        <v>123</v>
      </c>
      <c r="E34" s="4" t="s">
        <v>137</v>
      </c>
      <c r="F34" s="5" t="s">
        <v>40</v>
      </c>
      <c r="G34" s="6" t="n">
        <v>1784</v>
      </c>
      <c r="H34" s="6" t="n">
        <f aca="false">G34</f>
        <v>1784</v>
      </c>
      <c r="I34" s="6" t="n">
        <v>1750</v>
      </c>
      <c r="J34" s="4" t="s">
        <v>138</v>
      </c>
      <c r="K34" s="7" t="n">
        <v>45457</v>
      </c>
      <c r="L34" s="8" t="n">
        <v>47282</v>
      </c>
      <c r="P34" s="9" t="n">
        <v>60700</v>
      </c>
      <c r="Q34" s="9" t="n">
        <f aca="false">P34</f>
        <v>60700</v>
      </c>
      <c r="S34" s="9" t="n">
        <v>99700</v>
      </c>
      <c r="T34" s="9" t="n">
        <f aca="false">S34</f>
        <v>99700</v>
      </c>
      <c r="U34" s="9" t="n">
        <v>120400</v>
      </c>
      <c r="V34" s="9" t="n">
        <f aca="false">U34</f>
        <v>120400</v>
      </c>
      <c r="W34" s="45" t="n">
        <f aca="false">U34/G34</f>
        <v>67.4887892376682</v>
      </c>
      <c r="X34" s="41" t="n">
        <f aca="false">SUM(U34-S34)/S34</f>
        <v>0.207622868605817</v>
      </c>
      <c r="Y34" s="9" t="s">
        <v>55</v>
      </c>
      <c r="Z34" s="42"/>
      <c r="AA34" s="524"/>
      <c r="AB34" s="5" t="s">
        <v>43</v>
      </c>
      <c r="AC34" s="4" t="s">
        <v>139</v>
      </c>
      <c r="AF34" s="59"/>
      <c r="AJ34" s="525" t="s">
        <v>1103</v>
      </c>
    </row>
    <row r="35" customFormat="false" ht="19.4" hidden="false" customHeight="false" outlineLevel="0" collapsed="false">
      <c r="A35" s="11" t="s">
        <v>47</v>
      </c>
      <c r="B35" s="11" t="s">
        <v>38</v>
      </c>
      <c r="C35" s="29" t="n">
        <v>550470</v>
      </c>
      <c r="D35" s="4" t="s">
        <v>123</v>
      </c>
      <c r="E35" s="4" t="s">
        <v>140</v>
      </c>
      <c r="F35" s="5" t="s">
        <v>40</v>
      </c>
      <c r="G35" s="6" t="n">
        <v>2075</v>
      </c>
      <c r="H35" s="6" t="n">
        <f aca="false">G35</f>
        <v>2075</v>
      </c>
      <c r="I35" s="6" t="n">
        <v>2000</v>
      </c>
      <c r="J35" s="4" t="s">
        <v>141</v>
      </c>
      <c r="K35" s="7" t="n">
        <v>45384</v>
      </c>
      <c r="L35" s="8" t="n">
        <v>47209</v>
      </c>
      <c r="O35" s="8" t="n">
        <v>46478</v>
      </c>
      <c r="P35" s="9" t="n">
        <v>133280</v>
      </c>
      <c r="Q35" s="9" t="n">
        <f aca="false">P35</f>
        <v>133280</v>
      </c>
      <c r="S35" s="9" t="n">
        <v>114700</v>
      </c>
      <c r="T35" s="9" t="n">
        <f aca="false">S35</f>
        <v>114700</v>
      </c>
      <c r="U35" s="9" t="n">
        <v>140100</v>
      </c>
      <c r="V35" s="9" t="n">
        <f aca="false">U35</f>
        <v>140100</v>
      </c>
      <c r="W35" s="45" t="n">
        <f aca="false">U35/G35</f>
        <v>67.5180722891566</v>
      </c>
      <c r="X35" s="41" t="n">
        <f aca="false">SUM(U35-S35)/S35</f>
        <v>0.221447253705318</v>
      </c>
      <c r="Y35" s="9" t="s">
        <v>55</v>
      </c>
      <c r="Z35" s="42"/>
      <c r="AA35" s="524"/>
      <c r="AB35" s="5" t="s">
        <v>43</v>
      </c>
      <c r="AC35" s="4" t="s">
        <v>142</v>
      </c>
      <c r="AF35" s="59"/>
      <c r="AJ35" s="525" t="s">
        <v>1103</v>
      </c>
    </row>
    <row r="36" customFormat="false" ht="15" hidden="false" customHeight="false" outlineLevel="0" collapsed="false">
      <c r="A36" s="11" t="s">
        <v>47</v>
      </c>
      <c r="B36" s="11" t="s">
        <v>38</v>
      </c>
      <c r="C36" s="29" t="n">
        <v>550470</v>
      </c>
      <c r="D36" s="4" t="s">
        <v>123</v>
      </c>
      <c r="E36" s="4" t="s">
        <v>143</v>
      </c>
      <c r="F36" s="5" t="s">
        <v>40</v>
      </c>
      <c r="G36" s="6" t="n">
        <v>2063</v>
      </c>
      <c r="H36" s="6" t="n">
        <f aca="false">G36</f>
        <v>2063</v>
      </c>
      <c r="I36" s="6" t="n">
        <v>2000</v>
      </c>
      <c r="J36" s="4" t="s">
        <v>144</v>
      </c>
      <c r="K36" s="7" t="n">
        <v>45516</v>
      </c>
      <c r="L36" s="8" t="n">
        <v>47341</v>
      </c>
      <c r="O36" s="8" t="n">
        <v>46610</v>
      </c>
      <c r="P36" s="9" t="n">
        <v>146450</v>
      </c>
      <c r="Q36" s="9" t="n">
        <f aca="false">P36</f>
        <v>146450</v>
      </c>
      <c r="S36" s="9" t="n">
        <v>120700</v>
      </c>
      <c r="T36" s="9" t="n">
        <f aca="false">S36</f>
        <v>120700</v>
      </c>
      <c r="U36" s="9" t="n">
        <v>139260</v>
      </c>
      <c r="V36" s="9" t="n">
        <f aca="false">U36</f>
        <v>139260</v>
      </c>
      <c r="W36" s="45" t="n">
        <f aca="false">U36/G36</f>
        <v>67.5036354823073</v>
      </c>
      <c r="X36" s="41" t="n">
        <f aca="false">SUM(U36-S36)/S36</f>
        <v>0.153769676884838</v>
      </c>
      <c r="Y36" s="9" t="s">
        <v>55</v>
      </c>
      <c r="Z36" s="42"/>
      <c r="AA36" s="524"/>
      <c r="AB36" s="5" t="s">
        <v>43</v>
      </c>
      <c r="AC36" s="4" t="s">
        <v>77</v>
      </c>
      <c r="AE36" s="60"/>
      <c r="AF36" s="62"/>
      <c r="AG36" s="60"/>
      <c r="AJ36" s="525" t="s">
        <v>1103</v>
      </c>
    </row>
    <row r="37" customFormat="false" ht="15" hidden="false" customHeight="false" outlineLevel="0" collapsed="false">
      <c r="A37" s="11" t="s">
        <v>47</v>
      </c>
      <c r="B37" s="11" t="s">
        <v>38</v>
      </c>
      <c r="C37" s="29" t="n">
        <v>550470</v>
      </c>
      <c r="D37" s="4" t="s">
        <v>123</v>
      </c>
      <c r="E37" s="4" t="s">
        <v>145</v>
      </c>
      <c r="F37" s="5" t="s">
        <v>40</v>
      </c>
      <c r="G37" s="6" t="n">
        <v>1796</v>
      </c>
      <c r="H37" s="6" t="n">
        <f aca="false">G37</f>
        <v>1796</v>
      </c>
      <c r="I37" s="6" t="n">
        <v>1750</v>
      </c>
      <c r="J37" s="4" t="s">
        <v>67</v>
      </c>
      <c r="M37" s="8" t="n">
        <v>45051</v>
      </c>
      <c r="P37" s="9" t="n">
        <v>0</v>
      </c>
      <c r="Q37" s="9" t="n">
        <f aca="false">P37</f>
        <v>0</v>
      </c>
      <c r="S37" s="9" t="n">
        <v>87300</v>
      </c>
      <c r="T37" s="9" t="n">
        <f aca="false">S37</f>
        <v>87300</v>
      </c>
      <c r="U37" s="9" t="n">
        <v>121240</v>
      </c>
      <c r="V37" s="9" t="n">
        <f aca="false">U37</f>
        <v>121240</v>
      </c>
      <c r="W37" s="45" t="n">
        <f aca="false">U37/G37</f>
        <v>67.5055679287305</v>
      </c>
      <c r="X37" s="41" t="n">
        <f aca="false">SUM(U37-S37)/S37</f>
        <v>0.388774341351661</v>
      </c>
      <c r="Y37" s="9" t="s">
        <v>55</v>
      </c>
      <c r="Z37" s="42"/>
      <c r="AA37" s="524"/>
      <c r="AB37" s="5" t="s">
        <v>43</v>
      </c>
      <c r="AC37" s="4" t="s">
        <v>68</v>
      </c>
      <c r="AD37" s="15" t="n">
        <v>72.5</v>
      </c>
      <c r="AE37" s="4" t="n">
        <v>3</v>
      </c>
      <c r="AF37" s="59" t="n">
        <v>13</v>
      </c>
      <c r="AG37" s="4" t="s">
        <v>146</v>
      </c>
      <c r="AJ37" s="525" t="s">
        <v>1104</v>
      </c>
    </row>
    <row r="38" customFormat="false" ht="15" hidden="false" customHeight="false" outlineLevel="0" collapsed="false">
      <c r="A38" s="11" t="s">
        <v>47</v>
      </c>
      <c r="B38" s="11" t="s">
        <v>38</v>
      </c>
      <c r="C38" s="29" t="n">
        <v>550470</v>
      </c>
      <c r="D38" s="4" t="s">
        <v>123</v>
      </c>
      <c r="E38" s="4" t="s">
        <v>147</v>
      </c>
      <c r="F38" s="5" t="s">
        <v>40</v>
      </c>
      <c r="G38" s="6" t="n">
        <v>1691</v>
      </c>
      <c r="H38" s="6" t="n">
        <f aca="false">G38</f>
        <v>1691</v>
      </c>
      <c r="I38" s="6" t="n">
        <v>1500</v>
      </c>
      <c r="J38" s="4" t="s">
        <v>148</v>
      </c>
      <c r="K38" s="7" t="n">
        <v>44795</v>
      </c>
      <c r="L38" s="8" t="n">
        <v>46620</v>
      </c>
      <c r="O38" s="8" t="n">
        <v>45890</v>
      </c>
      <c r="P38" s="9" t="n">
        <v>102705</v>
      </c>
      <c r="Q38" s="9" t="n">
        <f aca="false">P38</f>
        <v>102705</v>
      </c>
      <c r="S38" s="9" t="n">
        <v>102705</v>
      </c>
      <c r="T38" s="9" t="n">
        <f aca="false">S38</f>
        <v>102705</v>
      </c>
      <c r="U38" s="9" t="n">
        <v>114100</v>
      </c>
      <c r="V38" s="9" t="n">
        <f aca="false">U38</f>
        <v>114100</v>
      </c>
      <c r="W38" s="45" t="n">
        <f aca="false">U38/G38</f>
        <v>67.4748669426375</v>
      </c>
      <c r="X38" s="41" t="n">
        <f aca="false">SUM(U38-S38)/S38</f>
        <v>0.110948834039239</v>
      </c>
      <c r="Y38" s="9" t="s">
        <v>55</v>
      </c>
      <c r="Z38" s="42"/>
      <c r="AA38" s="524"/>
      <c r="AB38" s="5" t="s">
        <v>43</v>
      </c>
      <c r="AC38" s="4" t="s">
        <v>77</v>
      </c>
      <c r="AF38" s="59"/>
      <c r="AJ38" s="525" t="s">
        <v>1103</v>
      </c>
    </row>
    <row r="39" customFormat="false" ht="19.4" hidden="false" customHeight="false" outlineLevel="0" collapsed="false">
      <c r="A39" s="11" t="s">
        <v>47</v>
      </c>
      <c r="B39" s="11" t="s">
        <v>38</v>
      </c>
      <c r="C39" s="29" t="n">
        <v>550470</v>
      </c>
      <c r="D39" s="4" t="s">
        <v>123</v>
      </c>
      <c r="E39" s="4" t="s">
        <v>149</v>
      </c>
      <c r="F39" s="5" t="s">
        <v>40</v>
      </c>
      <c r="G39" s="6" t="n">
        <v>2055</v>
      </c>
      <c r="H39" s="6" t="n">
        <f aca="false">G39</f>
        <v>2055</v>
      </c>
      <c r="I39" s="6" t="n">
        <v>2000</v>
      </c>
      <c r="J39" s="4" t="s">
        <v>150</v>
      </c>
      <c r="K39" s="7" t="n">
        <v>45488</v>
      </c>
      <c r="L39" s="8" t="n">
        <v>47313</v>
      </c>
      <c r="O39" s="8" t="n">
        <v>46582</v>
      </c>
      <c r="P39" s="9" t="n">
        <v>181050</v>
      </c>
      <c r="Q39" s="9" t="n">
        <f aca="false">P39</f>
        <v>181050</v>
      </c>
      <c r="S39" s="9" t="n">
        <v>125050</v>
      </c>
      <c r="T39" s="9" t="n">
        <f aca="false">S39</f>
        <v>125050</v>
      </c>
      <c r="U39" s="9" t="n">
        <v>138700</v>
      </c>
      <c r="V39" s="9" t="n">
        <f aca="false">U39</f>
        <v>138700</v>
      </c>
      <c r="W39" s="45" t="n">
        <f aca="false">U39/G39</f>
        <v>67.4939172749392</v>
      </c>
      <c r="X39" s="41" t="n">
        <f aca="false">SUM(U39-S39)/S39</f>
        <v>0.109156337465014</v>
      </c>
      <c r="Y39" s="9" t="s">
        <v>55</v>
      </c>
      <c r="Z39" s="42"/>
      <c r="AA39" s="524"/>
      <c r="AB39" s="5" t="s">
        <v>43</v>
      </c>
      <c r="AC39" s="4" t="s">
        <v>151</v>
      </c>
      <c r="AE39" s="60"/>
      <c r="AF39" s="62"/>
      <c r="AG39" s="60"/>
      <c r="AJ39" s="525" t="s">
        <v>1103</v>
      </c>
    </row>
    <row r="40" customFormat="false" ht="15" hidden="false" customHeight="false" outlineLevel="0" collapsed="false">
      <c r="A40" s="11" t="s">
        <v>47</v>
      </c>
      <c r="B40" s="11" t="s">
        <v>38</v>
      </c>
      <c r="C40" s="29" t="n">
        <v>550470</v>
      </c>
      <c r="D40" s="4" t="s">
        <v>123</v>
      </c>
      <c r="E40" s="4" t="s">
        <v>152</v>
      </c>
      <c r="F40" s="5" t="s">
        <v>40</v>
      </c>
      <c r="G40" s="6" t="n">
        <v>1548</v>
      </c>
      <c r="H40" s="6" t="n">
        <f aca="false">G40</f>
        <v>1548</v>
      </c>
      <c r="I40" s="6" t="n">
        <v>1500</v>
      </c>
      <c r="J40" s="4" t="s">
        <v>153</v>
      </c>
      <c r="K40" s="7" t="n">
        <v>45609</v>
      </c>
      <c r="L40" s="8" t="n">
        <v>47434</v>
      </c>
      <c r="M40" s="8"/>
      <c r="N40" s="8"/>
      <c r="O40" s="8" t="n">
        <v>46703</v>
      </c>
      <c r="P40" s="9" t="n">
        <v>90090</v>
      </c>
      <c r="Q40" s="9" t="n">
        <f aca="false">P40</f>
        <v>90090</v>
      </c>
      <c r="R40" s="9"/>
      <c r="S40" s="9" t="n">
        <v>90100</v>
      </c>
      <c r="T40" s="9" t="n">
        <f aca="false">S40</f>
        <v>90100</v>
      </c>
      <c r="U40" s="9" t="n">
        <v>104500</v>
      </c>
      <c r="V40" s="9" t="n">
        <f aca="false">U40</f>
        <v>104500</v>
      </c>
      <c r="W40" s="45" t="n">
        <f aca="false">U40/G40</f>
        <v>67.5064599483204</v>
      </c>
      <c r="X40" s="41" t="n">
        <f aca="false">SUM(U40-S40)/S40</f>
        <v>0.159822419533851</v>
      </c>
      <c r="Y40" s="9" t="s">
        <v>55</v>
      </c>
      <c r="Z40" s="42"/>
      <c r="AA40" s="524"/>
      <c r="AB40" s="5" t="s">
        <v>43</v>
      </c>
      <c r="AC40" s="4" t="s">
        <v>154</v>
      </c>
      <c r="AD40" s="15"/>
      <c r="AE40" s="4"/>
      <c r="AF40" s="59"/>
      <c r="AG40" s="4"/>
      <c r="AI40" s="61"/>
      <c r="AJ40" s="525" t="s">
        <v>1103</v>
      </c>
    </row>
    <row r="41" customFormat="false" ht="15" hidden="false" customHeight="false" outlineLevel="0" collapsed="false">
      <c r="A41" s="11" t="s">
        <v>47</v>
      </c>
      <c r="B41" s="11" t="s">
        <v>38</v>
      </c>
      <c r="C41" s="29" t="n">
        <v>550470</v>
      </c>
      <c r="D41" s="4" t="s">
        <v>123</v>
      </c>
      <c r="E41" s="4" t="s">
        <v>155</v>
      </c>
      <c r="F41" s="5" t="s">
        <v>40</v>
      </c>
      <c r="G41" s="6" t="n">
        <v>1957</v>
      </c>
      <c r="H41" s="6" t="n">
        <f aca="false">G41</f>
        <v>1957</v>
      </c>
      <c r="I41" s="6" t="n">
        <v>2000</v>
      </c>
      <c r="J41" s="4" t="s">
        <v>153</v>
      </c>
      <c r="K41" s="7" t="n">
        <v>45609</v>
      </c>
      <c r="L41" s="8" t="n">
        <v>47434</v>
      </c>
      <c r="O41" s="8" t="n">
        <v>46703</v>
      </c>
      <c r="P41" s="9" t="n">
        <v>114253</v>
      </c>
      <c r="Q41" s="9" t="n">
        <f aca="false">P41</f>
        <v>114253</v>
      </c>
      <c r="S41" s="9" t="n">
        <v>115800</v>
      </c>
      <c r="T41" s="9" t="n">
        <f aca="false">S41</f>
        <v>115800</v>
      </c>
      <c r="U41" s="9" t="n">
        <v>132100</v>
      </c>
      <c r="V41" s="9" t="n">
        <f aca="false">U41</f>
        <v>132100</v>
      </c>
      <c r="W41" s="45" t="n">
        <f aca="false">U41/G41</f>
        <v>67.5012774655084</v>
      </c>
      <c r="X41" s="41" t="n">
        <f aca="false">SUM(U41-S41)/S41</f>
        <v>0.140759930915371</v>
      </c>
      <c r="Y41" s="9" t="s">
        <v>55</v>
      </c>
      <c r="Z41" s="42"/>
      <c r="AA41" s="524"/>
      <c r="AB41" s="5" t="s">
        <v>43</v>
      </c>
      <c r="AC41" s="4" t="s">
        <v>77</v>
      </c>
      <c r="AD41" s="58"/>
      <c r="AF41" s="59"/>
      <c r="AJ41" s="525" t="s">
        <v>1103</v>
      </c>
    </row>
    <row r="42" customFormat="false" ht="15" hidden="false" customHeight="false" outlineLevel="0" collapsed="false">
      <c r="A42" s="11" t="s">
        <v>47</v>
      </c>
      <c r="B42" s="11" t="s">
        <v>38</v>
      </c>
      <c r="C42" s="29" t="n">
        <v>550470</v>
      </c>
      <c r="D42" s="4" t="s">
        <v>123</v>
      </c>
      <c r="E42" s="4" t="s">
        <v>156</v>
      </c>
      <c r="F42" s="5" t="s">
        <v>40</v>
      </c>
      <c r="G42" s="6" t="n">
        <v>1845</v>
      </c>
      <c r="H42" s="6" t="n">
        <f aca="false">G42</f>
        <v>1845</v>
      </c>
      <c r="I42" s="6" t="n">
        <v>2000</v>
      </c>
      <c r="J42" s="4" t="s">
        <v>157</v>
      </c>
      <c r="K42" s="7" t="n">
        <v>45256</v>
      </c>
      <c r="L42" s="8" t="n">
        <v>47082</v>
      </c>
      <c r="O42" s="8" t="n">
        <v>46351</v>
      </c>
      <c r="P42" s="9" t="n">
        <v>115500</v>
      </c>
      <c r="Q42" s="9" t="n">
        <f aca="false">P42</f>
        <v>115500</v>
      </c>
      <c r="S42" s="9" t="n">
        <v>107400</v>
      </c>
      <c r="T42" s="9" t="n">
        <f aca="false">S42</f>
        <v>107400</v>
      </c>
      <c r="U42" s="9" t="n">
        <v>124500</v>
      </c>
      <c r="V42" s="9" t="n">
        <f aca="false">U42</f>
        <v>124500</v>
      </c>
      <c r="W42" s="45" t="n">
        <f aca="false">U42/G42</f>
        <v>67.479674796748</v>
      </c>
      <c r="X42" s="41" t="n">
        <f aca="false">SUM(U42-S42)/S42</f>
        <v>0.159217877094972</v>
      </c>
      <c r="Y42" s="9" t="s">
        <v>55</v>
      </c>
      <c r="Z42" s="42"/>
      <c r="AA42" s="524"/>
      <c r="AB42" s="5" t="s">
        <v>43</v>
      </c>
      <c r="AC42" s="4" t="s">
        <v>77</v>
      </c>
      <c r="AF42" s="59"/>
      <c r="AJ42" s="525" t="s">
        <v>1103</v>
      </c>
    </row>
    <row r="43" customFormat="false" ht="19.4" hidden="false" customHeight="false" outlineLevel="0" collapsed="false">
      <c r="A43" s="11" t="s">
        <v>47</v>
      </c>
      <c r="B43" s="11" t="s">
        <v>38</v>
      </c>
      <c r="C43" s="29" t="n">
        <v>550470</v>
      </c>
      <c r="D43" s="4" t="s">
        <v>123</v>
      </c>
      <c r="E43" s="4" t="s">
        <v>158</v>
      </c>
      <c r="F43" s="5" t="s">
        <v>40</v>
      </c>
      <c r="G43" s="6" t="n">
        <v>1528</v>
      </c>
      <c r="H43" s="6" t="n">
        <f aca="false">G43</f>
        <v>1528</v>
      </c>
      <c r="I43" s="6" t="n">
        <v>1500</v>
      </c>
      <c r="J43" s="4" t="s">
        <v>159</v>
      </c>
      <c r="K43" s="7" t="n">
        <v>45622</v>
      </c>
      <c r="L43" s="8" t="n">
        <v>47447</v>
      </c>
      <c r="O43" s="8" t="n">
        <v>46716</v>
      </c>
      <c r="P43" s="9" t="n">
        <v>54340</v>
      </c>
      <c r="Q43" s="9" t="n">
        <f aca="false">P43</f>
        <v>54340</v>
      </c>
      <c r="S43" s="9" t="n">
        <v>76600</v>
      </c>
      <c r="T43" s="9" t="n">
        <f aca="false">S43</f>
        <v>76600</v>
      </c>
      <c r="U43" s="9" t="n">
        <v>103100</v>
      </c>
      <c r="V43" s="9" t="n">
        <f aca="false">U43</f>
        <v>103100</v>
      </c>
      <c r="W43" s="45" t="n">
        <f aca="false">U43/G43</f>
        <v>67.4738219895288</v>
      </c>
      <c r="X43" s="41" t="n">
        <f aca="false">SUM(U43-S43)/S43</f>
        <v>0.345953002610966</v>
      </c>
      <c r="Y43" s="9" t="s">
        <v>55</v>
      </c>
      <c r="Z43" s="42"/>
      <c r="AA43" s="524"/>
      <c r="AB43" s="5" t="s">
        <v>43</v>
      </c>
      <c r="AC43" s="4" t="s">
        <v>160</v>
      </c>
      <c r="AD43" s="58"/>
      <c r="AF43" s="59" t="n">
        <v>2</v>
      </c>
      <c r="AG43" s="4" t="s">
        <v>146</v>
      </c>
      <c r="AJ43" s="525" t="s">
        <v>1103</v>
      </c>
    </row>
    <row r="44" customFormat="false" ht="15" hidden="false" customHeight="false" outlineLevel="0" collapsed="false">
      <c r="A44" s="11" t="s">
        <v>47</v>
      </c>
      <c r="B44" s="11" t="s">
        <v>38</v>
      </c>
      <c r="C44" s="29" t="n">
        <v>550470</v>
      </c>
      <c r="D44" s="4" t="s">
        <v>123</v>
      </c>
      <c r="E44" s="71" t="s">
        <v>161</v>
      </c>
      <c r="F44" s="5" t="s">
        <v>40</v>
      </c>
      <c r="G44" s="6" t="n">
        <v>1253</v>
      </c>
      <c r="H44" s="6" t="n">
        <f aca="false">G44</f>
        <v>1253</v>
      </c>
      <c r="I44" s="6" t="n">
        <v>1250</v>
      </c>
      <c r="J44" s="4" t="s">
        <v>162</v>
      </c>
      <c r="K44" s="7" t="n">
        <v>45617</v>
      </c>
      <c r="L44" s="8" t="n">
        <v>47442</v>
      </c>
      <c r="P44" s="9" t="n">
        <v>66700</v>
      </c>
      <c r="Q44" s="9" t="n">
        <f aca="false">P44</f>
        <v>66700</v>
      </c>
      <c r="S44" s="9" t="n">
        <v>66700</v>
      </c>
      <c r="T44" s="9" t="n">
        <f aca="false">S44</f>
        <v>66700</v>
      </c>
      <c r="U44" s="9" t="n">
        <v>78300</v>
      </c>
      <c r="V44" s="9" t="n">
        <f aca="false">U44</f>
        <v>78300</v>
      </c>
      <c r="W44" s="45" t="n">
        <f aca="false">U44/G44</f>
        <v>62.4900239425379</v>
      </c>
      <c r="X44" s="41" t="n">
        <f aca="false">SUM(U44-S44)/S44</f>
        <v>0.173913043478261</v>
      </c>
      <c r="Y44" s="9" t="s">
        <v>60</v>
      </c>
      <c r="Z44" s="42"/>
      <c r="AA44" s="524"/>
      <c r="AB44" s="5" t="s">
        <v>43</v>
      </c>
      <c r="AD44" s="58"/>
      <c r="AF44" s="59"/>
      <c r="AJ44" s="525" t="s">
        <v>1103</v>
      </c>
    </row>
    <row r="45" customFormat="false" ht="15" hidden="false" customHeight="false" outlineLevel="0" collapsed="false">
      <c r="A45" s="11" t="s">
        <v>47</v>
      </c>
      <c r="B45" s="11" t="s">
        <v>38</v>
      </c>
      <c r="C45" s="29" t="n">
        <v>550470</v>
      </c>
      <c r="D45" s="4" t="s">
        <v>123</v>
      </c>
      <c r="E45" s="4" t="s">
        <v>163</v>
      </c>
      <c r="F45" s="5" t="s">
        <v>40</v>
      </c>
      <c r="G45" s="6" t="n">
        <v>859</v>
      </c>
      <c r="H45" s="6" t="n">
        <f aca="false">G45</f>
        <v>859</v>
      </c>
      <c r="I45" s="6" t="n">
        <v>1000</v>
      </c>
      <c r="J45" s="4" t="s">
        <v>67</v>
      </c>
      <c r="M45" s="8" t="n">
        <v>44609</v>
      </c>
      <c r="P45" s="9" t="n">
        <v>0</v>
      </c>
      <c r="Q45" s="9" t="n">
        <f aca="false">P45</f>
        <v>0</v>
      </c>
      <c r="S45" s="9" t="n">
        <v>65750</v>
      </c>
      <c r="T45" s="9" t="n">
        <f aca="false">S45</f>
        <v>65750</v>
      </c>
      <c r="U45" s="9" t="n">
        <v>53700</v>
      </c>
      <c r="V45" s="9" t="n">
        <f aca="false">U45</f>
        <v>53700</v>
      </c>
      <c r="W45" s="45" t="n">
        <f aca="false">U45/G45</f>
        <v>62.5145518044237</v>
      </c>
      <c r="X45" s="41" t="n">
        <f aca="false">SUM(U45-S45)/S45</f>
        <v>-0.183269961977186</v>
      </c>
      <c r="Y45" s="9" t="s">
        <v>60</v>
      </c>
      <c r="Z45" s="42"/>
      <c r="AA45" s="524"/>
      <c r="AB45" s="5" t="s">
        <v>43</v>
      </c>
      <c r="AC45" s="4" t="s">
        <v>68</v>
      </c>
      <c r="AD45" s="15" t="n">
        <v>63</v>
      </c>
      <c r="AF45" s="59" t="n">
        <v>2</v>
      </c>
      <c r="AJ45" s="525" t="s">
        <v>1104</v>
      </c>
    </row>
    <row r="46" customFormat="false" ht="15" hidden="false" customHeight="false" outlineLevel="0" collapsed="false">
      <c r="A46" s="11" t="s">
        <v>47</v>
      </c>
      <c r="B46" s="11" t="s">
        <v>38</v>
      </c>
      <c r="C46" s="29" t="n">
        <v>550470</v>
      </c>
      <c r="D46" s="4" t="s">
        <v>123</v>
      </c>
      <c r="E46" s="4" t="s">
        <v>164</v>
      </c>
      <c r="F46" s="5" t="s">
        <v>165</v>
      </c>
      <c r="G46" s="6" t="n">
        <v>0</v>
      </c>
      <c r="H46" s="6" t="n">
        <f aca="false">G46</f>
        <v>0</v>
      </c>
      <c r="I46" s="6"/>
      <c r="J46" s="4" t="s">
        <v>81</v>
      </c>
      <c r="K46" s="7"/>
      <c r="L46" s="8"/>
      <c r="M46" s="8" t="s">
        <v>82</v>
      </c>
      <c r="N46" s="8"/>
      <c r="O46" s="8"/>
      <c r="P46" s="9" t="n">
        <v>0</v>
      </c>
      <c r="Q46" s="9" t="n">
        <f aca="false">P46</f>
        <v>0</v>
      </c>
      <c r="R46" s="9"/>
      <c r="S46" s="9" t="n">
        <v>1460</v>
      </c>
      <c r="T46" s="9" t="n">
        <f aca="false">S46</f>
        <v>1460</v>
      </c>
      <c r="U46" s="9" t="n">
        <v>0</v>
      </c>
      <c r="V46" s="9" t="n">
        <f aca="false">U46</f>
        <v>0</v>
      </c>
      <c r="W46" s="9"/>
      <c r="X46" s="41"/>
      <c r="Y46" s="9"/>
      <c r="Z46" s="42"/>
      <c r="AA46" s="524"/>
      <c r="AB46" s="5"/>
      <c r="AC46" s="4" t="s">
        <v>166</v>
      </c>
      <c r="AD46" s="15"/>
      <c r="AE46" s="4"/>
      <c r="AF46" s="59"/>
      <c r="AG46" s="4"/>
      <c r="AI46" s="73"/>
      <c r="AJ46" s="525" t="s">
        <v>1104</v>
      </c>
    </row>
    <row r="47" customFormat="false" ht="15" hidden="false" customHeight="false" outlineLevel="0" collapsed="false">
      <c r="A47" s="11" t="s">
        <v>47</v>
      </c>
      <c r="B47" s="11" t="s">
        <v>38</v>
      </c>
      <c r="C47" s="29" t="n">
        <v>550470</v>
      </c>
      <c r="D47" s="4" t="s">
        <v>123</v>
      </c>
      <c r="E47" s="4" t="s">
        <v>167</v>
      </c>
      <c r="F47" s="5" t="s">
        <v>168</v>
      </c>
      <c r="G47" s="6" t="n">
        <v>0</v>
      </c>
      <c r="H47" s="6" t="n">
        <f aca="false">G47</f>
        <v>0</v>
      </c>
      <c r="J47" s="4" t="s">
        <v>169</v>
      </c>
      <c r="K47" s="74" t="n">
        <v>35240</v>
      </c>
      <c r="L47" s="75" t="n">
        <v>68735</v>
      </c>
      <c r="M47" s="75"/>
      <c r="P47" s="9" t="n">
        <v>0</v>
      </c>
      <c r="Q47" s="9" t="n">
        <f aca="false">P47</f>
        <v>0</v>
      </c>
      <c r="S47" s="9" t="n">
        <v>0</v>
      </c>
      <c r="T47" s="9" t="n">
        <f aca="false">S47</f>
        <v>0</v>
      </c>
      <c r="U47" s="9" t="n">
        <v>0</v>
      </c>
      <c r="V47" s="9" t="n">
        <f aca="false">U47</f>
        <v>0</v>
      </c>
      <c r="W47" s="9"/>
      <c r="X47" s="41"/>
      <c r="Y47" s="9"/>
      <c r="Z47" s="42"/>
      <c r="AA47" s="524"/>
      <c r="AB47" s="5" t="s">
        <v>170</v>
      </c>
      <c r="AC47" s="4" t="s">
        <v>171</v>
      </c>
      <c r="AF47" s="59"/>
      <c r="AJ47" s="525" t="s">
        <v>1103</v>
      </c>
    </row>
    <row r="48" customFormat="false" ht="19.4" hidden="false" customHeight="false" outlineLevel="0" collapsed="false">
      <c r="A48" s="11" t="s">
        <v>47</v>
      </c>
      <c r="B48" s="11" t="s">
        <v>38</v>
      </c>
      <c r="C48" s="29" t="n">
        <v>550480</v>
      </c>
      <c r="D48" s="4" t="s">
        <v>173</v>
      </c>
      <c r="E48" s="4" t="s">
        <v>174</v>
      </c>
      <c r="F48" s="5" t="s">
        <v>49</v>
      </c>
      <c r="G48" s="6" t="n">
        <v>4958</v>
      </c>
      <c r="H48" s="6" t="n">
        <f aca="false">G48</f>
        <v>4958</v>
      </c>
      <c r="I48" s="6" t="n">
        <v>5000</v>
      </c>
      <c r="J48" s="4" t="s">
        <v>175</v>
      </c>
      <c r="K48" s="7" t="n">
        <v>45699</v>
      </c>
      <c r="L48" s="8" t="n">
        <v>47524</v>
      </c>
      <c r="O48" s="8" t="n">
        <v>46793</v>
      </c>
      <c r="P48" s="9" t="n">
        <v>187500</v>
      </c>
      <c r="Q48" s="9" t="n">
        <f aca="false">P48</f>
        <v>187500</v>
      </c>
      <c r="S48" s="9" t="n">
        <v>337100</v>
      </c>
      <c r="T48" s="9" t="n">
        <f aca="false">S48</f>
        <v>337100</v>
      </c>
      <c r="U48" s="9" t="n">
        <v>380000</v>
      </c>
      <c r="V48" s="9" t="n">
        <f aca="false">U48</f>
        <v>380000</v>
      </c>
      <c r="W48" s="45" t="n">
        <f aca="false">U48/G48</f>
        <v>76.6438079870916</v>
      </c>
      <c r="X48" s="41" t="n">
        <f aca="false">SUM(U48-S48)/S48</f>
        <v>0.127261940077128</v>
      </c>
      <c r="Y48" s="9" t="s">
        <v>55</v>
      </c>
      <c r="Z48" s="42"/>
      <c r="AA48" s="524"/>
      <c r="AB48" s="5" t="s">
        <v>43</v>
      </c>
      <c r="AC48" s="4" t="s">
        <v>176</v>
      </c>
      <c r="AD48" s="15" t="n">
        <v>68</v>
      </c>
      <c r="AE48" s="4" t="n">
        <v>1</v>
      </c>
      <c r="AF48" s="59" t="n">
        <v>13</v>
      </c>
      <c r="AG48" s="4" t="s">
        <v>177</v>
      </c>
      <c r="AJ48" s="525" t="s">
        <v>1103</v>
      </c>
    </row>
    <row r="49" customFormat="false" ht="15" hidden="false" customHeight="false" outlineLevel="0" collapsed="false">
      <c r="A49" s="11" t="s">
        <v>47</v>
      </c>
      <c r="B49" s="11" t="s">
        <v>38</v>
      </c>
      <c r="C49" s="29" t="n">
        <v>550480</v>
      </c>
      <c r="D49" s="4" t="s">
        <v>173</v>
      </c>
      <c r="E49" s="4" t="s">
        <v>178</v>
      </c>
      <c r="F49" s="5" t="s">
        <v>40</v>
      </c>
      <c r="G49" s="6" t="n">
        <v>1862</v>
      </c>
      <c r="H49" s="6" t="n">
        <f aca="false">G49</f>
        <v>1862</v>
      </c>
      <c r="I49" s="6" t="n">
        <v>2000</v>
      </c>
      <c r="J49" s="4" t="s">
        <v>179</v>
      </c>
      <c r="K49" s="7" t="n">
        <v>44452</v>
      </c>
      <c r="L49" s="8" t="n">
        <v>46277</v>
      </c>
      <c r="P49" s="9" t="n">
        <v>108170</v>
      </c>
      <c r="Q49" s="9" t="n">
        <f aca="false">P49</f>
        <v>108170</v>
      </c>
      <c r="S49" s="9" t="n">
        <v>107200</v>
      </c>
      <c r="T49" s="9" t="n">
        <f aca="false">S49</f>
        <v>107200</v>
      </c>
      <c r="U49" s="9" t="n">
        <v>114500</v>
      </c>
      <c r="V49" s="9" t="n">
        <f aca="false">U49</f>
        <v>114500</v>
      </c>
      <c r="W49" s="45" t="n">
        <f aca="false">U49/G49</f>
        <v>61.4930182599356</v>
      </c>
      <c r="X49" s="41" t="n">
        <f aca="false">SUM(U49-S49)/S49</f>
        <v>0.0680970149253731</v>
      </c>
      <c r="Y49" s="9" t="s">
        <v>60</v>
      </c>
      <c r="Z49" s="42"/>
      <c r="AA49" s="524"/>
      <c r="AB49" s="5" t="s">
        <v>43</v>
      </c>
      <c r="AF49" s="59"/>
      <c r="AJ49" s="525" t="s">
        <v>1103</v>
      </c>
    </row>
    <row r="50" customFormat="false" ht="15" hidden="false" customHeight="false" outlineLevel="0" collapsed="false">
      <c r="A50" s="11" t="s">
        <v>47</v>
      </c>
      <c r="B50" s="11" t="s">
        <v>38</v>
      </c>
      <c r="C50" s="29" t="n">
        <v>550480</v>
      </c>
      <c r="D50" s="4" t="s">
        <v>173</v>
      </c>
      <c r="E50" s="4" t="s">
        <v>93</v>
      </c>
      <c r="F50" s="5" t="s">
        <v>40</v>
      </c>
      <c r="G50" s="6" t="n">
        <v>1818</v>
      </c>
      <c r="H50" s="6" t="n">
        <f aca="false">G50</f>
        <v>1818</v>
      </c>
      <c r="I50" s="6" t="n">
        <v>2000</v>
      </c>
      <c r="J50" s="4" t="s">
        <v>67</v>
      </c>
      <c r="M50" s="7" t="n">
        <v>45609</v>
      </c>
      <c r="P50" s="9" t="n">
        <v>0</v>
      </c>
      <c r="Q50" s="9" t="n">
        <f aca="false">P50</f>
        <v>0</v>
      </c>
      <c r="S50" s="9" t="n">
        <v>105500</v>
      </c>
      <c r="T50" s="9" t="n">
        <f aca="false">S50</f>
        <v>105500</v>
      </c>
      <c r="U50" s="9" t="n">
        <v>109100</v>
      </c>
      <c r="V50" s="9" t="n">
        <f aca="false">U50</f>
        <v>109100</v>
      </c>
      <c r="W50" s="45" t="n">
        <f aca="false">U50/G50</f>
        <v>60.01100110011</v>
      </c>
      <c r="X50" s="41" t="n">
        <f aca="false">SUM(U50-S50)/S50</f>
        <v>0.0341232227488152</v>
      </c>
      <c r="Y50" s="9" t="s">
        <v>127</v>
      </c>
      <c r="Z50" s="42"/>
      <c r="AA50" s="524"/>
      <c r="AB50" s="5" t="s">
        <v>43</v>
      </c>
      <c r="AC50" s="4" t="s">
        <v>68</v>
      </c>
      <c r="AD50" s="15" t="n">
        <v>65</v>
      </c>
      <c r="AE50" s="4" t="n">
        <v>4</v>
      </c>
      <c r="AF50" s="59" t="n">
        <v>6</v>
      </c>
      <c r="AJ50" s="525" t="s">
        <v>1104</v>
      </c>
    </row>
    <row r="51" customFormat="false" ht="15" hidden="false" customHeight="false" outlineLevel="0" collapsed="false">
      <c r="A51" s="11" t="s">
        <v>47</v>
      </c>
      <c r="B51" s="11" t="s">
        <v>38</v>
      </c>
      <c r="C51" s="29" t="n">
        <v>550480</v>
      </c>
      <c r="D51" s="4" t="s">
        <v>173</v>
      </c>
      <c r="E51" s="4" t="s">
        <v>94</v>
      </c>
      <c r="F51" s="5" t="s">
        <v>40</v>
      </c>
      <c r="G51" s="6" t="n">
        <v>1808</v>
      </c>
      <c r="H51" s="6" t="n">
        <f aca="false">G51</f>
        <v>1808</v>
      </c>
      <c r="I51" s="6" t="n">
        <v>2000</v>
      </c>
      <c r="J51" s="4" t="s">
        <v>67</v>
      </c>
      <c r="M51" s="7" t="n">
        <v>45609</v>
      </c>
      <c r="P51" s="9" t="n">
        <v>0</v>
      </c>
      <c r="Q51" s="9" t="n">
        <f aca="false">P51</f>
        <v>0</v>
      </c>
      <c r="S51" s="9" t="n">
        <v>108800</v>
      </c>
      <c r="T51" s="9" t="n">
        <f aca="false">S51</f>
        <v>108800</v>
      </c>
      <c r="U51" s="9" t="n">
        <v>108500</v>
      </c>
      <c r="V51" s="9" t="n">
        <f aca="false">U51</f>
        <v>108500</v>
      </c>
      <c r="W51" s="45" t="n">
        <f aca="false">U51/G51</f>
        <v>60.0110619469027</v>
      </c>
      <c r="X51" s="41" t="n">
        <f aca="false">SUM(U51-S51)/S51</f>
        <v>-0.00275735294117647</v>
      </c>
      <c r="Y51" s="9" t="s">
        <v>127</v>
      </c>
      <c r="Z51" s="42"/>
      <c r="AA51" s="524"/>
      <c r="AB51" s="5" t="s">
        <v>43</v>
      </c>
      <c r="AC51" s="4" t="s">
        <v>68</v>
      </c>
      <c r="AD51" s="15" t="n">
        <v>65</v>
      </c>
      <c r="AE51" s="4" t="n">
        <v>4</v>
      </c>
      <c r="AF51" s="59" t="n">
        <v>6</v>
      </c>
      <c r="AJ51" s="525" t="s">
        <v>1104</v>
      </c>
    </row>
    <row r="52" customFormat="false" ht="15" hidden="false" customHeight="false" outlineLevel="0" collapsed="false">
      <c r="A52" s="11" t="s">
        <v>47</v>
      </c>
      <c r="B52" s="11" t="s">
        <v>38</v>
      </c>
      <c r="C52" s="29" t="n">
        <v>550480</v>
      </c>
      <c r="D52" s="4" t="s">
        <v>173</v>
      </c>
      <c r="E52" s="4" t="s">
        <v>118</v>
      </c>
      <c r="F52" s="5" t="s">
        <v>40</v>
      </c>
      <c r="G52" s="6" t="n">
        <v>1672</v>
      </c>
      <c r="H52" s="6" t="n">
        <f aca="false">G52</f>
        <v>1672</v>
      </c>
      <c r="I52" s="6" t="n">
        <v>1500</v>
      </c>
      <c r="J52" s="4" t="s">
        <v>67</v>
      </c>
      <c r="M52" s="8" t="n">
        <v>45457</v>
      </c>
      <c r="P52" s="9" t="n">
        <v>0</v>
      </c>
      <c r="Q52" s="9" t="n">
        <f aca="false">P52</f>
        <v>0</v>
      </c>
      <c r="S52" s="9" t="n">
        <v>94400</v>
      </c>
      <c r="T52" s="9" t="n">
        <f aca="false">S52</f>
        <v>94400</v>
      </c>
      <c r="U52" s="9" t="n">
        <v>97800</v>
      </c>
      <c r="V52" s="9" t="n">
        <f aca="false">U52</f>
        <v>97800</v>
      </c>
      <c r="W52" s="45" t="n">
        <f aca="false">U52/G52</f>
        <v>58.4928229665072</v>
      </c>
      <c r="X52" s="41" t="n">
        <f aca="false">SUM(U52-S52)/S52</f>
        <v>0.0360169491525424</v>
      </c>
      <c r="Y52" s="9" t="s">
        <v>55</v>
      </c>
      <c r="Z52" s="42"/>
      <c r="AA52" s="524"/>
      <c r="AB52" s="5" t="s">
        <v>43</v>
      </c>
      <c r="AC52" s="4" t="s">
        <v>119</v>
      </c>
      <c r="AD52" s="15" t="n">
        <v>65</v>
      </c>
      <c r="AE52" s="4" t="n">
        <v>1</v>
      </c>
      <c r="AF52" s="59" t="n">
        <v>2</v>
      </c>
      <c r="AG52" s="4" t="s">
        <v>57</v>
      </c>
      <c r="AJ52" s="525" t="s">
        <v>1104</v>
      </c>
    </row>
    <row r="53" customFormat="false" ht="15" hidden="false" customHeight="false" outlineLevel="0" collapsed="false">
      <c r="A53" s="11" t="s">
        <v>47</v>
      </c>
      <c r="B53" s="11" t="s">
        <v>38</v>
      </c>
      <c r="C53" s="29" t="n">
        <v>550480</v>
      </c>
      <c r="D53" s="4" t="s">
        <v>173</v>
      </c>
      <c r="E53" s="4" t="s">
        <v>180</v>
      </c>
      <c r="F53" s="5" t="s">
        <v>40</v>
      </c>
      <c r="G53" s="6" t="n">
        <v>995</v>
      </c>
      <c r="H53" s="6" t="n">
        <f aca="false">G53</f>
        <v>995</v>
      </c>
      <c r="I53" s="6" t="n">
        <v>1000</v>
      </c>
      <c r="J53" s="4" t="s">
        <v>153</v>
      </c>
      <c r="K53" s="7" t="n">
        <v>45609</v>
      </c>
      <c r="L53" s="8" t="n">
        <v>47434</v>
      </c>
      <c r="O53" s="8" t="n">
        <v>46703</v>
      </c>
      <c r="P53" s="9" t="n">
        <v>61928</v>
      </c>
      <c r="Q53" s="9" t="n">
        <f aca="false">P53</f>
        <v>61928</v>
      </c>
      <c r="S53" s="6" t="n">
        <v>61200</v>
      </c>
      <c r="T53" s="9" t="n">
        <f aca="false">S53</f>
        <v>61200</v>
      </c>
      <c r="U53" s="6" t="n">
        <v>57200</v>
      </c>
      <c r="V53" s="9" t="n">
        <f aca="false">U53</f>
        <v>57200</v>
      </c>
      <c r="W53" s="45" t="n">
        <f aca="false">U53/G53</f>
        <v>57.4874371859297</v>
      </c>
      <c r="X53" s="41" t="n">
        <f aca="false">SUM(U53-S53)/S53</f>
        <v>-0.065359477124183</v>
      </c>
      <c r="Y53" s="9" t="s">
        <v>127</v>
      </c>
      <c r="Z53" s="42"/>
      <c r="AA53" s="524"/>
      <c r="AB53" s="5" t="s">
        <v>43</v>
      </c>
      <c r="AC53" s="4" t="s">
        <v>77</v>
      </c>
      <c r="AD53" s="58"/>
      <c r="AF53" s="59"/>
      <c r="AJ53" s="525" t="s">
        <v>1103</v>
      </c>
    </row>
    <row r="54" customFormat="false" ht="28.35" hidden="false" customHeight="false" outlineLevel="0" collapsed="false">
      <c r="A54" s="11" t="s">
        <v>47</v>
      </c>
      <c r="B54" s="11" t="s">
        <v>38</v>
      </c>
      <c r="C54" s="29" t="n">
        <v>550480</v>
      </c>
      <c r="D54" s="4" t="s">
        <v>173</v>
      </c>
      <c r="E54" s="40" t="s">
        <v>181</v>
      </c>
      <c r="F54" s="5" t="s">
        <v>168</v>
      </c>
      <c r="G54" s="6" t="n">
        <v>0</v>
      </c>
      <c r="H54" s="6" t="n">
        <f aca="false">G54</f>
        <v>0</v>
      </c>
      <c r="J54" s="4" t="s">
        <v>169</v>
      </c>
      <c r="K54" s="7" t="n">
        <v>39295</v>
      </c>
      <c r="L54" s="8" t="n">
        <v>46599</v>
      </c>
      <c r="N54" s="8" t="n">
        <v>45870</v>
      </c>
      <c r="P54" s="9" t="n">
        <v>903</v>
      </c>
      <c r="Q54" s="9" t="n">
        <f aca="false">P54</f>
        <v>903</v>
      </c>
      <c r="S54" s="6" t="n">
        <v>625</v>
      </c>
      <c r="T54" s="9" t="n">
        <f aca="false">S54</f>
        <v>625</v>
      </c>
      <c r="U54" s="6" t="n">
        <v>625</v>
      </c>
      <c r="V54" s="9" t="n">
        <f aca="false">U54</f>
        <v>625</v>
      </c>
      <c r="W54" s="45"/>
      <c r="X54" s="41"/>
      <c r="Y54" s="9"/>
      <c r="Z54" s="42"/>
      <c r="AA54" s="524"/>
      <c r="AB54" s="5" t="s">
        <v>43</v>
      </c>
      <c r="AC54" s="4" t="s">
        <v>182</v>
      </c>
      <c r="AF54" s="59"/>
      <c r="AJ54" s="525" t="s">
        <v>1103</v>
      </c>
    </row>
    <row r="55" customFormat="false" ht="15" hidden="false" customHeight="false" outlineLevel="0" collapsed="false">
      <c r="A55" s="11" t="s">
        <v>47</v>
      </c>
      <c r="B55" s="11" t="s">
        <v>38</v>
      </c>
      <c r="C55" s="29" t="n">
        <v>550530</v>
      </c>
      <c r="D55" s="4" t="s">
        <v>184</v>
      </c>
      <c r="E55" s="4" t="s">
        <v>39</v>
      </c>
      <c r="F55" s="5" t="s">
        <v>185</v>
      </c>
      <c r="G55" s="43" t="n">
        <v>9884</v>
      </c>
      <c r="H55" s="9" t="n">
        <f aca="false">G55</f>
        <v>9884</v>
      </c>
      <c r="I55" s="9" t="n">
        <v>10000</v>
      </c>
      <c r="J55" s="4" t="s">
        <v>186</v>
      </c>
      <c r="K55" s="7" t="n">
        <v>44856</v>
      </c>
      <c r="L55" s="8" t="n">
        <v>47411</v>
      </c>
      <c r="N55" s="8" t="n">
        <v>46682</v>
      </c>
      <c r="P55" s="44" t="n">
        <v>580000</v>
      </c>
      <c r="Q55" s="9" t="n">
        <f aca="false">P55</f>
        <v>580000</v>
      </c>
      <c r="R55" s="44" t="n">
        <f aca="false">Q55</f>
        <v>580000</v>
      </c>
      <c r="S55" s="44" t="n">
        <v>580000</v>
      </c>
      <c r="T55" s="9" t="n">
        <f aca="false">S55</f>
        <v>580000</v>
      </c>
      <c r="U55" s="44" t="n">
        <v>607100</v>
      </c>
      <c r="V55" s="9" t="n">
        <f aca="false">U55</f>
        <v>607100</v>
      </c>
      <c r="W55" s="45" t="n">
        <f aca="false">U55/G55</f>
        <v>61.4225010117361</v>
      </c>
      <c r="X55" s="41" t="n">
        <f aca="false">SUM(U55-S55)/S55</f>
        <v>0.0467241379310345</v>
      </c>
      <c r="Y55" s="9" t="s">
        <v>55</v>
      </c>
      <c r="Z55" s="42"/>
      <c r="AA55" s="43" t="n">
        <v>10650000</v>
      </c>
      <c r="AB55" s="5" t="s">
        <v>170</v>
      </c>
      <c r="AF55" s="59"/>
      <c r="AJ55" s="525" t="s">
        <v>1103</v>
      </c>
    </row>
    <row r="56" customFormat="false" ht="19.4" hidden="false" customHeight="false" outlineLevel="0" collapsed="false">
      <c r="A56" s="11" t="s">
        <v>189</v>
      </c>
      <c r="B56" s="11" t="s">
        <v>38</v>
      </c>
      <c r="C56" s="29" t="n">
        <v>550410</v>
      </c>
      <c r="D56" s="4" t="s">
        <v>190</v>
      </c>
      <c r="E56" s="4" t="s">
        <v>191</v>
      </c>
      <c r="F56" s="5" t="s">
        <v>192</v>
      </c>
      <c r="G56" s="6" t="n">
        <v>11225</v>
      </c>
      <c r="H56" s="6" t="n">
        <f aca="false">G56</f>
        <v>11225</v>
      </c>
      <c r="I56" s="6" t="n">
        <v>10000</v>
      </c>
      <c r="J56" s="4" t="s">
        <v>193</v>
      </c>
      <c r="K56" s="7" t="n">
        <v>44729</v>
      </c>
      <c r="L56" s="8" t="n">
        <v>50207</v>
      </c>
      <c r="N56" s="7" t="n">
        <v>46555</v>
      </c>
      <c r="O56" s="7" t="n">
        <v>48381</v>
      </c>
      <c r="P56" s="9" t="n">
        <v>625000</v>
      </c>
      <c r="Q56" s="9" t="n">
        <f aca="false">P56</f>
        <v>625000</v>
      </c>
      <c r="S56" s="9" t="n">
        <v>750000</v>
      </c>
      <c r="T56" s="9" t="n">
        <f aca="false">S56</f>
        <v>750000</v>
      </c>
      <c r="U56" s="9" t="n">
        <v>650000</v>
      </c>
      <c r="V56" s="9" t="n">
        <f aca="false">U56</f>
        <v>650000</v>
      </c>
      <c r="W56" s="45" t="n">
        <f aca="false">U56/G56</f>
        <v>57.9064587973274</v>
      </c>
      <c r="X56" s="41" t="n">
        <f aca="false">SUM(U56-S56)/S56</f>
        <v>-0.133333333333333</v>
      </c>
      <c r="Y56" s="9" t="s">
        <v>55</v>
      </c>
      <c r="Z56" s="42"/>
      <c r="AA56" s="526"/>
      <c r="AB56" s="5" t="s">
        <v>43</v>
      </c>
      <c r="AC56" s="4" t="s">
        <v>194</v>
      </c>
      <c r="AJ56" s="525" t="s">
        <v>1103</v>
      </c>
    </row>
    <row r="57" customFormat="false" ht="15" hidden="false" customHeight="false" outlineLevel="0" collapsed="false">
      <c r="A57" s="11" t="s">
        <v>189</v>
      </c>
      <c r="B57" s="11" t="s">
        <v>38</v>
      </c>
      <c r="C57" s="29" t="n">
        <v>550410</v>
      </c>
      <c r="D57" s="4" t="s">
        <v>190</v>
      </c>
      <c r="E57" s="4" t="s">
        <v>195</v>
      </c>
      <c r="F57" s="5" t="s">
        <v>90</v>
      </c>
      <c r="G57" s="6" t="n">
        <v>2847</v>
      </c>
      <c r="H57" s="6" t="n">
        <f aca="false">G57</f>
        <v>2847</v>
      </c>
      <c r="I57" s="6" t="n">
        <v>3000</v>
      </c>
      <c r="J57" s="4" t="s">
        <v>67</v>
      </c>
      <c r="M57" s="8" t="n">
        <v>45219</v>
      </c>
      <c r="P57" s="9" t="n">
        <v>0</v>
      </c>
      <c r="Q57" s="9" t="n">
        <f aca="false">P57</f>
        <v>0</v>
      </c>
      <c r="S57" s="9" t="n">
        <v>170000</v>
      </c>
      <c r="T57" s="9" t="n">
        <f aca="false">S57</f>
        <v>170000</v>
      </c>
      <c r="U57" s="9" t="n">
        <v>185100</v>
      </c>
      <c r="V57" s="9" t="n">
        <f aca="false">U57</f>
        <v>185100</v>
      </c>
      <c r="W57" s="45" t="n">
        <f aca="false">U57/G57</f>
        <v>65.0158061116965</v>
      </c>
      <c r="X57" s="41" t="n">
        <f aca="false">SUM(U57-S57)/S57</f>
        <v>0.0888235294117647</v>
      </c>
      <c r="Y57" s="9" t="s">
        <v>55</v>
      </c>
      <c r="Z57" s="42"/>
      <c r="AA57" s="526"/>
      <c r="AB57" s="5" t="s">
        <v>43</v>
      </c>
      <c r="AC57" s="4" t="s">
        <v>68</v>
      </c>
      <c r="AD57" s="15" t="n">
        <v>70</v>
      </c>
      <c r="AE57" s="4" t="n">
        <v>6</v>
      </c>
      <c r="AF57" s="59" t="n">
        <v>20</v>
      </c>
      <c r="AG57" s="4" t="s">
        <v>196</v>
      </c>
      <c r="AJ57" s="525" t="s">
        <v>1104</v>
      </c>
    </row>
    <row r="58" customFormat="false" ht="15" hidden="false" customHeight="false" outlineLevel="0" collapsed="false">
      <c r="A58" s="11" t="s">
        <v>189</v>
      </c>
      <c r="B58" s="11" t="s">
        <v>38</v>
      </c>
      <c r="C58" s="29" t="n">
        <v>550410</v>
      </c>
      <c r="D58" s="4" t="s">
        <v>190</v>
      </c>
      <c r="E58" s="4" t="s">
        <v>94</v>
      </c>
      <c r="F58" s="5" t="s">
        <v>90</v>
      </c>
      <c r="G58" s="6" t="n">
        <v>2651</v>
      </c>
      <c r="H58" s="6" t="n">
        <f aca="false">G58</f>
        <v>2651</v>
      </c>
      <c r="I58" s="6" t="n">
        <v>2500</v>
      </c>
      <c r="J58" s="4" t="s">
        <v>67</v>
      </c>
      <c r="K58" s="7"/>
      <c r="L58" s="8"/>
      <c r="M58" s="8" t="n">
        <v>44124</v>
      </c>
      <c r="N58" s="8"/>
      <c r="O58" s="8"/>
      <c r="P58" s="9" t="n">
        <v>0</v>
      </c>
      <c r="Q58" s="9" t="n">
        <f aca="false">P58</f>
        <v>0</v>
      </c>
      <c r="R58" s="9"/>
      <c r="S58" s="9" t="n">
        <v>172000</v>
      </c>
      <c r="T58" s="9" t="n">
        <f aca="false">S58</f>
        <v>172000</v>
      </c>
      <c r="U58" s="9" t="n">
        <v>181600</v>
      </c>
      <c r="V58" s="9" t="n">
        <f aca="false">U58</f>
        <v>181600</v>
      </c>
      <c r="W58" s="45" t="n">
        <f aca="false">U58/G58</f>
        <v>68.5024519049415</v>
      </c>
      <c r="X58" s="41" t="n">
        <f aca="false">SUM(U58-S58)/S58</f>
        <v>0.0558139534883721</v>
      </c>
      <c r="Y58" s="9" t="s">
        <v>55</v>
      </c>
      <c r="Z58" s="42"/>
      <c r="AA58" s="526"/>
      <c r="AB58" s="5" t="s">
        <v>43</v>
      </c>
      <c r="AC58" s="4" t="s">
        <v>68</v>
      </c>
      <c r="AD58" s="15" t="n">
        <v>72.5</v>
      </c>
      <c r="AE58" s="4" t="n">
        <v>6</v>
      </c>
      <c r="AF58" s="59" t="n">
        <v>20</v>
      </c>
      <c r="AG58" s="4" t="s">
        <v>196</v>
      </c>
      <c r="AI58" s="73"/>
      <c r="AJ58" s="525" t="s">
        <v>1104</v>
      </c>
    </row>
    <row r="59" customFormat="false" ht="15" hidden="false" customHeight="false" outlineLevel="0" collapsed="false">
      <c r="A59" s="11" t="s">
        <v>189</v>
      </c>
      <c r="B59" s="11" t="s">
        <v>38</v>
      </c>
      <c r="C59" s="29" t="n">
        <v>550410</v>
      </c>
      <c r="D59" s="4" t="s">
        <v>190</v>
      </c>
      <c r="E59" s="4" t="s">
        <v>118</v>
      </c>
      <c r="F59" s="5" t="s">
        <v>90</v>
      </c>
      <c r="G59" s="6" t="n">
        <v>1197</v>
      </c>
      <c r="H59" s="6" t="n">
        <f aca="false">G59</f>
        <v>1197</v>
      </c>
      <c r="I59" s="6" t="n">
        <v>1000</v>
      </c>
      <c r="J59" s="4" t="s">
        <v>197</v>
      </c>
      <c r="K59" s="7" t="n">
        <v>44362</v>
      </c>
      <c r="L59" s="8" t="n">
        <v>48013</v>
      </c>
      <c r="M59" s="8"/>
      <c r="N59" s="8" t="n">
        <v>46197</v>
      </c>
      <c r="O59" s="8" t="n">
        <v>46197</v>
      </c>
      <c r="P59" s="9" t="n">
        <v>80000</v>
      </c>
      <c r="Q59" s="9" t="n">
        <f aca="false">P59</f>
        <v>80000</v>
      </c>
      <c r="R59" s="9"/>
      <c r="S59" s="9" t="n">
        <v>80000</v>
      </c>
      <c r="T59" s="9" t="n">
        <f aca="false">S59</f>
        <v>80000</v>
      </c>
      <c r="U59" s="9" t="n">
        <v>80800</v>
      </c>
      <c r="V59" s="9" t="n">
        <f aca="false">U59</f>
        <v>80800</v>
      </c>
      <c r="W59" s="45" t="n">
        <f aca="false">U59/G59</f>
        <v>67.5020885547201</v>
      </c>
      <c r="X59" s="41" t="n">
        <f aca="false">SUM(U59-S59)/S59</f>
        <v>0.01</v>
      </c>
      <c r="Y59" s="9" t="s">
        <v>55</v>
      </c>
      <c r="Z59" s="42"/>
      <c r="AA59" s="526"/>
      <c r="AB59" s="5" t="s">
        <v>43</v>
      </c>
      <c r="AC59" s="4" t="s">
        <v>198</v>
      </c>
      <c r="AD59" s="15"/>
      <c r="AE59" s="4"/>
      <c r="AF59" s="59"/>
      <c r="AG59" s="4"/>
      <c r="AI59" s="73"/>
      <c r="AJ59" s="525" t="s">
        <v>1103</v>
      </c>
    </row>
    <row r="60" customFormat="false" ht="15" hidden="false" customHeight="false" outlineLevel="0" collapsed="false">
      <c r="A60" s="11" t="s">
        <v>106</v>
      </c>
      <c r="B60" s="11" t="s">
        <v>38</v>
      </c>
      <c r="C60" s="29" t="n">
        <v>550795</v>
      </c>
      <c r="D60" s="4" t="s">
        <v>200</v>
      </c>
      <c r="E60" s="4" t="s">
        <v>181</v>
      </c>
      <c r="F60" s="5" t="s">
        <v>201</v>
      </c>
      <c r="G60" s="6" t="n">
        <v>1330</v>
      </c>
      <c r="H60" s="6" t="n">
        <f aca="false">G60</f>
        <v>1330</v>
      </c>
      <c r="J60" s="4" t="s">
        <v>81</v>
      </c>
      <c r="M60" s="8" t="n">
        <v>43670</v>
      </c>
      <c r="P60" s="9" t="n">
        <v>0</v>
      </c>
      <c r="Q60" s="9" t="n">
        <f aca="false">P60</f>
        <v>0</v>
      </c>
      <c r="S60" s="9" t="n">
        <v>25000</v>
      </c>
      <c r="T60" s="9" t="n">
        <f aca="false">S60</f>
        <v>25000</v>
      </c>
      <c r="U60" s="9" t="n">
        <v>25000</v>
      </c>
      <c r="V60" s="9" t="n">
        <f aca="false">U60</f>
        <v>25000</v>
      </c>
      <c r="W60" s="45" t="n">
        <f aca="false">U60/G60</f>
        <v>18.796992481203</v>
      </c>
      <c r="X60" s="41" t="n">
        <f aca="false">SUM(U60-S60)/S60</f>
        <v>0</v>
      </c>
      <c r="Y60" s="9" t="s">
        <v>60</v>
      </c>
      <c r="Z60" s="42"/>
      <c r="AA60" s="524"/>
      <c r="AB60" s="5" t="s">
        <v>43</v>
      </c>
      <c r="AF60" s="59"/>
      <c r="AJ60" s="525" t="s">
        <v>1104</v>
      </c>
    </row>
    <row r="61" customFormat="false" ht="15" hidden="false" customHeight="false" outlineLevel="0" collapsed="false">
      <c r="A61" s="11" t="s">
        <v>106</v>
      </c>
      <c r="B61" s="11" t="s">
        <v>38</v>
      </c>
      <c r="C61" s="29" t="n">
        <v>550795</v>
      </c>
      <c r="D61" s="4" t="s">
        <v>200</v>
      </c>
      <c r="E61" s="4" t="s">
        <v>202</v>
      </c>
      <c r="F61" s="5" t="s">
        <v>49</v>
      </c>
      <c r="G61" s="6" t="n">
        <v>260</v>
      </c>
      <c r="H61" s="6" t="n">
        <f aca="false">G61</f>
        <v>260</v>
      </c>
      <c r="I61" s="6" t="n">
        <v>250</v>
      </c>
      <c r="J61" s="4" t="s">
        <v>203</v>
      </c>
      <c r="K61" s="7" t="n">
        <v>45645</v>
      </c>
      <c r="L61" s="8" t="n">
        <v>46739</v>
      </c>
      <c r="P61" s="9" t="n">
        <v>18000</v>
      </c>
      <c r="Q61" s="9" t="n">
        <f aca="false">P61</f>
        <v>18000</v>
      </c>
      <c r="S61" s="9" t="n">
        <v>11700</v>
      </c>
      <c r="T61" s="9" t="n">
        <f aca="false">S61</f>
        <v>11700</v>
      </c>
      <c r="U61" s="9" t="n">
        <v>11700</v>
      </c>
      <c r="V61" s="9" t="n">
        <f aca="false">U61</f>
        <v>11700</v>
      </c>
      <c r="W61" s="45" t="n">
        <f aca="false">U61/G61</f>
        <v>45</v>
      </c>
      <c r="X61" s="41" t="n">
        <f aca="false">SUM(U61-S61)/S61</f>
        <v>0</v>
      </c>
      <c r="Y61" s="9" t="s">
        <v>42</v>
      </c>
      <c r="Z61" s="42"/>
      <c r="AA61" s="524"/>
      <c r="AB61" s="5" t="s">
        <v>43</v>
      </c>
      <c r="AF61" s="59" t="n">
        <v>1</v>
      </c>
      <c r="AG61" s="4" t="s">
        <v>204</v>
      </c>
      <c r="AJ61" s="525" t="s">
        <v>1103</v>
      </c>
    </row>
    <row r="62" customFormat="false" ht="15" hidden="false" customHeight="false" outlineLevel="0" collapsed="false">
      <c r="A62" s="11" t="s">
        <v>106</v>
      </c>
      <c r="B62" s="11" t="s">
        <v>38</v>
      </c>
      <c r="C62" s="29" t="n">
        <v>550795</v>
      </c>
      <c r="D62" s="4" t="s">
        <v>200</v>
      </c>
      <c r="E62" s="4" t="s">
        <v>205</v>
      </c>
      <c r="F62" s="5" t="s">
        <v>49</v>
      </c>
      <c r="G62" s="6" t="n">
        <v>652</v>
      </c>
      <c r="H62" s="6" t="n">
        <f aca="false">G62</f>
        <v>652</v>
      </c>
      <c r="I62" s="6" t="n">
        <v>750</v>
      </c>
      <c r="J62" s="4" t="s">
        <v>206</v>
      </c>
      <c r="K62" s="7" t="n">
        <v>44851</v>
      </c>
      <c r="L62" s="8" t="n">
        <v>48503</v>
      </c>
      <c r="N62" s="8" t="n">
        <v>46677</v>
      </c>
      <c r="P62" s="9" t="n">
        <v>55000</v>
      </c>
      <c r="Q62" s="9" t="n">
        <f aca="false">P62</f>
        <v>55000</v>
      </c>
      <c r="S62" s="9" t="n">
        <v>55000</v>
      </c>
      <c r="T62" s="9" t="n">
        <f aca="false">S62</f>
        <v>55000</v>
      </c>
      <c r="U62" s="9" t="n">
        <v>55000</v>
      </c>
      <c r="V62" s="9" t="n">
        <f aca="false">U62</f>
        <v>55000</v>
      </c>
      <c r="W62" s="45" t="n">
        <f aca="false">U62/G62</f>
        <v>84.3558282208589</v>
      </c>
      <c r="X62" s="41" t="n">
        <f aca="false">SUM(U62-S62)/S62</f>
        <v>0</v>
      </c>
      <c r="Y62" s="9" t="s">
        <v>60</v>
      </c>
      <c r="Z62" s="42"/>
      <c r="AA62" s="524"/>
      <c r="AB62" s="5" t="s">
        <v>43</v>
      </c>
      <c r="AF62" s="59"/>
      <c r="AJ62" s="525" t="s">
        <v>1103</v>
      </c>
    </row>
    <row r="63" customFormat="false" ht="15" hidden="false" customHeight="false" outlineLevel="0" collapsed="false">
      <c r="A63" s="11" t="s">
        <v>106</v>
      </c>
      <c r="B63" s="11" t="s">
        <v>38</v>
      </c>
      <c r="C63" s="29" t="n">
        <v>550795</v>
      </c>
      <c r="D63" s="4" t="s">
        <v>200</v>
      </c>
      <c r="E63" s="4" t="s">
        <v>207</v>
      </c>
      <c r="F63" s="5" t="s">
        <v>90</v>
      </c>
      <c r="G63" s="6" t="n">
        <v>558</v>
      </c>
      <c r="H63" s="6" t="n">
        <f aca="false">G63</f>
        <v>558</v>
      </c>
      <c r="I63" s="6" t="n">
        <v>500</v>
      </c>
      <c r="J63" s="4" t="s">
        <v>208</v>
      </c>
      <c r="K63" s="7" t="n">
        <v>45114</v>
      </c>
      <c r="L63" s="8" t="n">
        <v>46940</v>
      </c>
      <c r="O63" s="8" t="n">
        <v>46209</v>
      </c>
      <c r="P63" s="9" t="n">
        <v>32400</v>
      </c>
      <c r="Q63" s="9" t="n">
        <f aca="false">P63</f>
        <v>32400</v>
      </c>
      <c r="S63" s="9" t="n">
        <v>29300</v>
      </c>
      <c r="T63" s="9" t="n">
        <f aca="false">S63</f>
        <v>29300</v>
      </c>
      <c r="U63" s="9" t="n">
        <v>29300</v>
      </c>
      <c r="V63" s="9" t="n">
        <f aca="false">U63</f>
        <v>29300</v>
      </c>
      <c r="W63" s="45" t="n">
        <f aca="false">U63/G63</f>
        <v>52.5089605734767</v>
      </c>
      <c r="X63" s="41" t="n">
        <f aca="false">SUM(U63-S63)/S63</f>
        <v>0</v>
      </c>
      <c r="Y63" s="9" t="s">
        <v>42</v>
      </c>
      <c r="Z63" s="42"/>
      <c r="AA63" s="524"/>
      <c r="AB63" s="5" t="s">
        <v>43</v>
      </c>
      <c r="AC63" s="4" t="s">
        <v>77</v>
      </c>
      <c r="AF63" s="59"/>
      <c r="AJ63" s="525" t="s">
        <v>1103</v>
      </c>
    </row>
    <row r="64" customFormat="false" ht="19.4" hidden="false" customHeight="false" outlineLevel="0" collapsed="false">
      <c r="A64" s="11" t="s">
        <v>106</v>
      </c>
      <c r="B64" s="11" t="s">
        <v>38</v>
      </c>
      <c r="C64" s="29" t="n">
        <v>550795</v>
      </c>
      <c r="D64" s="4" t="s">
        <v>200</v>
      </c>
      <c r="E64" s="4" t="s">
        <v>209</v>
      </c>
      <c r="F64" s="5" t="s">
        <v>90</v>
      </c>
      <c r="G64" s="6" t="n">
        <v>310</v>
      </c>
      <c r="H64" s="6" t="n">
        <f aca="false">G64</f>
        <v>310</v>
      </c>
      <c r="I64" s="6" t="n">
        <v>250</v>
      </c>
      <c r="J64" s="4" t="s">
        <v>210</v>
      </c>
      <c r="K64" s="7" t="n">
        <v>44043</v>
      </c>
      <c r="L64" s="8" t="n">
        <v>45868</v>
      </c>
      <c r="P64" s="9" t="n">
        <v>15500</v>
      </c>
      <c r="Q64" s="9" t="n">
        <f aca="false">P64</f>
        <v>15500</v>
      </c>
      <c r="S64" s="9" t="n">
        <v>15500</v>
      </c>
      <c r="T64" s="9" t="n">
        <f aca="false">S64</f>
        <v>15500</v>
      </c>
      <c r="U64" s="9" t="n">
        <v>15500</v>
      </c>
      <c r="V64" s="9" t="n">
        <f aca="false">U64</f>
        <v>15500</v>
      </c>
      <c r="W64" s="45" t="n">
        <f aca="false">U64/G64</f>
        <v>50</v>
      </c>
      <c r="X64" s="41" t="n">
        <f aca="false">SUM(U64-S64)/S64</f>
        <v>0</v>
      </c>
      <c r="Y64" s="9" t="s">
        <v>42</v>
      </c>
      <c r="Z64" s="42"/>
      <c r="AA64" s="524"/>
      <c r="AB64" s="5" t="s">
        <v>43</v>
      </c>
      <c r="AC64" s="4" t="s">
        <v>211</v>
      </c>
      <c r="AF64" s="59"/>
      <c r="AJ64" s="525" t="s">
        <v>1103</v>
      </c>
    </row>
    <row r="65" customFormat="false" ht="15" hidden="false" customHeight="false" outlineLevel="0" collapsed="false">
      <c r="A65" s="11" t="s">
        <v>106</v>
      </c>
      <c r="B65" s="11" t="s">
        <v>38</v>
      </c>
      <c r="C65" s="29" t="n">
        <v>550795</v>
      </c>
      <c r="D65" s="4" t="s">
        <v>200</v>
      </c>
      <c r="E65" s="4" t="s">
        <v>212</v>
      </c>
      <c r="F65" s="5" t="s">
        <v>90</v>
      </c>
      <c r="G65" s="6" t="n">
        <v>455</v>
      </c>
      <c r="H65" s="6" t="n">
        <f aca="false">G65</f>
        <v>455</v>
      </c>
      <c r="I65" s="6" t="n">
        <v>500</v>
      </c>
      <c r="J65" s="4" t="s">
        <v>213</v>
      </c>
      <c r="K65" s="7" t="n">
        <v>44505</v>
      </c>
      <c r="L65" s="8" t="n">
        <v>45965</v>
      </c>
      <c r="P65" s="9" t="n">
        <v>22800</v>
      </c>
      <c r="Q65" s="9" t="n">
        <f aca="false">P65</f>
        <v>22800</v>
      </c>
      <c r="S65" s="9" t="n">
        <v>22800</v>
      </c>
      <c r="T65" s="9" t="n">
        <f aca="false">S65</f>
        <v>22800</v>
      </c>
      <c r="U65" s="9" t="n">
        <v>22800</v>
      </c>
      <c r="V65" s="9" t="n">
        <f aca="false">U65</f>
        <v>22800</v>
      </c>
      <c r="W65" s="45" t="n">
        <f aca="false">U65/G65</f>
        <v>50.1098901098901</v>
      </c>
      <c r="X65" s="41" t="n">
        <f aca="false">SUM(U65-S65)/S65</f>
        <v>0</v>
      </c>
      <c r="Y65" s="9" t="s">
        <v>127</v>
      </c>
      <c r="Z65" s="42"/>
      <c r="AA65" s="524"/>
      <c r="AB65" s="5" t="s">
        <v>43</v>
      </c>
      <c r="AC65" s="4" t="s">
        <v>214</v>
      </c>
      <c r="AF65" s="59"/>
      <c r="AJ65" s="525" t="s">
        <v>1103</v>
      </c>
    </row>
    <row r="66" customFormat="false" ht="15" hidden="false" customHeight="false" outlineLevel="0" collapsed="false">
      <c r="A66" s="11" t="s">
        <v>106</v>
      </c>
      <c r="B66" s="11" t="s">
        <v>38</v>
      </c>
      <c r="C66" s="29" t="n">
        <v>550795</v>
      </c>
      <c r="D66" s="4" t="s">
        <v>200</v>
      </c>
      <c r="E66" s="4" t="s">
        <v>215</v>
      </c>
      <c r="F66" s="5" t="s">
        <v>90</v>
      </c>
      <c r="G66" s="6" t="n">
        <v>310</v>
      </c>
      <c r="H66" s="6" t="n">
        <f aca="false">G66</f>
        <v>310</v>
      </c>
      <c r="I66" s="6" t="n">
        <v>250</v>
      </c>
      <c r="J66" s="4" t="s">
        <v>216</v>
      </c>
      <c r="K66" s="7" t="n">
        <v>44032</v>
      </c>
      <c r="L66" s="8" t="n">
        <v>45857</v>
      </c>
      <c r="P66" s="9" t="n">
        <v>15500</v>
      </c>
      <c r="Q66" s="9" t="n">
        <f aca="false">P66</f>
        <v>15500</v>
      </c>
      <c r="S66" s="9" t="n">
        <v>15500</v>
      </c>
      <c r="T66" s="9" t="n">
        <f aca="false">S66</f>
        <v>15500</v>
      </c>
      <c r="U66" s="9" t="n">
        <v>15500</v>
      </c>
      <c r="V66" s="9" t="n">
        <f aca="false">U66</f>
        <v>15500</v>
      </c>
      <c r="W66" s="45" t="n">
        <f aca="false">U66/G66</f>
        <v>50</v>
      </c>
      <c r="X66" s="41" t="n">
        <f aca="false">SUM(U66-S66)/S66</f>
        <v>0</v>
      </c>
      <c r="Y66" s="9" t="s">
        <v>127</v>
      </c>
      <c r="Z66" s="42"/>
      <c r="AA66" s="524"/>
      <c r="AB66" s="5" t="s">
        <v>43</v>
      </c>
      <c r="AC66" s="4" t="s">
        <v>217</v>
      </c>
      <c r="AF66" s="59"/>
      <c r="AJ66" s="525" t="s">
        <v>1103</v>
      </c>
    </row>
    <row r="67" customFormat="false" ht="15" hidden="false" customHeight="false" outlineLevel="0" collapsed="false">
      <c r="A67" s="11" t="s">
        <v>106</v>
      </c>
      <c r="B67" s="11" t="s">
        <v>38</v>
      </c>
      <c r="C67" s="29" t="n">
        <v>550795</v>
      </c>
      <c r="D67" s="4" t="s">
        <v>200</v>
      </c>
      <c r="E67" s="4" t="s">
        <v>218</v>
      </c>
      <c r="F67" s="5" t="s">
        <v>90</v>
      </c>
      <c r="G67" s="6" t="n">
        <v>450</v>
      </c>
      <c r="H67" s="6" t="n">
        <f aca="false">G67</f>
        <v>450</v>
      </c>
      <c r="I67" s="6" t="n">
        <v>500</v>
      </c>
      <c r="J67" s="4" t="s">
        <v>213</v>
      </c>
      <c r="K67" s="7" t="n">
        <v>45199</v>
      </c>
      <c r="L67" s="8" t="n">
        <v>47025</v>
      </c>
      <c r="O67" s="8" t="n">
        <v>46294</v>
      </c>
      <c r="P67" s="9" t="n">
        <v>24750</v>
      </c>
      <c r="Q67" s="9" t="n">
        <f aca="false">P67</f>
        <v>24750</v>
      </c>
      <c r="S67" s="9" t="n">
        <v>22838</v>
      </c>
      <c r="T67" s="9" t="n">
        <f aca="false">S67</f>
        <v>22838</v>
      </c>
      <c r="U67" s="9" t="n">
        <v>22500</v>
      </c>
      <c r="V67" s="9" t="n">
        <f aca="false">U67</f>
        <v>22500</v>
      </c>
      <c r="W67" s="45" t="n">
        <f aca="false">U67/G67</f>
        <v>50</v>
      </c>
      <c r="X67" s="41" t="n">
        <f aca="false">SUM(U67-S67)/S67</f>
        <v>-0.0147998949119888</v>
      </c>
      <c r="Y67" s="9" t="s">
        <v>127</v>
      </c>
      <c r="Z67" s="42"/>
      <c r="AA67" s="524"/>
      <c r="AB67" s="5" t="s">
        <v>43</v>
      </c>
      <c r="AC67" s="4" t="s">
        <v>219</v>
      </c>
      <c r="AF67" s="59"/>
      <c r="AJ67" s="525" t="s">
        <v>1103</v>
      </c>
    </row>
    <row r="68" customFormat="false" ht="15" hidden="false" customHeight="false" outlineLevel="0" collapsed="false">
      <c r="A68" s="11" t="s">
        <v>106</v>
      </c>
      <c r="B68" s="11" t="s">
        <v>38</v>
      </c>
      <c r="C68" s="29" t="n">
        <v>550795</v>
      </c>
      <c r="D68" s="4" t="s">
        <v>200</v>
      </c>
      <c r="E68" s="4" t="s">
        <v>220</v>
      </c>
      <c r="F68" s="5" t="s">
        <v>90</v>
      </c>
      <c r="G68" s="6" t="n">
        <v>215</v>
      </c>
      <c r="H68" s="6" t="n">
        <f aca="false">G68</f>
        <v>215</v>
      </c>
      <c r="I68" s="6" t="n">
        <v>250</v>
      </c>
      <c r="J68" s="4" t="s">
        <v>221</v>
      </c>
      <c r="K68" s="7" t="n">
        <v>44043</v>
      </c>
      <c r="L68" s="8" t="n">
        <v>45868</v>
      </c>
      <c r="P68" s="9" t="n">
        <v>11502</v>
      </c>
      <c r="Q68" s="9" t="n">
        <f aca="false">P68</f>
        <v>11502</v>
      </c>
      <c r="S68" s="9" t="n">
        <v>10200</v>
      </c>
      <c r="T68" s="9" t="n">
        <f aca="false">S68</f>
        <v>10200</v>
      </c>
      <c r="U68" s="9" t="n">
        <v>10200</v>
      </c>
      <c r="V68" s="9" t="n">
        <f aca="false">U68</f>
        <v>10200</v>
      </c>
      <c r="W68" s="45" t="n">
        <f aca="false">U68/G68</f>
        <v>47.4418604651163</v>
      </c>
      <c r="X68" s="41" t="n">
        <f aca="false">SUM(U68-S68)/S68</f>
        <v>0</v>
      </c>
      <c r="Y68" s="9" t="s">
        <v>127</v>
      </c>
      <c r="Z68" s="42"/>
      <c r="AA68" s="524"/>
      <c r="AB68" s="5" t="s">
        <v>43</v>
      </c>
      <c r="AC68" s="4" t="s">
        <v>222</v>
      </c>
      <c r="AF68" s="59"/>
      <c r="AJ68" s="525" t="s">
        <v>1103</v>
      </c>
    </row>
    <row r="69" customFormat="false" ht="15" hidden="false" customHeight="false" outlineLevel="0" collapsed="false">
      <c r="A69" s="11" t="s">
        <v>106</v>
      </c>
      <c r="B69" s="11" t="s">
        <v>38</v>
      </c>
      <c r="C69" s="29" t="n">
        <v>550795</v>
      </c>
      <c r="D69" s="4" t="s">
        <v>200</v>
      </c>
      <c r="E69" s="4" t="s">
        <v>118</v>
      </c>
      <c r="F69" s="5" t="s">
        <v>90</v>
      </c>
      <c r="G69" s="6" t="n">
        <v>410</v>
      </c>
      <c r="H69" s="6" t="n">
        <f aca="false">G69</f>
        <v>410</v>
      </c>
      <c r="I69" s="6" t="n">
        <v>500</v>
      </c>
      <c r="J69" s="4" t="s">
        <v>213</v>
      </c>
      <c r="K69" s="7" t="n">
        <v>45199</v>
      </c>
      <c r="L69" s="8" t="n">
        <v>47025</v>
      </c>
      <c r="O69" s="8" t="n">
        <v>46294</v>
      </c>
      <c r="P69" s="9" t="n">
        <v>22550</v>
      </c>
      <c r="Q69" s="9" t="n">
        <f aca="false">P69</f>
        <v>22550</v>
      </c>
      <c r="S69" s="9" t="n">
        <v>21100</v>
      </c>
      <c r="T69" s="9" t="n">
        <f aca="false">S69</f>
        <v>21100</v>
      </c>
      <c r="U69" s="9" t="n">
        <v>21100</v>
      </c>
      <c r="V69" s="9" t="n">
        <f aca="false">U69</f>
        <v>21100</v>
      </c>
      <c r="W69" s="45" t="n">
        <f aca="false">U69/G69</f>
        <v>51.4634146341463</v>
      </c>
      <c r="X69" s="41" t="n">
        <f aca="false">SUM(U69-S69)/S69</f>
        <v>0</v>
      </c>
      <c r="Y69" s="9" t="s">
        <v>60</v>
      </c>
      <c r="Z69" s="42"/>
      <c r="AA69" s="524"/>
      <c r="AB69" s="5" t="s">
        <v>43</v>
      </c>
      <c r="AC69" s="4" t="s">
        <v>223</v>
      </c>
      <c r="AF69" s="59"/>
      <c r="AJ69" s="525" t="s">
        <v>1103</v>
      </c>
    </row>
    <row r="70" customFormat="false" ht="15" hidden="false" customHeight="false" outlineLevel="0" collapsed="false">
      <c r="A70" s="11" t="s">
        <v>106</v>
      </c>
      <c r="B70" s="11" t="s">
        <v>38</v>
      </c>
      <c r="C70" s="29" t="n">
        <v>550080</v>
      </c>
      <c r="D70" s="4" t="s">
        <v>224</v>
      </c>
      <c r="E70" s="4" t="s">
        <v>112</v>
      </c>
      <c r="F70" s="5" t="s">
        <v>134</v>
      </c>
      <c r="G70" s="6" t="n">
        <v>3626</v>
      </c>
      <c r="H70" s="6" t="n">
        <f aca="false">G70</f>
        <v>3626</v>
      </c>
      <c r="I70" s="6" t="n">
        <v>3500</v>
      </c>
      <c r="J70" s="4" t="s">
        <v>225</v>
      </c>
      <c r="K70" s="7" t="n">
        <v>44635</v>
      </c>
      <c r="L70" s="8" t="n">
        <v>48287</v>
      </c>
      <c r="N70" s="8" t="n">
        <v>46461</v>
      </c>
      <c r="O70" s="8" t="n">
        <v>46460</v>
      </c>
      <c r="P70" s="9" t="n">
        <v>220000</v>
      </c>
      <c r="Q70" s="9" t="n">
        <f aca="false">P70</f>
        <v>220000</v>
      </c>
      <c r="S70" s="9" t="n">
        <v>210000</v>
      </c>
      <c r="T70" s="9" t="n">
        <f aca="false">S70</f>
        <v>210000</v>
      </c>
      <c r="U70" s="9" t="n">
        <v>227900</v>
      </c>
      <c r="V70" s="9" t="n">
        <f aca="false">U70</f>
        <v>227900</v>
      </c>
      <c r="W70" s="45" t="n">
        <f aca="false">U70/G70</f>
        <v>62.8516271373414</v>
      </c>
      <c r="X70" s="41" t="n">
        <f aca="false">SUM(U70-S70)/S70</f>
        <v>0.0852380952380952</v>
      </c>
      <c r="Y70" s="9" t="s">
        <v>60</v>
      </c>
      <c r="Z70" s="42"/>
      <c r="AA70" s="524"/>
      <c r="AB70" s="5" t="s">
        <v>43</v>
      </c>
      <c r="AC70" s="4" t="s">
        <v>226</v>
      </c>
      <c r="AF70" s="59"/>
      <c r="AJ70" s="525" t="s">
        <v>1103</v>
      </c>
    </row>
    <row r="71" customFormat="false" ht="15" hidden="false" customHeight="false" outlineLevel="0" collapsed="false">
      <c r="A71" s="11" t="s">
        <v>106</v>
      </c>
      <c r="B71" s="11" t="s">
        <v>38</v>
      </c>
      <c r="C71" s="29" t="n">
        <v>550080</v>
      </c>
      <c r="D71" s="4" t="s">
        <v>224</v>
      </c>
      <c r="E71" s="4" t="s">
        <v>89</v>
      </c>
      <c r="F71" s="5" t="s">
        <v>227</v>
      </c>
      <c r="G71" s="6" t="n">
        <v>1493</v>
      </c>
      <c r="H71" s="6" t="n">
        <f aca="false">G71</f>
        <v>1493</v>
      </c>
      <c r="I71" s="6" t="n">
        <v>1500</v>
      </c>
      <c r="J71" s="4" t="s">
        <v>67</v>
      </c>
      <c r="M71" s="8" t="n">
        <v>43279</v>
      </c>
      <c r="P71" s="9" t="n">
        <v>0</v>
      </c>
      <c r="Q71" s="9" t="n">
        <f aca="false">P71</f>
        <v>0</v>
      </c>
      <c r="S71" s="9" t="n">
        <v>86600</v>
      </c>
      <c r="T71" s="9" t="n">
        <f aca="false">S71</f>
        <v>86600</v>
      </c>
      <c r="U71" s="9" t="n">
        <v>93300</v>
      </c>
      <c r="V71" s="9" t="n">
        <f aca="false">U71</f>
        <v>93300</v>
      </c>
      <c r="W71" s="45" t="n">
        <f aca="false">U71/G71</f>
        <v>62.4916275954454</v>
      </c>
      <c r="X71" s="41" t="n">
        <f aca="false">SUM(U71-S71)/S71</f>
        <v>0.0773672055427252</v>
      </c>
      <c r="Y71" s="9" t="s">
        <v>60</v>
      </c>
      <c r="Z71" s="42"/>
      <c r="AA71" s="524"/>
      <c r="AB71" s="5" t="s">
        <v>43</v>
      </c>
      <c r="AC71" s="4" t="s">
        <v>228</v>
      </c>
      <c r="AE71" s="60"/>
      <c r="AF71" s="62" t="n">
        <v>2</v>
      </c>
      <c r="AG71" s="60"/>
      <c r="AJ71" s="525" t="s">
        <v>1104</v>
      </c>
    </row>
    <row r="72" customFormat="false" ht="15" hidden="false" customHeight="false" outlineLevel="0" collapsed="false">
      <c r="A72" s="11" t="s">
        <v>106</v>
      </c>
      <c r="B72" s="11" t="s">
        <v>38</v>
      </c>
      <c r="C72" s="29" t="n">
        <v>550080</v>
      </c>
      <c r="D72" s="4" t="s">
        <v>224</v>
      </c>
      <c r="E72" s="4" t="s">
        <v>93</v>
      </c>
      <c r="F72" s="5" t="s">
        <v>40</v>
      </c>
      <c r="G72" s="6" t="n">
        <v>1503</v>
      </c>
      <c r="H72" s="6" t="n">
        <f aca="false">G72</f>
        <v>1503</v>
      </c>
      <c r="I72" s="6" t="n">
        <v>1500</v>
      </c>
      <c r="J72" s="4" t="s">
        <v>67</v>
      </c>
      <c r="M72" s="8" t="n">
        <v>43354</v>
      </c>
      <c r="P72" s="9" t="n">
        <v>0</v>
      </c>
      <c r="Q72" s="9" t="n">
        <f aca="false">P72</f>
        <v>0</v>
      </c>
      <c r="S72" s="9" t="n">
        <v>88100</v>
      </c>
      <c r="T72" s="9" t="n">
        <f aca="false">S72</f>
        <v>88100</v>
      </c>
      <c r="U72" s="9" t="n">
        <v>93900</v>
      </c>
      <c r="V72" s="9" t="n">
        <f aca="false">U72</f>
        <v>93900</v>
      </c>
      <c r="W72" s="45" t="n">
        <f aca="false">U72/G72</f>
        <v>62.4750499001996</v>
      </c>
      <c r="X72" s="41" t="n">
        <f aca="false">SUM(U72-S72)/S72</f>
        <v>0.0658342792281498</v>
      </c>
      <c r="Y72" s="9" t="s">
        <v>60</v>
      </c>
      <c r="Z72" s="42"/>
      <c r="AA72" s="524"/>
      <c r="AB72" s="5" t="s">
        <v>43</v>
      </c>
      <c r="AC72" s="4" t="s">
        <v>228</v>
      </c>
      <c r="AE72" s="60"/>
      <c r="AF72" s="62" t="n">
        <v>2</v>
      </c>
      <c r="AG72" s="60"/>
      <c r="AJ72" s="525" t="s">
        <v>1104</v>
      </c>
    </row>
    <row r="73" customFormat="false" ht="15" hidden="false" customHeight="false" outlineLevel="0" collapsed="false">
      <c r="A73" s="11" t="s">
        <v>106</v>
      </c>
      <c r="B73" s="11" t="s">
        <v>38</v>
      </c>
      <c r="C73" s="29" t="n">
        <v>550080</v>
      </c>
      <c r="D73" s="4" t="s">
        <v>224</v>
      </c>
      <c r="E73" s="4" t="s">
        <v>94</v>
      </c>
      <c r="F73" s="5" t="s">
        <v>40</v>
      </c>
      <c r="G73" s="6" t="n">
        <v>1519</v>
      </c>
      <c r="H73" s="6" t="n">
        <f aca="false">G73</f>
        <v>1519</v>
      </c>
      <c r="I73" s="6" t="n">
        <v>1500</v>
      </c>
      <c r="J73" s="4" t="s">
        <v>67</v>
      </c>
      <c r="M73" s="8" t="n">
        <v>43354</v>
      </c>
      <c r="P73" s="9" t="n">
        <v>0</v>
      </c>
      <c r="Q73" s="9" t="n">
        <f aca="false">P73</f>
        <v>0</v>
      </c>
      <c r="S73" s="9" t="n">
        <v>83100</v>
      </c>
      <c r="T73" s="9" t="n">
        <f aca="false">S73</f>
        <v>83100</v>
      </c>
      <c r="U73" s="9" t="n">
        <v>91100</v>
      </c>
      <c r="V73" s="9" t="n">
        <f aca="false">U73</f>
        <v>91100</v>
      </c>
      <c r="W73" s="45" t="n">
        <f aca="false">U73/G73</f>
        <v>59.9736668861093</v>
      </c>
      <c r="X73" s="41" t="n">
        <f aca="false">SUM(U73-S73)/S73</f>
        <v>0.0962695547533093</v>
      </c>
      <c r="Y73" s="9" t="s">
        <v>60</v>
      </c>
      <c r="Z73" s="42"/>
      <c r="AA73" s="524"/>
      <c r="AB73" s="5" t="s">
        <v>43</v>
      </c>
      <c r="AC73" s="4" t="s">
        <v>228</v>
      </c>
      <c r="AE73" s="60"/>
      <c r="AF73" s="62" t="n">
        <v>2</v>
      </c>
      <c r="AG73" s="60"/>
      <c r="AJ73" s="525" t="s">
        <v>1104</v>
      </c>
    </row>
    <row r="74" customFormat="false" ht="15" hidden="false" customHeight="false" outlineLevel="0" collapsed="false">
      <c r="A74" s="11" t="s">
        <v>106</v>
      </c>
      <c r="B74" s="11" t="s">
        <v>38</v>
      </c>
      <c r="C74" s="29" t="n">
        <v>550080</v>
      </c>
      <c r="D74" s="4" t="s">
        <v>224</v>
      </c>
      <c r="E74" s="4" t="s">
        <v>118</v>
      </c>
      <c r="F74" s="5" t="s">
        <v>40</v>
      </c>
      <c r="G74" s="6" t="n">
        <v>1505</v>
      </c>
      <c r="H74" s="6" t="n">
        <f aca="false">G74</f>
        <v>1505</v>
      </c>
      <c r="I74" s="6" t="n">
        <v>1500</v>
      </c>
      <c r="J74" s="4" t="s">
        <v>67</v>
      </c>
      <c r="M74" s="8" t="n">
        <v>43354</v>
      </c>
      <c r="P74" s="9" t="n">
        <v>0</v>
      </c>
      <c r="Q74" s="9" t="n">
        <f aca="false">P74</f>
        <v>0</v>
      </c>
      <c r="S74" s="9" t="n">
        <v>83800</v>
      </c>
      <c r="T74" s="9" t="n">
        <f aca="false">S74</f>
        <v>83800</v>
      </c>
      <c r="U74" s="9" t="n">
        <v>90300</v>
      </c>
      <c r="V74" s="9" t="n">
        <f aca="false">U74</f>
        <v>90300</v>
      </c>
      <c r="W74" s="45" t="n">
        <f aca="false">U74/G74</f>
        <v>60</v>
      </c>
      <c r="X74" s="41" t="n">
        <f aca="false">SUM(U74-S74)/S74</f>
        <v>0.0775656324582339</v>
      </c>
      <c r="Y74" s="9" t="s">
        <v>60</v>
      </c>
      <c r="Z74" s="42"/>
      <c r="AA74" s="524"/>
      <c r="AB74" s="5" t="s">
        <v>43</v>
      </c>
      <c r="AC74" s="4" t="s">
        <v>228</v>
      </c>
      <c r="AE74" s="60"/>
      <c r="AF74" s="62" t="n">
        <v>2</v>
      </c>
      <c r="AG74" s="60"/>
      <c r="AJ74" s="525" t="s">
        <v>1104</v>
      </c>
    </row>
    <row r="75" customFormat="false" ht="15" hidden="false" customHeight="false" outlineLevel="0" collapsed="false">
      <c r="A75" s="11" t="s">
        <v>189</v>
      </c>
      <c r="B75" s="11" t="s">
        <v>38</v>
      </c>
      <c r="C75" s="29" t="n">
        <v>550400</v>
      </c>
      <c r="D75" s="4" t="s">
        <v>230</v>
      </c>
      <c r="E75" s="4" t="s">
        <v>112</v>
      </c>
      <c r="F75" s="5" t="s">
        <v>231</v>
      </c>
      <c r="G75" s="6" t="n">
        <v>2164</v>
      </c>
      <c r="H75" s="6" t="n">
        <f aca="false">G75</f>
        <v>2164</v>
      </c>
      <c r="I75" s="6" t="n">
        <v>2000</v>
      </c>
      <c r="J75" s="4" t="s">
        <v>232</v>
      </c>
      <c r="K75" s="7" t="n">
        <v>44995</v>
      </c>
      <c r="L75" s="8" t="n">
        <v>48647</v>
      </c>
      <c r="N75" s="8" t="n">
        <v>46822</v>
      </c>
      <c r="P75" s="9" t="n">
        <v>165000</v>
      </c>
      <c r="Q75" s="9" t="n">
        <f aca="false">P75</f>
        <v>165000</v>
      </c>
      <c r="S75" s="9" t="n">
        <v>165000</v>
      </c>
      <c r="T75" s="9" t="n">
        <f aca="false">S75</f>
        <v>165000</v>
      </c>
      <c r="U75" s="9" t="n">
        <v>165000</v>
      </c>
      <c r="V75" s="9" t="n">
        <f aca="false">U75</f>
        <v>165000</v>
      </c>
      <c r="W75" s="45" t="n">
        <f aca="false">U75/G75</f>
        <v>76.2476894639556</v>
      </c>
      <c r="X75" s="41" t="n">
        <f aca="false">SUM(U75-S75)/S75</f>
        <v>0</v>
      </c>
      <c r="Y75" s="9" t="s">
        <v>60</v>
      </c>
      <c r="Z75" s="42"/>
      <c r="AA75" s="524"/>
      <c r="AB75" s="5" t="s">
        <v>43</v>
      </c>
      <c r="AF75" s="59"/>
      <c r="AJ75" s="525" t="s">
        <v>1103</v>
      </c>
    </row>
    <row r="76" customFormat="false" ht="15" hidden="false" customHeight="false" outlineLevel="0" collapsed="false">
      <c r="A76" s="11" t="s">
        <v>189</v>
      </c>
      <c r="B76" s="11" t="s">
        <v>38</v>
      </c>
      <c r="C76" s="29" t="n">
        <v>550400</v>
      </c>
      <c r="D76" s="4" t="s">
        <v>230</v>
      </c>
      <c r="E76" s="71" t="s">
        <v>233</v>
      </c>
      <c r="F76" s="5" t="s">
        <v>40</v>
      </c>
      <c r="G76" s="6" t="n">
        <v>3545</v>
      </c>
      <c r="H76" s="6" t="n">
        <f aca="false">G76</f>
        <v>3545</v>
      </c>
      <c r="I76" s="6" t="n">
        <v>3500</v>
      </c>
      <c r="J76" s="4" t="s">
        <v>197</v>
      </c>
      <c r="K76" s="7" t="n">
        <v>44362</v>
      </c>
      <c r="L76" s="8" t="n">
        <v>48013</v>
      </c>
      <c r="N76" s="8" t="n">
        <v>46197</v>
      </c>
      <c r="O76" s="8" t="n">
        <v>46197</v>
      </c>
      <c r="P76" s="9" t="n">
        <v>220000</v>
      </c>
      <c r="Q76" s="9" t="n">
        <f aca="false">P76</f>
        <v>220000</v>
      </c>
      <c r="S76" s="9" t="n">
        <v>220000</v>
      </c>
      <c r="T76" s="9" t="n">
        <f aca="false">S76</f>
        <v>220000</v>
      </c>
      <c r="U76" s="9" t="n">
        <v>220000</v>
      </c>
      <c r="V76" s="9" t="n">
        <f aca="false">U76</f>
        <v>220000</v>
      </c>
      <c r="W76" s="45" t="n">
        <f aca="false">U76/G76</f>
        <v>62.0592383638928</v>
      </c>
      <c r="X76" s="41" t="n">
        <f aca="false">SUM(U76-S76)/S76</f>
        <v>0</v>
      </c>
      <c r="Y76" s="9" t="s">
        <v>42</v>
      </c>
      <c r="Z76" s="42"/>
      <c r="AA76" s="524"/>
      <c r="AB76" s="5" t="s">
        <v>43</v>
      </c>
      <c r="AC76" s="4" t="s">
        <v>77</v>
      </c>
      <c r="AF76" s="59"/>
      <c r="AJ76" s="525" t="s">
        <v>1103</v>
      </c>
    </row>
    <row r="77" customFormat="false" ht="15" hidden="false" customHeight="false" outlineLevel="0" collapsed="false">
      <c r="A77" s="11" t="s">
        <v>236</v>
      </c>
      <c r="B77" s="11" t="s">
        <v>38</v>
      </c>
      <c r="C77" s="29" t="n">
        <v>550740</v>
      </c>
      <c r="D77" s="4" t="s">
        <v>235</v>
      </c>
      <c r="E77" s="4" t="s">
        <v>112</v>
      </c>
      <c r="F77" s="5" t="s">
        <v>237</v>
      </c>
      <c r="G77" s="6" t="n">
        <v>1524</v>
      </c>
      <c r="H77" s="6" t="n">
        <f aca="false">G77</f>
        <v>1524</v>
      </c>
      <c r="I77" s="6" t="n">
        <v>1500</v>
      </c>
      <c r="J77" s="4" t="s">
        <v>238</v>
      </c>
      <c r="K77" s="7" t="n">
        <v>44833</v>
      </c>
      <c r="L77" s="8" t="n">
        <v>45928</v>
      </c>
      <c r="P77" s="9" t="n">
        <v>72000</v>
      </c>
      <c r="Q77" s="9" t="n">
        <f aca="false">P77</f>
        <v>72000</v>
      </c>
      <c r="S77" s="9" t="n">
        <v>72000</v>
      </c>
      <c r="T77" s="9" t="n">
        <f aca="false">S77</f>
        <v>72000</v>
      </c>
      <c r="U77" s="9" t="n">
        <v>72038</v>
      </c>
      <c r="V77" s="9" t="n">
        <f aca="false">U77</f>
        <v>72038</v>
      </c>
      <c r="W77" s="45" t="n">
        <f aca="false">U77/G77</f>
        <v>47.2690288713911</v>
      </c>
      <c r="X77" s="41" t="n">
        <f aca="false">SUM(U77-S77)/S77</f>
        <v>0.000527777777777778</v>
      </c>
      <c r="Y77" s="9" t="s">
        <v>60</v>
      </c>
      <c r="Z77" s="42"/>
      <c r="AA77" s="524"/>
      <c r="AB77" s="5" t="s">
        <v>43</v>
      </c>
      <c r="AC77" s="4"/>
      <c r="AD77" s="15"/>
      <c r="AE77" s="4" t="n">
        <v>1</v>
      </c>
      <c r="AF77" s="59" t="n">
        <v>1</v>
      </c>
      <c r="AG77" s="4"/>
      <c r="AJ77" s="525" t="s">
        <v>1103</v>
      </c>
    </row>
    <row r="78" customFormat="false" ht="15" hidden="false" customHeight="false" outlineLevel="0" collapsed="false">
      <c r="A78" s="11" t="s">
        <v>236</v>
      </c>
      <c r="B78" s="11" t="s">
        <v>38</v>
      </c>
      <c r="C78" s="29" t="n">
        <v>550740</v>
      </c>
      <c r="D78" s="4" t="s">
        <v>235</v>
      </c>
      <c r="E78" s="4" t="s">
        <v>89</v>
      </c>
      <c r="F78" s="5" t="s">
        <v>40</v>
      </c>
      <c r="G78" s="6" t="n">
        <v>730</v>
      </c>
      <c r="H78" s="6" t="n">
        <f aca="false">G78</f>
        <v>730</v>
      </c>
      <c r="I78" s="6" t="n">
        <v>750</v>
      </c>
      <c r="J78" s="4" t="s">
        <v>239</v>
      </c>
      <c r="K78" s="7" t="n">
        <v>45271</v>
      </c>
      <c r="L78" s="8" t="n">
        <v>46561</v>
      </c>
      <c r="P78" s="9" t="n">
        <v>42705</v>
      </c>
      <c r="Q78" s="9" t="n">
        <f aca="false">P78</f>
        <v>42705</v>
      </c>
      <c r="S78" s="9" t="n">
        <v>42000</v>
      </c>
      <c r="T78" s="9" t="n">
        <f aca="false">S78</f>
        <v>42000</v>
      </c>
      <c r="U78" s="9" t="n">
        <v>41975</v>
      </c>
      <c r="V78" s="9" t="n">
        <f aca="false">U78</f>
        <v>41975</v>
      </c>
      <c r="W78" s="45" t="n">
        <f aca="false">U78/G78</f>
        <v>57.5</v>
      </c>
      <c r="X78" s="41" t="n">
        <f aca="false">SUM(U78-S78)/S78</f>
        <v>-0.000595238095238095</v>
      </c>
      <c r="Y78" s="9" t="s">
        <v>60</v>
      </c>
      <c r="Z78" s="42"/>
      <c r="AA78" s="524"/>
      <c r="AB78" s="5" t="s">
        <v>43</v>
      </c>
      <c r="AC78" s="60" t="s">
        <v>64</v>
      </c>
      <c r="AD78" s="15"/>
      <c r="AE78" s="4"/>
      <c r="AF78" s="59"/>
      <c r="AG78" s="4"/>
      <c r="AJ78" s="525" t="s">
        <v>1103</v>
      </c>
    </row>
    <row r="79" customFormat="false" ht="15" hidden="false" customHeight="false" outlineLevel="0" collapsed="false">
      <c r="A79" s="11" t="s">
        <v>236</v>
      </c>
      <c r="B79" s="11" t="s">
        <v>38</v>
      </c>
      <c r="C79" s="29" t="n">
        <v>550740</v>
      </c>
      <c r="D79" s="4" t="s">
        <v>235</v>
      </c>
      <c r="E79" s="4" t="s">
        <v>93</v>
      </c>
      <c r="F79" s="5" t="s">
        <v>40</v>
      </c>
      <c r="G79" s="6" t="n">
        <v>730</v>
      </c>
      <c r="H79" s="6" t="n">
        <f aca="false">G79</f>
        <v>730</v>
      </c>
      <c r="I79" s="6" t="n">
        <v>750</v>
      </c>
      <c r="J79" s="4" t="s">
        <v>240</v>
      </c>
      <c r="K79" s="7" t="n">
        <v>44833</v>
      </c>
      <c r="L79" s="8" t="n">
        <v>46658</v>
      </c>
      <c r="P79" s="9" t="n">
        <v>42000</v>
      </c>
      <c r="Q79" s="9" t="n">
        <f aca="false">P79</f>
        <v>42000</v>
      </c>
      <c r="S79" s="9" t="n">
        <v>42000</v>
      </c>
      <c r="T79" s="9" t="n">
        <f aca="false">S79</f>
        <v>42000</v>
      </c>
      <c r="U79" s="9" t="n">
        <v>41975</v>
      </c>
      <c r="V79" s="9" t="n">
        <f aca="false">U79</f>
        <v>41975</v>
      </c>
      <c r="W79" s="45" t="n">
        <f aca="false">U79/G79</f>
        <v>57.5</v>
      </c>
      <c r="X79" s="41" t="n">
        <f aca="false">SUM(U79-S79)/S79</f>
        <v>-0.000595238095238095</v>
      </c>
      <c r="Y79" s="9" t="s">
        <v>60</v>
      </c>
      <c r="Z79" s="42"/>
      <c r="AA79" s="524"/>
      <c r="AB79" s="5" t="s">
        <v>43</v>
      </c>
      <c r="AF79" s="59"/>
      <c r="AJ79" s="525" t="s">
        <v>1103</v>
      </c>
    </row>
    <row r="80" customFormat="false" ht="15" hidden="false" customHeight="false" outlineLevel="0" collapsed="false">
      <c r="A80" s="11" t="s">
        <v>236</v>
      </c>
      <c r="B80" s="11" t="s">
        <v>38</v>
      </c>
      <c r="C80" s="29" t="n">
        <v>550740</v>
      </c>
      <c r="D80" s="4" t="s">
        <v>235</v>
      </c>
      <c r="E80" s="4" t="s">
        <v>94</v>
      </c>
      <c r="F80" s="5" t="s">
        <v>40</v>
      </c>
      <c r="G80" s="6" t="n">
        <v>730</v>
      </c>
      <c r="H80" s="6" t="n">
        <f aca="false">G80</f>
        <v>730</v>
      </c>
      <c r="I80" s="6" t="n">
        <v>750</v>
      </c>
      <c r="J80" s="4" t="s">
        <v>239</v>
      </c>
      <c r="K80" s="7" t="n">
        <v>45271</v>
      </c>
      <c r="L80" s="8" t="n">
        <v>46561</v>
      </c>
      <c r="P80" s="9" t="n">
        <v>42705</v>
      </c>
      <c r="Q80" s="9" t="n">
        <f aca="false">P80</f>
        <v>42705</v>
      </c>
      <c r="S80" s="9" t="n">
        <v>42000</v>
      </c>
      <c r="T80" s="9" t="n">
        <f aca="false">S80</f>
        <v>42000</v>
      </c>
      <c r="U80" s="9" t="n">
        <v>41975</v>
      </c>
      <c r="V80" s="9" t="n">
        <f aca="false">U80</f>
        <v>41975</v>
      </c>
      <c r="W80" s="45" t="n">
        <f aca="false">U80/G80</f>
        <v>57.5</v>
      </c>
      <c r="X80" s="41" t="n">
        <f aca="false">SUM(U80-S80)/S80</f>
        <v>-0.000595238095238095</v>
      </c>
      <c r="Y80" s="9" t="s">
        <v>60</v>
      </c>
      <c r="Z80" s="42"/>
      <c r="AA80" s="524"/>
      <c r="AB80" s="5" t="s">
        <v>43</v>
      </c>
      <c r="AC80" s="60" t="s">
        <v>64</v>
      </c>
      <c r="AF80" s="59"/>
      <c r="AJ80" s="525" t="s">
        <v>1103</v>
      </c>
    </row>
    <row r="81" customFormat="false" ht="15" hidden="false" customHeight="false" outlineLevel="0" collapsed="false">
      <c r="A81" s="11" t="s">
        <v>236</v>
      </c>
      <c r="B81" s="11" t="s">
        <v>38</v>
      </c>
      <c r="C81" s="29" t="n">
        <v>550740</v>
      </c>
      <c r="D81" s="4" t="s">
        <v>235</v>
      </c>
      <c r="E81" s="4" t="s">
        <v>241</v>
      </c>
      <c r="F81" s="5" t="s">
        <v>242</v>
      </c>
      <c r="G81" s="6" t="n">
        <v>1180</v>
      </c>
      <c r="H81" s="6" t="n">
        <f aca="false">G81</f>
        <v>1180</v>
      </c>
      <c r="I81" s="6" t="n">
        <v>1000</v>
      </c>
      <c r="J81" s="4" t="s">
        <v>243</v>
      </c>
      <c r="K81" s="7" t="n">
        <v>45480</v>
      </c>
      <c r="L81" s="8" t="n">
        <v>45844</v>
      </c>
      <c r="P81" s="9" t="n">
        <v>65000</v>
      </c>
      <c r="Q81" s="9" t="n">
        <f aca="false">P81</f>
        <v>65000</v>
      </c>
      <c r="S81" s="9" t="n">
        <v>61360</v>
      </c>
      <c r="T81" s="9" t="n">
        <f aca="false">S81</f>
        <v>61360</v>
      </c>
      <c r="U81" s="9" t="n">
        <v>63177</v>
      </c>
      <c r="V81" s="9" t="n">
        <f aca="false">U81</f>
        <v>63177</v>
      </c>
      <c r="W81" s="45" t="n">
        <f aca="false">U81/G81</f>
        <v>53.5398305084746</v>
      </c>
      <c r="X81" s="41" t="n">
        <f aca="false">SUM(U81-S81)/S81</f>
        <v>0.0296121251629726</v>
      </c>
      <c r="Y81" s="9" t="s">
        <v>42</v>
      </c>
      <c r="Z81" s="42"/>
      <c r="AA81" s="524"/>
      <c r="AB81" s="5" t="s">
        <v>43</v>
      </c>
      <c r="AC81" s="4" t="s">
        <v>244</v>
      </c>
      <c r="AF81" s="59"/>
      <c r="AJ81" s="525" t="s">
        <v>1103</v>
      </c>
    </row>
    <row r="82" customFormat="false" ht="15" hidden="false" customHeight="false" outlineLevel="0" collapsed="false">
      <c r="A82" s="11" t="s">
        <v>189</v>
      </c>
      <c r="B82" s="11" t="s">
        <v>38</v>
      </c>
      <c r="C82" s="29" t="n">
        <v>550840</v>
      </c>
      <c r="D82" s="4" t="s">
        <v>246</v>
      </c>
      <c r="E82" s="4" t="s">
        <v>247</v>
      </c>
      <c r="F82" s="5" t="s">
        <v>90</v>
      </c>
      <c r="G82" s="43" t="n">
        <v>2313</v>
      </c>
      <c r="H82" s="9" t="n">
        <f aca="false">G82</f>
        <v>2313</v>
      </c>
      <c r="I82" s="9" t="n">
        <v>2250</v>
      </c>
      <c r="J82" s="4" t="s">
        <v>248</v>
      </c>
      <c r="K82" s="7" t="n">
        <v>42339</v>
      </c>
      <c r="L82" s="8" t="n">
        <v>45991</v>
      </c>
      <c r="N82" s="8" t="n">
        <v>44166</v>
      </c>
      <c r="P82" s="44" t="n">
        <v>112000</v>
      </c>
      <c r="Q82" s="9" t="n">
        <f aca="false">P82</f>
        <v>112000</v>
      </c>
      <c r="R82" s="44" t="n">
        <f aca="false">Q82</f>
        <v>112000</v>
      </c>
      <c r="S82" s="43" t="n">
        <v>106600</v>
      </c>
      <c r="T82" s="9" t="n">
        <f aca="false">S82</f>
        <v>106600</v>
      </c>
      <c r="U82" s="43" t="n">
        <v>102100</v>
      </c>
      <c r="V82" s="9" t="n">
        <f aca="false">U82</f>
        <v>102100</v>
      </c>
      <c r="W82" s="45" t="n">
        <f aca="false">U82/G82</f>
        <v>44.1418071768266</v>
      </c>
      <c r="X82" s="41" t="n">
        <f aca="false">SUM(U82-S82)/S82</f>
        <v>-0.0422138836772983</v>
      </c>
      <c r="Y82" s="9" t="s">
        <v>127</v>
      </c>
      <c r="Z82" s="42"/>
      <c r="AA82" s="43" t="n">
        <v>1750000</v>
      </c>
      <c r="AB82" s="5" t="s">
        <v>43</v>
      </c>
      <c r="AF82" s="59"/>
      <c r="AJ82" s="525" t="s">
        <v>1103</v>
      </c>
    </row>
    <row r="83" customFormat="false" ht="15" hidden="false" customHeight="false" outlineLevel="0" collapsed="false">
      <c r="A83" s="11" t="s">
        <v>236</v>
      </c>
      <c r="B83" s="11" t="s">
        <v>38</v>
      </c>
      <c r="C83" s="29" t="n">
        <v>550830</v>
      </c>
      <c r="D83" s="4" t="s">
        <v>249</v>
      </c>
      <c r="E83" s="4" t="s">
        <v>250</v>
      </c>
      <c r="F83" s="11" t="s">
        <v>251</v>
      </c>
      <c r="G83" s="6" t="n">
        <v>4259</v>
      </c>
      <c r="H83" s="6" t="n">
        <f aca="false">G83</f>
        <v>4259</v>
      </c>
      <c r="I83" s="6" t="n">
        <v>4250</v>
      </c>
      <c r="J83" s="4" t="s">
        <v>252</v>
      </c>
      <c r="K83" s="7" t="n">
        <v>44967</v>
      </c>
      <c r="L83" s="8" t="n">
        <v>48619</v>
      </c>
      <c r="N83" s="8" t="n">
        <v>46793</v>
      </c>
      <c r="O83" s="8" t="n">
        <v>46792</v>
      </c>
      <c r="P83" s="9" t="n">
        <v>215000</v>
      </c>
      <c r="Q83" s="9" t="n">
        <f aca="false">P83</f>
        <v>215000</v>
      </c>
      <c r="S83" s="6" t="n">
        <v>215000</v>
      </c>
      <c r="T83" s="9" t="n">
        <f aca="false">S83</f>
        <v>215000</v>
      </c>
      <c r="U83" s="6" t="n">
        <v>215000</v>
      </c>
      <c r="V83" s="9" t="n">
        <f aca="false">U83</f>
        <v>215000</v>
      </c>
      <c r="W83" s="45" t="n">
        <f aca="false">U83/G83</f>
        <v>50.4813336463959</v>
      </c>
      <c r="X83" s="41" t="n">
        <f aca="false">SUM(U83-S83)/S83</f>
        <v>0</v>
      </c>
      <c r="Y83" s="9" t="s">
        <v>42</v>
      </c>
      <c r="Z83" s="56"/>
      <c r="AA83" s="524"/>
      <c r="AB83" s="5" t="s">
        <v>43</v>
      </c>
      <c r="AC83" s="4" t="s">
        <v>77</v>
      </c>
      <c r="AF83" s="59"/>
      <c r="AJ83" s="525" t="s">
        <v>1103</v>
      </c>
    </row>
    <row r="84" customFormat="false" ht="15" hidden="false" customHeight="false" outlineLevel="0" collapsed="false">
      <c r="A84" s="11" t="s">
        <v>236</v>
      </c>
      <c r="B84" s="11" t="s">
        <v>38</v>
      </c>
      <c r="C84" s="29" t="n">
        <v>550830</v>
      </c>
      <c r="D84" s="4" t="s">
        <v>249</v>
      </c>
      <c r="E84" s="4" t="s">
        <v>89</v>
      </c>
      <c r="F84" s="11" t="s">
        <v>40</v>
      </c>
      <c r="G84" s="6" t="n">
        <v>1902</v>
      </c>
      <c r="H84" s="6" t="n">
        <f aca="false">G84</f>
        <v>1902</v>
      </c>
      <c r="I84" s="6" t="n">
        <v>2000</v>
      </c>
      <c r="J84" s="4" t="s">
        <v>252</v>
      </c>
      <c r="K84" s="7" t="n">
        <v>44967</v>
      </c>
      <c r="L84" s="8" t="n">
        <v>48619</v>
      </c>
      <c r="N84" s="8" t="n">
        <v>46793</v>
      </c>
      <c r="O84" s="8" t="n">
        <v>46792</v>
      </c>
      <c r="P84" s="9" t="n">
        <v>109620</v>
      </c>
      <c r="Q84" s="9" t="n">
        <f aca="false">P84</f>
        <v>109620</v>
      </c>
      <c r="S84" s="6" t="n">
        <v>109620</v>
      </c>
      <c r="T84" s="9" t="n">
        <f aca="false">S84</f>
        <v>109620</v>
      </c>
      <c r="U84" s="6" t="n">
        <v>123600</v>
      </c>
      <c r="V84" s="9" t="n">
        <f aca="false">U84</f>
        <v>123600</v>
      </c>
      <c r="W84" s="45" t="n">
        <f aca="false">U84/G84</f>
        <v>64.9842271293375</v>
      </c>
      <c r="X84" s="41" t="n">
        <f aca="false">SUM(U84-S84)/S84</f>
        <v>0.127531472359059</v>
      </c>
      <c r="Y84" s="9" t="s">
        <v>42</v>
      </c>
      <c r="Z84" s="42"/>
      <c r="AA84" s="524"/>
      <c r="AB84" s="5" t="s">
        <v>43</v>
      </c>
      <c r="AC84" s="4" t="s">
        <v>77</v>
      </c>
      <c r="AF84" s="59"/>
      <c r="AJ84" s="525" t="s">
        <v>1103</v>
      </c>
    </row>
    <row r="85" customFormat="false" ht="15" hidden="false" customHeight="false" outlineLevel="0" collapsed="false">
      <c r="A85" s="11" t="s">
        <v>236</v>
      </c>
      <c r="B85" s="11" t="s">
        <v>38</v>
      </c>
      <c r="C85" s="29" t="n">
        <v>550830</v>
      </c>
      <c r="D85" s="4" t="s">
        <v>249</v>
      </c>
      <c r="E85" s="4" t="s">
        <v>93</v>
      </c>
      <c r="F85" s="11" t="s">
        <v>40</v>
      </c>
      <c r="G85" s="6" t="n">
        <v>1440</v>
      </c>
      <c r="H85" s="6" t="n">
        <f aca="false">G85</f>
        <v>1440</v>
      </c>
      <c r="I85" s="6" t="n">
        <v>1500</v>
      </c>
      <c r="J85" s="4" t="s">
        <v>67</v>
      </c>
      <c r="M85" s="8" t="n">
        <v>44593</v>
      </c>
      <c r="P85" s="9" t="n">
        <v>0</v>
      </c>
      <c r="Q85" s="9" t="n">
        <f aca="false">P85</f>
        <v>0</v>
      </c>
      <c r="S85" s="6" t="n">
        <v>79800</v>
      </c>
      <c r="T85" s="9" t="n">
        <f aca="false">S85</f>
        <v>79800</v>
      </c>
      <c r="U85" s="6" t="n">
        <v>93600</v>
      </c>
      <c r="V85" s="9" t="n">
        <f aca="false">U85</f>
        <v>93600</v>
      </c>
      <c r="W85" s="45" t="n">
        <f aca="false">U85/G85</f>
        <v>65</v>
      </c>
      <c r="X85" s="41" t="n">
        <f aca="false">SUM(U85-S85)/S85</f>
        <v>0.172932330827068</v>
      </c>
      <c r="Y85" s="9" t="s">
        <v>60</v>
      </c>
      <c r="Z85" s="42"/>
      <c r="AA85" s="524"/>
      <c r="AB85" s="5" t="s">
        <v>43</v>
      </c>
      <c r="AC85" s="4" t="s">
        <v>119</v>
      </c>
      <c r="AF85" s="59"/>
      <c r="AJ85" s="525" t="s">
        <v>1104</v>
      </c>
    </row>
    <row r="86" customFormat="false" ht="15" hidden="false" customHeight="false" outlineLevel="0" collapsed="false">
      <c r="A86" s="11" t="s">
        <v>236</v>
      </c>
      <c r="B86" s="11" t="s">
        <v>38</v>
      </c>
      <c r="C86" s="29" t="n">
        <v>550830</v>
      </c>
      <c r="D86" s="4" t="s">
        <v>249</v>
      </c>
      <c r="E86" s="4" t="s">
        <v>94</v>
      </c>
      <c r="F86" s="11" t="s">
        <v>40</v>
      </c>
      <c r="G86" s="6" t="n">
        <v>1433</v>
      </c>
      <c r="H86" s="6" t="n">
        <f aca="false">G86</f>
        <v>1433</v>
      </c>
      <c r="I86" s="6" t="n">
        <v>1500</v>
      </c>
      <c r="J86" s="4" t="s">
        <v>67</v>
      </c>
      <c r="M86" s="8" t="n">
        <v>43313</v>
      </c>
      <c r="P86" s="9" t="n">
        <v>0</v>
      </c>
      <c r="Q86" s="9" t="n">
        <f aca="false">P86</f>
        <v>0</v>
      </c>
      <c r="S86" s="6" t="n">
        <v>79750</v>
      </c>
      <c r="T86" s="9" t="n">
        <f aca="false">S86</f>
        <v>79750</v>
      </c>
      <c r="U86" s="6" t="n">
        <v>93100</v>
      </c>
      <c r="V86" s="9" t="n">
        <f aca="false">U86</f>
        <v>93100</v>
      </c>
      <c r="W86" s="45" t="n">
        <f aca="false">U86/G86</f>
        <v>64.9685973482205</v>
      </c>
      <c r="X86" s="41" t="n">
        <f aca="false">SUM(U86-S86)/S86</f>
        <v>0.167398119122257</v>
      </c>
      <c r="Y86" s="9" t="s">
        <v>60</v>
      </c>
      <c r="Z86" s="42"/>
      <c r="AA86" s="524"/>
      <c r="AB86" s="5" t="s">
        <v>43</v>
      </c>
      <c r="AC86" s="4" t="s">
        <v>119</v>
      </c>
      <c r="AF86" s="59"/>
      <c r="AJ86" s="525" t="s">
        <v>1104</v>
      </c>
    </row>
    <row r="87" customFormat="false" ht="15" hidden="false" customHeight="false" outlineLevel="0" collapsed="false">
      <c r="A87" s="11" t="s">
        <v>236</v>
      </c>
      <c r="B87" s="11" t="s">
        <v>38</v>
      </c>
      <c r="C87" s="29" t="n">
        <v>550830</v>
      </c>
      <c r="D87" s="4" t="s">
        <v>249</v>
      </c>
      <c r="E87" s="4" t="s">
        <v>118</v>
      </c>
      <c r="F87" s="11" t="s">
        <v>40</v>
      </c>
      <c r="G87" s="6" t="n">
        <v>1480</v>
      </c>
      <c r="H87" s="6" t="n">
        <f aca="false">G87</f>
        <v>1480</v>
      </c>
      <c r="I87" s="6" t="n">
        <v>1500</v>
      </c>
      <c r="J87" s="4" t="s">
        <v>67</v>
      </c>
      <c r="M87" s="8" t="n">
        <v>44409</v>
      </c>
      <c r="P87" s="9" t="n">
        <v>0</v>
      </c>
      <c r="Q87" s="9" t="n">
        <f aca="false">P87</f>
        <v>0</v>
      </c>
      <c r="S87" s="6" t="n">
        <v>79800</v>
      </c>
      <c r="T87" s="9" t="n">
        <f aca="false">S87</f>
        <v>79800</v>
      </c>
      <c r="U87" s="6" t="n">
        <v>96200</v>
      </c>
      <c r="V87" s="9" t="n">
        <f aca="false">U87</f>
        <v>96200</v>
      </c>
      <c r="W87" s="45" t="n">
        <f aca="false">U87/G87</f>
        <v>65</v>
      </c>
      <c r="X87" s="41" t="n">
        <f aca="false">SUM(U87-S87)/S87</f>
        <v>0.205513784461153</v>
      </c>
      <c r="Y87" s="9" t="s">
        <v>127</v>
      </c>
      <c r="Z87" s="42"/>
      <c r="AA87" s="524"/>
      <c r="AB87" s="5" t="s">
        <v>43</v>
      </c>
      <c r="AC87" s="4" t="s">
        <v>119</v>
      </c>
      <c r="AF87" s="59"/>
      <c r="AJ87" s="525" t="s">
        <v>1104</v>
      </c>
    </row>
    <row r="88" customFormat="false" ht="15" hidden="false" customHeight="false" outlineLevel="0" collapsed="false">
      <c r="A88" s="11" t="s">
        <v>236</v>
      </c>
      <c r="B88" s="11" t="s">
        <v>38</v>
      </c>
      <c r="C88" s="29" t="n">
        <v>550830</v>
      </c>
      <c r="D88" s="4" t="s">
        <v>249</v>
      </c>
      <c r="E88" s="4" t="s">
        <v>180</v>
      </c>
      <c r="F88" s="11" t="s">
        <v>40</v>
      </c>
      <c r="G88" s="6" t="n">
        <v>784</v>
      </c>
      <c r="H88" s="6" t="n">
        <f aca="false">G88</f>
        <v>784</v>
      </c>
      <c r="I88" s="6" t="n">
        <v>750</v>
      </c>
      <c r="J88" s="4" t="s">
        <v>67</v>
      </c>
      <c r="M88" s="8" t="n">
        <v>44734</v>
      </c>
      <c r="P88" s="9" t="n">
        <v>0</v>
      </c>
      <c r="Q88" s="9" t="n">
        <f aca="false">P88</f>
        <v>0</v>
      </c>
      <c r="S88" s="6" t="n">
        <v>39030</v>
      </c>
      <c r="T88" s="9" t="n">
        <f aca="false">S88</f>
        <v>39030</v>
      </c>
      <c r="U88" s="6" t="n">
        <v>49000</v>
      </c>
      <c r="V88" s="9" t="n">
        <f aca="false">U88</f>
        <v>49000</v>
      </c>
      <c r="W88" s="45" t="n">
        <f aca="false">U88/G88</f>
        <v>62.5</v>
      </c>
      <c r="X88" s="41" t="n">
        <f aca="false">SUM(U88-S88)/S88</f>
        <v>0.255444529848834</v>
      </c>
      <c r="Y88" s="9" t="s">
        <v>60</v>
      </c>
      <c r="Z88" s="42"/>
      <c r="AA88" s="524"/>
      <c r="AB88" s="5" t="s">
        <v>43</v>
      </c>
      <c r="AC88" s="4" t="s">
        <v>119</v>
      </c>
      <c r="AF88" s="59"/>
      <c r="AJ88" s="525" t="s">
        <v>1104</v>
      </c>
    </row>
    <row r="89" customFormat="false" ht="19.4" hidden="false" customHeight="false" outlineLevel="0" collapsed="false">
      <c r="A89" s="11" t="s">
        <v>47</v>
      </c>
      <c r="B89" s="11" t="s">
        <v>38</v>
      </c>
      <c r="C89" s="29" t="n">
        <v>550600</v>
      </c>
      <c r="D89" s="4" t="s">
        <v>253</v>
      </c>
      <c r="E89" s="4" t="s">
        <v>254</v>
      </c>
      <c r="F89" s="5" t="s">
        <v>237</v>
      </c>
      <c r="G89" s="6" t="n">
        <v>1449</v>
      </c>
      <c r="H89" s="6" t="n">
        <f aca="false">G89</f>
        <v>1449</v>
      </c>
      <c r="I89" s="6" t="n">
        <v>1500</v>
      </c>
      <c r="J89" s="4" t="s">
        <v>255</v>
      </c>
      <c r="K89" s="7" t="n">
        <v>45624</v>
      </c>
      <c r="L89" s="8" t="n">
        <v>49275</v>
      </c>
      <c r="P89" s="9" t="n">
        <v>70000</v>
      </c>
      <c r="Q89" s="9" t="n">
        <f aca="false">P89</f>
        <v>70000</v>
      </c>
      <c r="S89" s="9" t="n">
        <v>76500</v>
      </c>
      <c r="T89" s="9" t="n">
        <f aca="false">S89</f>
        <v>76500</v>
      </c>
      <c r="U89" s="9" t="n">
        <v>76800</v>
      </c>
      <c r="V89" s="9" t="n">
        <f aca="false">U89</f>
        <v>76800</v>
      </c>
      <c r="W89" s="45" t="n">
        <f aca="false">U89/G89</f>
        <v>53.0020703933747</v>
      </c>
      <c r="X89" s="41" t="n">
        <f aca="false">SUM(U89-S89)/S89</f>
        <v>0.00392156862745098</v>
      </c>
      <c r="Y89" s="9" t="s">
        <v>42</v>
      </c>
      <c r="Z89" s="42"/>
      <c r="AA89" s="524"/>
      <c r="AB89" s="5" t="s">
        <v>43</v>
      </c>
      <c r="AC89" s="4" t="s">
        <v>256</v>
      </c>
      <c r="AD89" s="58"/>
      <c r="AF89" s="59"/>
      <c r="AJ89" s="525" t="s">
        <v>1103</v>
      </c>
    </row>
    <row r="90" customFormat="false" ht="15" hidden="false" customHeight="false" outlineLevel="0" collapsed="false">
      <c r="A90" s="11" t="s">
        <v>47</v>
      </c>
      <c r="B90" s="11" t="s">
        <v>38</v>
      </c>
      <c r="C90" s="29" t="n">
        <v>550600</v>
      </c>
      <c r="D90" s="4" t="s">
        <v>253</v>
      </c>
      <c r="E90" s="4" t="s">
        <v>257</v>
      </c>
      <c r="F90" s="5" t="s">
        <v>258</v>
      </c>
      <c r="G90" s="6" t="n">
        <v>1550</v>
      </c>
      <c r="H90" s="6" t="n">
        <f aca="false">G90</f>
        <v>1550</v>
      </c>
      <c r="I90" s="6" t="n">
        <v>1500</v>
      </c>
      <c r="J90" s="4" t="s">
        <v>259</v>
      </c>
      <c r="K90" s="7" t="n">
        <v>43293</v>
      </c>
      <c r="L90" s="8" t="n">
        <v>46214</v>
      </c>
      <c r="P90" s="9" t="n">
        <v>120000</v>
      </c>
      <c r="Q90" s="9" t="n">
        <f aca="false">P90</f>
        <v>120000</v>
      </c>
      <c r="S90" s="9" t="n">
        <v>81000</v>
      </c>
      <c r="T90" s="9" t="n">
        <f aca="false">S90</f>
        <v>81000</v>
      </c>
      <c r="U90" s="9" t="n">
        <v>97300</v>
      </c>
      <c r="V90" s="9" t="n">
        <f aca="false">U90</f>
        <v>97300</v>
      </c>
      <c r="W90" s="45" t="n">
        <f aca="false">U90/G90</f>
        <v>62.7741935483871</v>
      </c>
      <c r="X90" s="41" t="n">
        <f aca="false">SUM(U90-S90)/S90</f>
        <v>0.201234567901235</v>
      </c>
      <c r="Y90" s="9" t="s">
        <v>42</v>
      </c>
      <c r="Z90" s="42"/>
      <c r="AA90" s="524"/>
      <c r="AB90" s="5" t="s">
        <v>43</v>
      </c>
      <c r="AF90" s="59"/>
      <c r="AJ90" s="525" t="s">
        <v>1103</v>
      </c>
    </row>
    <row r="91" customFormat="false" ht="15" hidden="false" customHeight="false" outlineLevel="0" collapsed="false">
      <c r="A91" s="11" t="s">
        <v>47</v>
      </c>
      <c r="B91" s="11" t="s">
        <v>38</v>
      </c>
      <c r="C91" s="29" t="n">
        <v>550600</v>
      </c>
      <c r="D91" s="4" t="s">
        <v>253</v>
      </c>
      <c r="E91" s="4" t="s">
        <v>260</v>
      </c>
      <c r="F91" s="5" t="s">
        <v>40</v>
      </c>
      <c r="G91" s="6" t="n">
        <v>3441</v>
      </c>
      <c r="H91" s="6" t="n">
        <f aca="false">G91</f>
        <v>3441</v>
      </c>
      <c r="I91" s="6" t="n">
        <v>3500</v>
      </c>
      <c r="J91" s="4" t="s">
        <v>261</v>
      </c>
      <c r="K91" s="7" t="n">
        <v>44358</v>
      </c>
      <c r="L91" s="8" t="n">
        <v>48009</v>
      </c>
      <c r="N91" s="8" t="n">
        <v>46184</v>
      </c>
      <c r="O91" s="8" t="n">
        <v>46183</v>
      </c>
      <c r="P91" s="9" t="n">
        <v>189000</v>
      </c>
      <c r="Q91" s="9" t="n">
        <f aca="false">P91</f>
        <v>189000</v>
      </c>
      <c r="S91" s="9" t="n">
        <v>189300</v>
      </c>
      <c r="T91" s="9" t="n">
        <f aca="false">S91</f>
        <v>189300</v>
      </c>
      <c r="U91" s="9" t="n">
        <v>189300</v>
      </c>
      <c r="V91" s="9" t="n">
        <f aca="false">U91</f>
        <v>189300</v>
      </c>
      <c r="W91" s="45" t="n">
        <f aca="false">U91/G91</f>
        <v>55.0130775937228</v>
      </c>
      <c r="X91" s="41" t="n">
        <f aca="false">SUM(U91-S91)/S91</f>
        <v>0</v>
      </c>
      <c r="Y91" s="9" t="s">
        <v>127</v>
      </c>
      <c r="Z91" s="42"/>
      <c r="AA91" s="524"/>
      <c r="AB91" s="5" t="s">
        <v>43</v>
      </c>
      <c r="AC91" s="4" t="s">
        <v>262</v>
      </c>
      <c r="AF91" s="59"/>
      <c r="AJ91" s="525" t="s">
        <v>1103</v>
      </c>
    </row>
    <row r="92" customFormat="false" ht="19.4" hidden="false" customHeight="false" outlineLevel="0" collapsed="false">
      <c r="A92" s="11" t="s">
        <v>189</v>
      </c>
      <c r="B92" s="11" t="s">
        <v>38</v>
      </c>
      <c r="C92" s="29" t="n">
        <v>550990</v>
      </c>
      <c r="D92" s="4" t="s">
        <v>263</v>
      </c>
      <c r="E92" s="4" t="s">
        <v>264</v>
      </c>
      <c r="F92" s="5" t="s">
        <v>49</v>
      </c>
      <c r="G92" s="6" t="n">
        <v>1361</v>
      </c>
      <c r="H92" s="6" t="n">
        <f aca="false">G92</f>
        <v>1361</v>
      </c>
      <c r="J92" s="4" t="s">
        <v>265</v>
      </c>
      <c r="K92" s="7" t="n">
        <v>45352</v>
      </c>
      <c r="L92" s="8" t="n">
        <v>49003</v>
      </c>
      <c r="N92" s="8" t="n">
        <v>47178</v>
      </c>
      <c r="O92" s="8" t="n">
        <v>47177</v>
      </c>
      <c r="P92" s="9" t="n">
        <v>60000</v>
      </c>
      <c r="Q92" s="9" t="n">
        <f aca="false">P92</f>
        <v>60000</v>
      </c>
      <c r="S92" s="9" t="n">
        <v>55600</v>
      </c>
      <c r="T92" s="9" t="n">
        <f aca="false">S92</f>
        <v>55600</v>
      </c>
      <c r="U92" s="9" t="n">
        <v>59000</v>
      </c>
      <c r="V92" s="9" t="n">
        <f aca="false">U92</f>
        <v>59000</v>
      </c>
      <c r="W92" s="45" t="n">
        <f aca="false">U92/G92</f>
        <v>43.3504775900073</v>
      </c>
      <c r="X92" s="41" t="n">
        <f aca="false">SUM(U92-S92)/S92</f>
        <v>0.0611510791366907</v>
      </c>
      <c r="Y92" s="9" t="s">
        <v>55</v>
      </c>
      <c r="Z92" s="42"/>
      <c r="AA92" s="524"/>
      <c r="AB92" s="5" t="s">
        <v>43</v>
      </c>
      <c r="AC92" s="4" t="s">
        <v>266</v>
      </c>
      <c r="AF92" s="59"/>
      <c r="AJ92" s="525" t="s">
        <v>1103</v>
      </c>
    </row>
    <row r="93" customFormat="false" ht="15" hidden="false" customHeight="false" outlineLevel="0" collapsed="false">
      <c r="A93" s="11" t="s">
        <v>189</v>
      </c>
      <c r="B93" s="11" t="s">
        <v>38</v>
      </c>
      <c r="C93" s="29" t="n">
        <v>550990</v>
      </c>
      <c r="D93" s="4" t="s">
        <v>263</v>
      </c>
      <c r="E93" s="4" t="s">
        <v>89</v>
      </c>
      <c r="F93" s="5" t="s">
        <v>40</v>
      </c>
      <c r="G93" s="6" t="n">
        <v>552</v>
      </c>
      <c r="H93" s="6" t="n">
        <f aca="false">G93</f>
        <v>552</v>
      </c>
      <c r="J93" s="4" t="s">
        <v>267</v>
      </c>
      <c r="K93" s="7" t="n">
        <v>45579</v>
      </c>
      <c r="L93" s="8" t="n">
        <v>47404</v>
      </c>
      <c r="O93" s="8" t="n">
        <v>46673</v>
      </c>
      <c r="P93" s="9" t="n">
        <v>33000</v>
      </c>
      <c r="Q93" s="9" t="n">
        <f aca="false">P93</f>
        <v>33000</v>
      </c>
      <c r="S93" s="9" t="n">
        <v>29700</v>
      </c>
      <c r="T93" s="9" t="n">
        <f aca="false">S93</f>
        <v>29700</v>
      </c>
      <c r="U93" s="9" t="n">
        <v>30400</v>
      </c>
      <c r="V93" s="9" t="n">
        <f aca="false">U93</f>
        <v>30400</v>
      </c>
      <c r="W93" s="45" t="n">
        <f aca="false">U93/G93</f>
        <v>55.0724637681159</v>
      </c>
      <c r="X93" s="41" t="n">
        <f aca="false">SUM(U93-S93)/S93</f>
        <v>0.0235690235690236</v>
      </c>
      <c r="Y93" s="9" t="s">
        <v>60</v>
      </c>
      <c r="Z93" s="42"/>
      <c r="AA93" s="524"/>
      <c r="AB93" s="5" t="s">
        <v>43</v>
      </c>
      <c r="AC93" s="4" t="s">
        <v>77</v>
      </c>
      <c r="AD93" s="58"/>
      <c r="AF93" s="59"/>
      <c r="AJ93" s="525" t="s">
        <v>1103</v>
      </c>
    </row>
    <row r="94" customFormat="false" ht="15" hidden="false" customHeight="false" outlineLevel="0" collapsed="false">
      <c r="A94" s="11" t="s">
        <v>189</v>
      </c>
      <c r="B94" s="11" t="s">
        <v>38</v>
      </c>
      <c r="C94" s="29" t="n">
        <v>550990</v>
      </c>
      <c r="D94" s="4" t="s">
        <v>263</v>
      </c>
      <c r="E94" s="4" t="s">
        <v>93</v>
      </c>
      <c r="F94" s="5" t="s">
        <v>40</v>
      </c>
      <c r="G94" s="6" t="n">
        <v>304</v>
      </c>
      <c r="H94" s="6" t="n">
        <f aca="false">G94</f>
        <v>304</v>
      </c>
      <c r="I94" s="6" t="n">
        <v>250</v>
      </c>
      <c r="J94" s="4" t="s">
        <v>67</v>
      </c>
      <c r="M94" s="8" t="n">
        <v>43256</v>
      </c>
      <c r="P94" s="9" t="n">
        <v>0</v>
      </c>
      <c r="Q94" s="9" t="n">
        <f aca="false">P94</f>
        <v>0</v>
      </c>
      <c r="S94" s="9" t="n">
        <v>15800</v>
      </c>
      <c r="T94" s="9" t="n">
        <f aca="false">S94</f>
        <v>15800</v>
      </c>
      <c r="U94" s="9" t="n">
        <v>16700</v>
      </c>
      <c r="V94" s="9" t="n">
        <f aca="false">U94</f>
        <v>16700</v>
      </c>
      <c r="W94" s="45" t="n">
        <f aca="false">U94/G94</f>
        <v>54.9342105263158</v>
      </c>
      <c r="X94" s="41" t="n">
        <f aca="false">SUM(U94-S94)/S94</f>
        <v>0.0569620253164557</v>
      </c>
      <c r="Y94" s="9" t="s">
        <v>60</v>
      </c>
      <c r="Z94" s="42"/>
      <c r="AA94" s="524"/>
      <c r="AB94" s="5" t="s">
        <v>43</v>
      </c>
      <c r="AC94" s="4" t="s">
        <v>119</v>
      </c>
      <c r="AF94" s="59"/>
      <c r="AJ94" s="525" t="s">
        <v>1104</v>
      </c>
    </row>
    <row r="95" customFormat="false" ht="15" hidden="false" customHeight="false" outlineLevel="0" collapsed="false">
      <c r="A95" s="11" t="s">
        <v>189</v>
      </c>
      <c r="B95" s="11" t="s">
        <v>38</v>
      </c>
      <c r="C95" s="29" t="n">
        <v>550990</v>
      </c>
      <c r="D95" s="4" t="s">
        <v>263</v>
      </c>
      <c r="E95" s="4" t="s">
        <v>94</v>
      </c>
      <c r="F95" s="5" t="s">
        <v>40</v>
      </c>
      <c r="G95" s="6" t="n">
        <v>314</v>
      </c>
      <c r="H95" s="6" t="n">
        <f aca="false">G95</f>
        <v>314</v>
      </c>
      <c r="J95" s="4" t="s">
        <v>268</v>
      </c>
      <c r="K95" s="7" t="n">
        <v>45476</v>
      </c>
      <c r="L95" s="8" t="n">
        <v>47301</v>
      </c>
      <c r="O95" s="8" t="n">
        <v>46570</v>
      </c>
      <c r="P95" s="9" t="n">
        <v>17500</v>
      </c>
      <c r="Q95" s="9" t="n">
        <f aca="false">P95</f>
        <v>17500</v>
      </c>
      <c r="S95" s="9" t="n">
        <v>15000</v>
      </c>
      <c r="T95" s="9" t="n">
        <f aca="false">S95</f>
        <v>15000</v>
      </c>
      <c r="U95" s="9" t="n">
        <v>18100</v>
      </c>
      <c r="V95" s="9" t="n">
        <f aca="false">U95</f>
        <v>18100</v>
      </c>
      <c r="W95" s="45" t="n">
        <f aca="false">U95/G95</f>
        <v>57.6433121019108</v>
      </c>
      <c r="X95" s="41" t="n">
        <f aca="false">SUM(U95-S95)/S95</f>
        <v>0.206666666666667</v>
      </c>
      <c r="Y95" s="9" t="s">
        <v>42</v>
      </c>
      <c r="Z95" s="42"/>
      <c r="AA95" s="524"/>
      <c r="AB95" s="5" t="s">
        <v>43</v>
      </c>
      <c r="AC95" s="4" t="s">
        <v>269</v>
      </c>
      <c r="AE95" s="60"/>
      <c r="AF95" s="62"/>
      <c r="AG95" s="60"/>
      <c r="AJ95" s="525" t="s">
        <v>1103</v>
      </c>
    </row>
    <row r="96" customFormat="false" ht="15" hidden="false" customHeight="false" outlineLevel="0" collapsed="false">
      <c r="A96" s="11" t="s">
        <v>189</v>
      </c>
      <c r="B96" s="11" t="s">
        <v>38</v>
      </c>
      <c r="C96" s="29" t="n">
        <v>550990</v>
      </c>
      <c r="D96" s="4" t="s">
        <v>263</v>
      </c>
      <c r="E96" s="4" t="s">
        <v>118</v>
      </c>
      <c r="F96" s="5" t="s">
        <v>40</v>
      </c>
      <c r="G96" s="6" t="n">
        <v>314</v>
      </c>
      <c r="H96" s="6" t="n">
        <f aca="false">G96</f>
        <v>314</v>
      </c>
      <c r="J96" s="4" t="s">
        <v>270</v>
      </c>
      <c r="K96" s="7" t="n">
        <v>45754</v>
      </c>
      <c r="L96" s="8" t="n">
        <v>46849</v>
      </c>
      <c r="P96" s="9" t="n">
        <v>17500</v>
      </c>
      <c r="Q96" s="9" t="n">
        <f aca="false">P96</f>
        <v>17500</v>
      </c>
      <c r="S96" s="9" t="n">
        <v>15500</v>
      </c>
      <c r="T96" s="9" t="n">
        <f aca="false">S96</f>
        <v>15500</v>
      </c>
      <c r="U96" s="9" t="n">
        <v>17300</v>
      </c>
      <c r="V96" s="9" t="n">
        <f aca="false">U96</f>
        <v>17300</v>
      </c>
      <c r="W96" s="45" t="n">
        <f aca="false">U96/G96</f>
        <v>55.0955414012739</v>
      </c>
      <c r="X96" s="41" t="n">
        <f aca="false">SUM(U96-S96)/S96</f>
        <v>0.116129032258065</v>
      </c>
      <c r="Y96" s="9" t="s">
        <v>42</v>
      </c>
      <c r="Z96" s="42"/>
      <c r="AA96" s="524"/>
      <c r="AB96" s="5" t="s">
        <v>43</v>
      </c>
      <c r="AF96" s="59"/>
      <c r="AJ96" s="525" t="s">
        <v>1103</v>
      </c>
    </row>
    <row r="97" customFormat="false" ht="15" hidden="false" customHeight="false" outlineLevel="0" collapsed="false">
      <c r="A97" s="11" t="s">
        <v>189</v>
      </c>
      <c r="B97" s="11" t="s">
        <v>38</v>
      </c>
      <c r="C97" s="29" t="n">
        <v>550990</v>
      </c>
      <c r="D97" s="4" t="s">
        <v>263</v>
      </c>
      <c r="E97" s="4" t="s">
        <v>180</v>
      </c>
      <c r="F97" s="5" t="s">
        <v>40</v>
      </c>
      <c r="G97" s="6" t="n">
        <v>309</v>
      </c>
      <c r="H97" s="6" t="n">
        <f aca="false">G97</f>
        <v>309</v>
      </c>
      <c r="J97" s="4" t="s">
        <v>271</v>
      </c>
      <c r="K97" s="7" t="n">
        <v>44767</v>
      </c>
      <c r="L97" s="8" t="n">
        <v>45862</v>
      </c>
      <c r="P97" s="9" t="n">
        <v>16000</v>
      </c>
      <c r="Q97" s="9" t="n">
        <f aca="false">P97</f>
        <v>16000</v>
      </c>
      <c r="S97" s="9" t="n">
        <v>15000</v>
      </c>
      <c r="T97" s="9" t="n">
        <f aca="false">S97</f>
        <v>15000</v>
      </c>
      <c r="U97" s="9" t="n">
        <v>15500</v>
      </c>
      <c r="V97" s="9" t="n">
        <f aca="false">U97</f>
        <v>15500</v>
      </c>
      <c r="W97" s="45" t="n">
        <f aca="false">U97/G97</f>
        <v>50.1618122977346</v>
      </c>
      <c r="X97" s="41" t="n">
        <f aca="false">SUM(U97-S97)/S97</f>
        <v>0.0333333333333333</v>
      </c>
      <c r="Y97" s="9" t="s">
        <v>42</v>
      </c>
      <c r="Z97" s="42"/>
      <c r="AA97" s="524"/>
      <c r="AB97" s="5" t="s">
        <v>43</v>
      </c>
      <c r="AC97" s="4" t="s">
        <v>272</v>
      </c>
      <c r="AF97" s="59"/>
      <c r="AJ97" s="525" t="s">
        <v>1103</v>
      </c>
    </row>
    <row r="98" customFormat="false" ht="15" hidden="false" customHeight="false" outlineLevel="0" collapsed="false">
      <c r="A98" s="11" t="s">
        <v>106</v>
      </c>
      <c r="B98" s="11" t="s">
        <v>38</v>
      </c>
      <c r="C98" s="29" t="n">
        <v>550700</v>
      </c>
      <c r="D98" s="4" t="s">
        <v>273</v>
      </c>
      <c r="E98" s="4" t="s">
        <v>264</v>
      </c>
      <c r="F98" s="5" t="s">
        <v>49</v>
      </c>
      <c r="G98" s="6" t="n">
        <v>750</v>
      </c>
      <c r="H98" s="6" t="n">
        <f aca="false">G98</f>
        <v>750</v>
      </c>
      <c r="J98" s="4" t="s">
        <v>274</v>
      </c>
      <c r="K98" s="7" t="n">
        <v>45377</v>
      </c>
      <c r="L98" s="8" t="n">
        <v>49028</v>
      </c>
      <c r="N98" s="8" t="n">
        <v>47203</v>
      </c>
      <c r="P98" s="9" t="n">
        <v>45000</v>
      </c>
      <c r="Q98" s="9" t="n">
        <f aca="false">P98</f>
        <v>45000</v>
      </c>
      <c r="S98" s="9" t="n">
        <v>39000</v>
      </c>
      <c r="T98" s="9" t="n">
        <f aca="false">S98</f>
        <v>39000</v>
      </c>
      <c r="U98" s="9" t="n">
        <v>39000</v>
      </c>
      <c r="V98" s="9" t="n">
        <f aca="false">U98</f>
        <v>39000</v>
      </c>
      <c r="W98" s="45" t="n">
        <f aca="false">U98/G98</f>
        <v>52</v>
      </c>
      <c r="X98" s="41" t="n">
        <f aca="false">SUM(U98-S98)/S98</f>
        <v>0</v>
      </c>
      <c r="Y98" s="9" t="s">
        <v>60</v>
      </c>
      <c r="Z98" s="42"/>
      <c r="AA98" s="524"/>
      <c r="AB98" s="5" t="s">
        <v>43</v>
      </c>
      <c r="AJ98" s="525" t="s">
        <v>1103</v>
      </c>
    </row>
    <row r="99" customFormat="false" ht="15" hidden="false" customHeight="false" outlineLevel="0" collapsed="false">
      <c r="A99" s="11" t="s">
        <v>106</v>
      </c>
      <c r="B99" s="11" t="s">
        <v>38</v>
      </c>
      <c r="C99" s="29" t="n">
        <v>550700</v>
      </c>
      <c r="D99" s="4" t="s">
        <v>273</v>
      </c>
      <c r="E99" s="4" t="s">
        <v>89</v>
      </c>
      <c r="F99" s="5" t="s">
        <v>40</v>
      </c>
      <c r="G99" s="6" t="n">
        <v>325</v>
      </c>
      <c r="H99" s="6" t="n">
        <f aca="false">G99</f>
        <v>325</v>
      </c>
      <c r="I99" s="6" t="n">
        <v>500</v>
      </c>
      <c r="J99" s="4" t="s">
        <v>67</v>
      </c>
      <c r="M99" s="8" t="n">
        <v>45282</v>
      </c>
      <c r="P99" s="9" t="n">
        <v>0</v>
      </c>
      <c r="Q99" s="9" t="n">
        <f aca="false">P99</f>
        <v>0</v>
      </c>
      <c r="S99" s="9" t="n">
        <v>17100</v>
      </c>
      <c r="T99" s="9" t="n">
        <f aca="false">S99</f>
        <v>17100</v>
      </c>
      <c r="U99" s="9" t="n">
        <v>17100</v>
      </c>
      <c r="V99" s="9" t="n">
        <f aca="false">U99</f>
        <v>17100</v>
      </c>
      <c r="W99" s="45" t="n">
        <f aca="false">U99/G99</f>
        <v>52.6153846153846</v>
      </c>
      <c r="X99" s="41" t="n">
        <f aca="false">SUM(U99-S99)/S99</f>
        <v>0</v>
      </c>
      <c r="Y99" s="9" t="s">
        <v>127</v>
      </c>
      <c r="Z99" s="42"/>
      <c r="AA99" s="524"/>
      <c r="AB99" s="5" t="s">
        <v>43</v>
      </c>
      <c r="AC99" s="4" t="s">
        <v>119</v>
      </c>
      <c r="AD99" s="15" t="n">
        <v>58</v>
      </c>
      <c r="AF99" s="59" t="n">
        <v>4</v>
      </c>
      <c r="AJ99" s="525" t="s">
        <v>1104</v>
      </c>
    </row>
    <row r="100" customFormat="false" ht="15" hidden="false" customHeight="false" outlineLevel="0" collapsed="false">
      <c r="A100" s="11" t="s">
        <v>106</v>
      </c>
      <c r="B100" s="11" t="s">
        <v>38</v>
      </c>
      <c r="C100" s="29" t="n">
        <v>550700</v>
      </c>
      <c r="D100" s="4" t="s">
        <v>273</v>
      </c>
      <c r="E100" s="4" t="s">
        <v>93</v>
      </c>
      <c r="F100" s="5" t="s">
        <v>40</v>
      </c>
      <c r="G100" s="6" t="n">
        <v>325</v>
      </c>
      <c r="H100" s="6" t="n">
        <f aca="false">G100</f>
        <v>325</v>
      </c>
      <c r="I100" s="6" t="n">
        <v>500</v>
      </c>
      <c r="J100" s="4" t="s">
        <v>275</v>
      </c>
      <c r="K100" s="7" t="n">
        <v>45698</v>
      </c>
      <c r="L100" s="8" t="n">
        <v>46427</v>
      </c>
      <c r="P100" s="9" t="n">
        <v>22069</v>
      </c>
      <c r="Q100" s="9" t="n">
        <f aca="false">P100</f>
        <v>22069</v>
      </c>
      <c r="S100" s="9" t="n">
        <v>17100</v>
      </c>
      <c r="T100" s="9" t="n">
        <f aca="false">S100</f>
        <v>17100</v>
      </c>
      <c r="U100" s="9" t="n">
        <v>17100</v>
      </c>
      <c r="V100" s="9" t="n">
        <f aca="false">U100</f>
        <v>17100</v>
      </c>
      <c r="W100" s="45" t="n">
        <f aca="false">U100/G100</f>
        <v>52.6153846153846</v>
      </c>
      <c r="X100" s="41" t="n">
        <f aca="false">SUM(U100-S100)/S100</f>
        <v>0</v>
      </c>
      <c r="Y100" s="9" t="s">
        <v>60</v>
      </c>
      <c r="Z100" s="42"/>
      <c r="AA100" s="524"/>
      <c r="AB100" s="5" t="s">
        <v>43</v>
      </c>
      <c r="AC100" s="4" t="s">
        <v>276</v>
      </c>
      <c r="AF100" s="59" t="n">
        <v>1</v>
      </c>
      <c r="AJ100" s="525" t="s">
        <v>1103</v>
      </c>
    </row>
    <row r="101" customFormat="false" ht="15" hidden="false" customHeight="false" outlineLevel="0" collapsed="false">
      <c r="A101" s="11" t="s">
        <v>106</v>
      </c>
      <c r="B101" s="11" t="s">
        <v>38</v>
      </c>
      <c r="C101" s="29" t="n">
        <v>550700</v>
      </c>
      <c r="D101" s="4" t="s">
        <v>273</v>
      </c>
      <c r="E101" s="4" t="s">
        <v>94</v>
      </c>
      <c r="F101" s="5" t="s">
        <v>40</v>
      </c>
      <c r="G101" s="6" t="n">
        <v>325</v>
      </c>
      <c r="H101" s="6" t="n">
        <f aca="false">G101</f>
        <v>325</v>
      </c>
      <c r="I101" s="6" t="n">
        <v>500</v>
      </c>
      <c r="J101" s="4" t="s">
        <v>67</v>
      </c>
      <c r="M101" s="8" t="n">
        <v>44714</v>
      </c>
      <c r="P101" s="9" t="n">
        <v>0</v>
      </c>
      <c r="Q101" s="9" t="n">
        <f aca="false">P101</f>
        <v>0</v>
      </c>
      <c r="S101" s="9" t="n">
        <v>16300</v>
      </c>
      <c r="T101" s="9" t="n">
        <f aca="false">S101</f>
        <v>16300</v>
      </c>
      <c r="U101" s="9" t="n">
        <v>16300</v>
      </c>
      <c r="V101" s="9" t="n">
        <f aca="false">U101</f>
        <v>16300</v>
      </c>
      <c r="W101" s="45" t="n">
        <f aca="false">U101/G101</f>
        <v>50.1538461538462</v>
      </c>
      <c r="X101" s="41" t="n">
        <f aca="false">SUM(U101-S101)/S101</f>
        <v>0</v>
      </c>
      <c r="Y101" s="9" t="s">
        <v>42</v>
      </c>
      <c r="Z101" s="42"/>
      <c r="AA101" s="524"/>
      <c r="AB101" s="5" t="s">
        <v>43</v>
      </c>
      <c r="AC101" s="4" t="s">
        <v>119</v>
      </c>
      <c r="AD101" s="15" t="n">
        <v>52.5</v>
      </c>
      <c r="AF101" s="59"/>
      <c r="AJ101" s="525" t="s">
        <v>1104</v>
      </c>
    </row>
    <row r="102" customFormat="false" ht="15" hidden="false" customHeight="false" outlineLevel="0" collapsed="false">
      <c r="A102" s="11" t="s">
        <v>106</v>
      </c>
      <c r="B102" s="11" t="s">
        <v>38</v>
      </c>
      <c r="C102" s="29" t="n">
        <v>550710</v>
      </c>
      <c r="D102" s="4" t="s">
        <v>277</v>
      </c>
      <c r="E102" s="4" t="s">
        <v>264</v>
      </c>
      <c r="F102" s="5" t="s">
        <v>278</v>
      </c>
      <c r="G102" s="6" t="n">
        <v>807</v>
      </c>
      <c r="H102" s="6" t="n">
        <f aca="false">G102</f>
        <v>807</v>
      </c>
      <c r="I102" s="6" t="n">
        <v>1000</v>
      </c>
      <c r="J102" s="4" t="s">
        <v>279</v>
      </c>
      <c r="K102" s="7" t="n">
        <v>42179</v>
      </c>
      <c r="L102" s="8" t="n">
        <v>45831</v>
      </c>
      <c r="P102" s="9" t="n">
        <v>34320</v>
      </c>
      <c r="Q102" s="9" t="n">
        <f aca="false">P102</f>
        <v>34320</v>
      </c>
      <c r="S102" s="9" t="n">
        <v>34320</v>
      </c>
      <c r="T102" s="9" t="n">
        <f aca="false">S102</f>
        <v>34320</v>
      </c>
      <c r="U102" s="9" t="n">
        <v>34481</v>
      </c>
      <c r="V102" s="9" t="n">
        <f aca="false">U102</f>
        <v>34481</v>
      </c>
      <c r="W102" s="45" t="n">
        <f aca="false">U102/G102</f>
        <v>42.727385377943</v>
      </c>
      <c r="X102" s="41" t="n">
        <f aca="false">SUM(U102-S102)/S102</f>
        <v>0.00469114219114219</v>
      </c>
      <c r="Y102" s="9" t="s">
        <v>127</v>
      </c>
      <c r="Z102" s="42"/>
      <c r="AA102" s="524"/>
      <c r="AB102" s="5" t="s">
        <v>43</v>
      </c>
      <c r="AC102" s="4" t="s">
        <v>280</v>
      </c>
      <c r="AF102" s="59"/>
      <c r="AJ102" s="525" t="s">
        <v>1103</v>
      </c>
    </row>
    <row r="103" customFormat="false" ht="15" hidden="false" customHeight="false" outlineLevel="0" collapsed="false">
      <c r="A103" s="11" t="s">
        <v>106</v>
      </c>
      <c r="B103" s="11" t="s">
        <v>38</v>
      </c>
      <c r="C103" s="29" t="n">
        <v>550710</v>
      </c>
      <c r="D103" s="4" t="s">
        <v>277</v>
      </c>
      <c r="E103" s="4" t="s">
        <v>129</v>
      </c>
      <c r="F103" s="5" t="s">
        <v>281</v>
      </c>
      <c r="G103" s="6" t="n">
        <v>60</v>
      </c>
      <c r="H103" s="6" t="n">
        <f aca="false">G103</f>
        <v>60</v>
      </c>
      <c r="J103" s="4" t="s">
        <v>282</v>
      </c>
      <c r="K103" s="7" t="n">
        <v>44075</v>
      </c>
      <c r="L103" s="8" t="n">
        <v>45900</v>
      </c>
      <c r="P103" s="9" t="n">
        <v>12500</v>
      </c>
      <c r="Q103" s="9" t="n">
        <f aca="false">P103</f>
        <v>12500</v>
      </c>
      <c r="S103" s="9" t="n">
        <v>12000</v>
      </c>
      <c r="T103" s="9" t="n">
        <f aca="false">S103</f>
        <v>12000</v>
      </c>
      <c r="U103" s="9" t="n">
        <v>12000</v>
      </c>
      <c r="V103" s="9" t="n">
        <f aca="false">U103</f>
        <v>12000</v>
      </c>
      <c r="W103" s="45" t="n">
        <f aca="false">U103/G103</f>
        <v>200</v>
      </c>
      <c r="X103" s="41" t="n">
        <f aca="false">SUM(U103-S103)/S103</f>
        <v>0</v>
      </c>
      <c r="Y103" s="9" t="s">
        <v>127</v>
      </c>
      <c r="Z103" s="42"/>
      <c r="AA103" s="524"/>
      <c r="AB103" s="5" t="s">
        <v>43</v>
      </c>
      <c r="AC103" s="4" t="s">
        <v>283</v>
      </c>
      <c r="AF103" s="59"/>
      <c r="AJ103" s="525" t="s">
        <v>1103</v>
      </c>
    </row>
    <row r="104" customFormat="false" ht="15" hidden="false" customHeight="false" outlineLevel="0" collapsed="false">
      <c r="A104" s="11" t="s">
        <v>106</v>
      </c>
      <c r="B104" s="11" t="s">
        <v>38</v>
      </c>
      <c r="C104" s="29" t="n">
        <v>550710</v>
      </c>
      <c r="D104" s="4" t="s">
        <v>277</v>
      </c>
      <c r="E104" s="4" t="s">
        <v>89</v>
      </c>
      <c r="F104" s="5" t="s">
        <v>40</v>
      </c>
      <c r="G104" s="6" t="n">
        <v>370</v>
      </c>
      <c r="H104" s="6" t="n">
        <f aca="false">G104</f>
        <v>370</v>
      </c>
      <c r="I104" s="6" t="n">
        <v>500</v>
      </c>
      <c r="J104" s="4" t="s">
        <v>67</v>
      </c>
      <c r="M104" s="8" t="n">
        <v>43738</v>
      </c>
      <c r="P104" s="9" t="n">
        <v>0</v>
      </c>
      <c r="Q104" s="9" t="n">
        <f aca="false">P104</f>
        <v>0</v>
      </c>
      <c r="S104" s="9" t="n">
        <v>18500</v>
      </c>
      <c r="T104" s="9" t="n">
        <f aca="false">S104</f>
        <v>18500</v>
      </c>
      <c r="U104" s="9" t="n">
        <v>18500</v>
      </c>
      <c r="V104" s="9" t="n">
        <f aca="false">U104</f>
        <v>18500</v>
      </c>
      <c r="W104" s="45" t="n">
        <f aca="false">U104/G104</f>
        <v>50</v>
      </c>
      <c r="X104" s="41" t="n">
        <f aca="false">SUM(U104-S104)/S104</f>
        <v>0</v>
      </c>
      <c r="Y104" s="9" t="s">
        <v>127</v>
      </c>
      <c r="Z104" s="42"/>
      <c r="AA104" s="524"/>
      <c r="AB104" s="5" t="s">
        <v>43</v>
      </c>
      <c r="AC104" s="4" t="s">
        <v>119</v>
      </c>
      <c r="AD104" s="15" t="n">
        <v>52.5</v>
      </c>
      <c r="AE104" s="4" t="n">
        <v>1</v>
      </c>
      <c r="AF104" s="59" t="n">
        <v>3</v>
      </c>
      <c r="AJ104" s="525" t="s">
        <v>1104</v>
      </c>
    </row>
    <row r="105" customFormat="false" ht="15" hidden="false" customHeight="false" outlineLevel="0" collapsed="false">
      <c r="A105" s="11" t="s">
        <v>106</v>
      </c>
      <c r="B105" s="11" t="s">
        <v>38</v>
      </c>
      <c r="C105" s="29" t="n">
        <v>550710</v>
      </c>
      <c r="D105" s="4" t="s">
        <v>277</v>
      </c>
      <c r="E105" s="4" t="s">
        <v>93</v>
      </c>
      <c r="F105" s="5" t="s">
        <v>40</v>
      </c>
      <c r="G105" s="6" t="n">
        <v>325</v>
      </c>
      <c r="H105" s="6" t="n">
        <f aca="false">G105</f>
        <v>325</v>
      </c>
      <c r="I105" s="6" t="n">
        <v>500</v>
      </c>
      <c r="J105" s="4" t="s">
        <v>67</v>
      </c>
      <c r="M105" s="8" t="n">
        <v>45379</v>
      </c>
      <c r="P105" s="9" t="n">
        <v>0</v>
      </c>
      <c r="Q105" s="9" t="n">
        <f aca="false">P105</f>
        <v>0</v>
      </c>
      <c r="S105" s="9" t="n">
        <v>17000</v>
      </c>
      <c r="T105" s="9" t="n">
        <f aca="false">S105</f>
        <v>17000</v>
      </c>
      <c r="U105" s="9" t="n">
        <v>17062</v>
      </c>
      <c r="V105" s="9" t="n">
        <f aca="false">U105</f>
        <v>17062</v>
      </c>
      <c r="W105" s="45" t="n">
        <f aca="false">U105/G105</f>
        <v>52.4984615384615</v>
      </c>
      <c r="X105" s="41" t="n">
        <f aca="false">SUM(U105-S105)/S105</f>
        <v>0.00364705882352941</v>
      </c>
      <c r="Y105" s="9" t="s">
        <v>127</v>
      </c>
      <c r="Z105" s="42"/>
      <c r="AA105" s="524"/>
      <c r="AB105" s="5" t="s">
        <v>43</v>
      </c>
      <c r="AC105" s="4" t="s">
        <v>119</v>
      </c>
      <c r="AD105" s="15" t="n">
        <v>53</v>
      </c>
      <c r="AF105" s="59"/>
      <c r="AJ105" s="525" t="s">
        <v>1104</v>
      </c>
    </row>
    <row r="106" customFormat="false" ht="15" hidden="false" customHeight="false" outlineLevel="0" collapsed="false">
      <c r="A106" s="11" t="s">
        <v>106</v>
      </c>
      <c r="B106" s="11" t="s">
        <v>38</v>
      </c>
      <c r="C106" s="29" t="n">
        <v>550710</v>
      </c>
      <c r="D106" s="4" t="s">
        <v>277</v>
      </c>
      <c r="E106" s="4" t="s">
        <v>94</v>
      </c>
      <c r="F106" s="5" t="s">
        <v>40</v>
      </c>
      <c r="G106" s="6" t="n">
        <v>321</v>
      </c>
      <c r="H106" s="6" t="n">
        <f aca="false">G106</f>
        <v>321</v>
      </c>
      <c r="I106" s="6" t="n">
        <v>500</v>
      </c>
      <c r="J106" s="4" t="s">
        <v>67</v>
      </c>
      <c r="M106" s="8" t="n">
        <v>45170</v>
      </c>
      <c r="P106" s="9" t="n">
        <v>0</v>
      </c>
      <c r="Q106" s="9" t="n">
        <f aca="false">P106</f>
        <v>0</v>
      </c>
      <c r="S106" s="9" t="n">
        <v>17000</v>
      </c>
      <c r="T106" s="9" t="n">
        <f aca="false">S106</f>
        <v>17000</v>
      </c>
      <c r="U106" s="9" t="n">
        <v>16852</v>
      </c>
      <c r="V106" s="9" t="n">
        <f aca="false">U106</f>
        <v>16852</v>
      </c>
      <c r="W106" s="45" t="n">
        <f aca="false">U106/G106</f>
        <v>52.4984423676012</v>
      </c>
      <c r="X106" s="41" t="n">
        <f aca="false">SUM(U106-S106)/S106</f>
        <v>-0.00870588235294118</v>
      </c>
      <c r="Y106" s="9" t="s">
        <v>127</v>
      </c>
      <c r="Z106" s="42"/>
      <c r="AA106" s="524"/>
      <c r="AB106" s="5" t="s">
        <v>43</v>
      </c>
      <c r="AC106" s="4" t="s">
        <v>119</v>
      </c>
      <c r="AD106" s="15" t="n">
        <v>53</v>
      </c>
      <c r="AE106" s="4" t="n">
        <v>2</v>
      </c>
      <c r="AF106" s="59" t="n">
        <v>2</v>
      </c>
      <c r="AJ106" s="525" t="s">
        <v>1104</v>
      </c>
    </row>
    <row r="107" customFormat="false" ht="15" hidden="false" customHeight="false" outlineLevel="0" collapsed="false">
      <c r="A107" s="11" t="s">
        <v>236</v>
      </c>
      <c r="B107" s="11" t="s">
        <v>38</v>
      </c>
      <c r="C107" s="29" t="n">
        <v>550090</v>
      </c>
      <c r="D107" s="4" t="s">
        <v>284</v>
      </c>
      <c r="E107" s="4" t="s">
        <v>285</v>
      </c>
      <c r="F107" s="5" t="s">
        <v>237</v>
      </c>
      <c r="G107" s="6" t="n">
        <v>607</v>
      </c>
      <c r="H107" s="6" t="n">
        <f aca="false">G107</f>
        <v>607</v>
      </c>
      <c r="I107" s="6" t="n">
        <v>500</v>
      </c>
      <c r="J107" s="4" t="s">
        <v>279</v>
      </c>
      <c r="K107" s="7" t="n">
        <v>45706</v>
      </c>
      <c r="L107" s="8" t="n">
        <v>49357</v>
      </c>
      <c r="N107" s="8" t="n">
        <v>47532</v>
      </c>
      <c r="O107" s="8" t="n">
        <v>47531</v>
      </c>
      <c r="P107" s="9" t="n">
        <v>27000</v>
      </c>
      <c r="Q107" s="9" t="n">
        <f aca="false">P107</f>
        <v>27000</v>
      </c>
      <c r="S107" s="9" t="n">
        <v>25000</v>
      </c>
      <c r="T107" s="9" t="n">
        <f aca="false">S107</f>
        <v>25000</v>
      </c>
      <c r="U107" s="9" t="n">
        <v>25000</v>
      </c>
      <c r="V107" s="9" t="n">
        <f aca="false">U107</f>
        <v>25000</v>
      </c>
      <c r="W107" s="45" t="n">
        <f aca="false">U107/G107</f>
        <v>41.1861614497529</v>
      </c>
      <c r="X107" s="41" t="n">
        <f aca="false">SUM(U107-S107)/S107</f>
        <v>0</v>
      </c>
      <c r="Y107" s="9" t="s">
        <v>55</v>
      </c>
      <c r="Z107" s="42"/>
      <c r="AA107" s="524"/>
      <c r="AB107" s="5" t="s">
        <v>43</v>
      </c>
      <c r="AC107" s="4" t="s">
        <v>286</v>
      </c>
      <c r="AF107" s="59"/>
      <c r="AJ107" s="525" t="s">
        <v>1103</v>
      </c>
    </row>
    <row r="108" customFormat="false" ht="15" hidden="false" customHeight="false" outlineLevel="0" collapsed="false">
      <c r="A108" s="11" t="s">
        <v>236</v>
      </c>
      <c r="B108" s="11" t="s">
        <v>38</v>
      </c>
      <c r="C108" s="29" t="n">
        <v>550090</v>
      </c>
      <c r="D108" s="4" t="s">
        <v>284</v>
      </c>
      <c r="E108" s="4" t="s">
        <v>287</v>
      </c>
      <c r="F108" s="5" t="s">
        <v>134</v>
      </c>
      <c r="G108" s="6" t="n">
        <v>662</v>
      </c>
      <c r="H108" s="6" t="n">
        <f aca="false">G108</f>
        <v>662</v>
      </c>
      <c r="I108" s="6" t="n">
        <v>500</v>
      </c>
      <c r="J108" s="4" t="s">
        <v>279</v>
      </c>
      <c r="K108" s="7" t="n">
        <v>45706</v>
      </c>
      <c r="L108" s="8" t="n">
        <v>49357</v>
      </c>
      <c r="N108" s="8" t="n">
        <v>47532</v>
      </c>
      <c r="O108" s="8" t="n">
        <v>47531</v>
      </c>
      <c r="P108" s="9" t="n">
        <v>22000</v>
      </c>
      <c r="Q108" s="9" t="n">
        <f aca="false">P108</f>
        <v>22000</v>
      </c>
      <c r="S108" s="9" t="n">
        <v>20000</v>
      </c>
      <c r="T108" s="9" t="n">
        <f aca="false">S108</f>
        <v>20000</v>
      </c>
      <c r="U108" s="9" t="n">
        <v>20000</v>
      </c>
      <c r="V108" s="9" t="n">
        <f aca="false">U108</f>
        <v>20000</v>
      </c>
      <c r="W108" s="45" t="n">
        <f aca="false">U108/G108</f>
        <v>30.2114803625378</v>
      </c>
      <c r="X108" s="41" t="n">
        <f aca="false">SUM(U108-S108)/S108</f>
        <v>0</v>
      </c>
      <c r="Y108" s="9" t="s">
        <v>55</v>
      </c>
      <c r="Z108" s="42"/>
      <c r="AA108" s="524"/>
      <c r="AB108" s="5" t="s">
        <v>43</v>
      </c>
      <c r="AC108" s="4" t="s">
        <v>77</v>
      </c>
      <c r="AF108" s="59"/>
      <c r="AJ108" s="525" t="s">
        <v>1103</v>
      </c>
    </row>
    <row r="109" customFormat="false" ht="15" hidden="false" customHeight="false" outlineLevel="0" collapsed="false">
      <c r="A109" s="11" t="s">
        <v>236</v>
      </c>
      <c r="B109" s="11" t="s">
        <v>38</v>
      </c>
      <c r="C109" s="29" t="n">
        <v>550090</v>
      </c>
      <c r="D109" s="4" t="s">
        <v>284</v>
      </c>
      <c r="E109" s="4" t="s">
        <v>288</v>
      </c>
      <c r="F109" s="5" t="s">
        <v>40</v>
      </c>
      <c r="G109" s="6" t="n">
        <v>1765</v>
      </c>
      <c r="H109" s="6" t="n">
        <f aca="false">G109</f>
        <v>1765</v>
      </c>
      <c r="I109" s="6" t="n">
        <v>1750</v>
      </c>
      <c r="J109" s="4" t="s">
        <v>67</v>
      </c>
      <c r="M109" s="8" t="n">
        <v>43256</v>
      </c>
      <c r="P109" s="9" t="n">
        <v>0</v>
      </c>
      <c r="Q109" s="9" t="n">
        <f aca="false">P109</f>
        <v>0</v>
      </c>
      <c r="S109" s="9" t="n">
        <v>90000</v>
      </c>
      <c r="T109" s="9" t="n">
        <f aca="false">S109</f>
        <v>90000</v>
      </c>
      <c r="U109" s="9" t="n">
        <v>85000</v>
      </c>
      <c r="V109" s="9" t="n">
        <f aca="false">U109</f>
        <v>85000</v>
      </c>
      <c r="W109" s="45" t="n">
        <f aca="false">U109/G109</f>
        <v>48.1586402266289</v>
      </c>
      <c r="X109" s="41" t="n">
        <f aca="false">SUM(U109-S109)/S109</f>
        <v>-0.0555555555555556</v>
      </c>
      <c r="Y109" s="9" t="s">
        <v>127</v>
      </c>
      <c r="Z109" s="42"/>
      <c r="AA109" s="524"/>
      <c r="AB109" s="5" t="s">
        <v>43</v>
      </c>
      <c r="AC109" s="4" t="s">
        <v>228</v>
      </c>
      <c r="AE109" s="60"/>
      <c r="AF109" s="62"/>
      <c r="AG109" s="60"/>
      <c r="AJ109" s="525" t="s">
        <v>1104</v>
      </c>
    </row>
    <row r="110" customFormat="false" ht="19.4" hidden="false" customHeight="false" outlineLevel="0" collapsed="false">
      <c r="A110" s="11" t="s">
        <v>106</v>
      </c>
      <c r="B110" s="11" t="s">
        <v>38</v>
      </c>
      <c r="C110" s="29" t="n">
        <v>550750</v>
      </c>
      <c r="D110" s="4" t="s">
        <v>289</v>
      </c>
      <c r="E110" s="4" t="s">
        <v>290</v>
      </c>
      <c r="F110" s="5" t="s">
        <v>291</v>
      </c>
      <c r="G110" s="43" t="n">
        <v>1305</v>
      </c>
      <c r="H110" s="9" t="n">
        <f aca="false">G110</f>
        <v>1305</v>
      </c>
      <c r="I110" s="9" t="n">
        <v>1250</v>
      </c>
      <c r="J110" s="4" t="s">
        <v>292</v>
      </c>
      <c r="K110" s="7" t="n">
        <v>45748</v>
      </c>
      <c r="L110" s="8" t="n">
        <v>49399</v>
      </c>
      <c r="N110" s="8" t="n">
        <v>47574</v>
      </c>
      <c r="O110" s="8" t="n">
        <v>47573</v>
      </c>
      <c r="P110" s="9" t="n">
        <v>0</v>
      </c>
      <c r="Q110" s="9" t="n">
        <f aca="false">P110</f>
        <v>0</v>
      </c>
      <c r="R110" s="44" t="n">
        <f aca="false">Q110</f>
        <v>0</v>
      </c>
      <c r="S110" s="44" t="n">
        <v>90000</v>
      </c>
      <c r="T110" s="9" t="n">
        <f aca="false">S110</f>
        <v>90000</v>
      </c>
      <c r="U110" s="44" t="n">
        <v>90000</v>
      </c>
      <c r="V110" s="9" t="n">
        <f aca="false">U110</f>
        <v>90000</v>
      </c>
      <c r="W110" s="45" t="n">
        <f aca="false">U110/G110</f>
        <v>68.9655172413793</v>
      </c>
      <c r="X110" s="41" t="n">
        <f aca="false">SUM(U110-S110)/S110</f>
        <v>0</v>
      </c>
      <c r="Y110" s="9" t="s">
        <v>60</v>
      </c>
      <c r="Z110" s="42"/>
      <c r="AA110" s="44" t="n">
        <v>1630000</v>
      </c>
      <c r="AB110" s="5" t="s">
        <v>43</v>
      </c>
      <c r="AC110" s="4" t="s">
        <v>293</v>
      </c>
      <c r="AD110" s="15" t="n">
        <v>69</v>
      </c>
      <c r="AF110" s="59" t="n">
        <v>10</v>
      </c>
      <c r="AG110" s="4" t="s">
        <v>57</v>
      </c>
      <c r="AJ110" s="525" t="s">
        <v>1103</v>
      </c>
    </row>
    <row r="111" customFormat="false" ht="15" hidden="false" customHeight="false" outlineLevel="0" collapsed="false">
      <c r="A111" s="11" t="s">
        <v>236</v>
      </c>
      <c r="B111" s="11" t="s">
        <v>38</v>
      </c>
      <c r="C111" s="29" t="n">
        <v>550880</v>
      </c>
      <c r="D111" s="4" t="s">
        <v>294</v>
      </c>
      <c r="E111" s="4" t="s">
        <v>174</v>
      </c>
      <c r="F111" s="5" t="s">
        <v>134</v>
      </c>
      <c r="G111" s="95" t="n">
        <v>1440</v>
      </c>
      <c r="H111" s="9" t="n">
        <f aca="false">G111</f>
        <v>1440</v>
      </c>
      <c r="I111" s="9" t="n">
        <v>1500</v>
      </c>
      <c r="J111" s="4" t="s">
        <v>295</v>
      </c>
      <c r="K111" s="8" t="n">
        <v>43430</v>
      </c>
      <c r="L111" s="8" t="n">
        <v>47082</v>
      </c>
      <c r="N111" s="8" t="n">
        <v>45256</v>
      </c>
      <c r="P111" s="9" t="n">
        <v>100000</v>
      </c>
      <c r="Q111" s="9" t="n">
        <f aca="false">P111</f>
        <v>100000</v>
      </c>
      <c r="S111" s="9" t="n">
        <v>100000</v>
      </c>
      <c r="T111" s="9" t="n">
        <f aca="false">S111</f>
        <v>100000</v>
      </c>
      <c r="U111" s="9" t="n">
        <v>100000</v>
      </c>
      <c r="V111" s="9" t="n">
        <f aca="false">U111</f>
        <v>100000</v>
      </c>
      <c r="W111" s="45" t="n">
        <f aca="false">U111/G111</f>
        <v>69.4444444444444</v>
      </c>
      <c r="X111" s="41" t="n">
        <f aca="false">SUM(U111-S111)/S111</f>
        <v>0</v>
      </c>
      <c r="Y111" s="9" t="s">
        <v>42</v>
      </c>
      <c r="Z111" s="42"/>
      <c r="AA111" s="524"/>
      <c r="AB111" s="5" t="s">
        <v>43</v>
      </c>
      <c r="AC111" s="4" t="s">
        <v>296</v>
      </c>
      <c r="AF111" s="59"/>
      <c r="AJ111" s="525" t="s">
        <v>1103</v>
      </c>
    </row>
    <row r="112" customFormat="false" ht="15" hidden="false" customHeight="false" outlineLevel="0" collapsed="false">
      <c r="A112" s="11" t="s">
        <v>236</v>
      </c>
      <c r="B112" s="11" t="s">
        <v>38</v>
      </c>
      <c r="C112" s="29" t="n">
        <v>550880</v>
      </c>
      <c r="D112" s="4" t="s">
        <v>294</v>
      </c>
      <c r="E112" s="4" t="s">
        <v>297</v>
      </c>
      <c r="F112" s="11" t="s">
        <v>298</v>
      </c>
      <c r="G112" s="6" t="n">
        <v>1082</v>
      </c>
      <c r="H112" s="9" t="n">
        <f aca="false">G112</f>
        <v>1082</v>
      </c>
      <c r="I112" s="9" t="n">
        <v>1000</v>
      </c>
      <c r="J112" s="96" t="s">
        <v>299</v>
      </c>
      <c r="K112" s="8" t="n">
        <v>45065</v>
      </c>
      <c r="L112" s="8" t="n">
        <v>46160</v>
      </c>
      <c r="P112" s="9" t="n">
        <v>88400</v>
      </c>
      <c r="Q112" s="9" t="n">
        <f aca="false">P112</f>
        <v>88400</v>
      </c>
      <c r="S112" s="9" t="n">
        <v>58968</v>
      </c>
      <c r="T112" s="9" t="n">
        <f aca="false">S112</f>
        <v>58968</v>
      </c>
      <c r="U112" s="9" t="n">
        <v>58968</v>
      </c>
      <c r="V112" s="9" t="n">
        <f aca="false">U112</f>
        <v>58968</v>
      </c>
      <c r="W112" s="45" t="n">
        <f aca="false">U112/G112</f>
        <v>54.4990757855823</v>
      </c>
      <c r="X112" s="41" t="n">
        <f aca="false">SUM(U112-S112)/S112</f>
        <v>0</v>
      </c>
      <c r="Y112" s="9" t="s">
        <v>60</v>
      </c>
      <c r="Z112" s="42"/>
      <c r="AA112" s="524"/>
      <c r="AB112" s="5" t="s">
        <v>43</v>
      </c>
      <c r="AF112" s="59"/>
      <c r="AJ112" s="525" t="s">
        <v>1103</v>
      </c>
    </row>
    <row r="113" customFormat="false" ht="19.4" hidden="false" customHeight="false" outlineLevel="0" collapsed="false">
      <c r="A113" s="11" t="s">
        <v>106</v>
      </c>
      <c r="B113" s="11" t="s">
        <v>38</v>
      </c>
      <c r="C113" s="29" t="n">
        <v>550180</v>
      </c>
      <c r="D113" s="4" t="s">
        <v>300</v>
      </c>
      <c r="E113" s="4" t="s">
        <v>301</v>
      </c>
      <c r="F113" s="5" t="s">
        <v>237</v>
      </c>
      <c r="G113" s="6" t="n">
        <v>2026</v>
      </c>
      <c r="H113" s="6" t="n">
        <f aca="false">G113</f>
        <v>2026</v>
      </c>
      <c r="I113" s="6" t="n">
        <v>2000</v>
      </c>
      <c r="J113" s="4" t="s">
        <v>302</v>
      </c>
      <c r="K113" s="7" t="n">
        <v>45247</v>
      </c>
      <c r="L113" s="8" t="n">
        <v>48899</v>
      </c>
      <c r="N113" s="8" t="n">
        <v>47074</v>
      </c>
      <c r="O113" s="8" t="n">
        <v>47073</v>
      </c>
      <c r="P113" s="9" t="n">
        <v>100000</v>
      </c>
      <c r="Q113" s="9" t="n">
        <f aca="false">P113</f>
        <v>100000</v>
      </c>
      <c r="S113" s="9" t="n">
        <v>71800</v>
      </c>
      <c r="T113" s="9" t="n">
        <f aca="false">S113</f>
        <v>71800</v>
      </c>
      <c r="U113" s="9" t="n">
        <v>100000</v>
      </c>
      <c r="V113" s="9" t="n">
        <f aca="false">U113</f>
        <v>100000</v>
      </c>
      <c r="W113" s="45" t="n">
        <f aca="false">U113/G113</f>
        <v>49.3583415597236</v>
      </c>
      <c r="X113" s="41" t="n">
        <f aca="false">SUM(U113-S113)/S113</f>
        <v>0.392757660167131</v>
      </c>
      <c r="Y113" s="9" t="s">
        <v>42</v>
      </c>
      <c r="Z113" s="42"/>
      <c r="AA113" s="524"/>
      <c r="AB113" s="5" t="s">
        <v>43</v>
      </c>
      <c r="AC113" s="4" t="s">
        <v>303</v>
      </c>
      <c r="AF113" s="59"/>
      <c r="AJ113" s="525" t="s">
        <v>1103</v>
      </c>
    </row>
    <row r="114" customFormat="false" ht="15" hidden="false" customHeight="false" outlineLevel="0" collapsed="false">
      <c r="A114" s="11" t="s">
        <v>106</v>
      </c>
      <c r="B114" s="11" t="s">
        <v>38</v>
      </c>
      <c r="C114" s="29" t="n">
        <v>550180</v>
      </c>
      <c r="D114" s="4" t="s">
        <v>300</v>
      </c>
      <c r="E114" s="4" t="s">
        <v>254</v>
      </c>
      <c r="F114" s="5" t="s">
        <v>237</v>
      </c>
      <c r="G114" s="6" t="n">
        <v>2202</v>
      </c>
      <c r="H114" s="6" t="n">
        <f aca="false">G114</f>
        <v>2202</v>
      </c>
      <c r="I114" s="6" t="n">
        <v>2000</v>
      </c>
      <c r="J114" s="4" t="s">
        <v>304</v>
      </c>
      <c r="K114" s="7" t="n">
        <v>44497</v>
      </c>
      <c r="L114" s="8" t="n">
        <v>46322</v>
      </c>
      <c r="P114" s="9" t="n">
        <v>96000</v>
      </c>
      <c r="Q114" s="9" t="n">
        <f aca="false">P114</f>
        <v>96000</v>
      </c>
      <c r="S114" s="9" t="n">
        <v>78600</v>
      </c>
      <c r="T114" s="9" t="n">
        <f aca="false">S114</f>
        <v>78600</v>
      </c>
      <c r="U114" s="9" t="n">
        <v>96000</v>
      </c>
      <c r="V114" s="9" t="n">
        <f aca="false">U114</f>
        <v>96000</v>
      </c>
      <c r="W114" s="45" t="n">
        <f aca="false">U114/G114</f>
        <v>43.5967302452316</v>
      </c>
      <c r="X114" s="41" t="n">
        <f aca="false">SUM(U114-S114)/S114</f>
        <v>0.221374045801527</v>
      </c>
      <c r="Y114" s="9" t="s">
        <v>42</v>
      </c>
      <c r="Z114" s="42"/>
      <c r="AA114" s="524"/>
      <c r="AB114" s="5" t="s">
        <v>43</v>
      </c>
      <c r="AF114" s="59"/>
      <c r="AJ114" s="525" t="s">
        <v>1103</v>
      </c>
    </row>
    <row r="115" customFormat="false" ht="15" hidden="false" customHeight="false" outlineLevel="0" collapsed="false">
      <c r="A115" s="11" t="s">
        <v>106</v>
      </c>
      <c r="B115" s="11" t="s">
        <v>38</v>
      </c>
      <c r="C115" s="29" t="n">
        <v>550180</v>
      </c>
      <c r="D115" s="4" t="s">
        <v>300</v>
      </c>
      <c r="E115" s="4" t="s">
        <v>89</v>
      </c>
      <c r="F115" s="5" t="s">
        <v>305</v>
      </c>
      <c r="G115" s="6" t="n">
        <v>1977</v>
      </c>
      <c r="H115" s="6" t="n">
        <f aca="false">G115</f>
        <v>1977</v>
      </c>
      <c r="I115" s="6" t="n">
        <v>2000</v>
      </c>
      <c r="J115" s="4" t="s">
        <v>302</v>
      </c>
      <c r="K115" s="7" t="n">
        <v>45441</v>
      </c>
      <c r="P115" s="9" t="n">
        <v>96000</v>
      </c>
      <c r="Q115" s="9" t="n">
        <f aca="false">P115</f>
        <v>96000</v>
      </c>
      <c r="S115" s="9" t="n">
        <v>121900</v>
      </c>
      <c r="T115" s="9" t="n">
        <f aca="false">S115</f>
        <v>121900</v>
      </c>
      <c r="U115" s="9" t="n">
        <v>133400</v>
      </c>
      <c r="V115" s="9" t="n">
        <f aca="false">U115</f>
        <v>133400</v>
      </c>
      <c r="W115" s="45" t="n">
        <f aca="false">U115/G115</f>
        <v>67.4759736975215</v>
      </c>
      <c r="X115" s="41" t="n">
        <f aca="false">SUM(U115-S115)/S115</f>
        <v>0.0943396226415094</v>
      </c>
      <c r="Y115" s="9" t="s">
        <v>60</v>
      </c>
      <c r="Z115" s="42"/>
      <c r="AA115" s="524"/>
      <c r="AB115" s="5" t="s">
        <v>43</v>
      </c>
      <c r="AC115" s="4" t="s">
        <v>306</v>
      </c>
      <c r="AE115" s="60"/>
      <c r="AF115" s="62"/>
      <c r="AG115" s="60"/>
      <c r="AJ115" s="525" t="s">
        <v>1103</v>
      </c>
    </row>
    <row r="116" customFormat="false" ht="15" hidden="false" customHeight="false" outlineLevel="0" collapsed="false">
      <c r="A116" s="11" t="s">
        <v>106</v>
      </c>
      <c r="B116" s="11" t="s">
        <v>38</v>
      </c>
      <c r="C116" s="29" t="n">
        <v>550180</v>
      </c>
      <c r="D116" s="4" t="s">
        <v>300</v>
      </c>
      <c r="E116" s="4" t="s">
        <v>93</v>
      </c>
      <c r="F116" s="5" t="s">
        <v>40</v>
      </c>
      <c r="G116" s="6" t="n">
        <v>1938</v>
      </c>
      <c r="H116" s="6" t="n">
        <f aca="false">G116</f>
        <v>1938</v>
      </c>
      <c r="I116" s="6" t="n">
        <v>2000</v>
      </c>
      <c r="J116" s="4" t="s">
        <v>307</v>
      </c>
      <c r="K116" s="7" t="n">
        <v>44768</v>
      </c>
      <c r="L116" s="8" t="n">
        <v>45863</v>
      </c>
      <c r="P116" s="9" t="n">
        <v>152250</v>
      </c>
      <c r="Q116" s="9" t="n">
        <f aca="false">P116</f>
        <v>152250</v>
      </c>
      <c r="S116" s="9" t="n">
        <v>121800</v>
      </c>
      <c r="T116" s="9" t="n">
        <f aca="false">S116</f>
        <v>121800</v>
      </c>
      <c r="U116" s="9" t="n">
        <v>130800</v>
      </c>
      <c r="V116" s="9" t="n">
        <f aca="false">U116</f>
        <v>130800</v>
      </c>
      <c r="W116" s="45" t="n">
        <f aca="false">U116/G116</f>
        <v>67.4922600619195</v>
      </c>
      <c r="X116" s="41" t="n">
        <f aca="false">SUM(U116-S116)/S116</f>
        <v>0.0738916256157636</v>
      </c>
      <c r="Y116" s="9" t="s">
        <v>60</v>
      </c>
      <c r="Z116" s="42"/>
      <c r="AA116" s="524"/>
      <c r="AB116" s="5" t="s">
        <v>43</v>
      </c>
      <c r="AC116" s="4" t="s">
        <v>308</v>
      </c>
      <c r="AF116" s="59"/>
      <c r="AJ116" s="525" t="s">
        <v>1103</v>
      </c>
    </row>
    <row r="117" customFormat="false" ht="15" hidden="false" customHeight="false" outlineLevel="0" collapsed="false">
      <c r="A117" s="11" t="s">
        <v>106</v>
      </c>
      <c r="B117" s="11" t="s">
        <v>38</v>
      </c>
      <c r="C117" s="29" t="n">
        <v>550180</v>
      </c>
      <c r="D117" s="4" t="s">
        <v>300</v>
      </c>
      <c r="E117" s="4" t="s">
        <v>94</v>
      </c>
      <c r="F117" s="5" t="s">
        <v>309</v>
      </c>
      <c r="G117" s="6" t="n">
        <v>1961</v>
      </c>
      <c r="H117" s="6" t="n">
        <f aca="false">G117</f>
        <v>1961</v>
      </c>
      <c r="I117" s="6" t="n">
        <v>2000</v>
      </c>
      <c r="J117" s="4" t="s">
        <v>310</v>
      </c>
      <c r="K117" s="7" t="n">
        <v>45357</v>
      </c>
      <c r="L117" s="8" t="n">
        <v>47182</v>
      </c>
      <c r="P117" s="9" t="n">
        <v>137025</v>
      </c>
      <c r="Q117" s="9" t="n">
        <f aca="false">P117</f>
        <v>137025</v>
      </c>
      <c r="S117" s="9" t="n">
        <v>121800</v>
      </c>
      <c r="T117" s="9" t="n">
        <f aca="false">S117</f>
        <v>121800</v>
      </c>
      <c r="U117" s="9" t="n">
        <v>137035</v>
      </c>
      <c r="V117" s="9" t="n">
        <f aca="false">U117</f>
        <v>137035</v>
      </c>
      <c r="W117" s="45" t="n">
        <f aca="false">U117/G117</f>
        <v>69.88016318205</v>
      </c>
      <c r="X117" s="41" t="n">
        <f aca="false">SUM(U117-S117)/S117</f>
        <v>0.12508210180624</v>
      </c>
      <c r="Y117" s="9" t="s">
        <v>55</v>
      </c>
      <c r="Z117" s="42"/>
      <c r="AA117" s="524"/>
      <c r="AB117" s="5" t="s">
        <v>43</v>
      </c>
      <c r="AC117" s="4" t="s">
        <v>311</v>
      </c>
      <c r="AF117" s="59"/>
      <c r="AJ117" s="525" t="s">
        <v>1103</v>
      </c>
    </row>
    <row r="118" customFormat="false" ht="15" hidden="false" customHeight="false" outlineLevel="0" collapsed="false">
      <c r="A118" s="11" t="s">
        <v>106</v>
      </c>
      <c r="B118" s="11" t="s">
        <v>38</v>
      </c>
      <c r="C118" s="29" t="n">
        <v>550180</v>
      </c>
      <c r="D118" s="4" t="s">
        <v>300</v>
      </c>
      <c r="E118" s="4" t="s">
        <v>118</v>
      </c>
      <c r="F118" s="5" t="s">
        <v>309</v>
      </c>
      <c r="G118" s="6" t="n">
        <v>1992</v>
      </c>
      <c r="H118" s="6" t="n">
        <f aca="false">G118</f>
        <v>1992</v>
      </c>
      <c r="I118" s="6" t="n">
        <v>2000</v>
      </c>
      <c r="J118" s="4" t="s">
        <v>67</v>
      </c>
      <c r="K118" s="8"/>
      <c r="M118" s="8" t="n">
        <v>45596</v>
      </c>
      <c r="P118" s="9" t="n">
        <v>0</v>
      </c>
      <c r="Q118" s="9" t="n">
        <f aca="false">P118</f>
        <v>0</v>
      </c>
      <c r="S118" s="9" t="n">
        <v>117300</v>
      </c>
      <c r="T118" s="9" t="n">
        <f aca="false">S118</f>
        <v>117300</v>
      </c>
      <c r="U118" s="9" t="n">
        <v>130325</v>
      </c>
      <c r="V118" s="9" t="n">
        <f aca="false">U118</f>
        <v>130325</v>
      </c>
      <c r="W118" s="45" t="n">
        <f aca="false">U118/G118</f>
        <v>65.4241967871486</v>
      </c>
      <c r="X118" s="41" t="n">
        <f aca="false">SUM(U118-S118)/S118</f>
        <v>0.111040068201194</v>
      </c>
      <c r="Y118" s="9" t="s">
        <v>60</v>
      </c>
      <c r="Z118" s="42"/>
      <c r="AA118" s="524"/>
      <c r="AB118" s="5" t="s">
        <v>43</v>
      </c>
      <c r="AC118" s="4" t="s">
        <v>119</v>
      </c>
      <c r="AD118" s="15" t="n">
        <v>72.5</v>
      </c>
      <c r="AE118" s="4" t="n">
        <v>4</v>
      </c>
      <c r="AF118" s="59" t="n">
        <v>9</v>
      </c>
      <c r="AG118" s="4" t="s">
        <v>57</v>
      </c>
      <c r="AJ118" s="525" t="s">
        <v>1104</v>
      </c>
    </row>
    <row r="119" customFormat="false" ht="19.4" hidden="false" customHeight="false" outlineLevel="0" collapsed="false">
      <c r="A119" s="11" t="s">
        <v>106</v>
      </c>
      <c r="B119" s="11" t="s">
        <v>38</v>
      </c>
      <c r="C119" s="29" t="n">
        <v>550180</v>
      </c>
      <c r="D119" s="4" t="s">
        <v>300</v>
      </c>
      <c r="E119" s="4" t="s">
        <v>180</v>
      </c>
      <c r="F119" s="5" t="s">
        <v>312</v>
      </c>
      <c r="G119" s="6" t="n">
        <v>1468</v>
      </c>
      <c r="H119" s="6" t="n">
        <f aca="false">G119</f>
        <v>1468</v>
      </c>
      <c r="I119" s="6" t="n">
        <v>1500</v>
      </c>
      <c r="J119" s="4" t="s">
        <v>313</v>
      </c>
      <c r="K119" s="7" t="n">
        <v>44805</v>
      </c>
      <c r="L119" s="8" t="n">
        <v>46630</v>
      </c>
      <c r="O119" s="8" t="n">
        <v>45900</v>
      </c>
      <c r="P119" s="9" t="n">
        <v>98280</v>
      </c>
      <c r="Q119" s="9" t="n">
        <f aca="false">P119</f>
        <v>98280</v>
      </c>
      <c r="S119" s="9" t="n">
        <v>100400</v>
      </c>
      <c r="T119" s="9" t="n">
        <f aca="false">S119</f>
        <v>100400</v>
      </c>
      <c r="U119" s="9" t="n">
        <v>99100</v>
      </c>
      <c r="V119" s="9" t="n">
        <f aca="false">U119</f>
        <v>99100</v>
      </c>
      <c r="W119" s="45" t="n">
        <f aca="false">U119/G119</f>
        <v>67.5068119891008</v>
      </c>
      <c r="X119" s="41" t="n">
        <f aca="false">SUM(U119-S119)/S119</f>
        <v>-0.0129482071713147</v>
      </c>
      <c r="Y119" s="98" t="s">
        <v>55</v>
      </c>
      <c r="Z119" s="42"/>
      <c r="AA119" s="524"/>
      <c r="AB119" s="5" t="s">
        <v>43</v>
      </c>
      <c r="AC119" s="4" t="s">
        <v>314</v>
      </c>
      <c r="AF119" s="59"/>
      <c r="AJ119" s="525" t="s">
        <v>1103</v>
      </c>
    </row>
    <row r="120" customFormat="false" ht="19.4" hidden="false" customHeight="false" outlineLevel="0" collapsed="false">
      <c r="A120" s="11" t="s">
        <v>106</v>
      </c>
      <c r="B120" s="11" t="s">
        <v>38</v>
      </c>
      <c r="C120" s="29" t="n">
        <v>550420</v>
      </c>
      <c r="D120" s="4" t="s">
        <v>316</v>
      </c>
      <c r="E120" s="4" t="s">
        <v>317</v>
      </c>
      <c r="F120" s="5" t="s">
        <v>237</v>
      </c>
      <c r="G120" s="6" t="n">
        <v>1115</v>
      </c>
      <c r="H120" s="6" t="n">
        <f aca="false">G120</f>
        <v>1115</v>
      </c>
      <c r="I120" s="6" t="n">
        <v>1000</v>
      </c>
      <c r="J120" s="60" t="s">
        <v>318</v>
      </c>
      <c r="K120" s="7" t="n">
        <v>45504</v>
      </c>
      <c r="L120" s="8" t="n">
        <v>47329</v>
      </c>
      <c r="O120" s="8" t="n">
        <v>46599</v>
      </c>
      <c r="P120" s="9" t="n">
        <v>60000</v>
      </c>
      <c r="Q120" s="9" t="n">
        <f aca="false">P120</f>
        <v>60000</v>
      </c>
      <c r="S120" s="9" t="n">
        <v>50400</v>
      </c>
      <c r="T120" s="9" t="n">
        <f aca="false">S120</f>
        <v>50400</v>
      </c>
      <c r="U120" s="9" t="n">
        <v>63500</v>
      </c>
      <c r="V120" s="9" t="n">
        <f aca="false">U120</f>
        <v>63500</v>
      </c>
      <c r="W120" s="45" t="n">
        <f aca="false">U120/G120</f>
        <v>56.9506726457399</v>
      </c>
      <c r="X120" s="41" t="n">
        <f aca="false">SUM(U120-S120)/S120</f>
        <v>0.259920634920635</v>
      </c>
      <c r="Y120" s="9" t="s">
        <v>42</v>
      </c>
      <c r="Z120" s="42"/>
      <c r="AA120" s="524"/>
      <c r="AB120" s="5" t="s">
        <v>43</v>
      </c>
      <c r="AC120" s="4" t="s">
        <v>319</v>
      </c>
      <c r="AE120" s="60"/>
      <c r="AF120" s="62"/>
      <c r="AG120" s="60"/>
      <c r="AJ120" s="525" t="s">
        <v>1103</v>
      </c>
    </row>
    <row r="121" customFormat="false" ht="15" hidden="false" customHeight="false" outlineLevel="0" collapsed="false">
      <c r="A121" s="11" t="s">
        <v>106</v>
      </c>
      <c r="B121" s="11" t="s">
        <v>38</v>
      </c>
      <c r="C121" s="29" t="n">
        <v>550420</v>
      </c>
      <c r="D121" s="4" t="s">
        <v>316</v>
      </c>
      <c r="E121" s="4" t="s">
        <v>320</v>
      </c>
      <c r="F121" s="5" t="s">
        <v>321</v>
      </c>
      <c r="G121" s="6" t="n">
        <v>488</v>
      </c>
      <c r="H121" s="6" t="n">
        <f aca="false">G121</f>
        <v>488</v>
      </c>
      <c r="I121" s="6" t="n">
        <v>500</v>
      </c>
      <c r="J121" s="4" t="s">
        <v>322</v>
      </c>
      <c r="K121" s="7" t="n">
        <v>45439</v>
      </c>
      <c r="L121" s="8" t="n">
        <v>47264</v>
      </c>
      <c r="P121" s="9" t="n">
        <v>16000</v>
      </c>
      <c r="Q121" s="9" t="n">
        <f aca="false">P121</f>
        <v>16000</v>
      </c>
      <c r="S121" s="9" t="n">
        <v>13100</v>
      </c>
      <c r="T121" s="9" t="n">
        <f aca="false">S121</f>
        <v>13100</v>
      </c>
      <c r="U121" s="9" t="n">
        <v>14600</v>
      </c>
      <c r="V121" s="9" t="n">
        <f aca="false">U121</f>
        <v>14600</v>
      </c>
      <c r="W121" s="45" t="n">
        <f aca="false">U121/G121</f>
        <v>29.9180327868852</v>
      </c>
      <c r="X121" s="41" t="n">
        <f aca="false">SUM(U121-S121)/S121</f>
        <v>0.114503816793893</v>
      </c>
      <c r="Y121" s="9" t="s">
        <v>42</v>
      </c>
      <c r="Z121" s="42"/>
      <c r="AA121" s="524"/>
      <c r="AB121" s="5" t="s">
        <v>43</v>
      </c>
      <c r="AC121" s="71"/>
      <c r="AE121" s="71"/>
      <c r="AF121" s="101"/>
      <c r="AG121" s="71"/>
      <c r="AJ121" s="525" t="s">
        <v>1103</v>
      </c>
    </row>
    <row r="122" customFormat="false" ht="15" hidden="false" customHeight="false" outlineLevel="0" collapsed="false">
      <c r="A122" s="11" t="s">
        <v>106</v>
      </c>
      <c r="B122" s="11" t="s">
        <v>38</v>
      </c>
      <c r="C122" s="29" t="n">
        <v>550420</v>
      </c>
      <c r="D122" s="4" t="s">
        <v>316</v>
      </c>
      <c r="E122" s="4" t="s">
        <v>323</v>
      </c>
      <c r="F122" s="5" t="s">
        <v>237</v>
      </c>
      <c r="G122" s="6" t="n">
        <v>1064</v>
      </c>
      <c r="H122" s="6" t="n">
        <f aca="false">G122</f>
        <v>1064</v>
      </c>
      <c r="I122" s="6" t="n">
        <v>100</v>
      </c>
      <c r="J122" s="4" t="s">
        <v>324</v>
      </c>
      <c r="K122" s="7" t="n">
        <v>44515</v>
      </c>
      <c r="L122" s="8" t="n">
        <v>46340</v>
      </c>
      <c r="P122" s="9" t="n">
        <v>48000</v>
      </c>
      <c r="Q122" s="9" t="n">
        <f aca="false">P122</f>
        <v>48000</v>
      </c>
      <c r="S122" s="9" t="n">
        <v>48000</v>
      </c>
      <c r="T122" s="9" t="n">
        <f aca="false">S122</f>
        <v>48000</v>
      </c>
      <c r="U122" s="9" t="n">
        <v>48000</v>
      </c>
      <c r="V122" s="9" t="n">
        <f aca="false">U122</f>
        <v>48000</v>
      </c>
      <c r="W122" s="45" t="n">
        <f aca="false">U122/G122</f>
        <v>45.1127819548872</v>
      </c>
      <c r="X122" s="41" t="n">
        <f aca="false">SUM(U122-S122)/S122</f>
        <v>0</v>
      </c>
      <c r="Y122" s="9" t="s">
        <v>60</v>
      </c>
      <c r="Z122" s="42"/>
      <c r="AA122" s="524"/>
      <c r="AB122" s="5" t="s">
        <v>43</v>
      </c>
      <c r="AF122" s="59"/>
      <c r="AJ122" s="525" t="s">
        <v>1103</v>
      </c>
    </row>
    <row r="123" customFormat="false" ht="15" hidden="false" customHeight="false" outlineLevel="0" collapsed="false">
      <c r="A123" s="11" t="s">
        <v>106</v>
      </c>
      <c r="B123" s="11" t="s">
        <v>38</v>
      </c>
      <c r="C123" s="29" t="n">
        <v>550420</v>
      </c>
      <c r="D123" s="4" t="s">
        <v>316</v>
      </c>
      <c r="E123" s="4" t="s">
        <v>325</v>
      </c>
      <c r="F123" s="5" t="s">
        <v>40</v>
      </c>
      <c r="G123" s="6" t="n">
        <v>325</v>
      </c>
      <c r="H123" s="6" t="n">
        <f aca="false">G123</f>
        <v>325</v>
      </c>
      <c r="I123" s="6" t="n">
        <v>500</v>
      </c>
      <c r="J123" s="4" t="s">
        <v>326</v>
      </c>
      <c r="K123" s="7" t="n">
        <v>45709</v>
      </c>
      <c r="L123" s="8" t="n">
        <v>47066</v>
      </c>
      <c r="P123" s="9" t="n">
        <v>25310</v>
      </c>
      <c r="Q123" s="9" t="n">
        <f aca="false">P123</f>
        <v>25310</v>
      </c>
      <c r="S123" s="9" t="n">
        <v>28000</v>
      </c>
      <c r="T123" s="9" t="n">
        <f aca="false">S123</f>
        <v>28000</v>
      </c>
      <c r="U123" s="9" t="n">
        <v>27600</v>
      </c>
      <c r="V123" s="9" t="n">
        <f aca="false">U123</f>
        <v>27600</v>
      </c>
      <c r="W123" s="45" t="n">
        <f aca="false">U123/G123</f>
        <v>84.9230769230769</v>
      </c>
      <c r="X123" s="41" t="n">
        <f aca="false">SUM(U123-S123)/S123</f>
        <v>-0.0142857142857143</v>
      </c>
      <c r="Y123" s="98" t="s">
        <v>55</v>
      </c>
      <c r="Z123" s="42"/>
      <c r="AA123" s="524"/>
      <c r="AB123" s="5" t="s">
        <v>43</v>
      </c>
      <c r="AC123" s="4" t="s">
        <v>327</v>
      </c>
      <c r="AF123" s="59" t="n">
        <v>1</v>
      </c>
      <c r="AG123" s="4" t="s">
        <v>57</v>
      </c>
      <c r="AJ123" s="525" t="s">
        <v>1103</v>
      </c>
    </row>
    <row r="124" customFormat="false" ht="19.4" hidden="false" customHeight="false" outlineLevel="0" collapsed="false">
      <c r="A124" s="11" t="s">
        <v>106</v>
      </c>
      <c r="B124" s="11" t="s">
        <v>38</v>
      </c>
      <c r="C124" s="29" t="n">
        <v>550420</v>
      </c>
      <c r="D124" s="4" t="s">
        <v>316</v>
      </c>
      <c r="E124" s="4" t="s">
        <v>328</v>
      </c>
      <c r="F124" s="5" t="s">
        <v>40</v>
      </c>
      <c r="G124" s="6" t="n">
        <v>1335</v>
      </c>
      <c r="H124" s="6" t="n">
        <f aca="false">G124</f>
        <v>1335</v>
      </c>
      <c r="I124" s="6" t="n">
        <v>1250</v>
      </c>
      <c r="J124" s="4" t="s">
        <v>329</v>
      </c>
      <c r="K124" s="7" t="n">
        <v>45624</v>
      </c>
      <c r="L124" s="8" t="n">
        <v>47449</v>
      </c>
      <c r="O124" s="8" t="n">
        <v>46718</v>
      </c>
      <c r="P124" s="9" t="n">
        <v>40200</v>
      </c>
      <c r="Q124" s="9" t="n">
        <f aca="false">P124</f>
        <v>40200</v>
      </c>
      <c r="S124" s="9" t="n">
        <v>73700</v>
      </c>
      <c r="T124" s="9" t="n">
        <f aca="false">S124</f>
        <v>73700</v>
      </c>
      <c r="U124" s="9" t="n">
        <v>75710</v>
      </c>
      <c r="V124" s="9" t="n">
        <f aca="false">U124</f>
        <v>75710</v>
      </c>
      <c r="W124" s="45" t="n">
        <f aca="false">U124/G124</f>
        <v>56.7116104868914</v>
      </c>
      <c r="X124" s="41" t="n">
        <f aca="false">SUM(U124-S124)/S124</f>
        <v>0.0272727272727273</v>
      </c>
      <c r="Y124" s="98" t="s">
        <v>55</v>
      </c>
      <c r="Z124" s="42"/>
      <c r="AA124" s="524"/>
      <c r="AB124" s="5" t="s">
        <v>43</v>
      </c>
      <c r="AC124" s="4" t="s">
        <v>330</v>
      </c>
      <c r="AF124" s="59" t="n">
        <v>1</v>
      </c>
      <c r="AG124" s="4" t="s">
        <v>57</v>
      </c>
      <c r="AJ124" s="525" t="s">
        <v>1103</v>
      </c>
    </row>
    <row r="125" customFormat="false" ht="15" hidden="false" customHeight="false" outlineLevel="0" collapsed="false">
      <c r="A125" s="11" t="s">
        <v>106</v>
      </c>
      <c r="B125" s="11" t="s">
        <v>38</v>
      </c>
      <c r="C125" s="29" t="n">
        <v>550420</v>
      </c>
      <c r="D125" s="4" t="s">
        <v>316</v>
      </c>
      <c r="E125" s="4" t="s">
        <v>331</v>
      </c>
      <c r="F125" s="5" t="s">
        <v>40</v>
      </c>
      <c r="G125" s="6" t="n">
        <v>533</v>
      </c>
      <c r="H125" s="6" t="n">
        <f aca="false">G125</f>
        <v>533</v>
      </c>
      <c r="I125" s="6" t="n">
        <v>500</v>
      </c>
      <c r="J125" s="4" t="s">
        <v>67</v>
      </c>
      <c r="M125" s="8" t="n">
        <v>44536</v>
      </c>
      <c r="P125" s="9" t="n">
        <v>0</v>
      </c>
      <c r="Q125" s="9" t="n">
        <f aca="false">P125</f>
        <v>0</v>
      </c>
      <c r="S125" s="9" t="n">
        <v>28900</v>
      </c>
      <c r="T125" s="9" t="n">
        <f aca="false">S125</f>
        <v>28900</v>
      </c>
      <c r="U125" s="9" t="n">
        <v>29300</v>
      </c>
      <c r="V125" s="9" t="n">
        <f aca="false">U125</f>
        <v>29300</v>
      </c>
      <c r="W125" s="45" t="n">
        <f aca="false">U125/G125</f>
        <v>54.9718574108818</v>
      </c>
      <c r="X125" s="41" t="n">
        <f aca="false">SUM(U125-S125)/S125</f>
        <v>0.013840830449827</v>
      </c>
      <c r="Y125" s="9" t="s">
        <v>42</v>
      </c>
      <c r="Z125" s="42"/>
      <c r="AA125" s="524"/>
      <c r="AB125" s="5" t="s">
        <v>43</v>
      </c>
      <c r="AC125" s="4" t="s">
        <v>119</v>
      </c>
      <c r="AE125" s="4" t="n">
        <v>1</v>
      </c>
      <c r="AF125" s="59" t="n">
        <v>1</v>
      </c>
      <c r="AJ125" s="525" t="s">
        <v>1104</v>
      </c>
    </row>
    <row r="126" customFormat="false" ht="15" hidden="false" customHeight="false" outlineLevel="0" collapsed="false">
      <c r="A126" s="11" t="s">
        <v>106</v>
      </c>
      <c r="B126" s="11" t="s">
        <v>38</v>
      </c>
      <c r="C126" s="29" t="n">
        <v>550420</v>
      </c>
      <c r="D126" s="4" t="s">
        <v>316</v>
      </c>
      <c r="E126" s="4" t="s">
        <v>93</v>
      </c>
      <c r="F126" s="5" t="s">
        <v>40</v>
      </c>
      <c r="G126" s="6" t="n">
        <v>1404</v>
      </c>
      <c r="H126" s="6" t="n">
        <f aca="false">G126</f>
        <v>1404</v>
      </c>
      <c r="I126" s="6" t="n">
        <v>1500</v>
      </c>
      <c r="J126" s="4" t="s">
        <v>332</v>
      </c>
      <c r="K126" s="7" t="n">
        <v>44490</v>
      </c>
      <c r="L126" s="8" t="n">
        <v>45930</v>
      </c>
      <c r="N126" s="8" t="n">
        <v>45258</v>
      </c>
      <c r="P126" s="9" t="n">
        <v>78000</v>
      </c>
      <c r="Q126" s="9" t="n">
        <f aca="false">P126</f>
        <v>78000</v>
      </c>
      <c r="S126" s="9" t="n">
        <v>79100</v>
      </c>
      <c r="T126" s="9" t="n">
        <f aca="false">S126</f>
        <v>79100</v>
      </c>
      <c r="U126" s="9" t="n">
        <v>80700</v>
      </c>
      <c r="V126" s="9" t="n">
        <f aca="false">U126</f>
        <v>80700</v>
      </c>
      <c r="W126" s="45" t="n">
        <f aca="false">U126/G126</f>
        <v>57.4786324786325</v>
      </c>
      <c r="X126" s="41" t="n">
        <f aca="false">SUM(U126-S126)/S126</f>
        <v>0.0202275600505689</v>
      </c>
      <c r="Y126" s="9" t="s">
        <v>42</v>
      </c>
      <c r="Z126" s="42"/>
      <c r="AA126" s="524"/>
      <c r="AB126" s="5" t="s">
        <v>43</v>
      </c>
      <c r="AF126" s="59"/>
      <c r="AJ126" s="525" t="s">
        <v>1103</v>
      </c>
    </row>
    <row r="127" customFormat="false" ht="19.4" hidden="false" customHeight="false" outlineLevel="0" collapsed="false">
      <c r="A127" s="11" t="s">
        <v>106</v>
      </c>
      <c r="B127" s="11" t="s">
        <v>38</v>
      </c>
      <c r="C127" s="29" t="n">
        <v>550420</v>
      </c>
      <c r="D127" s="4" t="s">
        <v>316</v>
      </c>
      <c r="E127" s="4" t="s">
        <v>94</v>
      </c>
      <c r="F127" s="5" t="s">
        <v>40</v>
      </c>
      <c r="G127" s="6" t="n">
        <v>1404</v>
      </c>
      <c r="H127" s="6" t="n">
        <f aca="false">G127</f>
        <v>1404</v>
      </c>
      <c r="I127" s="6" t="n">
        <v>1500</v>
      </c>
      <c r="J127" s="4" t="s">
        <v>332</v>
      </c>
      <c r="K127" s="7" t="n">
        <v>45259</v>
      </c>
      <c r="L127" s="8" t="n">
        <v>45930</v>
      </c>
      <c r="M127" s="8"/>
      <c r="N127" s="8"/>
      <c r="O127" s="8" t="n">
        <v>45930</v>
      </c>
      <c r="P127" s="9" t="n">
        <v>78800</v>
      </c>
      <c r="Q127" s="9" t="n">
        <f aca="false">P127</f>
        <v>78800</v>
      </c>
      <c r="R127" s="9"/>
      <c r="S127" s="9" t="n">
        <v>79600</v>
      </c>
      <c r="T127" s="9" t="n">
        <f aca="false">S127</f>
        <v>79600</v>
      </c>
      <c r="U127" s="9" t="n">
        <v>80700</v>
      </c>
      <c r="V127" s="9" t="n">
        <f aca="false">U127</f>
        <v>80700</v>
      </c>
      <c r="W127" s="45" t="n">
        <f aca="false">U127/G127</f>
        <v>57.4786324786325</v>
      </c>
      <c r="X127" s="41" t="n">
        <f aca="false">SUM(U127-S127)/S127</f>
        <v>0.0138190954773869</v>
      </c>
      <c r="Y127" s="9" t="s">
        <v>42</v>
      </c>
      <c r="Z127" s="42"/>
      <c r="AA127" s="524"/>
      <c r="AB127" s="5" t="s">
        <v>43</v>
      </c>
      <c r="AC127" s="4" t="s">
        <v>333</v>
      </c>
      <c r="AD127" s="15"/>
      <c r="AE127" s="4"/>
      <c r="AF127" s="59"/>
      <c r="AG127" s="4"/>
      <c r="AI127" s="73"/>
      <c r="AJ127" s="525" t="s">
        <v>1103</v>
      </c>
    </row>
    <row r="128" customFormat="false" ht="15" hidden="false" customHeight="false" outlineLevel="0" collapsed="false">
      <c r="A128" s="11" t="s">
        <v>106</v>
      </c>
      <c r="B128" s="11" t="s">
        <v>38</v>
      </c>
      <c r="C128" s="29" t="n">
        <v>550420</v>
      </c>
      <c r="D128" s="4" t="s">
        <v>316</v>
      </c>
      <c r="E128" s="4" t="s">
        <v>118</v>
      </c>
      <c r="F128" s="5" t="s">
        <v>40</v>
      </c>
      <c r="G128" s="6" t="n">
        <v>1330</v>
      </c>
      <c r="H128" s="6" t="n">
        <f aca="false">G128</f>
        <v>1330</v>
      </c>
      <c r="I128" s="6" t="n">
        <v>1250</v>
      </c>
      <c r="J128" s="4" t="s">
        <v>334</v>
      </c>
      <c r="K128" s="7" t="n">
        <v>45762</v>
      </c>
      <c r="L128" s="8" t="n">
        <v>47587</v>
      </c>
      <c r="M128" s="8"/>
      <c r="N128" s="8"/>
      <c r="O128" s="8" t="n">
        <v>46857</v>
      </c>
      <c r="P128" s="9" t="n">
        <v>86450</v>
      </c>
      <c r="Q128" s="9" t="n">
        <f aca="false">P128</f>
        <v>86450</v>
      </c>
      <c r="R128" s="9"/>
      <c r="S128" s="9" t="n">
        <v>78200</v>
      </c>
      <c r="T128" s="9" t="n">
        <f aca="false">S128</f>
        <v>78200</v>
      </c>
      <c r="U128" s="9" t="n">
        <v>76500</v>
      </c>
      <c r="V128" s="9" t="n">
        <f aca="false">U128</f>
        <v>76500</v>
      </c>
      <c r="W128" s="45" t="n">
        <f aca="false">U128/G128</f>
        <v>57.5187969924812</v>
      </c>
      <c r="X128" s="41" t="n">
        <f aca="false">SUM(U128-S128)/S128</f>
        <v>-0.0217391304347826</v>
      </c>
      <c r="Y128" s="9" t="s">
        <v>55</v>
      </c>
      <c r="Z128" s="42"/>
      <c r="AA128" s="524"/>
      <c r="AB128" s="5" t="s">
        <v>43</v>
      </c>
      <c r="AC128" s="4" t="s">
        <v>77</v>
      </c>
      <c r="AD128" s="15" t="n">
        <v>63</v>
      </c>
      <c r="AE128" s="4"/>
      <c r="AF128" s="59" t="n">
        <v>4</v>
      </c>
      <c r="AG128" s="4" t="s">
        <v>57</v>
      </c>
      <c r="AI128" s="73"/>
      <c r="AJ128" s="525" t="s">
        <v>1103</v>
      </c>
    </row>
    <row r="129" customFormat="false" ht="19.4" hidden="false" customHeight="false" outlineLevel="0" collapsed="false">
      <c r="A129" s="11" t="s">
        <v>47</v>
      </c>
      <c r="B129" s="11" t="s">
        <v>38</v>
      </c>
      <c r="C129" s="29" t="n">
        <v>550190</v>
      </c>
      <c r="D129" s="4" t="s">
        <v>336</v>
      </c>
      <c r="E129" s="4" t="s">
        <v>337</v>
      </c>
      <c r="F129" s="5" t="s">
        <v>309</v>
      </c>
      <c r="G129" s="6" t="n">
        <v>3443</v>
      </c>
      <c r="H129" s="6" t="n">
        <f aca="false">G129</f>
        <v>3443</v>
      </c>
      <c r="I129" s="6" t="n">
        <v>3500</v>
      </c>
      <c r="J129" s="4" t="s">
        <v>338</v>
      </c>
      <c r="K129" s="7" t="n">
        <v>44348</v>
      </c>
      <c r="L129" s="8" t="n">
        <v>47999</v>
      </c>
      <c r="N129" s="8" t="n">
        <v>46174</v>
      </c>
      <c r="O129" s="8" t="n">
        <v>46173</v>
      </c>
      <c r="P129" s="9" t="n">
        <v>75000</v>
      </c>
      <c r="Q129" s="9" t="n">
        <f aca="false">P129</f>
        <v>75000</v>
      </c>
      <c r="S129" s="9" t="n">
        <v>75800</v>
      </c>
      <c r="T129" s="9" t="n">
        <f aca="false">S129</f>
        <v>75800</v>
      </c>
      <c r="U129" s="9" t="n">
        <v>75000</v>
      </c>
      <c r="V129" s="9" t="n">
        <f aca="false">U129</f>
        <v>75000</v>
      </c>
      <c r="W129" s="45" t="n">
        <f aca="false">U129/G129</f>
        <v>21.7833284925937</v>
      </c>
      <c r="X129" s="41" t="n">
        <f aca="false">SUM(U129-S129)/S129</f>
        <v>-0.0105540897097625</v>
      </c>
      <c r="Y129" s="9" t="s">
        <v>55</v>
      </c>
      <c r="Z129" s="42"/>
      <c r="AA129" s="524"/>
      <c r="AB129" s="5" t="s">
        <v>43</v>
      </c>
      <c r="AC129" s="4" t="s">
        <v>339</v>
      </c>
      <c r="AF129" s="59"/>
      <c r="AJ129" s="525" t="s">
        <v>1103</v>
      </c>
    </row>
    <row r="130" customFormat="false" ht="15" hidden="false" customHeight="false" outlineLevel="0" collapsed="false">
      <c r="A130" s="11" t="s">
        <v>47</v>
      </c>
      <c r="B130" s="11" t="s">
        <v>38</v>
      </c>
      <c r="C130" s="29" t="n">
        <v>550190</v>
      </c>
      <c r="D130" s="4" t="s">
        <v>336</v>
      </c>
      <c r="E130" s="4" t="s">
        <v>340</v>
      </c>
      <c r="F130" s="5" t="s">
        <v>40</v>
      </c>
      <c r="G130" s="6" t="n">
        <v>1946</v>
      </c>
      <c r="H130" s="6" t="n">
        <f aca="false">G130</f>
        <v>1946</v>
      </c>
      <c r="I130" s="6" t="n">
        <v>2000</v>
      </c>
      <c r="J130" s="4" t="s">
        <v>67</v>
      </c>
      <c r="M130" s="8" t="n">
        <v>45154</v>
      </c>
      <c r="P130" s="9" t="n">
        <v>0</v>
      </c>
      <c r="Q130" s="9" t="n">
        <f aca="false">P130</f>
        <v>0</v>
      </c>
      <c r="S130" s="9" t="n">
        <v>113900</v>
      </c>
      <c r="T130" s="9" t="n">
        <f aca="false">S130</f>
        <v>113900</v>
      </c>
      <c r="U130" s="9" t="n">
        <v>116800</v>
      </c>
      <c r="V130" s="9" t="n">
        <f aca="false">U130</f>
        <v>116800</v>
      </c>
      <c r="W130" s="45" t="n">
        <f aca="false">U130/G130</f>
        <v>60.0205549845838</v>
      </c>
      <c r="X130" s="41" t="n">
        <f aca="false">SUM(U130-S130)/S130</f>
        <v>0.0254609306409131</v>
      </c>
      <c r="Y130" s="9" t="s">
        <v>127</v>
      </c>
      <c r="Z130" s="42"/>
      <c r="AA130" s="524"/>
      <c r="AB130" s="5" t="s">
        <v>43</v>
      </c>
      <c r="AC130" s="4" t="s">
        <v>68</v>
      </c>
      <c r="AD130" s="15" t="n">
        <v>60</v>
      </c>
      <c r="AE130" s="4" t="n">
        <v>5</v>
      </c>
      <c r="AF130" s="59" t="n">
        <v>11</v>
      </c>
      <c r="AG130" s="4" t="s">
        <v>57</v>
      </c>
      <c r="AJ130" s="525" t="s">
        <v>1104</v>
      </c>
    </row>
    <row r="131" customFormat="false" ht="19.4" hidden="false" customHeight="false" outlineLevel="0" collapsed="false">
      <c r="A131" s="11" t="s">
        <v>47</v>
      </c>
      <c r="B131" s="11" t="s">
        <v>38</v>
      </c>
      <c r="C131" s="29" t="n">
        <v>550190</v>
      </c>
      <c r="D131" s="4" t="s">
        <v>336</v>
      </c>
      <c r="E131" s="4" t="s">
        <v>89</v>
      </c>
      <c r="F131" s="5" t="s">
        <v>40</v>
      </c>
      <c r="G131" s="6" t="n">
        <v>2319</v>
      </c>
      <c r="H131" s="6" t="n">
        <f aca="false">G131</f>
        <v>2319</v>
      </c>
      <c r="I131" s="6" t="n">
        <v>2250</v>
      </c>
      <c r="J131" s="4" t="s">
        <v>341</v>
      </c>
      <c r="K131" s="7" t="n">
        <v>44839</v>
      </c>
      <c r="L131" s="8" t="n">
        <v>46664</v>
      </c>
      <c r="O131" s="8" t="n">
        <v>45935</v>
      </c>
      <c r="P131" s="9" t="n">
        <v>153216</v>
      </c>
      <c r="Q131" s="9" t="n">
        <f aca="false">P131</f>
        <v>153216</v>
      </c>
      <c r="S131" s="9" t="n">
        <v>153600</v>
      </c>
      <c r="T131" s="9" t="n">
        <f aca="false">S131</f>
        <v>153600</v>
      </c>
      <c r="U131" s="9" t="n">
        <v>151900</v>
      </c>
      <c r="V131" s="9" t="n">
        <f aca="false">U131</f>
        <v>151900</v>
      </c>
      <c r="W131" s="45" t="n">
        <f aca="false">U131/G131</f>
        <v>65.5023717119448</v>
      </c>
      <c r="X131" s="41" t="n">
        <f aca="false">SUM(U131-S131)/S131</f>
        <v>-0.0110677083333333</v>
      </c>
      <c r="Y131" s="9" t="s">
        <v>60</v>
      </c>
      <c r="Z131" s="42"/>
      <c r="AA131" s="524"/>
      <c r="AB131" s="5" t="s">
        <v>43</v>
      </c>
      <c r="AC131" s="4" t="s">
        <v>342</v>
      </c>
      <c r="AF131" s="59"/>
      <c r="AJ131" s="525" t="s">
        <v>1103</v>
      </c>
    </row>
    <row r="132" customFormat="false" ht="28.35" hidden="false" customHeight="false" outlineLevel="0" collapsed="false">
      <c r="A132" s="11" t="s">
        <v>47</v>
      </c>
      <c r="B132" s="11" t="s">
        <v>38</v>
      </c>
      <c r="C132" s="29" t="n">
        <v>550190</v>
      </c>
      <c r="D132" s="4" t="s">
        <v>336</v>
      </c>
      <c r="E132" s="4" t="s">
        <v>343</v>
      </c>
      <c r="F132" s="5" t="s">
        <v>40</v>
      </c>
      <c r="G132" s="6" t="n">
        <v>4653</v>
      </c>
      <c r="H132" s="6" t="n">
        <f aca="false">G132</f>
        <v>4653</v>
      </c>
      <c r="I132" s="6" t="n">
        <v>4500</v>
      </c>
      <c r="J132" s="4" t="s">
        <v>344</v>
      </c>
      <c r="K132" s="7" t="n">
        <v>44879</v>
      </c>
      <c r="L132" s="8" t="n">
        <v>46704</v>
      </c>
      <c r="O132" s="8" t="n">
        <v>45974</v>
      </c>
      <c r="P132" s="9" t="n">
        <v>310500</v>
      </c>
      <c r="Q132" s="9" t="n">
        <f aca="false">P132</f>
        <v>310500</v>
      </c>
      <c r="S132" s="9" t="n">
        <v>310800</v>
      </c>
      <c r="T132" s="9" t="n">
        <f aca="false">S132</f>
        <v>310800</v>
      </c>
      <c r="U132" s="9" t="n">
        <v>316400</v>
      </c>
      <c r="V132" s="9" t="n">
        <f aca="false">U132</f>
        <v>316400</v>
      </c>
      <c r="W132" s="45" t="n">
        <f aca="false">U132/G132</f>
        <v>67.9991403395659</v>
      </c>
      <c r="X132" s="41" t="n">
        <f aca="false">SUM(U132-S132)/S132</f>
        <v>0.018018018018018</v>
      </c>
      <c r="Y132" s="9" t="s">
        <v>60</v>
      </c>
      <c r="Z132" s="42"/>
      <c r="AA132" s="524"/>
      <c r="AB132" s="5" t="s">
        <v>43</v>
      </c>
      <c r="AC132" s="4" t="s">
        <v>345</v>
      </c>
      <c r="AF132" s="59"/>
      <c r="AJ132" s="525" t="s">
        <v>1103</v>
      </c>
    </row>
    <row r="133" customFormat="false" ht="15" hidden="false" customHeight="false" outlineLevel="0" collapsed="false">
      <c r="A133" s="11" t="s">
        <v>47</v>
      </c>
      <c r="B133" s="11" t="s">
        <v>38</v>
      </c>
      <c r="C133" s="29" t="n">
        <v>550190</v>
      </c>
      <c r="D133" s="4" t="s">
        <v>336</v>
      </c>
      <c r="E133" s="4" t="s">
        <v>118</v>
      </c>
      <c r="F133" s="5" t="s">
        <v>40</v>
      </c>
      <c r="G133" s="6" t="n">
        <v>2316</v>
      </c>
      <c r="H133" s="6" t="n">
        <f aca="false">G133</f>
        <v>2316</v>
      </c>
      <c r="I133" s="6" t="n">
        <v>2250</v>
      </c>
      <c r="J133" s="4" t="s">
        <v>346</v>
      </c>
      <c r="K133" s="7" t="n">
        <v>44883</v>
      </c>
      <c r="L133" s="8" t="n">
        <v>46708</v>
      </c>
      <c r="O133" s="8" t="n">
        <v>45978</v>
      </c>
      <c r="P133" s="9" t="n">
        <v>151875</v>
      </c>
      <c r="Q133" s="9" t="n">
        <f aca="false">P133</f>
        <v>151875</v>
      </c>
      <c r="S133" s="9" t="n">
        <v>152900</v>
      </c>
      <c r="T133" s="9" t="n">
        <f aca="false">S133</f>
        <v>152900</v>
      </c>
      <c r="U133" s="9" t="n">
        <v>157500</v>
      </c>
      <c r="V133" s="9" t="n">
        <f aca="false">U133</f>
        <v>157500</v>
      </c>
      <c r="W133" s="45" t="n">
        <f aca="false">U133/G133</f>
        <v>68.0051813471503</v>
      </c>
      <c r="X133" s="41" t="n">
        <f aca="false">SUM(U133-S133)/S133</f>
        <v>0.0300850228907783</v>
      </c>
      <c r="Y133" s="9" t="s">
        <v>127</v>
      </c>
      <c r="Z133" s="42"/>
      <c r="AA133" s="524"/>
      <c r="AB133" s="5" t="s">
        <v>43</v>
      </c>
      <c r="AC133" s="4" t="s">
        <v>75</v>
      </c>
      <c r="AF133" s="59"/>
      <c r="AJ133" s="525" t="s">
        <v>1103</v>
      </c>
    </row>
    <row r="134" customFormat="false" ht="19.4" hidden="false" customHeight="false" outlineLevel="0" collapsed="false">
      <c r="A134" s="11" t="s">
        <v>47</v>
      </c>
      <c r="B134" s="11" t="s">
        <v>38</v>
      </c>
      <c r="C134" s="29" t="n">
        <v>550190</v>
      </c>
      <c r="D134" s="4" t="s">
        <v>336</v>
      </c>
      <c r="E134" s="4" t="s">
        <v>180</v>
      </c>
      <c r="F134" s="5" t="s">
        <v>40</v>
      </c>
      <c r="G134" s="6" t="n">
        <v>2096</v>
      </c>
      <c r="H134" s="6" t="n">
        <f aca="false">G134</f>
        <v>2096</v>
      </c>
      <c r="I134" s="6" t="n">
        <v>2000</v>
      </c>
      <c r="J134" s="4" t="s">
        <v>347</v>
      </c>
      <c r="K134" s="7" t="n">
        <v>44470</v>
      </c>
      <c r="L134" s="8" t="n">
        <v>46295</v>
      </c>
      <c r="P134" s="9" t="n">
        <v>120750</v>
      </c>
      <c r="Q134" s="9" t="n">
        <f aca="false">P134</f>
        <v>120750</v>
      </c>
      <c r="S134" s="9" t="n">
        <v>141800</v>
      </c>
      <c r="T134" s="9" t="n">
        <f aca="false">S134</f>
        <v>141800</v>
      </c>
      <c r="U134" s="9" t="n">
        <v>142500</v>
      </c>
      <c r="V134" s="9" t="n">
        <f aca="false">U134</f>
        <v>142500</v>
      </c>
      <c r="W134" s="45" t="n">
        <f aca="false">U134/G134</f>
        <v>67.986641221374</v>
      </c>
      <c r="X134" s="41" t="n">
        <f aca="false">SUM(U134-S134)/S134</f>
        <v>0.00493653032440056</v>
      </c>
      <c r="Y134" s="9" t="s">
        <v>127</v>
      </c>
      <c r="Z134" s="42"/>
      <c r="AA134" s="524"/>
      <c r="AB134" s="5" t="s">
        <v>43</v>
      </c>
      <c r="AC134" s="4" t="s">
        <v>348</v>
      </c>
      <c r="AF134" s="59"/>
      <c r="AJ134" s="525" t="s">
        <v>1103</v>
      </c>
    </row>
    <row r="135" customFormat="false" ht="19.4" hidden="false" customHeight="false" outlineLevel="0" collapsed="false">
      <c r="A135" s="11" t="s">
        <v>106</v>
      </c>
      <c r="B135" s="11" t="s">
        <v>38</v>
      </c>
      <c r="C135" s="29" t="n">
        <v>550570</v>
      </c>
      <c r="D135" s="4" t="s">
        <v>350</v>
      </c>
      <c r="E135" s="4" t="s">
        <v>351</v>
      </c>
      <c r="F135" s="5" t="s">
        <v>352</v>
      </c>
      <c r="G135" s="6" t="n">
        <v>2604</v>
      </c>
      <c r="H135" s="6" t="n">
        <f aca="false">G135</f>
        <v>2604</v>
      </c>
      <c r="I135" s="6" t="n">
        <v>2500</v>
      </c>
      <c r="J135" s="4" t="s">
        <v>353</v>
      </c>
      <c r="K135" s="7" t="n">
        <v>44941</v>
      </c>
      <c r="L135" s="8" t="n">
        <v>47057</v>
      </c>
      <c r="P135" s="9" t="n">
        <v>80000</v>
      </c>
      <c r="Q135" s="9" t="n">
        <f aca="false">P135</f>
        <v>80000</v>
      </c>
      <c r="S135" s="9" t="n">
        <v>80000</v>
      </c>
      <c r="T135" s="9" t="n">
        <f aca="false">S135</f>
        <v>80000</v>
      </c>
      <c r="U135" s="9" t="n">
        <v>70000</v>
      </c>
      <c r="V135" s="9" t="n">
        <f aca="false">U135</f>
        <v>70000</v>
      </c>
      <c r="W135" s="45" t="n">
        <f aca="false">U135/G135</f>
        <v>26.8817204301075</v>
      </c>
      <c r="X135" s="41" t="n">
        <f aca="false">SUM(U135-S135)/S135</f>
        <v>-0.125</v>
      </c>
      <c r="Y135" s="9" t="s">
        <v>60</v>
      </c>
      <c r="Z135" s="42"/>
      <c r="AA135" s="524"/>
      <c r="AB135" s="5" t="s">
        <v>43</v>
      </c>
      <c r="AC135" s="4" t="s">
        <v>354</v>
      </c>
      <c r="AF135" s="59"/>
      <c r="AJ135" s="525" t="s">
        <v>1103</v>
      </c>
    </row>
    <row r="136" customFormat="false" ht="15" hidden="false" customHeight="false" outlineLevel="0" collapsed="false">
      <c r="A136" s="11" t="s">
        <v>106</v>
      </c>
      <c r="B136" s="11" t="s">
        <v>38</v>
      </c>
      <c r="C136" s="29" t="n">
        <v>550570</v>
      </c>
      <c r="D136" s="4" t="s">
        <v>350</v>
      </c>
      <c r="E136" s="4" t="s">
        <v>355</v>
      </c>
      <c r="F136" s="5" t="s">
        <v>356</v>
      </c>
      <c r="G136" s="6" t="n">
        <v>1452</v>
      </c>
      <c r="H136" s="6" t="n">
        <f aca="false">G136</f>
        <v>1452</v>
      </c>
      <c r="I136" s="6" t="n">
        <v>1500</v>
      </c>
      <c r="J136" s="4" t="s">
        <v>357</v>
      </c>
      <c r="K136" s="7" t="n">
        <v>45586</v>
      </c>
      <c r="L136" s="8" t="n">
        <v>46827</v>
      </c>
      <c r="O136" s="8" t="n">
        <v>46097</v>
      </c>
      <c r="P136" s="9" t="n">
        <v>117500</v>
      </c>
      <c r="Q136" s="9" t="n">
        <f aca="false">P136</f>
        <v>117500</v>
      </c>
      <c r="S136" s="9" t="n">
        <v>115000</v>
      </c>
      <c r="T136" s="9" t="n">
        <f aca="false">S136</f>
        <v>115000</v>
      </c>
      <c r="U136" s="9" t="n">
        <v>115000</v>
      </c>
      <c r="V136" s="9" t="n">
        <f aca="false">U136</f>
        <v>115000</v>
      </c>
      <c r="W136" s="45" t="n">
        <f aca="false">U136/G136</f>
        <v>79.2011019283747</v>
      </c>
      <c r="X136" s="41" t="n">
        <f aca="false">SUM(U136-S136)/S136</f>
        <v>0</v>
      </c>
      <c r="Y136" s="9" t="s">
        <v>55</v>
      </c>
      <c r="Z136" s="42"/>
      <c r="AA136" s="524"/>
      <c r="AB136" s="5" t="s">
        <v>43</v>
      </c>
      <c r="AC136" s="4" t="s">
        <v>77</v>
      </c>
      <c r="AF136" s="59"/>
      <c r="AJ136" s="525" t="s">
        <v>1103</v>
      </c>
    </row>
    <row r="137" customFormat="false" ht="15" hidden="false" customHeight="false" outlineLevel="0" collapsed="false">
      <c r="A137" s="11" t="s">
        <v>106</v>
      </c>
      <c r="B137" s="11" t="s">
        <v>38</v>
      </c>
      <c r="C137" s="29" t="n">
        <v>550570</v>
      </c>
      <c r="D137" s="4" t="s">
        <v>350</v>
      </c>
      <c r="E137" s="4" t="s">
        <v>358</v>
      </c>
      <c r="F137" s="5" t="s">
        <v>359</v>
      </c>
      <c r="G137" s="6" t="n">
        <v>1949</v>
      </c>
      <c r="H137" s="6" t="n">
        <f aca="false">G137</f>
        <v>1949</v>
      </c>
      <c r="I137" s="6" t="n">
        <v>2000</v>
      </c>
      <c r="J137" s="4" t="s">
        <v>360</v>
      </c>
      <c r="K137" s="7" t="n">
        <v>45687</v>
      </c>
      <c r="L137" s="8" t="n">
        <v>49338</v>
      </c>
      <c r="N137" s="8" t="n">
        <v>47513</v>
      </c>
      <c r="P137" s="9" t="n">
        <v>59000</v>
      </c>
      <c r="Q137" s="9" t="n">
        <f aca="false">P137</f>
        <v>59000</v>
      </c>
      <c r="S137" s="9" t="n">
        <v>91000</v>
      </c>
      <c r="T137" s="9" t="n">
        <f aca="false">S137</f>
        <v>91000</v>
      </c>
      <c r="U137" s="9" t="n">
        <v>115000</v>
      </c>
      <c r="V137" s="9" t="n">
        <f aca="false">U137</f>
        <v>115000</v>
      </c>
      <c r="W137" s="45" t="n">
        <f aca="false">U137/G137</f>
        <v>59.0046177526937</v>
      </c>
      <c r="X137" s="41" t="n">
        <f aca="false">SUM(U137-S137)/S137</f>
        <v>0.263736263736264</v>
      </c>
      <c r="Y137" s="9" t="s">
        <v>60</v>
      </c>
      <c r="Z137" s="42"/>
      <c r="AA137" s="524"/>
      <c r="AB137" s="5" t="s">
        <v>43</v>
      </c>
      <c r="AC137" s="4" t="s">
        <v>361</v>
      </c>
      <c r="AF137" s="59" t="n">
        <v>3</v>
      </c>
      <c r="AG137" s="4" t="s">
        <v>57</v>
      </c>
      <c r="AJ137" s="525" t="s">
        <v>1103</v>
      </c>
    </row>
    <row r="138" customFormat="false" ht="15" hidden="false" customHeight="false" outlineLevel="0" collapsed="false">
      <c r="A138" s="11" t="s">
        <v>106</v>
      </c>
      <c r="B138" s="11" t="s">
        <v>38</v>
      </c>
      <c r="C138" s="29" t="n">
        <v>550570</v>
      </c>
      <c r="D138" s="4" t="s">
        <v>350</v>
      </c>
      <c r="E138" s="4" t="s">
        <v>362</v>
      </c>
      <c r="F138" s="5" t="s">
        <v>352</v>
      </c>
      <c r="G138" s="6" t="n">
        <v>4976</v>
      </c>
      <c r="H138" s="6" t="n">
        <f aca="false">G138</f>
        <v>4976</v>
      </c>
      <c r="I138" s="6" t="n">
        <v>5000</v>
      </c>
      <c r="J138" s="4" t="s">
        <v>363</v>
      </c>
      <c r="K138" s="7" t="n">
        <v>44722</v>
      </c>
      <c r="L138" s="8" t="n">
        <v>48374</v>
      </c>
      <c r="N138" s="8" t="n">
        <v>46548</v>
      </c>
      <c r="O138" s="8" t="n">
        <v>46547</v>
      </c>
      <c r="P138" s="9" t="n">
        <v>230000</v>
      </c>
      <c r="Q138" s="9" t="n">
        <f aca="false">P138</f>
        <v>230000</v>
      </c>
      <c r="S138" s="9" t="n">
        <v>230000</v>
      </c>
      <c r="T138" s="9" t="n">
        <f aca="false">S138</f>
        <v>230000</v>
      </c>
      <c r="U138" s="9" t="n">
        <v>230000</v>
      </c>
      <c r="V138" s="9" t="n">
        <f aca="false">U138</f>
        <v>230000</v>
      </c>
      <c r="W138" s="45" t="n">
        <f aca="false">U138/G138</f>
        <v>46.2218649517685</v>
      </c>
      <c r="X138" s="41" t="n">
        <f aca="false">SUM(U138-S138)/S138</f>
        <v>0</v>
      </c>
      <c r="Y138" s="9" t="s">
        <v>55</v>
      </c>
      <c r="Z138" s="42"/>
      <c r="AA138" s="524"/>
      <c r="AB138" s="5" t="s">
        <v>43</v>
      </c>
      <c r="AC138" s="71" t="s">
        <v>286</v>
      </c>
      <c r="AE138" s="71"/>
      <c r="AF138" s="101"/>
      <c r="AG138" s="71"/>
      <c r="AJ138" s="525" t="s">
        <v>1103</v>
      </c>
    </row>
    <row r="139" customFormat="false" ht="15" hidden="false" customHeight="false" outlineLevel="0" collapsed="false">
      <c r="A139" s="11" t="s">
        <v>106</v>
      </c>
      <c r="B139" s="11" t="s">
        <v>38</v>
      </c>
      <c r="C139" s="29" t="n">
        <v>550570</v>
      </c>
      <c r="D139" s="4" t="s">
        <v>350</v>
      </c>
      <c r="E139" s="4" t="s">
        <v>364</v>
      </c>
      <c r="F139" s="5" t="s">
        <v>40</v>
      </c>
      <c r="G139" s="6" t="n">
        <v>1443</v>
      </c>
      <c r="H139" s="6" t="n">
        <f aca="false">G139</f>
        <v>1443</v>
      </c>
      <c r="I139" s="6" t="n">
        <v>1500</v>
      </c>
      <c r="J139" s="4" t="s">
        <v>67</v>
      </c>
      <c r="M139" s="8" t="n">
        <v>44121</v>
      </c>
      <c r="P139" s="9" t="n">
        <v>0</v>
      </c>
      <c r="Q139" s="9" t="n">
        <f aca="false">P139</f>
        <v>0</v>
      </c>
      <c r="S139" s="9" t="n">
        <v>87800</v>
      </c>
      <c r="T139" s="9" t="n">
        <f aca="false">S139</f>
        <v>87800</v>
      </c>
      <c r="U139" s="9" t="n">
        <v>90200</v>
      </c>
      <c r="V139" s="9" t="n">
        <f aca="false">U139</f>
        <v>90200</v>
      </c>
      <c r="W139" s="45" t="n">
        <f aca="false">U139/G139</f>
        <v>62.5086625086625</v>
      </c>
      <c r="X139" s="41" t="n">
        <f aca="false">SUM(U139-S139)/S139</f>
        <v>0.0273348519362187</v>
      </c>
      <c r="Y139" s="9" t="s">
        <v>60</v>
      </c>
      <c r="Z139" s="42"/>
      <c r="AA139" s="524"/>
      <c r="AB139" s="5" t="s">
        <v>43</v>
      </c>
      <c r="AC139" s="4" t="s">
        <v>119</v>
      </c>
      <c r="AD139" s="15" t="n">
        <v>65</v>
      </c>
      <c r="AF139" s="59" t="n">
        <v>3</v>
      </c>
      <c r="AG139" s="4" t="s">
        <v>57</v>
      </c>
      <c r="AJ139" s="525" t="s">
        <v>1104</v>
      </c>
    </row>
    <row r="140" customFormat="false" ht="15" hidden="false" customHeight="false" outlineLevel="0" collapsed="false">
      <c r="A140" s="11" t="s">
        <v>106</v>
      </c>
      <c r="B140" s="11" t="s">
        <v>38</v>
      </c>
      <c r="C140" s="29" t="n">
        <v>550570</v>
      </c>
      <c r="D140" s="4" t="s">
        <v>350</v>
      </c>
      <c r="E140" s="4" t="s">
        <v>365</v>
      </c>
      <c r="F140" s="5" t="s">
        <v>366</v>
      </c>
      <c r="G140" s="6" t="n">
        <v>2851</v>
      </c>
      <c r="H140" s="6" t="n">
        <f aca="false">G140</f>
        <v>2851</v>
      </c>
      <c r="I140" s="6" t="n">
        <v>2750</v>
      </c>
      <c r="J140" s="4" t="s">
        <v>367</v>
      </c>
      <c r="K140" s="7" t="n">
        <v>42192</v>
      </c>
      <c r="L140" s="8" t="n">
        <v>45844</v>
      </c>
      <c r="N140" s="8" t="n">
        <v>44019</v>
      </c>
      <c r="P140" s="9" t="n">
        <v>156000</v>
      </c>
      <c r="Q140" s="9" t="n">
        <f aca="false">P140</f>
        <v>156000</v>
      </c>
      <c r="S140" s="9" t="n">
        <v>151300</v>
      </c>
      <c r="T140" s="9" t="n">
        <f aca="false">S140</f>
        <v>151300</v>
      </c>
      <c r="U140" s="9" t="n">
        <v>178200</v>
      </c>
      <c r="V140" s="9" t="n">
        <f aca="false">U140</f>
        <v>178200</v>
      </c>
      <c r="W140" s="45" t="n">
        <f aca="false">U140/G140</f>
        <v>62.504384426517</v>
      </c>
      <c r="X140" s="41" t="n">
        <f aca="false">SUM(U140-S140)/S140</f>
        <v>0.177792465300727</v>
      </c>
      <c r="Y140" s="9" t="s">
        <v>42</v>
      </c>
      <c r="Z140" s="42"/>
      <c r="AA140" s="524"/>
      <c r="AB140" s="5" t="s">
        <v>43</v>
      </c>
      <c r="AC140" s="4" t="s">
        <v>368</v>
      </c>
      <c r="AF140" s="59"/>
      <c r="AJ140" s="525" t="s">
        <v>1103</v>
      </c>
    </row>
    <row r="141" customFormat="false" ht="15" hidden="false" customHeight="false" outlineLevel="0" collapsed="false">
      <c r="A141" s="11" t="s">
        <v>106</v>
      </c>
      <c r="B141" s="11" t="s">
        <v>38</v>
      </c>
      <c r="C141" s="29" t="n">
        <v>550570</v>
      </c>
      <c r="D141" s="4" t="s">
        <v>350</v>
      </c>
      <c r="E141" s="4" t="s">
        <v>369</v>
      </c>
      <c r="F141" s="5" t="s">
        <v>366</v>
      </c>
      <c r="G141" s="6" t="n">
        <v>483</v>
      </c>
      <c r="H141" s="6" t="n">
        <f aca="false">G141</f>
        <v>483</v>
      </c>
      <c r="I141" s="6" t="n">
        <v>500</v>
      </c>
      <c r="J141" s="4" t="s">
        <v>370</v>
      </c>
      <c r="K141" s="7" t="n">
        <v>44272</v>
      </c>
      <c r="L141" s="8" t="n">
        <v>46097</v>
      </c>
      <c r="P141" s="9" t="n">
        <v>52200</v>
      </c>
      <c r="Q141" s="9" t="n">
        <f aca="false">P141</f>
        <v>52200</v>
      </c>
      <c r="S141" s="9" t="n">
        <v>54900</v>
      </c>
      <c r="T141" s="9" t="n">
        <f aca="false">S141</f>
        <v>54900</v>
      </c>
      <c r="U141" s="9" t="n">
        <v>30200</v>
      </c>
      <c r="V141" s="9" t="n">
        <f aca="false">U141</f>
        <v>30200</v>
      </c>
      <c r="W141" s="45" t="n">
        <f aca="false">U141/G141</f>
        <v>62.5258799171843</v>
      </c>
      <c r="X141" s="41" t="n">
        <f aca="false">SUM(U141-S141)/S141</f>
        <v>-0.449908925318761</v>
      </c>
      <c r="Y141" s="9" t="s">
        <v>127</v>
      </c>
      <c r="Z141" s="42"/>
      <c r="AA141" s="524"/>
      <c r="AB141" s="5" t="s">
        <v>43</v>
      </c>
      <c r="AF141" s="59"/>
      <c r="AJ141" s="525" t="s">
        <v>1103</v>
      </c>
    </row>
    <row r="142" customFormat="false" ht="19.4" hidden="false" customHeight="false" outlineLevel="0" collapsed="false">
      <c r="A142" s="11" t="s">
        <v>106</v>
      </c>
      <c r="B142" s="11" t="s">
        <v>38</v>
      </c>
      <c r="C142" s="29" t="n">
        <v>550570</v>
      </c>
      <c r="D142" s="4" t="s">
        <v>350</v>
      </c>
      <c r="E142" s="4" t="s">
        <v>371</v>
      </c>
      <c r="F142" s="5" t="s">
        <v>237</v>
      </c>
      <c r="G142" s="6" t="n">
        <v>3299</v>
      </c>
      <c r="H142" s="6" t="n">
        <f aca="false">G142</f>
        <v>3299</v>
      </c>
      <c r="I142" s="6" t="n">
        <v>3250</v>
      </c>
      <c r="J142" s="4" t="s">
        <v>372</v>
      </c>
      <c r="K142" s="7" t="n">
        <v>45807</v>
      </c>
      <c r="L142" s="8" t="n">
        <v>47143</v>
      </c>
      <c r="O142" s="8" t="n">
        <v>46408</v>
      </c>
      <c r="P142" s="9" t="n">
        <v>0</v>
      </c>
      <c r="Q142" s="9" t="n">
        <f aca="false">P142</f>
        <v>0</v>
      </c>
      <c r="S142" s="9" t="n">
        <v>193200</v>
      </c>
      <c r="T142" s="9" t="n">
        <f aca="false">S142</f>
        <v>193200</v>
      </c>
      <c r="U142" s="9" t="n">
        <v>209500</v>
      </c>
      <c r="V142" s="9" t="n">
        <f aca="false">U142</f>
        <v>209500</v>
      </c>
      <c r="W142" s="45" t="n">
        <f aca="false">U142/G142</f>
        <v>63.5040921491361</v>
      </c>
      <c r="X142" s="41" t="n">
        <f aca="false">SUM(U142-S142)/S142</f>
        <v>0.0843685300207039</v>
      </c>
      <c r="Y142" s="98" t="s">
        <v>55</v>
      </c>
      <c r="Z142" s="42"/>
      <c r="AA142" s="524"/>
      <c r="AB142" s="5" t="s">
        <v>43</v>
      </c>
      <c r="AC142" s="4" t="s">
        <v>373</v>
      </c>
      <c r="AE142" s="4" t="n">
        <v>3</v>
      </c>
      <c r="AF142" s="59" t="n">
        <v>5</v>
      </c>
      <c r="AJ142" s="525" t="s">
        <v>1103</v>
      </c>
    </row>
    <row r="143" customFormat="false" ht="19.4" hidden="false" customHeight="false" outlineLevel="0" collapsed="false">
      <c r="A143" s="11" t="s">
        <v>106</v>
      </c>
      <c r="B143" s="11" t="s">
        <v>38</v>
      </c>
      <c r="C143" s="29" t="n">
        <v>550570</v>
      </c>
      <c r="D143" s="4" t="s">
        <v>350</v>
      </c>
      <c r="E143" s="4" t="s">
        <v>374</v>
      </c>
      <c r="F143" s="5" t="s">
        <v>309</v>
      </c>
      <c r="G143" s="6" t="n">
        <v>882</v>
      </c>
      <c r="H143" s="6" t="n">
        <f aca="false">G143</f>
        <v>882</v>
      </c>
      <c r="I143" s="6" t="n">
        <v>1000</v>
      </c>
      <c r="J143" s="4" t="s">
        <v>375</v>
      </c>
      <c r="K143" s="7" t="n">
        <v>45114</v>
      </c>
      <c r="L143" s="8" t="n">
        <v>46209</v>
      </c>
      <c r="O143" s="8" t="n">
        <v>45844</v>
      </c>
      <c r="P143" s="9" t="n">
        <v>56225</v>
      </c>
      <c r="Q143" s="9" t="n">
        <f aca="false">P143</f>
        <v>56225</v>
      </c>
      <c r="S143" s="9" t="n">
        <v>52800</v>
      </c>
      <c r="T143" s="9" t="n">
        <f aca="false">S143</f>
        <v>52800</v>
      </c>
      <c r="U143" s="9" t="n">
        <v>56225</v>
      </c>
      <c r="V143" s="9" t="n">
        <f aca="false">U143</f>
        <v>56225</v>
      </c>
      <c r="W143" s="45" t="n">
        <f aca="false">U143/G143</f>
        <v>63.7471655328798</v>
      </c>
      <c r="X143" s="41" t="n">
        <f aca="false">SUM(U143-S143)/S143</f>
        <v>0.0648674242424242</v>
      </c>
      <c r="Y143" s="9" t="s">
        <v>60</v>
      </c>
      <c r="Z143" s="42"/>
      <c r="AA143" s="524"/>
      <c r="AB143" s="5" t="s">
        <v>43</v>
      </c>
      <c r="AC143" s="4" t="s">
        <v>376</v>
      </c>
      <c r="AF143" s="59"/>
      <c r="AJ143" s="525" t="s">
        <v>1103</v>
      </c>
    </row>
    <row r="144" customFormat="false" ht="15" hidden="false" customHeight="false" outlineLevel="0" collapsed="false">
      <c r="A144" s="11" t="s">
        <v>106</v>
      </c>
      <c r="B144" s="11" t="s">
        <v>38</v>
      </c>
      <c r="C144" s="29" t="n">
        <v>550570</v>
      </c>
      <c r="D144" s="4" t="s">
        <v>350</v>
      </c>
      <c r="E144" s="4" t="s">
        <v>94</v>
      </c>
      <c r="F144" s="5" t="s">
        <v>309</v>
      </c>
      <c r="G144" s="6" t="n">
        <v>4169</v>
      </c>
      <c r="H144" s="6" t="n">
        <f aca="false">G144</f>
        <v>4169</v>
      </c>
      <c r="I144" s="6" t="n">
        <v>4000</v>
      </c>
      <c r="J144" s="4" t="s">
        <v>377</v>
      </c>
      <c r="K144" s="7" t="n">
        <v>43378</v>
      </c>
      <c r="L144" s="8" t="n">
        <v>47030</v>
      </c>
      <c r="N144" s="8" t="n">
        <v>45204</v>
      </c>
      <c r="P144" s="9" t="n">
        <v>257635</v>
      </c>
      <c r="Q144" s="9" t="n">
        <f aca="false">P144</f>
        <v>257635</v>
      </c>
      <c r="S144" s="9" t="n">
        <v>264100</v>
      </c>
      <c r="T144" s="9" t="n">
        <f aca="false">S144</f>
        <v>264100</v>
      </c>
      <c r="U144" s="9" t="n">
        <v>271000</v>
      </c>
      <c r="V144" s="9" t="n">
        <f aca="false">U144</f>
        <v>271000</v>
      </c>
      <c r="W144" s="45" t="n">
        <f aca="false">U144/G144</f>
        <v>65.0035979851283</v>
      </c>
      <c r="X144" s="41" t="n">
        <f aca="false">SUM(U144-S144)/S144</f>
        <v>0.0261264672472548</v>
      </c>
      <c r="Y144" s="9" t="s">
        <v>60</v>
      </c>
      <c r="Z144" s="42"/>
      <c r="AA144" s="524"/>
      <c r="AB144" s="5" t="s">
        <v>43</v>
      </c>
      <c r="AC144" s="4" t="s">
        <v>378</v>
      </c>
      <c r="AE144" s="4" t="n">
        <v>1</v>
      </c>
      <c r="AF144" s="59" t="n">
        <v>1</v>
      </c>
      <c r="AJ144" s="525" t="s">
        <v>1103</v>
      </c>
    </row>
    <row r="145" customFormat="false" ht="19.4" hidden="false" customHeight="false" outlineLevel="0" collapsed="false">
      <c r="A145" s="11" t="s">
        <v>106</v>
      </c>
      <c r="B145" s="11" t="s">
        <v>38</v>
      </c>
      <c r="C145" s="29" t="n">
        <v>550570</v>
      </c>
      <c r="D145" s="4" t="s">
        <v>350</v>
      </c>
      <c r="E145" s="4" t="s">
        <v>379</v>
      </c>
      <c r="F145" s="5" t="s">
        <v>40</v>
      </c>
      <c r="G145" s="6" t="n">
        <v>4098</v>
      </c>
      <c r="H145" s="6" t="n">
        <f aca="false">G145</f>
        <v>4098</v>
      </c>
      <c r="I145" s="6" t="n">
        <v>4000</v>
      </c>
      <c r="J145" s="4" t="s">
        <v>372</v>
      </c>
      <c r="K145" s="7" t="n">
        <v>45317</v>
      </c>
      <c r="L145" s="8" t="n">
        <v>47143</v>
      </c>
      <c r="O145" s="8" t="n">
        <v>46047</v>
      </c>
      <c r="P145" s="9" t="n">
        <v>304500</v>
      </c>
      <c r="Q145" s="9" t="n">
        <f aca="false">P145</f>
        <v>304500</v>
      </c>
      <c r="S145" s="9" t="n">
        <v>255600</v>
      </c>
      <c r="T145" s="9" t="n">
        <f aca="false">S145</f>
        <v>255600</v>
      </c>
      <c r="U145" s="9" t="n">
        <v>304500</v>
      </c>
      <c r="V145" s="9" t="n">
        <f aca="false">U145</f>
        <v>304500</v>
      </c>
      <c r="W145" s="45" t="n">
        <f aca="false">U145/G145</f>
        <v>74.3045387994144</v>
      </c>
      <c r="X145" s="41" t="n">
        <f aca="false">SUM(U145-S145)/S145</f>
        <v>0.19131455399061</v>
      </c>
      <c r="Y145" s="9" t="s">
        <v>55</v>
      </c>
      <c r="Z145" s="42"/>
      <c r="AA145" s="524"/>
      <c r="AB145" s="5" t="s">
        <v>43</v>
      </c>
      <c r="AC145" s="4" t="s">
        <v>380</v>
      </c>
      <c r="AF145" s="59"/>
      <c r="AJ145" s="525" t="s">
        <v>1103</v>
      </c>
    </row>
    <row r="146" customFormat="false" ht="19.4" hidden="false" customHeight="false" outlineLevel="0" collapsed="false">
      <c r="A146" s="11" t="s">
        <v>106</v>
      </c>
      <c r="B146" s="11" t="s">
        <v>38</v>
      </c>
      <c r="C146" s="29" t="n">
        <v>550570</v>
      </c>
      <c r="D146" s="4" t="s">
        <v>350</v>
      </c>
      <c r="E146" s="4" t="s">
        <v>180</v>
      </c>
      <c r="F146" s="5" t="s">
        <v>40</v>
      </c>
      <c r="G146" s="6" t="n">
        <v>3179</v>
      </c>
      <c r="H146" s="6" t="n">
        <f aca="false">G146</f>
        <v>3179</v>
      </c>
      <c r="I146" s="6" t="n">
        <v>3000</v>
      </c>
      <c r="J146" s="4" t="s">
        <v>381</v>
      </c>
      <c r="K146" s="7" t="n">
        <v>45086</v>
      </c>
      <c r="L146" s="8" t="n">
        <v>46912</v>
      </c>
      <c r="O146" s="8" t="n">
        <v>46181</v>
      </c>
      <c r="P146" s="9" t="n">
        <v>225875</v>
      </c>
      <c r="Q146" s="9" t="n">
        <f aca="false">P146</f>
        <v>225875</v>
      </c>
      <c r="S146" s="9" t="n">
        <v>196883</v>
      </c>
      <c r="T146" s="9" t="n">
        <f aca="false">S146</f>
        <v>196883</v>
      </c>
      <c r="U146" s="9" t="n">
        <v>230500</v>
      </c>
      <c r="V146" s="9" t="n">
        <f aca="false">U146</f>
        <v>230500</v>
      </c>
      <c r="W146" s="45" t="n">
        <f aca="false">U146/G146</f>
        <v>72.5070776973891</v>
      </c>
      <c r="X146" s="41" t="n">
        <f aca="false">SUM(U146-S146)/S146</f>
        <v>0.170746077619703</v>
      </c>
      <c r="Y146" s="9" t="s">
        <v>60</v>
      </c>
      <c r="Z146" s="42"/>
      <c r="AA146" s="524"/>
      <c r="AB146" s="5" t="s">
        <v>43</v>
      </c>
      <c r="AC146" s="4" t="s">
        <v>382</v>
      </c>
      <c r="AF146" s="59"/>
      <c r="AJ146" s="525" t="s">
        <v>1103</v>
      </c>
    </row>
    <row r="147" customFormat="false" ht="19.4" hidden="false" customHeight="false" outlineLevel="0" collapsed="false">
      <c r="A147" s="11" t="s">
        <v>106</v>
      </c>
      <c r="B147" s="11" t="s">
        <v>38</v>
      </c>
      <c r="C147" s="29" t="n">
        <v>550570</v>
      </c>
      <c r="D147" s="4" t="s">
        <v>350</v>
      </c>
      <c r="E147" s="4" t="s">
        <v>383</v>
      </c>
      <c r="F147" s="5" t="s">
        <v>40</v>
      </c>
      <c r="G147" s="6" t="n">
        <v>2099</v>
      </c>
      <c r="H147" s="6" t="n">
        <f aca="false">G147</f>
        <v>2099</v>
      </c>
      <c r="I147" s="6" t="n">
        <v>2000</v>
      </c>
      <c r="J147" s="4" t="s">
        <v>384</v>
      </c>
      <c r="K147" s="7" t="n">
        <v>45019</v>
      </c>
      <c r="L147" s="8" t="n">
        <v>46845</v>
      </c>
      <c r="O147" s="8" t="n">
        <v>46114</v>
      </c>
      <c r="P147" s="9" t="n">
        <v>133250</v>
      </c>
      <c r="Q147" s="9" t="n">
        <f aca="false">P147</f>
        <v>133250</v>
      </c>
      <c r="S147" s="9" t="n">
        <v>135167</v>
      </c>
      <c r="T147" s="9" t="n">
        <f aca="false">S147</f>
        <v>135167</v>
      </c>
      <c r="U147" s="9" t="n">
        <v>152200</v>
      </c>
      <c r="V147" s="9" t="n">
        <f aca="false">U147</f>
        <v>152200</v>
      </c>
      <c r="W147" s="45" t="n">
        <f aca="false">U147/G147</f>
        <v>72.5107193901858</v>
      </c>
      <c r="X147" s="41" t="n">
        <f aca="false">SUM(U147-S147)/S147</f>
        <v>0.126014485784252</v>
      </c>
      <c r="Y147" s="9" t="s">
        <v>60</v>
      </c>
      <c r="Z147" s="42"/>
      <c r="AA147" s="524"/>
      <c r="AB147" s="5" t="s">
        <v>43</v>
      </c>
      <c r="AC147" s="4" t="s">
        <v>385</v>
      </c>
      <c r="AF147" s="59"/>
      <c r="AJ147" s="525" t="s">
        <v>1103</v>
      </c>
    </row>
    <row r="148" customFormat="false" ht="15" hidden="false" customHeight="false" outlineLevel="0" collapsed="false">
      <c r="A148" s="11" t="s">
        <v>106</v>
      </c>
      <c r="B148" s="11" t="s">
        <v>38</v>
      </c>
      <c r="C148" s="29" t="n">
        <v>550570</v>
      </c>
      <c r="D148" s="4" t="s">
        <v>350</v>
      </c>
      <c r="E148" s="4" t="s">
        <v>386</v>
      </c>
      <c r="F148" s="5" t="s">
        <v>242</v>
      </c>
      <c r="G148" s="6" t="n">
        <v>580</v>
      </c>
      <c r="H148" s="6" t="n">
        <f aca="false">G148</f>
        <v>580</v>
      </c>
      <c r="I148" s="6" t="n">
        <v>500</v>
      </c>
      <c r="J148" s="4" t="s">
        <v>387</v>
      </c>
      <c r="K148" s="7" t="n">
        <v>45546</v>
      </c>
      <c r="L148" s="8" t="n">
        <v>45910</v>
      </c>
      <c r="P148" s="9" t="n">
        <v>42016</v>
      </c>
      <c r="Q148" s="9" t="n">
        <f aca="false">P148</f>
        <v>42016</v>
      </c>
      <c r="S148" s="9" t="n">
        <v>26496</v>
      </c>
      <c r="T148" s="9" t="n">
        <f aca="false">S148</f>
        <v>26496</v>
      </c>
      <c r="U148" s="9" t="n">
        <v>26496</v>
      </c>
      <c r="V148" s="9" t="n">
        <f aca="false">U148</f>
        <v>26496</v>
      </c>
      <c r="W148" s="45" t="n">
        <f aca="false">U148/G148</f>
        <v>45.6827586206897</v>
      </c>
      <c r="X148" s="41" t="n">
        <f aca="false">SUM(U148-S148)/S148</f>
        <v>0</v>
      </c>
      <c r="Y148" s="9" t="s">
        <v>127</v>
      </c>
      <c r="Z148" s="42"/>
      <c r="AA148" s="524"/>
      <c r="AB148" s="5" t="s">
        <v>43</v>
      </c>
      <c r="AE148" s="60"/>
      <c r="AF148" s="62"/>
      <c r="AG148" s="60"/>
      <c r="AJ148" s="525" t="s">
        <v>1103</v>
      </c>
    </row>
    <row r="149" customFormat="false" ht="28.35" hidden="false" customHeight="false" outlineLevel="0" collapsed="false">
      <c r="A149" s="11" t="s">
        <v>189</v>
      </c>
      <c r="B149" s="11" t="s">
        <v>38</v>
      </c>
      <c r="C149" s="29" t="n">
        <v>550430</v>
      </c>
      <c r="D149" s="4" t="s">
        <v>389</v>
      </c>
      <c r="E149" s="4" t="s">
        <v>39</v>
      </c>
      <c r="F149" s="5" t="s">
        <v>49</v>
      </c>
      <c r="G149" s="43" t="n">
        <v>2692</v>
      </c>
      <c r="H149" s="9" t="n">
        <f aca="false">G149</f>
        <v>2692</v>
      </c>
      <c r="I149" s="9" t="n">
        <v>2750</v>
      </c>
      <c r="J149" s="4" t="s">
        <v>390</v>
      </c>
      <c r="K149" s="7" t="n">
        <v>39814</v>
      </c>
      <c r="L149" s="102" t="n">
        <v>45747</v>
      </c>
      <c r="P149" s="44" t="n">
        <v>104500</v>
      </c>
      <c r="Q149" s="9" t="n">
        <f aca="false">P149</f>
        <v>104500</v>
      </c>
      <c r="R149" s="44" t="n">
        <f aca="false">Q149</f>
        <v>104500</v>
      </c>
      <c r="S149" s="44" t="n">
        <v>94400</v>
      </c>
      <c r="T149" s="9" t="n">
        <f aca="false">S149</f>
        <v>94400</v>
      </c>
      <c r="U149" s="44" t="n">
        <v>94400</v>
      </c>
      <c r="V149" s="9" t="n">
        <f aca="false">U149</f>
        <v>94400</v>
      </c>
      <c r="W149" s="45" t="n">
        <f aca="false">U149/G149</f>
        <v>35.0668647845468</v>
      </c>
      <c r="X149" s="41" t="n">
        <f aca="false">SUM(U149-S149)/S149</f>
        <v>0</v>
      </c>
      <c r="Y149" s="9" t="s">
        <v>55</v>
      </c>
      <c r="Z149" s="42"/>
      <c r="AA149" s="44" t="n">
        <v>1425000</v>
      </c>
      <c r="AB149" s="5" t="s">
        <v>170</v>
      </c>
      <c r="AC149" s="4" t="s">
        <v>391</v>
      </c>
      <c r="AF149" s="59"/>
      <c r="AJ149" s="525" t="s">
        <v>1103</v>
      </c>
    </row>
    <row r="150" customFormat="false" ht="28.35" hidden="false" customHeight="false" outlineLevel="0" collapsed="false">
      <c r="A150" s="11" t="s">
        <v>189</v>
      </c>
      <c r="B150" s="11" t="s">
        <v>38</v>
      </c>
      <c r="C150" s="29" t="n">
        <v>550440</v>
      </c>
      <c r="D150" s="4" t="s">
        <v>392</v>
      </c>
      <c r="E150" s="4" t="s">
        <v>112</v>
      </c>
      <c r="F150" s="5" t="s">
        <v>49</v>
      </c>
      <c r="G150" s="6" t="n">
        <v>1171</v>
      </c>
      <c r="H150" s="9" t="n">
        <f aca="false">G150</f>
        <v>1171</v>
      </c>
      <c r="I150" s="9" t="n">
        <v>1000</v>
      </c>
      <c r="J150" s="4" t="s">
        <v>390</v>
      </c>
      <c r="K150" s="7" t="n">
        <v>39814</v>
      </c>
      <c r="L150" s="102" t="n">
        <v>45747</v>
      </c>
      <c r="P150" s="9" t="n">
        <v>50425</v>
      </c>
      <c r="Q150" s="9" t="n">
        <f aca="false">P150</f>
        <v>50425</v>
      </c>
      <c r="S150" s="9" t="n">
        <v>41000</v>
      </c>
      <c r="T150" s="9" t="n">
        <f aca="false">S150</f>
        <v>41000</v>
      </c>
      <c r="U150" s="9" t="n">
        <v>41000</v>
      </c>
      <c r="V150" s="9" t="n">
        <f aca="false">U150</f>
        <v>41000</v>
      </c>
      <c r="W150" s="45" t="n">
        <f aca="false">U150/G150</f>
        <v>35.0128095644748</v>
      </c>
      <c r="X150" s="41" t="n">
        <f aca="false">SUM(U150-S150)/S150</f>
        <v>0</v>
      </c>
      <c r="Y150" s="9" t="s">
        <v>55</v>
      </c>
      <c r="Z150" s="42"/>
      <c r="AA150" s="44"/>
      <c r="AB150" s="5" t="s">
        <v>170</v>
      </c>
      <c r="AC150" s="4" t="s">
        <v>391</v>
      </c>
      <c r="AF150" s="59"/>
      <c r="AJ150" s="525" t="s">
        <v>1103</v>
      </c>
    </row>
    <row r="151" customFormat="false" ht="15" hidden="false" customHeight="false" outlineLevel="0" collapsed="false">
      <c r="A151" s="11" t="s">
        <v>189</v>
      </c>
      <c r="B151" s="11" t="s">
        <v>38</v>
      </c>
      <c r="C151" s="29" t="n">
        <v>550440</v>
      </c>
      <c r="D151" s="4" t="s">
        <v>392</v>
      </c>
      <c r="E151" s="4" t="s">
        <v>260</v>
      </c>
      <c r="F151" s="5" t="s">
        <v>393</v>
      </c>
      <c r="G151" s="6" t="n">
        <v>1120</v>
      </c>
      <c r="H151" s="9" t="n">
        <f aca="false">G151</f>
        <v>1120</v>
      </c>
      <c r="I151" s="9" t="n">
        <v>1000</v>
      </c>
      <c r="J151" s="4" t="s">
        <v>390</v>
      </c>
      <c r="K151" s="7" t="n">
        <v>45292</v>
      </c>
      <c r="P151" s="9" t="n">
        <v>61575</v>
      </c>
      <c r="Q151" s="9" t="n">
        <f aca="false">P151</f>
        <v>61575</v>
      </c>
      <c r="S151" s="9" t="n">
        <v>58800</v>
      </c>
      <c r="T151" s="9" t="n">
        <f aca="false">S151</f>
        <v>58800</v>
      </c>
      <c r="U151" s="9" t="n">
        <v>58800</v>
      </c>
      <c r="V151" s="9" t="n">
        <f aca="false">U151</f>
        <v>58800</v>
      </c>
      <c r="W151" s="45" t="n">
        <f aca="false">U151/G151</f>
        <v>52.5</v>
      </c>
      <c r="X151" s="41"/>
      <c r="Y151" s="9" t="s">
        <v>127</v>
      </c>
      <c r="Z151" s="42"/>
      <c r="AA151" s="44"/>
      <c r="AB151" s="5" t="s">
        <v>43</v>
      </c>
      <c r="AC151" s="4" t="s">
        <v>280</v>
      </c>
      <c r="AF151" s="59"/>
      <c r="AJ151" s="525" t="s">
        <v>1103</v>
      </c>
    </row>
    <row r="152" customFormat="false" ht="15" hidden="false" customHeight="false" outlineLevel="0" collapsed="false">
      <c r="A152" s="11" t="s">
        <v>106</v>
      </c>
      <c r="B152" s="11" t="s">
        <v>38</v>
      </c>
      <c r="C152" s="29" t="n">
        <v>550220</v>
      </c>
      <c r="D152" s="4" t="s">
        <v>394</v>
      </c>
      <c r="E152" s="4" t="s">
        <v>395</v>
      </c>
      <c r="F152" s="5" t="s">
        <v>396</v>
      </c>
      <c r="G152" s="43" t="n">
        <v>4284</v>
      </c>
      <c r="H152" s="9" t="n">
        <f aca="false">G152</f>
        <v>4284</v>
      </c>
      <c r="I152" s="9" t="n">
        <v>4250</v>
      </c>
      <c r="J152" s="4" t="s">
        <v>67</v>
      </c>
      <c r="M152" s="8" t="n">
        <v>44387</v>
      </c>
      <c r="P152" s="44" t="n">
        <v>0</v>
      </c>
      <c r="Q152" s="9" t="n">
        <f aca="false">P152</f>
        <v>0</v>
      </c>
      <c r="R152" s="44" t="n">
        <f aca="false">Q152</f>
        <v>0</v>
      </c>
      <c r="S152" s="44" t="n">
        <v>0</v>
      </c>
      <c r="T152" s="9" t="n">
        <f aca="false">S152</f>
        <v>0</v>
      </c>
      <c r="U152" s="44" t="n">
        <v>0</v>
      </c>
      <c r="V152" s="9" t="n">
        <f aca="false">U152</f>
        <v>0</v>
      </c>
      <c r="W152" s="9"/>
      <c r="X152" s="41"/>
      <c r="Y152" s="9"/>
      <c r="Z152" s="42"/>
      <c r="AA152" s="44" t="n">
        <v>1500000</v>
      </c>
      <c r="AB152" s="5" t="s">
        <v>43</v>
      </c>
      <c r="AC152" s="4" t="s">
        <v>228</v>
      </c>
      <c r="AE152" s="60"/>
      <c r="AF152" s="62"/>
      <c r="AG152" s="60"/>
      <c r="AJ152" s="525" t="s">
        <v>1104</v>
      </c>
    </row>
    <row r="153" customFormat="false" ht="28.35" hidden="false" customHeight="false" outlineLevel="0" collapsed="false">
      <c r="A153" s="11" t="s">
        <v>106</v>
      </c>
      <c r="B153" s="11" t="s">
        <v>38</v>
      </c>
      <c r="C153" s="29" t="n">
        <v>550890</v>
      </c>
      <c r="D153" s="4" t="s">
        <v>398</v>
      </c>
      <c r="E153" s="4" t="s">
        <v>39</v>
      </c>
      <c r="F153" s="5" t="s">
        <v>399</v>
      </c>
      <c r="G153" s="43" t="n">
        <v>23500</v>
      </c>
      <c r="H153" s="9" t="n">
        <f aca="false">G153</f>
        <v>23500</v>
      </c>
      <c r="I153" s="9" t="n">
        <v>23500</v>
      </c>
      <c r="J153" s="4" t="s">
        <v>400</v>
      </c>
      <c r="K153" s="7" t="n">
        <v>45651</v>
      </c>
      <c r="L153" s="8" t="n">
        <v>49302</v>
      </c>
      <c r="N153" s="7" t="n">
        <v>47477</v>
      </c>
      <c r="O153" s="7"/>
      <c r="P153" s="44" t="n">
        <v>660000</v>
      </c>
      <c r="Q153" s="9" t="n">
        <f aca="false">P153</f>
        <v>660000</v>
      </c>
      <c r="R153" s="44" t="n">
        <f aca="false">Q153</f>
        <v>660000</v>
      </c>
      <c r="S153" s="44" t="n">
        <v>0</v>
      </c>
      <c r="T153" s="9" t="n">
        <f aca="false">S153</f>
        <v>0</v>
      </c>
      <c r="U153" s="44" t="n">
        <v>0</v>
      </c>
      <c r="V153" s="9" t="n">
        <f aca="false">U153</f>
        <v>0</v>
      </c>
      <c r="W153" s="9"/>
      <c r="X153" s="41"/>
      <c r="Y153" s="9" t="s">
        <v>55</v>
      </c>
      <c r="Z153" s="42"/>
      <c r="AA153" s="44" t="n">
        <v>17500000</v>
      </c>
      <c r="AB153" s="5" t="s">
        <v>43</v>
      </c>
      <c r="AC153" s="105" t="s">
        <v>401</v>
      </c>
      <c r="AD153" s="106"/>
      <c r="AE153" s="105"/>
      <c r="AF153" s="107"/>
      <c r="AG153" s="105"/>
      <c r="AJ153" s="525" t="s">
        <v>1103</v>
      </c>
    </row>
    <row r="154" customFormat="false" ht="15" hidden="false" customHeight="false" outlineLevel="0" collapsed="false">
      <c r="A154" s="11" t="s">
        <v>236</v>
      </c>
      <c r="B154" s="11" t="s">
        <v>38</v>
      </c>
      <c r="C154" s="29" t="n">
        <v>550586</v>
      </c>
      <c r="D154" s="4" t="s">
        <v>402</v>
      </c>
      <c r="E154" s="4" t="s">
        <v>403</v>
      </c>
      <c r="F154" s="5" t="s">
        <v>242</v>
      </c>
      <c r="G154" s="43" t="n">
        <v>420</v>
      </c>
      <c r="H154" s="9" t="n">
        <f aca="false">G154</f>
        <v>420</v>
      </c>
      <c r="I154" s="9" t="n">
        <v>500</v>
      </c>
      <c r="J154" s="4" t="s">
        <v>404</v>
      </c>
      <c r="K154" s="7" t="n">
        <v>45664</v>
      </c>
      <c r="L154" s="8" t="n">
        <v>46028</v>
      </c>
      <c r="P154" s="44" t="n">
        <v>25220</v>
      </c>
      <c r="Q154" s="9" t="n">
        <f aca="false">P154</f>
        <v>25220</v>
      </c>
      <c r="R154" s="44" t="n">
        <f aca="false">Q154</f>
        <v>25220</v>
      </c>
      <c r="S154" s="44" t="n">
        <v>27000</v>
      </c>
      <c r="T154" s="9" t="n">
        <f aca="false">S154</f>
        <v>27000</v>
      </c>
      <c r="U154" s="44" t="n">
        <v>27000</v>
      </c>
      <c r="V154" s="9" t="n">
        <f aca="false">U154</f>
        <v>27000</v>
      </c>
      <c r="W154" s="9"/>
      <c r="X154" s="41" t="n">
        <f aca="false">SUM(U154-S154)/S154</f>
        <v>0</v>
      </c>
      <c r="Y154" s="9" t="s">
        <v>60</v>
      </c>
      <c r="Z154" s="42"/>
      <c r="AA154" s="44" t="n">
        <v>590000</v>
      </c>
      <c r="AB154" s="5" t="s">
        <v>43</v>
      </c>
      <c r="AC154" s="60" t="s">
        <v>64</v>
      </c>
      <c r="AE154" s="60"/>
      <c r="AF154" s="62"/>
      <c r="AG154" s="60"/>
      <c r="AJ154" s="525" t="s">
        <v>1103</v>
      </c>
    </row>
    <row r="155" customFormat="false" ht="15" hidden="false" customHeight="false" outlineLevel="0" collapsed="false">
      <c r="A155" s="11" t="s">
        <v>189</v>
      </c>
      <c r="B155" s="11" t="s">
        <v>38</v>
      </c>
      <c r="C155" s="29" t="n">
        <v>550300</v>
      </c>
      <c r="D155" s="4" t="s">
        <v>406</v>
      </c>
      <c r="E155" s="4" t="s">
        <v>407</v>
      </c>
      <c r="F155" s="5" t="s">
        <v>408</v>
      </c>
      <c r="G155" s="6" t="n">
        <v>1911</v>
      </c>
      <c r="H155" s="6" t="n">
        <f aca="false">G155</f>
        <v>1911</v>
      </c>
      <c r="I155" s="6" t="n">
        <v>2000</v>
      </c>
      <c r="J155" s="4" t="s">
        <v>409</v>
      </c>
      <c r="K155" s="7" t="n">
        <v>44774</v>
      </c>
      <c r="L155" s="8" t="n">
        <v>46599</v>
      </c>
      <c r="O155" s="8" t="n">
        <v>45870</v>
      </c>
      <c r="P155" s="9" t="n">
        <v>44735</v>
      </c>
      <c r="Q155" s="9" t="n">
        <f aca="false">P155</f>
        <v>44735</v>
      </c>
      <c r="S155" s="9" t="n">
        <v>45700</v>
      </c>
      <c r="T155" s="9" t="n">
        <f aca="false">S155</f>
        <v>45700</v>
      </c>
      <c r="U155" s="9" t="n">
        <v>47800</v>
      </c>
      <c r="V155" s="9" t="n">
        <f aca="false">U155</f>
        <v>47800</v>
      </c>
      <c r="W155" s="45" t="n">
        <f aca="false">U155/G155</f>
        <v>25.0130821559393</v>
      </c>
      <c r="X155" s="41" t="n">
        <f aca="false">SUM(U155-S155)/S155</f>
        <v>0.0459518599562363</v>
      </c>
      <c r="Y155" s="9" t="s">
        <v>127</v>
      </c>
      <c r="Z155" s="42"/>
      <c r="AA155" s="524"/>
      <c r="AB155" s="5" t="s">
        <v>43</v>
      </c>
      <c r="AC155" s="4" t="s">
        <v>75</v>
      </c>
      <c r="AF155" s="59"/>
      <c r="AJ155" s="525" t="s">
        <v>1103</v>
      </c>
    </row>
    <row r="156" customFormat="false" ht="15" hidden="false" customHeight="false" outlineLevel="0" collapsed="false">
      <c r="A156" s="11" t="s">
        <v>189</v>
      </c>
      <c r="B156" s="11" t="s">
        <v>38</v>
      </c>
      <c r="C156" s="29" t="n">
        <v>550300</v>
      </c>
      <c r="D156" s="4" t="s">
        <v>406</v>
      </c>
      <c r="E156" s="4" t="s">
        <v>410</v>
      </c>
      <c r="F156" s="5" t="s">
        <v>411</v>
      </c>
      <c r="G156" s="6" t="n">
        <v>0</v>
      </c>
      <c r="H156" s="6" t="n">
        <f aca="false">G156</f>
        <v>0</v>
      </c>
      <c r="J156" s="4" t="s">
        <v>81</v>
      </c>
      <c r="M156" s="8" t="n">
        <v>45456</v>
      </c>
      <c r="P156" s="9" t="n">
        <v>0</v>
      </c>
      <c r="Q156" s="9" t="n">
        <f aca="false">P156</f>
        <v>0</v>
      </c>
      <c r="S156" s="9" t="n">
        <v>0</v>
      </c>
      <c r="T156" s="9" t="n">
        <f aca="false">S156</f>
        <v>0</v>
      </c>
      <c r="U156" s="9" t="n">
        <v>0</v>
      </c>
      <c r="V156" s="9" t="n">
        <f aca="false">U156</f>
        <v>0</v>
      </c>
      <c r="W156" s="45"/>
      <c r="X156" s="41"/>
      <c r="Y156" s="9" t="s">
        <v>127</v>
      </c>
      <c r="Z156" s="42"/>
      <c r="AA156" s="524"/>
      <c r="AB156" s="5" t="s">
        <v>43</v>
      </c>
      <c r="AF156" s="59"/>
      <c r="AJ156" s="525" t="s">
        <v>1104</v>
      </c>
    </row>
    <row r="157" customFormat="false" ht="15" hidden="false" customHeight="false" outlineLevel="0" collapsed="false">
      <c r="A157" s="11" t="s">
        <v>189</v>
      </c>
      <c r="B157" s="11" t="s">
        <v>38</v>
      </c>
      <c r="C157" s="29" t="n">
        <v>550300</v>
      </c>
      <c r="D157" s="4" t="s">
        <v>406</v>
      </c>
      <c r="E157" s="4" t="s">
        <v>412</v>
      </c>
      <c r="F157" s="5" t="s">
        <v>237</v>
      </c>
      <c r="G157" s="6" t="n">
        <v>495</v>
      </c>
      <c r="H157" s="6" t="n">
        <f aca="false">G157</f>
        <v>495</v>
      </c>
      <c r="I157" s="6" t="n">
        <v>500</v>
      </c>
      <c r="J157" s="4" t="s">
        <v>413</v>
      </c>
      <c r="K157" s="7" t="n">
        <v>45010</v>
      </c>
      <c r="L157" s="8" t="n">
        <v>48662</v>
      </c>
      <c r="N157" s="8" t="n">
        <v>46837</v>
      </c>
      <c r="P157" s="9" t="n">
        <v>35000</v>
      </c>
      <c r="Q157" s="9" t="n">
        <f aca="false">P157</f>
        <v>35000</v>
      </c>
      <c r="S157" s="9" t="n">
        <v>35400</v>
      </c>
      <c r="T157" s="9" t="n">
        <f aca="false">S157</f>
        <v>35400</v>
      </c>
      <c r="U157" s="9" t="n">
        <v>35000</v>
      </c>
      <c r="V157" s="9" t="n">
        <f aca="false">U157</f>
        <v>35000</v>
      </c>
      <c r="W157" s="45" t="n">
        <f aca="false">U157/G157</f>
        <v>70.7070707070707</v>
      </c>
      <c r="X157" s="41" t="n">
        <f aca="false">SUM(U157-S157)/S157</f>
        <v>-0.0112994350282486</v>
      </c>
      <c r="Y157" s="9" t="s">
        <v>127</v>
      </c>
      <c r="Z157" s="42"/>
      <c r="AA157" s="524"/>
      <c r="AB157" s="5" t="s">
        <v>43</v>
      </c>
      <c r="AF157" s="59"/>
      <c r="AJ157" s="525" t="s">
        <v>1103</v>
      </c>
    </row>
    <row r="158" customFormat="false" ht="19.4" hidden="false" customHeight="false" outlineLevel="0" collapsed="false">
      <c r="A158" s="11" t="s">
        <v>189</v>
      </c>
      <c r="B158" s="11" t="s">
        <v>38</v>
      </c>
      <c r="C158" s="29" t="n">
        <v>550300</v>
      </c>
      <c r="D158" s="4" t="s">
        <v>406</v>
      </c>
      <c r="E158" s="4" t="s">
        <v>414</v>
      </c>
      <c r="F158" s="5" t="s">
        <v>415</v>
      </c>
      <c r="G158" s="6" t="n">
        <v>1051</v>
      </c>
      <c r="H158" s="6" t="n">
        <f aca="false">G158</f>
        <v>1051</v>
      </c>
      <c r="I158" s="6" t="n">
        <v>1000</v>
      </c>
      <c r="J158" s="4" t="s">
        <v>416</v>
      </c>
      <c r="K158" s="7" t="n">
        <v>43549</v>
      </c>
      <c r="L158" s="8" t="n">
        <v>46836</v>
      </c>
      <c r="N158" s="8" t="n">
        <v>45010</v>
      </c>
      <c r="P158" s="9" t="n">
        <v>28200</v>
      </c>
      <c r="Q158" s="9" t="n">
        <f aca="false">P158</f>
        <v>28200</v>
      </c>
      <c r="S158" s="9" t="n">
        <v>32000</v>
      </c>
      <c r="T158" s="9" t="n">
        <f aca="false">S158</f>
        <v>32000</v>
      </c>
      <c r="U158" s="9" t="n">
        <v>21000</v>
      </c>
      <c r="V158" s="9" t="n">
        <f aca="false">U158</f>
        <v>21000</v>
      </c>
      <c r="W158" s="45" t="n">
        <f aca="false">U158/G158</f>
        <v>19.9809705042816</v>
      </c>
      <c r="X158" s="41" t="n">
        <f aca="false">SUM(U158-S158)/S158</f>
        <v>-0.34375</v>
      </c>
      <c r="Y158" s="9" t="s">
        <v>127</v>
      </c>
      <c r="Z158" s="42"/>
      <c r="AA158" s="524"/>
      <c r="AB158" s="5" t="s">
        <v>43</v>
      </c>
      <c r="AC158" s="4" t="s">
        <v>417</v>
      </c>
      <c r="AF158" s="59"/>
      <c r="AJ158" s="525" t="s">
        <v>1103</v>
      </c>
    </row>
    <row r="159" customFormat="false" ht="19.4" hidden="false" customHeight="false" outlineLevel="0" collapsed="false">
      <c r="A159" s="11" t="s">
        <v>189</v>
      </c>
      <c r="B159" s="11" t="s">
        <v>38</v>
      </c>
      <c r="C159" s="29" t="n">
        <v>550300</v>
      </c>
      <c r="D159" s="4" t="s">
        <v>406</v>
      </c>
      <c r="E159" s="4" t="s">
        <v>340</v>
      </c>
      <c r="F159" s="5" t="s">
        <v>90</v>
      </c>
      <c r="G159" s="6" t="n">
        <v>2254</v>
      </c>
      <c r="H159" s="6" t="n">
        <f aca="false">G159</f>
        <v>2254</v>
      </c>
      <c r="I159" s="6" t="n">
        <v>2250</v>
      </c>
      <c r="J159" s="4" t="s">
        <v>357</v>
      </c>
      <c r="K159" s="7" t="n">
        <v>45001</v>
      </c>
      <c r="L159" s="8" t="n">
        <v>46827</v>
      </c>
      <c r="M159" s="8"/>
      <c r="O159" s="8" t="n">
        <v>46097</v>
      </c>
      <c r="P159" s="9" t="n">
        <v>148590</v>
      </c>
      <c r="Q159" s="9" t="n">
        <f aca="false">P159</f>
        <v>148590</v>
      </c>
      <c r="S159" s="9" t="n">
        <v>148600</v>
      </c>
      <c r="T159" s="9" t="n">
        <f aca="false">S159</f>
        <v>148600</v>
      </c>
      <c r="U159" s="9" t="n">
        <v>148590</v>
      </c>
      <c r="V159" s="9" t="n">
        <f aca="false">U159</f>
        <v>148590</v>
      </c>
      <c r="W159" s="45" t="n">
        <f aca="false">U159/G159</f>
        <v>65.9228039041704</v>
      </c>
      <c r="X159" s="41" t="n">
        <f aca="false">SUM(U159-S159)/S159</f>
        <v>-6.72947510094213E-005</v>
      </c>
      <c r="Y159" s="9" t="s">
        <v>127</v>
      </c>
      <c r="Z159" s="42"/>
      <c r="AA159" s="524"/>
      <c r="AB159" s="5" t="s">
        <v>43</v>
      </c>
      <c r="AC159" s="4" t="s">
        <v>418</v>
      </c>
      <c r="AF159" s="59"/>
      <c r="AJ159" s="525" t="s">
        <v>1103</v>
      </c>
    </row>
    <row r="160" customFormat="false" ht="19.4" hidden="false" customHeight="false" outlineLevel="0" collapsed="false">
      <c r="A160" s="11" t="s">
        <v>189</v>
      </c>
      <c r="B160" s="11" t="s">
        <v>38</v>
      </c>
      <c r="C160" s="29" t="n">
        <v>550300</v>
      </c>
      <c r="D160" s="4" t="s">
        <v>406</v>
      </c>
      <c r="E160" s="4" t="s">
        <v>89</v>
      </c>
      <c r="F160" s="5" t="s">
        <v>40</v>
      </c>
      <c r="G160" s="6" t="n">
        <v>3205</v>
      </c>
      <c r="H160" s="6" t="n">
        <f aca="false">G160</f>
        <v>3205</v>
      </c>
      <c r="I160" s="6" t="n">
        <v>3250</v>
      </c>
      <c r="J160" s="4" t="s">
        <v>357</v>
      </c>
      <c r="K160" s="7" t="n">
        <v>45000</v>
      </c>
      <c r="L160" s="8" t="n">
        <v>46827</v>
      </c>
      <c r="M160" s="8"/>
      <c r="O160" s="8" t="n">
        <v>46097</v>
      </c>
      <c r="P160" s="9" t="n">
        <v>218325</v>
      </c>
      <c r="Q160" s="9" t="n">
        <f aca="false">P160</f>
        <v>218325</v>
      </c>
      <c r="S160" s="9" t="n">
        <v>218300</v>
      </c>
      <c r="T160" s="9" t="n">
        <f aca="false">S160</f>
        <v>218300</v>
      </c>
      <c r="U160" s="9" t="n">
        <v>218325</v>
      </c>
      <c r="V160" s="9" t="n">
        <f aca="false">U160</f>
        <v>218325</v>
      </c>
      <c r="W160" s="45" t="n">
        <f aca="false">U160/G160</f>
        <v>68.1201248049922</v>
      </c>
      <c r="X160" s="41" t="n">
        <f aca="false">SUM(U160-S160)/S160</f>
        <v>0.000114521300961979</v>
      </c>
      <c r="Y160" s="9" t="s">
        <v>127</v>
      </c>
      <c r="Z160" s="42"/>
      <c r="AA160" s="524"/>
      <c r="AB160" s="5" t="s">
        <v>43</v>
      </c>
      <c r="AC160" s="4" t="s">
        <v>418</v>
      </c>
      <c r="AF160" s="59"/>
      <c r="AJ160" s="525" t="s">
        <v>1103</v>
      </c>
    </row>
    <row r="161" customFormat="false" ht="15" hidden="false" customHeight="false" outlineLevel="0" collapsed="false">
      <c r="A161" s="11" t="s">
        <v>189</v>
      </c>
      <c r="B161" s="11" t="s">
        <v>38</v>
      </c>
      <c r="C161" s="29" t="n">
        <v>550300</v>
      </c>
      <c r="D161" s="4" t="s">
        <v>406</v>
      </c>
      <c r="E161" s="4" t="s">
        <v>419</v>
      </c>
      <c r="F161" s="5" t="s">
        <v>40</v>
      </c>
      <c r="G161" s="6" t="n">
        <v>1510</v>
      </c>
      <c r="H161" s="6" t="n">
        <f aca="false">G161</f>
        <v>1510</v>
      </c>
      <c r="I161" s="6" t="n">
        <v>1500</v>
      </c>
      <c r="J161" s="4" t="s">
        <v>357</v>
      </c>
      <c r="K161" s="7" t="n">
        <v>45200</v>
      </c>
      <c r="L161" s="8" t="n">
        <v>46827</v>
      </c>
      <c r="M161" s="8"/>
      <c r="O161" s="8" t="n">
        <v>46097</v>
      </c>
      <c r="P161" s="9" t="n">
        <v>92250</v>
      </c>
      <c r="Q161" s="9" t="n">
        <f aca="false">P161</f>
        <v>92250</v>
      </c>
      <c r="S161" s="9" t="n">
        <v>92300</v>
      </c>
      <c r="T161" s="9" t="n">
        <f aca="false">S161</f>
        <v>92300</v>
      </c>
      <c r="U161" s="9" t="n">
        <v>92250</v>
      </c>
      <c r="V161" s="9" t="n">
        <f aca="false">U161</f>
        <v>92250</v>
      </c>
      <c r="W161" s="45" t="n">
        <f aca="false">U161/G161</f>
        <v>61.0927152317881</v>
      </c>
      <c r="X161" s="41" t="n">
        <f aca="false">SUM(U161-S161)/S161</f>
        <v>-0.000541711809317443</v>
      </c>
      <c r="Y161" s="9" t="s">
        <v>127</v>
      </c>
      <c r="Z161" s="42"/>
      <c r="AA161" s="524"/>
      <c r="AB161" s="5" t="s">
        <v>43</v>
      </c>
      <c r="AC161" s="4" t="s">
        <v>420</v>
      </c>
      <c r="AF161" s="59"/>
      <c r="AJ161" s="525" t="s">
        <v>1103</v>
      </c>
    </row>
    <row r="162" customFormat="false" ht="15" hidden="false" customHeight="false" outlineLevel="0" collapsed="false">
      <c r="A162" s="11" t="s">
        <v>189</v>
      </c>
      <c r="B162" s="11" t="s">
        <v>38</v>
      </c>
      <c r="C162" s="29" t="n">
        <v>550300</v>
      </c>
      <c r="D162" s="4" t="s">
        <v>406</v>
      </c>
      <c r="E162" s="4" t="s">
        <v>421</v>
      </c>
      <c r="F162" s="5" t="s">
        <v>40</v>
      </c>
      <c r="G162" s="6" t="n">
        <v>130</v>
      </c>
      <c r="H162" s="6" t="n">
        <f aca="false">G162</f>
        <v>130</v>
      </c>
      <c r="I162" s="6" t="n">
        <v>250</v>
      </c>
      <c r="J162" s="4" t="s">
        <v>67</v>
      </c>
      <c r="M162" s="8" t="n">
        <v>45173</v>
      </c>
      <c r="P162" s="9" t="n">
        <v>0</v>
      </c>
      <c r="Q162" s="9" t="n">
        <f aca="false">P162</f>
        <v>0</v>
      </c>
      <c r="S162" s="9" t="n">
        <v>8120</v>
      </c>
      <c r="T162" s="9" t="n">
        <f aca="false">S162</f>
        <v>8120</v>
      </c>
      <c r="U162" s="9" t="n">
        <v>8000</v>
      </c>
      <c r="V162" s="9" t="n">
        <f aca="false">U162</f>
        <v>8000</v>
      </c>
      <c r="W162" s="45" t="n">
        <f aca="false">U162/G162</f>
        <v>61.5384615384615</v>
      </c>
      <c r="X162" s="41" t="n">
        <f aca="false">SUM(U162-S162)/S162</f>
        <v>-0.0147783251231527</v>
      </c>
      <c r="Y162" s="9" t="s">
        <v>127</v>
      </c>
      <c r="Z162" s="42"/>
      <c r="AA162" s="524"/>
      <c r="AB162" s="5" t="s">
        <v>43</v>
      </c>
      <c r="AC162" s="4" t="s">
        <v>68</v>
      </c>
      <c r="AF162" s="59"/>
      <c r="AJ162" s="525" t="s">
        <v>1104</v>
      </c>
    </row>
    <row r="163" customFormat="false" ht="15" hidden="false" customHeight="false" outlineLevel="0" collapsed="false">
      <c r="A163" s="11" t="s">
        <v>189</v>
      </c>
      <c r="B163" s="11" t="s">
        <v>38</v>
      </c>
      <c r="C163" s="29" t="n">
        <v>550300</v>
      </c>
      <c r="D163" s="4" t="s">
        <v>406</v>
      </c>
      <c r="E163" s="109" t="s">
        <v>422</v>
      </c>
      <c r="F163" s="5" t="s">
        <v>423</v>
      </c>
      <c r="G163" s="6" t="n">
        <v>1074</v>
      </c>
      <c r="H163" s="6" t="n">
        <f aca="false">G163</f>
        <v>1074</v>
      </c>
      <c r="I163" s="6" t="n">
        <v>1000</v>
      </c>
      <c r="J163" s="4" t="s">
        <v>67</v>
      </c>
      <c r="M163" s="8" t="n">
        <v>45003</v>
      </c>
      <c r="P163" s="9" t="n">
        <v>0</v>
      </c>
      <c r="Q163" s="9" t="n">
        <f aca="false">P163</f>
        <v>0</v>
      </c>
      <c r="S163" s="9" t="n">
        <v>72100</v>
      </c>
      <c r="T163" s="9" t="n">
        <f aca="false">S163</f>
        <v>72100</v>
      </c>
      <c r="U163" s="9" t="n">
        <v>66100</v>
      </c>
      <c r="V163" s="9" t="n">
        <f aca="false">U163</f>
        <v>66100</v>
      </c>
      <c r="W163" s="45" t="n">
        <f aca="false">U163/G163</f>
        <v>61.5456238361266</v>
      </c>
      <c r="X163" s="41" t="n">
        <f aca="false">SUM(U163-S163)/S163</f>
        <v>-0.0832177531206658</v>
      </c>
      <c r="Y163" s="9" t="s">
        <v>127</v>
      </c>
      <c r="Z163" s="42" t="s">
        <v>26</v>
      </c>
      <c r="AA163" s="524"/>
      <c r="AB163" s="5" t="s">
        <v>43</v>
      </c>
      <c r="AC163" s="4" t="s">
        <v>68</v>
      </c>
      <c r="AD163" s="15" t="n">
        <v>67.5</v>
      </c>
      <c r="AE163" s="4" t="n">
        <v>2</v>
      </c>
      <c r="AF163" s="59" t="n">
        <v>5</v>
      </c>
      <c r="AJ163" s="525" t="s">
        <v>1104</v>
      </c>
    </row>
    <row r="164" customFormat="false" ht="15" hidden="false" customHeight="false" outlineLevel="0" collapsed="false">
      <c r="A164" s="11" t="s">
        <v>189</v>
      </c>
      <c r="B164" s="11" t="s">
        <v>38</v>
      </c>
      <c r="C164" s="29" t="n">
        <v>550300</v>
      </c>
      <c r="D164" s="4" t="s">
        <v>406</v>
      </c>
      <c r="E164" s="4" t="s">
        <v>94</v>
      </c>
      <c r="F164" s="5" t="s">
        <v>40</v>
      </c>
      <c r="G164" s="6" t="n">
        <v>2018</v>
      </c>
      <c r="H164" s="6" t="n">
        <f aca="false">G164</f>
        <v>2018</v>
      </c>
      <c r="I164" s="6" t="n">
        <v>2000</v>
      </c>
      <c r="J164" s="4" t="s">
        <v>424</v>
      </c>
      <c r="K164" s="7" t="n">
        <v>45456</v>
      </c>
      <c r="L164" s="8" t="n">
        <v>47281</v>
      </c>
      <c r="O164" s="8" t="n">
        <v>46550</v>
      </c>
      <c r="P164" s="9" t="n">
        <v>140315</v>
      </c>
      <c r="Q164" s="9" t="n">
        <f aca="false">P164</f>
        <v>140315</v>
      </c>
      <c r="S164" s="9" t="n">
        <v>129800</v>
      </c>
      <c r="T164" s="9" t="n">
        <f aca="false">S164</f>
        <v>129800</v>
      </c>
      <c r="U164" s="9" t="n">
        <v>140315</v>
      </c>
      <c r="V164" s="9" t="n">
        <f aca="false">U164</f>
        <v>140315</v>
      </c>
      <c r="W164" s="45" t="n">
        <f aca="false">U164/G164</f>
        <v>69.5317145688801</v>
      </c>
      <c r="X164" s="41" t="n">
        <f aca="false">SUM(U164-S164)/S164</f>
        <v>0.0810092449922958</v>
      </c>
      <c r="Y164" s="9" t="s">
        <v>127</v>
      </c>
      <c r="Z164" s="42"/>
      <c r="AA164" s="524"/>
      <c r="AB164" s="5" t="s">
        <v>43</v>
      </c>
      <c r="AC164" s="4" t="s">
        <v>77</v>
      </c>
      <c r="AF164" s="59"/>
      <c r="AJ164" s="525" t="s">
        <v>1103</v>
      </c>
    </row>
    <row r="165" customFormat="false" ht="19.4" hidden="false" customHeight="false" outlineLevel="0" collapsed="false">
      <c r="A165" s="11" t="s">
        <v>189</v>
      </c>
      <c r="B165" s="11" t="s">
        <v>38</v>
      </c>
      <c r="C165" s="29" t="n">
        <v>550300</v>
      </c>
      <c r="D165" s="4" t="s">
        <v>406</v>
      </c>
      <c r="E165" s="4" t="s">
        <v>425</v>
      </c>
      <c r="F165" s="5" t="s">
        <v>168</v>
      </c>
      <c r="G165" s="6" t="n">
        <v>0</v>
      </c>
      <c r="H165" s="6" t="n">
        <f aca="false">G165</f>
        <v>0</v>
      </c>
      <c r="J165" s="4" t="s">
        <v>169</v>
      </c>
      <c r="K165" s="7" t="n">
        <v>43866</v>
      </c>
      <c r="L165" s="8" t="n">
        <v>47518</v>
      </c>
      <c r="N165" s="8" t="n">
        <v>45693</v>
      </c>
      <c r="P165" s="9" t="n">
        <v>1000</v>
      </c>
      <c r="Q165" s="9" t="n">
        <f aca="false">P165</f>
        <v>1000</v>
      </c>
      <c r="S165" s="9" t="n">
        <v>1000</v>
      </c>
      <c r="T165" s="9" t="n">
        <f aca="false">S165</f>
        <v>1000</v>
      </c>
      <c r="U165" s="9" t="n">
        <v>1000</v>
      </c>
      <c r="V165" s="9" t="n">
        <f aca="false">U165</f>
        <v>1000</v>
      </c>
      <c r="W165" s="45"/>
      <c r="X165" s="41"/>
      <c r="Y165" s="9"/>
      <c r="Z165" s="42"/>
      <c r="AA165" s="524"/>
      <c r="AB165" s="5" t="s">
        <v>170</v>
      </c>
      <c r="AC165" s="4" t="s">
        <v>426</v>
      </c>
      <c r="AF165" s="59"/>
      <c r="AJ165" s="525" t="s">
        <v>1103</v>
      </c>
    </row>
    <row r="166" customFormat="false" ht="15" hidden="false" customHeight="false" outlineLevel="0" collapsed="false">
      <c r="A166" s="11" t="s">
        <v>189</v>
      </c>
      <c r="B166" s="11" t="s">
        <v>38</v>
      </c>
      <c r="C166" s="29" t="n">
        <v>550500</v>
      </c>
      <c r="D166" s="4" t="s">
        <v>428</v>
      </c>
      <c r="E166" s="4" t="s">
        <v>429</v>
      </c>
      <c r="F166" s="5" t="s">
        <v>430</v>
      </c>
      <c r="G166" s="6" t="n">
        <v>2520</v>
      </c>
      <c r="H166" s="9" t="n">
        <f aca="false">G166</f>
        <v>2520</v>
      </c>
      <c r="I166" s="9" t="n">
        <v>2500</v>
      </c>
      <c r="J166" s="4" t="s">
        <v>431</v>
      </c>
      <c r="K166" s="7" t="n">
        <v>43571</v>
      </c>
      <c r="L166" s="8" t="n">
        <v>47223</v>
      </c>
      <c r="N166" s="8" t="n">
        <v>45398</v>
      </c>
      <c r="P166" s="9" t="n">
        <v>82500</v>
      </c>
      <c r="Q166" s="9" t="n">
        <f aca="false">P166</f>
        <v>82500</v>
      </c>
      <c r="S166" s="9" t="n">
        <v>70000</v>
      </c>
      <c r="T166" s="9" t="n">
        <f aca="false">S166</f>
        <v>70000</v>
      </c>
      <c r="U166" s="9" t="n">
        <v>70000</v>
      </c>
      <c r="V166" s="9" t="n">
        <f aca="false">U166</f>
        <v>70000</v>
      </c>
      <c r="W166" s="45" t="n">
        <f aca="false">U166/G166</f>
        <v>27.7777777777778</v>
      </c>
      <c r="X166" s="41" t="n">
        <f aca="false">SUM(U166-S166)/S166</f>
        <v>0</v>
      </c>
      <c r="Y166" s="9" t="s">
        <v>55</v>
      </c>
      <c r="Z166" s="42"/>
      <c r="AA166" s="44"/>
      <c r="AB166" s="5" t="s">
        <v>43</v>
      </c>
      <c r="AF166" s="59"/>
      <c r="AJ166" s="525" t="s">
        <v>1103</v>
      </c>
    </row>
    <row r="167" customFormat="false" ht="28.35" hidden="false" customHeight="false" outlineLevel="0" collapsed="false">
      <c r="A167" s="11" t="s">
        <v>189</v>
      </c>
      <c r="B167" s="11" t="s">
        <v>38</v>
      </c>
      <c r="C167" s="29" t="n">
        <v>550500</v>
      </c>
      <c r="D167" s="4" t="s">
        <v>428</v>
      </c>
      <c r="E167" s="4" t="s">
        <v>432</v>
      </c>
      <c r="F167" s="5" t="s">
        <v>40</v>
      </c>
      <c r="G167" s="6" t="n">
        <v>2186</v>
      </c>
      <c r="H167" s="9" t="n">
        <f aca="false">G167</f>
        <v>2186</v>
      </c>
      <c r="I167" s="9" t="n">
        <v>2000</v>
      </c>
      <c r="J167" s="4" t="s">
        <v>433</v>
      </c>
      <c r="K167" s="7" t="n">
        <v>43398</v>
      </c>
      <c r="L167" s="8" t="n">
        <v>47050</v>
      </c>
      <c r="N167" s="8" t="n">
        <v>45955</v>
      </c>
      <c r="O167" s="8" t="n">
        <v>45954</v>
      </c>
      <c r="P167" s="9" t="n">
        <v>101200</v>
      </c>
      <c r="Q167" s="9" t="n">
        <f aca="false">P167</f>
        <v>101200</v>
      </c>
      <c r="S167" s="9" t="n">
        <v>117100</v>
      </c>
      <c r="T167" s="9" t="n">
        <f aca="false">S167</f>
        <v>117100</v>
      </c>
      <c r="U167" s="9" t="n">
        <v>117100</v>
      </c>
      <c r="V167" s="9" t="n">
        <f aca="false">U167</f>
        <v>117100</v>
      </c>
      <c r="W167" s="45" t="n">
        <f aca="false">U167/G167</f>
        <v>53.5681610247027</v>
      </c>
      <c r="X167" s="41" t="n">
        <f aca="false">SUM(U167-S167)/S167</f>
        <v>0</v>
      </c>
      <c r="Y167" s="9" t="s">
        <v>127</v>
      </c>
      <c r="Z167" s="42"/>
      <c r="AA167" s="44"/>
      <c r="AB167" s="5" t="s">
        <v>43</v>
      </c>
      <c r="AC167" s="4" t="s">
        <v>434</v>
      </c>
      <c r="AF167" s="59"/>
      <c r="AJ167" s="525" t="s">
        <v>1103</v>
      </c>
    </row>
    <row r="168" customFormat="false" ht="15" hidden="false" customHeight="false" outlineLevel="0" collapsed="false">
      <c r="A168" s="11" t="s">
        <v>189</v>
      </c>
      <c r="B168" s="11" t="s">
        <v>38</v>
      </c>
      <c r="C168" s="29" t="n">
        <v>550310</v>
      </c>
      <c r="D168" s="4" t="s">
        <v>435</v>
      </c>
      <c r="E168" s="4" t="s">
        <v>436</v>
      </c>
      <c r="F168" s="5" t="s">
        <v>134</v>
      </c>
      <c r="G168" s="6" t="n">
        <v>4430</v>
      </c>
      <c r="H168" s="9" t="n">
        <f aca="false">G168</f>
        <v>4430</v>
      </c>
      <c r="I168" s="9" t="n">
        <v>4500</v>
      </c>
      <c r="J168" s="4" t="s">
        <v>437</v>
      </c>
      <c r="K168" s="7" t="n">
        <v>41585</v>
      </c>
      <c r="L168" s="8" t="n">
        <v>47063</v>
      </c>
      <c r="N168" s="8" t="n">
        <v>45237</v>
      </c>
      <c r="P168" s="9" t="n">
        <v>170000</v>
      </c>
      <c r="Q168" s="9" t="n">
        <f aca="false">P168</f>
        <v>170000</v>
      </c>
      <c r="S168" s="9" t="n">
        <v>146900</v>
      </c>
      <c r="T168" s="9" t="n">
        <f aca="false">S168</f>
        <v>146900</v>
      </c>
      <c r="U168" s="9" t="n">
        <v>152100</v>
      </c>
      <c r="V168" s="9" t="n">
        <f aca="false">U168</f>
        <v>152100</v>
      </c>
      <c r="W168" s="45" t="n">
        <f aca="false">U168/G168</f>
        <v>34.334085778781</v>
      </c>
      <c r="X168" s="41" t="n">
        <f aca="false">SUM(U168-S168)/S168</f>
        <v>0.0353982300884956</v>
      </c>
      <c r="Y168" s="9" t="s">
        <v>55</v>
      </c>
      <c r="Z168" s="42"/>
      <c r="AA168" s="44"/>
      <c r="AB168" s="5" t="s">
        <v>43</v>
      </c>
      <c r="AC168" s="4" t="s">
        <v>438</v>
      </c>
      <c r="AF168" s="59"/>
      <c r="AJ168" s="525" t="s">
        <v>1103</v>
      </c>
    </row>
    <row r="169" customFormat="false" ht="15" hidden="false" customHeight="false" outlineLevel="0" collapsed="false">
      <c r="A169" s="11" t="s">
        <v>189</v>
      </c>
      <c r="B169" s="11" t="s">
        <v>38</v>
      </c>
      <c r="C169" s="29" t="n">
        <v>550310</v>
      </c>
      <c r="D169" s="4" t="s">
        <v>435</v>
      </c>
      <c r="E169" s="4" t="s">
        <v>233</v>
      </c>
      <c r="F169" s="5" t="s">
        <v>40</v>
      </c>
      <c r="G169" s="6" t="n">
        <v>10421</v>
      </c>
      <c r="H169" s="9" t="n">
        <f aca="false">G169</f>
        <v>10421</v>
      </c>
      <c r="I169" s="9" t="n">
        <v>10500</v>
      </c>
      <c r="J169" s="4" t="s">
        <v>439</v>
      </c>
      <c r="K169" s="7" t="n">
        <v>44552</v>
      </c>
      <c r="L169" s="8" t="n">
        <v>46377</v>
      </c>
      <c r="P169" s="9" t="n">
        <v>573565</v>
      </c>
      <c r="Q169" s="9" t="n">
        <f aca="false">P169</f>
        <v>573565</v>
      </c>
      <c r="S169" s="9" t="n">
        <v>572700</v>
      </c>
      <c r="T169" s="9" t="n">
        <f aca="false">S169</f>
        <v>572700</v>
      </c>
      <c r="U169" s="9" t="n">
        <v>589700</v>
      </c>
      <c r="V169" s="9" t="n">
        <f aca="false">U169</f>
        <v>589700</v>
      </c>
      <c r="W169" s="45" t="n">
        <f aca="false">U169/G169</f>
        <v>56.587659533634</v>
      </c>
      <c r="X169" s="41" t="n">
        <f aca="false">SUM(U169-S169)/S169</f>
        <v>0.0296839532041208</v>
      </c>
      <c r="Y169" s="9" t="s">
        <v>42</v>
      </c>
      <c r="Z169" s="42"/>
      <c r="AA169" s="44"/>
      <c r="AB169" s="5" t="s">
        <v>43</v>
      </c>
      <c r="AC169" s="4" t="s">
        <v>75</v>
      </c>
      <c r="AF169" s="59"/>
      <c r="AJ169" s="525" t="s">
        <v>1103</v>
      </c>
    </row>
    <row r="170" customFormat="false" ht="15" hidden="false" customHeight="false" outlineLevel="0" collapsed="false">
      <c r="A170" s="11" t="s">
        <v>189</v>
      </c>
      <c r="B170" s="11" t="s">
        <v>38</v>
      </c>
      <c r="C170" s="29" t="n">
        <v>551010</v>
      </c>
      <c r="D170" s="96" t="s">
        <v>441</v>
      </c>
      <c r="E170" s="4" t="s">
        <v>442</v>
      </c>
      <c r="F170" s="5" t="s">
        <v>443</v>
      </c>
      <c r="G170" s="6" t="n">
        <v>747</v>
      </c>
      <c r="H170" s="9" t="n">
        <f aca="false">G170</f>
        <v>747</v>
      </c>
      <c r="I170" s="9" t="n">
        <v>750</v>
      </c>
      <c r="J170" s="4" t="s">
        <v>444</v>
      </c>
      <c r="K170" s="7" t="n">
        <v>44724</v>
      </c>
      <c r="P170" s="9" t="n">
        <v>45000</v>
      </c>
      <c r="Q170" s="9" t="n">
        <f aca="false">P170</f>
        <v>45000</v>
      </c>
      <c r="S170" s="9" t="n">
        <v>41700</v>
      </c>
      <c r="T170" s="9" t="n">
        <f aca="false">S170</f>
        <v>41700</v>
      </c>
      <c r="U170" s="9" t="n">
        <v>45000</v>
      </c>
      <c r="V170" s="9" t="n">
        <f aca="false">U170</f>
        <v>45000</v>
      </c>
      <c r="W170" s="45" t="n">
        <f aca="false">U170/G170</f>
        <v>60.2409638554217</v>
      </c>
      <c r="X170" s="41" t="n">
        <f aca="false">SUM(U170-S170)/S170</f>
        <v>0.079136690647482</v>
      </c>
      <c r="Y170" s="9" t="s">
        <v>127</v>
      </c>
      <c r="Z170" s="42"/>
      <c r="AA170" s="524"/>
      <c r="AB170" s="5" t="s">
        <v>43</v>
      </c>
      <c r="AC170" s="4" t="s">
        <v>445</v>
      </c>
      <c r="AF170" s="59"/>
      <c r="AJ170" s="525" t="s">
        <v>1103</v>
      </c>
    </row>
    <row r="171" customFormat="false" ht="15" hidden="false" customHeight="false" outlineLevel="0" collapsed="false">
      <c r="A171" s="11" t="s">
        <v>189</v>
      </c>
      <c r="B171" s="11" t="s">
        <v>38</v>
      </c>
      <c r="C171" s="29" t="n">
        <v>551010</v>
      </c>
      <c r="D171" s="96" t="s">
        <v>441</v>
      </c>
      <c r="E171" s="4" t="s">
        <v>89</v>
      </c>
      <c r="F171" s="5" t="s">
        <v>40</v>
      </c>
      <c r="G171" s="6" t="n">
        <v>452</v>
      </c>
      <c r="H171" s="9" t="n">
        <f aca="false">G171</f>
        <v>452</v>
      </c>
      <c r="I171" s="9" t="n">
        <v>500</v>
      </c>
      <c r="J171" s="4" t="s">
        <v>67</v>
      </c>
      <c r="M171" s="8" t="n">
        <v>43466</v>
      </c>
      <c r="P171" s="9" t="n">
        <v>0</v>
      </c>
      <c r="Q171" s="9" t="n">
        <f aca="false">P171</f>
        <v>0</v>
      </c>
      <c r="S171" s="9" t="n">
        <v>24900</v>
      </c>
      <c r="T171" s="9" t="n">
        <f aca="false">S171</f>
        <v>24900</v>
      </c>
      <c r="U171" s="9" t="n">
        <v>24900</v>
      </c>
      <c r="V171" s="9" t="n">
        <f aca="false">U171</f>
        <v>24900</v>
      </c>
      <c r="W171" s="45" t="n">
        <f aca="false">U171/G171</f>
        <v>55.0884955752212</v>
      </c>
      <c r="X171" s="41" t="n">
        <f aca="false">SUM(U171-S171)/S171</f>
        <v>0</v>
      </c>
      <c r="Y171" s="9" t="s">
        <v>127</v>
      </c>
      <c r="Z171" s="42"/>
      <c r="AA171" s="524"/>
      <c r="AB171" s="5" t="s">
        <v>43</v>
      </c>
      <c r="AC171" s="4" t="s">
        <v>119</v>
      </c>
      <c r="AF171" s="59"/>
      <c r="AJ171" s="525" t="s">
        <v>1104</v>
      </c>
    </row>
    <row r="172" customFormat="false" ht="15" hidden="false" customHeight="false" outlineLevel="0" collapsed="false">
      <c r="A172" s="11" t="s">
        <v>189</v>
      </c>
      <c r="B172" s="11" t="s">
        <v>38</v>
      </c>
      <c r="C172" s="29" t="n">
        <v>551010</v>
      </c>
      <c r="D172" s="96" t="s">
        <v>441</v>
      </c>
      <c r="E172" s="4" t="s">
        <v>446</v>
      </c>
      <c r="F172" s="5" t="s">
        <v>40</v>
      </c>
      <c r="G172" s="6" t="n">
        <v>437</v>
      </c>
      <c r="H172" s="9" t="n">
        <f aca="false">G172</f>
        <v>437</v>
      </c>
      <c r="I172" s="9" t="n">
        <v>500</v>
      </c>
      <c r="J172" s="4" t="s">
        <v>67</v>
      </c>
      <c r="M172" s="8" t="n">
        <v>43466</v>
      </c>
      <c r="P172" s="9" t="n">
        <v>0</v>
      </c>
      <c r="Q172" s="9" t="n">
        <f aca="false">P172</f>
        <v>0</v>
      </c>
      <c r="S172" s="9" t="n">
        <v>24000</v>
      </c>
      <c r="T172" s="9" t="n">
        <f aca="false">S172</f>
        <v>24000</v>
      </c>
      <c r="U172" s="9" t="n">
        <v>24000</v>
      </c>
      <c r="V172" s="9" t="n">
        <f aca="false">U172</f>
        <v>24000</v>
      </c>
      <c r="W172" s="45" t="n">
        <f aca="false">U172/G172</f>
        <v>54.9199084668192</v>
      </c>
      <c r="X172" s="41" t="n">
        <f aca="false">SUM(U172-S172)/S172</f>
        <v>0</v>
      </c>
      <c r="Y172" s="9" t="s">
        <v>127</v>
      </c>
      <c r="Z172" s="42"/>
      <c r="AA172" s="524"/>
      <c r="AB172" s="5" t="s">
        <v>43</v>
      </c>
      <c r="AC172" s="4" t="s">
        <v>119</v>
      </c>
      <c r="AF172" s="59"/>
      <c r="AJ172" s="525" t="s">
        <v>1104</v>
      </c>
    </row>
    <row r="173" customFormat="false" ht="15" hidden="false" customHeight="false" outlineLevel="0" collapsed="false">
      <c r="A173" s="11" t="s">
        <v>189</v>
      </c>
      <c r="B173" s="11" t="s">
        <v>38</v>
      </c>
      <c r="C173" s="29" t="n">
        <v>551010</v>
      </c>
      <c r="D173" s="96" t="s">
        <v>441</v>
      </c>
      <c r="E173" s="4" t="s">
        <v>94</v>
      </c>
      <c r="F173" s="5" t="s">
        <v>40</v>
      </c>
      <c r="G173" s="6" t="n">
        <v>350</v>
      </c>
      <c r="H173" s="9" t="n">
        <f aca="false">G173</f>
        <v>350</v>
      </c>
      <c r="I173" s="9" t="n">
        <v>500</v>
      </c>
      <c r="J173" s="4" t="s">
        <v>447</v>
      </c>
      <c r="K173" s="7" t="n">
        <v>44724</v>
      </c>
      <c r="P173" s="9" t="n">
        <v>21060</v>
      </c>
      <c r="Q173" s="9" t="n">
        <f aca="false">P173</f>
        <v>21060</v>
      </c>
      <c r="S173" s="9" t="n">
        <v>19300</v>
      </c>
      <c r="T173" s="9" t="n">
        <f aca="false">S173</f>
        <v>19300</v>
      </c>
      <c r="U173" s="9" t="n">
        <v>19300</v>
      </c>
      <c r="V173" s="9" t="n">
        <f aca="false">U173</f>
        <v>19300</v>
      </c>
      <c r="W173" s="45" t="n">
        <f aca="false">U173/G173</f>
        <v>55.1428571428571</v>
      </c>
      <c r="X173" s="41" t="n">
        <f aca="false">SUM(U173-S173)/S173</f>
        <v>0</v>
      </c>
      <c r="Y173" s="9" t="s">
        <v>127</v>
      </c>
      <c r="Z173" s="42"/>
      <c r="AA173" s="524"/>
      <c r="AB173" s="5" t="s">
        <v>43</v>
      </c>
      <c r="AC173" s="4" t="s">
        <v>445</v>
      </c>
      <c r="AF173" s="59"/>
      <c r="AJ173" s="525" t="s">
        <v>1103</v>
      </c>
    </row>
    <row r="174" customFormat="false" ht="19.4" hidden="false" customHeight="false" outlineLevel="0" collapsed="false">
      <c r="A174" s="11" t="s">
        <v>106</v>
      </c>
      <c r="B174" s="11" t="s">
        <v>38</v>
      </c>
      <c r="C174" s="29" t="n">
        <v>550960</v>
      </c>
      <c r="D174" s="4" t="s">
        <v>448</v>
      </c>
      <c r="E174" s="4" t="s">
        <v>442</v>
      </c>
      <c r="F174" s="5" t="s">
        <v>40</v>
      </c>
      <c r="G174" s="6" t="n">
        <v>2820</v>
      </c>
      <c r="H174" s="9" t="n">
        <f aca="false">G174</f>
        <v>2820</v>
      </c>
      <c r="I174" s="9" t="n">
        <v>3000</v>
      </c>
      <c r="J174" s="4" t="s">
        <v>449</v>
      </c>
      <c r="K174" s="7" t="n">
        <v>43794</v>
      </c>
      <c r="L174" s="8" t="n">
        <v>47446</v>
      </c>
      <c r="N174" s="8" t="n">
        <v>45621</v>
      </c>
      <c r="P174" s="9" t="n">
        <v>124773</v>
      </c>
      <c r="Q174" s="9" t="n">
        <f aca="false">P174</f>
        <v>124773</v>
      </c>
      <c r="S174" s="9" t="n">
        <v>126900</v>
      </c>
      <c r="T174" s="9" t="n">
        <f aca="false">S174</f>
        <v>126900</v>
      </c>
      <c r="U174" s="9" t="n">
        <v>141000</v>
      </c>
      <c r="V174" s="9" t="n">
        <f aca="false">U174</f>
        <v>141000</v>
      </c>
      <c r="W174" s="45" t="n">
        <f aca="false">U174/G174</f>
        <v>50</v>
      </c>
      <c r="X174" s="41" t="n">
        <f aca="false">SUM(U174-S174)/S174</f>
        <v>0.111111111111111</v>
      </c>
      <c r="Y174" s="9" t="s">
        <v>60</v>
      </c>
      <c r="Z174" s="42"/>
      <c r="AA174" s="43"/>
      <c r="AB174" s="5" t="s">
        <v>43</v>
      </c>
      <c r="AC174" s="4" t="s">
        <v>450</v>
      </c>
      <c r="AF174" s="59"/>
      <c r="AJ174" s="525" t="s">
        <v>1103</v>
      </c>
    </row>
    <row r="175" customFormat="false" ht="15" hidden="false" customHeight="false" outlineLevel="0" collapsed="false">
      <c r="A175" s="11" t="s">
        <v>106</v>
      </c>
      <c r="B175" s="11" t="s">
        <v>38</v>
      </c>
      <c r="C175" s="29" t="n">
        <v>550960</v>
      </c>
      <c r="D175" s="4" t="s">
        <v>448</v>
      </c>
      <c r="E175" s="4" t="s">
        <v>89</v>
      </c>
      <c r="F175" s="6" t="s">
        <v>40</v>
      </c>
      <c r="G175" s="6" t="n">
        <v>1282</v>
      </c>
      <c r="H175" s="9" t="n">
        <f aca="false">G175</f>
        <v>1282</v>
      </c>
      <c r="I175" s="9" t="n">
        <v>1250</v>
      </c>
      <c r="J175" s="4" t="s">
        <v>67</v>
      </c>
      <c r="M175" s="8" t="n">
        <v>44747</v>
      </c>
      <c r="P175" s="9" t="n">
        <v>0</v>
      </c>
      <c r="Q175" s="9" t="n">
        <f aca="false">P175</f>
        <v>0</v>
      </c>
      <c r="S175" s="9" t="n">
        <v>70500</v>
      </c>
      <c r="T175" s="9" t="n">
        <f aca="false">S175</f>
        <v>70500</v>
      </c>
      <c r="U175" s="9" t="n">
        <v>70500</v>
      </c>
      <c r="V175" s="9" t="n">
        <f aca="false">U175</f>
        <v>70500</v>
      </c>
      <c r="W175" s="45" t="n">
        <f aca="false">U175/G175</f>
        <v>54.9921996879875</v>
      </c>
      <c r="X175" s="41" t="n">
        <f aca="false">SUM(U175-S175)/S175</f>
        <v>0</v>
      </c>
      <c r="Y175" s="9" t="s">
        <v>60</v>
      </c>
      <c r="Z175" s="42"/>
      <c r="AA175" s="43"/>
      <c r="AB175" s="5" t="s">
        <v>43</v>
      </c>
      <c r="AC175" s="4" t="s">
        <v>119</v>
      </c>
      <c r="AD175" s="15" t="n">
        <v>67.5</v>
      </c>
      <c r="AE175" s="4" t="n">
        <v>6</v>
      </c>
      <c r="AF175" s="59" t="n">
        <v>7</v>
      </c>
      <c r="AG175" s="4" t="s">
        <v>57</v>
      </c>
      <c r="AJ175" s="525" t="s">
        <v>1104</v>
      </c>
    </row>
    <row r="176" customFormat="false" ht="19.4" hidden="false" customHeight="false" outlineLevel="0" collapsed="false">
      <c r="A176" s="11" t="s">
        <v>106</v>
      </c>
      <c r="B176" s="11" t="s">
        <v>38</v>
      </c>
      <c r="C176" s="29" t="n">
        <v>550960</v>
      </c>
      <c r="D176" s="4" t="s">
        <v>448</v>
      </c>
      <c r="E176" s="4" t="s">
        <v>93</v>
      </c>
      <c r="F176" s="5" t="s">
        <v>40</v>
      </c>
      <c r="G176" s="6" t="n">
        <v>1214</v>
      </c>
      <c r="H176" s="9" t="n">
        <f aca="false">G176</f>
        <v>1214</v>
      </c>
      <c r="I176" s="9" t="n">
        <v>1250</v>
      </c>
      <c r="J176" s="4" t="s">
        <v>451</v>
      </c>
      <c r="K176" s="7" t="n">
        <v>44733</v>
      </c>
      <c r="L176" s="102" t="n">
        <v>46558</v>
      </c>
      <c r="O176" s="8" t="n">
        <v>45828</v>
      </c>
      <c r="P176" s="9" t="n">
        <v>71000</v>
      </c>
      <c r="Q176" s="9" t="n">
        <f aca="false">P176</f>
        <v>71000</v>
      </c>
      <c r="S176" s="9" t="n">
        <v>71000</v>
      </c>
      <c r="T176" s="9" t="n">
        <f aca="false">S176</f>
        <v>71000</v>
      </c>
      <c r="U176" s="9" t="n">
        <v>71000</v>
      </c>
      <c r="V176" s="9" t="n">
        <f aca="false">U176</f>
        <v>71000</v>
      </c>
      <c r="W176" s="45" t="n">
        <f aca="false">U176/G176</f>
        <v>58.4843492586491</v>
      </c>
      <c r="X176" s="41" t="n">
        <f aca="false">SUM(U176-S176)/S176</f>
        <v>0</v>
      </c>
      <c r="Y176" s="9" t="s">
        <v>60</v>
      </c>
      <c r="Z176" s="42"/>
      <c r="AA176" s="43"/>
      <c r="AB176" s="5" t="s">
        <v>43</v>
      </c>
      <c r="AC176" s="4" t="s">
        <v>452</v>
      </c>
      <c r="AF176" s="59"/>
      <c r="AJ176" s="525" t="s">
        <v>1103</v>
      </c>
    </row>
    <row r="177" customFormat="false" ht="15" hidden="false" customHeight="false" outlineLevel="0" collapsed="false">
      <c r="A177" s="11" t="s">
        <v>106</v>
      </c>
      <c r="B177" s="11" t="s">
        <v>38</v>
      </c>
      <c r="C177" s="29" t="n">
        <v>550960</v>
      </c>
      <c r="D177" s="4" t="s">
        <v>448</v>
      </c>
      <c r="E177" s="4" t="s">
        <v>94</v>
      </c>
      <c r="F177" s="5" t="s">
        <v>40</v>
      </c>
      <c r="G177" s="6" t="n">
        <v>1226</v>
      </c>
      <c r="H177" s="9" t="n">
        <f aca="false">G177</f>
        <v>1226</v>
      </c>
      <c r="I177" s="9" t="n">
        <v>1250</v>
      </c>
      <c r="J177" s="4" t="s">
        <v>453</v>
      </c>
      <c r="K177" s="7" t="n">
        <v>44605</v>
      </c>
      <c r="L177" s="8" t="n">
        <v>46430</v>
      </c>
      <c r="P177" s="9" t="n">
        <v>63000</v>
      </c>
      <c r="Q177" s="9" t="n">
        <f aca="false">P177</f>
        <v>63000</v>
      </c>
      <c r="S177" s="9" t="n">
        <v>63100</v>
      </c>
      <c r="T177" s="9" t="n">
        <f aca="false">S177</f>
        <v>63100</v>
      </c>
      <c r="U177" s="9" t="n">
        <v>63100</v>
      </c>
      <c r="V177" s="9" t="n">
        <f aca="false">U177</f>
        <v>63100</v>
      </c>
      <c r="W177" s="45" t="n">
        <f aca="false">U177/G177</f>
        <v>51.468189233279</v>
      </c>
      <c r="X177" s="41" t="n">
        <f aca="false">SUM(U177-S177)/S177</f>
        <v>0</v>
      </c>
      <c r="Y177" s="9" t="s">
        <v>60</v>
      </c>
      <c r="Z177" s="42"/>
      <c r="AA177" s="43"/>
      <c r="AB177" s="5" t="s">
        <v>43</v>
      </c>
      <c r="AF177" s="59"/>
      <c r="AJ177" s="525" t="s">
        <v>1103</v>
      </c>
    </row>
    <row r="178" customFormat="false" ht="15" hidden="false" customHeight="false" outlineLevel="0" collapsed="false">
      <c r="A178" s="11" t="s">
        <v>106</v>
      </c>
      <c r="B178" s="11" t="s">
        <v>38</v>
      </c>
      <c r="C178" s="29" t="n">
        <v>550320</v>
      </c>
      <c r="D178" s="4" t="s">
        <v>455</v>
      </c>
      <c r="E178" s="4" t="s">
        <v>39</v>
      </c>
      <c r="F178" s="5" t="s">
        <v>456</v>
      </c>
      <c r="G178" s="43" t="n">
        <v>9776</v>
      </c>
      <c r="H178" s="9" t="n">
        <f aca="false">G178</f>
        <v>9776</v>
      </c>
      <c r="I178" s="9" t="n">
        <v>10000</v>
      </c>
      <c r="J178" s="4" t="s">
        <v>457</v>
      </c>
      <c r="K178" s="7" t="n">
        <v>45463</v>
      </c>
      <c r="L178" s="8" t="n">
        <v>49114</v>
      </c>
      <c r="N178" s="8" t="n">
        <v>47289</v>
      </c>
      <c r="O178" s="8" t="n">
        <v>47288</v>
      </c>
      <c r="P178" s="44" t="n">
        <v>715000</v>
      </c>
      <c r="Q178" s="44" t="n">
        <f aca="false">P178</f>
        <v>715000</v>
      </c>
      <c r="R178" s="44" t="n">
        <f aca="false">Q178</f>
        <v>715000</v>
      </c>
      <c r="S178" s="44" t="n">
        <v>715000</v>
      </c>
      <c r="T178" s="9" t="n">
        <f aca="false">S178</f>
        <v>715000</v>
      </c>
      <c r="U178" s="44" t="n">
        <v>715000</v>
      </c>
      <c r="V178" s="9" t="n">
        <f aca="false">U178</f>
        <v>715000</v>
      </c>
      <c r="W178" s="45" t="n">
        <f aca="false">U178/G178</f>
        <v>73.1382978723404</v>
      </c>
      <c r="X178" s="41" t="n">
        <f aca="false">SUM(U178-S178)/S178</f>
        <v>0</v>
      </c>
      <c r="Y178" s="9" t="s">
        <v>458</v>
      </c>
      <c r="Z178" s="42"/>
      <c r="AA178" s="43" t="n">
        <v>12325000</v>
      </c>
      <c r="AB178" s="5" t="s">
        <v>43</v>
      </c>
      <c r="AC178" s="4" t="s">
        <v>77</v>
      </c>
      <c r="AF178" s="59"/>
      <c r="AJ178" s="525" t="s">
        <v>1103</v>
      </c>
    </row>
    <row r="179" customFormat="false" ht="19.4" hidden="false" customHeight="false" outlineLevel="0" collapsed="false">
      <c r="A179" s="11" t="s">
        <v>106</v>
      </c>
      <c r="B179" s="11" t="s">
        <v>38</v>
      </c>
      <c r="C179" s="29" t="n">
        <v>550330</v>
      </c>
      <c r="D179" s="4" t="s">
        <v>459</v>
      </c>
      <c r="E179" s="4" t="s">
        <v>461</v>
      </c>
      <c r="F179" s="5" t="s">
        <v>40</v>
      </c>
      <c r="G179" s="43" t="n">
        <v>4969</v>
      </c>
      <c r="H179" s="9" t="n">
        <f aca="false">G179</f>
        <v>4969</v>
      </c>
      <c r="I179" s="9" t="n">
        <v>5000</v>
      </c>
      <c r="J179" s="4" t="s">
        <v>153</v>
      </c>
      <c r="K179" s="7" t="n">
        <v>45198</v>
      </c>
      <c r="L179" s="8" t="n">
        <v>48850</v>
      </c>
      <c r="N179" s="8" t="n">
        <v>47025</v>
      </c>
      <c r="O179" s="8" t="n">
        <v>46293</v>
      </c>
      <c r="P179" s="44" t="n">
        <v>315000</v>
      </c>
      <c r="Q179" s="9" t="n">
        <f aca="false">P179</f>
        <v>315000</v>
      </c>
      <c r="R179" s="44" t="n">
        <f aca="false">Q179</f>
        <v>315000</v>
      </c>
      <c r="S179" s="44" t="n">
        <v>266600</v>
      </c>
      <c r="T179" s="9" t="n">
        <f aca="false">S179</f>
        <v>266600</v>
      </c>
      <c r="U179" s="44" t="n">
        <v>315000</v>
      </c>
      <c r="V179" s="9" t="n">
        <f aca="false">U179</f>
        <v>315000</v>
      </c>
      <c r="W179" s="45" t="n">
        <f aca="false">U179/G179</f>
        <v>63.3930368283357</v>
      </c>
      <c r="X179" s="41" t="n">
        <f aca="false">SUM(U179-S179)/S179</f>
        <v>0.181545386346587</v>
      </c>
      <c r="Y179" s="9" t="s">
        <v>42</v>
      </c>
      <c r="Z179" s="42"/>
      <c r="AA179" s="43" t="n">
        <v>5575000</v>
      </c>
      <c r="AB179" s="5" t="s">
        <v>43</v>
      </c>
      <c r="AC179" s="4" t="s">
        <v>462</v>
      </c>
      <c r="AF179" s="59"/>
      <c r="AJ179" s="525" t="s">
        <v>1103</v>
      </c>
    </row>
    <row r="180" customFormat="false" ht="19.4" hidden="false" customHeight="false" outlineLevel="0" collapsed="false">
      <c r="A180" s="11" t="s">
        <v>236</v>
      </c>
      <c r="B180" s="11" t="s">
        <v>38</v>
      </c>
      <c r="C180" s="29" t="n">
        <v>550340</v>
      </c>
      <c r="D180" s="4" t="s">
        <v>463</v>
      </c>
      <c r="E180" s="4" t="s">
        <v>464</v>
      </c>
      <c r="F180" s="5" t="s">
        <v>165</v>
      </c>
      <c r="G180" s="6" t="n">
        <v>400</v>
      </c>
      <c r="H180" s="6" t="n">
        <f aca="false">G180</f>
        <v>400</v>
      </c>
      <c r="J180" s="4" t="s">
        <v>416</v>
      </c>
      <c r="K180" s="8" t="n">
        <v>43184</v>
      </c>
      <c r="L180" s="8" t="n">
        <v>46836</v>
      </c>
      <c r="N180" s="8" t="n">
        <v>45010</v>
      </c>
      <c r="P180" s="9" t="n">
        <v>2400</v>
      </c>
      <c r="Q180" s="9" t="n">
        <f aca="false">P180</f>
        <v>2400</v>
      </c>
      <c r="S180" s="9" t="n">
        <v>2000</v>
      </c>
      <c r="T180" s="9" t="n">
        <f aca="false">S180</f>
        <v>2000</v>
      </c>
      <c r="U180" s="9" t="n">
        <v>2000</v>
      </c>
      <c r="V180" s="9" t="n">
        <f aca="false">U180</f>
        <v>2000</v>
      </c>
      <c r="W180" s="45" t="n">
        <f aca="false">U180/G180</f>
        <v>5</v>
      </c>
      <c r="X180" s="41" t="n">
        <f aca="false">SUM(U180-S180)/S180</f>
        <v>0</v>
      </c>
      <c r="Y180" s="9"/>
      <c r="Z180" s="42"/>
      <c r="AA180" s="524"/>
      <c r="AB180" s="5" t="s">
        <v>43</v>
      </c>
      <c r="AC180" s="4" t="s">
        <v>417</v>
      </c>
      <c r="AF180" s="59"/>
      <c r="AJ180" s="525" t="s">
        <v>1103</v>
      </c>
    </row>
    <row r="181" customFormat="false" ht="19.4" hidden="false" customHeight="false" outlineLevel="0" collapsed="false">
      <c r="A181" s="11" t="s">
        <v>236</v>
      </c>
      <c r="B181" s="11" t="s">
        <v>38</v>
      </c>
      <c r="C181" s="29" t="n">
        <v>550340</v>
      </c>
      <c r="D181" s="4" t="s">
        <v>463</v>
      </c>
      <c r="E181" s="4" t="s">
        <v>465</v>
      </c>
      <c r="F181" s="5" t="s">
        <v>466</v>
      </c>
      <c r="G181" s="6" t="n">
        <v>873</v>
      </c>
      <c r="H181" s="6" t="n">
        <f aca="false">G181</f>
        <v>873</v>
      </c>
      <c r="J181" s="4" t="s">
        <v>416</v>
      </c>
      <c r="K181" s="8" t="n">
        <v>43184</v>
      </c>
      <c r="L181" s="8" t="n">
        <v>46836</v>
      </c>
      <c r="N181" s="8" t="n">
        <v>45010</v>
      </c>
      <c r="P181" s="9" t="n">
        <v>24500</v>
      </c>
      <c r="Q181" s="9" t="n">
        <f aca="false">P181</f>
        <v>24500</v>
      </c>
      <c r="S181" s="9" t="n">
        <v>17500</v>
      </c>
      <c r="T181" s="9" t="n">
        <f aca="false">S181</f>
        <v>17500</v>
      </c>
      <c r="U181" s="9" t="n">
        <v>26200</v>
      </c>
      <c r="V181" s="9" t="n">
        <f aca="false">U181</f>
        <v>26200</v>
      </c>
      <c r="W181" s="45" t="n">
        <f aca="false">U181/G181</f>
        <v>30.0114547537228</v>
      </c>
      <c r="X181" s="41" t="n">
        <f aca="false">SUM(U181-S181)/S181</f>
        <v>0.497142857142857</v>
      </c>
      <c r="Y181" s="9" t="s">
        <v>60</v>
      </c>
      <c r="Z181" s="42"/>
      <c r="AA181" s="524"/>
      <c r="AB181" s="5" t="s">
        <v>43</v>
      </c>
      <c r="AC181" s="4" t="s">
        <v>417</v>
      </c>
      <c r="AF181" s="59"/>
      <c r="AJ181" s="525" t="s">
        <v>1103</v>
      </c>
    </row>
    <row r="182" customFormat="false" ht="19.4" hidden="false" customHeight="false" outlineLevel="0" collapsed="false">
      <c r="A182" s="11" t="s">
        <v>236</v>
      </c>
      <c r="B182" s="11" t="s">
        <v>38</v>
      </c>
      <c r="C182" s="29" t="n">
        <v>550340</v>
      </c>
      <c r="D182" s="4" t="s">
        <v>463</v>
      </c>
      <c r="E182" s="4" t="s">
        <v>467</v>
      </c>
      <c r="F182" s="5" t="s">
        <v>40</v>
      </c>
      <c r="G182" s="6" t="n">
        <v>624</v>
      </c>
      <c r="H182" s="6" t="n">
        <f aca="false">G182</f>
        <v>624</v>
      </c>
      <c r="J182" s="4" t="s">
        <v>416</v>
      </c>
      <c r="K182" s="8" t="n">
        <v>43184</v>
      </c>
      <c r="L182" s="8" t="n">
        <v>46836</v>
      </c>
      <c r="N182" s="8" t="n">
        <v>45010</v>
      </c>
      <c r="P182" s="9" t="n">
        <v>15600</v>
      </c>
      <c r="Q182" s="9" t="n">
        <f aca="false">P182</f>
        <v>15600</v>
      </c>
      <c r="S182" s="9" t="n">
        <v>12500</v>
      </c>
      <c r="T182" s="9" t="n">
        <f aca="false">S182</f>
        <v>12500</v>
      </c>
      <c r="U182" s="9" t="n">
        <v>18700</v>
      </c>
      <c r="V182" s="9" t="n">
        <f aca="false">U182</f>
        <v>18700</v>
      </c>
      <c r="W182" s="45" t="n">
        <f aca="false">U182/G182</f>
        <v>29.9679487179487</v>
      </c>
      <c r="X182" s="41" t="n">
        <f aca="false">SUM(U182-S182)/S182</f>
        <v>0.496</v>
      </c>
      <c r="Y182" s="9" t="s">
        <v>60</v>
      </c>
      <c r="Z182" s="42"/>
      <c r="AA182" s="524"/>
      <c r="AB182" s="5" t="s">
        <v>43</v>
      </c>
      <c r="AC182" s="4" t="s">
        <v>417</v>
      </c>
      <c r="AF182" s="59"/>
      <c r="AJ182" s="525" t="s">
        <v>1103</v>
      </c>
    </row>
    <row r="183" customFormat="false" ht="19.4" hidden="false" customHeight="false" outlineLevel="0" collapsed="false">
      <c r="A183" s="11" t="s">
        <v>236</v>
      </c>
      <c r="B183" s="11" t="s">
        <v>38</v>
      </c>
      <c r="C183" s="29" t="n">
        <v>550340</v>
      </c>
      <c r="D183" s="4" t="s">
        <v>463</v>
      </c>
      <c r="E183" s="4" t="s">
        <v>412</v>
      </c>
      <c r="F183" s="5" t="s">
        <v>40</v>
      </c>
      <c r="G183" s="6" t="n">
        <v>1497</v>
      </c>
      <c r="H183" s="6" t="n">
        <f aca="false">G183</f>
        <v>1497</v>
      </c>
      <c r="J183" s="4" t="s">
        <v>416</v>
      </c>
      <c r="K183" s="8" t="n">
        <v>45010</v>
      </c>
      <c r="L183" s="8" t="n">
        <v>46836</v>
      </c>
      <c r="P183" s="9" t="n">
        <v>84600</v>
      </c>
      <c r="Q183" s="9" t="n">
        <f aca="false">P183</f>
        <v>84600</v>
      </c>
      <c r="S183" s="9" t="n">
        <v>86100</v>
      </c>
      <c r="T183" s="9" t="n">
        <f aca="false">S183</f>
        <v>86100</v>
      </c>
      <c r="U183" s="9" t="n">
        <v>89800</v>
      </c>
      <c r="V183" s="9" t="n">
        <f aca="false">U183</f>
        <v>89800</v>
      </c>
      <c r="W183" s="45" t="n">
        <f aca="false">U183/G183</f>
        <v>59.9866399465598</v>
      </c>
      <c r="X183" s="41" t="n">
        <f aca="false">SUM(U183-S183)/S183</f>
        <v>0.0429732868757259</v>
      </c>
      <c r="Y183" s="9" t="s">
        <v>42</v>
      </c>
      <c r="Z183" s="42"/>
      <c r="AA183" s="524"/>
      <c r="AB183" s="5" t="s">
        <v>43</v>
      </c>
      <c r="AC183" s="4" t="s">
        <v>417</v>
      </c>
      <c r="AF183" s="59"/>
      <c r="AJ183" s="525" t="s">
        <v>1103</v>
      </c>
    </row>
    <row r="184" customFormat="false" ht="19.4" hidden="false" customHeight="false" outlineLevel="0" collapsed="false">
      <c r="A184" s="11" t="s">
        <v>236</v>
      </c>
      <c r="B184" s="11" t="s">
        <v>38</v>
      </c>
      <c r="C184" s="29" t="n">
        <v>550340</v>
      </c>
      <c r="D184" s="4" t="s">
        <v>463</v>
      </c>
      <c r="E184" s="4" t="s">
        <v>340</v>
      </c>
      <c r="F184" s="5" t="s">
        <v>40</v>
      </c>
      <c r="G184" s="6" t="n">
        <v>1553</v>
      </c>
      <c r="H184" s="6" t="n">
        <f aca="false">G184</f>
        <v>1553</v>
      </c>
      <c r="J184" s="4" t="s">
        <v>416</v>
      </c>
      <c r="K184" s="7" t="n">
        <v>45269</v>
      </c>
      <c r="L184" s="8" t="n">
        <v>46836</v>
      </c>
      <c r="P184" s="9" t="n">
        <v>87750</v>
      </c>
      <c r="Q184" s="9" t="n">
        <f aca="false">P184</f>
        <v>87750</v>
      </c>
      <c r="S184" s="9" t="n">
        <v>89300</v>
      </c>
      <c r="T184" s="9" t="n">
        <f aca="false">S184</f>
        <v>89300</v>
      </c>
      <c r="U184" s="9" t="n">
        <v>93200</v>
      </c>
      <c r="V184" s="9" t="n">
        <f aca="false">U184</f>
        <v>93200</v>
      </c>
      <c r="W184" s="45" t="n">
        <f aca="false">U184/G184</f>
        <v>60.0128783000644</v>
      </c>
      <c r="X184" s="41" t="n">
        <f aca="false">SUM(U184-S184)/S184</f>
        <v>0.0436730123180291</v>
      </c>
      <c r="Y184" s="9" t="s">
        <v>60</v>
      </c>
      <c r="Z184" s="42"/>
      <c r="AA184" s="524"/>
      <c r="AB184" s="5" t="s">
        <v>43</v>
      </c>
      <c r="AC184" s="4" t="s">
        <v>417</v>
      </c>
      <c r="AF184" s="59"/>
      <c r="AJ184" s="525" t="s">
        <v>1103</v>
      </c>
    </row>
    <row r="185" customFormat="false" ht="19.4" hidden="false" customHeight="false" outlineLevel="0" collapsed="false">
      <c r="A185" s="11" t="s">
        <v>236</v>
      </c>
      <c r="B185" s="11" t="s">
        <v>38</v>
      </c>
      <c r="C185" s="29" t="n">
        <v>550340</v>
      </c>
      <c r="D185" s="4" t="s">
        <v>463</v>
      </c>
      <c r="E185" s="4" t="s">
        <v>140</v>
      </c>
      <c r="F185" s="5" t="s">
        <v>40</v>
      </c>
      <c r="G185" s="6" t="n">
        <v>1445</v>
      </c>
      <c r="H185" s="6" t="n">
        <f aca="false">G185</f>
        <v>1445</v>
      </c>
      <c r="J185" s="4" t="s">
        <v>416</v>
      </c>
      <c r="K185" s="8" t="n">
        <v>43184</v>
      </c>
      <c r="L185" s="8" t="n">
        <v>46836</v>
      </c>
      <c r="N185" s="8" t="n">
        <v>45010</v>
      </c>
      <c r="P185" s="9" t="n">
        <v>79500</v>
      </c>
      <c r="Q185" s="9" t="n">
        <f aca="false">P185</f>
        <v>79500</v>
      </c>
      <c r="S185" s="9" t="n">
        <v>86700</v>
      </c>
      <c r="T185" s="9" t="n">
        <f aca="false">S185</f>
        <v>86700</v>
      </c>
      <c r="U185" s="9" t="n">
        <v>90300</v>
      </c>
      <c r="V185" s="9" t="n">
        <f aca="false">U185</f>
        <v>90300</v>
      </c>
      <c r="W185" s="45" t="n">
        <f aca="false">U185/G185</f>
        <v>62.4913494809689</v>
      </c>
      <c r="X185" s="41" t="n">
        <f aca="false">SUM(U185-S185)/S185</f>
        <v>0.041522491349481</v>
      </c>
      <c r="Y185" s="9" t="s">
        <v>60</v>
      </c>
      <c r="Z185" s="42"/>
      <c r="AA185" s="524"/>
      <c r="AB185" s="5" t="s">
        <v>43</v>
      </c>
      <c r="AC185" s="4" t="s">
        <v>417</v>
      </c>
      <c r="AF185" s="59"/>
      <c r="AJ185" s="525" t="s">
        <v>1103</v>
      </c>
    </row>
    <row r="186" customFormat="false" ht="19.4" hidden="false" customHeight="false" outlineLevel="0" collapsed="false">
      <c r="A186" s="11" t="s">
        <v>236</v>
      </c>
      <c r="B186" s="11" t="s">
        <v>38</v>
      </c>
      <c r="C186" s="29" t="n">
        <v>550340</v>
      </c>
      <c r="D186" s="4" t="s">
        <v>463</v>
      </c>
      <c r="E186" s="4" t="s">
        <v>137</v>
      </c>
      <c r="F186" s="5" t="s">
        <v>40</v>
      </c>
      <c r="G186" s="6" t="n">
        <v>1200</v>
      </c>
      <c r="H186" s="6" t="n">
        <f aca="false">G186</f>
        <v>1200</v>
      </c>
      <c r="J186" s="4" t="s">
        <v>416</v>
      </c>
      <c r="K186" s="8" t="n">
        <v>43184</v>
      </c>
      <c r="L186" s="8" t="n">
        <v>46836</v>
      </c>
      <c r="N186" s="8" t="n">
        <v>45010</v>
      </c>
      <c r="P186" s="9" t="n">
        <v>66000</v>
      </c>
      <c r="Q186" s="9" t="n">
        <f aca="false">P186</f>
        <v>66000</v>
      </c>
      <c r="S186" s="9" t="n">
        <v>72000</v>
      </c>
      <c r="T186" s="9" t="n">
        <f aca="false">S186</f>
        <v>72000</v>
      </c>
      <c r="U186" s="9" t="n">
        <v>75000</v>
      </c>
      <c r="V186" s="9" t="n">
        <f aca="false">U186</f>
        <v>75000</v>
      </c>
      <c r="W186" s="45" t="n">
        <f aca="false">U186/G186</f>
        <v>62.5</v>
      </c>
      <c r="X186" s="41" t="n">
        <f aca="false">SUM(U186-S186)/S186</f>
        <v>0.0416666666666667</v>
      </c>
      <c r="Y186" s="9" t="s">
        <v>42</v>
      </c>
      <c r="Z186" s="42"/>
      <c r="AA186" s="524"/>
      <c r="AB186" s="5" t="s">
        <v>43</v>
      </c>
      <c r="AC186" s="4" t="s">
        <v>417</v>
      </c>
      <c r="AF186" s="59"/>
      <c r="AJ186" s="525" t="s">
        <v>1103</v>
      </c>
    </row>
    <row r="187" customFormat="false" ht="19.4" hidden="false" customHeight="false" outlineLevel="0" collapsed="false">
      <c r="A187" s="11" t="s">
        <v>236</v>
      </c>
      <c r="B187" s="11" t="s">
        <v>38</v>
      </c>
      <c r="C187" s="29" t="n">
        <v>550340</v>
      </c>
      <c r="D187" s="4" t="s">
        <v>463</v>
      </c>
      <c r="E187" s="4" t="s">
        <v>143</v>
      </c>
      <c r="F187" s="5" t="s">
        <v>40</v>
      </c>
      <c r="G187" s="6" t="n">
        <v>373</v>
      </c>
      <c r="H187" s="6" t="n">
        <f aca="false">G187</f>
        <v>373</v>
      </c>
      <c r="J187" s="4" t="s">
        <v>416</v>
      </c>
      <c r="K187" s="8" t="n">
        <v>43184</v>
      </c>
      <c r="L187" s="8" t="n">
        <v>46836</v>
      </c>
      <c r="N187" s="8" t="n">
        <v>45010</v>
      </c>
      <c r="P187" s="9" t="n">
        <v>18650</v>
      </c>
      <c r="Q187" s="9" t="n">
        <f aca="false">P187</f>
        <v>18650</v>
      </c>
      <c r="S187" s="9" t="n">
        <v>22400</v>
      </c>
      <c r="T187" s="9" t="n">
        <f aca="false">S187</f>
        <v>22400</v>
      </c>
      <c r="U187" s="9" t="n">
        <v>23300</v>
      </c>
      <c r="V187" s="9" t="n">
        <f aca="false">U187</f>
        <v>23300</v>
      </c>
      <c r="W187" s="45" t="n">
        <f aca="false">U187/G187</f>
        <v>62.4664879356568</v>
      </c>
      <c r="X187" s="41" t="n">
        <f aca="false">SUM(U187-S187)/S187</f>
        <v>0.0401785714285714</v>
      </c>
      <c r="Y187" s="9" t="s">
        <v>60</v>
      </c>
      <c r="Z187" s="42"/>
      <c r="AA187" s="524"/>
      <c r="AB187" s="5" t="s">
        <v>43</v>
      </c>
      <c r="AC187" s="4" t="s">
        <v>417</v>
      </c>
      <c r="AF187" s="59"/>
      <c r="AJ187" s="525" t="s">
        <v>1103</v>
      </c>
    </row>
    <row r="188" customFormat="false" ht="19.4" hidden="false" customHeight="false" outlineLevel="0" collapsed="false">
      <c r="A188" s="11" t="s">
        <v>236</v>
      </c>
      <c r="B188" s="11" t="s">
        <v>38</v>
      </c>
      <c r="C188" s="29" t="n">
        <v>550340</v>
      </c>
      <c r="D188" s="4" t="s">
        <v>463</v>
      </c>
      <c r="E188" s="4" t="s">
        <v>145</v>
      </c>
      <c r="F188" s="5" t="s">
        <v>40</v>
      </c>
      <c r="G188" s="6" t="n">
        <v>346</v>
      </c>
      <c r="H188" s="6" t="n">
        <f aca="false">G188</f>
        <v>346</v>
      </c>
      <c r="J188" s="4" t="s">
        <v>416</v>
      </c>
      <c r="K188" s="8" t="n">
        <v>43184</v>
      </c>
      <c r="L188" s="8" t="n">
        <v>46836</v>
      </c>
      <c r="N188" s="8" t="n">
        <v>45010</v>
      </c>
      <c r="P188" s="9" t="n">
        <v>18150</v>
      </c>
      <c r="Q188" s="9" t="n">
        <f aca="false">P188</f>
        <v>18150</v>
      </c>
      <c r="S188" s="9" t="n">
        <v>20800</v>
      </c>
      <c r="T188" s="9" t="n">
        <f aca="false">S188</f>
        <v>20800</v>
      </c>
      <c r="U188" s="9" t="n">
        <v>21600</v>
      </c>
      <c r="V188" s="9" t="n">
        <f aca="false">U188</f>
        <v>21600</v>
      </c>
      <c r="W188" s="45" t="n">
        <f aca="false">U188/G188</f>
        <v>62.4277456647399</v>
      </c>
      <c r="X188" s="41" t="n">
        <f aca="false">SUM(U188-S188)/S188</f>
        <v>0.0384615384615385</v>
      </c>
      <c r="Y188" s="9" t="s">
        <v>60</v>
      </c>
      <c r="Z188" s="42"/>
      <c r="AA188" s="524"/>
      <c r="AB188" s="5" t="s">
        <v>43</v>
      </c>
      <c r="AC188" s="4" t="s">
        <v>417</v>
      </c>
      <c r="AF188" s="59"/>
      <c r="AJ188" s="525" t="s">
        <v>1103</v>
      </c>
    </row>
    <row r="189" customFormat="false" ht="19.4" hidden="false" customHeight="false" outlineLevel="0" collapsed="false">
      <c r="A189" s="11" t="s">
        <v>47</v>
      </c>
      <c r="B189" s="11" t="s">
        <v>38</v>
      </c>
      <c r="C189" s="29" t="n">
        <v>550900</v>
      </c>
      <c r="D189" s="4" t="s">
        <v>469</v>
      </c>
      <c r="E189" s="4" t="s">
        <v>461</v>
      </c>
      <c r="F189" s="5" t="s">
        <v>40</v>
      </c>
      <c r="G189" s="6" t="n">
        <v>8445</v>
      </c>
      <c r="H189" s="9" t="n">
        <f aca="false">G189</f>
        <v>8445</v>
      </c>
      <c r="I189" s="9" t="n">
        <v>8500</v>
      </c>
      <c r="J189" s="4" t="s">
        <v>261</v>
      </c>
      <c r="K189" s="7" t="n">
        <v>44390</v>
      </c>
      <c r="L189" s="8" t="n">
        <v>48041</v>
      </c>
      <c r="N189" s="8" t="n">
        <v>46216</v>
      </c>
      <c r="O189" s="8" t="n">
        <v>46215</v>
      </c>
      <c r="P189" s="9" t="n">
        <v>450500</v>
      </c>
      <c r="Q189" s="9" t="n">
        <f aca="false">P189</f>
        <v>450500</v>
      </c>
      <c r="S189" s="9" t="n">
        <v>450500</v>
      </c>
      <c r="T189" s="9" t="n">
        <f aca="false">S189</f>
        <v>450500</v>
      </c>
      <c r="U189" s="9" t="n">
        <v>495300</v>
      </c>
      <c r="V189" s="9" t="n">
        <f aca="false">U189</f>
        <v>495300</v>
      </c>
      <c r="W189" s="45" t="n">
        <f aca="false">U189/G189</f>
        <v>58.6500888099467</v>
      </c>
      <c r="X189" s="41" t="n">
        <f aca="false">SUM(U189-S189)/S189</f>
        <v>0.0994450610432852</v>
      </c>
      <c r="Y189" s="9" t="s">
        <v>42</v>
      </c>
      <c r="Z189" s="42"/>
      <c r="AA189" s="44"/>
      <c r="AB189" s="5" t="s">
        <v>43</v>
      </c>
      <c r="AC189" s="4" t="s">
        <v>470</v>
      </c>
      <c r="AF189" s="59"/>
      <c r="AJ189" s="525" t="s">
        <v>1103</v>
      </c>
    </row>
    <row r="190" customFormat="false" ht="15" hidden="false" customHeight="false" outlineLevel="0" collapsed="false">
      <c r="A190" s="11" t="s">
        <v>47</v>
      </c>
      <c r="B190" s="11" t="s">
        <v>38</v>
      </c>
      <c r="C190" s="29" t="n">
        <v>550900</v>
      </c>
      <c r="D190" s="4" t="s">
        <v>469</v>
      </c>
      <c r="E190" s="4" t="s">
        <v>471</v>
      </c>
      <c r="F190" s="5" t="s">
        <v>168</v>
      </c>
      <c r="G190" s="6" t="n">
        <v>0</v>
      </c>
      <c r="H190" s="9" t="n">
        <f aca="false">G190</f>
        <v>0</v>
      </c>
      <c r="I190" s="9"/>
      <c r="J190" s="4" t="s">
        <v>169</v>
      </c>
      <c r="K190" s="7" t="n">
        <v>38840</v>
      </c>
      <c r="L190" s="8" t="n">
        <v>46144</v>
      </c>
      <c r="P190" s="9" t="n">
        <v>1100</v>
      </c>
      <c r="Q190" s="9" t="n">
        <f aca="false">P190</f>
        <v>1100</v>
      </c>
      <c r="S190" s="9" t="n">
        <v>1100</v>
      </c>
      <c r="T190" s="9" t="n">
        <f aca="false">S190</f>
        <v>1100</v>
      </c>
      <c r="U190" s="9" t="n">
        <v>1100</v>
      </c>
      <c r="V190" s="9" t="n">
        <f aca="false">U190</f>
        <v>1100</v>
      </c>
      <c r="W190" s="9"/>
      <c r="X190" s="41"/>
      <c r="Y190" s="9"/>
      <c r="Z190" s="42"/>
      <c r="AA190" s="44"/>
      <c r="AB190" s="5" t="s">
        <v>43</v>
      </c>
      <c r="AC190" s="4" t="s">
        <v>472</v>
      </c>
      <c r="AF190" s="59"/>
      <c r="AJ190" s="525" t="s">
        <v>1103</v>
      </c>
    </row>
    <row r="191" customFormat="false" ht="15" hidden="false" customHeight="false" outlineLevel="0" collapsed="false">
      <c r="A191" s="11" t="s">
        <v>47</v>
      </c>
      <c r="B191" s="11" t="s">
        <v>38</v>
      </c>
      <c r="C191" s="29" t="n">
        <v>550350</v>
      </c>
      <c r="D191" s="4" t="s">
        <v>473</v>
      </c>
      <c r="E191" s="4" t="s">
        <v>461</v>
      </c>
      <c r="F191" s="5" t="s">
        <v>40</v>
      </c>
      <c r="G191" s="43" t="n">
        <v>6563</v>
      </c>
      <c r="H191" s="9" t="n">
        <f aca="false">G191</f>
        <v>6563</v>
      </c>
      <c r="I191" s="9" t="n">
        <v>6500</v>
      </c>
      <c r="J191" s="4" t="s">
        <v>474</v>
      </c>
      <c r="K191" s="7" t="n">
        <v>45062</v>
      </c>
      <c r="L191" s="8" t="n">
        <v>48714</v>
      </c>
      <c r="N191" s="8" t="n">
        <v>46889</v>
      </c>
      <c r="P191" s="44" t="n">
        <v>350000</v>
      </c>
      <c r="Q191" s="9" t="n">
        <f aca="false">P191</f>
        <v>350000</v>
      </c>
      <c r="R191" s="44" t="n">
        <f aca="false">Q191</f>
        <v>350000</v>
      </c>
      <c r="S191" s="44" t="n">
        <v>350000</v>
      </c>
      <c r="T191" s="9" t="n">
        <f aca="false">S191</f>
        <v>350000</v>
      </c>
      <c r="U191" s="44" t="n">
        <v>350000</v>
      </c>
      <c r="V191" s="9" t="n">
        <f aca="false">U191</f>
        <v>350000</v>
      </c>
      <c r="W191" s="45" t="n">
        <f aca="false">U191/G191</f>
        <v>53.3292701508457</v>
      </c>
      <c r="X191" s="41" t="n">
        <f aca="false">SUM(U191-S191)/S191</f>
        <v>0</v>
      </c>
      <c r="Y191" s="9" t="s">
        <v>60</v>
      </c>
      <c r="Z191" s="42"/>
      <c r="AA191" s="112" t="n">
        <v>6575000</v>
      </c>
      <c r="AB191" s="5" t="s">
        <v>43</v>
      </c>
      <c r="AF191" s="59"/>
      <c r="AJ191" s="525" t="s">
        <v>1103</v>
      </c>
    </row>
    <row r="192" customFormat="false" ht="15" hidden="false" customHeight="false" outlineLevel="0" collapsed="false">
      <c r="A192" s="11" t="s">
        <v>106</v>
      </c>
      <c r="B192" s="11" t="s">
        <v>38</v>
      </c>
      <c r="C192" s="29" t="n">
        <v>550360</v>
      </c>
      <c r="D192" s="4" t="s">
        <v>476</v>
      </c>
      <c r="E192" s="4" t="s">
        <v>174</v>
      </c>
      <c r="F192" s="5" t="s">
        <v>49</v>
      </c>
      <c r="G192" s="6" t="n">
        <v>5735</v>
      </c>
      <c r="H192" s="9" t="n">
        <f aca="false">G192</f>
        <v>5735</v>
      </c>
      <c r="I192" s="9" t="n">
        <v>5750</v>
      </c>
      <c r="J192" s="4" t="s">
        <v>326</v>
      </c>
      <c r="K192" s="7" t="n">
        <v>45240</v>
      </c>
      <c r="L192" s="8" t="n">
        <v>48892</v>
      </c>
      <c r="N192" s="8" t="n">
        <v>47067</v>
      </c>
      <c r="O192" s="8" t="n">
        <v>47066</v>
      </c>
      <c r="P192" s="9" t="n">
        <v>282288</v>
      </c>
      <c r="Q192" s="9" t="n">
        <f aca="false">P192</f>
        <v>282288</v>
      </c>
      <c r="R192" s="44"/>
      <c r="S192" s="9" t="n">
        <v>258600</v>
      </c>
      <c r="T192" s="9" t="n">
        <f aca="false">S192</f>
        <v>258600</v>
      </c>
      <c r="U192" s="9" t="n">
        <v>282288</v>
      </c>
      <c r="V192" s="9" t="n">
        <f aca="false">U192</f>
        <v>282288</v>
      </c>
      <c r="W192" s="45" t="n">
        <f aca="false">U192/G192</f>
        <v>49.2219703574542</v>
      </c>
      <c r="X192" s="41" t="n">
        <f aca="false">SUM(U192-S192)/S192</f>
        <v>0.0916009280742459</v>
      </c>
      <c r="Y192" s="9" t="s">
        <v>42</v>
      </c>
      <c r="Z192" s="42"/>
      <c r="AA192" s="112"/>
      <c r="AB192" s="5" t="s">
        <v>43</v>
      </c>
      <c r="AC192" s="4" t="s">
        <v>477</v>
      </c>
      <c r="AF192" s="59"/>
      <c r="AJ192" s="525" t="s">
        <v>1103</v>
      </c>
    </row>
    <row r="193" customFormat="false" ht="15" hidden="false" customHeight="false" outlineLevel="0" collapsed="false">
      <c r="A193" s="11" t="s">
        <v>106</v>
      </c>
      <c r="B193" s="11" t="s">
        <v>38</v>
      </c>
      <c r="C193" s="29" t="n">
        <v>550360</v>
      </c>
      <c r="D193" s="4" t="s">
        <v>476</v>
      </c>
      <c r="E193" s="4" t="s">
        <v>89</v>
      </c>
      <c r="F193" s="5" t="s">
        <v>40</v>
      </c>
      <c r="G193" s="6" t="n">
        <v>2400</v>
      </c>
      <c r="H193" s="9" t="n">
        <f aca="false">G193</f>
        <v>2400</v>
      </c>
      <c r="I193" s="9" t="n">
        <v>2500</v>
      </c>
      <c r="J193" s="4" t="s">
        <v>332</v>
      </c>
      <c r="K193" s="7" t="n">
        <v>44665</v>
      </c>
      <c r="L193" s="8" t="n">
        <v>48852</v>
      </c>
      <c r="N193" s="8" t="n">
        <v>46491</v>
      </c>
      <c r="O193" s="8" t="n">
        <v>47026</v>
      </c>
      <c r="P193" s="9" t="n">
        <v>152500</v>
      </c>
      <c r="Q193" s="9" t="n">
        <f aca="false">P193</f>
        <v>152500</v>
      </c>
      <c r="R193" s="44"/>
      <c r="S193" s="9" t="n">
        <v>152400</v>
      </c>
      <c r="T193" s="9" t="n">
        <f aca="false">S193</f>
        <v>152400</v>
      </c>
      <c r="U193" s="9" t="n">
        <v>152400</v>
      </c>
      <c r="V193" s="9" t="n">
        <f aca="false">U193</f>
        <v>152400</v>
      </c>
      <c r="W193" s="45" t="n">
        <f aca="false">U193/G193</f>
        <v>63.5</v>
      </c>
      <c r="X193" s="41" t="n">
        <f aca="false">SUM(U193-S193)/S193</f>
        <v>0</v>
      </c>
      <c r="Y193" s="9" t="s">
        <v>127</v>
      </c>
      <c r="Z193" s="42"/>
      <c r="AA193" s="112"/>
      <c r="AB193" s="5" t="s">
        <v>43</v>
      </c>
      <c r="AC193" s="4" t="s">
        <v>286</v>
      </c>
      <c r="AF193" s="59"/>
      <c r="AJ193" s="525" t="s">
        <v>1103</v>
      </c>
    </row>
    <row r="194" customFormat="false" ht="15" hidden="false" customHeight="false" outlineLevel="0" collapsed="false">
      <c r="A194" s="11" t="s">
        <v>106</v>
      </c>
      <c r="B194" s="11" t="s">
        <v>38</v>
      </c>
      <c r="C194" s="29" t="n">
        <v>550360</v>
      </c>
      <c r="D194" s="4" t="s">
        <v>476</v>
      </c>
      <c r="E194" s="4" t="s">
        <v>93</v>
      </c>
      <c r="F194" s="5" t="s">
        <v>40</v>
      </c>
      <c r="G194" s="6" t="n">
        <v>2516</v>
      </c>
      <c r="H194" s="9" t="n">
        <f aca="false">G194</f>
        <v>2516</v>
      </c>
      <c r="I194" s="9" t="n">
        <v>2500</v>
      </c>
      <c r="J194" s="4" t="s">
        <v>332</v>
      </c>
      <c r="K194" s="7" t="n">
        <v>44445</v>
      </c>
      <c r="L194" s="8" t="n">
        <v>47026</v>
      </c>
      <c r="N194" s="8" t="n">
        <v>46271</v>
      </c>
      <c r="P194" s="9" t="n">
        <v>150000</v>
      </c>
      <c r="Q194" s="9" t="n">
        <f aca="false">P194</f>
        <v>150000</v>
      </c>
      <c r="R194" s="44"/>
      <c r="S194" s="9" t="n">
        <v>158800</v>
      </c>
      <c r="T194" s="9" t="n">
        <f aca="false">S194</f>
        <v>158800</v>
      </c>
      <c r="U194" s="9" t="n">
        <v>159800</v>
      </c>
      <c r="V194" s="9" t="n">
        <f aca="false">U194</f>
        <v>159800</v>
      </c>
      <c r="W194" s="45" t="n">
        <f aca="false">U194/G194</f>
        <v>63.5135135135135</v>
      </c>
      <c r="X194" s="41" t="n">
        <f aca="false">SUM(U194-S194)/S194</f>
        <v>0.00629722921914358</v>
      </c>
      <c r="Y194" s="9" t="s">
        <v>127</v>
      </c>
      <c r="Z194" s="42"/>
      <c r="AA194" s="112"/>
      <c r="AB194" s="5" t="s">
        <v>43</v>
      </c>
      <c r="AF194" s="59"/>
      <c r="AJ194" s="525" t="s">
        <v>1103</v>
      </c>
    </row>
    <row r="195" customFormat="false" ht="15" hidden="false" customHeight="false" outlineLevel="0" collapsed="false">
      <c r="A195" s="11" t="s">
        <v>106</v>
      </c>
      <c r="B195" s="11" t="s">
        <v>38</v>
      </c>
      <c r="C195" s="29" t="n">
        <v>550360</v>
      </c>
      <c r="D195" s="4" t="s">
        <v>476</v>
      </c>
      <c r="E195" s="4" t="s">
        <v>478</v>
      </c>
      <c r="F195" s="5" t="s">
        <v>40</v>
      </c>
      <c r="G195" s="6" t="n">
        <v>4902</v>
      </c>
      <c r="H195" s="9" t="n">
        <f aca="false">G195</f>
        <v>4902</v>
      </c>
      <c r="I195" s="9" t="n">
        <v>5000</v>
      </c>
      <c r="J195" s="4" t="s">
        <v>332</v>
      </c>
      <c r="K195" s="7" t="n">
        <v>45259</v>
      </c>
      <c r="L195" s="8" t="n">
        <v>47026</v>
      </c>
      <c r="P195" s="9" t="n">
        <v>307687</v>
      </c>
      <c r="Q195" s="9" t="n">
        <f aca="false">P195</f>
        <v>307687</v>
      </c>
      <c r="R195" s="44"/>
      <c r="S195" s="9" t="n">
        <v>314300</v>
      </c>
      <c r="T195" s="9" t="n">
        <f aca="false">S195</f>
        <v>314300</v>
      </c>
      <c r="U195" s="9" t="n">
        <v>311300</v>
      </c>
      <c r="V195" s="9" t="n">
        <f aca="false">U195</f>
        <v>311300</v>
      </c>
      <c r="W195" s="45" t="n">
        <f aca="false">U195/G195</f>
        <v>63.5046919624643</v>
      </c>
      <c r="X195" s="41" t="n">
        <f aca="false">SUM(U195-S195)/S195</f>
        <v>-0.00954502068087814</v>
      </c>
      <c r="Y195" s="9" t="s">
        <v>127</v>
      </c>
      <c r="Z195" s="42"/>
      <c r="AA195" s="112"/>
      <c r="AB195" s="5" t="s">
        <v>43</v>
      </c>
      <c r="AF195" s="59"/>
      <c r="AJ195" s="525" t="s">
        <v>1103</v>
      </c>
    </row>
    <row r="196" customFormat="false" ht="15" hidden="false" customHeight="false" outlineLevel="0" collapsed="false">
      <c r="A196" s="11" t="s">
        <v>106</v>
      </c>
      <c r="B196" s="11" t="s">
        <v>38</v>
      </c>
      <c r="C196" s="29" t="n">
        <v>550360</v>
      </c>
      <c r="D196" s="4" t="s">
        <v>476</v>
      </c>
      <c r="E196" s="4" t="s">
        <v>180</v>
      </c>
      <c r="F196" s="5" t="s">
        <v>40</v>
      </c>
      <c r="G196" s="6" t="n">
        <v>2251</v>
      </c>
      <c r="H196" s="9" t="n">
        <f aca="false">G196</f>
        <v>2251</v>
      </c>
      <c r="I196" s="9" t="n">
        <v>2250</v>
      </c>
      <c r="J196" s="4" t="s">
        <v>332</v>
      </c>
      <c r="K196" s="7" t="n">
        <v>45259</v>
      </c>
      <c r="L196" s="8" t="n">
        <v>47026</v>
      </c>
      <c r="P196" s="9" t="n">
        <v>138500</v>
      </c>
      <c r="Q196" s="9" t="n">
        <f aca="false">P196</f>
        <v>138500</v>
      </c>
      <c r="R196" s="44"/>
      <c r="S196" s="9" t="n">
        <v>138500</v>
      </c>
      <c r="T196" s="9" t="n">
        <f aca="false">S196</f>
        <v>138500</v>
      </c>
      <c r="U196" s="9" t="n">
        <v>140700</v>
      </c>
      <c r="V196" s="9" t="n">
        <f aca="false">U196</f>
        <v>140700</v>
      </c>
      <c r="W196" s="45" t="n">
        <f aca="false">U196/G196</f>
        <v>62.5055530875167</v>
      </c>
      <c r="X196" s="41" t="n">
        <f aca="false">SUM(U196-S196)/S196</f>
        <v>0.015884476534296</v>
      </c>
      <c r="Y196" s="9" t="s">
        <v>127</v>
      </c>
      <c r="Z196" s="42"/>
      <c r="AA196" s="112"/>
      <c r="AB196" s="5" t="s">
        <v>43</v>
      </c>
      <c r="AF196" s="59"/>
      <c r="AJ196" s="525" t="s">
        <v>1103</v>
      </c>
    </row>
    <row r="197" customFormat="false" ht="15" hidden="false" customHeight="false" outlineLevel="0" collapsed="false">
      <c r="A197" s="11" t="s">
        <v>106</v>
      </c>
      <c r="B197" s="11" t="s">
        <v>38</v>
      </c>
      <c r="C197" s="29" t="n">
        <v>550370</v>
      </c>
      <c r="D197" s="4" t="s">
        <v>480</v>
      </c>
      <c r="E197" s="4" t="s">
        <v>481</v>
      </c>
      <c r="F197" s="5" t="s">
        <v>40</v>
      </c>
      <c r="G197" s="6" t="n">
        <v>2161</v>
      </c>
      <c r="H197" s="6" t="n">
        <f aca="false">G197</f>
        <v>2161</v>
      </c>
      <c r="I197" s="6" t="n">
        <v>2000</v>
      </c>
      <c r="J197" s="4" t="s">
        <v>67</v>
      </c>
      <c r="M197" s="8" t="n">
        <v>44063</v>
      </c>
      <c r="P197" s="9" t="n">
        <v>0</v>
      </c>
      <c r="Q197" s="9" t="n">
        <f aca="false">P197</f>
        <v>0</v>
      </c>
      <c r="S197" s="9" t="n">
        <v>53800</v>
      </c>
      <c r="T197" s="9" t="n">
        <f aca="false">S197</f>
        <v>53800</v>
      </c>
      <c r="U197" s="9" t="n">
        <v>54000</v>
      </c>
      <c r="V197" s="9" t="n">
        <f aca="false">U197</f>
        <v>54000</v>
      </c>
      <c r="W197" s="45" t="n">
        <f aca="false">U197/G197</f>
        <v>24.988431281814</v>
      </c>
      <c r="X197" s="41" t="n">
        <f aca="false">SUM(U197-S197)/S197</f>
        <v>0.00371747211895911</v>
      </c>
      <c r="Y197" s="9" t="s">
        <v>127</v>
      </c>
      <c r="Z197" s="42"/>
      <c r="AA197" s="112"/>
      <c r="AB197" s="5" t="s">
        <v>43</v>
      </c>
      <c r="AC197" s="4" t="s">
        <v>482</v>
      </c>
      <c r="AE197" s="4" t="n">
        <v>3</v>
      </c>
      <c r="AF197" s="59" t="n">
        <v>9</v>
      </c>
      <c r="AG197" s="4" t="s">
        <v>57</v>
      </c>
      <c r="AJ197" s="525" t="s">
        <v>1104</v>
      </c>
    </row>
    <row r="198" customFormat="false" ht="15" hidden="false" customHeight="false" outlineLevel="0" collapsed="false">
      <c r="A198" s="11" t="s">
        <v>106</v>
      </c>
      <c r="B198" s="11" t="s">
        <v>38</v>
      </c>
      <c r="C198" s="29" t="n">
        <v>550370</v>
      </c>
      <c r="D198" s="4" t="s">
        <v>480</v>
      </c>
      <c r="E198" s="4" t="s">
        <v>129</v>
      </c>
      <c r="F198" s="5" t="s">
        <v>40</v>
      </c>
      <c r="G198" s="6" t="n">
        <v>2185</v>
      </c>
      <c r="H198" s="6" t="n">
        <f aca="false">G198</f>
        <v>2185</v>
      </c>
      <c r="I198" s="6" t="n">
        <v>2000</v>
      </c>
      <c r="J198" s="4" t="s">
        <v>326</v>
      </c>
      <c r="K198" s="7" t="n">
        <v>45240</v>
      </c>
      <c r="L198" s="8" t="n">
        <v>48892</v>
      </c>
      <c r="N198" s="8" t="n">
        <v>47067</v>
      </c>
      <c r="O198" s="8" t="n">
        <v>47066</v>
      </c>
      <c r="P198" s="9" t="n">
        <v>132000</v>
      </c>
      <c r="Q198" s="9" t="n">
        <f aca="false">P198</f>
        <v>132000</v>
      </c>
      <c r="S198" s="9" t="n">
        <v>130000</v>
      </c>
      <c r="T198" s="9" t="n">
        <f aca="false">S198</f>
        <v>130000</v>
      </c>
      <c r="U198" s="9" t="n">
        <v>132000</v>
      </c>
      <c r="V198" s="9" t="n">
        <f aca="false">U198</f>
        <v>132000</v>
      </c>
      <c r="W198" s="45" t="n">
        <f aca="false">U198/G198</f>
        <v>60.4118993135011</v>
      </c>
      <c r="X198" s="41" t="n">
        <f aca="false">SUM(U198-S198)/S198</f>
        <v>0.0153846153846154</v>
      </c>
      <c r="Y198" s="9" t="s">
        <v>42</v>
      </c>
      <c r="Z198" s="42"/>
      <c r="AA198" s="112"/>
      <c r="AB198" s="5" t="s">
        <v>43</v>
      </c>
      <c r="AC198" s="4" t="s">
        <v>483</v>
      </c>
      <c r="AF198" s="59"/>
      <c r="AJ198" s="525" t="s">
        <v>1103</v>
      </c>
    </row>
    <row r="199" customFormat="false" ht="15" hidden="false" customHeight="false" outlineLevel="0" collapsed="false">
      <c r="A199" s="11" t="s">
        <v>106</v>
      </c>
      <c r="B199" s="11" t="s">
        <v>38</v>
      </c>
      <c r="C199" s="29" t="n">
        <v>550370</v>
      </c>
      <c r="D199" s="4" t="s">
        <v>480</v>
      </c>
      <c r="E199" s="4" t="s">
        <v>89</v>
      </c>
      <c r="F199" s="5" t="s">
        <v>40</v>
      </c>
      <c r="G199" s="6" t="n">
        <v>1606</v>
      </c>
      <c r="H199" s="6" t="n">
        <f aca="false">G199</f>
        <v>1606</v>
      </c>
      <c r="I199" s="6" t="n">
        <v>1500</v>
      </c>
      <c r="J199" s="4" t="s">
        <v>67</v>
      </c>
      <c r="M199" s="8" t="n">
        <v>44403</v>
      </c>
      <c r="P199" s="9" t="n">
        <v>0</v>
      </c>
      <c r="Q199" s="9" t="n">
        <f aca="false">P199</f>
        <v>0</v>
      </c>
      <c r="S199" s="9" t="n">
        <v>85800</v>
      </c>
      <c r="T199" s="9" t="n">
        <f aca="false">S199</f>
        <v>85800</v>
      </c>
      <c r="U199" s="9" t="n">
        <v>100400</v>
      </c>
      <c r="V199" s="9" t="n">
        <f aca="false">U199</f>
        <v>100400</v>
      </c>
      <c r="W199" s="45" t="n">
        <f aca="false">U199/G199</f>
        <v>62.5155666251557</v>
      </c>
      <c r="X199" s="41" t="n">
        <f aca="false">SUM(U199-S199)/S199</f>
        <v>0.17016317016317</v>
      </c>
      <c r="Y199" s="9" t="s">
        <v>60</v>
      </c>
      <c r="Z199" s="42"/>
      <c r="AA199" s="112"/>
      <c r="AB199" s="5" t="s">
        <v>43</v>
      </c>
      <c r="AC199" s="4" t="s">
        <v>119</v>
      </c>
      <c r="AD199" s="15" t="n">
        <v>65</v>
      </c>
      <c r="AE199" s="4" t="n">
        <v>5</v>
      </c>
      <c r="AF199" s="59" t="n">
        <v>6</v>
      </c>
      <c r="AG199" s="4" t="s">
        <v>57</v>
      </c>
      <c r="AJ199" s="525" t="s">
        <v>1104</v>
      </c>
    </row>
    <row r="200" customFormat="false" ht="15" hidden="false" customHeight="false" outlineLevel="0" collapsed="false">
      <c r="A200" s="11" t="s">
        <v>106</v>
      </c>
      <c r="B200" s="11" t="s">
        <v>38</v>
      </c>
      <c r="C200" s="29" t="n">
        <v>550370</v>
      </c>
      <c r="D200" s="4" t="s">
        <v>480</v>
      </c>
      <c r="E200" s="4" t="s">
        <v>93</v>
      </c>
      <c r="F200" s="5" t="s">
        <v>40</v>
      </c>
      <c r="G200" s="6" t="n">
        <v>1296</v>
      </c>
      <c r="H200" s="6" t="n">
        <f aca="false">G200</f>
        <v>1296</v>
      </c>
      <c r="I200" s="6" t="n">
        <v>1250</v>
      </c>
      <c r="J200" s="4" t="s">
        <v>484</v>
      </c>
      <c r="K200" s="7" t="n">
        <v>44798</v>
      </c>
      <c r="L200" s="8" t="n">
        <v>46623</v>
      </c>
      <c r="P200" s="9" t="n">
        <v>73700</v>
      </c>
      <c r="Q200" s="9" t="n">
        <f aca="false">P200</f>
        <v>73700</v>
      </c>
      <c r="S200" s="9" t="n">
        <v>73500</v>
      </c>
      <c r="T200" s="9" t="n">
        <f aca="false">S200</f>
        <v>73500</v>
      </c>
      <c r="U200" s="9" t="n">
        <v>81000</v>
      </c>
      <c r="V200" s="9" t="n">
        <f aca="false">U200</f>
        <v>81000</v>
      </c>
      <c r="W200" s="45" t="n">
        <f aca="false">U200/G200</f>
        <v>62.5</v>
      </c>
      <c r="X200" s="41" t="n">
        <f aca="false">SUM(U200-S200)/S200</f>
        <v>0.102040816326531</v>
      </c>
      <c r="Y200" s="9" t="s">
        <v>60</v>
      </c>
      <c r="Z200" s="42"/>
      <c r="AA200" s="112"/>
      <c r="AB200" s="5" t="s">
        <v>43</v>
      </c>
      <c r="AF200" s="59"/>
      <c r="AJ200" s="525" t="s">
        <v>1103</v>
      </c>
    </row>
    <row r="201" customFormat="false" ht="15" hidden="false" customHeight="false" outlineLevel="0" collapsed="false">
      <c r="A201" s="11" t="s">
        <v>106</v>
      </c>
      <c r="B201" s="11" t="s">
        <v>38</v>
      </c>
      <c r="C201" s="29" t="n">
        <v>550370</v>
      </c>
      <c r="D201" s="4" t="s">
        <v>480</v>
      </c>
      <c r="E201" s="4" t="s">
        <v>94</v>
      </c>
      <c r="F201" s="5" t="s">
        <v>40</v>
      </c>
      <c r="G201" s="6" t="n">
        <v>1129</v>
      </c>
      <c r="H201" s="6" t="n">
        <f aca="false">G201</f>
        <v>1129</v>
      </c>
      <c r="I201" s="6" t="n">
        <v>1000</v>
      </c>
      <c r="J201" s="4" t="s">
        <v>67</v>
      </c>
      <c r="M201" s="8" t="n">
        <v>44097</v>
      </c>
      <c r="P201" s="9" t="n">
        <v>0</v>
      </c>
      <c r="Q201" s="9" t="n">
        <f aca="false">P201</f>
        <v>0</v>
      </c>
      <c r="S201" s="9" t="n">
        <v>65600</v>
      </c>
      <c r="T201" s="9" t="n">
        <f aca="false">S201</f>
        <v>65600</v>
      </c>
      <c r="U201" s="9" t="n">
        <v>70600</v>
      </c>
      <c r="V201" s="9" t="n">
        <f aca="false">U201</f>
        <v>70600</v>
      </c>
      <c r="W201" s="45" t="n">
        <f aca="false">U201/G201</f>
        <v>62.533215234721</v>
      </c>
      <c r="X201" s="41" t="n">
        <f aca="false">SUM(U201-S201)/S201</f>
        <v>0.076219512195122</v>
      </c>
      <c r="Y201" s="9" t="s">
        <v>60</v>
      </c>
      <c r="Z201" s="42"/>
      <c r="AA201" s="112"/>
      <c r="AB201" s="5" t="s">
        <v>43</v>
      </c>
      <c r="AC201" s="4" t="s">
        <v>119</v>
      </c>
      <c r="AD201" s="15" t="n">
        <v>65</v>
      </c>
      <c r="AE201" s="4" t="n">
        <v>8</v>
      </c>
      <c r="AF201" s="59" t="n">
        <v>10</v>
      </c>
      <c r="AJ201" s="525" t="s">
        <v>1104</v>
      </c>
    </row>
    <row r="202" customFormat="false" ht="15" hidden="false" customHeight="false" outlineLevel="0" collapsed="false">
      <c r="A202" s="11" t="s">
        <v>106</v>
      </c>
      <c r="B202" s="11" t="s">
        <v>38</v>
      </c>
      <c r="C202" s="29" t="n">
        <v>550370</v>
      </c>
      <c r="D202" s="4" t="s">
        <v>480</v>
      </c>
      <c r="E202" s="4" t="s">
        <v>118</v>
      </c>
      <c r="F202" s="5" t="s">
        <v>40</v>
      </c>
      <c r="G202" s="6" t="n">
        <v>856</v>
      </c>
      <c r="H202" s="6" t="n">
        <f aca="false">G202</f>
        <v>856</v>
      </c>
      <c r="I202" s="6" t="n">
        <v>1000</v>
      </c>
      <c r="J202" s="4" t="s">
        <v>67</v>
      </c>
      <c r="M202" s="8" t="n">
        <v>44814</v>
      </c>
      <c r="P202" s="9" t="n">
        <v>0</v>
      </c>
      <c r="Q202" s="9" t="n">
        <f aca="false">P202</f>
        <v>0</v>
      </c>
      <c r="S202" s="9" t="n">
        <v>45000</v>
      </c>
      <c r="T202" s="9" t="n">
        <f aca="false">S202</f>
        <v>45000</v>
      </c>
      <c r="U202" s="9" t="n">
        <v>53500</v>
      </c>
      <c r="V202" s="9" t="n">
        <f aca="false">U202</f>
        <v>53500</v>
      </c>
      <c r="W202" s="45" t="n">
        <f aca="false">U202/G202</f>
        <v>62.5</v>
      </c>
      <c r="X202" s="41" t="n">
        <f aca="false">SUM(U202-S202)/S202</f>
        <v>0.188888888888889</v>
      </c>
      <c r="Y202" s="9" t="s">
        <v>127</v>
      </c>
      <c r="Z202" s="42"/>
      <c r="AA202" s="112"/>
      <c r="AB202" s="5" t="s">
        <v>43</v>
      </c>
      <c r="AC202" s="4" t="s">
        <v>119</v>
      </c>
      <c r="AD202" s="15" t="n">
        <v>65</v>
      </c>
      <c r="AE202" s="4" t="n">
        <v>4</v>
      </c>
      <c r="AF202" s="59" t="n">
        <v>4</v>
      </c>
      <c r="AJ202" s="525" t="s">
        <v>1104</v>
      </c>
    </row>
    <row r="203" customFormat="false" ht="15" hidden="false" customHeight="false" outlineLevel="0" collapsed="false">
      <c r="A203" s="11" t="s">
        <v>106</v>
      </c>
      <c r="B203" s="11" t="s">
        <v>38</v>
      </c>
      <c r="C203" s="29" t="n">
        <v>550370</v>
      </c>
      <c r="D203" s="4" t="s">
        <v>480</v>
      </c>
      <c r="E203" s="4" t="s">
        <v>180</v>
      </c>
      <c r="F203" s="5" t="s">
        <v>40</v>
      </c>
      <c r="G203" s="6" t="n">
        <v>766</v>
      </c>
      <c r="H203" s="6" t="n">
        <f aca="false">G203</f>
        <v>766</v>
      </c>
      <c r="I203" s="6" t="n">
        <v>750</v>
      </c>
      <c r="J203" s="4" t="s">
        <v>67</v>
      </c>
      <c r="M203" s="8" t="n">
        <v>44063</v>
      </c>
      <c r="P203" s="9" t="n">
        <v>0</v>
      </c>
      <c r="Q203" s="9" t="n">
        <f aca="false">P203</f>
        <v>0</v>
      </c>
      <c r="S203" s="9" t="n">
        <v>39300</v>
      </c>
      <c r="T203" s="9" t="n">
        <f aca="false">S203</f>
        <v>39300</v>
      </c>
      <c r="U203" s="9" t="n">
        <v>43100</v>
      </c>
      <c r="V203" s="9" t="n">
        <f aca="false">U203</f>
        <v>43100</v>
      </c>
      <c r="W203" s="45" t="n">
        <f aca="false">U203/G203</f>
        <v>56.266318537859</v>
      </c>
      <c r="X203" s="41" t="n">
        <f aca="false">SUM(U203-S203)/S203</f>
        <v>0.0966921119592875</v>
      </c>
      <c r="Y203" s="9" t="s">
        <v>127</v>
      </c>
      <c r="Z203" s="42"/>
      <c r="AA203" s="112"/>
      <c r="AB203" s="5" t="s">
        <v>43</v>
      </c>
      <c r="AC203" s="4" t="s">
        <v>119</v>
      </c>
      <c r="AD203" s="15" t="n">
        <v>65</v>
      </c>
      <c r="AE203" s="4" t="n">
        <v>3</v>
      </c>
      <c r="AF203" s="59" t="n">
        <v>5</v>
      </c>
      <c r="AJ203" s="525" t="s">
        <v>1104</v>
      </c>
    </row>
    <row r="204" customFormat="false" ht="15" hidden="false" customHeight="false" outlineLevel="0" collapsed="false">
      <c r="A204" s="11" t="s">
        <v>106</v>
      </c>
      <c r="B204" s="11" t="s">
        <v>38</v>
      </c>
      <c r="C204" s="29" t="n">
        <v>550380</v>
      </c>
      <c r="D204" s="4" t="s">
        <v>486</v>
      </c>
      <c r="E204" s="4" t="s">
        <v>181</v>
      </c>
      <c r="F204" s="5" t="s">
        <v>359</v>
      </c>
      <c r="G204" s="6" t="n">
        <v>2481</v>
      </c>
      <c r="H204" s="6" t="n">
        <f aca="false">G204</f>
        <v>2481</v>
      </c>
      <c r="I204" s="6" t="n">
        <v>2500</v>
      </c>
      <c r="J204" s="115" t="s">
        <v>487</v>
      </c>
      <c r="K204" s="7" t="n">
        <v>44758</v>
      </c>
      <c r="L204" s="8" t="n">
        <v>46583</v>
      </c>
      <c r="P204" s="9" t="n">
        <v>69440</v>
      </c>
      <c r="Q204" s="9" t="n">
        <f aca="false">P204</f>
        <v>69440</v>
      </c>
      <c r="S204" s="9" t="n">
        <v>69500</v>
      </c>
      <c r="T204" s="9" t="n">
        <f aca="false">S204</f>
        <v>69500</v>
      </c>
      <c r="U204" s="9" t="n">
        <v>69500</v>
      </c>
      <c r="V204" s="9" t="n">
        <f aca="false">U204</f>
        <v>69500</v>
      </c>
      <c r="W204" s="45" t="n">
        <f aca="false">U204/G204</f>
        <v>28.0128980249899</v>
      </c>
      <c r="X204" s="41" t="n">
        <f aca="false">SUM(U204-S204)/S204</f>
        <v>0</v>
      </c>
      <c r="Y204" s="9" t="s">
        <v>127</v>
      </c>
      <c r="Z204" s="42"/>
      <c r="AA204" s="524"/>
      <c r="AB204" s="5" t="s">
        <v>43</v>
      </c>
      <c r="AF204" s="59"/>
      <c r="AJ204" s="525" t="s">
        <v>1103</v>
      </c>
    </row>
    <row r="205" customFormat="false" ht="15" hidden="false" customHeight="false" outlineLevel="0" collapsed="false">
      <c r="A205" s="11" t="s">
        <v>106</v>
      </c>
      <c r="B205" s="11" t="s">
        <v>38</v>
      </c>
      <c r="C205" s="29" t="n">
        <v>550380</v>
      </c>
      <c r="D205" s="4" t="s">
        <v>486</v>
      </c>
      <c r="E205" s="4" t="s">
        <v>488</v>
      </c>
      <c r="F205" s="5" t="s">
        <v>237</v>
      </c>
      <c r="G205" s="6" t="n">
        <v>1616</v>
      </c>
      <c r="H205" s="6" t="n">
        <f aca="false">G205</f>
        <v>1616</v>
      </c>
      <c r="I205" s="6" t="n">
        <v>1500</v>
      </c>
      <c r="J205" s="4" t="s">
        <v>326</v>
      </c>
      <c r="K205" s="7" t="n">
        <v>45240</v>
      </c>
      <c r="L205" s="8" t="n">
        <v>48892</v>
      </c>
      <c r="N205" s="8" t="n">
        <v>47067</v>
      </c>
      <c r="O205" s="8" t="n">
        <v>47066</v>
      </c>
      <c r="P205" s="9" t="n">
        <v>85500</v>
      </c>
      <c r="Q205" s="9" t="n">
        <f aca="false">P205</f>
        <v>85500</v>
      </c>
      <c r="S205" s="9" t="n">
        <v>84800</v>
      </c>
      <c r="T205" s="9" t="n">
        <f aca="false">S205</f>
        <v>84800</v>
      </c>
      <c r="U205" s="9" t="n">
        <v>85000</v>
      </c>
      <c r="V205" s="9" t="n">
        <f aca="false">U205</f>
        <v>85000</v>
      </c>
      <c r="W205" s="45" t="n">
        <f aca="false">U205/G205</f>
        <v>52.5990099009901</v>
      </c>
      <c r="X205" s="41" t="n">
        <f aca="false">SUM(U205-S205)/S205</f>
        <v>0.00235849056603774</v>
      </c>
      <c r="Y205" s="9" t="s">
        <v>60</v>
      </c>
      <c r="Z205" s="42"/>
      <c r="AA205" s="524"/>
      <c r="AB205" s="5" t="s">
        <v>43</v>
      </c>
      <c r="AC205" s="4" t="s">
        <v>483</v>
      </c>
      <c r="AF205" s="59"/>
      <c r="AJ205" s="525" t="s">
        <v>1103</v>
      </c>
    </row>
    <row r="206" customFormat="false" ht="15" hidden="false" customHeight="false" outlineLevel="0" collapsed="false">
      <c r="A206" s="11" t="s">
        <v>106</v>
      </c>
      <c r="B206" s="11" t="s">
        <v>38</v>
      </c>
      <c r="C206" s="29" t="n">
        <v>550380</v>
      </c>
      <c r="D206" s="4" t="s">
        <v>486</v>
      </c>
      <c r="E206" s="4" t="s">
        <v>489</v>
      </c>
      <c r="F206" s="5" t="s">
        <v>359</v>
      </c>
      <c r="G206" s="6" t="n">
        <v>1485</v>
      </c>
      <c r="H206" s="6" t="n">
        <f aca="false">G206</f>
        <v>1485</v>
      </c>
      <c r="I206" s="6" t="n">
        <v>1500</v>
      </c>
      <c r="J206" s="4" t="s">
        <v>490</v>
      </c>
      <c r="K206" s="7" t="n">
        <v>45525</v>
      </c>
      <c r="L206" s="8" t="n">
        <v>47350</v>
      </c>
      <c r="O206" s="8" t="n">
        <v>46620</v>
      </c>
      <c r="P206" s="9" t="n">
        <v>90000</v>
      </c>
      <c r="Q206" s="9" t="n">
        <f aca="false">P206</f>
        <v>90000</v>
      </c>
      <c r="S206" s="9" t="n">
        <v>78000</v>
      </c>
      <c r="T206" s="9" t="n">
        <f aca="false">S206</f>
        <v>78000</v>
      </c>
      <c r="U206" s="9" t="n">
        <v>90000</v>
      </c>
      <c r="V206" s="9" t="n">
        <f aca="false">U206</f>
        <v>90000</v>
      </c>
      <c r="W206" s="45" t="n">
        <f aca="false">U206/G206</f>
        <v>60.6060606060606</v>
      </c>
      <c r="X206" s="41" t="n">
        <f aca="false">SUM(U206-S206)/S206</f>
        <v>0.153846153846154</v>
      </c>
      <c r="Y206" s="9" t="s">
        <v>127</v>
      </c>
      <c r="Z206" s="42"/>
      <c r="AA206" s="524"/>
      <c r="AB206" s="5" t="s">
        <v>43</v>
      </c>
      <c r="AC206" s="4" t="s">
        <v>286</v>
      </c>
      <c r="AF206" s="59"/>
      <c r="AJ206" s="525" t="s">
        <v>1103</v>
      </c>
    </row>
    <row r="207" customFormat="false" ht="15" hidden="false" customHeight="false" outlineLevel="0" collapsed="false">
      <c r="A207" s="11" t="s">
        <v>106</v>
      </c>
      <c r="B207" s="11" t="s">
        <v>38</v>
      </c>
      <c r="C207" s="29" t="n">
        <v>550380</v>
      </c>
      <c r="D207" s="4" t="s">
        <v>486</v>
      </c>
      <c r="E207" s="4" t="s">
        <v>89</v>
      </c>
      <c r="F207" s="5" t="s">
        <v>40</v>
      </c>
      <c r="G207" s="6" t="n">
        <v>1855</v>
      </c>
      <c r="H207" s="6" t="n">
        <f aca="false">G207</f>
        <v>1855</v>
      </c>
      <c r="I207" s="6" t="n">
        <v>2000</v>
      </c>
      <c r="J207" s="4" t="s">
        <v>487</v>
      </c>
      <c r="K207" s="7" t="n">
        <v>44758</v>
      </c>
      <c r="L207" s="8" t="n">
        <v>46583</v>
      </c>
      <c r="P207" s="9" t="n">
        <v>106663</v>
      </c>
      <c r="Q207" s="9" t="n">
        <f aca="false">P207</f>
        <v>106663</v>
      </c>
      <c r="S207" s="9" t="n">
        <v>106700</v>
      </c>
      <c r="T207" s="9" t="n">
        <f aca="false">S207</f>
        <v>106700</v>
      </c>
      <c r="U207" s="9" t="n">
        <v>106700</v>
      </c>
      <c r="V207" s="9" t="n">
        <f aca="false">U207</f>
        <v>106700</v>
      </c>
      <c r="W207" s="45" t="n">
        <f aca="false">U207/G207</f>
        <v>57.5202156334232</v>
      </c>
      <c r="X207" s="41" t="n">
        <f aca="false">SUM(U207-S207)/S207</f>
        <v>0</v>
      </c>
      <c r="Y207" s="9" t="s">
        <v>127</v>
      </c>
      <c r="Z207" s="42"/>
      <c r="AA207" s="524"/>
      <c r="AB207" s="5" t="s">
        <v>43</v>
      </c>
      <c r="AF207" s="59"/>
      <c r="AJ207" s="525" t="s">
        <v>1103</v>
      </c>
    </row>
    <row r="208" customFormat="false" ht="15" hidden="false" customHeight="false" outlineLevel="0" collapsed="false">
      <c r="A208" s="11" t="s">
        <v>106</v>
      </c>
      <c r="B208" s="11" t="s">
        <v>38</v>
      </c>
      <c r="C208" s="29" t="n">
        <v>550380</v>
      </c>
      <c r="D208" s="4" t="s">
        <v>486</v>
      </c>
      <c r="E208" s="4" t="s">
        <v>491</v>
      </c>
      <c r="F208" s="5" t="s">
        <v>40</v>
      </c>
      <c r="G208" s="6" t="n">
        <v>726</v>
      </c>
      <c r="H208" s="6" t="n">
        <f aca="false">G208</f>
        <v>726</v>
      </c>
      <c r="I208" s="6" t="n">
        <v>750</v>
      </c>
      <c r="J208" s="4" t="s">
        <v>487</v>
      </c>
      <c r="K208" s="7" t="n">
        <v>44758</v>
      </c>
      <c r="L208" s="8" t="n">
        <v>46583</v>
      </c>
      <c r="P208" s="9" t="n">
        <v>41975</v>
      </c>
      <c r="Q208" s="9" t="n">
        <f aca="false">P208</f>
        <v>41975</v>
      </c>
      <c r="S208" s="9" t="n">
        <v>41700</v>
      </c>
      <c r="T208" s="9" t="n">
        <f aca="false">S208</f>
        <v>41700</v>
      </c>
      <c r="U208" s="9" t="n">
        <v>41700</v>
      </c>
      <c r="V208" s="9" t="n">
        <f aca="false">U208</f>
        <v>41700</v>
      </c>
      <c r="W208" s="45" t="n">
        <f aca="false">U208/G208</f>
        <v>57.4380165289256</v>
      </c>
      <c r="X208" s="41" t="n">
        <f aca="false">SUM(U208-S208)/S208</f>
        <v>0</v>
      </c>
      <c r="Y208" s="9" t="s">
        <v>127</v>
      </c>
      <c r="Z208" s="42"/>
      <c r="AA208" s="524"/>
      <c r="AB208" s="5" t="s">
        <v>43</v>
      </c>
      <c r="AF208" s="59"/>
      <c r="AJ208" s="525" t="s">
        <v>1103</v>
      </c>
    </row>
    <row r="209" customFormat="false" ht="15" hidden="false" customHeight="false" outlineLevel="0" collapsed="false">
      <c r="A209" s="11" t="s">
        <v>106</v>
      </c>
      <c r="B209" s="11" t="s">
        <v>38</v>
      </c>
      <c r="C209" s="29" t="n">
        <v>550380</v>
      </c>
      <c r="D209" s="4" t="s">
        <v>486</v>
      </c>
      <c r="E209" s="4" t="s">
        <v>492</v>
      </c>
      <c r="F209" s="11" t="s">
        <v>40</v>
      </c>
      <c r="G209" s="6" t="n">
        <v>1220</v>
      </c>
      <c r="H209" s="6" t="n">
        <f aca="false">G209</f>
        <v>1220</v>
      </c>
      <c r="I209" s="6" t="n">
        <v>1250</v>
      </c>
      <c r="J209" s="4" t="s">
        <v>493</v>
      </c>
      <c r="K209" s="7" t="n">
        <v>45438</v>
      </c>
      <c r="L209" s="8" t="n">
        <v>47263</v>
      </c>
      <c r="O209" s="8" t="n">
        <v>46532</v>
      </c>
      <c r="P209" s="9" t="n">
        <v>70200</v>
      </c>
      <c r="Q209" s="9" t="n">
        <f aca="false">P209</f>
        <v>70200</v>
      </c>
      <c r="S209" s="9" t="n">
        <v>70200</v>
      </c>
      <c r="T209" s="9" t="n">
        <f aca="false">S209</f>
        <v>70200</v>
      </c>
      <c r="U209" s="9" t="n">
        <v>70200</v>
      </c>
      <c r="V209" s="9" t="n">
        <f aca="false">U209</f>
        <v>70200</v>
      </c>
      <c r="W209" s="45" t="n">
        <f aca="false">U209/G209</f>
        <v>57.5409836065574</v>
      </c>
      <c r="X209" s="41" t="n">
        <f aca="false">SUM(U209-S209)/S209</f>
        <v>0</v>
      </c>
      <c r="Y209" s="9" t="s">
        <v>60</v>
      </c>
      <c r="Z209" s="42"/>
      <c r="AA209" s="524"/>
      <c r="AB209" s="5" t="s">
        <v>43</v>
      </c>
      <c r="AC209" s="4" t="s">
        <v>494</v>
      </c>
      <c r="AF209" s="59"/>
      <c r="AJ209" s="525" t="s">
        <v>1103</v>
      </c>
    </row>
    <row r="210" customFormat="false" ht="15" hidden="false" customHeight="false" outlineLevel="0" collapsed="false">
      <c r="A210" s="11" t="s">
        <v>106</v>
      </c>
      <c r="B210" s="11" t="s">
        <v>38</v>
      </c>
      <c r="C210" s="29" t="n">
        <v>550380</v>
      </c>
      <c r="D210" s="4" t="s">
        <v>486</v>
      </c>
      <c r="E210" s="4" t="s">
        <v>94</v>
      </c>
      <c r="F210" s="5" t="s">
        <v>40</v>
      </c>
      <c r="G210" s="6" t="n">
        <v>1963</v>
      </c>
      <c r="H210" s="6" t="n">
        <f aca="false">G210</f>
        <v>1963</v>
      </c>
      <c r="I210" s="6" t="n">
        <v>2000</v>
      </c>
      <c r="J210" s="4" t="s">
        <v>487</v>
      </c>
      <c r="K210" s="7" t="n">
        <v>44758</v>
      </c>
      <c r="L210" s="8" t="n">
        <v>46583</v>
      </c>
      <c r="P210" s="9" t="n">
        <v>107965</v>
      </c>
      <c r="Q210" s="9" t="n">
        <f aca="false">P210</f>
        <v>107965</v>
      </c>
      <c r="S210" s="9" t="n">
        <v>108000</v>
      </c>
      <c r="T210" s="9" t="n">
        <f aca="false">S210</f>
        <v>108000</v>
      </c>
      <c r="U210" s="9" t="n">
        <v>108000</v>
      </c>
      <c r="V210" s="9" t="n">
        <f aca="false">U210</f>
        <v>108000</v>
      </c>
      <c r="W210" s="45" t="n">
        <f aca="false">U210/G210</f>
        <v>55.0178298522669</v>
      </c>
      <c r="X210" s="41" t="n">
        <f aca="false">SUM(U210-S210)/S210</f>
        <v>0</v>
      </c>
      <c r="Y210" s="9" t="s">
        <v>127</v>
      </c>
      <c r="Z210" s="42"/>
      <c r="AA210" s="524"/>
      <c r="AB210" s="5" t="s">
        <v>43</v>
      </c>
      <c r="AF210" s="59"/>
      <c r="AJ210" s="525" t="s">
        <v>1103</v>
      </c>
    </row>
    <row r="211" customFormat="false" ht="15" hidden="false" customHeight="false" outlineLevel="0" collapsed="false">
      <c r="A211" s="11" t="s">
        <v>106</v>
      </c>
      <c r="B211" s="11" t="s">
        <v>38</v>
      </c>
      <c r="C211" s="29" t="n">
        <v>550380</v>
      </c>
      <c r="D211" s="4" t="s">
        <v>486</v>
      </c>
      <c r="E211" s="4" t="s">
        <v>495</v>
      </c>
      <c r="F211" s="5" t="s">
        <v>40</v>
      </c>
      <c r="G211" s="6" t="n">
        <v>94</v>
      </c>
      <c r="H211" s="6" t="n">
        <f aca="false">G211</f>
        <v>94</v>
      </c>
      <c r="I211" s="6" t="n">
        <v>100</v>
      </c>
      <c r="J211" s="4" t="s">
        <v>496</v>
      </c>
      <c r="K211" s="7" t="n">
        <v>45735</v>
      </c>
      <c r="L211" s="8" t="n">
        <v>47560</v>
      </c>
      <c r="P211" s="9" t="n">
        <v>7200</v>
      </c>
      <c r="Q211" s="9" t="n">
        <f aca="false">P211</f>
        <v>7200</v>
      </c>
      <c r="S211" s="9" t="n">
        <v>5410</v>
      </c>
      <c r="T211" s="9" t="n">
        <f aca="false">S211</f>
        <v>5410</v>
      </c>
      <c r="U211" s="9" t="n">
        <v>5410</v>
      </c>
      <c r="V211" s="9" t="n">
        <f aca="false">U211</f>
        <v>5410</v>
      </c>
      <c r="W211" s="45" t="n">
        <f aca="false">U211/G211</f>
        <v>57.5531914893617</v>
      </c>
      <c r="X211" s="41" t="n">
        <f aca="false">SUM(U211-S211)/S211</f>
        <v>0</v>
      </c>
      <c r="Y211" s="9" t="s">
        <v>127</v>
      </c>
      <c r="Z211" s="42" t="s">
        <v>26</v>
      </c>
      <c r="AA211" s="524"/>
      <c r="AB211" s="5" t="s">
        <v>43</v>
      </c>
      <c r="AC211" s="4" t="s">
        <v>497</v>
      </c>
      <c r="AF211" s="59"/>
      <c r="AJ211" s="525" t="s">
        <v>1103</v>
      </c>
    </row>
    <row r="212" customFormat="false" ht="15" hidden="false" customHeight="false" outlineLevel="0" collapsed="false">
      <c r="A212" s="11" t="s">
        <v>106</v>
      </c>
      <c r="B212" s="11" t="s">
        <v>38</v>
      </c>
      <c r="C212" s="29" t="n">
        <v>550380</v>
      </c>
      <c r="D212" s="4" t="s">
        <v>486</v>
      </c>
      <c r="E212" s="4" t="s">
        <v>498</v>
      </c>
      <c r="F212" s="5" t="s">
        <v>40</v>
      </c>
      <c r="G212" s="6" t="n">
        <v>284</v>
      </c>
      <c r="H212" s="6" t="n">
        <f aca="false">G212</f>
        <v>284</v>
      </c>
      <c r="I212" s="6" t="n">
        <v>250</v>
      </c>
      <c r="J212" s="4" t="s">
        <v>67</v>
      </c>
      <c r="M212" s="8" t="n">
        <v>43909</v>
      </c>
      <c r="P212" s="9" t="n">
        <v>0</v>
      </c>
      <c r="Q212" s="9" t="n">
        <f aca="false">P212</f>
        <v>0</v>
      </c>
      <c r="S212" s="9" t="n">
        <v>16300</v>
      </c>
      <c r="T212" s="9" t="n">
        <f aca="false">S212</f>
        <v>16300</v>
      </c>
      <c r="U212" s="9" t="n">
        <v>16300</v>
      </c>
      <c r="V212" s="9" t="n">
        <f aca="false">U212</f>
        <v>16300</v>
      </c>
      <c r="W212" s="45" t="n">
        <f aca="false">U212/G212</f>
        <v>57.3943661971831</v>
      </c>
      <c r="X212" s="41" t="n">
        <f aca="false">SUM(U212-S212)/S212</f>
        <v>0</v>
      </c>
      <c r="Y212" s="9" t="s">
        <v>127</v>
      </c>
      <c r="Z212" s="42" t="s">
        <v>26</v>
      </c>
      <c r="AA212" s="524"/>
      <c r="AB212" s="5"/>
      <c r="AC212" s="4" t="s">
        <v>119</v>
      </c>
      <c r="AE212" s="4" t="n">
        <v>1</v>
      </c>
      <c r="AF212" s="59" t="n">
        <v>2</v>
      </c>
      <c r="AJ212" s="525" t="s">
        <v>1104</v>
      </c>
    </row>
    <row r="213" customFormat="false" ht="15" hidden="false" customHeight="false" outlineLevel="0" collapsed="false">
      <c r="A213" s="11" t="s">
        <v>106</v>
      </c>
      <c r="B213" s="11" t="s">
        <v>38</v>
      </c>
      <c r="C213" s="29" t="n">
        <v>550380</v>
      </c>
      <c r="D213" s="4" t="s">
        <v>486</v>
      </c>
      <c r="E213" s="4" t="s">
        <v>499</v>
      </c>
      <c r="F213" s="5" t="s">
        <v>40</v>
      </c>
      <c r="G213" s="6" t="n">
        <v>619</v>
      </c>
      <c r="H213" s="6" t="n">
        <f aca="false">G213</f>
        <v>619</v>
      </c>
      <c r="I213" s="6" t="n">
        <v>500</v>
      </c>
      <c r="J213" s="4" t="s">
        <v>67</v>
      </c>
      <c r="M213" s="8" t="n">
        <v>45678</v>
      </c>
      <c r="P213" s="9" t="n">
        <v>0</v>
      </c>
      <c r="Q213" s="9" t="n">
        <f aca="false">P213</f>
        <v>0</v>
      </c>
      <c r="S213" s="9" t="n">
        <v>35600</v>
      </c>
      <c r="T213" s="9" t="n">
        <f aca="false">S213</f>
        <v>35600</v>
      </c>
      <c r="U213" s="9" t="n">
        <v>35600</v>
      </c>
      <c r="V213" s="9" t="n">
        <f aca="false">U213</f>
        <v>35600</v>
      </c>
      <c r="W213" s="45" t="n">
        <f aca="false">U213/G213</f>
        <v>57.5121163166397</v>
      </c>
      <c r="X213" s="41" t="n">
        <f aca="false">SUM(U213-S213)/S213</f>
        <v>0</v>
      </c>
      <c r="Y213" s="9" t="s">
        <v>127</v>
      </c>
      <c r="Z213" s="42"/>
      <c r="AA213" s="524"/>
      <c r="AB213" s="5" t="s">
        <v>43</v>
      </c>
      <c r="AC213" s="4" t="s">
        <v>68</v>
      </c>
      <c r="AF213" s="59"/>
      <c r="AJ213" s="525" t="s">
        <v>1104</v>
      </c>
    </row>
    <row r="214" customFormat="false" ht="15" hidden="false" customHeight="false" outlineLevel="0" collapsed="false">
      <c r="A214" s="11" t="s">
        <v>106</v>
      </c>
      <c r="B214" s="11" t="s">
        <v>38</v>
      </c>
      <c r="C214" s="29" t="n">
        <v>550380</v>
      </c>
      <c r="D214" s="4" t="s">
        <v>486</v>
      </c>
      <c r="E214" s="4" t="s">
        <v>500</v>
      </c>
      <c r="F214" s="5" t="s">
        <v>40</v>
      </c>
      <c r="G214" s="6" t="n">
        <v>653</v>
      </c>
      <c r="H214" s="6" t="n">
        <f aca="false">G214</f>
        <v>653</v>
      </c>
      <c r="I214" s="6" t="n">
        <v>750</v>
      </c>
      <c r="J214" s="4" t="s">
        <v>67</v>
      </c>
      <c r="M214" s="8" t="n">
        <v>44555</v>
      </c>
      <c r="P214" s="9" t="n">
        <v>0</v>
      </c>
      <c r="Q214" s="9" t="n">
        <f aca="false">P214</f>
        <v>0</v>
      </c>
      <c r="S214" s="9" t="n">
        <v>37500</v>
      </c>
      <c r="T214" s="9" t="n">
        <f aca="false">S214</f>
        <v>37500</v>
      </c>
      <c r="U214" s="9" t="n">
        <v>37500</v>
      </c>
      <c r="V214" s="9" t="n">
        <f aca="false">U214</f>
        <v>37500</v>
      </c>
      <c r="W214" s="45" t="n">
        <f aca="false">U214/G214</f>
        <v>57.427258805513</v>
      </c>
      <c r="X214" s="41" t="n">
        <f aca="false">SUM(U214-S214)/S214</f>
        <v>0</v>
      </c>
      <c r="Y214" s="9" t="s">
        <v>127</v>
      </c>
      <c r="Z214" s="42"/>
      <c r="AA214" s="524"/>
      <c r="AB214" s="5" t="s">
        <v>43</v>
      </c>
      <c r="AC214" s="4" t="s">
        <v>119</v>
      </c>
      <c r="AD214" s="15" t="n">
        <v>62.5</v>
      </c>
      <c r="AE214" s="4" t="n">
        <v>2</v>
      </c>
      <c r="AF214" s="59" t="n">
        <v>3</v>
      </c>
      <c r="AG214" s="4" t="s">
        <v>57</v>
      </c>
      <c r="AJ214" s="525" t="s">
        <v>1104</v>
      </c>
    </row>
    <row r="215" customFormat="false" ht="28.35" hidden="false" customHeight="false" outlineLevel="0" collapsed="false">
      <c r="A215" s="11" t="s">
        <v>106</v>
      </c>
      <c r="B215" s="11" t="s">
        <v>38</v>
      </c>
      <c r="C215" s="29" t="n">
        <v>550950</v>
      </c>
      <c r="D215" s="4" t="s">
        <v>502</v>
      </c>
      <c r="E215" s="4" t="s">
        <v>442</v>
      </c>
      <c r="F215" s="5" t="s">
        <v>40</v>
      </c>
      <c r="G215" s="6" t="n">
        <v>2370</v>
      </c>
      <c r="H215" s="6" t="n">
        <f aca="false">G215</f>
        <v>2370</v>
      </c>
      <c r="J215" s="4" t="s">
        <v>449</v>
      </c>
      <c r="K215" s="7" t="n">
        <v>43794</v>
      </c>
      <c r="L215" s="8" t="n">
        <v>47446</v>
      </c>
      <c r="N215" s="8" t="n">
        <v>45621</v>
      </c>
      <c r="P215" s="9" t="n">
        <v>104885</v>
      </c>
      <c r="Q215" s="9" t="n">
        <f aca="false">P215</f>
        <v>104885</v>
      </c>
      <c r="S215" s="9" t="n">
        <v>100700</v>
      </c>
      <c r="T215" s="9" t="n">
        <f aca="false">S215</f>
        <v>100700</v>
      </c>
      <c r="U215" s="9" t="n">
        <v>100700</v>
      </c>
      <c r="V215" s="9" t="n">
        <f aca="false">U215</f>
        <v>100700</v>
      </c>
      <c r="W215" s="45" t="n">
        <f aca="false">U215/G215</f>
        <v>42.4894514767933</v>
      </c>
      <c r="X215" s="41" t="n">
        <f aca="false">SUM(U215-S215)/S215</f>
        <v>0</v>
      </c>
      <c r="Y215" s="9" t="s">
        <v>60</v>
      </c>
      <c r="Z215" s="42"/>
      <c r="AA215" s="44"/>
      <c r="AB215" s="5" t="s">
        <v>43</v>
      </c>
      <c r="AC215" s="4" t="s">
        <v>503</v>
      </c>
      <c r="AF215" s="59"/>
      <c r="AJ215" s="525" t="s">
        <v>1103</v>
      </c>
    </row>
    <row r="216" customFormat="false" ht="15" hidden="false" customHeight="false" outlineLevel="0" collapsed="false">
      <c r="A216" s="11" t="s">
        <v>106</v>
      </c>
      <c r="B216" s="11" t="s">
        <v>38</v>
      </c>
      <c r="C216" s="29" t="n">
        <v>550950</v>
      </c>
      <c r="D216" s="4" t="s">
        <v>502</v>
      </c>
      <c r="E216" s="4" t="s">
        <v>89</v>
      </c>
      <c r="F216" s="5" t="s">
        <v>40</v>
      </c>
      <c r="G216" s="6" t="n">
        <v>980</v>
      </c>
      <c r="H216" s="6" t="n">
        <f aca="false">G216</f>
        <v>980</v>
      </c>
      <c r="I216" s="6" t="n">
        <v>1000</v>
      </c>
      <c r="J216" s="4" t="s">
        <v>67</v>
      </c>
      <c r="M216" s="8" t="n">
        <v>43323</v>
      </c>
      <c r="P216" s="9" t="n">
        <v>0</v>
      </c>
      <c r="Q216" s="9" t="n">
        <f aca="false">P216</f>
        <v>0</v>
      </c>
      <c r="S216" s="9" t="n">
        <v>53900</v>
      </c>
      <c r="T216" s="9" t="n">
        <f aca="false">S216</f>
        <v>53900</v>
      </c>
      <c r="U216" s="9" t="n">
        <v>56400</v>
      </c>
      <c r="V216" s="9" t="n">
        <f aca="false">U216</f>
        <v>56400</v>
      </c>
      <c r="W216" s="45" t="n">
        <f aca="false">U216/G216</f>
        <v>57.5510204081633</v>
      </c>
      <c r="X216" s="41" t="n">
        <f aca="false">SUM(U216-S216)/S216</f>
        <v>0.0463821892393321</v>
      </c>
      <c r="Y216" s="9" t="s">
        <v>60</v>
      </c>
      <c r="Z216" s="42"/>
      <c r="AA216" s="44"/>
      <c r="AB216" s="5" t="s">
        <v>43</v>
      </c>
      <c r="AC216" s="4" t="s">
        <v>114</v>
      </c>
      <c r="AD216" s="15" t="n">
        <v>61.5</v>
      </c>
      <c r="AE216" s="4" t="n">
        <v>4</v>
      </c>
      <c r="AF216" s="59" t="n">
        <v>6</v>
      </c>
      <c r="AJ216" s="525" t="s">
        <v>1104</v>
      </c>
    </row>
    <row r="217" customFormat="false" ht="15" hidden="false" customHeight="false" outlineLevel="0" collapsed="false">
      <c r="A217" s="11" t="s">
        <v>106</v>
      </c>
      <c r="B217" s="11" t="s">
        <v>38</v>
      </c>
      <c r="C217" s="29" t="n">
        <v>550950</v>
      </c>
      <c r="D217" s="4" t="s">
        <v>502</v>
      </c>
      <c r="E217" s="4" t="s">
        <v>93</v>
      </c>
      <c r="F217" s="5" t="s">
        <v>40</v>
      </c>
      <c r="G217" s="6" t="n">
        <v>980</v>
      </c>
      <c r="H217" s="6" t="n">
        <f aca="false">G217</f>
        <v>980</v>
      </c>
      <c r="I217" s="6" t="n">
        <v>1000</v>
      </c>
      <c r="J217" s="4" t="s">
        <v>504</v>
      </c>
      <c r="K217" s="7" t="n">
        <v>45210</v>
      </c>
      <c r="L217" s="8" t="n">
        <v>46305</v>
      </c>
      <c r="P217" s="9" t="n">
        <v>52800</v>
      </c>
      <c r="Q217" s="9" t="n">
        <f aca="false">P217</f>
        <v>52800</v>
      </c>
      <c r="S217" s="9" t="n">
        <v>53900</v>
      </c>
      <c r="T217" s="9" t="n">
        <f aca="false">S217</f>
        <v>53900</v>
      </c>
      <c r="U217" s="9" t="n">
        <v>56400</v>
      </c>
      <c r="V217" s="9" t="n">
        <f aca="false">U217</f>
        <v>56400</v>
      </c>
      <c r="W217" s="45" t="n">
        <f aca="false">U217/G217</f>
        <v>57.5510204081633</v>
      </c>
      <c r="X217" s="41" t="n">
        <f aca="false">SUM(U217-S217)/S217</f>
        <v>0.0463821892393321</v>
      </c>
      <c r="Y217" s="9" t="s">
        <v>127</v>
      </c>
      <c r="Z217" s="42"/>
      <c r="AA217" s="44"/>
      <c r="AB217" s="5" t="s">
        <v>43</v>
      </c>
      <c r="AF217" s="59"/>
      <c r="AJ217" s="525" t="s">
        <v>1103</v>
      </c>
    </row>
    <row r="218" customFormat="false" ht="15" hidden="false" customHeight="false" outlineLevel="0" collapsed="false">
      <c r="A218" s="11" t="s">
        <v>106</v>
      </c>
      <c r="B218" s="11" t="s">
        <v>38</v>
      </c>
      <c r="C218" s="29" t="n">
        <v>550950</v>
      </c>
      <c r="D218" s="4" t="s">
        <v>502</v>
      </c>
      <c r="E218" s="4" t="s">
        <v>94</v>
      </c>
      <c r="F218" s="5" t="s">
        <v>40</v>
      </c>
      <c r="G218" s="6" t="n">
        <v>836</v>
      </c>
      <c r="H218" s="6" t="n">
        <f aca="false">G218</f>
        <v>836</v>
      </c>
      <c r="I218" s="6" t="n">
        <v>1000</v>
      </c>
      <c r="J218" s="4" t="s">
        <v>505</v>
      </c>
      <c r="K218" s="7" t="n">
        <v>44869</v>
      </c>
      <c r="L218" s="8" t="n">
        <v>46694</v>
      </c>
      <c r="O218" s="8" t="n">
        <v>45964</v>
      </c>
      <c r="P218" s="9" t="n">
        <v>48300</v>
      </c>
      <c r="Q218" s="9" t="n">
        <f aca="false">P218</f>
        <v>48300</v>
      </c>
      <c r="S218" s="9" t="n">
        <v>46000</v>
      </c>
      <c r="T218" s="9" t="n">
        <f aca="false">S218</f>
        <v>46000</v>
      </c>
      <c r="U218" s="9" t="n">
        <v>48100</v>
      </c>
      <c r="V218" s="9" t="n">
        <f aca="false">U218</f>
        <v>48100</v>
      </c>
      <c r="W218" s="45" t="n">
        <f aca="false">U218/G218</f>
        <v>57.5358851674641</v>
      </c>
      <c r="X218" s="41" t="n">
        <f aca="false">SUM(U218-S218)/S218</f>
        <v>0.0456521739130435</v>
      </c>
      <c r="Y218" s="9" t="s">
        <v>127</v>
      </c>
      <c r="Z218" s="42"/>
      <c r="AA218" s="44"/>
      <c r="AB218" s="5" t="s">
        <v>43</v>
      </c>
      <c r="AC218" s="4" t="s">
        <v>77</v>
      </c>
      <c r="AF218" s="59"/>
      <c r="AJ218" s="525" t="s">
        <v>1103</v>
      </c>
    </row>
    <row r="219" customFormat="false" ht="15" hidden="false" customHeight="false" outlineLevel="0" collapsed="false">
      <c r="A219" s="11" t="s">
        <v>106</v>
      </c>
      <c r="B219" s="11" t="s">
        <v>38</v>
      </c>
      <c r="C219" s="29" t="n">
        <v>550950</v>
      </c>
      <c r="D219" s="4" t="s">
        <v>502</v>
      </c>
      <c r="E219" s="4" t="s">
        <v>118</v>
      </c>
      <c r="F219" s="5" t="s">
        <v>40</v>
      </c>
      <c r="G219" s="6" t="n">
        <v>830</v>
      </c>
      <c r="H219" s="6" t="n">
        <f aca="false">G219</f>
        <v>830</v>
      </c>
      <c r="I219" s="6" t="n">
        <v>1000</v>
      </c>
      <c r="J219" s="4" t="s">
        <v>505</v>
      </c>
      <c r="K219" s="7" t="n">
        <v>45436</v>
      </c>
      <c r="L219" s="8" t="n">
        <v>46694</v>
      </c>
      <c r="O219" s="8" t="n">
        <v>45964</v>
      </c>
      <c r="P219" s="9" t="n">
        <v>47725</v>
      </c>
      <c r="Q219" s="9" t="n">
        <f aca="false">P219</f>
        <v>47725</v>
      </c>
      <c r="S219" s="9" t="n">
        <v>45700</v>
      </c>
      <c r="T219" s="9" t="n">
        <f aca="false">S219</f>
        <v>45700</v>
      </c>
      <c r="U219" s="9" t="n">
        <v>47700</v>
      </c>
      <c r="V219" s="9" t="n">
        <f aca="false">U219</f>
        <v>47700</v>
      </c>
      <c r="W219" s="45" t="n">
        <f aca="false">U219/G219</f>
        <v>57.4698795180723</v>
      </c>
      <c r="X219" s="41" t="n">
        <f aca="false">SUM(U219-S219)/S219</f>
        <v>0.0437636761487965</v>
      </c>
      <c r="Y219" s="9" t="s">
        <v>60</v>
      </c>
      <c r="Z219" s="42"/>
      <c r="AA219" s="44"/>
      <c r="AB219" s="5" t="s">
        <v>43</v>
      </c>
      <c r="AC219" s="4" t="s">
        <v>77</v>
      </c>
      <c r="AF219" s="59"/>
      <c r="AJ219" s="525" t="s">
        <v>1103</v>
      </c>
    </row>
    <row r="220" customFormat="false" ht="15" hidden="false" customHeight="false" outlineLevel="0" collapsed="false">
      <c r="A220" s="11" t="s">
        <v>106</v>
      </c>
      <c r="B220" s="11" t="s">
        <v>38</v>
      </c>
      <c r="C220" s="29" t="n">
        <v>550950</v>
      </c>
      <c r="D220" s="4" t="s">
        <v>502</v>
      </c>
      <c r="E220" s="4" t="s">
        <v>180</v>
      </c>
      <c r="F220" s="5" t="s">
        <v>40</v>
      </c>
      <c r="G220" s="6" t="n">
        <v>685</v>
      </c>
      <c r="H220" s="6" t="n">
        <f aca="false">G220</f>
        <v>685</v>
      </c>
      <c r="I220" s="6" t="n">
        <v>750</v>
      </c>
      <c r="J220" s="4" t="s">
        <v>67</v>
      </c>
      <c r="M220" s="8" t="n">
        <v>45627</v>
      </c>
      <c r="P220" s="9" t="n">
        <v>0</v>
      </c>
      <c r="Q220" s="9" t="n">
        <f aca="false">P220</f>
        <v>0</v>
      </c>
      <c r="S220" s="9" t="n">
        <v>37700</v>
      </c>
      <c r="T220" s="9" t="n">
        <f aca="false">S220</f>
        <v>37700</v>
      </c>
      <c r="U220" s="9" t="n">
        <v>39400</v>
      </c>
      <c r="V220" s="9" t="n">
        <f aca="false">U220</f>
        <v>39400</v>
      </c>
      <c r="W220" s="45" t="n">
        <f aca="false">U220/G220</f>
        <v>57.5182481751825</v>
      </c>
      <c r="X220" s="41" t="n">
        <f aca="false">SUM(U220-S220)/S220</f>
        <v>0.0450928381962865</v>
      </c>
      <c r="Y220" s="9" t="s">
        <v>127</v>
      </c>
      <c r="Z220" s="42"/>
      <c r="AA220" s="44"/>
      <c r="AB220" s="5" t="s">
        <v>43</v>
      </c>
      <c r="AC220" s="4" t="s">
        <v>68</v>
      </c>
      <c r="AF220" s="59"/>
      <c r="AJ220" s="525" t="s">
        <v>1104</v>
      </c>
    </row>
    <row r="221" customFormat="false" ht="28.35" hidden="false" customHeight="false" outlineLevel="0" collapsed="false">
      <c r="A221" s="11" t="s">
        <v>106</v>
      </c>
      <c r="B221" s="11" t="s">
        <v>38</v>
      </c>
      <c r="C221" s="29" t="n">
        <v>550730</v>
      </c>
      <c r="D221" s="4" t="s">
        <v>506</v>
      </c>
      <c r="E221" s="4" t="s">
        <v>112</v>
      </c>
      <c r="F221" s="5" t="s">
        <v>237</v>
      </c>
      <c r="G221" s="6" t="n">
        <v>1946</v>
      </c>
      <c r="H221" s="6" t="n">
        <f aca="false">G221</f>
        <v>1946</v>
      </c>
      <c r="I221" s="6" t="n">
        <v>2000</v>
      </c>
      <c r="J221" s="4" t="s">
        <v>507</v>
      </c>
      <c r="K221" s="7" t="n">
        <v>45457</v>
      </c>
      <c r="L221" s="8" t="n">
        <v>47282</v>
      </c>
      <c r="O221" s="8" t="n">
        <v>46186</v>
      </c>
      <c r="P221" s="9" t="n">
        <v>94417</v>
      </c>
      <c r="Q221" s="9" t="n">
        <f aca="false">P221</f>
        <v>94417</v>
      </c>
      <c r="S221" s="9" t="n">
        <v>86800</v>
      </c>
      <c r="T221" s="9" t="n">
        <f aca="false">S221</f>
        <v>86800</v>
      </c>
      <c r="U221" s="9" t="n">
        <v>94417</v>
      </c>
      <c r="V221" s="9" t="n">
        <f aca="false">U221</f>
        <v>94417</v>
      </c>
      <c r="W221" s="45" t="n">
        <f aca="false">U221/G221</f>
        <v>48.5184994861254</v>
      </c>
      <c r="X221" s="41" t="n">
        <f aca="false">SUM(U221-S221)/S221</f>
        <v>0.0877534562211982</v>
      </c>
      <c r="Y221" s="9" t="s">
        <v>127</v>
      </c>
      <c r="Z221" s="42"/>
      <c r="AA221" s="524"/>
      <c r="AB221" s="5" t="s">
        <v>43</v>
      </c>
      <c r="AC221" s="4" t="s">
        <v>508</v>
      </c>
      <c r="AF221" s="59"/>
      <c r="AJ221" s="525" t="s">
        <v>1103</v>
      </c>
    </row>
    <row r="222" customFormat="false" ht="15" hidden="false" customHeight="false" outlineLevel="0" collapsed="false">
      <c r="A222" s="11" t="s">
        <v>106</v>
      </c>
      <c r="B222" s="11" t="s">
        <v>38</v>
      </c>
      <c r="C222" s="29" t="n">
        <v>550730</v>
      </c>
      <c r="D222" s="4" t="s">
        <v>506</v>
      </c>
      <c r="E222" s="4" t="s">
        <v>89</v>
      </c>
      <c r="F222" s="5" t="s">
        <v>40</v>
      </c>
      <c r="G222" s="6" t="n">
        <v>804</v>
      </c>
      <c r="H222" s="6" t="n">
        <f aca="false">G222</f>
        <v>804</v>
      </c>
      <c r="I222" s="6" t="n">
        <v>750</v>
      </c>
      <c r="J222" s="4" t="s">
        <v>67</v>
      </c>
      <c r="M222" s="8" t="n">
        <v>43132</v>
      </c>
      <c r="P222" s="9" t="n">
        <v>0</v>
      </c>
      <c r="Q222" s="9" t="n">
        <f aca="false">P222</f>
        <v>0</v>
      </c>
      <c r="S222" s="9" t="n">
        <v>44200</v>
      </c>
      <c r="T222" s="9" t="n">
        <f aca="false">S222</f>
        <v>44200</v>
      </c>
      <c r="U222" s="9" t="n">
        <v>46200</v>
      </c>
      <c r="V222" s="9" t="n">
        <f aca="false">U222</f>
        <v>46200</v>
      </c>
      <c r="W222" s="45" t="n">
        <f aca="false">U222/G222</f>
        <v>57.4626865671642</v>
      </c>
      <c r="X222" s="41" t="n">
        <f aca="false">SUM(U222-S222)/S222</f>
        <v>0.0452488687782805</v>
      </c>
      <c r="Y222" s="9" t="s">
        <v>127</v>
      </c>
      <c r="Z222" s="42"/>
      <c r="AA222" s="524"/>
      <c r="AB222" s="5" t="s">
        <v>43</v>
      </c>
      <c r="AC222" s="4" t="s">
        <v>119</v>
      </c>
      <c r="AD222" s="15" t="n">
        <v>62.5</v>
      </c>
      <c r="AE222" s="4" t="n">
        <v>1</v>
      </c>
      <c r="AF222" s="59" t="n">
        <v>3</v>
      </c>
      <c r="AG222" s="4" t="s">
        <v>57</v>
      </c>
      <c r="AJ222" s="525" t="s">
        <v>1104</v>
      </c>
    </row>
    <row r="223" customFormat="false" ht="15" hidden="false" customHeight="false" outlineLevel="0" collapsed="false">
      <c r="A223" s="11" t="s">
        <v>106</v>
      </c>
      <c r="B223" s="11" t="s">
        <v>38</v>
      </c>
      <c r="C223" s="29" t="n">
        <v>550730</v>
      </c>
      <c r="D223" s="4" t="s">
        <v>506</v>
      </c>
      <c r="E223" s="4" t="s">
        <v>93</v>
      </c>
      <c r="F223" s="5" t="s">
        <v>40</v>
      </c>
      <c r="G223" s="6" t="n">
        <v>813</v>
      </c>
      <c r="H223" s="6" t="n">
        <f aca="false">G223</f>
        <v>813</v>
      </c>
      <c r="I223" s="6" t="n">
        <v>750</v>
      </c>
      <c r="J223" s="4" t="s">
        <v>67</v>
      </c>
      <c r="M223" s="8" t="n">
        <v>42819</v>
      </c>
      <c r="P223" s="9" t="n">
        <v>0</v>
      </c>
      <c r="Q223" s="9" t="n">
        <f aca="false">P223</f>
        <v>0</v>
      </c>
      <c r="R223" s="96"/>
      <c r="S223" s="9" t="n">
        <v>44700</v>
      </c>
      <c r="T223" s="9" t="n">
        <f aca="false">S223</f>
        <v>44700</v>
      </c>
      <c r="U223" s="9" t="n">
        <v>46700</v>
      </c>
      <c r="V223" s="9" t="n">
        <f aca="false">U223</f>
        <v>46700</v>
      </c>
      <c r="W223" s="45" t="n">
        <f aca="false">U223/G223</f>
        <v>57.4415744157442</v>
      </c>
      <c r="X223" s="41" t="n">
        <f aca="false">SUM(U223-S223)/S223</f>
        <v>0.0447427293064877</v>
      </c>
      <c r="Y223" s="9" t="s">
        <v>127</v>
      </c>
      <c r="Z223" s="42"/>
      <c r="AA223" s="524"/>
      <c r="AB223" s="5" t="s">
        <v>43</v>
      </c>
      <c r="AC223" s="4" t="s">
        <v>119</v>
      </c>
      <c r="AD223" s="15" t="n">
        <v>62.5</v>
      </c>
      <c r="AF223" s="59" t="n">
        <v>2</v>
      </c>
      <c r="AG223" s="4" t="s">
        <v>57</v>
      </c>
      <c r="AJ223" s="525" t="s">
        <v>1104</v>
      </c>
    </row>
    <row r="224" customFormat="false" ht="15" hidden="false" customHeight="false" outlineLevel="0" collapsed="false">
      <c r="A224" s="11" t="s">
        <v>106</v>
      </c>
      <c r="B224" s="11" t="s">
        <v>38</v>
      </c>
      <c r="C224" s="29" t="n">
        <v>550730</v>
      </c>
      <c r="D224" s="4" t="s">
        <v>506</v>
      </c>
      <c r="E224" s="4" t="s">
        <v>94</v>
      </c>
      <c r="F224" s="5" t="s">
        <v>40</v>
      </c>
      <c r="G224" s="6" t="n">
        <v>791</v>
      </c>
      <c r="H224" s="6" t="n">
        <f aca="false">G224</f>
        <v>791</v>
      </c>
      <c r="I224" s="6" t="n">
        <v>750</v>
      </c>
      <c r="J224" s="4" t="s">
        <v>509</v>
      </c>
      <c r="K224" s="7" t="n">
        <v>45533</v>
      </c>
      <c r="L224" s="8" t="n">
        <v>47358</v>
      </c>
      <c r="P224" s="9" t="n">
        <v>46273</v>
      </c>
      <c r="Q224" s="9" t="n">
        <f aca="false">P224</f>
        <v>46273</v>
      </c>
      <c r="S224" s="9" t="n">
        <v>43500</v>
      </c>
      <c r="T224" s="9" t="n">
        <f aca="false">S224</f>
        <v>43500</v>
      </c>
      <c r="U224" s="9" t="n">
        <v>45500</v>
      </c>
      <c r="V224" s="9" t="n">
        <f aca="false">U224</f>
        <v>45500</v>
      </c>
      <c r="W224" s="45" t="n">
        <f aca="false">U224/G224</f>
        <v>57.5221238938053</v>
      </c>
      <c r="X224" s="41" t="n">
        <f aca="false">SUM(U224-S224)/S224</f>
        <v>0.0459770114942529</v>
      </c>
      <c r="Y224" s="9" t="s">
        <v>127</v>
      </c>
      <c r="Z224" s="42"/>
      <c r="AA224" s="524"/>
      <c r="AB224" s="5" t="s">
        <v>43</v>
      </c>
      <c r="AE224" s="60"/>
      <c r="AF224" s="62"/>
      <c r="AG224" s="60"/>
      <c r="AJ224" s="525" t="s">
        <v>1103</v>
      </c>
    </row>
    <row r="225" customFormat="false" ht="15" hidden="false" customHeight="false" outlineLevel="0" collapsed="false">
      <c r="A225" s="11" t="s">
        <v>106</v>
      </c>
      <c r="B225" s="11" t="s">
        <v>38</v>
      </c>
      <c r="C225" s="29" t="n">
        <v>550730</v>
      </c>
      <c r="D225" s="4" t="s">
        <v>506</v>
      </c>
      <c r="E225" s="4" t="s">
        <v>118</v>
      </c>
      <c r="F225" s="5" t="s">
        <v>40</v>
      </c>
      <c r="G225" s="6" t="n">
        <v>797</v>
      </c>
      <c r="H225" s="6" t="n">
        <f aca="false">G225</f>
        <v>797</v>
      </c>
      <c r="I225" s="6" t="n">
        <v>750</v>
      </c>
      <c r="J225" s="4" t="s">
        <v>67</v>
      </c>
      <c r="M225" s="8" t="n">
        <v>44439</v>
      </c>
      <c r="P225" s="9" t="n">
        <v>0</v>
      </c>
      <c r="Q225" s="9" t="n">
        <f aca="false">P225</f>
        <v>0</v>
      </c>
      <c r="S225" s="9" t="n">
        <v>43800</v>
      </c>
      <c r="T225" s="9" t="n">
        <f aca="false">S225</f>
        <v>43800</v>
      </c>
      <c r="U225" s="9" t="n">
        <v>45800</v>
      </c>
      <c r="V225" s="9" t="n">
        <f aca="false">U225</f>
        <v>45800</v>
      </c>
      <c r="W225" s="45" t="n">
        <f aca="false">U225/G225</f>
        <v>57.465495608532</v>
      </c>
      <c r="X225" s="41" t="n">
        <f aca="false">SUM(U225-S225)/S225</f>
        <v>0.045662100456621</v>
      </c>
      <c r="Y225" s="9" t="s">
        <v>127</v>
      </c>
      <c r="Z225" s="42"/>
      <c r="AA225" s="524"/>
      <c r="AB225" s="5" t="s">
        <v>43</v>
      </c>
      <c r="AC225" s="4" t="s">
        <v>119</v>
      </c>
      <c r="AD225" s="15" t="n">
        <v>62.5</v>
      </c>
      <c r="AF225" s="59" t="n">
        <v>2</v>
      </c>
      <c r="AG225" s="4" t="s">
        <v>57</v>
      </c>
      <c r="AJ225" s="525" t="s">
        <v>1104</v>
      </c>
    </row>
    <row r="226" customFormat="false" ht="15" hidden="false" customHeight="false" outlineLevel="0" collapsed="false">
      <c r="A226" s="11" t="s">
        <v>106</v>
      </c>
      <c r="B226" s="11" t="s">
        <v>38</v>
      </c>
      <c r="C226" s="29" t="n">
        <v>550730</v>
      </c>
      <c r="D226" s="4" t="s">
        <v>506</v>
      </c>
      <c r="E226" s="4" t="s">
        <v>180</v>
      </c>
      <c r="F226" s="5" t="s">
        <v>40</v>
      </c>
      <c r="G226" s="6" t="n">
        <v>747</v>
      </c>
      <c r="H226" s="6" t="n">
        <f aca="false">G226</f>
        <v>747</v>
      </c>
      <c r="I226" s="6" t="n">
        <v>750</v>
      </c>
      <c r="J226" s="4" t="s">
        <v>510</v>
      </c>
      <c r="K226" s="7" t="n">
        <v>45553</v>
      </c>
      <c r="L226" s="8" t="n">
        <v>46282</v>
      </c>
      <c r="P226" s="9" t="n">
        <v>41250</v>
      </c>
      <c r="Q226" s="9" t="n">
        <f aca="false">P226</f>
        <v>41250</v>
      </c>
      <c r="S226" s="9" t="n">
        <v>39200</v>
      </c>
      <c r="T226" s="9" t="n">
        <f aca="false">S226</f>
        <v>39200</v>
      </c>
      <c r="U226" s="9" t="n">
        <v>41100</v>
      </c>
      <c r="V226" s="9" t="n">
        <f aca="false">U226</f>
        <v>41100</v>
      </c>
      <c r="W226" s="45" t="n">
        <f aca="false">U226/G226</f>
        <v>55.0200803212851</v>
      </c>
      <c r="X226" s="41" t="n">
        <f aca="false">SUM(U226-S226)/S226</f>
        <v>0.048469387755102</v>
      </c>
      <c r="Y226" s="9" t="s">
        <v>127</v>
      </c>
      <c r="Z226" s="42"/>
      <c r="AA226" s="524"/>
      <c r="AB226" s="5" t="s">
        <v>43</v>
      </c>
      <c r="AF226" s="59"/>
      <c r="AJ226" s="525" t="s">
        <v>1103</v>
      </c>
    </row>
    <row r="227" customFormat="false" ht="15" hidden="false" customHeight="false" outlineLevel="0" collapsed="false">
      <c r="A227" s="11" t="s">
        <v>236</v>
      </c>
      <c r="B227" s="11" t="s">
        <v>38</v>
      </c>
      <c r="C227" s="29" t="n">
        <v>550800</v>
      </c>
      <c r="D227" s="4" t="s">
        <v>511</v>
      </c>
      <c r="E227" s="4" t="s">
        <v>181</v>
      </c>
      <c r="F227" s="5" t="s">
        <v>237</v>
      </c>
      <c r="G227" s="6" t="n">
        <v>424</v>
      </c>
      <c r="H227" s="6" t="n">
        <f aca="false">G227</f>
        <v>424</v>
      </c>
      <c r="I227" s="6" t="n">
        <v>500</v>
      </c>
      <c r="J227" s="4" t="s">
        <v>512</v>
      </c>
      <c r="K227" s="7" t="n">
        <v>45262</v>
      </c>
      <c r="L227" s="8" t="n">
        <v>47088</v>
      </c>
      <c r="P227" s="9" t="n">
        <v>11872</v>
      </c>
      <c r="Q227" s="9" t="n">
        <f aca="false">P227</f>
        <v>11872</v>
      </c>
      <c r="S227" s="9" t="n">
        <v>11660</v>
      </c>
      <c r="T227" s="9" t="n">
        <f aca="false">S227</f>
        <v>11660</v>
      </c>
      <c r="U227" s="9" t="n">
        <v>11660</v>
      </c>
      <c r="V227" s="9" t="n">
        <f aca="false">U227</f>
        <v>11660</v>
      </c>
      <c r="W227" s="45" t="n">
        <f aca="false">U227/G227</f>
        <v>27.5</v>
      </c>
      <c r="X227" s="41" t="n">
        <f aca="false">SUM(U227-S227)/S227</f>
        <v>0</v>
      </c>
      <c r="Y227" s="9" t="s">
        <v>127</v>
      </c>
      <c r="Z227" s="42"/>
      <c r="AA227" s="44"/>
      <c r="AB227" s="5" t="s">
        <v>43</v>
      </c>
      <c r="AD227" s="58"/>
      <c r="AF227" s="59"/>
      <c r="AJ227" s="525" t="s">
        <v>1103</v>
      </c>
    </row>
    <row r="228" customFormat="false" ht="15" hidden="false" customHeight="false" outlineLevel="0" collapsed="false">
      <c r="A228" s="11" t="s">
        <v>236</v>
      </c>
      <c r="B228" s="11" t="s">
        <v>38</v>
      </c>
      <c r="C228" s="29" t="n">
        <v>550800</v>
      </c>
      <c r="D228" s="4" t="s">
        <v>511</v>
      </c>
      <c r="E228" s="4" t="s">
        <v>513</v>
      </c>
      <c r="F228" s="5" t="s">
        <v>49</v>
      </c>
      <c r="G228" s="6" t="n">
        <v>515</v>
      </c>
      <c r="H228" s="6" t="n">
        <f aca="false">G228</f>
        <v>515</v>
      </c>
      <c r="I228" s="6" t="n">
        <v>500</v>
      </c>
      <c r="J228" s="4" t="s">
        <v>514</v>
      </c>
      <c r="K228" s="7" t="n">
        <v>44756</v>
      </c>
      <c r="L228" s="8" t="n">
        <v>47154</v>
      </c>
      <c r="N228" s="8" t="n">
        <v>45328</v>
      </c>
      <c r="P228" s="9" t="n">
        <v>37500</v>
      </c>
      <c r="Q228" s="9" t="n">
        <f aca="false">P228</f>
        <v>37500</v>
      </c>
      <c r="S228" s="9" t="n">
        <v>37502</v>
      </c>
      <c r="T228" s="9" t="n">
        <f aca="false">S228</f>
        <v>37502</v>
      </c>
      <c r="U228" s="9" t="n">
        <v>37500</v>
      </c>
      <c r="V228" s="9" t="n">
        <f aca="false">U228</f>
        <v>37500</v>
      </c>
      <c r="W228" s="45" t="n">
        <f aca="false">U228/G228</f>
        <v>72.8155339805825</v>
      </c>
      <c r="X228" s="41" t="n">
        <f aca="false">SUM(U228-S228)/S228</f>
        <v>-5.33304890405845E-005</v>
      </c>
      <c r="Y228" s="9" t="s">
        <v>55</v>
      </c>
      <c r="Z228" s="42"/>
      <c r="AA228" s="44"/>
      <c r="AB228" s="5" t="s">
        <v>43</v>
      </c>
      <c r="AF228" s="59"/>
      <c r="AJ228" s="525" t="s">
        <v>1103</v>
      </c>
    </row>
    <row r="229" customFormat="false" ht="15" hidden="false" customHeight="false" outlineLevel="0" collapsed="false">
      <c r="A229" s="11" t="s">
        <v>236</v>
      </c>
      <c r="B229" s="11" t="s">
        <v>38</v>
      </c>
      <c r="C229" s="29" t="n">
        <v>550800</v>
      </c>
      <c r="D229" s="4" t="s">
        <v>511</v>
      </c>
      <c r="E229" s="4" t="s">
        <v>515</v>
      </c>
      <c r="F229" s="5" t="s">
        <v>40</v>
      </c>
      <c r="G229" s="6" t="n">
        <v>172</v>
      </c>
      <c r="H229" s="6" t="n">
        <f aca="false">G229</f>
        <v>172</v>
      </c>
      <c r="I229" s="6" t="n">
        <v>250</v>
      </c>
      <c r="J229" s="4" t="s">
        <v>516</v>
      </c>
      <c r="K229" s="7" t="n">
        <v>44750</v>
      </c>
      <c r="L229" s="8" t="n">
        <v>46575</v>
      </c>
      <c r="P229" s="9" t="n">
        <v>9400</v>
      </c>
      <c r="Q229" s="9" t="n">
        <f aca="false">P229</f>
        <v>9400</v>
      </c>
      <c r="S229" s="9" t="n">
        <v>9460</v>
      </c>
      <c r="T229" s="9" t="n">
        <f aca="false">S229</f>
        <v>9460</v>
      </c>
      <c r="U229" s="9" t="n">
        <v>11180</v>
      </c>
      <c r="V229" s="9" t="n">
        <f aca="false">U229</f>
        <v>11180</v>
      </c>
      <c r="W229" s="45" t="n">
        <f aca="false">U229/G229</f>
        <v>65</v>
      </c>
      <c r="X229" s="41" t="n">
        <f aca="false">SUM(U229-S229)/S229</f>
        <v>0.181818181818182</v>
      </c>
      <c r="Y229" s="9" t="s">
        <v>127</v>
      </c>
      <c r="Z229" s="42"/>
      <c r="AA229" s="44"/>
      <c r="AB229" s="5" t="s">
        <v>43</v>
      </c>
      <c r="AF229" s="59"/>
      <c r="AJ229" s="525" t="s">
        <v>1103</v>
      </c>
    </row>
    <row r="230" customFormat="false" ht="15" hidden="false" customHeight="false" outlineLevel="0" collapsed="false">
      <c r="A230" s="11" t="s">
        <v>236</v>
      </c>
      <c r="B230" s="11" t="s">
        <v>38</v>
      </c>
      <c r="C230" s="29" t="n">
        <v>550800</v>
      </c>
      <c r="D230" s="4" t="s">
        <v>511</v>
      </c>
      <c r="E230" s="4" t="s">
        <v>517</v>
      </c>
      <c r="F230" s="5" t="s">
        <v>40</v>
      </c>
      <c r="G230" s="6" t="n">
        <v>117</v>
      </c>
      <c r="H230" s="6" t="n">
        <f aca="false">G230</f>
        <v>117</v>
      </c>
      <c r="I230" s="6" t="n">
        <v>250</v>
      </c>
      <c r="J230" s="4" t="s">
        <v>518</v>
      </c>
      <c r="K230" s="7" t="n">
        <v>45194</v>
      </c>
      <c r="L230" s="8" t="n">
        <v>47020</v>
      </c>
      <c r="O230" s="8" t="n">
        <v>46289</v>
      </c>
      <c r="P230" s="9" t="n">
        <v>7100</v>
      </c>
      <c r="Q230" s="9" t="n">
        <f aca="false">P230</f>
        <v>7100</v>
      </c>
      <c r="S230" s="9" t="n">
        <v>7000</v>
      </c>
      <c r="T230" s="9" t="n">
        <f aca="false">S230</f>
        <v>7000</v>
      </c>
      <c r="U230" s="9" t="n">
        <v>7605</v>
      </c>
      <c r="V230" s="9" t="n">
        <f aca="false">U230</f>
        <v>7605</v>
      </c>
      <c r="W230" s="45" t="n">
        <f aca="false">U230/G230</f>
        <v>65</v>
      </c>
      <c r="X230" s="41" t="n">
        <f aca="false">SUM(U230-S230)/S230</f>
        <v>0.0864285714285714</v>
      </c>
      <c r="Y230" s="9" t="s">
        <v>127</v>
      </c>
      <c r="Z230" s="42"/>
      <c r="AA230" s="44"/>
      <c r="AB230" s="5" t="s">
        <v>43</v>
      </c>
      <c r="AC230" s="4" t="s">
        <v>77</v>
      </c>
      <c r="AF230" s="59"/>
      <c r="AJ230" s="525" t="s">
        <v>1103</v>
      </c>
    </row>
    <row r="231" customFormat="false" ht="15" hidden="false" customHeight="false" outlineLevel="0" collapsed="false">
      <c r="A231" s="11" t="s">
        <v>236</v>
      </c>
      <c r="B231" s="11" t="s">
        <v>38</v>
      </c>
      <c r="C231" s="29" t="n">
        <v>550800</v>
      </c>
      <c r="D231" s="4" t="s">
        <v>511</v>
      </c>
      <c r="E231" s="4" t="s">
        <v>519</v>
      </c>
      <c r="F231" s="5" t="s">
        <v>40</v>
      </c>
      <c r="G231" s="6" t="n">
        <v>170</v>
      </c>
      <c r="H231" s="6" t="n">
        <f aca="false">G231</f>
        <v>170</v>
      </c>
      <c r="I231" s="6" t="n">
        <v>250</v>
      </c>
      <c r="J231" s="4" t="s">
        <v>520</v>
      </c>
      <c r="K231" s="7" t="n">
        <v>45632</v>
      </c>
      <c r="L231" s="8" t="n">
        <v>47457</v>
      </c>
      <c r="O231" s="8" t="n">
        <v>46519</v>
      </c>
      <c r="P231" s="9" t="n">
        <v>9400</v>
      </c>
      <c r="Q231" s="9" t="n">
        <f aca="false">P231</f>
        <v>9400</v>
      </c>
      <c r="S231" s="9" t="n">
        <v>8925</v>
      </c>
      <c r="T231" s="9" t="n">
        <f aca="false">S231</f>
        <v>8925</v>
      </c>
      <c r="U231" s="9" t="n">
        <v>11050</v>
      </c>
      <c r="V231" s="9" t="n">
        <f aca="false">U231</f>
        <v>11050</v>
      </c>
      <c r="W231" s="45" t="n">
        <f aca="false">U231/G231</f>
        <v>65</v>
      </c>
      <c r="X231" s="41" t="n">
        <f aca="false">SUM(U231-S231)/S231</f>
        <v>0.238095238095238</v>
      </c>
      <c r="Y231" s="9" t="s">
        <v>127</v>
      </c>
      <c r="Z231" s="42"/>
      <c r="AA231" s="44"/>
      <c r="AB231" s="5" t="s">
        <v>43</v>
      </c>
      <c r="AC231" s="4" t="s">
        <v>521</v>
      </c>
      <c r="AF231" s="59"/>
      <c r="AJ231" s="525" t="s">
        <v>1103</v>
      </c>
    </row>
    <row r="232" customFormat="false" ht="15" hidden="false" customHeight="false" outlineLevel="0" collapsed="false">
      <c r="A232" s="11" t="s">
        <v>236</v>
      </c>
      <c r="B232" s="11" t="s">
        <v>38</v>
      </c>
      <c r="C232" s="29" t="n">
        <v>550800</v>
      </c>
      <c r="D232" s="4" t="s">
        <v>511</v>
      </c>
      <c r="E232" s="4" t="s">
        <v>522</v>
      </c>
      <c r="F232" s="5" t="s">
        <v>40</v>
      </c>
      <c r="G232" s="6" t="n">
        <v>130</v>
      </c>
      <c r="H232" s="6" t="n">
        <f aca="false">G232</f>
        <v>130</v>
      </c>
      <c r="I232" s="6" t="n">
        <v>250</v>
      </c>
      <c r="J232" s="4" t="s">
        <v>523</v>
      </c>
      <c r="K232" s="7" t="n">
        <v>44762</v>
      </c>
      <c r="L232" s="8" t="n">
        <v>46587</v>
      </c>
      <c r="O232" s="8" t="n">
        <v>45857</v>
      </c>
      <c r="P232" s="9" t="n">
        <v>7605</v>
      </c>
      <c r="Q232" s="9" t="n">
        <f aca="false">P232</f>
        <v>7605</v>
      </c>
      <c r="S232" s="9" t="n">
        <v>7605</v>
      </c>
      <c r="T232" s="9" t="n">
        <f aca="false">S232</f>
        <v>7605</v>
      </c>
      <c r="U232" s="9" t="n">
        <v>8450</v>
      </c>
      <c r="V232" s="9" t="n">
        <f aca="false">U232</f>
        <v>8450</v>
      </c>
      <c r="W232" s="45" t="n">
        <f aca="false">U232/G232</f>
        <v>65</v>
      </c>
      <c r="X232" s="41" t="n">
        <f aca="false">SUM(U232-S232)/S232</f>
        <v>0.111111111111111</v>
      </c>
      <c r="Y232" s="9" t="s">
        <v>127</v>
      </c>
      <c r="Z232" s="42"/>
      <c r="AA232" s="44"/>
      <c r="AB232" s="5" t="s">
        <v>43</v>
      </c>
      <c r="AF232" s="59"/>
      <c r="AJ232" s="525" t="s">
        <v>1103</v>
      </c>
    </row>
    <row r="233" customFormat="false" ht="15" hidden="false" customHeight="false" outlineLevel="0" collapsed="false">
      <c r="A233" s="11" t="s">
        <v>236</v>
      </c>
      <c r="B233" s="11" t="s">
        <v>38</v>
      </c>
      <c r="C233" s="29" t="n">
        <v>550800</v>
      </c>
      <c r="D233" s="4" t="s">
        <v>511</v>
      </c>
      <c r="E233" s="4" t="s">
        <v>524</v>
      </c>
      <c r="F233" s="5" t="s">
        <v>242</v>
      </c>
      <c r="G233" s="6" t="n">
        <v>600</v>
      </c>
      <c r="H233" s="6" t="n">
        <f aca="false">G233</f>
        <v>600</v>
      </c>
      <c r="I233" s="6" t="n">
        <v>500</v>
      </c>
      <c r="J233" s="4" t="s">
        <v>525</v>
      </c>
      <c r="K233" s="7" t="n">
        <v>45135</v>
      </c>
      <c r="L233" s="8" t="n">
        <v>45865</v>
      </c>
      <c r="P233" s="98" t="n">
        <v>40950</v>
      </c>
      <c r="Q233" s="9" t="n">
        <f aca="false">P233</f>
        <v>40950</v>
      </c>
      <c r="S233" s="9" t="n">
        <v>36140</v>
      </c>
      <c r="T233" s="9" t="n">
        <f aca="false">S233</f>
        <v>36140</v>
      </c>
      <c r="U233" s="9" t="n">
        <v>39000</v>
      </c>
      <c r="V233" s="9" t="n">
        <f aca="false">U233</f>
        <v>39000</v>
      </c>
      <c r="W233" s="45" t="n">
        <f aca="false">U233/G233</f>
        <v>65</v>
      </c>
      <c r="X233" s="41" t="n">
        <f aca="false">SUM(U233-S233)/S233</f>
        <v>0.079136690647482</v>
      </c>
      <c r="Y233" s="9" t="s">
        <v>127</v>
      </c>
      <c r="Z233" s="42"/>
      <c r="AA233" s="44"/>
      <c r="AB233" s="5" t="s">
        <v>43</v>
      </c>
      <c r="AC233" s="60" t="s">
        <v>526</v>
      </c>
      <c r="AF233" s="59"/>
      <c r="AJ233" s="525" t="s">
        <v>1103</v>
      </c>
    </row>
    <row r="234" customFormat="false" ht="15" hidden="false" customHeight="false" outlineLevel="0" collapsed="false">
      <c r="A234" s="11" t="s">
        <v>47</v>
      </c>
      <c r="B234" s="11" t="s">
        <v>38</v>
      </c>
      <c r="C234" s="29" t="n">
        <v>550550</v>
      </c>
      <c r="D234" s="4" t="s">
        <v>527</v>
      </c>
      <c r="E234" s="4" t="s">
        <v>528</v>
      </c>
      <c r="F234" s="5" t="s">
        <v>529</v>
      </c>
      <c r="G234" s="6" t="n">
        <v>3664</v>
      </c>
      <c r="H234" s="6" t="n">
        <f aca="false">G234</f>
        <v>3664</v>
      </c>
      <c r="I234" s="6" t="n">
        <v>3500</v>
      </c>
      <c r="J234" s="4" t="s">
        <v>530</v>
      </c>
      <c r="K234" s="7" t="n">
        <v>40946</v>
      </c>
      <c r="L234" s="7" t="n">
        <v>46424</v>
      </c>
      <c r="M234" s="7"/>
      <c r="P234" s="9" t="n">
        <v>230000</v>
      </c>
      <c r="Q234" s="9" t="n">
        <f aca="false">P234</f>
        <v>230000</v>
      </c>
      <c r="S234" s="9" t="n">
        <v>225000</v>
      </c>
      <c r="T234" s="9" t="n">
        <f aca="false">S234</f>
        <v>225000</v>
      </c>
      <c r="U234" s="9" t="n">
        <v>200000</v>
      </c>
      <c r="V234" s="9" t="n">
        <f aca="false">U234</f>
        <v>200000</v>
      </c>
      <c r="W234" s="45" t="n">
        <f aca="false">U234/G234</f>
        <v>54.5851528384279</v>
      </c>
      <c r="X234" s="41" t="n">
        <f aca="false">SUM(U234-S234)/S234</f>
        <v>-0.111111111111111</v>
      </c>
      <c r="Y234" s="9" t="s">
        <v>55</v>
      </c>
      <c r="Z234" s="42"/>
      <c r="AA234" s="524"/>
      <c r="AB234" s="5" t="s">
        <v>43</v>
      </c>
      <c r="AC234" s="4" t="s">
        <v>531</v>
      </c>
      <c r="AF234" s="59"/>
      <c r="AJ234" s="525" t="s">
        <v>1103</v>
      </c>
    </row>
    <row r="235" customFormat="false" ht="15" hidden="false" customHeight="false" outlineLevel="0" collapsed="false">
      <c r="A235" s="11" t="s">
        <v>47</v>
      </c>
      <c r="B235" s="11" t="s">
        <v>38</v>
      </c>
      <c r="C235" s="29" t="n">
        <v>550550</v>
      </c>
      <c r="D235" s="4" t="s">
        <v>527</v>
      </c>
      <c r="E235" s="4" t="s">
        <v>532</v>
      </c>
      <c r="F235" s="5" t="s">
        <v>49</v>
      </c>
      <c r="G235" s="6" t="n">
        <v>1496</v>
      </c>
      <c r="H235" s="6" t="n">
        <f aca="false">G235</f>
        <v>1496</v>
      </c>
      <c r="I235" s="6" t="n">
        <v>1500</v>
      </c>
      <c r="J235" s="4" t="s">
        <v>533</v>
      </c>
      <c r="K235" s="7" t="n">
        <v>45178</v>
      </c>
      <c r="L235" s="8" t="n">
        <v>47004</v>
      </c>
      <c r="M235" s="8"/>
      <c r="P235" s="9" t="n">
        <v>53200</v>
      </c>
      <c r="Q235" s="9" t="n">
        <f aca="false">P235</f>
        <v>53200</v>
      </c>
      <c r="S235" s="9" t="n">
        <v>53200</v>
      </c>
      <c r="T235" s="9" t="n">
        <f aca="false">S235</f>
        <v>53200</v>
      </c>
      <c r="U235" s="9" t="n">
        <v>58000</v>
      </c>
      <c r="V235" s="9" t="n">
        <f aca="false">U235</f>
        <v>58000</v>
      </c>
      <c r="W235" s="45" t="n">
        <f aca="false">U235/G235</f>
        <v>38.7700534759358</v>
      </c>
      <c r="X235" s="41" t="n">
        <f aca="false">SUM(U235-S235)/S235</f>
        <v>0.0902255639097744</v>
      </c>
      <c r="Y235" s="9" t="s">
        <v>55</v>
      </c>
      <c r="Z235" s="42"/>
      <c r="AA235" s="524"/>
      <c r="AB235" s="5" t="s">
        <v>43</v>
      </c>
      <c r="AC235" s="4" t="s">
        <v>534</v>
      </c>
      <c r="AF235" s="59"/>
      <c r="AJ235" s="525" t="s">
        <v>1103</v>
      </c>
    </row>
    <row r="236" customFormat="false" ht="15" hidden="false" customHeight="false" outlineLevel="0" collapsed="false">
      <c r="A236" s="11" t="s">
        <v>47</v>
      </c>
      <c r="B236" s="11" t="s">
        <v>38</v>
      </c>
      <c r="C236" s="29" t="n">
        <v>550550</v>
      </c>
      <c r="D236" s="4" t="s">
        <v>527</v>
      </c>
      <c r="E236" s="4" t="s">
        <v>535</v>
      </c>
      <c r="F236" s="5" t="s">
        <v>134</v>
      </c>
      <c r="G236" s="6" t="n">
        <v>1592</v>
      </c>
      <c r="H236" s="6" t="n">
        <f aca="false">G236</f>
        <v>1592</v>
      </c>
      <c r="I236" s="6" t="n">
        <v>1500</v>
      </c>
      <c r="J236" s="4" t="s">
        <v>536</v>
      </c>
      <c r="K236" s="7" t="n">
        <v>44663</v>
      </c>
      <c r="L236" s="8" t="n">
        <v>50141</v>
      </c>
      <c r="N236" s="8" t="n">
        <v>46489</v>
      </c>
      <c r="O236" s="8" t="n">
        <v>48315</v>
      </c>
      <c r="P236" s="9" t="n">
        <v>95000</v>
      </c>
      <c r="Q236" s="9" t="n">
        <f aca="false">P236</f>
        <v>95000</v>
      </c>
      <c r="S236" s="9" t="n">
        <v>100500</v>
      </c>
      <c r="T236" s="9" t="n">
        <f aca="false">S236</f>
        <v>100500</v>
      </c>
      <c r="U236" s="9" t="n">
        <v>100000</v>
      </c>
      <c r="V236" s="9" t="n">
        <f aca="false">U236</f>
        <v>100000</v>
      </c>
      <c r="W236" s="45" t="n">
        <f aca="false">U236/G236</f>
        <v>62.8140703517588</v>
      </c>
      <c r="X236" s="41" t="n">
        <f aca="false">SUM(U236-S236)/S236</f>
        <v>-0.00497512437810945</v>
      </c>
      <c r="Y236" s="98" t="s">
        <v>55</v>
      </c>
      <c r="Z236" s="42"/>
      <c r="AA236" s="524"/>
      <c r="AB236" s="5" t="s">
        <v>43</v>
      </c>
      <c r="AC236" s="4" t="s">
        <v>537</v>
      </c>
      <c r="AF236" s="59"/>
      <c r="AJ236" s="525" t="s">
        <v>1103</v>
      </c>
    </row>
    <row r="237" customFormat="false" ht="15" hidden="false" customHeight="false" outlineLevel="0" collapsed="false">
      <c r="A237" s="11" t="s">
        <v>47</v>
      </c>
      <c r="B237" s="11" t="s">
        <v>38</v>
      </c>
      <c r="C237" s="29" t="n">
        <v>550550</v>
      </c>
      <c r="D237" s="4" t="s">
        <v>527</v>
      </c>
      <c r="E237" s="4" t="s">
        <v>538</v>
      </c>
      <c r="F237" s="5" t="s">
        <v>49</v>
      </c>
      <c r="G237" s="6" t="n">
        <v>1704</v>
      </c>
      <c r="H237" s="6" t="n">
        <f aca="false">G237</f>
        <v>1704</v>
      </c>
      <c r="I237" s="6" t="n">
        <v>1750</v>
      </c>
      <c r="J237" s="4" t="s">
        <v>539</v>
      </c>
      <c r="K237" s="7" t="n">
        <v>45111</v>
      </c>
      <c r="L237" s="8" t="n">
        <v>48763</v>
      </c>
      <c r="N237" s="8" t="n">
        <v>46938</v>
      </c>
      <c r="P237" s="9" t="n">
        <v>105000</v>
      </c>
      <c r="Q237" s="9" t="n">
        <f aca="false">P237</f>
        <v>105000</v>
      </c>
      <c r="S237" s="9" t="n">
        <v>96300</v>
      </c>
      <c r="T237" s="9" t="n">
        <f aca="false">S237</f>
        <v>96300</v>
      </c>
      <c r="U237" s="9" t="n">
        <v>105000</v>
      </c>
      <c r="V237" s="9" t="n">
        <f aca="false">U237</f>
        <v>105000</v>
      </c>
      <c r="W237" s="45" t="n">
        <f aca="false">U237/G237</f>
        <v>61.6197183098592</v>
      </c>
      <c r="X237" s="41" t="n">
        <f aca="false">SUM(U237-S237)/S237</f>
        <v>0.0903426791277259</v>
      </c>
      <c r="Y237" s="9" t="s">
        <v>55</v>
      </c>
      <c r="Z237" s="42"/>
      <c r="AA237" s="524"/>
      <c r="AB237" s="5" t="s">
        <v>43</v>
      </c>
      <c r="AF237" s="59"/>
      <c r="AJ237" s="525" t="s">
        <v>1103</v>
      </c>
    </row>
    <row r="238" customFormat="false" ht="15" hidden="false" customHeight="false" outlineLevel="0" collapsed="false">
      <c r="A238" s="11" t="s">
        <v>47</v>
      </c>
      <c r="B238" s="11" t="s">
        <v>38</v>
      </c>
      <c r="C238" s="29" t="n">
        <v>550550</v>
      </c>
      <c r="D238" s="4" t="s">
        <v>527</v>
      </c>
      <c r="E238" s="4" t="s">
        <v>140</v>
      </c>
      <c r="F238" s="5" t="s">
        <v>540</v>
      </c>
      <c r="G238" s="6" t="n">
        <v>2955</v>
      </c>
      <c r="H238" s="6" t="n">
        <f aca="false">G238</f>
        <v>2955</v>
      </c>
      <c r="I238" s="6" t="n">
        <v>3000</v>
      </c>
      <c r="J238" s="4" t="s">
        <v>541</v>
      </c>
      <c r="K238" s="7" t="n">
        <v>45329</v>
      </c>
      <c r="L238" s="8" t="n">
        <v>46059</v>
      </c>
      <c r="P238" s="9" t="n">
        <v>150000</v>
      </c>
      <c r="Q238" s="9" t="n">
        <f aca="false">P238</f>
        <v>150000</v>
      </c>
      <c r="S238" s="9" t="n">
        <v>180000</v>
      </c>
      <c r="T238" s="9" t="n">
        <f aca="false">S238</f>
        <v>180000</v>
      </c>
      <c r="U238" s="9" t="n">
        <v>177300</v>
      </c>
      <c r="V238" s="9" t="n">
        <f aca="false">U238</f>
        <v>177300</v>
      </c>
      <c r="W238" s="45" t="n">
        <f aca="false">U238/G238</f>
        <v>60</v>
      </c>
      <c r="X238" s="41" t="n">
        <f aca="false">SUM(U238-S238)/S238</f>
        <v>-0.015</v>
      </c>
      <c r="Y238" s="9" t="s">
        <v>42</v>
      </c>
      <c r="Z238" s="42"/>
      <c r="AA238" s="524"/>
      <c r="AB238" s="5" t="s">
        <v>43</v>
      </c>
      <c r="AF238" s="59"/>
      <c r="AJ238" s="525" t="s">
        <v>1103</v>
      </c>
    </row>
    <row r="239" customFormat="false" ht="15" hidden="false" customHeight="false" outlineLevel="0" collapsed="false">
      <c r="A239" s="11" t="s">
        <v>47</v>
      </c>
      <c r="B239" s="11" t="s">
        <v>38</v>
      </c>
      <c r="C239" s="29" t="n">
        <v>550550</v>
      </c>
      <c r="D239" s="4" t="s">
        <v>527</v>
      </c>
      <c r="E239" s="4" t="s">
        <v>137</v>
      </c>
      <c r="F239" s="5" t="s">
        <v>40</v>
      </c>
      <c r="G239" s="6" t="n">
        <v>388</v>
      </c>
      <c r="H239" s="6" t="n">
        <f aca="false">G239</f>
        <v>388</v>
      </c>
      <c r="I239" s="6" t="n">
        <v>500</v>
      </c>
      <c r="J239" s="4" t="s">
        <v>542</v>
      </c>
      <c r="K239" s="7" t="n">
        <v>45429</v>
      </c>
      <c r="L239" s="8" t="n">
        <v>47254</v>
      </c>
      <c r="O239" s="8" t="n">
        <v>46158</v>
      </c>
      <c r="P239" s="9" t="n">
        <v>20520</v>
      </c>
      <c r="Q239" s="9" t="n">
        <f aca="false">P239</f>
        <v>20520</v>
      </c>
      <c r="S239" s="9" t="n">
        <v>19000</v>
      </c>
      <c r="T239" s="9" t="n">
        <f aca="false">S239</f>
        <v>19000</v>
      </c>
      <c r="U239" s="9" t="n">
        <v>21000</v>
      </c>
      <c r="V239" s="9" t="n">
        <f aca="false">U239</f>
        <v>21000</v>
      </c>
      <c r="W239" s="45" t="n">
        <f aca="false">U239/G239</f>
        <v>54.1237113402062</v>
      </c>
      <c r="X239" s="41" t="n">
        <f aca="false">SUM(U239-S239)/S239</f>
        <v>0.105263157894737</v>
      </c>
      <c r="Y239" s="9" t="s">
        <v>42</v>
      </c>
      <c r="Z239" s="42"/>
      <c r="AA239" s="524"/>
      <c r="AB239" s="5" t="s">
        <v>43</v>
      </c>
      <c r="AC239" s="4" t="s">
        <v>77</v>
      </c>
      <c r="AF239" s="59"/>
      <c r="AJ239" s="525" t="s">
        <v>1103</v>
      </c>
    </row>
    <row r="240" customFormat="false" ht="19.4" hidden="false" customHeight="false" outlineLevel="0" collapsed="false">
      <c r="A240" s="11" t="s">
        <v>47</v>
      </c>
      <c r="B240" s="11" t="s">
        <v>38</v>
      </c>
      <c r="C240" s="29" t="n">
        <v>550550</v>
      </c>
      <c r="D240" s="4" t="s">
        <v>527</v>
      </c>
      <c r="E240" s="4" t="s">
        <v>543</v>
      </c>
      <c r="F240" s="5" t="s">
        <v>40</v>
      </c>
      <c r="G240" s="6" t="n">
        <v>395</v>
      </c>
      <c r="H240" s="6" t="n">
        <f aca="false">G240</f>
        <v>395</v>
      </c>
      <c r="I240" s="6" t="n">
        <v>500</v>
      </c>
      <c r="J240" s="4" t="s">
        <v>544</v>
      </c>
      <c r="K240" s="7" t="n">
        <v>45450</v>
      </c>
      <c r="L240" s="8" t="n">
        <v>47275</v>
      </c>
      <c r="O240" s="8" t="n">
        <v>46574</v>
      </c>
      <c r="P240" s="9" t="n">
        <v>21850</v>
      </c>
      <c r="Q240" s="9" t="n">
        <f aca="false">P240</f>
        <v>21850</v>
      </c>
      <c r="S240" s="9" t="n">
        <v>18900</v>
      </c>
      <c r="T240" s="9" t="n">
        <f aca="false">S240</f>
        <v>18900</v>
      </c>
      <c r="U240" s="9" t="n">
        <v>21850</v>
      </c>
      <c r="V240" s="9" t="n">
        <f aca="false">U240</f>
        <v>21850</v>
      </c>
      <c r="W240" s="45" t="n">
        <f aca="false">U240/G240</f>
        <v>55.3164556962025</v>
      </c>
      <c r="X240" s="41" t="n">
        <f aca="false">SUM(U240-S240)/S240</f>
        <v>0.156084656084656</v>
      </c>
      <c r="Y240" s="9" t="s">
        <v>42</v>
      </c>
      <c r="Z240" s="42"/>
      <c r="AA240" s="524"/>
      <c r="AB240" s="5" t="s">
        <v>43</v>
      </c>
      <c r="AC240" s="4" t="s">
        <v>545</v>
      </c>
      <c r="AF240" s="59"/>
      <c r="AJ240" s="525" t="s">
        <v>1103</v>
      </c>
    </row>
    <row r="241" customFormat="false" ht="15" hidden="false" customHeight="false" outlineLevel="0" collapsed="false">
      <c r="A241" s="11" t="s">
        <v>47</v>
      </c>
      <c r="B241" s="11" t="s">
        <v>38</v>
      </c>
      <c r="C241" s="29" t="n">
        <v>550550</v>
      </c>
      <c r="D241" s="4" t="s">
        <v>527</v>
      </c>
      <c r="E241" s="4" t="s">
        <v>143</v>
      </c>
      <c r="F241" s="5" t="s">
        <v>40</v>
      </c>
      <c r="G241" s="6" t="n">
        <v>2610</v>
      </c>
      <c r="H241" s="6" t="n">
        <f aca="false">G241</f>
        <v>2610</v>
      </c>
      <c r="I241" s="6" t="n">
        <v>2500</v>
      </c>
      <c r="J241" s="4" t="s">
        <v>67</v>
      </c>
      <c r="M241" s="8" t="n">
        <v>43783</v>
      </c>
      <c r="P241" s="9" t="n">
        <v>0</v>
      </c>
      <c r="Q241" s="9" t="n">
        <f aca="false">P241</f>
        <v>0</v>
      </c>
      <c r="S241" s="9" t="n">
        <v>182500</v>
      </c>
      <c r="T241" s="9" t="n">
        <f aca="false">S241</f>
        <v>182500</v>
      </c>
      <c r="U241" s="9" t="n">
        <v>169700</v>
      </c>
      <c r="V241" s="9" t="n">
        <f aca="false">U241</f>
        <v>169700</v>
      </c>
      <c r="W241" s="45" t="n">
        <f aca="false">U241/G241</f>
        <v>65.0191570881226</v>
      </c>
      <c r="X241" s="41" t="n">
        <f aca="false">SUM(U241-S241)/S241</f>
        <v>-0.0701369863013699</v>
      </c>
      <c r="Y241" s="9" t="s">
        <v>42</v>
      </c>
      <c r="Z241" s="42"/>
      <c r="AA241" s="524"/>
      <c r="AB241" s="5" t="s">
        <v>43</v>
      </c>
      <c r="AC241" s="4" t="s">
        <v>482</v>
      </c>
      <c r="AD241" s="15" t="n">
        <v>72.5</v>
      </c>
      <c r="AE241" s="4" t="n">
        <v>3</v>
      </c>
      <c r="AF241" s="59" t="n">
        <v>6</v>
      </c>
      <c r="AJ241" s="525" t="s">
        <v>1104</v>
      </c>
    </row>
    <row r="242" customFormat="false" ht="15" hidden="false" customHeight="false" outlineLevel="0" collapsed="false">
      <c r="A242" s="11" t="s">
        <v>47</v>
      </c>
      <c r="B242" s="11" t="s">
        <v>38</v>
      </c>
      <c r="C242" s="29" t="n">
        <v>550550</v>
      </c>
      <c r="D242" s="4" t="s">
        <v>527</v>
      </c>
      <c r="E242" s="4" t="s">
        <v>546</v>
      </c>
      <c r="F242" s="5" t="s">
        <v>40</v>
      </c>
      <c r="G242" s="6" t="n">
        <v>2508</v>
      </c>
      <c r="H242" s="6" t="n">
        <f aca="false">G242</f>
        <v>2508</v>
      </c>
      <c r="I242" s="6" t="n">
        <v>2500</v>
      </c>
      <c r="J242" s="4" t="s">
        <v>67</v>
      </c>
      <c r="M242" s="8" t="n">
        <v>45504</v>
      </c>
      <c r="P242" s="9" t="n">
        <v>0</v>
      </c>
      <c r="Q242" s="9" t="n">
        <f aca="false">P242</f>
        <v>0</v>
      </c>
      <c r="S242" s="9" t="n">
        <v>138800</v>
      </c>
      <c r="T242" s="9" t="n">
        <f aca="false">S242</f>
        <v>138800</v>
      </c>
      <c r="U242" s="9" t="n">
        <v>141700</v>
      </c>
      <c r="V242" s="9" t="n">
        <f aca="false">U242</f>
        <v>141700</v>
      </c>
      <c r="W242" s="45" t="n">
        <f aca="false">U242/G242</f>
        <v>56.4992025518341</v>
      </c>
      <c r="X242" s="41" t="n">
        <f aca="false">SUM(U242-S242)/S242</f>
        <v>0.0208933717579251</v>
      </c>
      <c r="Y242" s="9" t="s">
        <v>42</v>
      </c>
      <c r="Z242" s="42"/>
      <c r="AA242" s="524"/>
      <c r="AB242" s="5" t="s">
        <v>43</v>
      </c>
      <c r="AC242" s="4" t="s">
        <v>119</v>
      </c>
      <c r="AD242" s="15" t="n">
        <v>72.5</v>
      </c>
      <c r="AE242" s="4" t="n">
        <v>3</v>
      </c>
      <c r="AF242" s="59" t="n">
        <v>7</v>
      </c>
      <c r="AG242" s="60" t="s">
        <v>547</v>
      </c>
      <c r="AJ242" s="525" t="s">
        <v>1104</v>
      </c>
    </row>
    <row r="243" customFormat="false" ht="15" hidden="false" customHeight="false" outlineLevel="0" collapsed="false">
      <c r="A243" s="11" t="s">
        <v>47</v>
      </c>
      <c r="B243" s="11" t="s">
        <v>38</v>
      </c>
      <c r="C243" s="29" t="n">
        <v>550550</v>
      </c>
      <c r="D243" s="4" t="s">
        <v>527</v>
      </c>
      <c r="E243" s="4" t="s">
        <v>147</v>
      </c>
      <c r="F243" s="5" t="s">
        <v>40</v>
      </c>
      <c r="G243" s="6" t="n">
        <v>389</v>
      </c>
      <c r="H243" s="6" t="n">
        <f aca="false">G243</f>
        <v>389</v>
      </c>
      <c r="I243" s="6" t="n">
        <v>500</v>
      </c>
      <c r="J243" s="4" t="s">
        <v>67</v>
      </c>
      <c r="M243" s="8" t="n">
        <v>45635</v>
      </c>
      <c r="P243" s="9" t="n">
        <v>0</v>
      </c>
      <c r="Q243" s="9" t="n">
        <f aca="false">P243</f>
        <v>0</v>
      </c>
      <c r="S243" s="9" t="n">
        <v>19500</v>
      </c>
      <c r="T243" s="9" t="n">
        <f aca="false">S243</f>
        <v>19500</v>
      </c>
      <c r="U243" s="9" t="n">
        <v>19500</v>
      </c>
      <c r="V243" s="9" t="n">
        <f aca="false">U243</f>
        <v>19500</v>
      </c>
      <c r="W243" s="45" t="n">
        <f aca="false">U243/G243</f>
        <v>50.1285347043702</v>
      </c>
      <c r="X243" s="41" t="n">
        <f aca="false">SUM(U243-S243)/S243</f>
        <v>0</v>
      </c>
      <c r="Y243" s="9" t="s">
        <v>42</v>
      </c>
      <c r="Z243" s="42"/>
      <c r="AA243" s="524"/>
      <c r="AB243" s="5" t="s">
        <v>43</v>
      </c>
      <c r="AC243" s="4" t="s">
        <v>68</v>
      </c>
      <c r="AD243" s="58"/>
      <c r="AF243" s="59"/>
      <c r="AJ243" s="525" t="s">
        <v>1104</v>
      </c>
    </row>
    <row r="244" customFormat="false" ht="15" hidden="false" customHeight="false" outlineLevel="0" collapsed="false">
      <c r="A244" s="11" t="s">
        <v>47</v>
      </c>
      <c r="B244" s="11" t="s">
        <v>38</v>
      </c>
      <c r="C244" s="29" t="n">
        <v>550550</v>
      </c>
      <c r="D244" s="4" t="s">
        <v>527</v>
      </c>
      <c r="E244" s="4" t="s">
        <v>152</v>
      </c>
      <c r="F244" s="5" t="s">
        <v>40</v>
      </c>
      <c r="G244" s="6" t="n">
        <v>390</v>
      </c>
      <c r="H244" s="6" t="n">
        <f aca="false">G244</f>
        <v>390</v>
      </c>
      <c r="I244" s="6" t="n">
        <v>500</v>
      </c>
      <c r="J244" s="4" t="s">
        <v>548</v>
      </c>
      <c r="K244" s="7" t="n">
        <v>45680</v>
      </c>
      <c r="L244" s="8" t="n">
        <v>47505</v>
      </c>
      <c r="M244" s="8"/>
      <c r="N244" s="8"/>
      <c r="O244" s="8" t="n">
        <v>46774</v>
      </c>
      <c r="P244" s="9" t="n">
        <v>21060</v>
      </c>
      <c r="Q244" s="9" t="n">
        <f aca="false">P244</f>
        <v>21060</v>
      </c>
      <c r="R244" s="9"/>
      <c r="S244" s="9" t="n">
        <v>0</v>
      </c>
      <c r="T244" s="9" t="n">
        <f aca="false">S244</f>
        <v>0</v>
      </c>
      <c r="U244" s="9" t="n">
        <v>19500</v>
      </c>
      <c r="V244" s="9" t="n">
        <f aca="false">U244</f>
        <v>19500</v>
      </c>
      <c r="W244" s="45" t="n">
        <f aca="false">U244/G244</f>
        <v>50</v>
      </c>
      <c r="X244" s="41"/>
      <c r="Y244" s="9" t="s">
        <v>42</v>
      </c>
      <c r="Z244" s="42"/>
      <c r="AA244" s="524"/>
      <c r="AB244" s="5" t="s">
        <v>43</v>
      </c>
      <c r="AC244" s="4" t="s">
        <v>77</v>
      </c>
      <c r="AD244" s="15"/>
      <c r="AE244" s="4"/>
      <c r="AF244" s="59"/>
      <c r="AG244" s="4"/>
      <c r="AI244" s="73"/>
      <c r="AJ244" s="525" t="s">
        <v>1103</v>
      </c>
    </row>
    <row r="245" customFormat="false" ht="15" hidden="false" customHeight="false" outlineLevel="0" collapsed="false">
      <c r="A245" s="11" t="s">
        <v>47</v>
      </c>
      <c r="B245" s="11" t="s">
        <v>38</v>
      </c>
      <c r="C245" s="29" t="n">
        <v>550550</v>
      </c>
      <c r="D245" s="4" t="s">
        <v>527</v>
      </c>
      <c r="E245" s="4" t="s">
        <v>155</v>
      </c>
      <c r="F245" s="5" t="s">
        <v>540</v>
      </c>
      <c r="G245" s="6" t="n">
        <v>691</v>
      </c>
      <c r="H245" s="6" t="n">
        <f aca="false">G245</f>
        <v>691</v>
      </c>
      <c r="I245" s="6" t="n">
        <v>750</v>
      </c>
      <c r="J245" s="4" t="s">
        <v>67</v>
      </c>
      <c r="K245" s="7"/>
      <c r="L245" s="8"/>
      <c r="M245" s="8" t="n">
        <v>45434</v>
      </c>
      <c r="N245" s="8"/>
      <c r="O245" s="8"/>
      <c r="P245" s="9" t="n">
        <v>0</v>
      </c>
      <c r="Q245" s="9" t="n">
        <f aca="false">P245</f>
        <v>0</v>
      </c>
      <c r="R245" s="9"/>
      <c r="S245" s="9" t="n">
        <v>42000</v>
      </c>
      <c r="T245" s="9" t="n">
        <f aca="false">S245</f>
        <v>42000</v>
      </c>
      <c r="U245" s="9" t="n">
        <v>41500</v>
      </c>
      <c r="V245" s="9" t="n">
        <f aca="false">U245</f>
        <v>41500</v>
      </c>
      <c r="W245" s="45" t="n">
        <f aca="false">U245/G245</f>
        <v>60.0578871201158</v>
      </c>
      <c r="X245" s="41" t="n">
        <f aca="false">SUM(U245-S245)/S245</f>
        <v>-0.0119047619047619</v>
      </c>
      <c r="Y245" s="9" t="s">
        <v>42</v>
      </c>
      <c r="Z245" s="42"/>
      <c r="AA245" s="524"/>
      <c r="AB245" s="5" t="s">
        <v>43</v>
      </c>
      <c r="AC245" s="4" t="s">
        <v>482</v>
      </c>
      <c r="AD245" s="15" t="n">
        <v>62.5</v>
      </c>
      <c r="AE245" s="4" t="n">
        <v>1</v>
      </c>
      <c r="AF245" s="59" t="n">
        <v>5</v>
      </c>
      <c r="AG245" s="4"/>
      <c r="AI245" s="73"/>
      <c r="AJ245" s="525" t="s">
        <v>1104</v>
      </c>
    </row>
    <row r="246" customFormat="false" ht="15" hidden="false" customHeight="false" outlineLevel="0" collapsed="false">
      <c r="A246" s="11" t="s">
        <v>47</v>
      </c>
      <c r="B246" s="11" t="s">
        <v>38</v>
      </c>
      <c r="C246" s="29" t="n">
        <v>550510</v>
      </c>
      <c r="D246" s="4" t="s">
        <v>549</v>
      </c>
      <c r="E246" s="4" t="s">
        <v>550</v>
      </c>
      <c r="F246" s="5" t="s">
        <v>165</v>
      </c>
      <c r="G246" s="6" t="n">
        <v>120</v>
      </c>
      <c r="H246" s="6" t="n">
        <f aca="false">G246</f>
        <v>120</v>
      </c>
      <c r="I246" s="6" t="n">
        <v>250</v>
      </c>
      <c r="J246" s="4" t="s">
        <v>551</v>
      </c>
      <c r="K246" s="7" t="n">
        <v>43881</v>
      </c>
      <c r="L246" s="7" t="n">
        <v>47240</v>
      </c>
      <c r="M246" s="7"/>
      <c r="P246" s="9" t="n">
        <v>0</v>
      </c>
      <c r="Q246" s="9" t="n">
        <f aca="false">P246</f>
        <v>0</v>
      </c>
      <c r="S246" s="9" t="n">
        <v>0</v>
      </c>
      <c r="T246" s="9" t="n">
        <f aca="false">S246</f>
        <v>0</v>
      </c>
      <c r="U246" s="9" t="n">
        <v>0</v>
      </c>
      <c r="V246" s="9" t="n">
        <f aca="false">U246</f>
        <v>0</v>
      </c>
      <c r="W246" s="45" t="n">
        <f aca="false">U246/G246</f>
        <v>0</v>
      </c>
      <c r="X246" s="41"/>
      <c r="Y246" s="9"/>
      <c r="Z246" s="42" t="s">
        <v>26</v>
      </c>
      <c r="AA246" s="524"/>
      <c r="AB246" s="5" t="s">
        <v>43</v>
      </c>
      <c r="AC246" s="4" t="s">
        <v>552</v>
      </c>
      <c r="AF246" s="59"/>
      <c r="AJ246" s="525" t="s">
        <v>1103</v>
      </c>
    </row>
    <row r="247" customFormat="false" ht="19.4" hidden="false" customHeight="false" outlineLevel="0" collapsed="false">
      <c r="A247" s="11" t="s">
        <v>47</v>
      </c>
      <c r="B247" s="11" t="s">
        <v>38</v>
      </c>
      <c r="C247" s="29" t="n">
        <v>550510</v>
      </c>
      <c r="D247" s="4" t="s">
        <v>549</v>
      </c>
      <c r="E247" s="4" t="s">
        <v>553</v>
      </c>
      <c r="F247" s="5" t="s">
        <v>251</v>
      </c>
      <c r="G247" s="6" t="n">
        <v>1032</v>
      </c>
      <c r="H247" s="6" t="n">
        <f aca="false">G247</f>
        <v>1032</v>
      </c>
      <c r="I247" s="6" t="n">
        <v>1000</v>
      </c>
      <c r="J247" s="4" t="s">
        <v>551</v>
      </c>
      <c r="K247" s="7" t="n">
        <v>43588</v>
      </c>
      <c r="L247" s="7" t="n">
        <v>47240</v>
      </c>
      <c r="M247" s="7"/>
      <c r="P247" s="98" t="n">
        <v>70000</v>
      </c>
      <c r="Q247" s="9" t="n">
        <f aca="false">P247</f>
        <v>70000</v>
      </c>
      <c r="S247" s="9" t="n">
        <v>57500</v>
      </c>
      <c r="T247" s="9" t="n">
        <f aca="false">S247</f>
        <v>57500</v>
      </c>
      <c r="U247" s="9" t="n">
        <v>57500</v>
      </c>
      <c r="V247" s="9" t="n">
        <f aca="false">U247</f>
        <v>57500</v>
      </c>
      <c r="W247" s="45" t="n">
        <f aca="false">U247/G247</f>
        <v>55.7170542635659</v>
      </c>
      <c r="X247" s="41" t="n">
        <f aca="false">SUM(U247-S247)/S247</f>
        <v>0</v>
      </c>
      <c r="Y247" s="9" t="s">
        <v>458</v>
      </c>
      <c r="Z247" s="42"/>
      <c r="AA247" s="524"/>
      <c r="AB247" s="5" t="s">
        <v>43</v>
      </c>
      <c r="AC247" s="60" t="s">
        <v>554</v>
      </c>
      <c r="AF247" s="59"/>
      <c r="AJ247" s="525" t="s">
        <v>1103</v>
      </c>
    </row>
    <row r="248" customFormat="false" ht="15" hidden="false" customHeight="false" outlineLevel="0" collapsed="false">
      <c r="A248" s="11" t="s">
        <v>47</v>
      </c>
      <c r="B248" s="11" t="s">
        <v>38</v>
      </c>
      <c r="C248" s="29" t="n">
        <v>550510</v>
      </c>
      <c r="D248" s="4" t="s">
        <v>549</v>
      </c>
      <c r="E248" s="4" t="s">
        <v>555</v>
      </c>
      <c r="F248" s="5" t="s">
        <v>237</v>
      </c>
      <c r="G248" s="6" t="n">
        <v>1028</v>
      </c>
      <c r="H248" s="6" t="n">
        <f aca="false">G248</f>
        <v>1028</v>
      </c>
      <c r="I248" s="6" t="n">
        <v>1000</v>
      </c>
      <c r="J248" s="4" t="s">
        <v>556</v>
      </c>
      <c r="K248" s="7" t="n">
        <v>44966</v>
      </c>
      <c r="L248" s="8" t="n">
        <v>46791</v>
      </c>
      <c r="M248" s="8"/>
      <c r="P248" s="9" t="n">
        <v>35000</v>
      </c>
      <c r="Q248" s="9" t="n">
        <f aca="false">P248</f>
        <v>35000</v>
      </c>
      <c r="S248" s="9" t="n">
        <v>36000</v>
      </c>
      <c r="T248" s="9" t="n">
        <f aca="false">S248</f>
        <v>36000</v>
      </c>
      <c r="U248" s="9" t="n">
        <v>35000</v>
      </c>
      <c r="V248" s="9" t="n">
        <f aca="false">U248</f>
        <v>35000</v>
      </c>
      <c r="W248" s="45" t="n">
        <f aca="false">U248/G248</f>
        <v>34.0466926070039</v>
      </c>
      <c r="X248" s="41" t="n">
        <f aca="false">SUM(U248-S248)/S248</f>
        <v>-0.0277777777777778</v>
      </c>
      <c r="Y248" s="9" t="s">
        <v>60</v>
      </c>
      <c r="Z248" s="42"/>
      <c r="AA248" s="524"/>
      <c r="AB248" s="5" t="s">
        <v>43</v>
      </c>
      <c r="AC248" s="4" t="s">
        <v>557</v>
      </c>
      <c r="AF248" s="59" t="n">
        <v>2</v>
      </c>
      <c r="AG248" s="4" t="s">
        <v>57</v>
      </c>
      <c r="AJ248" s="525" t="s">
        <v>1103</v>
      </c>
    </row>
    <row r="249" customFormat="false" ht="15" hidden="false" customHeight="false" outlineLevel="0" collapsed="false">
      <c r="A249" s="11" t="s">
        <v>47</v>
      </c>
      <c r="B249" s="11" t="s">
        <v>38</v>
      </c>
      <c r="C249" s="29" t="n">
        <v>550510</v>
      </c>
      <c r="D249" s="4" t="s">
        <v>549</v>
      </c>
      <c r="E249" s="4" t="s">
        <v>550</v>
      </c>
      <c r="F249" s="5" t="s">
        <v>165</v>
      </c>
      <c r="G249" s="6" t="n">
        <v>90</v>
      </c>
      <c r="H249" s="6" t="n">
        <f aca="false">G249</f>
        <v>90</v>
      </c>
      <c r="J249" s="4" t="s">
        <v>81</v>
      </c>
      <c r="L249" s="8"/>
      <c r="M249" s="8" t="n">
        <v>44681</v>
      </c>
      <c r="P249" s="9" t="n">
        <v>0</v>
      </c>
      <c r="Q249" s="9" t="n">
        <f aca="false">P249</f>
        <v>0</v>
      </c>
      <c r="S249" s="9" t="n">
        <v>5665</v>
      </c>
      <c r="T249" s="9" t="n">
        <f aca="false">S249</f>
        <v>5665</v>
      </c>
      <c r="U249" s="9" t="n">
        <v>900</v>
      </c>
      <c r="V249" s="9" t="n">
        <f aca="false">U249</f>
        <v>900</v>
      </c>
      <c r="W249" s="45" t="n">
        <f aca="false">U249/G249</f>
        <v>10</v>
      </c>
      <c r="X249" s="41" t="n">
        <f aca="false">SUM(U249-S249)/S249</f>
        <v>-0.841129744042365</v>
      </c>
      <c r="Y249" s="9"/>
      <c r="Z249" s="42"/>
      <c r="AA249" s="524"/>
      <c r="AB249" s="5" t="s">
        <v>43</v>
      </c>
      <c r="AF249" s="59"/>
      <c r="AJ249" s="525" t="s">
        <v>1104</v>
      </c>
    </row>
    <row r="250" customFormat="false" ht="19.4" hidden="false" customHeight="false" outlineLevel="0" collapsed="false">
      <c r="A250" s="11" t="s">
        <v>47</v>
      </c>
      <c r="B250" s="11" t="s">
        <v>38</v>
      </c>
      <c r="C250" s="29" t="n">
        <v>550510</v>
      </c>
      <c r="D250" s="4" t="s">
        <v>549</v>
      </c>
      <c r="E250" s="4" t="s">
        <v>412</v>
      </c>
      <c r="F250" s="117" t="s">
        <v>251</v>
      </c>
      <c r="G250" s="6" t="n">
        <v>894</v>
      </c>
      <c r="H250" s="6" t="n">
        <f aca="false">G250</f>
        <v>894</v>
      </c>
      <c r="I250" s="6" t="n">
        <v>1000</v>
      </c>
      <c r="J250" s="4" t="s">
        <v>558</v>
      </c>
      <c r="K250" s="7" t="n">
        <v>45413</v>
      </c>
      <c r="L250" s="8" t="n">
        <v>49064</v>
      </c>
      <c r="N250" s="8" t="n">
        <v>47239</v>
      </c>
      <c r="O250" s="8" t="n">
        <v>46507</v>
      </c>
      <c r="P250" s="9" t="n">
        <v>100000</v>
      </c>
      <c r="Q250" s="9" t="n">
        <f aca="false">P250</f>
        <v>100000</v>
      </c>
      <c r="S250" s="9" t="n">
        <v>90000</v>
      </c>
      <c r="T250" s="9" t="n">
        <f aca="false">S250</f>
        <v>90000</v>
      </c>
      <c r="U250" s="9" t="n">
        <v>100000</v>
      </c>
      <c r="V250" s="9" t="n">
        <f aca="false">U250</f>
        <v>100000</v>
      </c>
      <c r="W250" s="45" t="n">
        <f aca="false">U250/G250</f>
        <v>111.856823266219</v>
      </c>
      <c r="X250" s="41" t="n">
        <f aca="false">SUM(U250-S250)/S250</f>
        <v>0.111111111111111</v>
      </c>
      <c r="Y250" s="9" t="s">
        <v>60</v>
      </c>
      <c r="Z250" s="42"/>
      <c r="AA250" s="524"/>
      <c r="AB250" s="5" t="s">
        <v>43</v>
      </c>
      <c r="AC250" s="4" t="s">
        <v>559</v>
      </c>
      <c r="AF250" s="59"/>
      <c r="AJ250" s="525" t="s">
        <v>1103</v>
      </c>
    </row>
    <row r="251" customFormat="false" ht="15" hidden="false" customHeight="false" outlineLevel="0" collapsed="false">
      <c r="A251" s="11" t="s">
        <v>47</v>
      </c>
      <c r="B251" s="11" t="s">
        <v>38</v>
      </c>
      <c r="C251" s="29" t="n">
        <v>550510</v>
      </c>
      <c r="D251" s="4" t="s">
        <v>549</v>
      </c>
      <c r="E251" s="4" t="s">
        <v>140</v>
      </c>
      <c r="F251" s="117" t="s">
        <v>40</v>
      </c>
      <c r="G251" s="6" t="n">
        <v>635</v>
      </c>
      <c r="H251" s="6" t="n">
        <f aca="false">G251</f>
        <v>635</v>
      </c>
      <c r="I251" s="6" t="n">
        <v>750</v>
      </c>
      <c r="J251" s="4" t="s">
        <v>560</v>
      </c>
      <c r="K251" s="7" t="n">
        <v>45431</v>
      </c>
      <c r="L251" s="8" t="n">
        <v>46525</v>
      </c>
      <c r="P251" s="9" t="n">
        <v>36500</v>
      </c>
      <c r="Q251" s="9" t="n">
        <f aca="false">P251</f>
        <v>36500</v>
      </c>
      <c r="S251" s="9" t="n">
        <v>36500</v>
      </c>
      <c r="T251" s="9" t="n">
        <f aca="false">S251</f>
        <v>36500</v>
      </c>
      <c r="U251" s="9" t="n">
        <v>36500</v>
      </c>
      <c r="V251" s="9" t="n">
        <f aca="false">U251</f>
        <v>36500</v>
      </c>
      <c r="W251" s="45" t="n">
        <f aca="false">U251/G251</f>
        <v>57.4803149606299</v>
      </c>
      <c r="X251" s="41" t="n">
        <f aca="false">SUM(U251-S251)/S251</f>
        <v>0</v>
      </c>
      <c r="Y251" s="9" t="s">
        <v>127</v>
      </c>
      <c r="Z251" s="42"/>
      <c r="AA251" s="524"/>
      <c r="AB251" s="5" t="s">
        <v>43</v>
      </c>
      <c r="AC251" s="60" t="s">
        <v>64</v>
      </c>
      <c r="AF251" s="59"/>
      <c r="AJ251" s="525" t="s">
        <v>1103</v>
      </c>
    </row>
    <row r="252" customFormat="false" ht="15" hidden="false" customHeight="false" outlineLevel="0" collapsed="false">
      <c r="A252" s="11" t="s">
        <v>47</v>
      </c>
      <c r="B252" s="11" t="s">
        <v>38</v>
      </c>
      <c r="C252" s="29" t="n">
        <v>550510</v>
      </c>
      <c r="D252" s="4" t="s">
        <v>549</v>
      </c>
      <c r="E252" s="4" t="s">
        <v>137</v>
      </c>
      <c r="F252" s="5" t="s">
        <v>40</v>
      </c>
      <c r="G252" s="95" t="n">
        <v>450</v>
      </c>
      <c r="H252" s="6" t="n">
        <f aca="false">G252</f>
        <v>450</v>
      </c>
      <c r="I252" s="6" t="n">
        <v>500</v>
      </c>
      <c r="J252" s="4" t="s">
        <v>67</v>
      </c>
      <c r="M252" s="8" t="n">
        <v>42943</v>
      </c>
      <c r="P252" s="9" t="n">
        <v>0</v>
      </c>
      <c r="Q252" s="9" t="n">
        <f aca="false">P252</f>
        <v>0</v>
      </c>
      <c r="S252" s="9" t="n">
        <v>23600</v>
      </c>
      <c r="T252" s="9" t="n">
        <f aca="false">S252</f>
        <v>23600</v>
      </c>
      <c r="U252" s="9" t="n">
        <v>24800</v>
      </c>
      <c r="V252" s="9" t="n">
        <f aca="false">U252</f>
        <v>24800</v>
      </c>
      <c r="W252" s="45" t="n">
        <f aca="false">U252/G252</f>
        <v>55.1111111111111</v>
      </c>
      <c r="X252" s="41" t="n">
        <f aca="false">SUM(U252-S252)/S252</f>
        <v>0.0508474576271187</v>
      </c>
      <c r="Y252" s="9" t="s">
        <v>55</v>
      </c>
      <c r="Z252" s="42"/>
      <c r="AA252" s="524"/>
      <c r="AB252" s="5" t="s">
        <v>43</v>
      </c>
      <c r="AC252" s="4" t="s">
        <v>119</v>
      </c>
      <c r="AE252" s="4" t="n">
        <v>1</v>
      </c>
      <c r="AF252" s="59" t="n">
        <v>3</v>
      </c>
      <c r="AG252" s="4" t="s">
        <v>204</v>
      </c>
      <c r="AJ252" s="525" t="s">
        <v>1104</v>
      </c>
    </row>
    <row r="253" customFormat="false" ht="15" hidden="false" customHeight="false" outlineLevel="0" collapsed="false">
      <c r="A253" s="11" t="s">
        <v>47</v>
      </c>
      <c r="B253" s="11" t="s">
        <v>38</v>
      </c>
      <c r="C253" s="29" t="n">
        <v>550510</v>
      </c>
      <c r="D253" s="4" t="s">
        <v>549</v>
      </c>
      <c r="E253" s="4" t="s">
        <v>143</v>
      </c>
      <c r="F253" s="5" t="s">
        <v>40</v>
      </c>
      <c r="G253" s="6" t="n">
        <v>615</v>
      </c>
      <c r="H253" s="6" t="n">
        <f aca="false">G253</f>
        <v>615</v>
      </c>
      <c r="I253" s="6" t="n">
        <v>500</v>
      </c>
      <c r="J253" s="4" t="s">
        <v>561</v>
      </c>
      <c r="K253" s="7" t="n">
        <v>45092</v>
      </c>
      <c r="L253" s="8" t="n">
        <v>46918</v>
      </c>
      <c r="O253" s="8" t="n">
        <v>46187</v>
      </c>
      <c r="P253" s="9" t="n">
        <v>35363</v>
      </c>
      <c r="Q253" s="9" t="n">
        <f aca="false">P253</f>
        <v>35363</v>
      </c>
      <c r="S253" s="9" t="n">
        <v>32300</v>
      </c>
      <c r="T253" s="9" t="n">
        <f aca="false">S253</f>
        <v>32300</v>
      </c>
      <c r="U253" s="9" t="n">
        <v>35363</v>
      </c>
      <c r="V253" s="9" t="n">
        <f aca="false">U253</f>
        <v>35363</v>
      </c>
      <c r="W253" s="45" t="n">
        <f aca="false">U253/G253</f>
        <v>57.5008130081301</v>
      </c>
      <c r="X253" s="41" t="n">
        <f aca="false">SUM(U253-S253)/S253</f>
        <v>0.0948297213622291</v>
      </c>
      <c r="Y253" s="9"/>
      <c r="Z253" s="42"/>
      <c r="AA253" s="524"/>
      <c r="AB253" s="5" t="s">
        <v>43</v>
      </c>
      <c r="AC253" s="4" t="s">
        <v>562</v>
      </c>
      <c r="AF253" s="59"/>
      <c r="AJ253" s="525" t="s">
        <v>1103</v>
      </c>
    </row>
    <row r="254" customFormat="false" ht="15" hidden="false" customHeight="false" outlineLevel="0" collapsed="false">
      <c r="A254" s="11" t="s">
        <v>47</v>
      </c>
      <c r="B254" s="11" t="s">
        <v>38</v>
      </c>
      <c r="C254" s="29" t="n">
        <v>550510</v>
      </c>
      <c r="D254" s="4" t="s">
        <v>549</v>
      </c>
      <c r="E254" s="4" t="s">
        <v>145</v>
      </c>
      <c r="F254" s="5" t="s">
        <v>40</v>
      </c>
      <c r="G254" s="6" t="n">
        <v>500</v>
      </c>
      <c r="H254" s="6" t="n">
        <f aca="false">G254</f>
        <v>500</v>
      </c>
      <c r="I254" s="6" t="n">
        <v>500</v>
      </c>
      <c r="J254" s="4" t="s">
        <v>67</v>
      </c>
      <c r="M254" s="8" t="n">
        <v>43820</v>
      </c>
      <c r="P254" s="9" t="n">
        <v>0</v>
      </c>
      <c r="Q254" s="9" t="n">
        <f aca="false">P254</f>
        <v>0</v>
      </c>
      <c r="S254" s="9" t="n">
        <v>26300</v>
      </c>
      <c r="T254" s="9" t="n">
        <f aca="false">S254</f>
        <v>26300</v>
      </c>
      <c r="U254" s="9" t="n">
        <v>27500</v>
      </c>
      <c r="V254" s="9" t="n">
        <f aca="false">U254</f>
        <v>27500</v>
      </c>
      <c r="W254" s="45" t="n">
        <f aca="false">U254/G254</f>
        <v>55</v>
      </c>
      <c r="X254" s="41" t="n">
        <f aca="false">SUM(U254-S254)/S254</f>
        <v>0.0456273764258555</v>
      </c>
      <c r="Y254" s="9" t="s">
        <v>127</v>
      </c>
      <c r="Z254" s="42"/>
      <c r="AA254" s="524"/>
      <c r="AB254" s="5" t="s">
        <v>43</v>
      </c>
      <c r="AC254" s="4" t="s">
        <v>68</v>
      </c>
      <c r="AD254" s="15" t="n">
        <v>58.5</v>
      </c>
      <c r="AE254" s="4" t="n">
        <v>1</v>
      </c>
      <c r="AF254" s="59" t="n">
        <v>4</v>
      </c>
      <c r="AG254" s="4" t="s">
        <v>204</v>
      </c>
      <c r="AJ254" s="525" t="s">
        <v>1104</v>
      </c>
    </row>
    <row r="255" customFormat="false" ht="15" hidden="false" customHeight="false" outlineLevel="0" collapsed="false">
      <c r="A255" s="11" t="s">
        <v>47</v>
      </c>
      <c r="B255" s="11" t="s">
        <v>38</v>
      </c>
      <c r="C255" s="29" t="n">
        <v>550510</v>
      </c>
      <c r="D255" s="4" t="s">
        <v>549</v>
      </c>
      <c r="E255" s="4" t="s">
        <v>147</v>
      </c>
      <c r="F255" s="5" t="s">
        <v>40</v>
      </c>
      <c r="G255" s="6" t="n">
        <v>504</v>
      </c>
      <c r="H255" s="6" t="n">
        <f aca="false">G255</f>
        <v>504</v>
      </c>
      <c r="I255" s="6" t="n">
        <v>500</v>
      </c>
      <c r="J255" s="4" t="s">
        <v>563</v>
      </c>
      <c r="K255" s="7" t="n">
        <v>45601</v>
      </c>
      <c r="L255" s="8" t="n">
        <v>47426</v>
      </c>
      <c r="O255" s="8" t="n">
        <v>46330</v>
      </c>
      <c r="P255" s="9" t="n">
        <v>28050</v>
      </c>
      <c r="Q255" s="9" t="n">
        <f aca="false">P255</f>
        <v>28050</v>
      </c>
      <c r="S255" s="9" t="n">
        <v>26500</v>
      </c>
      <c r="T255" s="9" t="n">
        <f aca="false">S255</f>
        <v>26500</v>
      </c>
      <c r="U255" s="9" t="n">
        <v>27700</v>
      </c>
      <c r="V255" s="9" t="n">
        <f aca="false">U255</f>
        <v>27700</v>
      </c>
      <c r="W255" s="45" t="n">
        <f aca="false">U255/G255</f>
        <v>54.9603174603175</v>
      </c>
      <c r="X255" s="41" t="n">
        <f aca="false">SUM(U255-S255)/S255</f>
        <v>0.0452830188679245</v>
      </c>
      <c r="Y255" s="9" t="s">
        <v>127</v>
      </c>
      <c r="Z255" s="42"/>
      <c r="AA255" s="524"/>
      <c r="AB255" s="5" t="s">
        <v>43</v>
      </c>
      <c r="AC255" s="4" t="s">
        <v>77</v>
      </c>
      <c r="AD255" s="58"/>
      <c r="AF255" s="59"/>
      <c r="AJ255" s="525" t="s">
        <v>1103</v>
      </c>
    </row>
    <row r="256" customFormat="false" ht="15" hidden="false" customHeight="false" outlineLevel="0" collapsed="false">
      <c r="A256" s="11" t="s">
        <v>47</v>
      </c>
      <c r="B256" s="11" t="s">
        <v>38</v>
      </c>
      <c r="C256" s="29" t="n">
        <v>550510</v>
      </c>
      <c r="D256" s="4" t="s">
        <v>549</v>
      </c>
      <c r="E256" s="4" t="s">
        <v>546</v>
      </c>
      <c r="F256" s="5" t="s">
        <v>40</v>
      </c>
      <c r="G256" s="6" t="n">
        <v>591</v>
      </c>
      <c r="H256" s="6" t="n">
        <f aca="false">G256</f>
        <v>591</v>
      </c>
      <c r="I256" s="6" t="n">
        <v>500</v>
      </c>
      <c r="J256" s="4" t="s">
        <v>67</v>
      </c>
      <c r="M256" s="8" t="n">
        <v>44119</v>
      </c>
      <c r="P256" s="9" t="n">
        <v>0</v>
      </c>
      <c r="Q256" s="9" t="n">
        <f aca="false">P256</f>
        <v>0</v>
      </c>
      <c r="S256" s="9" t="n">
        <v>31000</v>
      </c>
      <c r="T256" s="9" t="n">
        <f aca="false">S256</f>
        <v>31000</v>
      </c>
      <c r="U256" s="9" t="n">
        <v>32500</v>
      </c>
      <c r="V256" s="9" t="n">
        <f aca="false">U256</f>
        <v>32500</v>
      </c>
      <c r="W256" s="45" t="n">
        <f aca="false">U256/G256</f>
        <v>54.9915397631134</v>
      </c>
      <c r="X256" s="41" t="n">
        <f aca="false">SUM(U256-S256)/S256</f>
        <v>0.0483870967741936</v>
      </c>
      <c r="Y256" s="9" t="s">
        <v>127</v>
      </c>
      <c r="Z256" s="42"/>
      <c r="AA256" s="524"/>
      <c r="AB256" s="5" t="s">
        <v>43</v>
      </c>
      <c r="AC256" s="4" t="s">
        <v>68</v>
      </c>
      <c r="AD256" s="15" t="n">
        <v>58.5</v>
      </c>
      <c r="AE256" s="4" t="n">
        <v>2</v>
      </c>
      <c r="AF256" s="59" t="n">
        <v>2</v>
      </c>
      <c r="AG256" s="4" t="s">
        <v>146</v>
      </c>
      <c r="AJ256" s="525" t="s">
        <v>1104</v>
      </c>
    </row>
    <row r="257" customFormat="false" ht="15" hidden="false" customHeight="false" outlineLevel="0" collapsed="false">
      <c r="A257" s="11" t="s">
        <v>47</v>
      </c>
      <c r="B257" s="11" t="s">
        <v>38</v>
      </c>
      <c r="C257" s="29" t="n">
        <v>550510</v>
      </c>
      <c r="D257" s="4" t="s">
        <v>549</v>
      </c>
      <c r="E257" s="4" t="s">
        <v>152</v>
      </c>
      <c r="F257" s="5" t="s">
        <v>40</v>
      </c>
      <c r="G257" s="6" t="n">
        <v>450</v>
      </c>
      <c r="H257" s="6" t="n">
        <f aca="false">G257</f>
        <v>450</v>
      </c>
      <c r="I257" s="6" t="n">
        <v>500</v>
      </c>
      <c r="J257" s="4" t="s">
        <v>67</v>
      </c>
      <c r="M257" s="8" t="n">
        <v>43389</v>
      </c>
      <c r="P257" s="9" t="n">
        <v>0</v>
      </c>
      <c r="Q257" s="9" t="n">
        <f aca="false">P257</f>
        <v>0</v>
      </c>
      <c r="S257" s="9" t="n">
        <v>23600</v>
      </c>
      <c r="T257" s="9" t="n">
        <f aca="false">S257</f>
        <v>23600</v>
      </c>
      <c r="U257" s="9" t="n">
        <v>24800</v>
      </c>
      <c r="V257" s="9" t="n">
        <f aca="false">U257</f>
        <v>24800</v>
      </c>
      <c r="W257" s="45" t="n">
        <f aca="false">U257/G257</f>
        <v>55.1111111111111</v>
      </c>
      <c r="X257" s="41" t="n">
        <f aca="false">SUM(U257-S257)/S257</f>
        <v>0.0508474576271187</v>
      </c>
      <c r="Y257" s="9" t="s">
        <v>127</v>
      </c>
      <c r="Z257" s="42"/>
      <c r="AA257" s="524"/>
      <c r="AB257" s="5" t="s">
        <v>43</v>
      </c>
      <c r="AC257" s="4" t="s">
        <v>68</v>
      </c>
      <c r="AD257" s="15" t="n">
        <v>58.5</v>
      </c>
      <c r="AE257" s="4" t="n">
        <v>1</v>
      </c>
      <c r="AF257" s="59" t="n">
        <v>1</v>
      </c>
      <c r="AJ257" s="525" t="s">
        <v>1104</v>
      </c>
    </row>
    <row r="258" customFormat="false" ht="15" hidden="false" customHeight="false" outlineLevel="0" collapsed="false">
      <c r="A258" s="11" t="s">
        <v>47</v>
      </c>
      <c r="B258" s="11" t="s">
        <v>38</v>
      </c>
      <c r="C258" s="29" t="n">
        <v>550510</v>
      </c>
      <c r="D258" s="4" t="s">
        <v>549</v>
      </c>
      <c r="E258" s="4" t="s">
        <v>155</v>
      </c>
      <c r="F258" s="5" t="s">
        <v>40</v>
      </c>
      <c r="G258" s="6" t="n">
        <v>582</v>
      </c>
      <c r="H258" s="6" t="n">
        <f aca="false">G258</f>
        <v>582</v>
      </c>
      <c r="I258" s="6" t="n">
        <v>500</v>
      </c>
      <c r="J258" s="4" t="s">
        <v>564</v>
      </c>
      <c r="K258" s="7" t="n">
        <v>45614</v>
      </c>
      <c r="L258" s="8" t="n">
        <v>46343</v>
      </c>
      <c r="P258" s="9" t="n">
        <v>42282</v>
      </c>
      <c r="Q258" s="9" t="n">
        <f aca="false">P258</f>
        <v>42282</v>
      </c>
      <c r="S258" s="9" t="n">
        <v>34000</v>
      </c>
      <c r="T258" s="9" t="n">
        <f aca="false">S258</f>
        <v>34000</v>
      </c>
      <c r="U258" s="9" t="n">
        <v>34000</v>
      </c>
      <c r="V258" s="9" t="n">
        <f aca="false">U258</f>
        <v>34000</v>
      </c>
      <c r="W258" s="45" t="n">
        <f aca="false">U258/G258</f>
        <v>58.4192439862543</v>
      </c>
      <c r="X258" s="41" t="n">
        <f aca="false">SUM(U258-S258)/S258</f>
        <v>0</v>
      </c>
      <c r="Y258" s="9" t="s">
        <v>127</v>
      </c>
      <c r="Z258" s="42"/>
      <c r="AA258" s="524"/>
      <c r="AB258" s="5" t="s">
        <v>43</v>
      </c>
      <c r="AC258" s="4" t="s">
        <v>565</v>
      </c>
      <c r="AD258" s="58"/>
      <c r="AF258" s="59"/>
      <c r="AJ258" s="525" t="s">
        <v>1103</v>
      </c>
    </row>
    <row r="259" customFormat="false" ht="15" hidden="false" customHeight="false" outlineLevel="0" collapsed="false">
      <c r="A259" s="11" t="s">
        <v>236</v>
      </c>
      <c r="B259" s="11" t="s">
        <v>38</v>
      </c>
      <c r="C259" s="29" t="n">
        <v>550610</v>
      </c>
      <c r="D259" s="4" t="s">
        <v>567</v>
      </c>
      <c r="E259" s="4" t="s">
        <v>568</v>
      </c>
      <c r="F259" s="5" t="s">
        <v>569</v>
      </c>
      <c r="G259" s="6" t="n">
        <v>2047</v>
      </c>
      <c r="H259" s="6" t="n">
        <f aca="false">G259</f>
        <v>2047</v>
      </c>
      <c r="I259" s="6" t="n">
        <v>2000</v>
      </c>
      <c r="J259" s="4" t="s">
        <v>570</v>
      </c>
      <c r="K259" s="7" t="n">
        <v>45100</v>
      </c>
      <c r="L259" s="8" t="n">
        <v>48752</v>
      </c>
      <c r="N259" s="8" t="n">
        <v>46926</v>
      </c>
      <c r="O259" s="8" t="n">
        <v>46195</v>
      </c>
      <c r="P259" s="9" t="n">
        <v>105000</v>
      </c>
      <c r="Q259" s="9" t="n">
        <f aca="false">P259</f>
        <v>105000</v>
      </c>
      <c r="S259" s="9" t="n">
        <v>100000</v>
      </c>
      <c r="T259" s="9" t="n">
        <f aca="false">S259</f>
        <v>100000</v>
      </c>
      <c r="U259" s="9" t="n">
        <v>105000</v>
      </c>
      <c r="V259" s="9" t="n">
        <f aca="false">U259</f>
        <v>105000</v>
      </c>
      <c r="W259" s="45" t="n">
        <f aca="false">U259/G259</f>
        <v>51.2945774303859</v>
      </c>
      <c r="X259" s="41" t="n">
        <f aca="false">SUM(U259-S259)/S259</f>
        <v>0.05</v>
      </c>
      <c r="Y259" s="9" t="s">
        <v>127</v>
      </c>
      <c r="Z259" s="42"/>
      <c r="AA259" s="524"/>
      <c r="AB259" s="5" t="s">
        <v>43</v>
      </c>
      <c r="AC259" s="4" t="s">
        <v>77</v>
      </c>
      <c r="AF259" s="59"/>
      <c r="AJ259" s="525" t="s">
        <v>1103</v>
      </c>
    </row>
    <row r="260" customFormat="false" ht="19.4" hidden="false" customHeight="false" outlineLevel="0" collapsed="false">
      <c r="A260" s="11" t="s">
        <v>236</v>
      </c>
      <c r="B260" s="11" t="s">
        <v>38</v>
      </c>
      <c r="C260" s="29" t="n">
        <v>550610</v>
      </c>
      <c r="D260" s="4" t="s">
        <v>567</v>
      </c>
      <c r="E260" s="4" t="s">
        <v>571</v>
      </c>
      <c r="F260" s="5" t="s">
        <v>49</v>
      </c>
      <c r="G260" s="6" t="n">
        <v>2185</v>
      </c>
      <c r="H260" s="6" t="n">
        <f aca="false">G260</f>
        <v>2185</v>
      </c>
      <c r="I260" s="6" t="n">
        <v>2000</v>
      </c>
      <c r="J260" s="4" t="s">
        <v>572</v>
      </c>
      <c r="K260" s="7" t="n">
        <v>42655</v>
      </c>
      <c r="L260" s="8" t="n">
        <v>46306</v>
      </c>
      <c r="P260" s="9" t="n">
        <v>100000</v>
      </c>
      <c r="Q260" s="9" t="n">
        <f aca="false">P260</f>
        <v>100000</v>
      </c>
      <c r="S260" s="9" t="n">
        <v>90000</v>
      </c>
      <c r="T260" s="9" t="n">
        <f aca="false">S260</f>
        <v>90000</v>
      </c>
      <c r="U260" s="9" t="n">
        <v>100000</v>
      </c>
      <c r="V260" s="9" t="n">
        <f aca="false">U260</f>
        <v>100000</v>
      </c>
      <c r="W260" s="45" t="n">
        <f aca="false">U260/G260</f>
        <v>45.766590389016</v>
      </c>
      <c r="X260" s="41" t="n">
        <f aca="false">SUM(U260-S260)/S260</f>
        <v>0.111111111111111</v>
      </c>
      <c r="Y260" s="9" t="s">
        <v>42</v>
      </c>
      <c r="Z260" s="42"/>
      <c r="AA260" s="524"/>
      <c r="AB260" s="5" t="s">
        <v>43</v>
      </c>
      <c r="AC260" s="4" t="s">
        <v>573</v>
      </c>
      <c r="AF260" s="59"/>
      <c r="AJ260" s="525" t="s">
        <v>1103</v>
      </c>
    </row>
    <row r="261" customFormat="false" ht="15" hidden="false" customHeight="false" outlineLevel="0" collapsed="false">
      <c r="A261" s="11" t="s">
        <v>236</v>
      </c>
      <c r="B261" s="11" t="s">
        <v>38</v>
      </c>
      <c r="C261" s="29" t="n">
        <v>550610</v>
      </c>
      <c r="D261" s="4" t="s">
        <v>567</v>
      </c>
      <c r="E261" s="4" t="s">
        <v>140</v>
      </c>
      <c r="F261" s="5" t="s">
        <v>40</v>
      </c>
      <c r="G261" s="6" t="n">
        <v>727</v>
      </c>
      <c r="H261" s="6" t="n">
        <f aca="false">G261</f>
        <v>727</v>
      </c>
      <c r="I261" s="6" t="n">
        <v>250</v>
      </c>
      <c r="J261" s="4" t="s">
        <v>574</v>
      </c>
      <c r="K261" s="7" t="n">
        <v>44703</v>
      </c>
      <c r="L261" s="8" t="n">
        <v>46528</v>
      </c>
      <c r="P261" s="9" t="n">
        <v>42350</v>
      </c>
      <c r="Q261" s="9" t="n">
        <f aca="false">P261</f>
        <v>42350</v>
      </c>
      <c r="S261" s="9" t="n">
        <v>40000</v>
      </c>
      <c r="T261" s="9" t="n">
        <f aca="false">S261</f>
        <v>40000</v>
      </c>
      <c r="U261" s="9" t="n">
        <v>41800</v>
      </c>
      <c r="V261" s="9" t="n">
        <f aca="false">U261</f>
        <v>41800</v>
      </c>
      <c r="W261" s="45" t="n">
        <f aca="false">U261/G261</f>
        <v>57.4965612104539</v>
      </c>
      <c r="X261" s="41" t="n">
        <f aca="false">SUM(U261-S261)/S261</f>
        <v>0.045</v>
      </c>
      <c r="Y261" s="9" t="s">
        <v>60</v>
      </c>
      <c r="Z261" s="42"/>
      <c r="AA261" s="524"/>
      <c r="AB261" s="5" t="s">
        <v>43</v>
      </c>
      <c r="AC261" s="60" t="s">
        <v>64</v>
      </c>
      <c r="AF261" s="59"/>
      <c r="AJ261" s="525" t="s">
        <v>1103</v>
      </c>
    </row>
    <row r="262" customFormat="false" ht="15" hidden="false" customHeight="false" outlineLevel="0" collapsed="false">
      <c r="A262" s="11" t="s">
        <v>236</v>
      </c>
      <c r="B262" s="11" t="s">
        <v>38</v>
      </c>
      <c r="C262" s="29" t="n">
        <v>550610</v>
      </c>
      <c r="D262" s="4" t="s">
        <v>567</v>
      </c>
      <c r="E262" s="4" t="s">
        <v>575</v>
      </c>
      <c r="F262" s="5" t="s">
        <v>40</v>
      </c>
      <c r="G262" s="6" t="n">
        <v>710</v>
      </c>
      <c r="H262" s="6" t="n">
        <f aca="false">G262</f>
        <v>710</v>
      </c>
      <c r="I262" s="6" t="n">
        <v>750</v>
      </c>
      <c r="J262" s="4" t="s">
        <v>576</v>
      </c>
      <c r="K262" s="7" t="n">
        <v>45551</v>
      </c>
      <c r="L262" s="8" t="n">
        <v>46645</v>
      </c>
      <c r="O262" s="8" t="n">
        <v>46280</v>
      </c>
      <c r="P262" s="9" t="n">
        <v>47250</v>
      </c>
      <c r="Q262" s="9" t="n">
        <f aca="false">P262</f>
        <v>47250</v>
      </c>
      <c r="S262" s="9" t="n">
        <v>35000</v>
      </c>
      <c r="T262" s="9" t="n">
        <f aca="false">S262</f>
        <v>35000</v>
      </c>
      <c r="U262" s="9" t="n">
        <v>40800</v>
      </c>
      <c r="V262" s="9" t="n">
        <f aca="false">U262</f>
        <v>40800</v>
      </c>
      <c r="W262" s="45" t="n">
        <f aca="false">U262/G262</f>
        <v>57.4647887323944</v>
      </c>
      <c r="X262" s="41" t="n">
        <f aca="false">SUM(U262-S262)/S262</f>
        <v>0.165714285714286</v>
      </c>
      <c r="Y262" s="9" t="s">
        <v>60</v>
      </c>
      <c r="Z262" s="42"/>
      <c r="AA262" s="524"/>
      <c r="AB262" s="5" t="s">
        <v>43</v>
      </c>
      <c r="AC262" s="4" t="s">
        <v>577</v>
      </c>
      <c r="AE262" s="60"/>
      <c r="AF262" s="62"/>
      <c r="AG262" s="60"/>
      <c r="AJ262" s="525" t="s">
        <v>1103</v>
      </c>
    </row>
    <row r="263" customFormat="false" ht="15" hidden="false" customHeight="false" outlineLevel="0" collapsed="false">
      <c r="A263" s="11" t="s">
        <v>236</v>
      </c>
      <c r="B263" s="11" t="s">
        <v>38</v>
      </c>
      <c r="C263" s="29" t="n">
        <v>550610</v>
      </c>
      <c r="D263" s="4" t="s">
        <v>567</v>
      </c>
      <c r="E263" s="4" t="s">
        <v>578</v>
      </c>
      <c r="F263" s="5" t="s">
        <v>40</v>
      </c>
      <c r="G263" s="6" t="n">
        <v>130</v>
      </c>
      <c r="H263" s="6" t="n">
        <f aca="false">G263</f>
        <v>130</v>
      </c>
      <c r="I263" s="6" t="n">
        <v>250</v>
      </c>
      <c r="J263" s="4" t="s">
        <v>210</v>
      </c>
      <c r="K263" s="7" t="n">
        <v>45456</v>
      </c>
      <c r="L263" s="8" t="n">
        <v>47085</v>
      </c>
      <c r="O263" s="8" t="n">
        <v>46354</v>
      </c>
      <c r="P263" s="9" t="n">
        <v>7320</v>
      </c>
      <c r="Q263" s="9" t="n">
        <f aca="false">P263</f>
        <v>7320</v>
      </c>
      <c r="S263" s="9" t="n">
        <v>7000</v>
      </c>
      <c r="T263" s="9" t="n">
        <f aca="false">S263</f>
        <v>7000</v>
      </c>
      <c r="U263" s="9" t="n">
        <v>7360</v>
      </c>
      <c r="V263" s="9" t="n">
        <f aca="false">U263</f>
        <v>7360</v>
      </c>
      <c r="W263" s="45" t="n">
        <f aca="false">U263/G263</f>
        <v>56.6153846153846</v>
      </c>
      <c r="X263" s="41" t="n">
        <f aca="false">SUM(U263-S263)/S263</f>
        <v>0.0514285714285714</v>
      </c>
      <c r="Y263" s="9" t="s">
        <v>60</v>
      </c>
      <c r="Z263" s="42"/>
      <c r="AA263" s="524"/>
      <c r="AB263" s="5" t="s">
        <v>43</v>
      </c>
      <c r="AC263" s="4" t="s">
        <v>77</v>
      </c>
      <c r="AF263" s="59"/>
      <c r="AJ263" s="525" t="s">
        <v>1103</v>
      </c>
    </row>
    <row r="264" customFormat="false" ht="15" hidden="false" customHeight="false" outlineLevel="0" collapsed="false">
      <c r="A264" s="11" t="s">
        <v>236</v>
      </c>
      <c r="B264" s="11" t="s">
        <v>38</v>
      </c>
      <c r="C264" s="29" t="n">
        <v>550610</v>
      </c>
      <c r="D264" s="4" t="s">
        <v>567</v>
      </c>
      <c r="E264" s="4" t="s">
        <v>143</v>
      </c>
      <c r="F264" s="110" t="s">
        <v>40</v>
      </c>
      <c r="G264" s="6" t="n">
        <v>710</v>
      </c>
      <c r="H264" s="6" t="n">
        <f aca="false">G264</f>
        <v>710</v>
      </c>
      <c r="I264" s="6" t="n">
        <v>750</v>
      </c>
      <c r="J264" s="4" t="s">
        <v>579</v>
      </c>
      <c r="K264" s="7" t="n">
        <v>45253</v>
      </c>
      <c r="L264" s="8" t="n">
        <v>46348</v>
      </c>
      <c r="P264" s="9" t="n">
        <v>42350</v>
      </c>
      <c r="Q264" s="9" t="n">
        <f aca="false">P264</f>
        <v>42350</v>
      </c>
      <c r="S264" s="9" t="n">
        <v>38700</v>
      </c>
      <c r="T264" s="9" t="n">
        <f aca="false">S264</f>
        <v>38700</v>
      </c>
      <c r="U264" s="9" t="n">
        <v>40800</v>
      </c>
      <c r="V264" s="9" t="n">
        <f aca="false">U264</f>
        <v>40800</v>
      </c>
      <c r="W264" s="45" t="n">
        <f aca="false">U264/G264</f>
        <v>57.4647887323944</v>
      </c>
      <c r="X264" s="41" t="n">
        <f aca="false">SUM(U264-S264)/S264</f>
        <v>0.0542635658914729</v>
      </c>
      <c r="Y264" s="9" t="s">
        <v>60</v>
      </c>
      <c r="Z264" s="42"/>
      <c r="AA264" s="524"/>
      <c r="AB264" s="5" t="s">
        <v>43</v>
      </c>
      <c r="AE264" s="4" t="n">
        <v>1</v>
      </c>
      <c r="AF264" s="59" t="n">
        <v>1</v>
      </c>
      <c r="AJ264" s="525" t="s">
        <v>1103</v>
      </c>
    </row>
    <row r="265" customFormat="false" ht="15" hidden="false" customHeight="false" outlineLevel="0" collapsed="false">
      <c r="A265" s="11" t="s">
        <v>236</v>
      </c>
      <c r="B265" s="11" t="s">
        <v>38</v>
      </c>
      <c r="C265" s="29" t="n">
        <v>550610</v>
      </c>
      <c r="D265" s="4" t="s">
        <v>567</v>
      </c>
      <c r="E265" s="4" t="s">
        <v>580</v>
      </c>
      <c r="F265" s="110" t="s">
        <v>40</v>
      </c>
      <c r="G265" s="6" t="n">
        <v>130</v>
      </c>
      <c r="H265" s="6" t="n">
        <f aca="false">G265</f>
        <v>130</v>
      </c>
      <c r="I265" s="6" t="n">
        <v>250</v>
      </c>
      <c r="J265" s="4" t="s">
        <v>210</v>
      </c>
      <c r="K265" s="7" t="n">
        <v>45259</v>
      </c>
      <c r="L265" s="8" t="n">
        <v>47085</v>
      </c>
      <c r="O265" s="8" t="n">
        <v>46354</v>
      </c>
      <c r="P265" s="9" t="n">
        <v>7320</v>
      </c>
      <c r="Q265" s="9" t="n">
        <f aca="false">P265</f>
        <v>7320</v>
      </c>
      <c r="S265" s="9" t="n">
        <v>6300</v>
      </c>
      <c r="T265" s="9" t="n">
        <f aca="false">S265</f>
        <v>6300</v>
      </c>
      <c r="U265" s="9" t="n">
        <v>7500</v>
      </c>
      <c r="V265" s="9" t="n">
        <f aca="false">U265</f>
        <v>7500</v>
      </c>
      <c r="W265" s="45" t="n">
        <f aca="false">U265/G265</f>
        <v>57.6923076923077</v>
      </c>
      <c r="X265" s="41" t="n">
        <f aca="false">SUM(U265-S265)/S265</f>
        <v>0.19047619047619</v>
      </c>
      <c r="Y265" s="9" t="s">
        <v>60</v>
      </c>
      <c r="Z265" s="42"/>
      <c r="AA265" s="524"/>
      <c r="AB265" s="5" t="s">
        <v>43</v>
      </c>
      <c r="AC265" s="4" t="s">
        <v>77</v>
      </c>
      <c r="AF265" s="59"/>
      <c r="AJ265" s="525" t="s">
        <v>1103</v>
      </c>
    </row>
    <row r="266" customFormat="false" ht="15" hidden="false" customHeight="false" outlineLevel="0" collapsed="false">
      <c r="A266" s="11" t="s">
        <v>236</v>
      </c>
      <c r="B266" s="11" t="s">
        <v>38</v>
      </c>
      <c r="C266" s="29" t="n">
        <v>550610</v>
      </c>
      <c r="D266" s="4" t="s">
        <v>567</v>
      </c>
      <c r="E266" s="4" t="s">
        <v>145</v>
      </c>
      <c r="F266" s="5" t="s">
        <v>40</v>
      </c>
      <c r="G266" s="6" t="n">
        <v>727</v>
      </c>
      <c r="H266" s="6" t="n">
        <f aca="false">G266</f>
        <v>727</v>
      </c>
      <c r="I266" s="6" t="n">
        <v>750</v>
      </c>
      <c r="J266" s="4" t="s">
        <v>67</v>
      </c>
      <c r="M266" s="8" t="n">
        <v>43080</v>
      </c>
      <c r="P266" s="9" t="n">
        <v>0</v>
      </c>
      <c r="Q266" s="9" t="n">
        <f aca="false">P266</f>
        <v>0</v>
      </c>
      <c r="S266" s="9" t="n">
        <v>35000</v>
      </c>
      <c r="T266" s="9" t="n">
        <f aca="false">S266</f>
        <v>35000</v>
      </c>
      <c r="U266" s="9" t="n">
        <v>41800</v>
      </c>
      <c r="V266" s="9" t="n">
        <f aca="false">U266</f>
        <v>41800</v>
      </c>
      <c r="W266" s="45" t="n">
        <f aca="false">U266/G266</f>
        <v>57.4965612104539</v>
      </c>
      <c r="X266" s="41" t="n">
        <f aca="false">SUM(U266-S266)/S266</f>
        <v>0.194285714285714</v>
      </c>
      <c r="Y266" s="9" t="s">
        <v>60</v>
      </c>
      <c r="Z266" s="42"/>
      <c r="AA266" s="524"/>
      <c r="AB266" s="5" t="s">
        <v>43</v>
      </c>
      <c r="AC266" s="4" t="s">
        <v>119</v>
      </c>
      <c r="AD266" s="15" t="n">
        <v>62.5</v>
      </c>
      <c r="AE266" s="4" t="n">
        <v>1</v>
      </c>
      <c r="AF266" s="59" t="n">
        <v>1</v>
      </c>
      <c r="AJ266" s="525" t="s">
        <v>1104</v>
      </c>
    </row>
    <row r="267" customFormat="false" ht="15" hidden="false" customHeight="false" outlineLevel="0" collapsed="false">
      <c r="A267" s="11" t="s">
        <v>236</v>
      </c>
      <c r="B267" s="11" t="s">
        <v>38</v>
      </c>
      <c r="C267" s="29" t="n">
        <v>550610</v>
      </c>
      <c r="D267" s="4" t="s">
        <v>567</v>
      </c>
      <c r="E267" s="4" t="s">
        <v>546</v>
      </c>
      <c r="F267" s="5" t="s">
        <v>40</v>
      </c>
      <c r="G267" s="6" t="n">
        <v>760</v>
      </c>
      <c r="H267" s="6" t="n">
        <f aca="false">G267</f>
        <v>760</v>
      </c>
      <c r="I267" s="6" t="n">
        <v>750</v>
      </c>
      <c r="J267" s="4" t="s">
        <v>67</v>
      </c>
      <c r="M267" s="8" t="n">
        <v>43593</v>
      </c>
      <c r="P267" s="9" t="n">
        <v>0</v>
      </c>
      <c r="Q267" s="9" t="n">
        <f aca="false">P267</f>
        <v>0</v>
      </c>
      <c r="S267" s="9" t="n">
        <v>40000</v>
      </c>
      <c r="T267" s="9" t="n">
        <f aca="false">S267</f>
        <v>40000</v>
      </c>
      <c r="U267" s="9" t="n">
        <v>43700</v>
      </c>
      <c r="V267" s="9" t="n">
        <f aca="false">U267</f>
        <v>43700</v>
      </c>
      <c r="W267" s="45" t="n">
        <f aca="false">U267/G267</f>
        <v>57.5</v>
      </c>
      <c r="X267" s="41" t="n">
        <f aca="false">SUM(U267-S267)/S267</f>
        <v>0.0925</v>
      </c>
      <c r="Y267" s="9" t="s">
        <v>60</v>
      </c>
      <c r="Z267" s="42"/>
      <c r="AA267" s="524"/>
      <c r="AB267" s="5" t="s">
        <v>43</v>
      </c>
      <c r="AC267" s="4" t="s">
        <v>119</v>
      </c>
      <c r="AD267" s="15" t="n">
        <v>62.5</v>
      </c>
      <c r="AE267" s="4" t="n">
        <v>4</v>
      </c>
      <c r="AF267" s="59" t="n">
        <v>5</v>
      </c>
      <c r="AG267" s="4" t="s">
        <v>57</v>
      </c>
      <c r="AJ267" s="525" t="s">
        <v>1104</v>
      </c>
    </row>
    <row r="268" customFormat="false" ht="15" hidden="false" customHeight="false" outlineLevel="0" collapsed="false">
      <c r="A268" s="11" t="s">
        <v>236</v>
      </c>
      <c r="B268" s="11" t="s">
        <v>38</v>
      </c>
      <c r="C268" s="29" t="n">
        <v>550610</v>
      </c>
      <c r="D268" s="4" t="s">
        <v>567</v>
      </c>
      <c r="E268" s="4" t="s">
        <v>147</v>
      </c>
      <c r="F268" s="5" t="s">
        <v>40</v>
      </c>
      <c r="G268" s="6" t="n">
        <v>666</v>
      </c>
      <c r="H268" s="6" t="n">
        <f aca="false">G268</f>
        <v>666</v>
      </c>
      <c r="I268" s="6" t="n">
        <v>750</v>
      </c>
      <c r="J268" s="4" t="s">
        <v>67</v>
      </c>
      <c r="M268" s="8" t="n">
        <v>42905</v>
      </c>
      <c r="P268" s="9" t="n">
        <v>0</v>
      </c>
      <c r="Q268" s="9" t="n">
        <f aca="false">P268</f>
        <v>0</v>
      </c>
      <c r="S268" s="9" t="n">
        <v>35000</v>
      </c>
      <c r="T268" s="9" t="n">
        <f aca="false">S268</f>
        <v>35000</v>
      </c>
      <c r="U268" s="9" t="n">
        <v>38300</v>
      </c>
      <c r="V268" s="9" t="n">
        <f aca="false">U268</f>
        <v>38300</v>
      </c>
      <c r="W268" s="45" t="n">
        <f aca="false">U268/G268</f>
        <v>57.5075075075075</v>
      </c>
      <c r="X268" s="41" t="n">
        <f aca="false">SUM(U268-S268)/S268</f>
        <v>0.0942857142857143</v>
      </c>
      <c r="Y268" s="9" t="s">
        <v>60</v>
      </c>
      <c r="Z268" s="42"/>
      <c r="AA268" s="524"/>
      <c r="AB268" s="5" t="s">
        <v>43</v>
      </c>
      <c r="AC268" s="4" t="s">
        <v>119</v>
      </c>
      <c r="AD268" s="15" t="n">
        <v>62.5</v>
      </c>
      <c r="AE268" s="4" t="n">
        <v>0</v>
      </c>
      <c r="AF268" s="59" t="n">
        <v>1</v>
      </c>
      <c r="AG268" s="4" t="s">
        <v>57</v>
      </c>
      <c r="AJ268" s="525" t="s">
        <v>1104</v>
      </c>
    </row>
    <row r="269" customFormat="false" ht="15" hidden="false" customHeight="false" outlineLevel="0" collapsed="false">
      <c r="A269" s="11" t="s">
        <v>236</v>
      </c>
      <c r="B269" s="11" t="s">
        <v>38</v>
      </c>
      <c r="C269" s="29" t="n">
        <v>550610</v>
      </c>
      <c r="D269" s="4" t="s">
        <v>567</v>
      </c>
      <c r="E269" s="4" t="s">
        <v>155</v>
      </c>
      <c r="F269" s="5" t="s">
        <v>40</v>
      </c>
      <c r="G269" s="6" t="n">
        <v>767</v>
      </c>
      <c r="H269" s="6" t="n">
        <f aca="false">G269</f>
        <v>767</v>
      </c>
      <c r="I269" s="6" t="n">
        <v>750</v>
      </c>
      <c r="J269" s="4" t="s">
        <v>67</v>
      </c>
      <c r="M269" s="8" t="n">
        <v>45719</v>
      </c>
      <c r="P269" s="9" t="n">
        <v>0</v>
      </c>
      <c r="Q269" s="9" t="n">
        <f aca="false">P269</f>
        <v>0</v>
      </c>
      <c r="S269" s="9" t="n">
        <v>40000</v>
      </c>
      <c r="T269" s="9" t="n">
        <f aca="false">S269</f>
        <v>40000</v>
      </c>
      <c r="U269" s="9" t="n">
        <v>44100</v>
      </c>
      <c r="V269" s="9" t="n">
        <f aca="false">U269</f>
        <v>44100</v>
      </c>
      <c r="W269" s="45" t="n">
        <f aca="false">U269/G269</f>
        <v>57.496740547588</v>
      </c>
      <c r="X269" s="41" t="n">
        <f aca="false">SUM(U269-S269)/S269</f>
        <v>0.1025</v>
      </c>
      <c r="Y269" s="9" t="s">
        <v>60</v>
      </c>
      <c r="Z269" s="42"/>
      <c r="AA269" s="524"/>
      <c r="AB269" s="5" t="s">
        <v>43</v>
      </c>
      <c r="AC269" s="4" t="s">
        <v>119</v>
      </c>
      <c r="AE269" s="60"/>
      <c r="AF269" s="62" t="n">
        <v>1</v>
      </c>
      <c r="AG269" s="60"/>
      <c r="AJ269" s="525" t="s">
        <v>1104</v>
      </c>
    </row>
    <row r="270" customFormat="false" ht="15" hidden="false" customHeight="false" outlineLevel="0" collapsed="false">
      <c r="A270" s="11" t="s">
        <v>236</v>
      </c>
      <c r="B270" s="11" t="s">
        <v>38</v>
      </c>
      <c r="C270" s="29" t="n">
        <v>550610</v>
      </c>
      <c r="D270" s="4" t="s">
        <v>567</v>
      </c>
      <c r="E270" s="4" t="s">
        <v>152</v>
      </c>
      <c r="F270" s="5" t="s">
        <v>40</v>
      </c>
      <c r="G270" s="6" t="n">
        <v>645</v>
      </c>
      <c r="H270" s="6" t="n">
        <f aca="false">G270</f>
        <v>645</v>
      </c>
      <c r="I270" s="6" t="n">
        <v>750</v>
      </c>
      <c r="J270" s="4" t="s">
        <v>67</v>
      </c>
      <c r="M270" s="8" t="n">
        <v>44263</v>
      </c>
      <c r="P270" s="9" t="n">
        <v>0</v>
      </c>
      <c r="Q270" s="9" t="n">
        <f aca="false">P270</f>
        <v>0</v>
      </c>
      <c r="S270" s="9" t="n">
        <v>35000</v>
      </c>
      <c r="T270" s="9" t="n">
        <f aca="false">S270</f>
        <v>35000</v>
      </c>
      <c r="U270" s="9" t="n">
        <v>37100</v>
      </c>
      <c r="V270" s="9" t="n">
        <f aca="false">U270</f>
        <v>37100</v>
      </c>
      <c r="W270" s="45" t="n">
        <f aca="false">U270/G270</f>
        <v>57.5193798449612</v>
      </c>
      <c r="X270" s="41" t="n">
        <f aca="false">SUM(U270-S270)/S270</f>
        <v>0.06</v>
      </c>
      <c r="Y270" s="9" t="s">
        <v>60</v>
      </c>
      <c r="Z270" s="42"/>
      <c r="AA270" s="524"/>
      <c r="AB270" s="5" t="s">
        <v>43</v>
      </c>
      <c r="AC270" s="4" t="s">
        <v>119</v>
      </c>
      <c r="AD270" s="15" t="n">
        <v>60</v>
      </c>
      <c r="AF270" s="59"/>
      <c r="AJ270" s="525" t="s">
        <v>1104</v>
      </c>
    </row>
    <row r="271" customFormat="false" ht="15" hidden="false" customHeight="false" outlineLevel="0" collapsed="false">
      <c r="A271" s="11" t="s">
        <v>236</v>
      </c>
      <c r="B271" s="11" t="s">
        <v>38</v>
      </c>
      <c r="C271" s="29" t="n">
        <v>550610</v>
      </c>
      <c r="D271" s="4" t="s">
        <v>567</v>
      </c>
      <c r="E271" s="4" t="s">
        <v>156</v>
      </c>
      <c r="F271" s="5" t="s">
        <v>40</v>
      </c>
      <c r="G271" s="6" t="n">
        <v>767</v>
      </c>
      <c r="H271" s="6" t="n">
        <f aca="false">G271</f>
        <v>767</v>
      </c>
      <c r="I271" s="6" t="n">
        <v>750</v>
      </c>
      <c r="J271" s="4" t="s">
        <v>67</v>
      </c>
      <c r="M271" s="8" t="n">
        <v>44263</v>
      </c>
      <c r="P271" s="9" t="n">
        <v>0</v>
      </c>
      <c r="Q271" s="9" t="n">
        <f aca="false">P271</f>
        <v>0</v>
      </c>
      <c r="S271" s="9" t="n">
        <v>40000</v>
      </c>
      <c r="T271" s="9" t="n">
        <f aca="false">S271</f>
        <v>40000</v>
      </c>
      <c r="U271" s="9" t="n">
        <v>44100</v>
      </c>
      <c r="V271" s="9" t="n">
        <f aca="false">U271</f>
        <v>44100</v>
      </c>
      <c r="W271" s="45" t="n">
        <f aca="false">U271/G271</f>
        <v>57.496740547588</v>
      </c>
      <c r="X271" s="41" t="n">
        <f aca="false">SUM(U271-S271)/S271</f>
        <v>0.1025</v>
      </c>
      <c r="Y271" s="9" t="s">
        <v>60</v>
      </c>
      <c r="Z271" s="42"/>
      <c r="AA271" s="524"/>
      <c r="AB271" s="5" t="s">
        <v>43</v>
      </c>
      <c r="AC271" s="4" t="s">
        <v>119</v>
      </c>
      <c r="AD271" s="15" t="n">
        <v>60</v>
      </c>
      <c r="AF271" s="59"/>
      <c r="AJ271" s="525" t="s">
        <v>1104</v>
      </c>
    </row>
    <row r="272" customFormat="false" ht="15" hidden="false" customHeight="false" outlineLevel="0" collapsed="false">
      <c r="A272" s="11" t="s">
        <v>236</v>
      </c>
      <c r="B272" s="11" t="s">
        <v>38</v>
      </c>
      <c r="C272" s="29" t="n">
        <v>550610</v>
      </c>
      <c r="D272" s="4" t="s">
        <v>567</v>
      </c>
      <c r="E272" s="4" t="s">
        <v>158</v>
      </c>
      <c r="F272" s="5" t="s">
        <v>40</v>
      </c>
      <c r="G272" s="6" t="n">
        <v>534</v>
      </c>
      <c r="H272" s="6" t="n">
        <f aca="false">G272</f>
        <v>534</v>
      </c>
      <c r="I272" s="6" t="n">
        <v>500</v>
      </c>
      <c r="J272" s="4" t="s">
        <v>67</v>
      </c>
      <c r="M272" s="8" t="n">
        <v>43061</v>
      </c>
      <c r="P272" s="9" t="n">
        <v>0</v>
      </c>
      <c r="Q272" s="9" t="n">
        <f aca="false">P272</f>
        <v>0</v>
      </c>
      <c r="S272" s="9" t="n">
        <v>30500</v>
      </c>
      <c r="T272" s="9" t="n">
        <f aca="false">S272</f>
        <v>30500</v>
      </c>
      <c r="U272" s="9" t="n">
        <v>30700</v>
      </c>
      <c r="V272" s="9" t="n">
        <f aca="false">U272</f>
        <v>30700</v>
      </c>
      <c r="W272" s="45" t="n">
        <f aca="false">U272/G272</f>
        <v>57.4906367041199</v>
      </c>
      <c r="X272" s="41" t="n">
        <f aca="false">SUM(U272-S272)/S272</f>
        <v>0.00655737704918033</v>
      </c>
      <c r="Y272" s="9" t="s">
        <v>60</v>
      </c>
      <c r="Z272" s="42"/>
      <c r="AA272" s="524"/>
      <c r="AB272" s="5" t="s">
        <v>43</v>
      </c>
      <c r="AC272" s="4" t="s">
        <v>119</v>
      </c>
      <c r="AD272" s="15" t="n">
        <v>60</v>
      </c>
      <c r="AF272" s="59"/>
      <c r="AJ272" s="525" t="s">
        <v>1104</v>
      </c>
    </row>
    <row r="273" customFormat="false" ht="15" hidden="false" customHeight="false" outlineLevel="0" collapsed="false">
      <c r="A273" s="11" t="s">
        <v>236</v>
      </c>
      <c r="B273" s="11" t="s">
        <v>38</v>
      </c>
      <c r="C273" s="29" t="n">
        <v>550620</v>
      </c>
      <c r="D273" s="4" t="s">
        <v>582</v>
      </c>
      <c r="E273" s="4" t="s">
        <v>264</v>
      </c>
      <c r="F273" s="5" t="s">
        <v>258</v>
      </c>
      <c r="G273" s="6" t="n">
        <v>930</v>
      </c>
      <c r="H273" s="6" t="n">
        <f aca="false">G273</f>
        <v>930</v>
      </c>
      <c r="I273" s="6" t="n">
        <v>1000</v>
      </c>
      <c r="J273" s="4" t="s">
        <v>583</v>
      </c>
      <c r="K273" s="7" t="n">
        <v>45588</v>
      </c>
      <c r="L273" s="8" t="n">
        <v>46132</v>
      </c>
      <c r="P273" s="9" t="n">
        <v>46500</v>
      </c>
      <c r="Q273" s="9" t="n">
        <f aca="false">P273</f>
        <v>46500</v>
      </c>
      <c r="S273" s="9" t="n">
        <v>45350</v>
      </c>
      <c r="T273" s="9" t="n">
        <f aca="false">S273</f>
        <v>45350</v>
      </c>
      <c r="U273" s="9" t="n">
        <v>45350</v>
      </c>
      <c r="V273" s="9" t="n">
        <f aca="false">U273</f>
        <v>45350</v>
      </c>
      <c r="W273" s="45" t="n">
        <f aca="false">U273/G273</f>
        <v>48.7634408602151</v>
      </c>
      <c r="X273" s="41" t="n">
        <f aca="false">SUM(U273-S273)/S273</f>
        <v>0</v>
      </c>
      <c r="Y273" s="98" t="s">
        <v>55</v>
      </c>
      <c r="Z273" s="42"/>
      <c r="AA273" s="44"/>
      <c r="AB273" s="5" t="s">
        <v>43</v>
      </c>
      <c r="AF273" s="59"/>
      <c r="AJ273" s="525" t="s">
        <v>1103</v>
      </c>
    </row>
    <row r="274" customFormat="false" ht="15" hidden="false" customHeight="false" outlineLevel="0" collapsed="false">
      <c r="A274" s="11" t="s">
        <v>236</v>
      </c>
      <c r="B274" s="11" t="s">
        <v>38</v>
      </c>
      <c r="C274" s="29" t="n">
        <v>550620</v>
      </c>
      <c r="D274" s="4" t="s">
        <v>582</v>
      </c>
      <c r="E274" s="4" t="s">
        <v>89</v>
      </c>
      <c r="F274" s="5" t="s">
        <v>40</v>
      </c>
      <c r="G274" s="6" t="n">
        <v>360</v>
      </c>
      <c r="H274" s="6" t="n">
        <f aca="false">G274</f>
        <v>360</v>
      </c>
      <c r="I274" s="6" t="n">
        <v>250</v>
      </c>
      <c r="J274" s="4" t="s">
        <v>583</v>
      </c>
      <c r="K274" s="7" t="n">
        <v>44307</v>
      </c>
      <c r="L274" s="8" t="n">
        <v>46132</v>
      </c>
      <c r="P274" s="9" t="n">
        <v>18500</v>
      </c>
      <c r="Q274" s="9" t="n">
        <f aca="false">P274</f>
        <v>18500</v>
      </c>
      <c r="S274" s="9" t="n">
        <v>20200</v>
      </c>
      <c r="T274" s="9" t="n">
        <f aca="false">S274</f>
        <v>20200</v>
      </c>
      <c r="U274" s="9" t="n">
        <v>20700</v>
      </c>
      <c r="V274" s="9" t="n">
        <f aca="false">U274</f>
        <v>20700</v>
      </c>
      <c r="W274" s="45" t="n">
        <f aca="false">U274/G274</f>
        <v>57.5</v>
      </c>
      <c r="X274" s="41" t="n">
        <f aca="false">SUM(U274-S274)/S274</f>
        <v>0.0247524752475248</v>
      </c>
      <c r="Y274" s="9" t="s">
        <v>60</v>
      </c>
      <c r="Z274" s="42"/>
      <c r="AA274" s="44"/>
      <c r="AB274" s="5" t="s">
        <v>43</v>
      </c>
      <c r="AF274" s="59"/>
      <c r="AJ274" s="525" t="s">
        <v>1103</v>
      </c>
    </row>
    <row r="275" customFormat="false" ht="15" hidden="false" customHeight="false" outlineLevel="0" collapsed="false">
      <c r="A275" s="11" t="s">
        <v>236</v>
      </c>
      <c r="B275" s="11" t="s">
        <v>38</v>
      </c>
      <c r="C275" s="29" t="n">
        <v>550620</v>
      </c>
      <c r="D275" s="4" t="s">
        <v>582</v>
      </c>
      <c r="E275" s="4" t="s">
        <v>93</v>
      </c>
      <c r="F275" s="5" t="s">
        <v>40</v>
      </c>
      <c r="G275" s="6" t="n">
        <v>375</v>
      </c>
      <c r="H275" s="6" t="n">
        <f aca="false">G275</f>
        <v>375</v>
      </c>
      <c r="I275" s="6" t="n">
        <v>500</v>
      </c>
      <c r="J275" s="4" t="s">
        <v>67</v>
      </c>
      <c r="M275" s="8" t="n">
        <v>45407</v>
      </c>
      <c r="P275" s="9" t="n">
        <v>0</v>
      </c>
      <c r="Q275" s="9" t="n">
        <f aca="false">P275</f>
        <v>0</v>
      </c>
      <c r="S275" s="9" t="n">
        <v>21000</v>
      </c>
      <c r="T275" s="9" t="n">
        <f aca="false">S275</f>
        <v>21000</v>
      </c>
      <c r="U275" s="9" t="n">
        <v>21600</v>
      </c>
      <c r="V275" s="9" t="n">
        <f aca="false">U275</f>
        <v>21600</v>
      </c>
      <c r="W275" s="45" t="n">
        <f aca="false">U275/G275</f>
        <v>57.6</v>
      </c>
      <c r="X275" s="41" t="n">
        <f aca="false">SUM(U275-S275)/S275</f>
        <v>0.0285714285714286</v>
      </c>
      <c r="Y275" s="9" t="s">
        <v>60</v>
      </c>
      <c r="Z275" s="42"/>
      <c r="AA275" s="44"/>
      <c r="AB275" s="5" t="s">
        <v>43</v>
      </c>
      <c r="AC275" s="4" t="s">
        <v>119</v>
      </c>
      <c r="AE275" s="4" t="n">
        <v>4</v>
      </c>
      <c r="AF275" s="59" t="n">
        <v>8</v>
      </c>
      <c r="AJ275" s="525" t="s">
        <v>1104</v>
      </c>
    </row>
    <row r="276" customFormat="false" ht="15" hidden="false" customHeight="false" outlineLevel="0" collapsed="false">
      <c r="A276" s="11" t="s">
        <v>236</v>
      </c>
      <c r="B276" s="11" t="s">
        <v>38</v>
      </c>
      <c r="C276" s="29" t="n">
        <v>550620</v>
      </c>
      <c r="D276" s="4" t="s">
        <v>582</v>
      </c>
      <c r="E276" s="4" t="s">
        <v>94</v>
      </c>
      <c r="F276" s="5" t="s">
        <v>40</v>
      </c>
      <c r="G276" s="6" t="n">
        <v>350</v>
      </c>
      <c r="H276" s="6" t="n">
        <f aca="false">G276</f>
        <v>350</v>
      </c>
      <c r="I276" s="6" t="n">
        <v>500</v>
      </c>
      <c r="J276" s="4" t="s">
        <v>584</v>
      </c>
      <c r="K276" s="7" t="n">
        <v>44974</v>
      </c>
      <c r="L276" s="8" t="n">
        <v>46799</v>
      </c>
      <c r="O276" s="8" t="n">
        <v>46069</v>
      </c>
      <c r="P276" s="9" t="n">
        <v>19600</v>
      </c>
      <c r="Q276" s="9" t="n">
        <f aca="false">P276</f>
        <v>19600</v>
      </c>
      <c r="S276" s="9" t="n">
        <v>19600</v>
      </c>
      <c r="T276" s="9" t="n">
        <f aca="false">S276</f>
        <v>19600</v>
      </c>
      <c r="U276" s="9" t="n">
        <v>20100</v>
      </c>
      <c r="V276" s="9" t="n">
        <f aca="false">U276</f>
        <v>20100</v>
      </c>
      <c r="W276" s="45" t="n">
        <f aca="false">U276/G276</f>
        <v>57.4285714285714</v>
      </c>
      <c r="X276" s="41" t="n">
        <f aca="false">SUM(U276-S276)/S276</f>
        <v>0.0255102040816327</v>
      </c>
      <c r="Y276" s="9" t="s">
        <v>60</v>
      </c>
      <c r="Z276" s="42"/>
      <c r="AA276" s="44"/>
      <c r="AB276" s="5" t="s">
        <v>43</v>
      </c>
      <c r="AC276" s="4" t="s">
        <v>77</v>
      </c>
      <c r="AF276" s="59"/>
      <c r="AJ276" s="525" t="s">
        <v>1103</v>
      </c>
    </row>
    <row r="277" customFormat="false" ht="19.4" hidden="false" customHeight="false" outlineLevel="0" collapsed="false">
      <c r="A277" s="11" t="s">
        <v>236</v>
      </c>
      <c r="B277" s="11" t="s">
        <v>38</v>
      </c>
      <c r="C277" s="29" t="n">
        <v>550620</v>
      </c>
      <c r="D277" s="4" t="s">
        <v>582</v>
      </c>
      <c r="E277" s="4" t="s">
        <v>118</v>
      </c>
      <c r="F277" s="5" t="s">
        <v>40</v>
      </c>
      <c r="G277" s="6" t="n">
        <v>350</v>
      </c>
      <c r="H277" s="6" t="n">
        <f aca="false">G277</f>
        <v>350</v>
      </c>
      <c r="I277" s="6" t="n">
        <v>500</v>
      </c>
      <c r="J277" s="4" t="s">
        <v>585</v>
      </c>
      <c r="K277" s="7" t="n">
        <v>45359</v>
      </c>
      <c r="L277" s="8" t="n">
        <v>46453</v>
      </c>
      <c r="O277" s="8" t="n">
        <v>45907</v>
      </c>
      <c r="P277" s="9" t="n">
        <v>19600</v>
      </c>
      <c r="Q277" s="9" t="n">
        <f aca="false">P277</f>
        <v>19600</v>
      </c>
      <c r="S277" s="9" t="n">
        <v>17500</v>
      </c>
      <c r="T277" s="9" t="n">
        <f aca="false">S277</f>
        <v>17500</v>
      </c>
      <c r="U277" s="9" t="n">
        <v>19600</v>
      </c>
      <c r="V277" s="9" t="n">
        <f aca="false">U277</f>
        <v>19600</v>
      </c>
      <c r="W277" s="45" t="n">
        <f aca="false">U277/G277</f>
        <v>56</v>
      </c>
      <c r="X277" s="41" t="n">
        <f aca="false">SUM(U277-S277)/S277</f>
        <v>0.12</v>
      </c>
      <c r="Y277" s="9" t="s">
        <v>60</v>
      </c>
      <c r="Z277" s="42"/>
      <c r="AA277" s="44"/>
      <c r="AB277" s="5" t="s">
        <v>43</v>
      </c>
      <c r="AC277" s="4" t="s">
        <v>586</v>
      </c>
      <c r="AF277" s="59"/>
      <c r="AJ277" s="525" t="s">
        <v>1103</v>
      </c>
    </row>
    <row r="278" customFormat="false" ht="19.4" hidden="false" customHeight="false" outlineLevel="0" collapsed="false">
      <c r="A278" s="11" t="s">
        <v>236</v>
      </c>
      <c r="B278" s="11" t="s">
        <v>38</v>
      </c>
      <c r="C278" s="29" t="n">
        <v>550620</v>
      </c>
      <c r="D278" s="4" t="s">
        <v>582</v>
      </c>
      <c r="E278" s="4" t="s">
        <v>180</v>
      </c>
      <c r="F278" s="5" t="s">
        <v>40</v>
      </c>
      <c r="G278" s="6" t="n">
        <v>350</v>
      </c>
      <c r="H278" s="6" t="n">
        <f aca="false">G278</f>
        <v>350</v>
      </c>
      <c r="I278" s="6" t="n">
        <v>500</v>
      </c>
      <c r="J278" s="4" t="s">
        <v>587</v>
      </c>
      <c r="K278" s="7" t="n">
        <v>45744</v>
      </c>
      <c r="L278" s="8" t="n">
        <v>47569</v>
      </c>
      <c r="O278" s="8" t="n">
        <v>46839</v>
      </c>
      <c r="P278" s="9" t="n">
        <v>0</v>
      </c>
      <c r="Q278" s="9" t="n">
        <f aca="false">P278</f>
        <v>0</v>
      </c>
      <c r="S278" s="9" t="n">
        <v>17500</v>
      </c>
      <c r="T278" s="9" t="n">
        <f aca="false">S278</f>
        <v>17500</v>
      </c>
      <c r="U278" s="9" t="n">
        <v>19600</v>
      </c>
      <c r="V278" s="9" t="n">
        <f aca="false">U278</f>
        <v>19600</v>
      </c>
      <c r="W278" s="45" t="n">
        <f aca="false">U278/G278</f>
        <v>56</v>
      </c>
      <c r="X278" s="41" t="n">
        <f aca="false">SUM(U278-S278)/S278</f>
        <v>0.12</v>
      </c>
      <c r="Y278" s="9" t="s">
        <v>60</v>
      </c>
      <c r="Z278" s="42"/>
      <c r="AA278" s="44"/>
      <c r="AB278" s="5" t="s">
        <v>43</v>
      </c>
      <c r="AC278" s="4" t="s">
        <v>588</v>
      </c>
      <c r="AE278" s="4" t="n">
        <v>1</v>
      </c>
      <c r="AF278" s="59" t="n">
        <v>3</v>
      </c>
      <c r="AG278" s="4" t="s">
        <v>57</v>
      </c>
      <c r="AJ278" s="525" t="s">
        <v>1103</v>
      </c>
    </row>
    <row r="279" customFormat="false" ht="15" hidden="false" customHeight="false" outlineLevel="0" collapsed="false">
      <c r="A279" s="11" t="s">
        <v>189</v>
      </c>
      <c r="B279" s="11" t="s">
        <v>38</v>
      </c>
      <c r="C279" s="29" t="n">
        <v>550640</v>
      </c>
      <c r="D279" s="4" t="s">
        <v>589</v>
      </c>
      <c r="E279" s="4" t="s">
        <v>590</v>
      </c>
      <c r="F279" s="5" t="s">
        <v>40</v>
      </c>
      <c r="G279" s="6" t="n">
        <v>3760</v>
      </c>
      <c r="H279" s="6" t="n">
        <f aca="false">G279</f>
        <v>3760</v>
      </c>
      <c r="I279" s="6" t="n">
        <v>2750</v>
      </c>
      <c r="J279" s="4" t="s">
        <v>591</v>
      </c>
      <c r="K279" s="7" t="n">
        <v>44769</v>
      </c>
      <c r="L279" s="8" t="n">
        <v>46594</v>
      </c>
      <c r="O279" s="8" t="n">
        <v>45864</v>
      </c>
      <c r="P279" s="9" t="n">
        <v>95000</v>
      </c>
      <c r="Q279" s="9" t="n">
        <f aca="false">P279</f>
        <v>95000</v>
      </c>
      <c r="S279" s="9" t="n">
        <v>95000</v>
      </c>
      <c r="T279" s="9" t="n">
        <f aca="false">S279</f>
        <v>95000</v>
      </c>
      <c r="U279" s="9" t="n">
        <v>95000</v>
      </c>
      <c r="V279" s="9" t="n">
        <f aca="false">U279</f>
        <v>95000</v>
      </c>
      <c r="W279" s="45" t="n">
        <f aca="false">U279/G279</f>
        <v>25.2659574468085</v>
      </c>
      <c r="X279" s="41" t="n">
        <f aca="false">SUM(U279-S279)/S279</f>
        <v>0</v>
      </c>
      <c r="Y279" s="9" t="s">
        <v>127</v>
      </c>
      <c r="Z279" s="42"/>
      <c r="AA279" s="524"/>
      <c r="AB279" s="5" t="s">
        <v>43</v>
      </c>
      <c r="AC279" s="4" t="s">
        <v>77</v>
      </c>
      <c r="AF279" s="59"/>
      <c r="AJ279" s="525" t="s">
        <v>1103</v>
      </c>
    </row>
    <row r="280" customFormat="false" ht="19.4" hidden="false" customHeight="false" outlineLevel="0" collapsed="false">
      <c r="A280" s="11" t="s">
        <v>189</v>
      </c>
      <c r="B280" s="11" t="s">
        <v>38</v>
      </c>
      <c r="C280" s="29" t="n">
        <v>550640</v>
      </c>
      <c r="D280" s="4" t="s">
        <v>589</v>
      </c>
      <c r="E280" s="4" t="s">
        <v>592</v>
      </c>
      <c r="F280" s="5" t="s">
        <v>593</v>
      </c>
      <c r="G280" s="6" t="n">
        <v>7994</v>
      </c>
      <c r="H280" s="6" t="n">
        <f aca="false">G280</f>
        <v>7994</v>
      </c>
      <c r="I280" s="6" t="n">
        <v>8000</v>
      </c>
      <c r="J280" s="4" t="s">
        <v>594</v>
      </c>
      <c r="K280" s="7" t="n">
        <v>45417</v>
      </c>
      <c r="L280" s="8" t="n">
        <v>49068</v>
      </c>
      <c r="N280" s="8" t="n">
        <v>47243</v>
      </c>
      <c r="O280" s="8" t="n">
        <v>47242</v>
      </c>
      <c r="P280" s="9" t="n">
        <v>424275</v>
      </c>
      <c r="Q280" s="9" t="n">
        <f aca="false">P280</f>
        <v>424275</v>
      </c>
      <c r="S280" s="9" t="n">
        <v>379100</v>
      </c>
      <c r="T280" s="9" t="n">
        <f aca="false">S280</f>
        <v>379100</v>
      </c>
      <c r="U280" s="9" t="n">
        <v>424275</v>
      </c>
      <c r="V280" s="9" t="n">
        <f aca="false">U280</f>
        <v>424275</v>
      </c>
      <c r="W280" s="45" t="n">
        <f aca="false">U280/G280</f>
        <v>53.0741806354766</v>
      </c>
      <c r="X280" s="41" t="n">
        <f aca="false">SUM(U280-S280)/S280</f>
        <v>0.119163809021366</v>
      </c>
      <c r="Y280" s="9" t="s">
        <v>55</v>
      </c>
      <c r="Z280" s="42"/>
      <c r="AA280" s="524"/>
      <c r="AB280" s="5" t="s">
        <v>43</v>
      </c>
      <c r="AC280" s="4" t="s">
        <v>595</v>
      </c>
      <c r="AF280" s="59"/>
      <c r="AJ280" s="525" t="s">
        <v>1103</v>
      </c>
    </row>
    <row r="281" customFormat="false" ht="15" hidden="false" customHeight="false" outlineLevel="0" collapsed="false">
      <c r="A281" s="11" t="s">
        <v>189</v>
      </c>
      <c r="B281" s="11" t="s">
        <v>38</v>
      </c>
      <c r="C281" s="29" t="n">
        <v>550640</v>
      </c>
      <c r="D281" s="4" t="s">
        <v>589</v>
      </c>
      <c r="E281" s="4" t="s">
        <v>328</v>
      </c>
      <c r="F281" s="5" t="s">
        <v>40</v>
      </c>
      <c r="G281" s="6" t="n">
        <v>2106</v>
      </c>
      <c r="H281" s="6" t="n">
        <f aca="false">G281</f>
        <v>2106</v>
      </c>
      <c r="I281" s="6" t="n">
        <v>2000</v>
      </c>
      <c r="J281" s="4" t="s">
        <v>596</v>
      </c>
      <c r="K281" s="7" t="n">
        <v>44317</v>
      </c>
      <c r="L281" s="8" t="n">
        <v>46142</v>
      </c>
      <c r="P281" s="9" t="n">
        <v>115500</v>
      </c>
      <c r="Q281" s="9" t="n">
        <f aca="false">P281</f>
        <v>115500</v>
      </c>
      <c r="S281" s="9" t="n">
        <v>120700</v>
      </c>
      <c r="T281" s="9" t="n">
        <f aca="false">S281</f>
        <v>120700</v>
      </c>
      <c r="U281" s="9" t="n">
        <v>121100</v>
      </c>
      <c r="V281" s="9" t="n">
        <f aca="false">U281</f>
        <v>121100</v>
      </c>
      <c r="W281" s="45" t="n">
        <f aca="false">U281/G281</f>
        <v>57.5023741690408</v>
      </c>
      <c r="X281" s="41" t="n">
        <f aca="false">SUM(U281-S281)/S281</f>
        <v>0.00331400165700083</v>
      </c>
      <c r="Y281" s="9" t="s">
        <v>60</v>
      </c>
      <c r="Z281" s="42"/>
      <c r="AA281" s="524"/>
      <c r="AB281" s="5" t="s">
        <v>43</v>
      </c>
      <c r="AF281" s="59"/>
      <c r="AJ281" s="525" t="s">
        <v>1103</v>
      </c>
    </row>
    <row r="282" customFormat="false" ht="15" hidden="false" customHeight="false" outlineLevel="0" collapsed="false">
      <c r="A282" s="11" t="s">
        <v>189</v>
      </c>
      <c r="B282" s="11" t="s">
        <v>38</v>
      </c>
      <c r="C282" s="29" t="n">
        <v>550640</v>
      </c>
      <c r="D282" s="4" t="s">
        <v>589</v>
      </c>
      <c r="E282" s="4" t="s">
        <v>331</v>
      </c>
      <c r="F282" s="5" t="s">
        <v>40</v>
      </c>
      <c r="G282" s="6" t="n">
        <v>1218</v>
      </c>
      <c r="H282" s="6" t="n">
        <f aca="false">G282</f>
        <v>1218</v>
      </c>
      <c r="I282" s="6" t="n">
        <v>1250</v>
      </c>
      <c r="J282" s="4" t="s">
        <v>67</v>
      </c>
      <c r="M282" s="8" t="n">
        <v>42705</v>
      </c>
      <c r="P282" s="9" t="n">
        <v>0</v>
      </c>
      <c r="Q282" s="9" t="n">
        <f aca="false">P282</f>
        <v>0</v>
      </c>
      <c r="S282" s="9" t="n">
        <v>61500</v>
      </c>
      <c r="T282" s="9" t="n">
        <f aca="false">S282</f>
        <v>61500</v>
      </c>
      <c r="U282" s="9" t="n">
        <v>63900</v>
      </c>
      <c r="V282" s="9" t="n">
        <f aca="false">U282</f>
        <v>63900</v>
      </c>
      <c r="W282" s="45" t="n">
        <f aca="false">U282/G282</f>
        <v>52.4630541871921</v>
      </c>
      <c r="X282" s="41" t="n">
        <f aca="false">SUM(U282-S282)/S282</f>
        <v>0.0390243902439024</v>
      </c>
      <c r="Y282" s="9" t="s">
        <v>60</v>
      </c>
      <c r="Z282" s="42"/>
      <c r="AA282" s="524"/>
      <c r="AB282" s="5" t="s">
        <v>43</v>
      </c>
      <c r="AC282" s="4" t="s">
        <v>119</v>
      </c>
      <c r="AD282" s="15" t="n">
        <v>62.5</v>
      </c>
      <c r="AF282" s="59"/>
      <c r="AJ282" s="525" t="s">
        <v>1104</v>
      </c>
    </row>
    <row r="283" customFormat="false" ht="15" hidden="false" customHeight="false" outlineLevel="0" collapsed="false">
      <c r="A283" s="11" t="s">
        <v>189</v>
      </c>
      <c r="B283" s="11" t="s">
        <v>38</v>
      </c>
      <c r="C283" s="29" t="n">
        <v>550640</v>
      </c>
      <c r="D283" s="4" t="s">
        <v>589</v>
      </c>
      <c r="E283" s="4" t="s">
        <v>597</v>
      </c>
      <c r="F283" s="5" t="s">
        <v>40</v>
      </c>
      <c r="G283" s="6" t="n">
        <v>2256</v>
      </c>
      <c r="H283" s="6" t="n">
        <f aca="false">G283</f>
        <v>2256</v>
      </c>
      <c r="I283" s="6" t="n">
        <v>2250</v>
      </c>
      <c r="J283" s="4" t="s">
        <v>67</v>
      </c>
      <c r="M283" s="8" t="n">
        <v>44782</v>
      </c>
      <c r="P283" s="9" t="n">
        <v>0</v>
      </c>
      <c r="Q283" s="9" t="n">
        <f aca="false">P283</f>
        <v>0</v>
      </c>
      <c r="S283" s="9" t="n">
        <v>129200</v>
      </c>
      <c r="T283" s="9" t="n">
        <f aca="false">S283</f>
        <v>129200</v>
      </c>
      <c r="U283" s="9" t="n">
        <v>129700</v>
      </c>
      <c r="V283" s="9" t="n">
        <f aca="false">U283</f>
        <v>129700</v>
      </c>
      <c r="W283" s="45" t="n">
        <f aca="false">U283/G283</f>
        <v>57.491134751773</v>
      </c>
      <c r="X283" s="41" t="n">
        <f aca="false">SUM(U283-S283)/S283</f>
        <v>0.00386996904024768</v>
      </c>
      <c r="Y283" s="9" t="s">
        <v>60</v>
      </c>
      <c r="Z283" s="42"/>
      <c r="AA283" s="524"/>
      <c r="AB283" s="5" t="s">
        <v>43</v>
      </c>
      <c r="AC283" s="4" t="s">
        <v>119</v>
      </c>
      <c r="AD283" s="15" t="n">
        <v>62.5</v>
      </c>
      <c r="AE283" s="4" t="n">
        <v>1</v>
      </c>
      <c r="AF283" s="59" t="n">
        <v>1</v>
      </c>
      <c r="AJ283" s="525" t="s">
        <v>1104</v>
      </c>
    </row>
    <row r="284" customFormat="false" ht="15" hidden="false" customHeight="false" outlineLevel="0" collapsed="false">
      <c r="A284" s="11" t="s">
        <v>189</v>
      </c>
      <c r="B284" s="11" t="s">
        <v>38</v>
      </c>
      <c r="C284" s="29" t="n">
        <v>550640</v>
      </c>
      <c r="D284" s="4" t="s">
        <v>589</v>
      </c>
      <c r="E284" s="4" t="s">
        <v>580</v>
      </c>
      <c r="F284" s="5" t="s">
        <v>40</v>
      </c>
      <c r="G284" s="6" t="n">
        <v>1218</v>
      </c>
      <c r="H284" s="6" t="n">
        <f aca="false">G284</f>
        <v>1218</v>
      </c>
      <c r="I284" s="6" t="n">
        <v>1250</v>
      </c>
      <c r="J284" s="4" t="s">
        <v>67</v>
      </c>
      <c r="M284" s="8" t="n">
        <v>42513</v>
      </c>
      <c r="P284" s="9" t="n">
        <v>0</v>
      </c>
      <c r="Q284" s="9" t="n">
        <f aca="false">P284</f>
        <v>0</v>
      </c>
      <c r="S284" s="9" t="n">
        <v>59700</v>
      </c>
      <c r="T284" s="9" t="n">
        <f aca="false">S284</f>
        <v>59700</v>
      </c>
      <c r="U284" s="9" t="n">
        <v>63900</v>
      </c>
      <c r="V284" s="9" t="n">
        <f aca="false">U284</f>
        <v>63900</v>
      </c>
      <c r="W284" s="45" t="n">
        <f aca="false">U284/G284</f>
        <v>52.4630541871921</v>
      </c>
      <c r="X284" s="41" t="n">
        <f aca="false">SUM(U284-S284)/S284</f>
        <v>0.0703517587939699</v>
      </c>
      <c r="Y284" s="9" t="s">
        <v>127</v>
      </c>
      <c r="Z284" s="42"/>
      <c r="AA284" s="524"/>
      <c r="AB284" s="5" t="s">
        <v>43</v>
      </c>
      <c r="AC284" s="4" t="s">
        <v>119</v>
      </c>
      <c r="AD284" s="15" t="n">
        <v>62.5</v>
      </c>
      <c r="AF284" s="59"/>
      <c r="AJ284" s="525" t="s">
        <v>1104</v>
      </c>
    </row>
    <row r="285" customFormat="false" ht="15" hidden="false" customHeight="false" outlineLevel="0" collapsed="false">
      <c r="A285" s="11" t="s">
        <v>189</v>
      </c>
      <c r="B285" s="11" t="s">
        <v>38</v>
      </c>
      <c r="C285" s="29" t="n">
        <v>550640</v>
      </c>
      <c r="D285" s="4" t="s">
        <v>589</v>
      </c>
      <c r="E285" s="4" t="s">
        <v>94</v>
      </c>
      <c r="F285" s="5" t="s">
        <v>40</v>
      </c>
      <c r="G285" s="6" t="n">
        <v>2194</v>
      </c>
      <c r="H285" s="6" t="n">
        <f aca="false">G285</f>
        <v>2194</v>
      </c>
      <c r="I285" s="6" t="n">
        <v>2000</v>
      </c>
      <c r="J285" s="4" t="s">
        <v>598</v>
      </c>
      <c r="K285" s="7" t="n">
        <v>45082</v>
      </c>
      <c r="L285" s="8" t="n">
        <v>46908</v>
      </c>
      <c r="O285" s="8" t="n">
        <v>46177</v>
      </c>
      <c r="P285" s="9" t="n">
        <v>130980</v>
      </c>
      <c r="Q285" s="9" t="n">
        <f aca="false">P285</f>
        <v>130980</v>
      </c>
      <c r="S285" s="9" t="n">
        <v>122200</v>
      </c>
      <c r="T285" s="9" t="n">
        <f aca="false">S285</f>
        <v>122200</v>
      </c>
      <c r="U285" s="9" t="n">
        <v>126200</v>
      </c>
      <c r="V285" s="9" t="n">
        <f aca="false">U285</f>
        <v>126200</v>
      </c>
      <c r="W285" s="45" t="n">
        <f aca="false">U285/G285</f>
        <v>57.5205104831358</v>
      </c>
      <c r="X285" s="41" t="n">
        <f aca="false">SUM(U285-S285)/S285</f>
        <v>0.0327332242225859</v>
      </c>
      <c r="Y285" s="9" t="s">
        <v>42</v>
      </c>
      <c r="Z285" s="42"/>
      <c r="AA285" s="524"/>
      <c r="AB285" s="5" t="s">
        <v>43</v>
      </c>
      <c r="AC285" s="4" t="s">
        <v>77</v>
      </c>
      <c r="AE285" s="60"/>
      <c r="AF285" s="62"/>
      <c r="AG285" s="60"/>
      <c r="AJ285" s="525" t="s">
        <v>1103</v>
      </c>
    </row>
    <row r="286" customFormat="false" ht="15" hidden="false" customHeight="false" outlineLevel="0" collapsed="false">
      <c r="A286" s="11" t="s">
        <v>189</v>
      </c>
      <c r="B286" s="11" t="s">
        <v>38</v>
      </c>
      <c r="C286" s="29" t="n">
        <v>550640</v>
      </c>
      <c r="D286" s="4" t="s">
        <v>589</v>
      </c>
      <c r="E286" s="4" t="s">
        <v>118</v>
      </c>
      <c r="F286" s="5" t="s">
        <v>40</v>
      </c>
      <c r="G286" s="6" t="n">
        <v>2080</v>
      </c>
      <c r="H286" s="6" t="n">
        <f aca="false">G286</f>
        <v>2080</v>
      </c>
      <c r="I286" s="6" t="n">
        <v>2000</v>
      </c>
      <c r="J286" s="4" t="s">
        <v>67</v>
      </c>
      <c r="M286" s="8" t="n">
        <v>44647</v>
      </c>
      <c r="P286" s="9" t="n">
        <v>0</v>
      </c>
      <c r="Q286" s="9" t="n">
        <f aca="false">P286</f>
        <v>0</v>
      </c>
      <c r="S286" s="9" t="n">
        <v>117900</v>
      </c>
      <c r="T286" s="9" t="n">
        <f aca="false">S286</f>
        <v>117900</v>
      </c>
      <c r="U286" s="9" t="n">
        <v>119600</v>
      </c>
      <c r="V286" s="9" t="n">
        <f aca="false">U286</f>
        <v>119600</v>
      </c>
      <c r="W286" s="45" t="n">
        <f aca="false">U286/G286</f>
        <v>57.5</v>
      </c>
      <c r="X286" s="41" t="n">
        <f aca="false">SUM(U286-S286)/S286</f>
        <v>0.0144189991518236</v>
      </c>
      <c r="Y286" s="9" t="s">
        <v>60</v>
      </c>
      <c r="Z286" s="42"/>
      <c r="AA286" s="524"/>
      <c r="AB286" s="5" t="s">
        <v>43</v>
      </c>
      <c r="AC286" s="4" t="s">
        <v>119</v>
      </c>
      <c r="AD286" s="15" t="n">
        <v>63</v>
      </c>
      <c r="AE286" s="4" t="n">
        <v>1</v>
      </c>
      <c r="AF286" s="59" t="n">
        <v>4</v>
      </c>
      <c r="AG286" s="4" t="s">
        <v>599</v>
      </c>
      <c r="AJ286" s="525" t="s">
        <v>1104</v>
      </c>
    </row>
    <row r="287" customFormat="false" ht="15" hidden="false" customHeight="false" outlineLevel="0" collapsed="false">
      <c r="A287" s="11" t="s">
        <v>189</v>
      </c>
      <c r="B287" s="11" t="s">
        <v>38</v>
      </c>
      <c r="C287" s="29" t="n">
        <v>550640</v>
      </c>
      <c r="D287" s="4" t="s">
        <v>589</v>
      </c>
      <c r="E287" s="4" t="s">
        <v>180</v>
      </c>
      <c r="F287" s="5" t="s">
        <v>40</v>
      </c>
      <c r="G287" s="6" t="n">
        <v>1713</v>
      </c>
      <c r="H287" s="6" t="n">
        <f aca="false">G287</f>
        <v>1713</v>
      </c>
      <c r="I287" s="6" t="n">
        <v>1750</v>
      </c>
      <c r="J287" s="4" t="s">
        <v>67</v>
      </c>
      <c r="M287" s="8" t="n">
        <v>45195</v>
      </c>
      <c r="P287" s="9" t="n">
        <v>0</v>
      </c>
      <c r="Q287" s="9" t="n">
        <f aca="false">P287</f>
        <v>0</v>
      </c>
      <c r="S287" s="9" t="n">
        <v>94300</v>
      </c>
      <c r="T287" s="9" t="n">
        <f aca="false">S287</f>
        <v>94300</v>
      </c>
      <c r="U287" s="9" t="n">
        <v>98500</v>
      </c>
      <c r="V287" s="9" t="n">
        <f aca="false">U287</f>
        <v>98500</v>
      </c>
      <c r="W287" s="45" t="n">
        <f aca="false">U287/G287</f>
        <v>57.5014594279043</v>
      </c>
      <c r="X287" s="41" t="n">
        <f aca="false">SUM(U287-S287)/S287</f>
        <v>0.0445387062566278</v>
      </c>
      <c r="Y287" s="9" t="s">
        <v>127</v>
      </c>
      <c r="Z287" s="42"/>
      <c r="AA287" s="524"/>
      <c r="AB287" s="5" t="s">
        <v>43</v>
      </c>
      <c r="AC287" s="4" t="s">
        <v>119</v>
      </c>
      <c r="AD287" s="15" t="n">
        <v>65</v>
      </c>
      <c r="AE287" s="4" t="n">
        <v>1</v>
      </c>
      <c r="AF287" s="59" t="n">
        <v>1</v>
      </c>
      <c r="AJ287" s="525" t="s">
        <v>1104</v>
      </c>
    </row>
    <row r="288" customFormat="false" ht="15" hidden="false" customHeight="false" outlineLevel="0" collapsed="false">
      <c r="A288" s="11" t="s">
        <v>37</v>
      </c>
      <c r="B288" s="11" t="s">
        <v>38</v>
      </c>
      <c r="C288" s="29" t="n">
        <v>550630</v>
      </c>
      <c r="D288" s="4" t="s">
        <v>601</v>
      </c>
      <c r="E288" s="4" t="s">
        <v>181</v>
      </c>
      <c r="F288" s="5" t="s">
        <v>165</v>
      </c>
      <c r="G288" s="6" t="n">
        <v>927</v>
      </c>
      <c r="H288" s="6" t="n">
        <f aca="false">G288</f>
        <v>927</v>
      </c>
      <c r="I288" s="6" t="n">
        <v>1000</v>
      </c>
      <c r="J288" s="4" t="s">
        <v>416</v>
      </c>
      <c r="K288" s="8" t="n">
        <v>43184</v>
      </c>
      <c r="L288" s="8" t="n">
        <v>46836</v>
      </c>
      <c r="N288" s="8" t="n">
        <v>45010</v>
      </c>
      <c r="P288" s="9" t="n">
        <v>13900</v>
      </c>
      <c r="Q288" s="9" t="n">
        <f aca="false">P288</f>
        <v>13900</v>
      </c>
      <c r="S288" s="9" t="n">
        <v>13900</v>
      </c>
      <c r="T288" s="9" t="n">
        <f aca="false">S288</f>
        <v>13900</v>
      </c>
      <c r="U288" s="9" t="n">
        <v>13900</v>
      </c>
      <c r="V288" s="9" t="n">
        <f aca="false">U288</f>
        <v>13900</v>
      </c>
      <c r="W288" s="45" t="n">
        <f aca="false">U288/G288</f>
        <v>14.9946062567422</v>
      </c>
      <c r="X288" s="41" t="n">
        <f aca="false">SUM(U288-S288)/S288</f>
        <v>0</v>
      </c>
      <c r="Y288" s="9" t="s">
        <v>60</v>
      </c>
      <c r="Z288" s="42"/>
      <c r="AA288" s="44"/>
      <c r="AB288" s="5" t="s">
        <v>43</v>
      </c>
      <c r="AC288" s="4" t="s">
        <v>228</v>
      </c>
      <c r="AE288" s="60"/>
      <c r="AF288" s="62"/>
      <c r="AG288" s="60"/>
      <c r="AJ288" s="525" t="s">
        <v>1103</v>
      </c>
    </row>
    <row r="289" customFormat="false" ht="15" hidden="false" customHeight="false" outlineLevel="0" collapsed="false">
      <c r="A289" s="11" t="s">
        <v>37</v>
      </c>
      <c r="B289" s="11" t="s">
        <v>38</v>
      </c>
      <c r="C289" s="29" t="n">
        <v>550630</v>
      </c>
      <c r="D289" s="4" t="s">
        <v>601</v>
      </c>
      <c r="E289" s="4" t="s">
        <v>602</v>
      </c>
      <c r="F289" s="5" t="s">
        <v>40</v>
      </c>
      <c r="G289" s="6" t="n">
        <v>1010</v>
      </c>
      <c r="H289" s="6" t="n">
        <f aca="false">G289</f>
        <v>1010</v>
      </c>
      <c r="I289" s="6" t="n">
        <v>1000</v>
      </c>
      <c r="J289" s="4" t="s">
        <v>67</v>
      </c>
      <c r="M289" s="8" t="n">
        <v>42794</v>
      </c>
      <c r="P289" s="9" t="n">
        <v>0</v>
      </c>
      <c r="Q289" s="9" t="n">
        <f aca="false">P289</f>
        <v>0</v>
      </c>
      <c r="S289" s="9" t="n">
        <v>55600</v>
      </c>
      <c r="T289" s="9" t="n">
        <f aca="false">S289</f>
        <v>55600</v>
      </c>
      <c r="U289" s="9" t="n">
        <v>58100</v>
      </c>
      <c r="V289" s="9" t="n">
        <f aca="false">U289</f>
        <v>58100</v>
      </c>
      <c r="W289" s="45" t="n">
        <f aca="false">U289/G289</f>
        <v>57.5247524752475</v>
      </c>
      <c r="X289" s="41" t="n">
        <f aca="false">SUM(U289-S289)/S289</f>
        <v>0.0449640287769784</v>
      </c>
      <c r="Y289" s="9" t="s">
        <v>60</v>
      </c>
      <c r="Z289" s="42"/>
      <c r="AA289" s="44"/>
      <c r="AB289" s="5" t="s">
        <v>43</v>
      </c>
      <c r="AC289" s="4" t="s">
        <v>228</v>
      </c>
      <c r="AE289" s="60"/>
      <c r="AF289" s="62"/>
      <c r="AG289" s="60"/>
      <c r="AJ289" s="525" t="s">
        <v>1104</v>
      </c>
    </row>
    <row r="290" customFormat="false" ht="15" hidden="false" customHeight="false" outlineLevel="0" collapsed="false">
      <c r="A290" s="11" t="s">
        <v>37</v>
      </c>
      <c r="B290" s="11" t="s">
        <v>38</v>
      </c>
      <c r="C290" s="29" t="n">
        <v>550630</v>
      </c>
      <c r="D290" s="4" t="s">
        <v>601</v>
      </c>
      <c r="E290" s="4" t="s">
        <v>89</v>
      </c>
      <c r="F290" s="5" t="s">
        <v>40</v>
      </c>
      <c r="G290" s="6" t="n">
        <v>971</v>
      </c>
      <c r="H290" s="6" t="n">
        <f aca="false">G290</f>
        <v>971</v>
      </c>
      <c r="I290" s="6" t="n">
        <v>1000</v>
      </c>
      <c r="J290" s="4" t="s">
        <v>67</v>
      </c>
      <c r="M290" s="8" t="n">
        <v>44071</v>
      </c>
      <c r="P290" s="9" t="n">
        <v>0</v>
      </c>
      <c r="Q290" s="9" t="n">
        <f aca="false">P290</f>
        <v>0</v>
      </c>
      <c r="S290" s="9" t="n">
        <v>53400</v>
      </c>
      <c r="T290" s="9" t="n">
        <f aca="false">S290</f>
        <v>53400</v>
      </c>
      <c r="U290" s="9" t="n">
        <v>55800</v>
      </c>
      <c r="V290" s="9" t="n">
        <f aca="false">U290</f>
        <v>55800</v>
      </c>
      <c r="W290" s="45" t="n">
        <f aca="false">U290/G290</f>
        <v>57.4665293511844</v>
      </c>
      <c r="X290" s="41" t="n">
        <f aca="false">SUM(U290-S290)/S290</f>
        <v>0.0449438202247191</v>
      </c>
      <c r="Y290" s="9" t="s">
        <v>60</v>
      </c>
      <c r="Z290" s="42"/>
      <c r="AA290" s="44"/>
      <c r="AB290" s="5" t="s">
        <v>43</v>
      </c>
      <c r="AC290" s="4" t="s">
        <v>228</v>
      </c>
      <c r="AE290" s="60"/>
      <c r="AF290" s="62"/>
      <c r="AG290" s="60"/>
      <c r="AJ290" s="525" t="s">
        <v>1104</v>
      </c>
    </row>
    <row r="291" customFormat="false" ht="15" hidden="false" customHeight="false" outlineLevel="0" collapsed="false">
      <c r="A291" s="11" t="s">
        <v>37</v>
      </c>
      <c r="B291" s="11" t="s">
        <v>38</v>
      </c>
      <c r="C291" s="29" t="n">
        <v>550630</v>
      </c>
      <c r="D291" s="4" t="s">
        <v>601</v>
      </c>
      <c r="E291" s="4" t="s">
        <v>93</v>
      </c>
      <c r="F291" s="5" t="s">
        <v>40</v>
      </c>
      <c r="G291" s="6" t="n">
        <v>1000</v>
      </c>
      <c r="H291" s="6" t="n">
        <f aca="false">G291</f>
        <v>1000</v>
      </c>
      <c r="I291" s="6" t="n">
        <v>1000</v>
      </c>
      <c r="J291" s="4" t="s">
        <v>67</v>
      </c>
      <c r="M291" s="8" t="n">
        <v>43261</v>
      </c>
      <c r="P291" s="9" t="n">
        <v>0</v>
      </c>
      <c r="Q291" s="9" t="n">
        <f aca="false">P291</f>
        <v>0</v>
      </c>
      <c r="S291" s="9" t="n">
        <v>52500</v>
      </c>
      <c r="T291" s="9" t="n">
        <f aca="false">S291</f>
        <v>52500</v>
      </c>
      <c r="U291" s="9" t="n">
        <v>55000</v>
      </c>
      <c r="V291" s="9" t="n">
        <f aca="false">U291</f>
        <v>55000</v>
      </c>
      <c r="W291" s="45" t="n">
        <f aca="false">U291/G291</f>
        <v>55</v>
      </c>
      <c r="X291" s="41" t="n">
        <f aca="false">SUM(U291-S291)/S291</f>
        <v>0.0476190476190476</v>
      </c>
      <c r="Y291" s="9" t="s">
        <v>60</v>
      </c>
      <c r="Z291" s="42"/>
      <c r="AA291" s="44"/>
      <c r="AB291" s="5" t="s">
        <v>43</v>
      </c>
      <c r="AC291" s="4" t="s">
        <v>228</v>
      </c>
      <c r="AE291" s="60"/>
      <c r="AF291" s="62"/>
      <c r="AG291" s="60"/>
      <c r="AJ291" s="525" t="s">
        <v>1104</v>
      </c>
    </row>
    <row r="292" customFormat="false" ht="15" hidden="false" customHeight="false" outlineLevel="0" collapsed="false">
      <c r="A292" s="11" t="s">
        <v>37</v>
      </c>
      <c r="B292" s="11" t="s">
        <v>38</v>
      </c>
      <c r="C292" s="29" t="n">
        <v>550690</v>
      </c>
      <c r="D292" s="4" t="s">
        <v>604</v>
      </c>
      <c r="E292" s="4" t="s">
        <v>605</v>
      </c>
      <c r="F292" s="5" t="s">
        <v>606</v>
      </c>
      <c r="G292" s="6" t="n">
        <v>1519</v>
      </c>
      <c r="H292" s="6" t="n">
        <f aca="false">G292</f>
        <v>1519</v>
      </c>
      <c r="I292" s="6" t="n">
        <v>1500</v>
      </c>
      <c r="J292" s="60" t="s">
        <v>607</v>
      </c>
      <c r="K292" s="118" t="n">
        <v>45824</v>
      </c>
      <c r="L292" s="102" t="n">
        <v>46188</v>
      </c>
      <c r="P292" s="98" t="n">
        <v>61812</v>
      </c>
      <c r="Q292" s="9" t="n">
        <f aca="false">P292</f>
        <v>61812</v>
      </c>
      <c r="S292" s="9" t="n">
        <v>53600</v>
      </c>
      <c r="T292" s="9" t="n">
        <f aca="false">S292</f>
        <v>53600</v>
      </c>
      <c r="U292" s="9" t="n">
        <v>54700</v>
      </c>
      <c r="V292" s="9" t="n">
        <f aca="false">U292</f>
        <v>54700</v>
      </c>
      <c r="W292" s="45" t="n">
        <f aca="false">U292/G292</f>
        <v>36.0105332455563</v>
      </c>
      <c r="X292" s="41" t="n">
        <f aca="false">SUM(U292-S292)/S292</f>
        <v>0.0205223880597015</v>
      </c>
      <c r="Y292" s="9" t="s">
        <v>127</v>
      </c>
      <c r="Z292" s="42" t="s">
        <v>26</v>
      </c>
      <c r="AA292" s="524"/>
      <c r="AB292" s="5" t="s">
        <v>43</v>
      </c>
      <c r="AC292" s="60" t="s">
        <v>608</v>
      </c>
      <c r="AE292" s="4" t="n">
        <v>1</v>
      </c>
      <c r="AF292" s="59" t="n">
        <v>4</v>
      </c>
      <c r="AG292" s="4" t="s">
        <v>57</v>
      </c>
      <c r="AJ292" s="525" t="s">
        <v>1103</v>
      </c>
    </row>
    <row r="293" customFormat="false" ht="28.35" hidden="false" customHeight="false" outlineLevel="0" collapsed="false">
      <c r="A293" s="11" t="s">
        <v>37</v>
      </c>
      <c r="B293" s="11" t="s">
        <v>38</v>
      </c>
      <c r="C293" s="29" t="n">
        <v>550690</v>
      </c>
      <c r="D293" s="4" t="s">
        <v>604</v>
      </c>
      <c r="E293" s="4" t="s">
        <v>609</v>
      </c>
      <c r="F293" s="5" t="s">
        <v>40</v>
      </c>
      <c r="G293" s="6" t="n">
        <v>1525</v>
      </c>
      <c r="H293" s="6" t="n">
        <f aca="false">G293</f>
        <v>1525</v>
      </c>
      <c r="I293" s="6" t="n">
        <v>1500</v>
      </c>
      <c r="J293" s="60" t="s">
        <v>610</v>
      </c>
      <c r="K293" s="118" t="n">
        <v>45834</v>
      </c>
      <c r="L293" s="102" t="n">
        <v>47659</v>
      </c>
      <c r="P293" s="98" t="n">
        <v>0</v>
      </c>
      <c r="Q293" s="9" t="n">
        <f aca="false">P293</f>
        <v>0</v>
      </c>
      <c r="S293" s="9" t="n">
        <v>90600</v>
      </c>
      <c r="T293" s="9" t="n">
        <f aca="false">S293</f>
        <v>90600</v>
      </c>
      <c r="U293" s="9" t="n">
        <v>91500</v>
      </c>
      <c r="V293" s="9" t="n">
        <f aca="false">U293</f>
        <v>91500</v>
      </c>
      <c r="W293" s="45" t="n">
        <f aca="false">U293/G293</f>
        <v>60</v>
      </c>
      <c r="X293" s="41" t="n">
        <f aca="false">SUM(U293-S293)/S293</f>
        <v>0.00993377483443709</v>
      </c>
      <c r="Y293" s="9" t="s">
        <v>127</v>
      </c>
      <c r="Z293" s="42"/>
      <c r="AA293" s="524"/>
      <c r="AB293" s="5" t="s">
        <v>43</v>
      </c>
      <c r="AC293" s="60" t="s">
        <v>611</v>
      </c>
      <c r="AF293" s="59" t="n">
        <v>3</v>
      </c>
      <c r="AJ293" s="525" t="s">
        <v>1103</v>
      </c>
    </row>
    <row r="294" customFormat="false" ht="15" hidden="false" customHeight="false" outlineLevel="0" collapsed="false">
      <c r="A294" s="11" t="s">
        <v>37</v>
      </c>
      <c r="B294" s="11" t="s">
        <v>38</v>
      </c>
      <c r="C294" s="29" t="n">
        <v>550690</v>
      </c>
      <c r="D294" s="4" t="s">
        <v>604</v>
      </c>
      <c r="E294" s="4" t="s">
        <v>612</v>
      </c>
      <c r="F294" s="5" t="s">
        <v>237</v>
      </c>
      <c r="G294" s="6" t="n">
        <v>1989</v>
      </c>
      <c r="H294" s="6" t="n">
        <f aca="false">G294</f>
        <v>1989</v>
      </c>
      <c r="I294" s="6" t="n">
        <v>2000</v>
      </c>
      <c r="J294" s="4" t="s">
        <v>613</v>
      </c>
      <c r="K294" s="7" t="n">
        <v>42874</v>
      </c>
      <c r="L294" s="8" t="n">
        <v>46525</v>
      </c>
      <c r="N294" s="8" t="n">
        <v>44700</v>
      </c>
      <c r="P294" s="9" t="n">
        <v>82575</v>
      </c>
      <c r="Q294" s="9" t="n">
        <f aca="false">P294</f>
        <v>82575</v>
      </c>
      <c r="S294" s="9" t="n">
        <v>75000</v>
      </c>
      <c r="T294" s="9" t="n">
        <f aca="false">S294</f>
        <v>75000</v>
      </c>
      <c r="U294" s="9" t="n">
        <v>87300</v>
      </c>
      <c r="V294" s="9" t="n">
        <f aca="false">U294</f>
        <v>87300</v>
      </c>
      <c r="W294" s="45" t="n">
        <f aca="false">U294/G294</f>
        <v>43.8914027149321</v>
      </c>
      <c r="X294" s="41" t="n">
        <f aca="false">SUM(U294-S294)/S294</f>
        <v>0.164</v>
      </c>
      <c r="Y294" s="9" t="s">
        <v>42</v>
      </c>
      <c r="Z294" s="42"/>
      <c r="AA294" s="524"/>
      <c r="AB294" s="5" t="s">
        <v>43</v>
      </c>
      <c r="AF294" s="59"/>
      <c r="AJ294" s="525" t="s">
        <v>1103</v>
      </c>
    </row>
    <row r="295" customFormat="false" ht="15" hidden="false" customHeight="false" outlineLevel="0" collapsed="false">
      <c r="A295" s="11" t="s">
        <v>37</v>
      </c>
      <c r="B295" s="11" t="s">
        <v>38</v>
      </c>
      <c r="C295" s="29" t="n">
        <v>550690</v>
      </c>
      <c r="D295" s="4" t="s">
        <v>604</v>
      </c>
      <c r="E295" s="4" t="s">
        <v>140</v>
      </c>
      <c r="F295" s="5" t="s">
        <v>309</v>
      </c>
      <c r="G295" s="6" t="n">
        <v>1143</v>
      </c>
      <c r="H295" s="6" t="n">
        <f aca="false">G295</f>
        <v>1143</v>
      </c>
      <c r="I295" s="6" t="n">
        <v>1000</v>
      </c>
      <c r="J295" s="4" t="s">
        <v>67</v>
      </c>
      <c r="M295" s="8" t="n">
        <v>44293</v>
      </c>
      <c r="P295" s="9" t="n">
        <v>0</v>
      </c>
      <c r="Q295" s="9" t="n">
        <f aca="false">P295</f>
        <v>0</v>
      </c>
      <c r="S295" s="9" t="n">
        <v>73600</v>
      </c>
      <c r="T295" s="9" t="n">
        <f aca="false">S295</f>
        <v>73600</v>
      </c>
      <c r="U295" s="9" t="n">
        <v>74300</v>
      </c>
      <c r="V295" s="9" t="n">
        <f aca="false">U295</f>
        <v>74300</v>
      </c>
      <c r="W295" s="45" t="n">
        <f aca="false">U295/G295</f>
        <v>65.0043744531934</v>
      </c>
      <c r="X295" s="41" t="n">
        <f aca="false">SUM(U295-S295)/S295</f>
        <v>0.00951086956521739</v>
      </c>
      <c r="Y295" s="9" t="s">
        <v>60</v>
      </c>
      <c r="Z295" s="42"/>
      <c r="AA295" s="524"/>
      <c r="AB295" s="5" t="s">
        <v>43</v>
      </c>
      <c r="AC295" s="4" t="s">
        <v>228</v>
      </c>
      <c r="AE295" s="60"/>
      <c r="AF295" s="62" t="n">
        <v>3</v>
      </c>
      <c r="AG295" s="60"/>
      <c r="AJ295" s="525" t="s">
        <v>1104</v>
      </c>
    </row>
    <row r="296" customFormat="false" ht="15" hidden="false" customHeight="false" outlineLevel="0" collapsed="false">
      <c r="A296" s="11" t="s">
        <v>37</v>
      </c>
      <c r="B296" s="11" t="s">
        <v>38</v>
      </c>
      <c r="C296" s="29" t="n">
        <v>550690</v>
      </c>
      <c r="D296" s="4" t="s">
        <v>604</v>
      </c>
      <c r="E296" s="4" t="s">
        <v>137</v>
      </c>
      <c r="F296" s="5" t="s">
        <v>40</v>
      </c>
      <c r="G296" s="6" t="n">
        <v>805</v>
      </c>
      <c r="H296" s="6" t="n">
        <f aca="false">G296</f>
        <v>805</v>
      </c>
      <c r="I296" s="6" t="n">
        <v>1000</v>
      </c>
      <c r="J296" s="4" t="s">
        <v>67</v>
      </c>
      <c r="M296" s="8" t="n">
        <v>44336</v>
      </c>
      <c r="P296" s="9" t="n">
        <v>0</v>
      </c>
      <c r="Q296" s="9" t="n">
        <f aca="false">P296</f>
        <v>0</v>
      </c>
      <c r="S296" s="9" t="n">
        <v>45600</v>
      </c>
      <c r="T296" s="9" t="n">
        <f aca="false">S296</f>
        <v>45600</v>
      </c>
      <c r="U296" s="9" t="n">
        <v>52300</v>
      </c>
      <c r="V296" s="9" t="n">
        <f aca="false">U296</f>
        <v>52300</v>
      </c>
      <c r="W296" s="45" t="n">
        <f aca="false">U296/G296</f>
        <v>64.9689440993789</v>
      </c>
      <c r="X296" s="41" t="n">
        <f aca="false">SUM(U296-S296)/S296</f>
        <v>0.146929824561404</v>
      </c>
      <c r="Y296" s="9" t="s">
        <v>60</v>
      </c>
      <c r="Z296" s="42"/>
      <c r="AA296" s="524"/>
      <c r="AB296" s="5" t="s">
        <v>43</v>
      </c>
      <c r="AC296" s="4" t="s">
        <v>228</v>
      </c>
      <c r="AE296" s="60"/>
      <c r="AF296" s="62"/>
      <c r="AG296" s="60"/>
      <c r="AJ296" s="525" t="s">
        <v>1104</v>
      </c>
    </row>
    <row r="297" customFormat="false" ht="15" hidden="false" customHeight="false" outlineLevel="0" collapsed="false">
      <c r="A297" s="11" t="s">
        <v>37</v>
      </c>
      <c r="B297" s="11" t="s">
        <v>38</v>
      </c>
      <c r="C297" s="29" t="n">
        <v>550690</v>
      </c>
      <c r="D297" s="4" t="s">
        <v>604</v>
      </c>
      <c r="E297" s="4" t="s">
        <v>143</v>
      </c>
      <c r="F297" s="5" t="s">
        <v>40</v>
      </c>
      <c r="G297" s="6" t="n">
        <v>1171</v>
      </c>
      <c r="H297" s="6" t="n">
        <f aca="false">G297</f>
        <v>1171</v>
      </c>
      <c r="I297" s="6" t="n">
        <v>1000</v>
      </c>
      <c r="J297" s="4" t="s">
        <v>67</v>
      </c>
      <c r="L297" s="8"/>
      <c r="M297" s="8" t="n">
        <v>44049</v>
      </c>
      <c r="P297" s="9" t="n">
        <v>0</v>
      </c>
      <c r="Q297" s="9" t="n">
        <f aca="false">P297</f>
        <v>0</v>
      </c>
      <c r="S297" s="9" t="n">
        <v>72300</v>
      </c>
      <c r="T297" s="9" t="n">
        <f aca="false">S297</f>
        <v>72300</v>
      </c>
      <c r="U297" s="9" t="n">
        <v>76100</v>
      </c>
      <c r="V297" s="9" t="n">
        <f aca="false">U297</f>
        <v>76100</v>
      </c>
      <c r="W297" s="45" t="n">
        <f aca="false">U297/G297</f>
        <v>64.9871904355252</v>
      </c>
      <c r="X297" s="41" t="n">
        <f aca="false">SUM(U297-S297)/S297</f>
        <v>0.0525587828492393</v>
      </c>
      <c r="Y297" s="9" t="s">
        <v>60</v>
      </c>
      <c r="Z297" s="42"/>
      <c r="AA297" s="524"/>
      <c r="AB297" s="5" t="s">
        <v>43</v>
      </c>
      <c r="AC297" s="4" t="s">
        <v>228</v>
      </c>
      <c r="AE297" s="60"/>
      <c r="AF297" s="62"/>
      <c r="AG297" s="60"/>
      <c r="AJ297" s="525" t="s">
        <v>1104</v>
      </c>
    </row>
    <row r="298" customFormat="false" ht="15" hidden="false" customHeight="false" outlineLevel="0" collapsed="false">
      <c r="A298" s="11" t="s">
        <v>37</v>
      </c>
      <c r="B298" s="11" t="s">
        <v>38</v>
      </c>
      <c r="C298" s="29" t="n">
        <v>550690</v>
      </c>
      <c r="D298" s="4" t="s">
        <v>604</v>
      </c>
      <c r="E298" s="4" t="s">
        <v>145</v>
      </c>
      <c r="F298" s="5" t="s">
        <v>40</v>
      </c>
      <c r="G298" s="6" t="n">
        <v>793</v>
      </c>
      <c r="H298" s="6" t="n">
        <f aca="false">G298</f>
        <v>793</v>
      </c>
      <c r="I298" s="6" t="n">
        <v>750</v>
      </c>
      <c r="J298" s="4" t="s">
        <v>67</v>
      </c>
      <c r="L298" s="8"/>
      <c r="M298" s="8" t="n">
        <v>44805</v>
      </c>
      <c r="P298" s="9" t="n">
        <v>0</v>
      </c>
      <c r="Q298" s="9" t="n">
        <f aca="false">P298</f>
        <v>0</v>
      </c>
      <c r="S298" s="9" t="n">
        <v>46300</v>
      </c>
      <c r="T298" s="9" t="n">
        <f aca="false">S298</f>
        <v>46300</v>
      </c>
      <c r="U298" s="9" t="n">
        <v>51500</v>
      </c>
      <c r="V298" s="9" t="n">
        <f aca="false">U298</f>
        <v>51500</v>
      </c>
      <c r="W298" s="45" t="n">
        <f aca="false">U298/G298</f>
        <v>64.9432534678436</v>
      </c>
      <c r="X298" s="41" t="n">
        <f aca="false">SUM(U298-S298)/S298</f>
        <v>0.11231101511879</v>
      </c>
      <c r="Y298" s="9" t="s">
        <v>60</v>
      </c>
      <c r="Z298" s="42"/>
      <c r="AA298" s="524"/>
      <c r="AB298" s="5" t="s">
        <v>43</v>
      </c>
      <c r="AC298" s="4" t="s">
        <v>228</v>
      </c>
      <c r="AE298" s="60"/>
      <c r="AF298" s="62"/>
      <c r="AG298" s="60"/>
      <c r="AJ298" s="525" t="s">
        <v>1104</v>
      </c>
    </row>
    <row r="299" customFormat="false" ht="15" hidden="false" customHeight="false" outlineLevel="0" collapsed="false">
      <c r="A299" s="11" t="s">
        <v>37</v>
      </c>
      <c r="B299" s="11" t="s">
        <v>38</v>
      </c>
      <c r="C299" s="29" t="n">
        <v>550690</v>
      </c>
      <c r="D299" s="4" t="s">
        <v>604</v>
      </c>
      <c r="E299" s="4" t="s">
        <v>546</v>
      </c>
      <c r="F299" s="5" t="s">
        <v>40</v>
      </c>
      <c r="G299" s="6" t="n">
        <v>1030</v>
      </c>
      <c r="H299" s="6" t="n">
        <f aca="false">G299</f>
        <v>1030</v>
      </c>
      <c r="I299" s="6" t="n">
        <v>1000</v>
      </c>
      <c r="J299" s="4" t="s">
        <v>67</v>
      </c>
      <c r="M299" s="8" t="n">
        <v>43914</v>
      </c>
      <c r="P299" s="9" t="n">
        <v>0</v>
      </c>
      <c r="Q299" s="9" t="n">
        <f aca="false">P299</f>
        <v>0</v>
      </c>
      <c r="S299" s="9" t="n">
        <v>63800</v>
      </c>
      <c r="T299" s="9" t="n">
        <f aca="false">S299</f>
        <v>63800</v>
      </c>
      <c r="U299" s="9" t="n">
        <v>67000</v>
      </c>
      <c r="V299" s="9" t="n">
        <f aca="false">U299</f>
        <v>67000</v>
      </c>
      <c r="W299" s="45" t="n">
        <f aca="false">U299/G299</f>
        <v>65.0485436893204</v>
      </c>
      <c r="X299" s="41" t="n">
        <f aca="false">SUM(U299-S299)/S299</f>
        <v>0.0501567398119122</v>
      </c>
      <c r="Y299" s="9" t="s">
        <v>60</v>
      </c>
      <c r="Z299" s="42"/>
      <c r="AA299" s="524"/>
      <c r="AB299" s="5" t="s">
        <v>43</v>
      </c>
      <c r="AC299" s="4" t="s">
        <v>228</v>
      </c>
      <c r="AE299" s="60"/>
      <c r="AF299" s="62"/>
      <c r="AG299" s="60"/>
      <c r="AJ299" s="525" t="s">
        <v>1104</v>
      </c>
    </row>
    <row r="300" customFormat="false" ht="15" hidden="false" customHeight="false" outlineLevel="0" collapsed="false">
      <c r="A300" s="11" t="s">
        <v>37</v>
      </c>
      <c r="B300" s="11" t="s">
        <v>38</v>
      </c>
      <c r="C300" s="29" t="n">
        <v>550690</v>
      </c>
      <c r="D300" s="4" t="s">
        <v>604</v>
      </c>
      <c r="E300" s="4" t="s">
        <v>147</v>
      </c>
      <c r="F300" s="5" t="s">
        <v>40</v>
      </c>
      <c r="G300" s="6" t="n">
        <v>731</v>
      </c>
      <c r="H300" s="6" t="n">
        <f aca="false">G300</f>
        <v>731</v>
      </c>
      <c r="I300" s="6" t="n">
        <v>750</v>
      </c>
      <c r="J300" s="4" t="s">
        <v>67</v>
      </c>
      <c r="M300" s="8" t="n">
        <v>44321</v>
      </c>
      <c r="P300" s="9" t="n">
        <v>0</v>
      </c>
      <c r="Q300" s="9" t="n">
        <f aca="false">P300</f>
        <v>0</v>
      </c>
      <c r="S300" s="9" t="n">
        <v>46100</v>
      </c>
      <c r="T300" s="9" t="n">
        <f aca="false">S300</f>
        <v>46100</v>
      </c>
      <c r="U300" s="9" t="n">
        <v>47500</v>
      </c>
      <c r="V300" s="9" t="n">
        <f aca="false">U300</f>
        <v>47500</v>
      </c>
      <c r="W300" s="45" t="n">
        <f aca="false">U300/G300</f>
        <v>64.9794801641587</v>
      </c>
      <c r="X300" s="41" t="n">
        <f aca="false">SUM(U300-S300)/S300</f>
        <v>0.0303687635574837</v>
      </c>
      <c r="Y300" s="9" t="s">
        <v>60</v>
      </c>
      <c r="Z300" s="42"/>
      <c r="AA300" s="524"/>
      <c r="AB300" s="5" t="s">
        <v>43</v>
      </c>
      <c r="AC300" s="4" t="s">
        <v>228</v>
      </c>
      <c r="AE300" s="60"/>
      <c r="AF300" s="62"/>
      <c r="AG300" s="60"/>
      <c r="AJ300" s="525" t="s">
        <v>1104</v>
      </c>
    </row>
    <row r="301" customFormat="false" ht="15" hidden="false" customHeight="false" outlineLevel="0" collapsed="false">
      <c r="A301" s="11" t="s">
        <v>37</v>
      </c>
      <c r="B301" s="11" t="s">
        <v>38</v>
      </c>
      <c r="C301" s="29" t="n">
        <v>550690</v>
      </c>
      <c r="D301" s="4" t="s">
        <v>604</v>
      </c>
      <c r="E301" s="4" t="s">
        <v>155</v>
      </c>
      <c r="F301" s="5" t="s">
        <v>40</v>
      </c>
      <c r="G301" s="6" t="n">
        <v>949</v>
      </c>
      <c r="H301" s="6" t="n">
        <f aca="false">G301</f>
        <v>949</v>
      </c>
      <c r="I301" s="6" t="n">
        <v>1000</v>
      </c>
      <c r="J301" s="4" t="s">
        <v>67</v>
      </c>
      <c r="M301" s="8" t="n">
        <v>42550</v>
      </c>
      <c r="P301" s="9" t="n">
        <v>0</v>
      </c>
      <c r="Q301" s="9" t="n">
        <f aca="false">P301</f>
        <v>0</v>
      </c>
      <c r="S301" s="9" t="n">
        <v>55600</v>
      </c>
      <c r="T301" s="9" t="n">
        <f aca="false">S301</f>
        <v>55600</v>
      </c>
      <c r="U301" s="9" t="n">
        <v>59300</v>
      </c>
      <c r="V301" s="9" t="n">
        <f aca="false">U301</f>
        <v>59300</v>
      </c>
      <c r="W301" s="45" t="n">
        <f aca="false">U301/G301</f>
        <v>62.4868282402529</v>
      </c>
      <c r="X301" s="41" t="n">
        <f aca="false">SUM(U301-S301)/S301</f>
        <v>0.0665467625899281</v>
      </c>
      <c r="Y301" s="9" t="s">
        <v>60</v>
      </c>
      <c r="Z301" s="42"/>
      <c r="AA301" s="524"/>
      <c r="AB301" s="5" t="s">
        <v>43</v>
      </c>
      <c r="AC301" s="4" t="s">
        <v>228</v>
      </c>
      <c r="AE301" s="60"/>
      <c r="AF301" s="62"/>
      <c r="AG301" s="60"/>
      <c r="AJ301" s="525" t="s">
        <v>1104</v>
      </c>
    </row>
    <row r="302" customFormat="false" ht="15" hidden="false" customHeight="false" outlineLevel="0" collapsed="false">
      <c r="A302" s="11" t="s">
        <v>37</v>
      </c>
      <c r="B302" s="11" t="s">
        <v>38</v>
      </c>
      <c r="C302" s="29" t="n">
        <v>550690</v>
      </c>
      <c r="D302" s="4" t="s">
        <v>604</v>
      </c>
      <c r="E302" s="4" t="s">
        <v>152</v>
      </c>
      <c r="F302" s="5" t="s">
        <v>40</v>
      </c>
      <c r="G302" s="6" t="n">
        <v>601</v>
      </c>
      <c r="H302" s="6" t="n">
        <f aca="false">G302</f>
        <v>601</v>
      </c>
      <c r="I302" s="6" t="n">
        <v>500</v>
      </c>
      <c r="J302" s="4" t="s">
        <v>67</v>
      </c>
      <c r="L302" s="8"/>
      <c r="M302" s="8" t="n">
        <v>44027</v>
      </c>
      <c r="P302" s="9" t="n">
        <v>0</v>
      </c>
      <c r="Q302" s="9" t="n">
        <f aca="false">P302</f>
        <v>0</v>
      </c>
      <c r="S302" s="9" t="n">
        <v>36800</v>
      </c>
      <c r="T302" s="9" t="n">
        <f aca="false">S302</f>
        <v>36800</v>
      </c>
      <c r="U302" s="9" t="n">
        <v>37600</v>
      </c>
      <c r="V302" s="9" t="n">
        <f aca="false">U302</f>
        <v>37600</v>
      </c>
      <c r="W302" s="45" t="n">
        <f aca="false">U302/G302</f>
        <v>62.5623960066556</v>
      </c>
      <c r="X302" s="41" t="n">
        <f aca="false">SUM(U302-S302)/S302</f>
        <v>0.0217391304347826</v>
      </c>
      <c r="Y302" s="9" t="s">
        <v>60</v>
      </c>
      <c r="Z302" s="42"/>
      <c r="AA302" s="524"/>
      <c r="AB302" s="5" t="s">
        <v>43</v>
      </c>
      <c r="AC302" s="4" t="s">
        <v>228</v>
      </c>
      <c r="AE302" s="60"/>
      <c r="AF302" s="62"/>
      <c r="AG302" s="60"/>
      <c r="AJ302" s="525" t="s">
        <v>1104</v>
      </c>
    </row>
    <row r="303" customFormat="false" ht="15" hidden="false" customHeight="false" outlineLevel="0" collapsed="false">
      <c r="A303" s="11" t="s">
        <v>37</v>
      </c>
      <c r="B303" s="11" t="s">
        <v>38</v>
      </c>
      <c r="C303" s="29" t="n">
        <v>550690</v>
      </c>
      <c r="D303" s="4" t="s">
        <v>604</v>
      </c>
      <c r="E303" s="4" t="s">
        <v>156</v>
      </c>
      <c r="F303" s="5" t="s">
        <v>40</v>
      </c>
      <c r="G303" s="6" t="n">
        <v>730</v>
      </c>
      <c r="H303" s="6" t="n">
        <f aca="false">G303</f>
        <v>730</v>
      </c>
      <c r="I303" s="6" t="n">
        <v>750</v>
      </c>
      <c r="J303" s="4" t="s">
        <v>67</v>
      </c>
      <c r="M303" s="8" t="n">
        <v>42723</v>
      </c>
      <c r="P303" s="9" t="n">
        <v>0</v>
      </c>
      <c r="Q303" s="9" t="n">
        <f aca="false">P303</f>
        <v>0</v>
      </c>
      <c r="S303" s="9" t="n">
        <v>44700</v>
      </c>
      <c r="T303" s="9" t="n">
        <f aca="false">S303</f>
        <v>44700</v>
      </c>
      <c r="U303" s="9" t="n">
        <v>45600</v>
      </c>
      <c r="V303" s="9" t="n">
        <f aca="false">U303</f>
        <v>45600</v>
      </c>
      <c r="W303" s="45" t="n">
        <f aca="false">U303/G303</f>
        <v>62.4657534246575</v>
      </c>
      <c r="X303" s="41" t="n">
        <f aca="false">SUM(U303-S303)/S303</f>
        <v>0.0201342281879195</v>
      </c>
      <c r="Y303" s="9" t="s">
        <v>60</v>
      </c>
      <c r="Z303" s="42"/>
      <c r="AA303" s="524"/>
      <c r="AB303" s="5" t="s">
        <v>43</v>
      </c>
      <c r="AC303" s="4" t="s">
        <v>228</v>
      </c>
      <c r="AE303" s="60"/>
      <c r="AF303" s="62"/>
      <c r="AG303" s="60"/>
      <c r="AJ303" s="525" t="s">
        <v>1104</v>
      </c>
    </row>
    <row r="304" customFormat="false" ht="15" hidden="false" customHeight="false" outlineLevel="0" collapsed="false">
      <c r="A304" s="11" t="s">
        <v>37</v>
      </c>
      <c r="B304" s="11" t="s">
        <v>38</v>
      </c>
      <c r="C304" s="29" t="n">
        <v>550690</v>
      </c>
      <c r="D304" s="4" t="s">
        <v>604</v>
      </c>
      <c r="E304" s="4" t="s">
        <v>158</v>
      </c>
      <c r="F304" s="5" t="s">
        <v>40</v>
      </c>
      <c r="G304" s="6" t="n">
        <v>462</v>
      </c>
      <c r="H304" s="6" t="n">
        <f aca="false">G304</f>
        <v>462</v>
      </c>
      <c r="I304" s="6" t="n">
        <v>500</v>
      </c>
      <c r="J304" s="4" t="s">
        <v>67</v>
      </c>
      <c r="M304" s="8" t="n">
        <v>43824</v>
      </c>
      <c r="P304" s="9" t="n">
        <v>0</v>
      </c>
      <c r="Q304" s="9" t="n">
        <f aca="false">P304</f>
        <v>0</v>
      </c>
      <c r="S304" s="9" t="n">
        <v>27300</v>
      </c>
      <c r="T304" s="9" t="n">
        <f aca="false">S304</f>
        <v>27300</v>
      </c>
      <c r="U304" s="9" t="n">
        <v>28900</v>
      </c>
      <c r="V304" s="9" t="n">
        <f aca="false">U304</f>
        <v>28900</v>
      </c>
      <c r="W304" s="45" t="n">
        <f aca="false">U304/G304</f>
        <v>62.5541125541126</v>
      </c>
      <c r="X304" s="41" t="n">
        <f aca="false">SUM(U304-S304)/S304</f>
        <v>0.0586080586080586</v>
      </c>
      <c r="Y304" s="9" t="s">
        <v>60</v>
      </c>
      <c r="Z304" s="42"/>
      <c r="AA304" s="524"/>
      <c r="AB304" s="5" t="s">
        <v>43</v>
      </c>
      <c r="AC304" s="4" t="s">
        <v>228</v>
      </c>
      <c r="AE304" s="60"/>
      <c r="AF304" s="62"/>
      <c r="AG304" s="60"/>
      <c r="AJ304" s="525" t="s">
        <v>1104</v>
      </c>
    </row>
    <row r="305" customFormat="false" ht="15" hidden="false" customHeight="false" outlineLevel="0" collapsed="false">
      <c r="A305" s="11" t="s">
        <v>106</v>
      </c>
      <c r="B305" s="11" t="s">
        <v>38</v>
      </c>
      <c r="C305" s="29" t="n">
        <v>550810</v>
      </c>
      <c r="D305" s="4" t="s">
        <v>615</v>
      </c>
      <c r="E305" s="4" t="s">
        <v>616</v>
      </c>
      <c r="F305" s="5" t="s">
        <v>134</v>
      </c>
      <c r="G305" s="6" t="n">
        <v>1190</v>
      </c>
      <c r="H305" s="6" t="n">
        <f aca="false">G305</f>
        <v>1190</v>
      </c>
      <c r="I305" s="6" t="n">
        <v>1000</v>
      </c>
      <c r="J305" s="4" t="s">
        <v>617</v>
      </c>
      <c r="K305" s="7" t="n">
        <v>41673</v>
      </c>
      <c r="L305" s="8" t="n">
        <v>47151</v>
      </c>
      <c r="P305" s="9" t="n">
        <v>115000</v>
      </c>
      <c r="Q305" s="9" t="n">
        <f aca="false">P305</f>
        <v>115000</v>
      </c>
      <c r="S305" s="9" t="n">
        <v>106000</v>
      </c>
      <c r="T305" s="9" t="n">
        <f aca="false">S305</f>
        <v>106000</v>
      </c>
      <c r="U305" s="9" t="n">
        <v>106000</v>
      </c>
      <c r="V305" s="9" t="n">
        <f aca="false">U305</f>
        <v>106000</v>
      </c>
      <c r="W305" s="45" t="n">
        <f aca="false">U305/G305</f>
        <v>89.0756302521008</v>
      </c>
      <c r="X305" s="41" t="n">
        <f aca="false">SUM(U305-S305)/S305</f>
        <v>0</v>
      </c>
      <c r="Y305" s="9" t="s">
        <v>60</v>
      </c>
      <c r="Z305" s="42"/>
      <c r="AA305" s="44"/>
      <c r="AB305" s="5" t="s">
        <v>43</v>
      </c>
      <c r="AC305" s="4" t="s">
        <v>618</v>
      </c>
      <c r="AF305" s="59"/>
      <c r="AJ305" s="525" t="s">
        <v>1103</v>
      </c>
    </row>
    <row r="306" customFormat="false" ht="15" hidden="false" customHeight="false" outlineLevel="0" collapsed="false">
      <c r="A306" s="11" t="s">
        <v>106</v>
      </c>
      <c r="B306" s="11" t="s">
        <v>38</v>
      </c>
      <c r="C306" s="29" t="n">
        <v>550810</v>
      </c>
      <c r="D306" s="4" t="s">
        <v>615</v>
      </c>
      <c r="E306" s="4" t="s">
        <v>432</v>
      </c>
      <c r="F306" s="5" t="s">
        <v>40</v>
      </c>
      <c r="G306" s="6" t="n">
        <v>1044</v>
      </c>
      <c r="H306" s="6" t="n">
        <f aca="false">G306</f>
        <v>1044</v>
      </c>
      <c r="I306" s="6" t="n">
        <v>1000</v>
      </c>
      <c r="J306" s="4" t="s">
        <v>619</v>
      </c>
      <c r="K306" s="7" t="n">
        <v>45413</v>
      </c>
      <c r="L306" s="8" t="n">
        <v>47238</v>
      </c>
      <c r="O306" s="8" t="n">
        <v>46326</v>
      </c>
      <c r="P306" s="9" t="n">
        <v>52500</v>
      </c>
      <c r="Q306" s="9" t="n">
        <f aca="false">P306</f>
        <v>52500</v>
      </c>
      <c r="S306" s="9" t="n">
        <v>53800</v>
      </c>
      <c r="T306" s="9" t="n">
        <f aca="false">S306</f>
        <v>53800</v>
      </c>
      <c r="U306" s="9" t="n">
        <v>53800</v>
      </c>
      <c r="V306" s="9" t="n">
        <f aca="false">U306</f>
        <v>53800</v>
      </c>
      <c r="W306" s="45" t="n">
        <f aca="false">U306/G306</f>
        <v>51.5325670498084</v>
      </c>
      <c r="X306" s="41" t="n">
        <f aca="false">SUM(U306-S306)/S306</f>
        <v>0</v>
      </c>
      <c r="Y306" s="9" t="s">
        <v>60</v>
      </c>
      <c r="Z306" s="42"/>
      <c r="AA306" s="44"/>
      <c r="AB306" s="5" t="s">
        <v>43</v>
      </c>
      <c r="AC306" s="4" t="s">
        <v>77</v>
      </c>
      <c r="AF306" s="59"/>
      <c r="AJ306" s="525" t="s">
        <v>1103</v>
      </c>
    </row>
    <row r="307" customFormat="false" ht="15" hidden="false" customHeight="false" outlineLevel="0" collapsed="false">
      <c r="A307" s="11" t="s">
        <v>106</v>
      </c>
      <c r="B307" s="11" t="s">
        <v>38</v>
      </c>
      <c r="C307" s="29" t="n">
        <v>550490</v>
      </c>
      <c r="D307" s="4" t="s">
        <v>620</v>
      </c>
      <c r="E307" s="4" t="s">
        <v>39</v>
      </c>
      <c r="F307" s="5" t="s">
        <v>621</v>
      </c>
      <c r="G307" s="43" t="n">
        <v>6979</v>
      </c>
      <c r="H307" s="9" t="n">
        <f aca="false">G307</f>
        <v>6979</v>
      </c>
      <c r="I307" s="9" t="n">
        <v>7000</v>
      </c>
      <c r="J307" s="4" t="s">
        <v>622</v>
      </c>
      <c r="K307" s="7" t="n">
        <v>44185</v>
      </c>
      <c r="L307" s="8" t="n">
        <v>47836</v>
      </c>
      <c r="N307" s="8" t="n">
        <v>46011</v>
      </c>
      <c r="P307" s="44" t="n">
        <v>420000</v>
      </c>
      <c r="Q307" s="9" t="n">
        <f aca="false">P307</f>
        <v>420000</v>
      </c>
      <c r="R307" s="44" t="n">
        <f aca="false">Q307</f>
        <v>420000</v>
      </c>
      <c r="S307" s="44" t="n">
        <v>364600</v>
      </c>
      <c r="T307" s="9" t="n">
        <f aca="false">S307</f>
        <v>364600</v>
      </c>
      <c r="U307" s="44" t="n">
        <v>414100</v>
      </c>
      <c r="V307" s="9" t="n">
        <f aca="false">U307</f>
        <v>414100</v>
      </c>
      <c r="W307" s="45" t="n">
        <f aca="false">U307/G307</f>
        <v>59.335148302049</v>
      </c>
      <c r="X307" s="41" t="n">
        <f aca="false">SUM(U307-S307)/S307</f>
        <v>0.135765222161273</v>
      </c>
      <c r="Y307" s="9" t="s">
        <v>127</v>
      </c>
      <c r="Z307" s="42"/>
      <c r="AA307" s="44" t="n">
        <v>7475000</v>
      </c>
      <c r="AB307" s="5" t="s">
        <v>43</v>
      </c>
      <c r="AC307" s="4" t="s">
        <v>623</v>
      </c>
      <c r="AF307" s="59"/>
      <c r="AJ307" s="525" t="s">
        <v>1103</v>
      </c>
    </row>
    <row r="308" customFormat="false" ht="15" hidden="false" customHeight="false" outlineLevel="0" collapsed="false">
      <c r="A308" s="11" t="s">
        <v>37</v>
      </c>
      <c r="B308" s="11" t="s">
        <v>38</v>
      </c>
      <c r="C308" s="29" t="n">
        <v>550940</v>
      </c>
      <c r="D308" s="4" t="s">
        <v>624</v>
      </c>
      <c r="E308" s="4" t="s">
        <v>625</v>
      </c>
      <c r="F308" s="5" t="s">
        <v>626</v>
      </c>
      <c r="G308" s="6" t="n">
        <v>2662</v>
      </c>
      <c r="H308" s="6" t="n">
        <f aca="false">G308</f>
        <v>2662</v>
      </c>
      <c r="I308" s="6" t="n">
        <v>2500</v>
      </c>
      <c r="J308" s="4" t="s">
        <v>627</v>
      </c>
      <c r="K308" s="7" t="n">
        <v>44942</v>
      </c>
      <c r="L308" s="8" t="n">
        <v>46767</v>
      </c>
      <c r="O308" s="8" t="n">
        <v>46037</v>
      </c>
      <c r="P308" s="9" t="n">
        <v>100000</v>
      </c>
      <c r="Q308" s="9" t="n">
        <f aca="false">P308</f>
        <v>100000</v>
      </c>
      <c r="S308" s="6" t="n">
        <v>100000</v>
      </c>
      <c r="T308" s="9" t="n">
        <f aca="false">S308</f>
        <v>100000</v>
      </c>
      <c r="U308" s="6" t="n">
        <v>100000</v>
      </c>
      <c r="V308" s="9" t="n">
        <f aca="false">U308</f>
        <v>100000</v>
      </c>
      <c r="W308" s="45" t="n">
        <f aca="false">U308/G308</f>
        <v>37.5657400450789</v>
      </c>
      <c r="X308" s="41" t="n">
        <f aca="false">SUM(U308-S308)/S308</f>
        <v>0</v>
      </c>
      <c r="Y308" s="9" t="s">
        <v>127</v>
      </c>
      <c r="Z308" s="42"/>
      <c r="AA308" s="524"/>
      <c r="AB308" s="5" t="s">
        <v>43</v>
      </c>
      <c r="AC308" s="4" t="s">
        <v>75</v>
      </c>
      <c r="AF308" s="59"/>
      <c r="AJ308" s="525" t="s">
        <v>1103</v>
      </c>
    </row>
    <row r="309" customFormat="false" ht="15" hidden="false" customHeight="false" outlineLevel="0" collapsed="false">
      <c r="A309" s="11" t="s">
        <v>37</v>
      </c>
      <c r="B309" s="11" t="s">
        <v>38</v>
      </c>
      <c r="C309" s="29" t="n">
        <v>550940</v>
      </c>
      <c r="D309" s="4" t="s">
        <v>624</v>
      </c>
      <c r="E309" s="4" t="s">
        <v>628</v>
      </c>
      <c r="F309" s="5" t="s">
        <v>40</v>
      </c>
      <c r="G309" s="6" t="n">
        <v>3452</v>
      </c>
      <c r="H309" s="6" t="n">
        <f aca="false">G309</f>
        <v>3452</v>
      </c>
      <c r="I309" s="6" t="n">
        <v>3500</v>
      </c>
      <c r="J309" s="4" t="s">
        <v>629</v>
      </c>
      <c r="K309" s="7" t="n">
        <v>45707</v>
      </c>
      <c r="L309" s="8" t="n">
        <v>46071</v>
      </c>
      <c r="O309" s="8" t="n">
        <v>45887</v>
      </c>
      <c r="P309" s="6" t="n">
        <v>138440</v>
      </c>
      <c r="Q309" s="9" t="n">
        <f aca="false">P309</f>
        <v>138440</v>
      </c>
      <c r="S309" s="6" t="n">
        <v>109600</v>
      </c>
      <c r="T309" s="9" t="n">
        <f aca="false">S309</f>
        <v>109600</v>
      </c>
      <c r="U309" s="6" t="n">
        <v>112000</v>
      </c>
      <c r="V309" s="9" t="n">
        <f aca="false">U309</f>
        <v>112000</v>
      </c>
      <c r="W309" s="45" t="n">
        <f aca="false">U309/G309</f>
        <v>32.4449594438007</v>
      </c>
      <c r="X309" s="41" t="n">
        <f aca="false">SUM(U309-S309)/S309</f>
        <v>0.0218978102189781</v>
      </c>
      <c r="Y309" s="9" t="s">
        <v>127</v>
      </c>
      <c r="Z309" s="42"/>
      <c r="AA309" s="524"/>
      <c r="AB309" s="5" t="s">
        <v>43</v>
      </c>
      <c r="AC309" s="4" t="s">
        <v>77</v>
      </c>
      <c r="AF309" s="59"/>
      <c r="AJ309" s="525" t="s">
        <v>1103</v>
      </c>
    </row>
    <row r="310" customFormat="false" ht="15" hidden="false" customHeight="false" outlineLevel="0" collapsed="false">
      <c r="A310" s="11" t="s">
        <v>37</v>
      </c>
      <c r="B310" s="11" t="s">
        <v>38</v>
      </c>
      <c r="C310" s="29" t="n">
        <v>550940</v>
      </c>
      <c r="D310" s="4" t="s">
        <v>624</v>
      </c>
      <c r="E310" s="4" t="s">
        <v>630</v>
      </c>
      <c r="F310" s="5" t="s">
        <v>40</v>
      </c>
      <c r="G310" s="6" t="n">
        <v>2274</v>
      </c>
      <c r="H310" s="6" t="n">
        <f aca="false">G310</f>
        <v>2274</v>
      </c>
      <c r="I310" s="6" t="n">
        <v>2250</v>
      </c>
      <c r="J310" s="4" t="s">
        <v>67</v>
      </c>
      <c r="M310" s="8" t="n">
        <v>44280</v>
      </c>
      <c r="P310" s="9" t="n">
        <v>0</v>
      </c>
      <c r="Q310" s="9" t="n">
        <f aca="false">P310</f>
        <v>0</v>
      </c>
      <c r="S310" s="6" t="n">
        <v>124700</v>
      </c>
      <c r="T310" s="9" t="n">
        <f aca="false">S310</f>
        <v>124700</v>
      </c>
      <c r="U310" s="6" t="n">
        <v>125100</v>
      </c>
      <c r="V310" s="9" t="n">
        <f aca="false">U310</f>
        <v>125100</v>
      </c>
      <c r="W310" s="45" t="n">
        <f aca="false">U310/G310</f>
        <v>55.0131926121372</v>
      </c>
      <c r="X310" s="41" t="n">
        <f aca="false">SUM(U310-S310)/S310</f>
        <v>0.00320769847634322</v>
      </c>
      <c r="Y310" s="9" t="s">
        <v>127</v>
      </c>
      <c r="Z310" s="42"/>
      <c r="AA310" s="524"/>
      <c r="AB310" s="5" t="s">
        <v>170</v>
      </c>
      <c r="AC310" s="4" t="s">
        <v>68</v>
      </c>
      <c r="AD310" s="58"/>
      <c r="AF310" s="59"/>
      <c r="AJ310" s="525" t="s">
        <v>1104</v>
      </c>
    </row>
    <row r="311" customFormat="false" ht="15" hidden="false" customHeight="false" outlineLevel="0" collapsed="false">
      <c r="A311" s="11" t="s">
        <v>37</v>
      </c>
      <c r="B311" s="11" t="s">
        <v>38</v>
      </c>
      <c r="C311" s="29" t="n">
        <v>550940</v>
      </c>
      <c r="D311" s="4" t="s">
        <v>624</v>
      </c>
      <c r="E311" s="4" t="s">
        <v>631</v>
      </c>
      <c r="F311" s="5" t="s">
        <v>40</v>
      </c>
      <c r="G311" s="6" t="n">
        <v>1201</v>
      </c>
      <c r="H311" s="6" t="n">
        <f aca="false">G311</f>
        <v>1201</v>
      </c>
      <c r="I311" s="6" t="n">
        <v>1250</v>
      </c>
      <c r="J311" s="4" t="s">
        <v>67</v>
      </c>
      <c r="M311" s="8" t="n">
        <v>45521</v>
      </c>
      <c r="P311" s="9" t="n">
        <v>0</v>
      </c>
      <c r="Q311" s="9" t="n">
        <f aca="false">P311</f>
        <v>0</v>
      </c>
      <c r="S311" s="6" t="n">
        <v>64100</v>
      </c>
      <c r="T311" s="9" t="n">
        <f aca="false">S311</f>
        <v>64100</v>
      </c>
      <c r="U311" s="6" t="n">
        <v>63100</v>
      </c>
      <c r="V311" s="9" t="n">
        <f aca="false">U311</f>
        <v>63100</v>
      </c>
      <c r="W311" s="45" t="n">
        <f aca="false">U311/G311</f>
        <v>52.5395503746878</v>
      </c>
      <c r="X311" s="41" t="n">
        <f aca="false">SUM(U311-S311)/S311</f>
        <v>-0.015600624024961</v>
      </c>
      <c r="Y311" s="9" t="s">
        <v>60</v>
      </c>
      <c r="Z311" s="42"/>
      <c r="AA311" s="524"/>
      <c r="AB311" s="5" t="s">
        <v>43</v>
      </c>
      <c r="AC311" s="4" t="s">
        <v>68</v>
      </c>
      <c r="AE311" s="60"/>
      <c r="AF311" s="62" t="n">
        <v>2</v>
      </c>
      <c r="AG311" s="60"/>
      <c r="AJ311" s="525" t="s">
        <v>1104</v>
      </c>
    </row>
    <row r="312" customFormat="false" ht="15" hidden="false" customHeight="false" outlineLevel="0" collapsed="false">
      <c r="A312" s="11" t="s">
        <v>37</v>
      </c>
      <c r="B312" s="11" t="s">
        <v>38</v>
      </c>
      <c r="C312" s="29" t="n">
        <v>550940</v>
      </c>
      <c r="D312" s="4" t="s">
        <v>624</v>
      </c>
      <c r="E312" s="4" t="s">
        <v>632</v>
      </c>
      <c r="F312" s="5" t="s">
        <v>40</v>
      </c>
      <c r="G312" s="6" t="n">
        <v>1255</v>
      </c>
      <c r="H312" s="6" t="n">
        <f aca="false">G312</f>
        <v>1255</v>
      </c>
      <c r="I312" s="6" t="n">
        <v>1250</v>
      </c>
      <c r="J312" s="4" t="s">
        <v>67</v>
      </c>
      <c r="M312" s="8" t="n">
        <v>44320</v>
      </c>
      <c r="P312" s="9" t="n">
        <v>0</v>
      </c>
      <c r="Q312" s="9" t="n">
        <f aca="false">P312</f>
        <v>0</v>
      </c>
      <c r="S312" s="6" t="n">
        <v>67300</v>
      </c>
      <c r="T312" s="9" t="n">
        <f aca="false">S312</f>
        <v>67300</v>
      </c>
      <c r="U312" s="6" t="n">
        <v>69000</v>
      </c>
      <c r="V312" s="9" t="n">
        <f aca="false">U312</f>
        <v>69000</v>
      </c>
      <c r="W312" s="45" t="n">
        <f aca="false">U312/G312</f>
        <v>54.9800796812749</v>
      </c>
      <c r="X312" s="41" t="n">
        <f aca="false">SUM(U312-S312)/S312</f>
        <v>0.025260029717682</v>
      </c>
      <c r="Y312" s="9" t="s">
        <v>60</v>
      </c>
      <c r="Z312" s="42"/>
      <c r="AA312" s="524"/>
      <c r="AB312" s="5" t="s">
        <v>43</v>
      </c>
      <c r="AC312" s="4" t="s">
        <v>119</v>
      </c>
      <c r="AF312" s="59" t="n">
        <v>2</v>
      </c>
      <c r="AJ312" s="525" t="s">
        <v>1104</v>
      </c>
    </row>
    <row r="313" customFormat="false" ht="15" hidden="false" customHeight="false" outlineLevel="0" collapsed="false">
      <c r="A313" s="11" t="s">
        <v>37</v>
      </c>
      <c r="B313" s="11" t="s">
        <v>38</v>
      </c>
      <c r="C313" s="29" t="n">
        <v>550940</v>
      </c>
      <c r="D313" s="4" t="s">
        <v>624</v>
      </c>
      <c r="E313" s="4" t="s">
        <v>633</v>
      </c>
      <c r="F313" s="5" t="s">
        <v>40</v>
      </c>
      <c r="G313" s="6" t="n">
        <v>1252</v>
      </c>
      <c r="H313" s="6" t="n">
        <f aca="false">G313</f>
        <v>1252</v>
      </c>
      <c r="I313" s="6" t="n">
        <v>1250</v>
      </c>
      <c r="J313" s="4" t="s">
        <v>67</v>
      </c>
      <c r="M313" s="8" t="n">
        <v>44622</v>
      </c>
      <c r="P313" s="9" t="n">
        <v>0</v>
      </c>
      <c r="Q313" s="9" t="n">
        <f aca="false">P313</f>
        <v>0</v>
      </c>
      <c r="S313" s="6" t="n">
        <v>67600</v>
      </c>
      <c r="T313" s="9" t="n">
        <f aca="false">S313</f>
        <v>67600</v>
      </c>
      <c r="U313" s="6" t="n">
        <v>68900</v>
      </c>
      <c r="V313" s="9" t="n">
        <f aca="false">U313</f>
        <v>68900</v>
      </c>
      <c r="W313" s="45" t="n">
        <f aca="false">U313/G313</f>
        <v>55.0319488817891</v>
      </c>
      <c r="X313" s="41" t="n">
        <f aca="false">SUM(U313-S313)/S313</f>
        <v>0.0192307692307692</v>
      </c>
      <c r="Y313" s="9" t="s">
        <v>127</v>
      </c>
      <c r="Z313" s="42"/>
      <c r="AA313" s="524"/>
      <c r="AB313" s="5" t="s">
        <v>43</v>
      </c>
      <c r="AC313" s="4" t="s">
        <v>119</v>
      </c>
      <c r="AF313" s="59" t="n">
        <v>2</v>
      </c>
      <c r="AJ313" s="525" t="s">
        <v>1104</v>
      </c>
    </row>
    <row r="314" customFormat="false" ht="15" hidden="false" customHeight="false" outlineLevel="0" collapsed="false">
      <c r="A314" s="11" t="s">
        <v>37</v>
      </c>
      <c r="B314" s="11" t="s">
        <v>38</v>
      </c>
      <c r="C314" s="29" t="n">
        <v>550940</v>
      </c>
      <c r="D314" s="4" t="s">
        <v>624</v>
      </c>
      <c r="E314" s="4" t="s">
        <v>634</v>
      </c>
      <c r="F314" s="5" t="s">
        <v>40</v>
      </c>
      <c r="G314" s="6" t="n">
        <v>1055</v>
      </c>
      <c r="H314" s="6" t="n">
        <f aca="false">G314</f>
        <v>1055</v>
      </c>
      <c r="I314" s="6" t="n">
        <v>1000</v>
      </c>
      <c r="J314" s="4" t="s">
        <v>635</v>
      </c>
      <c r="K314" s="7" t="n">
        <v>44887</v>
      </c>
      <c r="L314" s="8" t="n">
        <v>46712</v>
      </c>
      <c r="N314" s="8" t="n">
        <v>45983</v>
      </c>
      <c r="O314" s="8" t="n">
        <v>45982</v>
      </c>
      <c r="P314" s="6" t="n">
        <v>63070</v>
      </c>
      <c r="Q314" s="9" t="n">
        <f aca="false">P314</f>
        <v>63070</v>
      </c>
      <c r="S314" s="6" t="n">
        <v>61000</v>
      </c>
      <c r="T314" s="9" t="n">
        <f aca="false">S314</f>
        <v>61000</v>
      </c>
      <c r="U314" s="6" t="n">
        <v>60700</v>
      </c>
      <c r="V314" s="9" t="n">
        <f aca="false">U314</f>
        <v>60700</v>
      </c>
      <c r="W314" s="45" t="n">
        <f aca="false">U314/G314</f>
        <v>57.5355450236967</v>
      </c>
      <c r="X314" s="41" t="n">
        <f aca="false">SUM(U314-S314)/S314</f>
        <v>-0.00491803278688525</v>
      </c>
      <c r="Y314" s="9" t="s">
        <v>60</v>
      </c>
      <c r="Z314" s="42"/>
      <c r="AA314" s="524"/>
      <c r="AB314" s="5" t="s">
        <v>43</v>
      </c>
      <c r="AC314" s="4" t="s">
        <v>636</v>
      </c>
      <c r="AF314" s="59"/>
      <c r="AJ314" s="525" t="s">
        <v>1103</v>
      </c>
    </row>
    <row r="315" customFormat="false" ht="15" hidden="false" customHeight="false" outlineLevel="0" collapsed="false">
      <c r="A315" s="11" t="s">
        <v>37</v>
      </c>
      <c r="B315" s="11" t="s">
        <v>38</v>
      </c>
      <c r="C315" s="29" t="n">
        <v>550940</v>
      </c>
      <c r="D315" s="4" t="s">
        <v>624</v>
      </c>
      <c r="E315" s="4" t="s">
        <v>637</v>
      </c>
      <c r="F315" s="11" t="s">
        <v>40</v>
      </c>
      <c r="G315" s="6" t="n">
        <v>1167</v>
      </c>
      <c r="H315" s="6" t="n">
        <f aca="false">G315</f>
        <v>1167</v>
      </c>
      <c r="I315" s="6" t="n">
        <v>1000</v>
      </c>
      <c r="J315" s="4" t="s">
        <v>638</v>
      </c>
      <c r="K315" s="7" t="n">
        <v>45573</v>
      </c>
      <c r="L315" s="8" t="n">
        <v>47398</v>
      </c>
      <c r="P315" s="9" t="n">
        <v>46800</v>
      </c>
      <c r="Q315" s="9" t="n">
        <f aca="false">P315</f>
        <v>46800</v>
      </c>
      <c r="S315" s="6" t="n">
        <v>37700</v>
      </c>
      <c r="T315" s="9" t="n">
        <f aca="false">S315</f>
        <v>37700</v>
      </c>
      <c r="U315" s="6" t="n">
        <v>46800</v>
      </c>
      <c r="V315" s="9" t="n">
        <f aca="false">U315</f>
        <v>46800</v>
      </c>
      <c r="W315" s="45" t="n">
        <f aca="false">U315/G315</f>
        <v>40.1028277634961</v>
      </c>
      <c r="X315" s="41" t="n">
        <f aca="false">SUM(U315-S315)/S315</f>
        <v>0.241379310344828</v>
      </c>
      <c r="Y315" s="9" t="s">
        <v>55</v>
      </c>
      <c r="Z315" s="42" t="s">
        <v>26</v>
      </c>
      <c r="AA315" s="524"/>
      <c r="AB315" s="5" t="s">
        <v>43</v>
      </c>
      <c r="AF315" s="59"/>
      <c r="AJ315" s="525" t="s">
        <v>1103</v>
      </c>
    </row>
    <row r="316" customFormat="false" ht="15" hidden="false" customHeight="false" outlineLevel="0" collapsed="false">
      <c r="A316" s="11" t="s">
        <v>37</v>
      </c>
      <c r="B316" s="11" t="s">
        <v>38</v>
      </c>
      <c r="C316" s="29" t="n">
        <v>550940</v>
      </c>
      <c r="D316" s="4" t="s">
        <v>624</v>
      </c>
      <c r="E316" s="4" t="s">
        <v>639</v>
      </c>
      <c r="F316" s="11" t="s">
        <v>40</v>
      </c>
      <c r="G316" s="6" t="n">
        <v>922</v>
      </c>
      <c r="H316" s="6" t="n">
        <f aca="false">G316</f>
        <v>922</v>
      </c>
      <c r="I316" s="6" t="n">
        <v>1000</v>
      </c>
      <c r="J316" s="4" t="s">
        <v>640</v>
      </c>
      <c r="K316" s="7" t="n">
        <v>45204</v>
      </c>
      <c r="L316" s="8" t="n">
        <v>46299</v>
      </c>
      <c r="P316" s="6" t="n">
        <v>45800</v>
      </c>
      <c r="Q316" s="9" t="n">
        <f aca="false">P316</f>
        <v>45800</v>
      </c>
      <c r="S316" s="6" t="n">
        <v>39100</v>
      </c>
      <c r="T316" s="9" t="n">
        <f aca="false">S316</f>
        <v>39100</v>
      </c>
      <c r="U316" s="6" t="n">
        <v>39200</v>
      </c>
      <c r="V316" s="9" t="n">
        <f aca="false">U316</f>
        <v>39200</v>
      </c>
      <c r="W316" s="45" t="n">
        <f aca="false">U316/G316</f>
        <v>42.5162689804772</v>
      </c>
      <c r="X316" s="41" t="n">
        <f aca="false">SUM(U316-S316)/S316</f>
        <v>0.00255754475703325</v>
      </c>
      <c r="Y316" s="9" t="s">
        <v>55</v>
      </c>
      <c r="Z316" s="42" t="s">
        <v>26</v>
      </c>
      <c r="AA316" s="524"/>
      <c r="AB316" s="5" t="s">
        <v>43</v>
      </c>
      <c r="AF316" s="59"/>
      <c r="AJ316" s="525" t="s">
        <v>1103</v>
      </c>
    </row>
    <row r="317" customFormat="false" ht="15" hidden="false" customHeight="false" outlineLevel="0" collapsed="false">
      <c r="A317" s="11" t="s">
        <v>37</v>
      </c>
      <c r="B317" s="11" t="s">
        <v>38</v>
      </c>
      <c r="C317" s="29" t="n">
        <v>550940</v>
      </c>
      <c r="D317" s="4" t="s">
        <v>624</v>
      </c>
      <c r="E317" s="4" t="s">
        <v>641</v>
      </c>
      <c r="F317" s="11" t="s">
        <v>40</v>
      </c>
      <c r="G317" s="6" t="n">
        <v>781</v>
      </c>
      <c r="H317" s="6" t="n">
        <f aca="false">G317</f>
        <v>781</v>
      </c>
      <c r="I317" s="6" t="n">
        <v>750</v>
      </c>
      <c r="J317" s="4" t="s">
        <v>67</v>
      </c>
      <c r="M317" s="8" t="n">
        <v>45383</v>
      </c>
      <c r="P317" s="9" t="n">
        <v>0</v>
      </c>
      <c r="Q317" s="9" t="n">
        <f aca="false">P317</f>
        <v>0</v>
      </c>
      <c r="S317" s="6" t="n">
        <v>37300</v>
      </c>
      <c r="T317" s="9" t="n">
        <f aca="false">S317</f>
        <v>37300</v>
      </c>
      <c r="U317" s="6" t="n">
        <v>33200</v>
      </c>
      <c r="V317" s="9" t="n">
        <f aca="false">U317</f>
        <v>33200</v>
      </c>
      <c r="W317" s="45" t="n">
        <f aca="false">U317/G317</f>
        <v>42.5096030729834</v>
      </c>
      <c r="X317" s="41" t="n">
        <f aca="false">SUM(U317-S317)/S317</f>
        <v>-0.109919571045576</v>
      </c>
      <c r="Y317" s="9" t="s">
        <v>55</v>
      </c>
      <c r="Z317" s="42" t="s">
        <v>26</v>
      </c>
      <c r="AA317" s="524"/>
      <c r="AB317" s="5" t="s">
        <v>43</v>
      </c>
      <c r="AC317" s="4" t="s">
        <v>68</v>
      </c>
      <c r="AF317" s="59"/>
      <c r="AJ317" s="525" t="s">
        <v>1104</v>
      </c>
    </row>
    <row r="318" customFormat="false" ht="15" hidden="false" customHeight="false" outlineLevel="0" collapsed="false">
      <c r="A318" s="11" t="s">
        <v>236</v>
      </c>
      <c r="B318" s="11" t="s">
        <v>38</v>
      </c>
      <c r="C318" s="29" t="n">
        <v>550390</v>
      </c>
      <c r="D318" s="4" t="s">
        <v>643</v>
      </c>
      <c r="E318" s="4" t="s">
        <v>644</v>
      </c>
      <c r="F318" s="5" t="s">
        <v>645</v>
      </c>
      <c r="G318" s="6" t="n">
        <v>6542</v>
      </c>
      <c r="H318" s="9" t="n">
        <f aca="false">G318</f>
        <v>6542</v>
      </c>
      <c r="I318" s="9" t="n">
        <v>6500</v>
      </c>
      <c r="J318" s="4" t="s">
        <v>646</v>
      </c>
      <c r="K318" s="7" t="n">
        <v>44609</v>
      </c>
      <c r="L318" s="8" t="n">
        <v>50087</v>
      </c>
      <c r="N318" s="7" t="n">
        <v>46435</v>
      </c>
      <c r="O318" s="7" t="n">
        <v>48260</v>
      </c>
      <c r="P318" s="9" t="n">
        <v>210000</v>
      </c>
      <c r="Q318" s="9" t="n">
        <f aca="false">P318</f>
        <v>210000</v>
      </c>
      <c r="S318" s="131" t="n">
        <v>210000</v>
      </c>
      <c r="T318" s="9" t="n">
        <f aca="false">S318</f>
        <v>210000</v>
      </c>
      <c r="U318" s="131" t="n">
        <v>232000</v>
      </c>
      <c r="V318" s="9" t="n">
        <f aca="false">U318</f>
        <v>232000</v>
      </c>
      <c r="W318" s="45" t="n">
        <f aca="false">U318/G318</f>
        <v>35.4631611128095</v>
      </c>
      <c r="X318" s="41" t="n">
        <f aca="false">SUM(U318-S318)/S318</f>
        <v>0.104761904761905</v>
      </c>
      <c r="Y318" s="9" t="s">
        <v>458</v>
      </c>
      <c r="Z318" s="42"/>
      <c r="AA318" s="43"/>
      <c r="AB318" s="5" t="s">
        <v>43</v>
      </c>
      <c r="AC318" s="4" t="s">
        <v>132</v>
      </c>
      <c r="AF318" s="59"/>
      <c r="AJ318" s="525" t="s">
        <v>1103</v>
      </c>
    </row>
    <row r="319" customFormat="false" ht="15" hidden="false" customHeight="false" outlineLevel="0" collapsed="false">
      <c r="A319" s="11" t="s">
        <v>236</v>
      </c>
      <c r="B319" s="11" t="s">
        <v>38</v>
      </c>
      <c r="C319" s="29" t="n">
        <v>550390</v>
      </c>
      <c r="D319" s="4" t="s">
        <v>643</v>
      </c>
      <c r="E319" s="4" t="s">
        <v>647</v>
      </c>
      <c r="F319" s="5" t="s">
        <v>40</v>
      </c>
      <c r="G319" s="6" t="n">
        <v>20993</v>
      </c>
      <c r="H319" s="9" t="n">
        <f aca="false">G319</f>
        <v>20993</v>
      </c>
      <c r="I319" s="9" t="n">
        <v>21000</v>
      </c>
      <c r="J319" s="4" t="s">
        <v>648</v>
      </c>
      <c r="K319" s="7" t="n">
        <v>45564</v>
      </c>
      <c r="L319" s="8" t="n">
        <v>47389</v>
      </c>
      <c r="P319" s="9" t="n">
        <v>1000000</v>
      </c>
      <c r="Q319" s="9" t="n">
        <f aca="false">P319</f>
        <v>1000000</v>
      </c>
      <c r="S319" s="9" t="n">
        <v>1688000</v>
      </c>
      <c r="T319" s="9" t="n">
        <f aca="false">S319</f>
        <v>1688000</v>
      </c>
      <c r="U319" s="9" t="n">
        <v>1953000</v>
      </c>
      <c r="V319" s="9" t="n">
        <f aca="false">U319</f>
        <v>1953000</v>
      </c>
      <c r="W319" s="45" t="n">
        <f aca="false">U319/G319</f>
        <v>93.0310103367789</v>
      </c>
      <c r="X319" s="41" t="n">
        <f aca="false">SUM(U319-S319)/S319</f>
        <v>0.156990521327014</v>
      </c>
      <c r="Y319" s="9" t="s">
        <v>127</v>
      </c>
      <c r="Z319" s="42"/>
      <c r="AA319" s="43"/>
      <c r="AB319" s="5" t="s">
        <v>43</v>
      </c>
      <c r="AC319" s="4" t="s">
        <v>649</v>
      </c>
      <c r="AF319" s="59"/>
      <c r="AJ319" s="525" t="s">
        <v>1103</v>
      </c>
    </row>
    <row r="320" customFormat="false" ht="19.4" hidden="false" customHeight="false" outlineLevel="0" collapsed="false">
      <c r="A320" s="11" t="s">
        <v>106</v>
      </c>
      <c r="B320" s="11" t="s">
        <v>38</v>
      </c>
      <c r="C320" s="29" t="n">
        <v>550870</v>
      </c>
      <c r="D320" s="4" t="s">
        <v>651</v>
      </c>
      <c r="E320" s="4" t="s">
        <v>652</v>
      </c>
      <c r="F320" s="5" t="s">
        <v>251</v>
      </c>
      <c r="G320" s="6" t="n">
        <v>1330</v>
      </c>
      <c r="H320" s="6" t="n">
        <f aca="false">G320</f>
        <v>1330</v>
      </c>
      <c r="I320" s="6" t="n">
        <v>1250</v>
      </c>
      <c r="J320" s="4" t="s">
        <v>653</v>
      </c>
      <c r="K320" s="7" t="n">
        <v>44936</v>
      </c>
      <c r="L320" s="8" t="n">
        <v>46761</v>
      </c>
      <c r="O320" s="8" t="n">
        <v>46031</v>
      </c>
      <c r="P320" s="9" t="n">
        <v>70000</v>
      </c>
      <c r="Q320" s="9" t="n">
        <f aca="false">P320</f>
        <v>70000</v>
      </c>
      <c r="S320" s="9" t="n">
        <v>69900</v>
      </c>
      <c r="T320" s="9" t="n">
        <f aca="false">S320</f>
        <v>69900</v>
      </c>
      <c r="U320" s="9" t="n">
        <v>69900</v>
      </c>
      <c r="V320" s="9" t="n">
        <f aca="false">U320</f>
        <v>69900</v>
      </c>
      <c r="W320" s="45" t="n">
        <f aca="false">U320/G320</f>
        <v>52.5563909774436</v>
      </c>
      <c r="X320" s="41" t="n">
        <f aca="false">SUM(U320-S320)/S320</f>
        <v>0</v>
      </c>
      <c r="Y320" s="9" t="s">
        <v>60</v>
      </c>
      <c r="Z320" s="42"/>
      <c r="AA320" s="524"/>
      <c r="AB320" s="5" t="s">
        <v>43</v>
      </c>
      <c r="AC320" s="4" t="s">
        <v>654</v>
      </c>
      <c r="AF320" s="59"/>
      <c r="AJ320" s="525" t="s">
        <v>1103</v>
      </c>
    </row>
    <row r="321" customFormat="false" ht="15" hidden="false" customHeight="false" outlineLevel="0" collapsed="false">
      <c r="A321" s="11" t="s">
        <v>106</v>
      </c>
      <c r="B321" s="11" t="s">
        <v>38</v>
      </c>
      <c r="C321" s="29" t="n">
        <v>550870</v>
      </c>
      <c r="D321" s="4" t="s">
        <v>651</v>
      </c>
      <c r="E321" s="4" t="s">
        <v>655</v>
      </c>
      <c r="F321" s="5" t="s">
        <v>656</v>
      </c>
      <c r="G321" s="6" t="n">
        <v>1486</v>
      </c>
      <c r="H321" s="6" t="n">
        <f aca="false">G321</f>
        <v>1486</v>
      </c>
      <c r="I321" s="6" t="n">
        <v>1500</v>
      </c>
      <c r="J321" s="4" t="s">
        <v>657</v>
      </c>
      <c r="K321" s="7" t="n">
        <v>44314</v>
      </c>
      <c r="L321" s="8" t="n">
        <v>47965</v>
      </c>
      <c r="O321" s="8" t="n">
        <v>46139</v>
      </c>
      <c r="P321" s="9" t="n">
        <v>59500</v>
      </c>
      <c r="Q321" s="9" t="n">
        <f aca="false">P321</f>
        <v>59500</v>
      </c>
      <c r="S321" s="9" t="n">
        <v>64900</v>
      </c>
      <c r="T321" s="9" t="n">
        <f aca="false">S321</f>
        <v>64900</v>
      </c>
      <c r="U321" s="9" t="n">
        <v>64900</v>
      </c>
      <c r="V321" s="9" t="n">
        <f aca="false">U321</f>
        <v>64900</v>
      </c>
      <c r="W321" s="45" t="n">
        <f aca="false">U321/G321</f>
        <v>43.6742934051144</v>
      </c>
      <c r="X321" s="41" t="n">
        <f aca="false">SUM(U321-S321)/S321</f>
        <v>0</v>
      </c>
      <c r="Y321" s="9" t="s">
        <v>42</v>
      </c>
      <c r="Z321" s="42"/>
      <c r="AA321" s="524"/>
      <c r="AB321" s="5" t="s">
        <v>43</v>
      </c>
      <c r="AC321" s="4" t="s">
        <v>658</v>
      </c>
      <c r="AF321" s="59"/>
      <c r="AJ321" s="525" t="s">
        <v>1103</v>
      </c>
    </row>
    <row r="322" customFormat="false" ht="19.4" hidden="false" customHeight="false" outlineLevel="0" collapsed="false">
      <c r="A322" s="11" t="s">
        <v>106</v>
      </c>
      <c r="B322" s="11" t="s">
        <v>38</v>
      </c>
      <c r="C322" s="29" t="n">
        <v>550870</v>
      </c>
      <c r="D322" s="4" t="s">
        <v>651</v>
      </c>
      <c r="E322" s="4" t="s">
        <v>659</v>
      </c>
      <c r="F322" s="5" t="s">
        <v>656</v>
      </c>
      <c r="G322" s="6" t="n">
        <v>1204</v>
      </c>
      <c r="H322" s="6" t="n">
        <f aca="false">G322</f>
        <v>1204</v>
      </c>
      <c r="I322" s="6" t="n">
        <v>1250</v>
      </c>
      <c r="J322" s="4" t="s">
        <v>660</v>
      </c>
      <c r="K322" s="7" t="n">
        <v>45741</v>
      </c>
      <c r="L322" s="8" t="n">
        <v>46836</v>
      </c>
      <c r="O322" s="8" t="n">
        <v>46106</v>
      </c>
      <c r="P322" s="9" t="n">
        <v>0</v>
      </c>
      <c r="Q322" s="9" t="n">
        <f aca="false">P322</f>
        <v>0</v>
      </c>
      <c r="S322" s="9" t="n">
        <v>53100</v>
      </c>
      <c r="T322" s="9" t="n">
        <f aca="false">S322</f>
        <v>53100</v>
      </c>
      <c r="U322" s="9" t="n">
        <v>53100</v>
      </c>
      <c r="V322" s="9" t="n">
        <f aca="false">U322</f>
        <v>53100</v>
      </c>
      <c r="W322" s="45" t="n">
        <f aca="false">U322/G322</f>
        <v>44.1029900332226</v>
      </c>
      <c r="X322" s="41" t="n">
        <f aca="false">SUM(U322-S322)/S322</f>
        <v>0</v>
      </c>
      <c r="Y322" s="9" t="s">
        <v>42</v>
      </c>
      <c r="Z322" s="42"/>
      <c r="AA322" s="524"/>
      <c r="AB322" s="5" t="s">
        <v>43</v>
      </c>
      <c r="AC322" s="4" t="s">
        <v>661</v>
      </c>
      <c r="AD322" s="15"/>
      <c r="AE322" s="4"/>
      <c r="AF322" s="59"/>
      <c r="AG322" s="4"/>
      <c r="AJ322" s="525" t="s">
        <v>1103</v>
      </c>
    </row>
    <row r="323" customFormat="false" ht="15" hidden="false" customHeight="false" outlineLevel="0" collapsed="false">
      <c r="A323" s="11" t="s">
        <v>106</v>
      </c>
      <c r="B323" s="11" t="s">
        <v>38</v>
      </c>
      <c r="C323" s="29" t="n">
        <v>550870</v>
      </c>
      <c r="D323" s="4" t="s">
        <v>651</v>
      </c>
      <c r="E323" s="4" t="s">
        <v>662</v>
      </c>
      <c r="F323" s="5" t="s">
        <v>656</v>
      </c>
      <c r="G323" s="6" t="n">
        <v>1119</v>
      </c>
      <c r="H323" s="6" t="n">
        <f aca="false">G323</f>
        <v>1119</v>
      </c>
      <c r="I323" s="6" t="n">
        <v>1250</v>
      </c>
      <c r="J323" s="4" t="s">
        <v>660</v>
      </c>
      <c r="K323" s="7" t="n">
        <v>45741</v>
      </c>
      <c r="L323" s="8" t="n">
        <v>46836</v>
      </c>
      <c r="P323" s="9" t="n">
        <v>55000</v>
      </c>
      <c r="Q323" s="9" t="n">
        <f aca="false">P323</f>
        <v>55000</v>
      </c>
      <c r="S323" s="9" t="n">
        <v>51200</v>
      </c>
      <c r="T323" s="9" t="n">
        <f aca="false">S323</f>
        <v>51200</v>
      </c>
      <c r="U323" s="9" t="n">
        <v>51200</v>
      </c>
      <c r="V323" s="9" t="n">
        <f aca="false">U323</f>
        <v>51200</v>
      </c>
      <c r="W323" s="45" t="n">
        <f aca="false">U323/G323</f>
        <v>45.7551385165326</v>
      </c>
      <c r="X323" s="41" t="n">
        <f aca="false">SUM(U323-S323)/S323</f>
        <v>0</v>
      </c>
      <c r="Y323" s="9" t="s">
        <v>60</v>
      </c>
      <c r="Z323" s="42"/>
      <c r="AA323" s="524"/>
      <c r="AB323" s="5" t="s">
        <v>43</v>
      </c>
      <c r="AC323" s="4"/>
      <c r="AD323" s="15"/>
      <c r="AE323" s="4"/>
      <c r="AF323" s="59"/>
      <c r="AG323" s="4"/>
      <c r="AJ323" s="525" t="s">
        <v>1103</v>
      </c>
    </row>
    <row r="324" customFormat="false" ht="15" hidden="false" customHeight="false" outlineLevel="0" collapsed="false">
      <c r="A324" s="11" t="s">
        <v>106</v>
      </c>
      <c r="B324" s="11" t="s">
        <v>38</v>
      </c>
      <c r="C324" s="29" t="n">
        <v>550870</v>
      </c>
      <c r="D324" s="4" t="s">
        <v>651</v>
      </c>
      <c r="E324" s="4" t="s">
        <v>663</v>
      </c>
      <c r="F324" s="5" t="s">
        <v>134</v>
      </c>
      <c r="G324" s="6" t="n">
        <v>3114</v>
      </c>
      <c r="H324" s="6" t="n">
        <f aca="false">G324</f>
        <v>3114</v>
      </c>
      <c r="I324" s="6" t="n">
        <v>3000</v>
      </c>
      <c r="J324" s="4" t="s">
        <v>664</v>
      </c>
      <c r="K324" s="7" t="n">
        <v>44143</v>
      </c>
      <c r="L324" s="8" t="n">
        <v>49620</v>
      </c>
      <c r="N324" s="8" t="n">
        <v>45969</v>
      </c>
      <c r="P324" s="9" t="n">
        <v>175000</v>
      </c>
      <c r="Q324" s="9" t="n">
        <f aca="false">P324</f>
        <v>175000</v>
      </c>
      <c r="S324" s="9" t="n">
        <v>146200</v>
      </c>
      <c r="T324" s="9" t="n">
        <f aca="false">S324</f>
        <v>146200</v>
      </c>
      <c r="U324" s="9" t="n">
        <v>146200</v>
      </c>
      <c r="V324" s="9" t="n">
        <f aca="false">U324</f>
        <v>146200</v>
      </c>
      <c r="W324" s="45" t="n">
        <f aca="false">U324/G324</f>
        <v>46.9492614001285</v>
      </c>
      <c r="X324" s="41" t="n">
        <f aca="false">SUM(U324-S324)/S324</f>
        <v>0</v>
      </c>
      <c r="Y324" s="9" t="s">
        <v>60</v>
      </c>
      <c r="Z324" s="42"/>
      <c r="AA324" s="524"/>
      <c r="AB324" s="5" t="s">
        <v>170</v>
      </c>
      <c r="AC324" s="4" t="s">
        <v>665</v>
      </c>
      <c r="AD324" s="15"/>
      <c r="AE324" s="4"/>
      <c r="AF324" s="59"/>
      <c r="AG324" s="4"/>
      <c r="AJ324" s="525" t="s">
        <v>1103</v>
      </c>
    </row>
    <row r="325" customFormat="false" ht="19.4" hidden="false" customHeight="false" outlineLevel="0" collapsed="false">
      <c r="A325" s="11" t="s">
        <v>106</v>
      </c>
      <c r="B325" s="11" t="s">
        <v>38</v>
      </c>
      <c r="C325" s="29" t="n">
        <v>550870</v>
      </c>
      <c r="D325" s="4" t="s">
        <v>651</v>
      </c>
      <c r="E325" s="4" t="s">
        <v>140</v>
      </c>
      <c r="F325" s="5" t="s">
        <v>40</v>
      </c>
      <c r="G325" s="6" t="n">
        <v>1560</v>
      </c>
      <c r="H325" s="6" t="n">
        <f aca="false">G325</f>
        <v>1560</v>
      </c>
      <c r="I325" s="6" t="n">
        <v>1500</v>
      </c>
      <c r="J325" s="4" t="s">
        <v>619</v>
      </c>
      <c r="K325" s="7" t="n">
        <v>44732</v>
      </c>
      <c r="L325" s="8" t="n">
        <v>46557</v>
      </c>
      <c r="N325" s="7"/>
      <c r="O325" s="7" t="n">
        <v>45827</v>
      </c>
      <c r="P325" s="98" t="n">
        <v>67146</v>
      </c>
      <c r="Q325" s="9" t="n">
        <f aca="false">P325</f>
        <v>67146</v>
      </c>
      <c r="S325" s="9" t="n">
        <v>85800</v>
      </c>
      <c r="T325" s="9" t="n">
        <f aca="false">S325</f>
        <v>85800</v>
      </c>
      <c r="U325" s="9" t="n">
        <v>85800</v>
      </c>
      <c r="V325" s="9" t="n">
        <f aca="false">U325</f>
        <v>85800</v>
      </c>
      <c r="W325" s="45" t="n">
        <f aca="false">U325/G325</f>
        <v>55</v>
      </c>
      <c r="X325" s="41" t="n">
        <f aca="false">SUM(U325-S325)/S325</f>
        <v>0</v>
      </c>
      <c r="Y325" s="9" t="s">
        <v>42</v>
      </c>
      <c r="Z325" s="42"/>
      <c r="AA325" s="524"/>
      <c r="AB325" s="5" t="s">
        <v>43</v>
      </c>
      <c r="AC325" s="4" t="s">
        <v>666</v>
      </c>
      <c r="AF325" s="59"/>
      <c r="AJ325" s="525" t="s">
        <v>1103</v>
      </c>
    </row>
    <row r="326" customFormat="false" ht="15" hidden="false" customHeight="false" outlineLevel="0" collapsed="false">
      <c r="A326" s="11" t="s">
        <v>106</v>
      </c>
      <c r="B326" s="11" t="s">
        <v>38</v>
      </c>
      <c r="C326" s="29" t="n">
        <v>550870</v>
      </c>
      <c r="D326" s="4" t="s">
        <v>651</v>
      </c>
      <c r="E326" s="4" t="s">
        <v>137</v>
      </c>
      <c r="F326" s="5" t="s">
        <v>40</v>
      </c>
      <c r="G326" s="6" t="n">
        <v>1454</v>
      </c>
      <c r="H326" s="6" t="n">
        <f aca="false">G326</f>
        <v>1454</v>
      </c>
      <c r="I326" s="6" t="n">
        <v>1500</v>
      </c>
      <c r="J326" s="4" t="s">
        <v>619</v>
      </c>
      <c r="K326" s="7" t="n">
        <v>44419</v>
      </c>
      <c r="L326" s="8" t="n">
        <v>46244</v>
      </c>
      <c r="N326" s="7"/>
      <c r="O326" s="7"/>
      <c r="P326" s="9" t="n">
        <v>62963</v>
      </c>
      <c r="Q326" s="9" t="n">
        <f aca="false">P326</f>
        <v>62963</v>
      </c>
      <c r="S326" s="9" t="n">
        <v>80000</v>
      </c>
      <c r="T326" s="9" t="n">
        <f aca="false">S326</f>
        <v>80000</v>
      </c>
      <c r="U326" s="9" t="n">
        <v>80000</v>
      </c>
      <c r="V326" s="9" t="n">
        <f aca="false">U326</f>
        <v>80000</v>
      </c>
      <c r="W326" s="45" t="n">
        <f aca="false">U326/G326</f>
        <v>55.0206327372765</v>
      </c>
      <c r="X326" s="41" t="n">
        <f aca="false">SUM(U326-S326)/S326</f>
        <v>0</v>
      </c>
      <c r="Y326" s="9" t="s">
        <v>60</v>
      </c>
      <c r="Z326" s="42"/>
      <c r="AA326" s="524"/>
      <c r="AB326" s="5" t="s">
        <v>43</v>
      </c>
      <c r="AC326" s="4" t="s">
        <v>667</v>
      </c>
      <c r="AF326" s="59"/>
      <c r="AJ326" s="525" t="s">
        <v>1103</v>
      </c>
    </row>
    <row r="327" customFormat="false" ht="15" hidden="false" customHeight="false" outlineLevel="0" collapsed="false">
      <c r="A327" s="11" t="s">
        <v>106</v>
      </c>
      <c r="B327" s="11" t="s">
        <v>38</v>
      </c>
      <c r="C327" s="29" t="n">
        <v>550870</v>
      </c>
      <c r="D327" s="4" t="s">
        <v>651</v>
      </c>
      <c r="E327" s="4" t="s">
        <v>145</v>
      </c>
      <c r="F327" s="5" t="s">
        <v>40</v>
      </c>
      <c r="G327" s="6" t="n">
        <v>1395</v>
      </c>
      <c r="H327" s="6" t="n">
        <f aca="false">G327</f>
        <v>1395</v>
      </c>
      <c r="I327" s="6" t="n">
        <v>1500</v>
      </c>
      <c r="J327" s="60" t="s">
        <v>67</v>
      </c>
      <c r="K327" s="118"/>
      <c r="L327" s="102"/>
      <c r="M327" s="102" t="n">
        <v>45837</v>
      </c>
      <c r="N327" s="118"/>
      <c r="O327" s="118"/>
      <c r="P327" s="98" t="n">
        <v>0</v>
      </c>
      <c r="Q327" s="9" t="n">
        <f aca="false">P327</f>
        <v>0</v>
      </c>
      <c r="S327" s="9" t="n">
        <v>76700</v>
      </c>
      <c r="T327" s="9" t="n">
        <f aca="false">S327</f>
        <v>76700</v>
      </c>
      <c r="U327" s="9" t="n">
        <v>76700</v>
      </c>
      <c r="V327" s="9" t="n">
        <f aca="false">U327</f>
        <v>76700</v>
      </c>
      <c r="W327" s="45" t="n">
        <f aca="false">U327/G327</f>
        <v>54.9820788530466</v>
      </c>
      <c r="X327" s="41" t="n">
        <f aca="false">SUM(U327-S327)/S327</f>
        <v>0</v>
      </c>
      <c r="Y327" s="9" t="s">
        <v>127</v>
      </c>
      <c r="Z327" s="42"/>
      <c r="AA327" s="524"/>
      <c r="AB327" s="5" t="s">
        <v>43</v>
      </c>
      <c r="AC327" s="60" t="s">
        <v>668</v>
      </c>
      <c r="AF327" s="59"/>
      <c r="AJ327" s="525" t="s">
        <v>1104</v>
      </c>
    </row>
    <row r="328" customFormat="false" ht="19.4" hidden="false" customHeight="false" outlineLevel="0" collapsed="false">
      <c r="A328" s="11" t="s">
        <v>106</v>
      </c>
      <c r="B328" s="11" t="s">
        <v>38</v>
      </c>
      <c r="C328" s="29" t="n">
        <v>550870</v>
      </c>
      <c r="D328" s="4" t="s">
        <v>651</v>
      </c>
      <c r="E328" s="4" t="s">
        <v>143</v>
      </c>
      <c r="F328" s="5" t="s">
        <v>40</v>
      </c>
      <c r="G328" s="6" t="n">
        <v>1281</v>
      </c>
      <c r="H328" s="6" t="n">
        <f aca="false">G328</f>
        <v>1281</v>
      </c>
      <c r="I328" s="6" t="n">
        <v>1250</v>
      </c>
      <c r="J328" s="4" t="s">
        <v>619</v>
      </c>
      <c r="K328" s="7" t="n">
        <v>45393</v>
      </c>
      <c r="L328" s="8" t="n">
        <v>47218</v>
      </c>
      <c r="O328" s="8" t="n">
        <v>46488</v>
      </c>
      <c r="P328" s="9" t="n">
        <v>72800</v>
      </c>
      <c r="Q328" s="9" t="n">
        <f aca="false">P328</f>
        <v>72800</v>
      </c>
      <c r="S328" s="9" t="n">
        <v>70500</v>
      </c>
      <c r="T328" s="9" t="n">
        <f aca="false">S328</f>
        <v>70500</v>
      </c>
      <c r="U328" s="9" t="n">
        <v>70500</v>
      </c>
      <c r="V328" s="9" t="n">
        <f aca="false">U328</f>
        <v>70500</v>
      </c>
      <c r="W328" s="45" t="n">
        <f aca="false">U328/G328</f>
        <v>55.0351288056206</v>
      </c>
      <c r="X328" s="41" t="n">
        <f aca="false">SUM(U328-S328)/S328</f>
        <v>0</v>
      </c>
      <c r="Y328" s="9" t="s">
        <v>60</v>
      </c>
      <c r="Z328" s="42"/>
      <c r="AA328" s="524"/>
      <c r="AB328" s="5" t="s">
        <v>43</v>
      </c>
      <c r="AC328" s="4" t="s">
        <v>669</v>
      </c>
      <c r="AF328" s="59"/>
      <c r="AJ328" s="525" t="s">
        <v>1103</v>
      </c>
    </row>
    <row r="329" customFormat="false" ht="15" hidden="false" customHeight="false" outlineLevel="0" collapsed="false">
      <c r="A329" s="11" t="s">
        <v>106</v>
      </c>
      <c r="B329" s="11" t="s">
        <v>38</v>
      </c>
      <c r="C329" s="29" t="n">
        <v>550870</v>
      </c>
      <c r="D329" s="4" t="s">
        <v>651</v>
      </c>
      <c r="E329" s="4" t="s">
        <v>546</v>
      </c>
      <c r="F329" s="5" t="s">
        <v>40</v>
      </c>
      <c r="G329" s="6" t="n">
        <v>1371</v>
      </c>
      <c r="H329" s="6" t="n">
        <f aca="false">G329</f>
        <v>1371</v>
      </c>
      <c r="I329" s="6" t="n">
        <v>1250</v>
      </c>
      <c r="J329" s="4" t="s">
        <v>67</v>
      </c>
      <c r="M329" s="8" t="n">
        <v>44647</v>
      </c>
      <c r="N329" s="7"/>
      <c r="O329" s="7"/>
      <c r="P329" s="9" t="n">
        <v>0</v>
      </c>
      <c r="Q329" s="9" t="n">
        <f aca="false">P329</f>
        <v>0</v>
      </c>
      <c r="S329" s="9" t="n">
        <v>75400</v>
      </c>
      <c r="T329" s="9" t="n">
        <f aca="false">S329</f>
        <v>75400</v>
      </c>
      <c r="U329" s="9" t="n">
        <v>75400</v>
      </c>
      <c r="V329" s="9" t="n">
        <f aca="false">U329</f>
        <v>75400</v>
      </c>
      <c r="W329" s="45" t="n">
        <f aca="false">U329/G329</f>
        <v>54.9963530269876</v>
      </c>
      <c r="X329" s="41" t="n">
        <f aca="false">SUM(U329-S329)/S329</f>
        <v>0</v>
      </c>
      <c r="Y329" s="98" t="s">
        <v>55</v>
      </c>
      <c r="Z329" s="42"/>
      <c r="AA329" s="524"/>
      <c r="AB329" s="5" t="s">
        <v>43</v>
      </c>
      <c r="AC329" s="4" t="s">
        <v>482</v>
      </c>
      <c r="AD329" s="15" t="n">
        <v>62</v>
      </c>
      <c r="AE329" s="4"/>
      <c r="AF329" s="59" t="n">
        <v>2</v>
      </c>
      <c r="AG329" s="4"/>
      <c r="AJ329" s="525" t="s">
        <v>1104</v>
      </c>
    </row>
    <row r="330" customFormat="false" ht="15" hidden="false" customHeight="false" outlineLevel="0" collapsed="false">
      <c r="A330" s="11" t="s">
        <v>106</v>
      </c>
      <c r="B330" s="11" t="s">
        <v>38</v>
      </c>
      <c r="C330" s="29" t="n">
        <v>550870</v>
      </c>
      <c r="D330" s="4" t="s">
        <v>651</v>
      </c>
      <c r="E330" s="4" t="s">
        <v>147</v>
      </c>
      <c r="F330" s="5" t="s">
        <v>40</v>
      </c>
      <c r="G330" s="6" t="n">
        <v>1204</v>
      </c>
      <c r="H330" s="6" t="n">
        <f aca="false">G330</f>
        <v>1204</v>
      </c>
      <c r="I330" s="6" t="n">
        <v>1250</v>
      </c>
      <c r="J330" s="4" t="s">
        <v>67</v>
      </c>
      <c r="M330" s="8" t="n">
        <v>42983</v>
      </c>
      <c r="N330" s="7"/>
      <c r="O330" s="7"/>
      <c r="P330" s="9" t="n">
        <v>0</v>
      </c>
      <c r="Q330" s="9" t="n">
        <f aca="false">P330</f>
        <v>0</v>
      </c>
      <c r="S330" s="9" t="n">
        <v>66200</v>
      </c>
      <c r="T330" s="9" t="n">
        <f aca="false">S330</f>
        <v>66200</v>
      </c>
      <c r="U330" s="9" t="n">
        <v>66200</v>
      </c>
      <c r="V330" s="9" t="n">
        <f aca="false">U330</f>
        <v>66200</v>
      </c>
      <c r="W330" s="45" t="n">
        <f aca="false">U330/G330</f>
        <v>54.9833887043189</v>
      </c>
      <c r="X330" s="41" t="n">
        <f aca="false">SUM(U330-S330)/S330</f>
        <v>0</v>
      </c>
      <c r="Y330" s="98" t="s">
        <v>55</v>
      </c>
      <c r="Z330" s="42"/>
      <c r="AA330" s="524"/>
      <c r="AB330" s="5" t="s">
        <v>43</v>
      </c>
      <c r="AC330" s="4" t="s">
        <v>482</v>
      </c>
      <c r="AD330" s="15" t="n">
        <v>62</v>
      </c>
      <c r="AE330" s="4"/>
      <c r="AF330" s="59" t="n">
        <v>2</v>
      </c>
      <c r="AG330" s="4"/>
      <c r="AJ330" s="525" t="s">
        <v>1104</v>
      </c>
    </row>
    <row r="331" customFormat="false" ht="15" hidden="false" customHeight="false" outlineLevel="0" collapsed="false">
      <c r="A331" s="11" t="s">
        <v>106</v>
      </c>
      <c r="B331" s="11" t="s">
        <v>38</v>
      </c>
      <c r="C331" s="29" t="n">
        <v>550980</v>
      </c>
      <c r="D331" s="4" t="s">
        <v>671</v>
      </c>
      <c r="E331" s="4" t="s">
        <v>461</v>
      </c>
      <c r="F331" s="5" t="s">
        <v>53</v>
      </c>
      <c r="G331" s="43" t="n">
        <v>10112</v>
      </c>
      <c r="H331" s="44" t="n">
        <f aca="false">G331</f>
        <v>10112</v>
      </c>
      <c r="I331" s="44"/>
      <c r="J331" s="4" t="s">
        <v>672</v>
      </c>
      <c r="K331" s="7" t="n">
        <v>45708</v>
      </c>
      <c r="L331" s="8" t="n">
        <v>51185</v>
      </c>
      <c r="N331" s="8" t="n">
        <v>47534</v>
      </c>
      <c r="O331" s="8" t="n">
        <v>47898</v>
      </c>
      <c r="P331" s="44" t="n">
        <v>550000</v>
      </c>
      <c r="Q331" s="44" t="n">
        <f aca="false">P331</f>
        <v>550000</v>
      </c>
      <c r="R331" s="44" t="n">
        <f aca="false">Q331</f>
        <v>550000</v>
      </c>
      <c r="S331" s="44" t="n">
        <v>750000</v>
      </c>
      <c r="T331" s="44" t="n">
        <f aca="false">S331</f>
        <v>750000</v>
      </c>
      <c r="U331" s="44" t="n">
        <v>685000</v>
      </c>
      <c r="V331" s="44" t="n">
        <f aca="false">U331</f>
        <v>685000</v>
      </c>
      <c r="W331" s="45" t="n">
        <f aca="false">U331/G331</f>
        <v>67.7412974683544</v>
      </c>
      <c r="X331" s="41" t="n">
        <f aca="false">SUM(U331-S331)/S331</f>
        <v>-0.0866666666666667</v>
      </c>
      <c r="Y331" s="44" t="s">
        <v>458</v>
      </c>
      <c r="Z331" s="67"/>
      <c r="AA331" s="44" t="n">
        <v>11800000</v>
      </c>
      <c r="AB331" s="5" t="s">
        <v>43</v>
      </c>
      <c r="AC331" s="4" t="s">
        <v>673</v>
      </c>
      <c r="AE331" s="4" t="n">
        <v>1</v>
      </c>
      <c r="AF331" s="59" t="n">
        <v>3</v>
      </c>
      <c r="AJ331" s="525" t="s">
        <v>1103</v>
      </c>
    </row>
    <row r="332" customFormat="false" ht="19.4" hidden="false" customHeight="false" outlineLevel="0" collapsed="false">
      <c r="A332" s="11" t="s">
        <v>37</v>
      </c>
      <c r="B332" s="11" t="s">
        <v>38</v>
      </c>
      <c r="C332" s="29" t="n">
        <v>100850</v>
      </c>
      <c r="D332" s="4" t="s">
        <v>675</v>
      </c>
      <c r="E332" s="4" t="s">
        <v>191</v>
      </c>
      <c r="F332" s="5" t="s">
        <v>676</v>
      </c>
      <c r="G332" s="6" t="n">
        <v>5200</v>
      </c>
      <c r="H332" s="6" t="n">
        <f aca="false">G332</f>
        <v>5200</v>
      </c>
      <c r="I332" s="6" t="n">
        <v>5000</v>
      </c>
      <c r="J332" s="4" t="s">
        <v>677</v>
      </c>
      <c r="K332" s="7" t="n">
        <v>45776</v>
      </c>
      <c r="L332" s="8" t="n">
        <v>49427</v>
      </c>
      <c r="N332" s="8" t="n">
        <v>47602</v>
      </c>
      <c r="O332" s="8" t="n">
        <v>47601</v>
      </c>
      <c r="P332" s="9" t="n">
        <v>0</v>
      </c>
      <c r="Q332" s="9" t="n">
        <f aca="false">P332</f>
        <v>0</v>
      </c>
      <c r="S332" s="6" t="n">
        <v>616000</v>
      </c>
      <c r="T332" s="9" t="n">
        <f aca="false">S332</f>
        <v>616000</v>
      </c>
      <c r="U332" s="6" t="n">
        <v>617000</v>
      </c>
      <c r="V332" s="9" t="n">
        <f aca="false">U332</f>
        <v>617000</v>
      </c>
      <c r="W332" s="45" t="n">
        <f aca="false">U332/G332</f>
        <v>118.653846153846</v>
      </c>
      <c r="X332" s="41" t="n">
        <f aca="false">SUM(U332-S332)/S332</f>
        <v>0.00162337662337662</v>
      </c>
      <c r="Y332" s="9" t="s">
        <v>55</v>
      </c>
      <c r="Z332" s="42"/>
      <c r="AA332" s="44"/>
      <c r="AB332" s="5" t="s">
        <v>43</v>
      </c>
      <c r="AC332" s="4" t="s">
        <v>678</v>
      </c>
      <c r="AD332" s="15"/>
      <c r="AE332" s="4" t="n">
        <v>1</v>
      </c>
      <c r="AF332" s="59" t="n">
        <v>3</v>
      </c>
      <c r="AG332" s="4" t="s">
        <v>57</v>
      </c>
      <c r="AJ332" s="525" t="s">
        <v>1103</v>
      </c>
    </row>
    <row r="333" customFormat="false" ht="28.35" hidden="false" customHeight="false" outlineLevel="0" collapsed="false">
      <c r="A333" s="11" t="s">
        <v>37</v>
      </c>
      <c r="B333" s="11" t="s">
        <v>38</v>
      </c>
      <c r="C333" s="29" t="n">
        <v>100850</v>
      </c>
      <c r="D333" s="4" t="s">
        <v>675</v>
      </c>
      <c r="E333" s="4" t="s">
        <v>679</v>
      </c>
      <c r="F333" s="5" t="s">
        <v>281</v>
      </c>
      <c r="G333" s="95" t="n">
        <v>85</v>
      </c>
      <c r="H333" s="6" t="n">
        <f aca="false">G333</f>
        <v>85</v>
      </c>
      <c r="J333" s="40" t="s">
        <v>680</v>
      </c>
      <c r="K333" s="7" t="n">
        <v>45589</v>
      </c>
      <c r="L333" s="7" t="n">
        <v>45953</v>
      </c>
      <c r="M333" s="7"/>
      <c r="P333" s="9" t="n">
        <v>68250</v>
      </c>
      <c r="Q333" s="9" t="n">
        <f aca="false">P333</f>
        <v>68250</v>
      </c>
      <c r="S333" s="6" t="n">
        <v>65000</v>
      </c>
      <c r="T333" s="9" t="n">
        <f aca="false">S333</f>
        <v>65000</v>
      </c>
      <c r="U333" s="6" t="n">
        <v>0</v>
      </c>
      <c r="V333" s="9" t="n">
        <f aca="false">U333</f>
        <v>0</v>
      </c>
      <c r="W333" s="45" t="n">
        <f aca="false">U333/G333</f>
        <v>0</v>
      </c>
      <c r="X333" s="41" t="n">
        <f aca="false">SUM(U333-S333)/S333</f>
        <v>-1</v>
      </c>
      <c r="Y333" s="9"/>
      <c r="Z333" s="42"/>
      <c r="AA333" s="44"/>
      <c r="AB333" s="5" t="s">
        <v>43</v>
      </c>
      <c r="AC333" s="40" t="s">
        <v>681</v>
      </c>
      <c r="AE333" s="40"/>
      <c r="AF333" s="133"/>
      <c r="AG333" s="40"/>
      <c r="AJ333" s="525" t="s">
        <v>1103</v>
      </c>
    </row>
    <row r="334" customFormat="false" ht="15" hidden="false" customHeight="false" outlineLevel="0" collapsed="false">
      <c r="A334" s="11" t="s">
        <v>37</v>
      </c>
      <c r="B334" s="11" t="s">
        <v>38</v>
      </c>
      <c r="C334" s="29" t="n">
        <v>100850</v>
      </c>
      <c r="D334" s="4" t="s">
        <v>675</v>
      </c>
      <c r="E334" s="4" t="s">
        <v>682</v>
      </c>
      <c r="F334" s="5" t="s">
        <v>242</v>
      </c>
      <c r="G334" s="95" t="n">
        <v>4011</v>
      </c>
      <c r="H334" s="6" t="n">
        <f aca="false">G334</f>
        <v>4011</v>
      </c>
      <c r="I334" s="6" t="n">
        <v>4000</v>
      </c>
      <c r="J334" s="4" t="s">
        <v>683</v>
      </c>
      <c r="K334" s="7" t="n">
        <v>44204</v>
      </c>
      <c r="L334" s="8" t="n">
        <v>47855</v>
      </c>
      <c r="N334" s="8" t="n">
        <v>46030</v>
      </c>
      <c r="P334" s="9" t="n">
        <v>130000</v>
      </c>
      <c r="Q334" s="9" t="n">
        <f aca="false">P334</f>
        <v>130000</v>
      </c>
      <c r="S334" s="6" t="n">
        <v>130000</v>
      </c>
      <c r="T334" s="9" t="n">
        <f aca="false">S334</f>
        <v>130000</v>
      </c>
      <c r="U334" s="6" t="n">
        <v>130000</v>
      </c>
      <c r="V334" s="9" t="n">
        <f aca="false">U334</f>
        <v>130000</v>
      </c>
      <c r="W334" s="45" t="n">
        <f aca="false">U334/G334</f>
        <v>32.4108701072052</v>
      </c>
      <c r="X334" s="41" t="n">
        <f aca="false">SUM(U334-S334)/S334</f>
        <v>0</v>
      </c>
      <c r="Y334" s="9" t="s">
        <v>55</v>
      </c>
      <c r="Z334" s="42"/>
      <c r="AA334" s="44"/>
      <c r="AB334" s="5" t="s">
        <v>43</v>
      </c>
      <c r="AC334" s="40"/>
      <c r="AE334" s="40"/>
      <c r="AF334" s="133"/>
      <c r="AG334" s="40"/>
      <c r="AJ334" s="525" t="s">
        <v>1103</v>
      </c>
    </row>
    <row r="335" customFormat="false" ht="19.4" hidden="false" customHeight="false" outlineLevel="0" collapsed="false">
      <c r="A335" s="11" t="s">
        <v>37</v>
      </c>
      <c r="B335" s="11" t="s">
        <v>38</v>
      </c>
      <c r="C335" s="29" t="n">
        <v>100670</v>
      </c>
      <c r="D335" s="4" t="s">
        <v>684</v>
      </c>
      <c r="E335" s="4" t="s">
        <v>685</v>
      </c>
      <c r="F335" s="5" t="s">
        <v>49</v>
      </c>
      <c r="G335" s="6" t="n">
        <v>3348</v>
      </c>
      <c r="H335" s="9" t="n">
        <f aca="false">G335</f>
        <v>3348</v>
      </c>
      <c r="I335" s="9" t="n">
        <v>3250</v>
      </c>
      <c r="J335" s="4" t="s">
        <v>686</v>
      </c>
      <c r="K335" s="7" t="n">
        <v>45600</v>
      </c>
      <c r="L335" s="8" t="n">
        <v>49251</v>
      </c>
      <c r="N335" s="8" t="n">
        <v>47426</v>
      </c>
      <c r="O335" s="8" t="n">
        <v>47790</v>
      </c>
      <c r="P335" s="9" t="n">
        <v>260000</v>
      </c>
      <c r="Q335" s="9" t="n">
        <f aca="false">P335</f>
        <v>260000</v>
      </c>
      <c r="S335" s="9" t="n">
        <v>522500</v>
      </c>
      <c r="T335" s="9" t="n">
        <f aca="false">S335</f>
        <v>522500</v>
      </c>
      <c r="U335" s="9" t="n">
        <v>522500</v>
      </c>
      <c r="V335" s="9" t="n">
        <f aca="false">U335</f>
        <v>522500</v>
      </c>
      <c r="W335" s="45" t="n">
        <f aca="false">U335/G335</f>
        <v>156.063321385902</v>
      </c>
      <c r="X335" s="41" t="n">
        <f aca="false">SUM(U335-S335)/S335</f>
        <v>0</v>
      </c>
      <c r="Y335" s="9" t="s">
        <v>55</v>
      </c>
      <c r="Z335" s="42"/>
      <c r="AA335" s="526"/>
      <c r="AB335" s="5" t="s">
        <v>43</v>
      </c>
      <c r="AC335" s="4" t="s">
        <v>687</v>
      </c>
      <c r="AD335" s="58"/>
      <c r="AE335" s="60"/>
      <c r="AF335" s="62"/>
      <c r="AG335" s="60"/>
      <c r="AJ335" s="525" t="s">
        <v>1103</v>
      </c>
    </row>
    <row r="336" customFormat="false" ht="15" hidden="false" customHeight="false" outlineLevel="0" collapsed="false">
      <c r="A336" s="11" t="s">
        <v>37</v>
      </c>
      <c r="B336" s="11" t="s">
        <v>38</v>
      </c>
      <c r="C336" s="29" t="n">
        <v>100670</v>
      </c>
      <c r="D336" s="4" t="s">
        <v>684</v>
      </c>
      <c r="E336" s="4" t="s">
        <v>233</v>
      </c>
      <c r="F336" s="5" t="s">
        <v>606</v>
      </c>
      <c r="G336" s="6" t="n">
        <v>2964</v>
      </c>
      <c r="H336" s="9" t="n">
        <f aca="false">G336</f>
        <v>2964</v>
      </c>
      <c r="I336" s="9" t="n">
        <v>3000</v>
      </c>
      <c r="J336" s="4" t="s">
        <v>67</v>
      </c>
      <c r="M336" s="8" t="n">
        <v>42593</v>
      </c>
      <c r="P336" s="9" t="n">
        <v>0</v>
      </c>
      <c r="Q336" s="9" t="n">
        <f aca="false">P336</f>
        <v>0</v>
      </c>
      <c r="S336" s="9" t="n">
        <v>115000</v>
      </c>
      <c r="T336" s="9" t="n">
        <f aca="false">S336</f>
        <v>115000</v>
      </c>
      <c r="U336" s="9" t="n">
        <v>115000</v>
      </c>
      <c r="V336" s="9" t="n">
        <f aca="false">U336</f>
        <v>115000</v>
      </c>
      <c r="W336" s="45" t="n">
        <f aca="false">U336/G336</f>
        <v>38.7989203778677</v>
      </c>
      <c r="X336" s="41" t="n">
        <f aca="false">SUM(U336-S336)/S336</f>
        <v>0</v>
      </c>
      <c r="Y336" s="9" t="s">
        <v>127</v>
      </c>
      <c r="Z336" s="42"/>
      <c r="AA336" s="526"/>
      <c r="AB336" s="5" t="s">
        <v>43</v>
      </c>
      <c r="AC336" s="4" t="s">
        <v>119</v>
      </c>
      <c r="AF336" s="59"/>
      <c r="AJ336" s="525" t="s">
        <v>1104</v>
      </c>
    </row>
    <row r="337" customFormat="false" ht="19.4" hidden="false" customHeight="false" outlineLevel="0" collapsed="false">
      <c r="A337" s="11" t="s">
        <v>37</v>
      </c>
      <c r="B337" s="11" t="s">
        <v>38</v>
      </c>
      <c r="C337" s="29" t="n">
        <v>100650</v>
      </c>
      <c r="D337" s="4" t="s">
        <v>689</v>
      </c>
      <c r="E337" s="4" t="s">
        <v>690</v>
      </c>
      <c r="F337" s="5" t="s">
        <v>49</v>
      </c>
      <c r="G337" s="43" t="n">
        <v>61433</v>
      </c>
      <c r="H337" s="9" t="n">
        <f aca="false">G337</f>
        <v>61433</v>
      </c>
      <c r="I337" s="9" t="n">
        <v>60000</v>
      </c>
      <c r="J337" s="4" t="s">
        <v>691</v>
      </c>
      <c r="K337" s="7" t="n">
        <v>40925</v>
      </c>
      <c r="L337" s="8" t="n">
        <v>46403</v>
      </c>
      <c r="N337" s="8" t="n">
        <v>44578</v>
      </c>
      <c r="P337" s="44" t="n">
        <v>4275000</v>
      </c>
      <c r="Q337" s="9" t="n">
        <f aca="false">P337</f>
        <v>4275000</v>
      </c>
      <c r="R337" s="44" t="n">
        <f aca="false">Q337</f>
        <v>4275000</v>
      </c>
      <c r="S337" s="44" t="n">
        <v>2569000</v>
      </c>
      <c r="T337" s="9" t="n">
        <f aca="false">S337</f>
        <v>2569000</v>
      </c>
      <c r="U337" s="44" t="n">
        <v>3039000</v>
      </c>
      <c r="V337" s="9" t="n">
        <f aca="false">U337</f>
        <v>3039000</v>
      </c>
      <c r="W337" s="45" t="n">
        <f aca="false">U337/G337</f>
        <v>49.4685266876109</v>
      </c>
      <c r="X337" s="41" t="n">
        <f aca="false">SUM(U337-S337)/S337</f>
        <v>0.182950564421954</v>
      </c>
      <c r="Y337" s="9" t="s">
        <v>55</v>
      </c>
      <c r="Z337" s="42"/>
      <c r="AA337" s="44" t="n">
        <v>66775000</v>
      </c>
      <c r="AB337" s="5" t="s">
        <v>170</v>
      </c>
      <c r="AC337" s="4" t="s">
        <v>692</v>
      </c>
      <c r="AD337" s="15"/>
      <c r="AE337" s="4"/>
      <c r="AF337" s="59"/>
      <c r="AG337" s="4"/>
      <c r="AJ337" s="525" t="s">
        <v>1103</v>
      </c>
    </row>
    <row r="338" customFormat="false" ht="15" hidden="false" customHeight="false" outlineLevel="0" collapsed="false">
      <c r="A338" s="11" t="s">
        <v>37</v>
      </c>
      <c r="B338" s="11" t="s">
        <v>38</v>
      </c>
      <c r="C338" s="29" t="n">
        <v>100650</v>
      </c>
      <c r="D338" s="4" t="s">
        <v>694</v>
      </c>
      <c r="E338" s="4" t="s">
        <v>695</v>
      </c>
      <c r="F338" s="5" t="s">
        <v>165</v>
      </c>
      <c r="G338" s="6" t="n">
        <v>114</v>
      </c>
      <c r="H338" s="6" t="n">
        <f aca="false">G338</f>
        <v>114</v>
      </c>
      <c r="J338" s="4" t="s">
        <v>696</v>
      </c>
      <c r="P338" s="9" t="n">
        <v>0</v>
      </c>
      <c r="Q338" s="9" t="n">
        <f aca="false">P338</f>
        <v>0</v>
      </c>
      <c r="S338" s="9" t="n">
        <v>2007</v>
      </c>
      <c r="T338" s="9" t="n">
        <f aca="false">S338</f>
        <v>2007</v>
      </c>
      <c r="U338" s="9" t="n">
        <v>2007</v>
      </c>
      <c r="V338" s="9" t="n">
        <f aca="false">U338</f>
        <v>2007</v>
      </c>
      <c r="W338" s="45" t="n">
        <f aca="false">U338/G338</f>
        <v>17.6052631578947</v>
      </c>
      <c r="X338" s="41" t="n">
        <f aca="false">SUM(U338-S338)/S338</f>
        <v>0</v>
      </c>
      <c r="Y338" s="9"/>
      <c r="Z338" s="42"/>
      <c r="AA338" s="524"/>
      <c r="AB338" s="5" t="s">
        <v>43</v>
      </c>
      <c r="AF338" s="59"/>
      <c r="AJ338" s="525" t="s">
        <v>1103</v>
      </c>
    </row>
    <row r="339" customFormat="false" ht="15" hidden="false" customHeight="false" outlineLevel="0" collapsed="false">
      <c r="A339" s="11" t="s">
        <v>37</v>
      </c>
      <c r="B339" s="11" t="s">
        <v>38</v>
      </c>
      <c r="C339" s="29" t="n">
        <v>100650</v>
      </c>
      <c r="D339" s="4" t="s">
        <v>694</v>
      </c>
      <c r="E339" s="4" t="s">
        <v>697</v>
      </c>
      <c r="F339" s="5" t="s">
        <v>165</v>
      </c>
      <c r="G339" s="6" t="n">
        <v>454</v>
      </c>
      <c r="H339" s="6" t="n">
        <f aca="false">G339</f>
        <v>454</v>
      </c>
      <c r="J339" s="4" t="s">
        <v>698</v>
      </c>
      <c r="K339" s="7" t="n">
        <v>45685</v>
      </c>
      <c r="L339" s="8" t="n">
        <v>47358</v>
      </c>
      <c r="O339" s="8" t="n">
        <v>46627</v>
      </c>
      <c r="P339" s="9" t="n">
        <v>18000</v>
      </c>
      <c r="Q339" s="9" t="n">
        <f aca="false">P339</f>
        <v>18000</v>
      </c>
      <c r="S339" s="9" t="n">
        <v>7993</v>
      </c>
      <c r="T339" s="9"/>
      <c r="U339" s="9" t="n">
        <v>7993</v>
      </c>
      <c r="V339" s="9"/>
      <c r="W339" s="45" t="n">
        <f aca="false">U339/G339</f>
        <v>17.6057268722467</v>
      </c>
      <c r="X339" s="41" t="n">
        <f aca="false">SUM(U339-S339)/S339</f>
        <v>0</v>
      </c>
      <c r="Y339" s="9"/>
      <c r="Z339" s="42"/>
      <c r="AA339" s="524"/>
      <c r="AB339" s="5"/>
      <c r="AC339" s="4" t="s">
        <v>77</v>
      </c>
      <c r="AF339" s="59"/>
      <c r="AJ339" s="525" t="s">
        <v>1103</v>
      </c>
    </row>
    <row r="340" customFormat="false" ht="19.4" hidden="false" customHeight="false" outlineLevel="0" collapsed="false">
      <c r="A340" s="11" t="s">
        <v>37</v>
      </c>
      <c r="B340" s="11" t="s">
        <v>38</v>
      </c>
      <c r="C340" s="29" t="n">
        <v>100650</v>
      </c>
      <c r="D340" s="4" t="s">
        <v>694</v>
      </c>
      <c r="E340" s="4" t="s">
        <v>124</v>
      </c>
      <c r="F340" s="5" t="s">
        <v>699</v>
      </c>
      <c r="G340" s="6" t="n">
        <v>780</v>
      </c>
      <c r="H340" s="6" t="n">
        <f aca="false">G340</f>
        <v>780</v>
      </c>
      <c r="I340" s="6" t="n">
        <v>750</v>
      </c>
      <c r="J340" s="4" t="s">
        <v>416</v>
      </c>
      <c r="K340" s="7" t="n">
        <v>44562</v>
      </c>
      <c r="L340" s="8" t="n">
        <v>46752</v>
      </c>
      <c r="N340" s="8" t="n">
        <v>45292</v>
      </c>
      <c r="P340" s="9" t="n">
        <v>17100</v>
      </c>
      <c r="Q340" s="9" t="n">
        <f aca="false">P340</f>
        <v>17100</v>
      </c>
      <c r="S340" s="9" t="n">
        <v>12500</v>
      </c>
      <c r="T340" s="9" t="n">
        <f aca="false">S340</f>
        <v>12500</v>
      </c>
      <c r="U340" s="9" t="n">
        <v>12500</v>
      </c>
      <c r="V340" s="9" t="n">
        <f aca="false">U340</f>
        <v>12500</v>
      </c>
      <c r="W340" s="45" t="n">
        <f aca="false">U340/G340</f>
        <v>16.025641025641</v>
      </c>
      <c r="X340" s="41" t="n">
        <f aca="false">SUM(U340-S340)/S340</f>
        <v>0</v>
      </c>
      <c r="Y340" s="9" t="s">
        <v>60</v>
      </c>
      <c r="Z340" s="42"/>
      <c r="AA340" s="524"/>
      <c r="AB340" s="5" t="s">
        <v>43</v>
      </c>
      <c r="AC340" s="4" t="s">
        <v>700</v>
      </c>
      <c r="AF340" s="59"/>
      <c r="AJ340" s="525" t="s">
        <v>1103</v>
      </c>
    </row>
    <row r="341" customFormat="false" ht="15" hidden="false" customHeight="false" outlineLevel="0" collapsed="false">
      <c r="A341" s="11" t="s">
        <v>37</v>
      </c>
      <c r="B341" s="11" t="s">
        <v>38</v>
      </c>
      <c r="C341" s="29" t="n">
        <v>100650</v>
      </c>
      <c r="D341" s="4" t="s">
        <v>694</v>
      </c>
      <c r="E341" s="4" t="s">
        <v>701</v>
      </c>
      <c r="F341" s="5" t="s">
        <v>134</v>
      </c>
      <c r="G341" s="6" t="n">
        <v>3661</v>
      </c>
      <c r="H341" s="6" t="n">
        <f aca="false">G341</f>
        <v>3661</v>
      </c>
      <c r="I341" s="6" t="n">
        <v>3500</v>
      </c>
      <c r="J341" s="4" t="s">
        <v>702</v>
      </c>
      <c r="K341" s="7" t="n">
        <v>44115</v>
      </c>
      <c r="L341" s="8" t="n">
        <v>46670</v>
      </c>
      <c r="P341" s="9" t="n">
        <v>170000</v>
      </c>
      <c r="Q341" s="9" t="n">
        <f aca="false">P341</f>
        <v>170000</v>
      </c>
      <c r="S341" s="9" t="n">
        <v>216700</v>
      </c>
      <c r="T341" s="9" t="n">
        <f aca="false">S341</f>
        <v>216700</v>
      </c>
      <c r="U341" s="9" t="n">
        <v>216700</v>
      </c>
      <c r="V341" s="9" t="n">
        <f aca="false">U341</f>
        <v>216700</v>
      </c>
      <c r="W341" s="45" t="n">
        <f aca="false">U341/G341</f>
        <v>59.1914777383229</v>
      </c>
      <c r="X341" s="41" t="n">
        <f aca="false">SUM(U341-S341)/S341</f>
        <v>0</v>
      </c>
      <c r="Y341" s="9" t="s">
        <v>60</v>
      </c>
      <c r="Z341" s="42"/>
      <c r="AA341" s="524"/>
      <c r="AB341" s="5" t="s">
        <v>43</v>
      </c>
      <c r="AF341" s="59"/>
      <c r="AJ341" s="525" t="s">
        <v>1103</v>
      </c>
    </row>
    <row r="342" customFormat="false" ht="15" hidden="false" customHeight="false" outlineLevel="0" collapsed="false">
      <c r="A342" s="11" t="s">
        <v>37</v>
      </c>
      <c r="B342" s="11" t="s">
        <v>38</v>
      </c>
      <c r="C342" s="29" t="n">
        <v>100650</v>
      </c>
      <c r="D342" s="4" t="s">
        <v>694</v>
      </c>
      <c r="E342" s="4" t="s">
        <v>703</v>
      </c>
      <c r="F342" s="5" t="s">
        <v>237</v>
      </c>
      <c r="G342" s="6" t="n">
        <v>1716</v>
      </c>
      <c r="H342" s="6" t="n">
        <f aca="false">G342</f>
        <v>1716</v>
      </c>
      <c r="I342" s="6" t="n">
        <v>1750</v>
      </c>
      <c r="J342" s="4" t="s">
        <v>67</v>
      </c>
      <c r="P342" s="9" t="n">
        <v>0</v>
      </c>
      <c r="Q342" s="9" t="n">
        <f aca="false">P342</f>
        <v>0</v>
      </c>
      <c r="S342" s="9" t="n">
        <v>107600</v>
      </c>
      <c r="T342" s="9" t="n">
        <f aca="false">S342</f>
        <v>107600</v>
      </c>
      <c r="U342" s="9" t="n">
        <v>107600</v>
      </c>
      <c r="V342" s="9" t="n">
        <f aca="false">U342</f>
        <v>107600</v>
      </c>
      <c r="W342" s="45" t="n">
        <f aca="false">U342/G342</f>
        <v>62.7039627039627</v>
      </c>
      <c r="X342" s="41" t="n">
        <f aca="false">SUM(U342-S342)/S342</f>
        <v>0</v>
      </c>
      <c r="Y342" s="9" t="s">
        <v>60</v>
      </c>
      <c r="Z342" s="42"/>
      <c r="AA342" s="524"/>
      <c r="AB342" s="5" t="s">
        <v>43</v>
      </c>
      <c r="AC342" s="4" t="s">
        <v>228</v>
      </c>
      <c r="AF342" s="59"/>
      <c r="AJ342" s="525" t="s">
        <v>1103</v>
      </c>
    </row>
    <row r="343" customFormat="false" ht="19.4" hidden="false" customHeight="false" outlineLevel="0" collapsed="false">
      <c r="A343" s="11" t="s">
        <v>37</v>
      </c>
      <c r="B343" s="11" t="s">
        <v>38</v>
      </c>
      <c r="C343" s="29" t="n">
        <v>100650</v>
      </c>
      <c r="D343" s="4" t="s">
        <v>694</v>
      </c>
      <c r="E343" s="4" t="s">
        <v>704</v>
      </c>
      <c r="F343" s="5" t="s">
        <v>237</v>
      </c>
      <c r="G343" s="6" t="n">
        <v>1952</v>
      </c>
      <c r="H343" s="6" t="n">
        <f aca="false">G343</f>
        <v>1952</v>
      </c>
      <c r="I343" s="6" t="n">
        <v>2000</v>
      </c>
      <c r="J343" s="4" t="s">
        <v>705</v>
      </c>
      <c r="K343" s="7" t="n">
        <v>45450</v>
      </c>
      <c r="L343" s="8" t="n">
        <v>49101</v>
      </c>
      <c r="N343" s="8" t="n">
        <v>47276</v>
      </c>
      <c r="O343" s="8" t="n">
        <v>47275</v>
      </c>
      <c r="P343" s="98" t="n">
        <v>159500</v>
      </c>
      <c r="Q343" s="9" t="n">
        <f aca="false">P343</f>
        <v>159500</v>
      </c>
      <c r="S343" s="9" t="n">
        <v>122400</v>
      </c>
      <c r="T343" s="9" t="n">
        <f aca="false">S343</f>
        <v>122400</v>
      </c>
      <c r="U343" s="9" t="n">
        <v>122400</v>
      </c>
      <c r="V343" s="9" t="n">
        <f aca="false">U343</f>
        <v>122400</v>
      </c>
      <c r="W343" s="45" t="n">
        <f aca="false">U343/G343</f>
        <v>62.7049180327869</v>
      </c>
      <c r="X343" s="41" t="n">
        <f aca="false">SUM(U343-S343)/S343</f>
        <v>0</v>
      </c>
      <c r="Y343" s="9" t="s">
        <v>42</v>
      </c>
      <c r="Z343" s="42"/>
      <c r="AA343" s="524"/>
      <c r="AB343" s="5" t="s">
        <v>43</v>
      </c>
      <c r="AC343" s="4" t="s">
        <v>706</v>
      </c>
      <c r="AF343" s="59"/>
      <c r="AJ343" s="525" t="s">
        <v>1103</v>
      </c>
    </row>
    <row r="344" customFormat="false" ht="15" hidden="false" customHeight="false" outlineLevel="0" collapsed="false">
      <c r="A344" s="11" t="s">
        <v>37</v>
      </c>
      <c r="B344" s="11" t="s">
        <v>38</v>
      </c>
      <c r="C344" s="29" t="n">
        <v>100650</v>
      </c>
      <c r="D344" s="4" t="s">
        <v>694</v>
      </c>
      <c r="E344" s="4" t="s">
        <v>707</v>
      </c>
      <c r="F344" s="5" t="s">
        <v>708</v>
      </c>
      <c r="G344" s="6" t="n">
        <v>1710</v>
      </c>
      <c r="H344" s="6" t="n">
        <f aca="false">G344</f>
        <v>1710</v>
      </c>
      <c r="I344" s="6" t="n">
        <v>1750</v>
      </c>
      <c r="J344" s="4" t="s">
        <v>709</v>
      </c>
      <c r="K344" s="7" t="n">
        <v>45143</v>
      </c>
      <c r="L344" s="8" t="n">
        <v>45873</v>
      </c>
      <c r="P344" s="9" t="n">
        <v>100000</v>
      </c>
      <c r="Q344" s="9" t="n">
        <f aca="false">P344</f>
        <v>100000</v>
      </c>
      <c r="S344" s="9" t="n">
        <v>85500</v>
      </c>
      <c r="T344" s="9" t="n">
        <f aca="false">S344</f>
        <v>85500</v>
      </c>
      <c r="U344" s="9" t="n">
        <v>100000</v>
      </c>
      <c r="V344" s="9" t="n">
        <f aca="false">U344</f>
        <v>100000</v>
      </c>
      <c r="W344" s="45" t="n">
        <f aca="false">U344/G344</f>
        <v>58.4795321637427</v>
      </c>
      <c r="X344" s="41" t="n">
        <f aca="false">SUM(U344-S344)/S344</f>
        <v>0.169590643274854</v>
      </c>
      <c r="Y344" s="9" t="s">
        <v>60</v>
      </c>
      <c r="Z344" s="42"/>
      <c r="AA344" s="524"/>
      <c r="AB344" s="5" t="s">
        <v>43</v>
      </c>
      <c r="AC344" s="4" t="s">
        <v>710</v>
      </c>
      <c r="AF344" s="59"/>
      <c r="AJ344" s="525" t="s">
        <v>1103</v>
      </c>
    </row>
    <row r="345" customFormat="false" ht="19.4" hidden="false" customHeight="false" outlineLevel="0" collapsed="false">
      <c r="A345" s="11" t="s">
        <v>37</v>
      </c>
      <c r="B345" s="11" t="s">
        <v>38</v>
      </c>
      <c r="C345" s="29" t="n">
        <v>100650</v>
      </c>
      <c r="D345" s="4" t="s">
        <v>694</v>
      </c>
      <c r="E345" s="4" t="s">
        <v>711</v>
      </c>
      <c r="F345" s="5" t="s">
        <v>708</v>
      </c>
      <c r="G345" s="6" t="n">
        <v>3601</v>
      </c>
      <c r="H345" s="6" t="n">
        <f aca="false">G345</f>
        <v>3601</v>
      </c>
      <c r="I345" s="6" t="n">
        <v>3500</v>
      </c>
      <c r="J345" s="4" t="s">
        <v>698</v>
      </c>
      <c r="K345" s="7" t="n">
        <v>45533</v>
      </c>
      <c r="L345" s="8" t="n">
        <v>49184</v>
      </c>
      <c r="N345" s="8" t="n">
        <v>47359</v>
      </c>
      <c r="O345" s="8" t="n">
        <v>46627</v>
      </c>
      <c r="P345" s="9" t="n">
        <v>83500</v>
      </c>
      <c r="Q345" s="9" t="n">
        <f aca="false">P345</f>
        <v>83500</v>
      </c>
      <c r="S345" s="9" t="n">
        <v>144000</v>
      </c>
      <c r="T345" s="9" t="n">
        <f aca="false">S345</f>
        <v>144000</v>
      </c>
      <c r="U345" s="9" t="n">
        <v>167400</v>
      </c>
      <c r="V345" s="9" t="n">
        <f aca="false">U345</f>
        <v>167400</v>
      </c>
      <c r="W345" s="45" t="n">
        <f aca="false">U345/G345</f>
        <v>46.4870869202999</v>
      </c>
      <c r="X345" s="41" t="n">
        <f aca="false">SUM(U345-S345)/S345</f>
        <v>0.1625</v>
      </c>
      <c r="Y345" s="9" t="s">
        <v>60</v>
      </c>
      <c r="Z345" s="42"/>
      <c r="AA345" s="526"/>
      <c r="AB345" s="5" t="s">
        <v>43</v>
      </c>
      <c r="AC345" s="4" t="s">
        <v>712</v>
      </c>
      <c r="AE345" s="60"/>
      <c r="AF345" s="62"/>
      <c r="AG345" s="60"/>
      <c r="AJ345" s="525" t="s">
        <v>1103</v>
      </c>
    </row>
    <row r="346" customFormat="false" ht="19.4" hidden="false" customHeight="false" outlineLevel="0" collapsed="false">
      <c r="A346" s="11" t="s">
        <v>37</v>
      </c>
      <c r="B346" s="11" t="s">
        <v>38</v>
      </c>
      <c r="C346" s="29" t="n">
        <v>100650</v>
      </c>
      <c r="D346" s="4" t="s">
        <v>694</v>
      </c>
      <c r="E346" s="4" t="s">
        <v>713</v>
      </c>
      <c r="F346" s="5" t="s">
        <v>134</v>
      </c>
      <c r="G346" s="6" t="n">
        <v>6889</v>
      </c>
      <c r="H346" s="6" t="n">
        <f aca="false">G346</f>
        <v>6889</v>
      </c>
      <c r="I346" s="6" t="n">
        <v>7000</v>
      </c>
      <c r="J346" s="4" t="s">
        <v>714</v>
      </c>
      <c r="K346" s="7" t="n">
        <v>44630</v>
      </c>
      <c r="L346" s="8" t="n">
        <v>48282</v>
      </c>
      <c r="N346" s="8" t="n">
        <v>46456</v>
      </c>
      <c r="P346" s="9" t="n">
        <v>385000</v>
      </c>
      <c r="Q346" s="9" t="n">
        <f aca="false">P346</f>
        <v>385000</v>
      </c>
      <c r="S346" s="9" t="n">
        <v>390000</v>
      </c>
      <c r="T346" s="9" t="n">
        <f aca="false">S346</f>
        <v>390000</v>
      </c>
      <c r="U346" s="9" t="n">
        <v>390000</v>
      </c>
      <c r="V346" s="9" t="n">
        <f aca="false">U346</f>
        <v>390000</v>
      </c>
      <c r="W346" s="45" t="n">
        <f aca="false">U346/G346</f>
        <v>56.6119901291915</v>
      </c>
      <c r="X346" s="41" t="n">
        <f aca="false">SUM(U346-S346)/S346</f>
        <v>0</v>
      </c>
      <c r="Y346" s="9" t="s">
        <v>458</v>
      </c>
      <c r="Z346" s="42"/>
      <c r="AA346" s="526"/>
      <c r="AB346" s="5" t="s">
        <v>43</v>
      </c>
      <c r="AC346" s="4" t="s">
        <v>715</v>
      </c>
      <c r="AF346" s="59"/>
      <c r="AJ346" s="525" t="s">
        <v>1103</v>
      </c>
    </row>
    <row r="347" customFormat="false" ht="15" hidden="false" customHeight="false" outlineLevel="0" collapsed="false">
      <c r="A347" s="11" t="s">
        <v>37</v>
      </c>
      <c r="B347" s="11" t="s">
        <v>38</v>
      </c>
      <c r="C347" s="29" t="n">
        <v>100650</v>
      </c>
      <c r="D347" s="4" t="s">
        <v>694</v>
      </c>
      <c r="E347" s="4" t="s">
        <v>716</v>
      </c>
      <c r="F347" s="5" t="s">
        <v>40</v>
      </c>
      <c r="G347" s="6" t="n">
        <v>1200</v>
      </c>
      <c r="H347" s="6" t="n">
        <f aca="false">G347</f>
        <v>1200</v>
      </c>
      <c r="I347" s="6" t="n">
        <v>1250</v>
      </c>
      <c r="J347" s="60" t="s">
        <v>67</v>
      </c>
      <c r="M347" s="102" t="n">
        <v>45793</v>
      </c>
      <c r="P347" s="98" t="n">
        <v>0</v>
      </c>
      <c r="Q347" s="9" t="n">
        <f aca="false">P347</f>
        <v>0</v>
      </c>
      <c r="S347" s="9" t="n">
        <v>72000</v>
      </c>
      <c r="T347" s="9" t="n">
        <f aca="false">S347</f>
        <v>72000</v>
      </c>
      <c r="U347" s="9" t="n">
        <v>69000</v>
      </c>
      <c r="V347" s="9" t="n">
        <f aca="false">U347</f>
        <v>69000</v>
      </c>
      <c r="W347" s="45" t="n">
        <f aca="false">U347/G347</f>
        <v>57.5</v>
      </c>
      <c r="X347" s="41" t="n">
        <f aca="false">SUM(U347-S347)/S347</f>
        <v>-0.0416666666666667</v>
      </c>
      <c r="Y347" s="9" t="s">
        <v>60</v>
      </c>
      <c r="Z347" s="42"/>
      <c r="AA347" s="526"/>
      <c r="AB347" s="5" t="s">
        <v>43</v>
      </c>
      <c r="AC347" s="60" t="s">
        <v>68</v>
      </c>
      <c r="AF347" s="59" t="n">
        <v>8</v>
      </c>
      <c r="AJ347" s="525" t="s">
        <v>1104</v>
      </c>
    </row>
    <row r="348" customFormat="false" ht="15" hidden="false" customHeight="false" outlineLevel="0" collapsed="false">
      <c r="A348" s="11" t="s">
        <v>37</v>
      </c>
      <c r="B348" s="11" t="s">
        <v>38</v>
      </c>
      <c r="C348" s="29" t="n">
        <v>100650</v>
      </c>
      <c r="D348" s="4" t="s">
        <v>694</v>
      </c>
      <c r="E348" s="4" t="s">
        <v>717</v>
      </c>
      <c r="F348" s="5" t="s">
        <v>309</v>
      </c>
      <c r="G348" s="6" t="n">
        <v>1372</v>
      </c>
      <c r="H348" s="6" t="n">
        <f aca="false">G348</f>
        <v>1372</v>
      </c>
      <c r="I348" s="6" t="n">
        <v>1250</v>
      </c>
      <c r="J348" s="4" t="s">
        <v>67</v>
      </c>
      <c r="M348" s="8" t="n">
        <v>45672</v>
      </c>
      <c r="P348" s="9" t="n">
        <v>0</v>
      </c>
      <c r="Q348" s="9" t="n">
        <f aca="false">P348</f>
        <v>0</v>
      </c>
      <c r="S348" s="9" t="n">
        <v>82300</v>
      </c>
      <c r="T348" s="9" t="n">
        <f aca="false">S348</f>
        <v>82300</v>
      </c>
      <c r="U348" s="9" t="n">
        <v>78900</v>
      </c>
      <c r="V348" s="9" t="n">
        <f aca="false">U348</f>
        <v>78900</v>
      </c>
      <c r="W348" s="45" t="n">
        <f aca="false">U348/G348</f>
        <v>57.5072886297376</v>
      </c>
      <c r="X348" s="41" t="n">
        <f aca="false">SUM(U348-S348)/S348</f>
        <v>-0.0413122721749696</v>
      </c>
      <c r="Y348" s="9" t="s">
        <v>60</v>
      </c>
      <c r="Z348" s="42"/>
      <c r="AA348" s="526"/>
      <c r="AB348" s="5" t="s">
        <v>43</v>
      </c>
      <c r="AC348" s="4" t="s">
        <v>68</v>
      </c>
      <c r="AF348" s="59"/>
      <c r="AJ348" s="525" t="s">
        <v>1104</v>
      </c>
    </row>
    <row r="349" customFormat="false" ht="15" hidden="false" customHeight="false" outlineLevel="0" collapsed="false">
      <c r="A349" s="11" t="s">
        <v>37</v>
      </c>
      <c r="B349" s="11" t="s">
        <v>38</v>
      </c>
      <c r="C349" s="29" t="n">
        <v>100650</v>
      </c>
      <c r="D349" s="4" t="s">
        <v>694</v>
      </c>
      <c r="E349" s="4" t="s">
        <v>718</v>
      </c>
      <c r="F349" s="5" t="s">
        <v>309</v>
      </c>
      <c r="G349" s="6" t="n">
        <v>1020</v>
      </c>
      <c r="H349" s="6" t="n">
        <f aca="false">G349</f>
        <v>1020</v>
      </c>
      <c r="I349" s="6" t="n">
        <v>1000</v>
      </c>
      <c r="J349" s="4" t="s">
        <v>67</v>
      </c>
      <c r="M349" s="8" t="n">
        <v>44576</v>
      </c>
      <c r="P349" s="9" t="n">
        <v>0</v>
      </c>
      <c r="Q349" s="9" t="n">
        <f aca="false">P349</f>
        <v>0</v>
      </c>
      <c r="S349" s="9" t="n">
        <v>61200</v>
      </c>
      <c r="T349" s="9" t="n">
        <f aca="false">S349</f>
        <v>61200</v>
      </c>
      <c r="U349" s="9" t="n">
        <v>58700</v>
      </c>
      <c r="V349" s="9" t="n">
        <f aca="false">U349</f>
        <v>58700</v>
      </c>
      <c r="W349" s="45" t="n">
        <f aca="false">U349/G349</f>
        <v>57.5490196078431</v>
      </c>
      <c r="X349" s="41" t="n">
        <f aca="false">SUM(U349-S349)/S349</f>
        <v>-0.0408496732026144</v>
      </c>
      <c r="Y349" s="9" t="s">
        <v>60</v>
      </c>
      <c r="Z349" s="42"/>
      <c r="AA349" s="526"/>
      <c r="AB349" s="5" t="s">
        <v>43</v>
      </c>
      <c r="AC349" s="4" t="s">
        <v>119</v>
      </c>
      <c r="AF349" s="59"/>
      <c r="AJ349" s="525" t="s">
        <v>1104</v>
      </c>
    </row>
    <row r="350" customFormat="false" ht="15" hidden="false" customHeight="false" outlineLevel="0" collapsed="false">
      <c r="A350" s="11" t="s">
        <v>37</v>
      </c>
      <c r="B350" s="11" t="s">
        <v>38</v>
      </c>
      <c r="C350" s="29" t="n">
        <v>100650</v>
      </c>
      <c r="D350" s="4" t="s">
        <v>694</v>
      </c>
      <c r="E350" s="4" t="s">
        <v>719</v>
      </c>
      <c r="F350" s="5" t="s">
        <v>40</v>
      </c>
      <c r="G350" s="6" t="n">
        <v>6636</v>
      </c>
      <c r="H350" s="6" t="n">
        <f aca="false">G350</f>
        <v>6636</v>
      </c>
      <c r="I350" s="6" t="n">
        <v>6500</v>
      </c>
      <c r="J350" s="4" t="s">
        <v>67</v>
      </c>
      <c r="M350" s="8" t="n">
        <v>44172</v>
      </c>
      <c r="P350" s="9" t="n">
        <v>0</v>
      </c>
      <c r="Q350" s="9" t="n">
        <f aca="false">P350</f>
        <v>0</v>
      </c>
      <c r="S350" s="9" t="n">
        <v>398200</v>
      </c>
      <c r="T350" s="9" t="n">
        <f aca="false">S350</f>
        <v>398200</v>
      </c>
      <c r="U350" s="9" t="n">
        <v>381600</v>
      </c>
      <c r="V350" s="9" t="n">
        <f aca="false">U350</f>
        <v>381600</v>
      </c>
      <c r="W350" s="45" t="n">
        <f aca="false">U350/G350</f>
        <v>57.50452079566</v>
      </c>
      <c r="X350" s="41" t="n">
        <f aca="false">SUM(U350-S350)/S350</f>
        <v>-0.041687594173782</v>
      </c>
      <c r="Y350" s="9" t="s">
        <v>127</v>
      </c>
      <c r="Z350" s="42"/>
      <c r="AA350" s="526"/>
      <c r="AB350" s="5" t="s">
        <v>43</v>
      </c>
      <c r="AC350" s="4" t="s">
        <v>119</v>
      </c>
      <c r="AF350" s="59"/>
      <c r="AJ350" s="525" t="s">
        <v>1104</v>
      </c>
    </row>
    <row r="351" customFormat="false" ht="15" hidden="false" customHeight="false" outlineLevel="0" collapsed="false">
      <c r="A351" s="11" t="s">
        <v>37</v>
      </c>
      <c r="B351" s="11" t="s">
        <v>38</v>
      </c>
      <c r="C351" s="29" t="n">
        <v>100650</v>
      </c>
      <c r="D351" s="4" t="s">
        <v>694</v>
      </c>
      <c r="E351" s="4" t="s">
        <v>720</v>
      </c>
      <c r="F351" s="5" t="s">
        <v>309</v>
      </c>
      <c r="G351" s="6" t="n">
        <v>950</v>
      </c>
      <c r="H351" s="6" t="n">
        <f aca="false">G351</f>
        <v>950</v>
      </c>
      <c r="I351" s="6" t="n">
        <v>1000</v>
      </c>
      <c r="J351" s="4" t="s">
        <v>67</v>
      </c>
      <c r="M351" s="8" t="n">
        <v>44682</v>
      </c>
      <c r="P351" s="9" t="n">
        <v>0</v>
      </c>
      <c r="Q351" s="9" t="n">
        <f aca="false">P351</f>
        <v>0</v>
      </c>
      <c r="S351" s="9" t="n">
        <v>57000</v>
      </c>
      <c r="T351" s="9" t="n">
        <f aca="false">S351</f>
        <v>57000</v>
      </c>
      <c r="U351" s="9" t="n">
        <v>54600</v>
      </c>
      <c r="V351" s="9" t="n">
        <f aca="false">U351</f>
        <v>54600</v>
      </c>
      <c r="W351" s="45" t="n">
        <f aca="false">U351/G351</f>
        <v>57.4736842105263</v>
      </c>
      <c r="X351" s="41" t="n">
        <f aca="false">SUM(U351-S351)/S351</f>
        <v>-0.0421052631578947</v>
      </c>
      <c r="Y351" s="9" t="s">
        <v>60</v>
      </c>
      <c r="Z351" s="42"/>
      <c r="AA351" s="526"/>
      <c r="AB351" s="5" t="s">
        <v>43</v>
      </c>
      <c r="AC351" s="4" t="s">
        <v>119</v>
      </c>
      <c r="AF351" s="59"/>
      <c r="AJ351" s="525" t="s">
        <v>1104</v>
      </c>
    </row>
    <row r="352" customFormat="false" ht="15" hidden="false" customHeight="false" outlineLevel="0" collapsed="false">
      <c r="A352" s="11" t="s">
        <v>37</v>
      </c>
      <c r="B352" s="11" t="s">
        <v>38</v>
      </c>
      <c r="C352" s="29" t="n">
        <v>100650</v>
      </c>
      <c r="D352" s="4" t="s">
        <v>694</v>
      </c>
      <c r="E352" s="4" t="s">
        <v>721</v>
      </c>
      <c r="F352" s="5" t="s">
        <v>40</v>
      </c>
      <c r="G352" s="6" t="n">
        <v>15445</v>
      </c>
      <c r="H352" s="6" t="n">
        <f aca="false">G352</f>
        <v>15445</v>
      </c>
      <c r="I352" s="6" t="n">
        <v>15500</v>
      </c>
      <c r="J352" s="4" t="s">
        <v>67</v>
      </c>
      <c r="M352" s="8" t="n">
        <v>45358</v>
      </c>
      <c r="P352" s="9" t="n">
        <v>0</v>
      </c>
      <c r="Q352" s="9" t="n">
        <f aca="false">P352</f>
        <v>0</v>
      </c>
      <c r="S352" s="9" t="n">
        <v>926700</v>
      </c>
      <c r="T352" s="9" t="n">
        <f aca="false">S352</f>
        <v>926700</v>
      </c>
      <c r="U352" s="9" t="n">
        <v>810900</v>
      </c>
      <c r="V352" s="9" t="n">
        <f aca="false">U352</f>
        <v>810900</v>
      </c>
      <c r="W352" s="45" t="n">
        <f aca="false">U352/G352</f>
        <v>52.5024279702169</v>
      </c>
      <c r="X352" s="41" t="n">
        <f aca="false">SUM(U352-S352)/S352</f>
        <v>-0.124959533829718</v>
      </c>
      <c r="Y352" s="9" t="s">
        <v>60</v>
      </c>
      <c r="Z352" s="42"/>
      <c r="AA352" s="526"/>
      <c r="AB352" s="5" t="s">
        <v>43</v>
      </c>
      <c r="AC352" s="4" t="s">
        <v>119</v>
      </c>
      <c r="AE352" s="4" t="n">
        <v>3</v>
      </c>
      <c r="AF352" s="59" t="n">
        <v>3</v>
      </c>
      <c r="AG352" s="4" t="s">
        <v>57</v>
      </c>
      <c r="AJ352" s="525" t="s">
        <v>1104</v>
      </c>
    </row>
    <row r="353" customFormat="false" ht="15" hidden="false" customHeight="false" outlineLevel="0" collapsed="false">
      <c r="A353" s="11" t="s">
        <v>37</v>
      </c>
      <c r="B353" s="11" t="s">
        <v>38</v>
      </c>
      <c r="C353" s="29" t="n">
        <v>100650</v>
      </c>
      <c r="D353" s="4" t="s">
        <v>694</v>
      </c>
      <c r="E353" s="4" t="s">
        <v>722</v>
      </c>
      <c r="F353" s="5" t="s">
        <v>40</v>
      </c>
      <c r="G353" s="6" t="n">
        <v>5350</v>
      </c>
      <c r="H353" s="6" t="n">
        <f aca="false">G353</f>
        <v>5350</v>
      </c>
      <c r="I353" s="6" t="n">
        <v>5250</v>
      </c>
      <c r="J353" s="4" t="s">
        <v>723</v>
      </c>
      <c r="K353" s="7" t="n">
        <v>44986</v>
      </c>
      <c r="L353" s="8" t="n">
        <v>46081</v>
      </c>
      <c r="P353" s="9" t="n">
        <v>320000</v>
      </c>
      <c r="Q353" s="9" t="n">
        <f aca="false">P353</f>
        <v>320000</v>
      </c>
      <c r="S353" s="9" t="n">
        <v>321000</v>
      </c>
      <c r="T353" s="9" t="n">
        <f aca="false">S353</f>
        <v>321000</v>
      </c>
      <c r="U353" s="9" t="n">
        <v>307600</v>
      </c>
      <c r="V353" s="9" t="n">
        <f aca="false">U353</f>
        <v>307600</v>
      </c>
      <c r="W353" s="45" t="n">
        <f aca="false">U353/G353</f>
        <v>57.4953271028037</v>
      </c>
      <c r="X353" s="41" t="n">
        <f aca="false">SUM(U353-S353)/S353</f>
        <v>-0.0417445482866044</v>
      </c>
      <c r="Y353" s="9" t="s">
        <v>60</v>
      </c>
      <c r="Z353" s="42"/>
      <c r="AA353" s="526"/>
      <c r="AB353" s="5" t="s">
        <v>43</v>
      </c>
      <c r="AE353" s="4" t="n">
        <v>1</v>
      </c>
      <c r="AF353" s="59" t="n">
        <v>1</v>
      </c>
      <c r="AJ353" s="525" t="s">
        <v>1103</v>
      </c>
    </row>
    <row r="354" customFormat="false" ht="15" hidden="false" customHeight="false" outlineLevel="0" collapsed="false">
      <c r="A354" s="11" t="s">
        <v>37</v>
      </c>
      <c r="B354" s="11" t="s">
        <v>38</v>
      </c>
      <c r="C354" s="29" t="n">
        <v>100650</v>
      </c>
      <c r="D354" s="4" t="s">
        <v>694</v>
      </c>
      <c r="E354" s="4" t="s">
        <v>724</v>
      </c>
      <c r="F354" s="5" t="s">
        <v>40</v>
      </c>
      <c r="G354" s="6" t="n">
        <v>3461</v>
      </c>
      <c r="H354" s="6" t="n">
        <f aca="false">G354</f>
        <v>3461</v>
      </c>
      <c r="I354" s="6" t="n">
        <v>3500</v>
      </c>
      <c r="J354" s="4" t="s">
        <v>67</v>
      </c>
      <c r="M354" s="8" t="n">
        <v>44958</v>
      </c>
      <c r="P354" s="9" t="n">
        <v>0</v>
      </c>
      <c r="Q354" s="9" t="n">
        <f aca="false">P354</f>
        <v>0</v>
      </c>
      <c r="S354" s="9" t="n">
        <v>207700</v>
      </c>
      <c r="T354" s="9" t="n">
        <f aca="false">S354</f>
        <v>207700</v>
      </c>
      <c r="U354" s="9" t="n">
        <v>199000</v>
      </c>
      <c r="V354" s="9" t="n">
        <f aca="false">U354</f>
        <v>199000</v>
      </c>
      <c r="W354" s="45" t="n">
        <f aca="false">U354/G354</f>
        <v>57.4978329962439</v>
      </c>
      <c r="X354" s="41" t="n">
        <f aca="false">SUM(U354-S354)/S354</f>
        <v>-0.0418873375060183</v>
      </c>
      <c r="Y354" s="9" t="s">
        <v>60</v>
      </c>
      <c r="Z354" s="42"/>
      <c r="AA354" s="526"/>
      <c r="AB354" s="5" t="s">
        <v>43</v>
      </c>
      <c r="AC354" s="4" t="s">
        <v>119</v>
      </c>
      <c r="AE354" s="4" t="n">
        <v>1</v>
      </c>
      <c r="AF354" s="59" t="n">
        <v>1</v>
      </c>
      <c r="AJ354" s="525" t="s">
        <v>1104</v>
      </c>
    </row>
    <row r="355" customFormat="false" ht="15" hidden="false" customHeight="false" outlineLevel="0" collapsed="false">
      <c r="A355" s="11" t="s">
        <v>37</v>
      </c>
      <c r="B355" s="11" t="s">
        <v>38</v>
      </c>
      <c r="C355" s="29" t="n">
        <v>100650</v>
      </c>
      <c r="D355" s="4" t="s">
        <v>694</v>
      </c>
      <c r="E355" s="4" t="s">
        <v>725</v>
      </c>
      <c r="F355" s="5" t="s">
        <v>40</v>
      </c>
      <c r="G355" s="6" t="n">
        <v>445</v>
      </c>
      <c r="H355" s="6" t="n">
        <f aca="false">G355</f>
        <v>445</v>
      </c>
      <c r="I355" s="6" t="n">
        <v>500</v>
      </c>
      <c r="J355" s="4" t="s">
        <v>67</v>
      </c>
      <c r="K355" s="7"/>
      <c r="L355" s="8"/>
      <c r="M355" s="8" t="n">
        <v>44849</v>
      </c>
      <c r="N355" s="8"/>
      <c r="O355" s="8"/>
      <c r="P355" s="9" t="n">
        <v>0</v>
      </c>
      <c r="Q355" s="9" t="n">
        <f aca="false">P355</f>
        <v>0</v>
      </c>
      <c r="R355" s="9"/>
      <c r="S355" s="9" t="n">
        <v>26700</v>
      </c>
      <c r="T355" s="9" t="n">
        <f aca="false">S355</f>
        <v>26700</v>
      </c>
      <c r="U355" s="9" t="n">
        <v>25600</v>
      </c>
      <c r="V355" s="9" t="n">
        <f aca="false">U355</f>
        <v>25600</v>
      </c>
      <c r="W355" s="45" t="n">
        <f aca="false">U355/G355</f>
        <v>57.5280898876405</v>
      </c>
      <c r="X355" s="41" t="n">
        <f aca="false">SUM(U355-S355)/S355</f>
        <v>-0.0411985018726592</v>
      </c>
      <c r="Y355" s="9" t="s">
        <v>60</v>
      </c>
      <c r="Z355" s="42"/>
      <c r="AA355" s="526"/>
      <c r="AB355" s="5" t="s">
        <v>43</v>
      </c>
      <c r="AC355" s="4" t="s">
        <v>119</v>
      </c>
      <c r="AD355" s="15"/>
      <c r="AE355" s="4" t="n">
        <v>1</v>
      </c>
      <c r="AF355" s="59" t="n">
        <v>2</v>
      </c>
      <c r="AG355" s="4" t="s">
        <v>57</v>
      </c>
      <c r="AI355" s="73"/>
      <c r="AJ355" s="525" t="s">
        <v>1104</v>
      </c>
    </row>
    <row r="356" customFormat="false" ht="15" hidden="false" customHeight="false" outlineLevel="0" collapsed="false">
      <c r="A356" s="11" t="s">
        <v>37</v>
      </c>
      <c r="B356" s="11" t="s">
        <v>38</v>
      </c>
      <c r="C356" s="29" t="n">
        <v>100650</v>
      </c>
      <c r="D356" s="4" t="s">
        <v>694</v>
      </c>
      <c r="E356" s="4" t="s">
        <v>726</v>
      </c>
      <c r="F356" s="5" t="s">
        <v>40</v>
      </c>
      <c r="G356" s="6" t="n">
        <v>783</v>
      </c>
      <c r="H356" s="6" t="n">
        <f aca="false">G356</f>
        <v>783</v>
      </c>
      <c r="I356" s="6" t="n">
        <v>750</v>
      </c>
      <c r="J356" s="4" t="s">
        <v>67</v>
      </c>
      <c r="M356" s="8" t="n">
        <v>45406</v>
      </c>
      <c r="P356" s="9" t="n">
        <v>0</v>
      </c>
      <c r="Q356" s="9" t="n">
        <f aca="false">P356</f>
        <v>0</v>
      </c>
      <c r="S356" s="9" t="n">
        <v>45000</v>
      </c>
      <c r="T356" s="9" t="n">
        <f aca="false">S356</f>
        <v>45000</v>
      </c>
      <c r="U356" s="9" t="n">
        <v>45000</v>
      </c>
      <c r="V356" s="9" t="n">
        <f aca="false">U356</f>
        <v>45000</v>
      </c>
      <c r="W356" s="45" t="n">
        <f aca="false">U356/G356</f>
        <v>57.4712643678161</v>
      </c>
      <c r="X356" s="41" t="n">
        <f aca="false">SUM(U356-S356)/S356</f>
        <v>0</v>
      </c>
      <c r="Y356" s="9" t="s">
        <v>60</v>
      </c>
      <c r="Z356" s="42"/>
      <c r="AA356" s="526"/>
      <c r="AB356" s="5" t="s">
        <v>43</v>
      </c>
      <c r="AC356" s="4" t="s">
        <v>119</v>
      </c>
      <c r="AF356" s="59" t="n">
        <v>1</v>
      </c>
      <c r="AG356" s="4" t="s">
        <v>57</v>
      </c>
      <c r="AJ356" s="525" t="s">
        <v>1104</v>
      </c>
    </row>
    <row r="357" customFormat="false" ht="15" hidden="false" customHeight="false" outlineLevel="0" collapsed="false">
      <c r="A357" s="11" t="s">
        <v>37</v>
      </c>
      <c r="B357" s="11" t="s">
        <v>38</v>
      </c>
      <c r="C357" s="29" t="n">
        <v>100650</v>
      </c>
      <c r="D357" s="4" t="s">
        <v>694</v>
      </c>
      <c r="E357" s="4" t="s">
        <v>727</v>
      </c>
      <c r="F357" s="5" t="s">
        <v>40</v>
      </c>
      <c r="G357" s="6" t="n">
        <v>1929</v>
      </c>
      <c r="H357" s="6" t="n">
        <f aca="false">G357</f>
        <v>1929</v>
      </c>
      <c r="I357" s="6" t="n">
        <v>2000</v>
      </c>
      <c r="J357" s="115" t="s">
        <v>728</v>
      </c>
      <c r="K357" s="7" t="n">
        <v>45096</v>
      </c>
      <c r="L357" s="8" t="n">
        <v>46191</v>
      </c>
      <c r="P357" s="9" t="n">
        <v>111825</v>
      </c>
      <c r="Q357" s="9" t="n">
        <f aca="false">P357</f>
        <v>111825</v>
      </c>
      <c r="S357" s="9" t="n">
        <v>110900</v>
      </c>
      <c r="T357" s="9" t="n">
        <f aca="false">S357</f>
        <v>110900</v>
      </c>
      <c r="U357" s="9" t="n">
        <v>110900</v>
      </c>
      <c r="V357" s="9" t="n">
        <f aca="false">U357</f>
        <v>110900</v>
      </c>
      <c r="W357" s="45" t="n">
        <f aca="false">U357/G357</f>
        <v>57.4909279419388</v>
      </c>
      <c r="X357" s="41" t="n">
        <f aca="false">SUM(U357-S357)/S357</f>
        <v>0</v>
      </c>
      <c r="Y357" s="9" t="s">
        <v>127</v>
      </c>
      <c r="Z357" s="42"/>
      <c r="AA357" s="526"/>
      <c r="AB357" s="5" t="s">
        <v>43</v>
      </c>
      <c r="AC357" s="4" t="s">
        <v>119</v>
      </c>
      <c r="AF357" s="59"/>
      <c r="AJ357" s="525" t="s">
        <v>1103</v>
      </c>
    </row>
    <row r="358" customFormat="false" ht="15" hidden="false" customHeight="false" outlineLevel="0" collapsed="false">
      <c r="A358" s="11" t="s">
        <v>37</v>
      </c>
      <c r="B358" s="11" t="s">
        <v>38</v>
      </c>
      <c r="C358" s="29" t="n">
        <v>100650</v>
      </c>
      <c r="D358" s="4" t="s">
        <v>694</v>
      </c>
      <c r="E358" s="4" t="s">
        <v>729</v>
      </c>
      <c r="F358" s="5" t="s">
        <v>90</v>
      </c>
      <c r="G358" s="6" t="n">
        <v>6893</v>
      </c>
      <c r="H358" s="6" t="n">
        <f aca="false">G358</f>
        <v>6893</v>
      </c>
      <c r="I358" s="6" t="n">
        <v>7000</v>
      </c>
      <c r="J358" s="4" t="s">
        <v>67</v>
      </c>
      <c r="M358" s="8" t="n">
        <v>44340</v>
      </c>
      <c r="P358" s="9" t="n">
        <v>0</v>
      </c>
      <c r="Q358" s="9" t="n">
        <f aca="false">P358</f>
        <v>0</v>
      </c>
      <c r="S358" s="9" t="n">
        <v>396300</v>
      </c>
      <c r="T358" s="9" t="n">
        <f aca="false">S358</f>
        <v>396300</v>
      </c>
      <c r="U358" s="9" t="n">
        <v>396300</v>
      </c>
      <c r="V358" s="9" t="n">
        <f aca="false">U358</f>
        <v>396300</v>
      </c>
      <c r="W358" s="45" t="n">
        <f aca="false">U358/G358</f>
        <v>57.4931089511098</v>
      </c>
      <c r="X358" s="41" t="n">
        <f aca="false">SUM(U358-S358)/S358</f>
        <v>0</v>
      </c>
      <c r="Y358" s="9" t="s">
        <v>127</v>
      </c>
      <c r="Z358" s="42"/>
      <c r="AA358" s="526"/>
      <c r="AB358" s="5" t="s">
        <v>43</v>
      </c>
      <c r="AC358" s="4" t="s">
        <v>119</v>
      </c>
      <c r="AE358" s="4" t="n">
        <v>2</v>
      </c>
      <c r="AF358" s="59" t="n">
        <v>6</v>
      </c>
      <c r="AG358" s="4" t="s">
        <v>57</v>
      </c>
      <c r="AJ358" s="525" t="s">
        <v>1104</v>
      </c>
    </row>
    <row r="359" customFormat="false" ht="15" hidden="false" customHeight="false" outlineLevel="0" collapsed="false">
      <c r="A359" s="11" t="s">
        <v>37</v>
      </c>
      <c r="B359" s="11" t="s">
        <v>38</v>
      </c>
      <c r="C359" s="29" t="n">
        <v>100650</v>
      </c>
      <c r="D359" s="4" t="s">
        <v>694</v>
      </c>
      <c r="E359" s="4" t="s">
        <v>730</v>
      </c>
      <c r="F359" s="5" t="s">
        <v>309</v>
      </c>
      <c r="G359" s="6" t="n">
        <v>363</v>
      </c>
      <c r="H359" s="6" t="n">
        <f aca="false">G359</f>
        <v>363</v>
      </c>
      <c r="I359" s="6" t="n">
        <v>500</v>
      </c>
      <c r="J359" s="4" t="s">
        <v>67</v>
      </c>
      <c r="M359" s="8" t="n">
        <v>45139</v>
      </c>
      <c r="P359" s="9" t="n">
        <v>0</v>
      </c>
      <c r="Q359" s="9" t="n">
        <f aca="false">P359</f>
        <v>0</v>
      </c>
      <c r="S359" s="9" t="n">
        <v>20900</v>
      </c>
      <c r="T359" s="9" t="n">
        <f aca="false">S359</f>
        <v>20900</v>
      </c>
      <c r="U359" s="9" t="n">
        <v>20900</v>
      </c>
      <c r="V359" s="9" t="n">
        <f aca="false">U359</f>
        <v>20900</v>
      </c>
      <c r="W359" s="45" t="n">
        <f aca="false">U359/G359</f>
        <v>57.5757575757576</v>
      </c>
      <c r="X359" s="41" t="n">
        <f aca="false">SUM(U359-S359)/S359</f>
        <v>0</v>
      </c>
      <c r="Y359" s="9" t="s">
        <v>60</v>
      </c>
      <c r="Z359" s="42"/>
      <c r="AA359" s="526"/>
      <c r="AB359" s="5" t="s">
        <v>43</v>
      </c>
      <c r="AC359" s="4" t="s">
        <v>119</v>
      </c>
      <c r="AF359" s="59"/>
      <c r="AJ359" s="525" t="s">
        <v>1104</v>
      </c>
    </row>
    <row r="360" customFormat="false" ht="15" hidden="false" customHeight="false" outlineLevel="0" collapsed="false">
      <c r="A360" s="11" t="s">
        <v>37</v>
      </c>
      <c r="B360" s="11" t="s">
        <v>38</v>
      </c>
      <c r="C360" s="29" t="n">
        <v>100650</v>
      </c>
      <c r="D360" s="4" t="s">
        <v>694</v>
      </c>
      <c r="E360" s="4" t="s">
        <v>731</v>
      </c>
      <c r="F360" s="5" t="s">
        <v>309</v>
      </c>
      <c r="G360" s="6" t="n">
        <v>933</v>
      </c>
      <c r="H360" s="6" t="n">
        <f aca="false">G360</f>
        <v>933</v>
      </c>
      <c r="I360" s="6" t="n">
        <v>1000</v>
      </c>
      <c r="J360" s="4" t="s">
        <v>67</v>
      </c>
      <c r="M360" s="8" t="n">
        <v>44340</v>
      </c>
      <c r="P360" s="9" t="n">
        <v>0</v>
      </c>
      <c r="Q360" s="9" t="n">
        <f aca="false">P360</f>
        <v>0</v>
      </c>
      <c r="S360" s="9" t="n">
        <v>53600</v>
      </c>
      <c r="T360" s="9" t="n">
        <f aca="false">S360</f>
        <v>53600</v>
      </c>
      <c r="U360" s="9" t="n">
        <v>53600</v>
      </c>
      <c r="V360" s="9" t="n">
        <f aca="false">U360</f>
        <v>53600</v>
      </c>
      <c r="W360" s="45" t="n">
        <f aca="false">U360/G360</f>
        <v>57.449088960343</v>
      </c>
      <c r="X360" s="41" t="n">
        <f aca="false">SUM(U360-S360)/S360</f>
        <v>0</v>
      </c>
      <c r="Y360" s="9" t="s">
        <v>127</v>
      </c>
      <c r="Z360" s="42"/>
      <c r="AA360" s="526"/>
      <c r="AB360" s="5" t="s">
        <v>43</v>
      </c>
      <c r="AC360" s="4" t="s">
        <v>119</v>
      </c>
      <c r="AF360" s="59" t="n">
        <v>1</v>
      </c>
      <c r="AG360" s="4" t="s">
        <v>57</v>
      </c>
      <c r="AJ360" s="525" t="s">
        <v>1104</v>
      </c>
    </row>
    <row r="361" customFormat="false" ht="15" hidden="false" customHeight="false" outlineLevel="0" collapsed="false">
      <c r="A361" s="11" t="s">
        <v>37</v>
      </c>
      <c r="B361" s="11" t="s">
        <v>38</v>
      </c>
      <c r="C361" s="29" t="n">
        <v>100650</v>
      </c>
      <c r="D361" s="4" t="s">
        <v>694</v>
      </c>
      <c r="E361" s="4" t="s">
        <v>732</v>
      </c>
      <c r="F361" s="5" t="s">
        <v>309</v>
      </c>
      <c r="G361" s="6" t="n">
        <v>1350</v>
      </c>
      <c r="H361" s="6" t="n">
        <f aca="false">G361</f>
        <v>1350</v>
      </c>
      <c r="I361" s="6" t="n">
        <v>1350</v>
      </c>
      <c r="J361" s="4" t="s">
        <v>733</v>
      </c>
      <c r="K361" s="7" t="n">
        <v>44501</v>
      </c>
      <c r="L361" s="8" t="n">
        <v>46326</v>
      </c>
      <c r="P361" s="9" t="n">
        <v>74250</v>
      </c>
      <c r="Q361" s="9" t="n">
        <f aca="false">P361</f>
        <v>74250</v>
      </c>
      <c r="S361" s="6" t="n">
        <v>77600</v>
      </c>
      <c r="T361" s="9" t="n">
        <f aca="false">S361</f>
        <v>77600</v>
      </c>
      <c r="U361" s="9" t="n">
        <v>77600</v>
      </c>
      <c r="V361" s="9" t="n">
        <f aca="false">U361</f>
        <v>77600</v>
      </c>
      <c r="W361" s="45" t="n">
        <f aca="false">U361/G361</f>
        <v>57.4814814814815</v>
      </c>
      <c r="X361" s="41" t="n">
        <f aca="false">SUM(U361-S361)/S361</f>
        <v>0</v>
      </c>
      <c r="Y361" s="9" t="s">
        <v>127</v>
      </c>
      <c r="Z361" s="42"/>
      <c r="AA361" s="526"/>
      <c r="AB361" s="5" t="s">
        <v>43</v>
      </c>
      <c r="AF361" s="59"/>
      <c r="AJ361" s="525" t="s">
        <v>1103</v>
      </c>
    </row>
    <row r="362" customFormat="false" ht="15" hidden="false" customHeight="false" outlineLevel="0" collapsed="false">
      <c r="A362" s="11" t="s">
        <v>37</v>
      </c>
      <c r="B362" s="11" t="s">
        <v>38</v>
      </c>
      <c r="C362" s="29" t="n">
        <v>100650</v>
      </c>
      <c r="D362" s="4" t="s">
        <v>694</v>
      </c>
      <c r="E362" s="4" t="s">
        <v>734</v>
      </c>
      <c r="F362" s="5" t="s">
        <v>40</v>
      </c>
      <c r="G362" s="6" t="n">
        <v>688</v>
      </c>
      <c r="H362" s="6" t="n">
        <f aca="false">G362</f>
        <v>688</v>
      </c>
      <c r="I362" s="6" t="n">
        <v>750</v>
      </c>
      <c r="J362" s="4" t="s">
        <v>67</v>
      </c>
      <c r="M362" s="8" t="n">
        <v>45139</v>
      </c>
      <c r="P362" s="9" t="n">
        <v>0</v>
      </c>
      <c r="Q362" s="9" t="n">
        <f aca="false">P362</f>
        <v>0</v>
      </c>
      <c r="S362" s="9" t="n">
        <v>39600</v>
      </c>
      <c r="T362" s="9" t="n">
        <f aca="false">S362</f>
        <v>39600</v>
      </c>
      <c r="U362" s="9" t="n">
        <v>39600</v>
      </c>
      <c r="V362" s="9" t="n">
        <f aca="false">U362</f>
        <v>39600</v>
      </c>
      <c r="W362" s="45" t="n">
        <f aca="false">U362/G362</f>
        <v>57.5581395348837</v>
      </c>
      <c r="X362" s="41" t="n">
        <f aca="false">SUM(U362-S362)/S362</f>
        <v>0</v>
      </c>
      <c r="Y362" s="9" t="s">
        <v>127</v>
      </c>
      <c r="Z362" s="42"/>
      <c r="AA362" s="526"/>
      <c r="AB362" s="5" t="s">
        <v>43</v>
      </c>
      <c r="AC362" s="4" t="s">
        <v>119</v>
      </c>
      <c r="AF362" s="59"/>
      <c r="AJ362" s="525" t="s">
        <v>1104</v>
      </c>
    </row>
    <row r="363" customFormat="false" ht="15" hidden="false" customHeight="false" outlineLevel="0" collapsed="false">
      <c r="A363" s="11" t="s">
        <v>37</v>
      </c>
      <c r="B363" s="11" t="s">
        <v>38</v>
      </c>
      <c r="C363" s="29" t="n">
        <v>100650</v>
      </c>
      <c r="D363" s="4" t="s">
        <v>694</v>
      </c>
      <c r="E363" s="4" t="s">
        <v>735</v>
      </c>
      <c r="F363" s="5" t="s">
        <v>40</v>
      </c>
      <c r="G363" s="6" t="n">
        <v>325</v>
      </c>
      <c r="H363" s="6" t="n">
        <f aca="false">G363</f>
        <v>325</v>
      </c>
      <c r="I363" s="6" t="n">
        <v>500</v>
      </c>
      <c r="J363" s="4" t="s">
        <v>67</v>
      </c>
      <c r="M363" s="8" t="n">
        <v>44340</v>
      </c>
      <c r="P363" s="9" t="n">
        <v>0</v>
      </c>
      <c r="Q363" s="9" t="n">
        <f aca="false">P363</f>
        <v>0</v>
      </c>
      <c r="S363" s="9" t="n">
        <v>18700</v>
      </c>
      <c r="T363" s="9" t="n">
        <f aca="false">S363</f>
        <v>18700</v>
      </c>
      <c r="U363" s="9" t="n">
        <v>18700</v>
      </c>
      <c r="V363" s="9" t="n">
        <f aca="false">U363</f>
        <v>18700</v>
      </c>
      <c r="W363" s="45" t="n">
        <f aca="false">U363/G363</f>
        <v>57.5384615384615</v>
      </c>
      <c r="X363" s="41" t="n">
        <f aca="false">SUM(U363-S363)/S363</f>
        <v>0</v>
      </c>
      <c r="Y363" s="9" t="s">
        <v>127</v>
      </c>
      <c r="Z363" s="42"/>
      <c r="AA363" s="526"/>
      <c r="AB363" s="5" t="s">
        <v>43</v>
      </c>
      <c r="AC363" s="4" t="s">
        <v>119</v>
      </c>
      <c r="AF363" s="59"/>
      <c r="AJ363" s="525" t="s">
        <v>1104</v>
      </c>
    </row>
    <row r="364" customFormat="false" ht="15" hidden="false" customHeight="false" outlineLevel="0" collapsed="false">
      <c r="A364" s="11" t="s">
        <v>37</v>
      </c>
      <c r="B364" s="11" t="s">
        <v>38</v>
      </c>
      <c r="C364" s="29" t="n">
        <v>100650</v>
      </c>
      <c r="D364" s="4" t="s">
        <v>694</v>
      </c>
      <c r="E364" s="4" t="s">
        <v>736</v>
      </c>
      <c r="F364" s="5" t="s">
        <v>40</v>
      </c>
      <c r="G364" s="6" t="n">
        <v>489</v>
      </c>
      <c r="H364" s="6" t="n">
        <f aca="false">G364</f>
        <v>489</v>
      </c>
      <c r="I364" s="6" t="n">
        <v>500</v>
      </c>
      <c r="J364" s="4" t="s">
        <v>607</v>
      </c>
      <c r="K364" s="7" t="n">
        <v>45770</v>
      </c>
      <c r="L364" s="8" t="n">
        <v>46088</v>
      </c>
      <c r="M364" s="8"/>
      <c r="P364" s="9" t="n">
        <v>36529</v>
      </c>
      <c r="Q364" s="9" t="n">
        <f aca="false">P364</f>
        <v>36529</v>
      </c>
      <c r="S364" s="9" t="n">
        <v>28100</v>
      </c>
      <c r="T364" s="9" t="n">
        <f aca="false">S364</f>
        <v>28100</v>
      </c>
      <c r="U364" s="9" t="n">
        <v>28100</v>
      </c>
      <c r="V364" s="9" t="n">
        <f aca="false">U364</f>
        <v>28100</v>
      </c>
      <c r="W364" s="45" t="n">
        <f aca="false">U364/G364</f>
        <v>57.4642126789366</v>
      </c>
      <c r="X364" s="41" t="n">
        <f aca="false">SUM(U364-S364)/S364</f>
        <v>0</v>
      </c>
      <c r="Y364" s="9" t="s">
        <v>127</v>
      </c>
      <c r="Z364" s="42"/>
      <c r="AA364" s="526"/>
      <c r="AB364" s="5" t="s">
        <v>43</v>
      </c>
      <c r="AC364" s="4" t="s">
        <v>737</v>
      </c>
      <c r="AF364" s="59"/>
      <c r="AJ364" s="525" t="s">
        <v>1103</v>
      </c>
    </row>
    <row r="365" customFormat="false" ht="15" hidden="false" customHeight="false" outlineLevel="0" collapsed="false">
      <c r="A365" s="11" t="s">
        <v>37</v>
      </c>
      <c r="B365" s="11" t="s">
        <v>38</v>
      </c>
      <c r="C365" s="29" t="n">
        <v>100650</v>
      </c>
      <c r="D365" s="4" t="s">
        <v>694</v>
      </c>
      <c r="E365" s="4" t="s">
        <v>738</v>
      </c>
      <c r="F365" s="5" t="s">
        <v>40</v>
      </c>
      <c r="G365" s="6" t="n">
        <v>3558</v>
      </c>
      <c r="H365" s="6" t="n">
        <f aca="false">G365</f>
        <v>3558</v>
      </c>
      <c r="I365" s="6" t="n">
        <v>3500</v>
      </c>
      <c r="J365" s="4" t="s">
        <v>739</v>
      </c>
      <c r="K365" s="7" t="n">
        <v>45072</v>
      </c>
      <c r="L365" s="8" t="n">
        <v>46898</v>
      </c>
      <c r="O365" s="8" t="n">
        <v>46167</v>
      </c>
      <c r="P365" s="9" t="n">
        <v>202920</v>
      </c>
      <c r="Q365" s="9" t="n">
        <f aca="false">P365</f>
        <v>202920</v>
      </c>
      <c r="S365" s="9" t="n">
        <v>204600</v>
      </c>
      <c r="T365" s="9" t="n">
        <f aca="false">S365</f>
        <v>204600</v>
      </c>
      <c r="U365" s="9" t="n">
        <v>204600</v>
      </c>
      <c r="V365" s="9" t="n">
        <f aca="false">U365</f>
        <v>204600</v>
      </c>
      <c r="W365" s="45" t="n">
        <f aca="false">U365/G365</f>
        <v>57.504215851602</v>
      </c>
      <c r="X365" s="41" t="n">
        <f aca="false">SUM(U365-S365)/S365</f>
        <v>0</v>
      </c>
      <c r="Y365" s="9" t="s">
        <v>60</v>
      </c>
      <c r="Z365" s="42"/>
      <c r="AA365" s="526"/>
      <c r="AB365" s="5" t="s">
        <v>43</v>
      </c>
      <c r="AC365" s="4" t="s">
        <v>562</v>
      </c>
      <c r="AF365" s="59"/>
      <c r="AJ365" s="525" t="s">
        <v>1103</v>
      </c>
    </row>
    <row r="366" customFormat="false" ht="15" hidden="false" customHeight="false" outlineLevel="0" collapsed="false">
      <c r="A366" s="11" t="s">
        <v>37</v>
      </c>
      <c r="B366" s="11" t="s">
        <v>38</v>
      </c>
      <c r="C366" s="29" t="n">
        <v>100650</v>
      </c>
      <c r="D366" s="4" t="s">
        <v>694</v>
      </c>
      <c r="E366" s="4" t="s">
        <v>740</v>
      </c>
      <c r="F366" s="5" t="s">
        <v>40</v>
      </c>
      <c r="G366" s="6" t="n">
        <v>3500</v>
      </c>
      <c r="H366" s="6" t="n">
        <f aca="false">G366</f>
        <v>3500</v>
      </c>
      <c r="I366" s="6" t="n">
        <v>3500</v>
      </c>
      <c r="J366" s="4" t="s">
        <v>741</v>
      </c>
      <c r="K366" s="7" t="n">
        <v>44879</v>
      </c>
      <c r="L366" s="8" t="n">
        <v>46704</v>
      </c>
      <c r="P366" s="9" t="n">
        <v>200000</v>
      </c>
      <c r="Q366" s="9" t="n">
        <f aca="false">P366</f>
        <v>200000</v>
      </c>
      <c r="S366" s="9" t="n">
        <v>201300</v>
      </c>
      <c r="T366" s="9" t="n">
        <f aca="false">S366</f>
        <v>201300</v>
      </c>
      <c r="U366" s="9" t="n">
        <v>201300</v>
      </c>
      <c r="V366" s="9" t="n">
        <f aca="false">U366</f>
        <v>201300</v>
      </c>
      <c r="W366" s="45" t="n">
        <f aca="false">U366/G366</f>
        <v>57.5142857142857</v>
      </c>
      <c r="X366" s="41" t="n">
        <f aca="false">SUM(U366-S366)/S366</f>
        <v>0</v>
      </c>
      <c r="Y366" s="9" t="s">
        <v>60</v>
      </c>
      <c r="Z366" s="42"/>
      <c r="AA366" s="526"/>
      <c r="AB366" s="5" t="s">
        <v>43</v>
      </c>
      <c r="AF366" s="59"/>
      <c r="AJ366" s="525" t="s">
        <v>1103</v>
      </c>
    </row>
    <row r="367" customFormat="false" ht="15" hidden="false" customHeight="false" outlineLevel="0" collapsed="false">
      <c r="A367" s="11" t="s">
        <v>37</v>
      </c>
      <c r="B367" s="11" t="s">
        <v>38</v>
      </c>
      <c r="C367" s="29" t="n">
        <v>100650</v>
      </c>
      <c r="D367" s="4" t="s">
        <v>694</v>
      </c>
      <c r="E367" s="4" t="s">
        <v>742</v>
      </c>
      <c r="F367" s="5" t="s">
        <v>40</v>
      </c>
      <c r="G367" s="6" t="n">
        <v>416</v>
      </c>
      <c r="H367" s="6" t="n">
        <f aca="false">G367</f>
        <v>416</v>
      </c>
      <c r="I367" s="6" t="n">
        <v>500</v>
      </c>
      <c r="J367" s="4" t="s">
        <v>741</v>
      </c>
      <c r="K367" s="7" t="n">
        <v>45701</v>
      </c>
      <c r="L367" s="8" t="n">
        <v>46704</v>
      </c>
      <c r="P367" s="9" t="n">
        <v>15000</v>
      </c>
      <c r="Q367" s="9" t="n">
        <f aca="false">P367</f>
        <v>15000</v>
      </c>
      <c r="S367" s="9" t="n">
        <v>23900</v>
      </c>
      <c r="T367" s="9" t="n">
        <f aca="false">S367</f>
        <v>23900</v>
      </c>
      <c r="U367" s="9" t="n">
        <v>23900</v>
      </c>
      <c r="V367" s="9" t="n">
        <f aca="false">U367</f>
        <v>23900</v>
      </c>
      <c r="W367" s="45" t="n">
        <f aca="false">U367/G367</f>
        <v>57.4519230769231</v>
      </c>
      <c r="X367" s="41" t="n">
        <f aca="false">SUM(U367-S367)/S367</f>
        <v>0</v>
      </c>
      <c r="Y367" s="9" t="s">
        <v>127</v>
      </c>
      <c r="Z367" s="42"/>
      <c r="AA367" s="526"/>
      <c r="AB367" s="5" t="s">
        <v>43</v>
      </c>
      <c r="AC367" s="4" t="s">
        <v>743</v>
      </c>
      <c r="AF367" s="59"/>
      <c r="AJ367" s="525" t="s">
        <v>1103</v>
      </c>
    </row>
    <row r="368" customFormat="false" ht="15" hidden="false" customHeight="false" outlineLevel="0" collapsed="false">
      <c r="A368" s="11" t="s">
        <v>37</v>
      </c>
      <c r="B368" s="11" t="s">
        <v>38</v>
      </c>
      <c r="C368" s="29" t="n">
        <v>100650</v>
      </c>
      <c r="D368" s="4" t="s">
        <v>694</v>
      </c>
      <c r="E368" s="4" t="s">
        <v>744</v>
      </c>
      <c r="F368" s="5" t="s">
        <v>309</v>
      </c>
      <c r="G368" s="6" t="n">
        <v>1400</v>
      </c>
      <c r="H368" s="6" t="n">
        <f aca="false">G368</f>
        <v>1400</v>
      </c>
      <c r="I368" s="6" t="n">
        <v>1500</v>
      </c>
      <c r="J368" s="4" t="s">
        <v>745</v>
      </c>
      <c r="K368" s="7" t="n">
        <v>45359</v>
      </c>
      <c r="L368" s="8" t="n">
        <v>46088</v>
      </c>
      <c r="P368" s="9" t="n">
        <v>81900</v>
      </c>
      <c r="Q368" s="9" t="n">
        <f aca="false">P368</f>
        <v>81900</v>
      </c>
      <c r="S368" s="9" t="n">
        <v>80500</v>
      </c>
      <c r="T368" s="9" t="n">
        <f aca="false">S368</f>
        <v>80500</v>
      </c>
      <c r="U368" s="9" t="n">
        <v>80500</v>
      </c>
      <c r="V368" s="9" t="n">
        <f aca="false">U368</f>
        <v>80500</v>
      </c>
      <c r="W368" s="45" t="n">
        <f aca="false">U368/G368</f>
        <v>57.5</v>
      </c>
      <c r="X368" s="41" t="n">
        <f aca="false">SUM(U368-S368)/S368</f>
        <v>0</v>
      </c>
      <c r="Y368" s="9" t="s">
        <v>127</v>
      </c>
      <c r="Z368" s="42"/>
      <c r="AA368" s="526"/>
      <c r="AB368" s="5" t="s">
        <v>43</v>
      </c>
      <c r="AF368" s="59"/>
      <c r="AJ368" s="525" t="s">
        <v>1103</v>
      </c>
    </row>
    <row r="369" customFormat="false" ht="15" hidden="false" customHeight="false" outlineLevel="0" collapsed="false">
      <c r="A369" s="11" t="s">
        <v>37</v>
      </c>
      <c r="B369" s="11" t="s">
        <v>38</v>
      </c>
      <c r="C369" s="29" t="n">
        <v>100650</v>
      </c>
      <c r="D369" s="4" t="s">
        <v>694</v>
      </c>
      <c r="E369" s="4" t="s">
        <v>746</v>
      </c>
      <c r="F369" s="5" t="s">
        <v>309</v>
      </c>
      <c r="G369" s="6" t="n">
        <v>1277</v>
      </c>
      <c r="H369" s="6" t="n">
        <f aca="false">G369</f>
        <v>1277</v>
      </c>
      <c r="I369" s="6" t="n">
        <v>750</v>
      </c>
      <c r="J369" s="4" t="s">
        <v>607</v>
      </c>
      <c r="K369" s="7" t="n">
        <v>45714</v>
      </c>
      <c r="L369" s="8" t="n">
        <v>46088</v>
      </c>
      <c r="P369" s="9" t="n">
        <v>95395</v>
      </c>
      <c r="Q369" s="9" t="n">
        <f aca="false">P369</f>
        <v>95395</v>
      </c>
      <c r="S369" s="9" t="n">
        <v>73400</v>
      </c>
      <c r="T369" s="9" t="n">
        <f aca="false">S369</f>
        <v>73400</v>
      </c>
      <c r="U369" s="9" t="n">
        <v>73400</v>
      </c>
      <c r="V369" s="9" t="n">
        <f aca="false">U369</f>
        <v>73400</v>
      </c>
      <c r="W369" s="45" t="n">
        <f aca="false">U369/G369</f>
        <v>57.4784651527016</v>
      </c>
      <c r="X369" s="41" t="n">
        <f aca="false">SUM(U369-S369)/S369</f>
        <v>0</v>
      </c>
      <c r="Y369" s="9" t="s">
        <v>127</v>
      </c>
      <c r="Z369" s="42"/>
      <c r="AA369" s="526"/>
      <c r="AB369" s="5" t="s">
        <v>43</v>
      </c>
      <c r="AC369" s="4" t="s">
        <v>747</v>
      </c>
      <c r="AE369" s="4" t="n">
        <v>1</v>
      </c>
      <c r="AF369" s="59" t="n">
        <v>3</v>
      </c>
      <c r="AG369" s="4" t="s">
        <v>57</v>
      </c>
      <c r="AJ369" s="525" t="s">
        <v>1103</v>
      </c>
    </row>
    <row r="370" customFormat="false" ht="19.4" hidden="false" customHeight="false" outlineLevel="0" collapsed="false">
      <c r="A370" s="11" t="s">
        <v>37</v>
      </c>
      <c r="B370" s="11" t="s">
        <v>38</v>
      </c>
      <c r="C370" s="29" t="n">
        <v>100650</v>
      </c>
      <c r="D370" s="4" t="s">
        <v>694</v>
      </c>
      <c r="E370" s="4" t="s">
        <v>748</v>
      </c>
      <c r="F370" s="5" t="s">
        <v>749</v>
      </c>
      <c r="G370" s="6" t="n">
        <v>0</v>
      </c>
      <c r="H370" s="6" t="n">
        <f aca="false">G370</f>
        <v>0</v>
      </c>
      <c r="J370" s="4" t="s">
        <v>169</v>
      </c>
      <c r="K370" s="7" t="n">
        <v>39295</v>
      </c>
      <c r="L370" s="8" t="n">
        <v>46599</v>
      </c>
      <c r="N370" s="8" t="n">
        <v>44409</v>
      </c>
      <c r="P370" s="9" t="n">
        <v>681</v>
      </c>
      <c r="Q370" s="9" t="n">
        <f aca="false">P370</f>
        <v>681</v>
      </c>
      <c r="S370" s="9" t="n">
        <v>700</v>
      </c>
      <c r="T370" s="9" t="n">
        <f aca="false">S370</f>
        <v>700</v>
      </c>
      <c r="U370" s="9" t="n">
        <v>700</v>
      </c>
      <c r="V370" s="9" t="n">
        <f aca="false">U370</f>
        <v>700</v>
      </c>
      <c r="W370" s="45"/>
      <c r="X370" s="41"/>
      <c r="Y370" s="9"/>
      <c r="Z370" s="42"/>
      <c r="AA370" s="526"/>
      <c r="AB370" s="5" t="s">
        <v>43</v>
      </c>
      <c r="AC370" s="4" t="s">
        <v>750</v>
      </c>
      <c r="AF370" s="59"/>
      <c r="AJ370" s="525" t="s">
        <v>1103</v>
      </c>
    </row>
    <row r="371" customFormat="false" ht="19.4" hidden="false" customHeight="false" outlineLevel="0" collapsed="false">
      <c r="A371" s="11" t="s">
        <v>37</v>
      </c>
      <c r="B371" s="11" t="s">
        <v>38</v>
      </c>
      <c r="C371" s="29" t="n">
        <v>100650</v>
      </c>
      <c r="D371" s="4" t="s">
        <v>694</v>
      </c>
      <c r="E371" s="4" t="s">
        <v>751</v>
      </c>
      <c r="F371" s="5" t="s">
        <v>749</v>
      </c>
      <c r="G371" s="6" t="n">
        <v>0</v>
      </c>
      <c r="H371" s="6" t="n">
        <f aca="false">G371</f>
        <v>0</v>
      </c>
      <c r="J371" s="4" t="s">
        <v>169</v>
      </c>
      <c r="K371" s="7" t="n">
        <v>39295</v>
      </c>
      <c r="L371" s="8" t="n">
        <v>46599</v>
      </c>
      <c r="N371" s="8" t="n">
        <v>44409</v>
      </c>
      <c r="P371" s="9" t="n">
        <v>681</v>
      </c>
      <c r="Q371" s="9" t="n">
        <f aca="false">P371</f>
        <v>681</v>
      </c>
      <c r="S371" s="9" t="n">
        <v>700</v>
      </c>
      <c r="T371" s="9" t="n">
        <f aca="false">S371</f>
        <v>700</v>
      </c>
      <c r="U371" s="9" t="n">
        <v>700</v>
      </c>
      <c r="V371" s="9" t="n">
        <f aca="false">U371</f>
        <v>700</v>
      </c>
      <c r="W371" s="45"/>
      <c r="X371" s="41"/>
      <c r="Y371" s="9"/>
      <c r="Z371" s="42"/>
      <c r="AA371" s="526"/>
      <c r="AB371" s="5" t="s">
        <v>43</v>
      </c>
      <c r="AC371" s="4" t="s">
        <v>750</v>
      </c>
      <c r="AF371" s="59"/>
      <c r="AJ371" s="525" t="s">
        <v>1103</v>
      </c>
    </row>
    <row r="372" customFormat="false" ht="15" hidden="false" customHeight="false" outlineLevel="0" collapsed="false">
      <c r="A372" s="11" t="s">
        <v>37</v>
      </c>
      <c r="B372" s="11" t="s">
        <v>38</v>
      </c>
      <c r="C372" s="29" t="n">
        <v>100680</v>
      </c>
      <c r="D372" s="4" t="s">
        <v>753</v>
      </c>
      <c r="E372" s="4" t="s">
        <v>754</v>
      </c>
      <c r="F372" s="5" t="s">
        <v>165</v>
      </c>
      <c r="G372" s="11" t="n">
        <v>0</v>
      </c>
      <c r="H372" s="6" t="n">
        <f aca="false">G372</f>
        <v>0</v>
      </c>
      <c r="J372" s="4" t="s">
        <v>755</v>
      </c>
      <c r="K372" s="7" t="n">
        <v>44736</v>
      </c>
      <c r="L372" s="8" t="n">
        <v>46657</v>
      </c>
      <c r="P372" s="9" t="n">
        <v>1000</v>
      </c>
      <c r="Q372" s="9" t="n">
        <f aca="false">P372</f>
        <v>1000</v>
      </c>
      <c r="S372" s="9" t="n">
        <v>1000</v>
      </c>
      <c r="T372" s="9" t="n">
        <f aca="false">S372</f>
        <v>1000</v>
      </c>
      <c r="U372" s="9" t="n">
        <v>0</v>
      </c>
      <c r="V372" s="9" t="n">
        <f aca="false">U372</f>
        <v>0</v>
      </c>
      <c r="W372" s="45"/>
      <c r="X372" s="41"/>
      <c r="Y372" s="9"/>
      <c r="Z372" s="42"/>
      <c r="AA372" s="524"/>
      <c r="AB372" s="5" t="s">
        <v>43</v>
      </c>
      <c r="AC372" s="4" t="s">
        <v>756</v>
      </c>
      <c r="AF372" s="59"/>
      <c r="AJ372" s="525" t="s">
        <v>1103</v>
      </c>
    </row>
    <row r="373" customFormat="false" ht="15" hidden="false" customHeight="false" outlineLevel="0" collapsed="false">
      <c r="A373" s="11" t="s">
        <v>37</v>
      </c>
      <c r="B373" s="11" t="s">
        <v>38</v>
      </c>
      <c r="C373" s="29" t="n">
        <v>100680</v>
      </c>
      <c r="D373" s="4" t="s">
        <v>753</v>
      </c>
      <c r="E373" s="4" t="s">
        <v>757</v>
      </c>
      <c r="F373" s="5" t="s">
        <v>529</v>
      </c>
      <c r="G373" s="6" t="n">
        <v>7079</v>
      </c>
      <c r="H373" s="6" t="n">
        <f aca="false">G373</f>
        <v>7079</v>
      </c>
      <c r="I373" s="6" t="n">
        <v>7000</v>
      </c>
      <c r="J373" s="4" t="s">
        <v>755</v>
      </c>
      <c r="K373" s="7" t="n">
        <v>41180</v>
      </c>
      <c r="L373" s="8" t="n">
        <v>46657</v>
      </c>
      <c r="P373" s="9" t="n">
        <v>425033</v>
      </c>
      <c r="Q373" s="9" t="n">
        <f aca="false">P373</f>
        <v>425033</v>
      </c>
      <c r="S373" s="9" t="n">
        <v>447350</v>
      </c>
      <c r="T373" s="9" t="n">
        <f aca="false">S373</f>
        <v>447350</v>
      </c>
      <c r="U373" s="9" t="n">
        <v>360100</v>
      </c>
      <c r="V373" s="9" t="n">
        <f aca="false">U373</f>
        <v>360100</v>
      </c>
      <c r="W373" s="45" t="n">
        <f aca="false">U373/G373</f>
        <v>50.8687667749682</v>
      </c>
      <c r="X373" s="41" t="n">
        <f aca="false">SUM(U373-S373)/S373</f>
        <v>-0.19503744271823</v>
      </c>
      <c r="Y373" s="9" t="s">
        <v>55</v>
      </c>
      <c r="Z373" s="42"/>
      <c r="AA373" s="526"/>
      <c r="AB373" s="5" t="s">
        <v>170</v>
      </c>
      <c r="AF373" s="59"/>
      <c r="AJ373" s="525" t="s">
        <v>1103</v>
      </c>
    </row>
    <row r="374" customFormat="false" ht="15" hidden="false" customHeight="false" outlineLevel="0" collapsed="false">
      <c r="A374" s="11" t="s">
        <v>37</v>
      </c>
      <c r="B374" s="11" t="s">
        <v>38</v>
      </c>
      <c r="C374" s="29" t="n">
        <v>100680</v>
      </c>
      <c r="D374" s="4" t="s">
        <v>753</v>
      </c>
      <c r="E374" s="4" t="s">
        <v>758</v>
      </c>
      <c r="F374" s="5" t="s">
        <v>165</v>
      </c>
      <c r="G374" s="6" t="n">
        <v>0</v>
      </c>
      <c r="H374" s="6" t="n">
        <f aca="false">G374</f>
        <v>0</v>
      </c>
      <c r="J374" s="4" t="s">
        <v>755</v>
      </c>
      <c r="K374" s="7" t="n">
        <v>42114</v>
      </c>
      <c r="L374" s="8" t="n">
        <v>46657</v>
      </c>
      <c r="P374" s="9" t="n">
        <v>22317</v>
      </c>
      <c r="Q374" s="9" t="n">
        <f aca="false">P374</f>
        <v>22317</v>
      </c>
      <c r="S374" s="9" t="n">
        <v>21000</v>
      </c>
      <c r="T374" s="9" t="n">
        <f aca="false">S374</f>
        <v>21000</v>
      </c>
      <c r="U374" s="9" t="n">
        <v>0</v>
      </c>
      <c r="V374" s="9" t="n">
        <f aca="false">U374</f>
        <v>0</v>
      </c>
      <c r="W374" s="45"/>
      <c r="X374" s="41"/>
      <c r="Y374" s="9"/>
      <c r="Z374" s="42"/>
      <c r="AA374" s="526"/>
      <c r="AB374" s="5" t="s">
        <v>43</v>
      </c>
      <c r="AF374" s="59"/>
      <c r="AJ374" s="525" t="s">
        <v>1103</v>
      </c>
    </row>
    <row r="375" customFormat="false" ht="15" hidden="false" customHeight="false" outlineLevel="0" collapsed="false">
      <c r="A375" s="11" t="s">
        <v>37</v>
      </c>
      <c r="B375" s="11" t="s">
        <v>38</v>
      </c>
      <c r="C375" s="29" t="n">
        <v>100680</v>
      </c>
      <c r="D375" s="4" t="s">
        <v>753</v>
      </c>
      <c r="E375" s="4" t="s">
        <v>759</v>
      </c>
      <c r="F375" s="11" t="s">
        <v>49</v>
      </c>
      <c r="G375" s="6" t="n">
        <v>3030</v>
      </c>
      <c r="H375" s="6" t="n">
        <f aca="false">G375</f>
        <v>3030</v>
      </c>
      <c r="I375" s="6" t="n">
        <v>3000</v>
      </c>
      <c r="J375" s="4" t="s">
        <v>760</v>
      </c>
      <c r="K375" s="7" t="n">
        <v>45711</v>
      </c>
      <c r="L375" s="8" t="n">
        <v>49362</v>
      </c>
      <c r="P375" s="98" t="n">
        <v>500000</v>
      </c>
      <c r="Q375" s="9" t="n">
        <f aca="false">P375</f>
        <v>500000</v>
      </c>
      <c r="S375" s="9" t="n">
        <v>393300</v>
      </c>
      <c r="T375" s="9" t="n">
        <f aca="false">S375</f>
        <v>393300</v>
      </c>
      <c r="U375" s="9" t="n">
        <v>500000</v>
      </c>
      <c r="V375" s="9" t="n">
        <f aca="false">U375</f>
        <v>500000</v>
      </c>
      <c r="W375" s="45" t="n">
        <f aca="false">U375/G375</f>
        <v>165.016501650165</v>
      </c>
      <c r="X375" s="41" t="n">
        <f aca="false">SUM(U375-S375)/S375</f>
        <v>0.271294177472667</v>
      </c>
      <c r="Y375" s="9" t="s">
        <v>42</v>
      </c>
      <c r="Z375" s="42"/>
      <c r="AA375" s="526"/>
      <c r="AB375" s="5" t="s">
        <v>43</v>
      </c>
      <c r="AC375" s="4" t="s">
        <v>77</v>
      </c>
      <c r="AD375" s="15"/>
      <c r="AE375" s="4"/>
      <c r="AF375" s="59"/>
      <c r="AG375" s="4"/>
      <c r="AJ375" s="525" t="s">
        <v>1103</v>
      </c>
    </row>
    <row r="376" customFormat="false" ht="15" hidden="false" customHeight="false" outlineLevel="0" collapsed="false">
      <c r="A376" s="11" t="s">
        <v>37</v>
      </c>
      <c r="B376" s="11" t="s">
        <v>38</v>
      </c>
      <c r="C376" s="29" t="n">
        <v>100680</v>
      </c>
      <c r="D376" s="4" t="s">
        <v>753</v>
      </c>
      <c r="E376" s="4" t="s">
        <v>761</v>
      </c>
      <c r="F376" s="5" t="s">
        <v>49</v>
      </c>
      <c r="G376" s="6" t="n">
        <v>1296</v>
      </c>
      <c r="H376" s="6" t="n">
        <f aca="false">G376</f>
        <v>1296</v>
      </c>
      <c r="I376" s="6" t="n">
        <v>1250</v>
      </c>
      <c r="J376" s="4" t="s">
        <v>762</v>
      </c>
      <c r="K376" s="7" t="n">
        <v>44908</v>
      </c>
      <c r="L376" s="8" t="n">
        <v>46003</v>
      </c>
      <c r="P376" s="9" t="n">
        <v>295000</v>
      </c>
      <c r="Q376" s="9" t="n">
        <f aca="false">P376</f>
        <v>295000</v>
      </c>
      <c r="S376" s="9" t="n">
        <v>275300</v>
      </c>
      <c r="T376" s="9" t="n">
        <f aca="false">S376</f>
        <v>275300</v>
      </c>
      <c r="U376" s="9" t="n">
        <v>333100</v>
      </c>
      <c r="V376" s="9" t="n">
        <f aca="false">U376</f>
        <v>333100</v>
      </c>
      <c r="W376" s="45" t="n">
        <f aca="false">U376/G376</f>
        <v>257.021604938272</v>
      </c>
      <c r="X376" s="41" t="n">
        <f aca="false">SUM(U376-S376)/S376</f>
        <v>0.209952778786778</v>
      </c>
      <c r="Y376" s="9" t="s">
        <v>55</v>
      </c>
      <c r="Z376" s="42"/>
      <c r="AA376" s="526"/>
      <c r="AB376" s="5" t="s">
        <v>43</v>
      </c>
      <c r="AC376" s="4"/>
      <c r="AD376" s="15"/>
      <c r="AE376" s="4"/>
      <c r="AF376" s="59"/>
      <c r="AG376" s="4"/>
      <c r="AJ376" s="525" t="s">
        <v>1103</v>
      </c>
    </row>
    <row r="377" customFormat="false" ht="15" hidden="false" customHeight="false" outlineLevel="0" collapsed="false">
      <c r="A377" s="11" t="s">
        <v>37</v>
      </c>
      <c r="B377" s="11" t="s">
        <v>38</v>
      </c>
      <c r="C377" s="29" t="n">
        <v>100680</v>
      </c>
      <c r="D377" s="4" t="s">
        <v>753</v>
      </c>
      <c r="E377" s="4" t="s">
        <v>763</v>
      </c>
      <c r="F377" s="5" t="s">
        <v>49</v>
      </c>
      <c r="G377" s="6" t="n">
        <v>1690</v>
      </c>
      <c r="H377" s="6" t="n">
        <f aca="false">G377</f>
        <v>1690</v>
      </c>
      <c r="I377" s="6" t="n">
        <v>1500</v>
      </c>
      <c r="J377" s="4" t="s">
        <v>764</v>
      </c>
      <c r="K377" s="7" t="n">
        <v>42388</v>
      </c>
      <c r="L377" s="8" t="n">
        <v>46040</v>
      </c>
      <c r="P377" s="9" t="n">
        <v>500000</v>
      </c>
      <c r="Q377" s="9" t="n">
        <f aca="false">P377</f>
        <v>500000</v>
      </c>
      <c r="S377" s="9" t="n">
        <v>337700</v>
      </c>
      <c r="T377" s="9" t="n">
        <f aca="false">S377</f>
        <v>337700</v>
      </c>
      <c r="U377" s="9" t="n">
        <v>415900</v>
      </c>
      <c r="V377" s="9" t="n">
        <f aca="false">U377</f>
        <v>415900</v>
      </c>
      <c r="W377" s="45" t="n">
        <f aca="false">U377/G377</f>
        <v>246.094674556213</v>
      </c>
      <c r="X377" s="41" t="n">
        <f aca="false">SUM(U377-S377)/S377</f>
        <v>0.231566479123482</v>
      </c>
      <c r="Y377" s="9" t="s">
        <v>55</v>
      </c>
      <c r="Z377" s="42"/>
      <c r="AA377" s="526"/>
      <c r="AB377" s="5" t="s">
        <v>43</v>
      </c>
      <c r="AF377" s="59"/>
      <c r="AJ377" s="525" t="s">
        <v>1103</v>
      </c>
    </row>
    <row r="378" customFormat="false" ht="15" hidden="false" customHeight="false" outlineLevel="0" collapsed="false">
      <c r="A378" s="11" t="s">
        <v>37</v>
      </c>
      <c r="B378" s="11" t="s">
        <v>38</v>
      </c>
      <c r="C378" s="29" t="n">
        <v>100680</v>
      </c>
      <c r="D378" s="4" t="s">
        <v>753</v>
      </c>
      <c r="E378" s="4" t="s">
        <v>765</v>
      </c>
      <c r="F378" s="5" t="s">
        <v>49</v>
      </c>
      <c r="G378" s="6" t="n">
        <v>2304</v>
      </c>
      <c r="H378" s="6" t="n">
        <f aca="false">G378</f>
        <v>2304</v>
      </c>
      <c r="I378" s="6" t="n">
        <v>2250</v>
      </c>
      <c r="J378" s="4" t="s">
        <v>766</v>
      </c>
      <c r="K378" s="118" t="n">
        <v>45748</v>
      </c>
      <c r="P378" s="98" t="n">
        <v>255000</v>
      </c>
      <c r="Q378" s="9" t="n">
        <f aca="false">P378</f>
        <v>255000</v>
      </c>
      <c r="S378" s="9" t="n">
        <v>371300</v>
      </c>
      <c r="T378" s="9" t="n">
        <f aca="false">S378</f>
        <v>371300</v>
      </c>
      <c r="U378" s="9" t="n">
        <v>426800</v>
      </c>
      <c r="V378" s="9" t="n">
        <f aca="false">U378</f>
        <v>426800</v>
      </c>
      <c r="W378" s="45" t="n">
        <f aca="false">U378/G378</f>
        <v>185.243055555556</v>
      </c>
      <c r="X378" s="41" t="n">
        <f aca="false">SUM(U378-S378)/S378</f>
        <v>0.149474818206302</v>
      </c>
      <c r="Y378" s="9" t="s">
        <v>42</v>
      </c>
      <c r="Z378" s="42"/>
      <c r="AA378" s="526"/>
      <c r="AB378" s="5" t="s">
        <v>43</v>
      </c>
      <c r="AC378" s="60" t="s">
        <v>767</v>
      </c>
      <c r="AF378" s="59"/>
      <c r="AJ378" s="525" t="s">
        <v>1103</v>
      </c>
    </row>
    <row r="379" customFormat="false" ht="15" hidden="false" customHeight="false" outlineLevel="0" collapsed="false">
      <c r="A379" s="11" t="s">
        <v>37</v>
      </c>
      <c r="B379" s="11" t="s">
        <v>38</v>
      </c>
      <c r="C379" s="29" t="n">
        <v>100680</v>
      </c>
      <c r="D379" s="4" t="s">
        <v>753</v>
      </c>
      <c r="E379" s="4" t="s">
        <v>768</v>
      </c>
      <c r="F379" s="5" t="s">
        <v>40</v>
      </c>
      <c r="G379" s="6" t="n">
        <v>7519</v>
      </c>
      <c r="H379" s="6" t="n">
        <f aca="false">G379</f>
        <v>7519</v>
      </c>
      <c r="I379" s="6" t="n">
        <v>7500</v>
      </c>
      <c r="J379" s="4" t="s">
        <v>769</v>
      </c>
      <c r="K379" s="7" t="n">
        <v>45231</v>
      </c>
      <c r="L379" s="8" t="n">
        <v>45961</v>
      </c>
      <c r="P379" s="9" t="n">
        <v>450600</v>
      </c>
      <c r="Q379" s="9" t="n">
        <f aca="false">P379</f>
        <v>450600</v>
      </c>
      <c r="R379" s="146"/>
      <c r="S379" s="9" t="n">
        <v>489500</v>
      </c>
      <c r="T379" s="9" t="n">
        <f aca="false">S379</f>
        <v>489500</v>
      </c>
      <c r="U379" s="9" t="n">
        <v>469900</v>
      </c>
      <c r="V379" s="9" t="n">
        <f aca="false">U379</f>
        <v>469900</v>
      </c>
      <c r="W379" s="45" t="n">
        <f aca="false">U379/G379</f>
        <v>62.4950126346589</v>
      </c>
      <c r="X379" s="41" t="n">
        <f aca="false">SUM(U379-S379)/S379</f>
        <v>-0.0400408580183861</v>
      </c>
      <c r="Y379" s="9" t="s">
        <v>60</v>
      </c>
      <c r="Z379" s="42"/>
      <c r="AA379" s="526"/>
      <c r="AB379" s="5" t="s">
        <v>43</v>
      </c>
      <c r="AC379" s="4"/>
      <c r="AD379" s="15"/>
      <c r="AE379" s="4"/>
      <c r="AF379" s="59"/>
      <c r="AG379" s="4"/>
      <c r="AJ379" s="525" t="s">
        <v>1103</v>
      </c>
    </row>
    <row r="380" customFormat="false" ht="28.35" hidden="false" customHeight="false" outlineLevel="0" collapsed="false">
      <c r="A380" s="11" t="s">
        <v>37</v>
      </c>
      <c r="B380" s="11" t="s">
        <v>38</v>
      </c>
      <c r="C380" s="29" t="n">
        <v>100680</v>
      </c>
      <c r="D380" s="4" t="s">
        <v>753</v>
      </c>
      <c r="E380" s="4" t="s">
        <v>89</v>
      </c>
      <c r="F380" s="5" t="s">
        <v>40</v>
      </c>
      <c r="G380" s="6" t="n">
        <v>6890</v>
      </c>
      <c r="H380" s="6" t="n">
        <f aca="false">G380</f>
        <v>6890</v>
      </c>
      <c r="I380" s="6" t="n">
        <v>7000</v>
      </c>
      <c r="J380" s="4" t="s">
        <v>770</v>
      </c>
      <c r="K380" s="7" t="n">
        <v>45672</v>
      </c>
      <c r="L380" s="8" t="n">
        <v>46766</v>
      </c>
      <c r="O380" s="8" t="n">
        <v>46218</v>
      </c>
      <c r="P380" s="9" t="n">
        <v>241776</v>
      </c>
      <c r="Q380" s="9" t="n">
        <f aca="false">P380</f>
        <v>241776</v>
      </c>
      <c r="R380" s="75"/>
      <c r="S380" s="9" t="n">
        <v>438000</v>
      </c>
      <c r="T380" s="9" t="n">
        <f aca="false">S380</f>
        <v>438000</v>
      </c>
      <c r="U380" s="9" t="n">
        <v>430600</v>
      </c>
      <c r="V380" s="9" t="n">
        <f aca="false">U380</f>
        <v>430600</v>
      </c>
      <c r="W380" s="45" t="n">
        <f aca="false">U380/G380</f>
        <v>62.4963715529753</v>
      </c>
      <c r="X380" s="41" t="n">
        <f aca="false">SUM(U380-S380)/S380</f>
        <v>-0.0168949771689498</v>
      </c>
      <c r="Y380" s="9" t="s">
        <v>55</v>
      </c>
      <c r="Z380" s="42"/>
      <c r="AA380" s="526"/>
      <c r="AB380" s="5" t="s">
        <v>43</v>
      </c>
      <c r="AC380" s="4" t="s">
        <v>771</v>
      </c>
      <c r="AF380" s="59"/>
      <c r="AJ380" s="525" t="s">
        <v>1103</v>
      </c>
    </row>
    <row r="381" customFormat="false" ht="28.35" hidden="false" customHeight="false" outlineLevel="0" collapsed="false">
      <c r="A381" s="11" t="s">
        <v>37</v>
      </c>
      <c r="B381" s="11" t="s">
        <v>38</v>
      </c>
      <c r="C381" s="29" t="n">
        <v>100680</v>
      </c>
      <c r="D381" s="4" t="s">
        <v>753</v>
      </c>
      <c r="E381" s="4" t="s">
        <v>93</v>
      </c>
      <c r="F381" s="5" t="s">
        <v>40</v>
      </c>
      <c r="G381" s="6" t="n">
        <v>6973</v>
      </c>
      <c r="H381" s="6" t="n">
        <f aca="false">G381</f>
        <v>6973</v>
      </c>
      <c r="I381" s="6" t="n">
        <v>7000</v>
      </c>
      <c r="J381" s="4" t="s">
        <v>770</v>
      </c>
      <c r="K381" s="7" t="n">
        <v>45672</v>
      </c>
      <c r="L381" s="8" t="n">
        <v>46766</v>
      </c>
      <c r="O381" s="8" t="n">
        <v>46218</v>
      </c>
      <c r="P381" s="9" t="n">
        <v>242259</v>
      </c>
      <c r="Q381" s="9" t="n">
        <f aca="false">P381</f>
        <v>242259</v>
      </c>
      <c r="R381" s="75"/>
      <c r="S381" s="9" t="n">
        <v>438900</v>
      </c>
      <c r="T381" s="9" t="n">
        <f aca="false">S381</f>
        <v>438900</v>
      </c>
      <c r="U381" s="9" t="n">
        <v>435800</v>
      </c>
      <c r="V381" s="9" t="n">
        <f aca="false">U381</f>
        <v>435800</v>
      </c>
      <c r="W381" s="45" t="n">
        <f aca="false">U381/G381</f>
        <v>62.4982073712893</v>
      </c>
      <c r="X381" s="41" t="n">
        <f aca="false">SUM(U381-S381)/S381</f>
        <v>-0.00706311232627022</v>
      </c>
      <c r="Y381" s="9" t="s">
        <v>55</v>
      </c>
      <c r="Z381" s="42"/>
      <c r="AA381" s="526"/>
      <c r="AB381" s="5" t="s">
        <v>43</v>
      </c>
      <c r="AC381" s="4" t="s">
        <v>772</v>
      </c>
      <c r="AF381" s="59"/>
      <c r="AJ381" s="525" t="s">
        <v>1103</v>
      </c>
    </row>
    <row r="382" customFormat="false" ht="15" hidden="false" customHeight="false" outlineLevel="0" collapsed="false">
      <c r="A382" s="11" t="s">
        <v>37</v>
      </c>
      <c r="B382" s="11" t="s">
        <v>38</v>
      </c>
      <c r="C382" s="29" t="n">
        <v>100680</v>
      </c>
      <c r="D382" s="4" t="s">
        <v>753</v>
      </c>
      <c r="E382" s="4" t="s">
        <v>94</v>
      </c>
      <c r="F382" s="5" t="s">
        <v>40</v>
      </c>
      <c r="G382" s="6" t="n">
        <v>6999</v>
      </c>
      <c r="H382" s="6" t="n">
        <f aca="false">G382</f>
        <v>6999</v>
      </c>
      <c r="I382" s="6" t="n">
        <v>7000</v>
      </c>
      <c r="J382" s="4" t="s">
        <v>67</v>
      </c>
      <c r="M382" s="8" t="n">
        <v>45673</v>
      </c>
      <c r="P382" s="9" t="n">
        <v>0</v>
      </c>
      <c r="Q382" s="9" t="n">
        <f aca="false">P382</f>
        <v>0</v>
      </c>
      <c r="R382" s="75"/>
      <c r="S382" s="9" t="n">
        <v>448100</v>
      </c>
      <c r="T382" s="9" t="n">
        <f aca="false">S382</f>
        <v>448100</v>
      </c>
      <c r="U382" s="9" t="n">
        <v>437400</v>
      </c>
      <c r="V382" s="9" t="n">
        <f aca="false">U382</f>
        <v>437400</v>
      </c>
      <c r="W382" s="45" t="n">
        <f aca="false">U382/G382</f>
        <v>62.4946420917274</v>
      </c>
      <c r="X382" s="41" t="n">
        <f aca="false">SUM(U382-S382)/S382</f>
        <v>-0.0238785985271145</v>
      </c>
      <c r="Y382" s="9" t="s">
        <v>60</v>
      </c>
      <c r="Z382" s="42"/>
      <c r="AA382" s="526"/>
      <c r="AB382" s="5" t="s">
        <v>43</v>
      </c>
      <c r="AC382" s="4" t="s">
        <v>773</v>
      </c>
      <c r="AE382" s="4" t="n">
        <v>2</v>
      </c>
      <c r="AF382" s="59" t="n">
        <v>9</v>
      </c>
      <c r="AG382" s="4" t="s">
        <v>57</v>
      </c>
      <c r="AJ382" s="525" t="s">
        <v>1104</v>
      </c>
    </row>
    <row r="383" customFormat="false" ht="28.35" hidden="false" customHeight="false" outlineLevel="0" collapsed="false">
      <c r="A383" s="11" t="s">
        <v>37</v>
      </c>
      <c r="B383" s="11" t="s">
        <v>38</v>
      </c>
      <c r="C383" s="29" t="n">
        <v>100680</v>
      </c>
      <c r="D383" s="4" t="s">
        <v>753</v>
      </c>
      <c r="E383" s="4" t="s">
        <v>118</v>
      </c>
      <c r="F383" s="5" t="s">
        <v>40</v>
      </c>
      <c r="G383" s="6" t="n">
        <v>7007</v>
      </c>
      <c r="H383" s="6" t="n">
        <f aca="false">G383</f>
        <v>7007</v>
      </c>
      <c r="I383" s="6" t="n">
        <v>7000</v>
      </c>
      <c r="J383" s="4" t="s">
        <v>770</v>
      </c>
      <c r="K383" s="7" t="n">
        <v>45672</v>
      </c>
      <c r="L383" s="8" t="n">
        <v>46766</v>
      </c>
      <c r="O383" s="8" t="n">
        <v>46218</v>
      </c>
      <c r="P383" s="9" t="n">
        <v>252885</v>
      </c>
      <c r="Q383" s="9" t="n">
        <f aca="false">P383</f>
        <v>252885</v>
      </c>
      <c r="R383" s="75"/>
      <c r="S383" s="9" t="n">
        <v>458100</v>
      </c>
      <c r="T383" s="9" t="n">
        <f aca="false">S383</f>
        <v>458100</v>
      </c>
      <c r="U383" s="9" t="n">
        <v>437900</v>
      </c>
      <c r="V383" s="9" t="n">
        <f aca="false">U383</f>
        <v>437900</v>
      </c>
      <c r="W383" s="45" t="n">
        <f aca="false">U383/G383</f>
        <v>62.4946482089339</v>
      </c>
      <c r="X383" s="41" t="n">
        <f aca="false">SUM(U383-S383)/S383</f>
        <v>-0.0440951757258241</v>
      </c>
      <c r="Y383" s="9" t="s">
        <v>55</v>
      </c>
      <c r="Z383" s="42"/>
      <c r="AA383" s="526"/>
      <c r="AB383" s="5" t="s">
        <v>43</v>
      </c>
      <c r="AC383" s="4" t="s">
        <v>774</v>
      </c>
      <c r="AF383" s="59"/>
      <c r="AJ383" s="525" t="s">
        <v>1103</v>
      </c>
    </row>
    <row r="384" customFormat="false" ht="28.35" hidden="false" customHeight="false" outlineLevel="0" collapsed="false">
      <c r="A384" s="11" t="s">
        <v>37</v>
      </c>
      <c r="B384" s="11" t="s">
        <v>38</v>
      </c>
      <c r="C384" s="29" t="n">
        <v>100680</v>
      </c>
      <c r="D384" s="4" t="s">
        <v>753</v>
      </c>
      <c r="E384" s="4" t="s">
        <v>180</v>
      </c>
      <c r="F384" s="5" t="s">
        <v>40</v>
      </c>
      <c r="G384" s="6" t="n">
        <v>6662</v>
      </c>
      <c r="H384" s="6" t="n">
        <f aca="false">G384</f>
        <v>6662</v>
      </c>
      <c r="I384" s="6" t="n">
        <v>6500</v>
      </c>
      <c r="J384" s="4" t="s">
        <v>770</v>
      </c>
      <c r="K384" s="7" t="n">
        <v>45672</v>
      </c>
      <c r="L384" s="8" t="n">
        <v>46766</v>
      </c>
      <c r="O384" s="8" t="n">
        <v>46218</v>
      </c>
      <c r="P384" s="9" t="n">
        <v>252394</v>
      </c>
      <c r="Q384" s="9" t="n">
        <f aca="false">P384</f>
        <v>252394</v>
      </c>
      <c r="R384" s="75"/>
      <c r="S384" s="9" t="n">
        <v>434600</v>
      </c>
      <c r="T384" s="9" t="n">
        <f aca="false">S384</f>
        <v>434600</v>
      </c>
      <c r="U384" s="9" t="n">
        <v>416400</v>
      </c>
      <c r="V384" s="9" t="n">
        <f aca="false">U384</f>
        <v>416400</v>
      </c>
      <c r="W384" s="45" t="n">
        <f aca="false">U384/G384</f>
        <v>62.5037526268388</v>
      </c>
      <c r="X384" s="41" t="n">
        <f aca="false">SUM(U384-S384)/S384</f>
        <v>-0.0418775885872066</v>
      </c>
      <c r="Y384" s="9" t="s">
        <v>55</v>
      </c>
      <c r="Z384" s="42"/>
      <c r="AA384" s="526"/>
      <c r="AB384" s="5" t="s">
        <v>43</v>
      </c>
      <c r="AC384" s="4" t="s">
        <v>775</v>
      </c>
      <c r="AF384" s="59"/>
      <c r="AJ384" s="525" t="s">
        <v>1103</v>
      </c>
    </row>
    <row r="385" customFormat="false" ht="15" hidden="false" customHeight="false" outlineLevel="0" collapsed="false">
      <c r="A385" s="11" t="s">
        <v>236</v>
      </c>
      <c r="B385" s="11" t="s">
        <v>38</v>
      </c>
      <c r="C385" s="29" t="n">
        <v>550030</v>
      </c>
      <c r="D385" s="4" t="s">
        <v>777</v>
      </c>
      <c r="E385" s="4" t="s">
        <v>592</v>
      </c>
      <c r="F385" s="5" t="s">
        <v>40</v>
      </c>
      <c r="G385" s="6" t="n">
        <v>825</v>
      </c>
      <c r="H385" s="9" t="n">
        <f aca="false">G385</f>
        <v>825</v>
      </c>
      <c r="I385" s="9" t="n">
        <v>1000</v>
      </c>
      <c r="J385" s="4" t="s">
        <v>67</v>
      </c>
      <c r="M385" s="8" t="n">
        <v>44709</v>
      </c>
      <c r="P385" s="9" t="n">
        <v>0</v>
      </c>
      <c r="Q385" s="9" t="n">
        <f aca="false">P385</f>
        <v>0</v>
      </c>
      <c r="S385" s="9" t="n">
        <v>27200</v>
      </c>
      <c r="T385" s="9" t="n">
        <f aca="false">S385</f>
        <v>27200</v>
      </c>
      <c r="U385" s="9" t="n">
        <v>33000</v>
      </c>
      <c r="V385" s="9" t="n">
        <f aca="false">U385</f>
        <v>33000</v>
      </c>
      <c r="W385" s="45" t="n">
        <f aca="false">U385/G385</f>
        <v>40</v>
      </c>
      <c r="X385" s="41" t="n">
        <f aca="false">SUM(U385-S385)/S385</f>
        <v>0.213235294117647</v>
      </c>
      <c r="Y385" s="9" t="s">
        <v>55</v>
      </c>
      <c r="Z385" s="42"/>
      <c r="AA385" s="526"/>
      <c r="AB385" s="5" t="s">
        <v>43</v>
      </c>
      <c r="AC385" s="4" t="s">
        <v>778</v>
      </c>
      <c r="AE385" s="4" t="n">
        <v>1</v>
      </c>
      <c r="AF385" s="59" t="n">
        <v>2</v>
      </c>
      <c r="AJ385" s="525" t="s">
        <v>1104</v>
      </c>
    </row>
    <row r="386" customFormat="false" ht="15" hidden="false" customHeight="false" outlineLevel="0" collapsed="false">
      <c r="A386" s="11" t="s">
        <v>236</v>
      </c>
      <c r="B386" s="11" t="s">
        <v>38</v>
      </c>
      <c r="C386" s="29" t="n">
        <v>550030</v>
      </c>
      <c r="D386" s="4" t="s">
        <v>777</v>
      </c>
      <c r="E386" s="4" t="s">
        <v>779</v>
      </c>
      <c r="F386" s="5" t="s">
        <v>780</v>
      </c>
      <c r="G386" s="6" t="n">
        <v>0</v>
      </c>
      <c r="H386" s="9" t="n">
        <f aca="false">G386</f>
        <v>0</v>
      </c>
      <c r="I386" s="9"/>
      <c r="J386" s="4" t="s">
        <v>781</v>
      </c>
      <c r="K386" s="7" t="n">
        <v>30310</v>
      </c>
      <c r="L386" s="147" t="n">
        <v>66469</v>
      </c>
      <c r="M386" s="147"/>
      <c r="N386" s="8" t="n">
        <v>54417</v>
      </c>
      <c r="P386" s="9" t="n">
        <v>150</v>
      </c>
      <c r="Q386" s="9" t="n">
        <f aca="false">P386</f>
        <v>150</v>
      </c>
      <c r="S386" s="9" t="n">
        <v>150</v>
      </c>
      <c r="T386" s="9" t="n">
        <f aca="false">S386</f>
        <v>150</v>
      </c>
      <c r="U386" s="9" t="n">
        <v>150</v>
      </c>
      <c r="V386" s="9" t="n">
        <f aca="false">U386</f>
        <v>150</v>
      </c>
      <c r="W386" s="45"/>
      <c r="X386" s="41"/>
      <c r="Y386" s="9"/>
      <c r="Z386" s="42"/>
      <c r="AA386" s="526"/>
      <c r="AB386" s="5"/>
      <c r="AC386" s="60" t="s">
        <v>782</v>
      </c>
      <c r="AF386" s="59"/>
      <c r="AJ386" s="525" t="s">
        <v>1103</v>
      </c>
    </row>
    <row r="387" customFormat="false" ht="15" hidden="false" customHeight="false" outlineLevel="0" collapsed="false">
      <c r="A387" s="11" t="s">
        <v>236</v>
      </c>
      <c r="B387" s="11" t="s">
        <v>38</v>
      </c>
      <c r="C387" s="29" t="n">
        <v>550030</v>
      </c>
      <c r="D387" s="4" t="s">
        <v>777</v>
      </c>
      <c r="E387" s="4" t="s">
        <v>783</v>
      </c>
      <c r="F387" s="5" t="s">
        <v>780</v>
      </c>
      <c r="G387" s="6" t="n">
        <v>0</v>
      </c>
      <c r="H387" s="9" t="n">
        <f aca="false">G387</f>
        <v>0</v>
      </c>
      <c r="I387" s="9"/>
      <c r="J387" s="4" t="s">
        <v>784</v>
      </c>
      <c r="K387" s="7" t="n">
        <v>30310</v>
      </c>
      <c r="L387" s="147" t="n">
        <v>66469</v>
      </c>
      <c r="M387" s="147"/>
      <c r="N387" s="8" t="n">
        <v>54417</v>
      </c>
      <c r="P387" s="9" t="n">
        <v>150</v>
      </c>
      <c r="Q387" s="9" t="n">
        <f aca="false">P387</f>
        <v>150</v>
      </c>
      <c r="S387" s="9" t="n">
        <v>150</v>
      </c>
      <c r="T387" s="9" t="n">
        <f aca="false">S387</f>
        <v>150</v>
      </c>
      <c r="U387" s="9" t="n">
        <v>150</v>
      </c>
      <c r="V387" s="9" t="n">
        <f aca="false">U387</f>
        <v>150</v>
      </c>
      <c r="W387" s="45"/>
      <c r="X387" s="41"/>
      <c r="Y387" s="9"/>
      <c r="Z387" s="42"/>
      <c r="AA387" s="526"/>
      <c r="AB387" s="5"/>
      <c r="AC387" s="60" t="s">
        <v>782</v>
      </c>
      <c r="AF387" s="59"/>
      <c r="AJ387" s="525" t="s">
        <v>1103</v>
      </c>
    </row>
    <row r="388" customFormat="false" ht="15" hidden="false" customHeight="false" outlineLevel="0" collapsed="false">
      <c r="A388" s="11" t="s">
        <v>236</v>
      </c>
      <c r="B388" s="11" t="s">
        <v>38</v>
      </c>
      <c r="C388" s="29" t="n">
        <v>550030</v>
      </c>
      <c r="D388" s="4" t="s">
        <v>777</v>
      </c>
      <c r="E388" s="4" t="s">
        <v>785</v>
      </c>
      <c r="F388" s="5" t="s">
        <v>780</v>
      </c>
      <c r="G388" s="6" t="n">
        <v>0</v>
      </c>
      <c r="H388" s="9" t="n">
        <f aca="false">G388</f>
        <v>0</v>
      </c>
      <c r="I388" s="9"/>
      <c r="J388" s="4" t="s">
        <v>786</v>
      </c>
      <c r="K388" s="7" t="n">
        <v>30310</v>
      </c>
      <c r="L388" s="147" t="n">
        <v>99340</v>
      </c>
      <c r="M388" s="147"/>
      <c r="P388" s="9" t="n">
        <v>0</v>
      </c>
      <c r="Q388" s="9" t="n">
        <f aca="false">P388</f>
        <v>0</v>
      </c>
      <c r="S388" s="9" t="n">
        <v>150</v>
      </c>
      <c r="T388" s="9" t="n">
        <f aca="false">S388</f>
        <v>150</v>
      </c>
      <c r="U388" s="9" t="n">
        <v>150</v>
      </c>
      <c r="V388" s="9" t="n">
        <f aca="false">U388</f>
        <v>150</v>
      </c>
      <c r="W388" s="45"/>
      <c r="X388" s="41"/>
      <c r="Y388" s="9"/>
      <c r="Z388" s="42"/>
      <c r="AA388" s="526"/>
      <c r="AB388" s="5"/>
      <c r="AC388" s="4" t="s">
        <v>787</v>
      </c>
      <c r="AF388" s="59"/>
      <c r="AJ388" s="525" t="s">
        <v>1103</v>
      </c>
    </row>
    <row r="389" customFormat="false" ht="15" hidden="false" customHeight="false" outlineLevel="0" collapsed="false">
      <c r="A389" s="11" t="s">
        <v>236</v>
      </c>
      <c r="B389" s="11" t="s">
        <v>38</v>
      </c>
      <c r="C389" s="29" t="n">
        <v>550030</v>
      </c>
      <c r="D389" s="4" t="s">
        <v>777</v>
      </c>
      <c r="E389" s="4" t="s">
        <v>788</v>
      </c>
      <c r="F389" s="5" t="s">
        <v>780</v>
      </c>
      <c r="G389" s="6" t="n">
        <v>0</v>
      </c>
      <c r="H389" s="9" t="n">
        <f aca="false">G389</f>
        <v>0</v>
      </c>
      <c r="I389" s="9"/>
      <c r="J389" s="4" t="s">
        <v>789</v>
      </c>
      <c r="K389" s="7" t="n">
        <v>30310</v>
      </c>
      <c r="L389" s="147" t="n">
        <v>66469</v>
      </c>
      <c r="M389" s="147"/>
      <c r="N389" s="8" t="n">
        <v>54417</v>
      </c>
      <c r="P389" s="9" t="n">
        <v>0</v>
      </c>
      <c r="Q389" s="9" t="n">
        <f aca="false">P389</f>
        <v>0</v>
      </c>
      <c r="S389" s="9" t="n">
        <v>150</v>
      </c>
      <c r="T389" s="9" t="n">
        <f aca="false">S389</f>
        <v>150</v>
      </c>
      <c r="U389" s="9" t="n">
        <v>150</v>
      </c>
      <c r="V389" s="9" t="n">
        <f aca="false">U389</f>
        <v>150</v>
      </c>
      <c r="W389" s="45"/>
      <c r="X389" s="41"/>
      <c r="Y389" s="9"/>
      <c r="Z389" s="42"/>
      <c r="AA389" s="526"/>
      <c r="AB389" s="5"/>
      <c r="AC389" s="4" t="s">
        <v>787</v>
      </c>
      <c r="AF389" s="59"/>
      <c r="AJ389" s="525" t="s">
        <v>1103</v>
      </c>
    </row>
    <row r="390" customFormat="false" ht="19.4" hidden="false" customHeight="false" outlineLevel="0" collapsed="false">
      <c r="A390" s="11" t="s">
        <v>236</v>
      </c>
      <c r="B390" s="11" t="s">
        <v>38</v>
      </c>
      <c r="C390" s="29" t="n">
        <v>550760</v>
      </c>
      <c r="D390" s="4" t="s">
        <v>790</v>
      </c>
      <c r="E390" s="4" t="s">
        <v>39</v>
      </c>
      <c r="F390" s="5" t="s">
        <v>791</v>
      </c>
      <c r="G390" s="43" t="n">
        <v>2085</v>
      </c>
      <c r="H390" s="9" t="n">
        <f aca="false">G390</f>
        <v>2085</v>
      </c>
      <c r="I390" s="9" t="n">
        <v>2000</v>
      </c>
      <c r="J390" s="4" t="s">
        <v>792</v>
      </c>
      <c r="K390" s="7" t="n">
        <v>45741</v>
      </c>
      <c r="L390" s="8" t="n">
        <v>46836</v>
      </c>
      <c r="O390" s="8" t="n">
        <v>46289</v>
      </c>
      <c r="P390" s="44" t="n">
        <v>90000</v>
      </c>
      <c r="Q390" s="9" t="n">
        <f aca="false">P390</f>
        <v>90000</v>
      </c>
      <c r="R390" s="44" t="n">
        <f aca="false">Q390</f>
        <v>90000</v>
      </c>
      <c r="S390" s="44" t="n">
        <v>80000</v>
      </c>
      <c r="T390" s="9" t="n">
        <f aca="false">S390</f>
        <v>80000</v>
      </c>
      <c r="U390" s="44" t="n">
        <v>79600</v>
      </c>
      <c r="V390" s="9" t="n">
        <f aca="false">U390</f>
        <v>79600</v>
      </c>
      <c r="W390" s="45" t="n">
        <f aca="false">U390/G390</f>
        <v>38.1774580335731</v>
      </c>
      <c r="X390" s="41" t="n">
        <f aca="false">SUM(U390-S390)/S390</f>
        <v>-0.005</v>
      </c>
      <c r="Y390" s="9" t="s">
        <v>60</v>
      </c>
      <c r="Z390" s="42"/>
      <c r="AA390" s="44" t="n">
        <v>1200000</v>
      </c>
      <c r="AB390" s="5" t="s">
        <v>43</v>
      </c>
      <c r="AC390" s="4" t="s">
        <v>793</v>
      </c>
      <c r="AF390" s="59"/>
      <c r="AJ390" s="525" t="s">
        <v>1103</v>
      </c>
    </row>
    <row r="391" customFormat="false" ht="15" hidden="false" customHeight="false" outlineLevel="0" collapsed="false">
      <c r="A391" s="11" t="s">
        <v>189</v>
      </c>
      <c r="B391" s="11" t="s">
        <v>796</v>
      </c>
      <c r="C391" s="172" t="n">
        <v>800200</v>
      </c>
      <c r="D391" s="172" t="s">
        <v>795</v>
      </c>
      <c r="E391" s="172" t="s">
        <v>39</v>
      </c>
      <c r="F391" s="173" t="s">
        <v>797</v>
      </c>
      <c r="G391" s="174" t="n">
        <v>3122</v>
      </c>
      <c r="H391" s="175" t="n">
        <f aca="false">G391</f>
        <v>3122</v>
      </c>
      <c r="I391" s="175" t="n">
        <v>3000</v>
      </c>
      <c r="J391" s="172" t="s">
        <v>798</v>
      </c>
      <c r="K391" s="176" t="n">
        <v>42580</v>
      </c>
      <c r="L391" s="176" t="n">
        <v>46231</v>
      </c>
      <c r="M391" s="176"/>
      <c r="N391" s="176" t="n">
        <v>44406</v>
      </c>
      <c r="O391" s="176"/>
      <c r="P391" s="174" t="n">
        <v>170000</v>
      </c>
      <c r="Q391" s="174" t="n">
        <f aca="false">P391</f>
        <v>170000</v>
      </c>
      <c r="R391" s="9"/>
      <c r="S391" s="174" t="n">
        <v>124100</v>
      </c>
      <c r="T391" s="175" t="n">
        <f aca="false">S391</f>
        <v>124100</v>
      </c>
      <c r="U391" s="174" t="n">
        <v>124100</v>
      </c>
      <c r="V391" s="175" t="n">
        <f aca="false">U391</f>
        <v>124100</v>
      </c>
      <c r="W391" s="45" t="n">
        <f aca="false">U391/G391</f>
        <v>39.7501601537476</v>
      </c>
      <c r="X391" s="41" t="n">
        <f aca="false">SUM(U391-S391)/S391</f>
        <v>0</v>
      </c>
      <c r="Y391" s="175" t="s">
        <v>127</v>
      </c>
      <c r="Z391" s="173"/>
      <c r="AA391" s="174" t="n">
        <v>1325000</v>
      </c>
      <c r="AB391" s="175" t="s">
        <v>43</v>
      </c>
      <c r="AC391" s="172"/>
      <c r="AD391" s="179"/>
      <c r="AE391" s="172"/>
      <c r="AF391" s="180"/>
      <c r="AG391" s="172"/>
      <c r="AI391" s="181"/>
      <c r="AJ391" s="525" t="s">
        <v>1103</v>
      </c>
    </row>
    <row r="392" customFormat="false" ht="19.4" hidden="false" customHeight="false" outlineLevel="0" collapsed="false">
      <c r="A392" s="11" t="s">
        <v>189</v>
      </c>
      <c r="B392" s="11" t="s">
        <v>796</v>
      </c>
      <c r="C392" s="172" t="n">
        <v>800100</v>
      </c>
      <c r="D392" s="172" t="s">
        <v>799</v>
      </c>
      <c r="E392" s="172" t="s">
        <v>264</v>
      </c>
      <c r="F392" s="173" t="s">
        <v>134</v>
      </c>
      <c r="G392" s="175" t="n">
        <v>4332</v>
      </c>
      <c r="H392" s="175" t="n">
        <f aca="false">G392</f>
        <v>4332</v>
      </c>
      <c r="I392" s="175" t="n">
        <v>4250</v>
      </c>
      <c r="J392" s="109" t="s">
        <v>433</v>
      </c>
      <c r="K392" s="176" t="n">
        <v>41789</v>
      </c>
      <c r="L392" s="176" t="n">
        <v>47267</v>
      </c>
      <c r="M392" s="176"/>
      <c r="N392" s="185" t="n">
        <v>45442</v>
      </c>
      <c r="O392" s="176"/>
      <c r="P392" s="175" t="n">
        <v>255000</v>
      </c>
      <c r="Q392" s="175" t="n">
        <f aca="false">P392</f>
        <v>255000</v>
      </c>
      <c r="R392" s="9"/>
      <c r="S392" s="175" t="n">
        <v>290500</v>
      </c>
      <c r="T392" s="175" t="n">
        <f aca="false">S392</f>
        <v>290500</v>
      </c>
      <c r="U392" s="175" t="n">
        <v>290500</v>
      </c>
      <c r="V392" s="175" t="n">
        <f aca="false">U392</f>
        <v>290500</v>
      </c>
      <c r="W392" s="45" t="n">
        <f aca="false">U392/G392</f>
        <v>67.0590951061865</v>
      </c>
      <c r="X392" s="41" t="n">
        <f aca="false">SUM(U392-S392)/S392</f>
        <v>0</v>
      </c>
      <c r="Y392" s="175" t="s">
        <v>55</v>
      </c>
      <c r="Z392" s="186" t="s">
        <v>26</v>
      </c>
      <c r="AA392" s="186"/>
      <c r="AB392" s="175" t="s">
        <v>43</v>
      </c>
      <c r="AC392" s="172" t="s">
        <v>800</v>
      </c>
      <c r="AD392" s="179"/>
      <c r="AE392" s="172"/>
      <c r="AF392" s="180"/>
      <c r="AG392" s="172"/>
      <c r="AI392" s="181"/>
      <c r="AJ392" s="525" t="s">
        <v>1103</v>
      </c>
    </row>
    <row r="393" customFormat="false" ht="15" hidden="false" customHeight="false" outlineLevel="0" collapsed="false">
      <c r="A393" s="11" t="s">
        <v>189</v>
      </c>
      <c r="B393" s="11" t="s">
        <v>796</v>
      </c>
      <c r="C393" s="172" t="n">
        <v>800100</v>
      </c>
      <c r="D393" s="172" t="s">
        <v>799</v>
      </c>
      <c r="E393" s="172" t="s">
        <v>89</v>
      </c>
      <c r="F393" s="173" t="s">
        <v>90</v>
      </c>
      <c r="G393" s="175" t="n">
        <v>1818</v>
      </c>
      <c r="H393" s="175" t="n">
        <f aca="false">G393</f>
        <v>1818</v>
      </c>
      <c r="I393" s="175" t="n">
        <v>2000</v>
      </c>
      <c r="J393" s="109" t="s">
        <v>801</v>
      </c>
      <c r="K393" s="176" t="n">
        <v>44280</v>
      </c>
      <c r="L393" s="176" t="n">
        <v>46105</v>
      </c>
      <c r="M393" s="176"/>
      <c r="N393" s="176"/>
      <c r="O393" s="176"/>
      <c r="P393" s="175" t="n">
        <v>83000</v>
      </c>
      <c r="Q393" s="175" t="n">
        <f aca="false">P393</f>
        <v>83000</v>
      </c>
      <c r="R393" s="9"/>
      <c r="S393" s="175" t="n">
        <v>111800</v>
      </c>
      <c r="T393" s="175" t="n">
        <f aca="false">S393</f>
        <v>111800</v>
      </c>
      <c r="U393" s="175" t="n">
        <v>118200</v>
      </c>
      <c r="V393" s="175" t="n">
        <f aca="false">U393</f>
        <v>118200</v>
      </c>
      <c r="W393" s="45" t="n">
        <f aca="false">U393/G393</f>
        <v>65.016501650165</v>
      </c>
      <c r="X393" s="41" t="n">
        <f aca="false">SUM(U393-S393)/S393</f>
        <v>0.0572450805008945</v>
      </c>
      <c r="Y393" s="175" t="s">
        <v>60</v>
      </c>
      <c r="Z393" s="186"/>
      <c r="AA393" s="186"/>
      <c r="AB393" s="175" t="s">
        <v>170</v>
      </c>
      <c r="AC393" s="172"/>
      <c r="AD393" s="179"/>
      <c r="AE393" s="172"/>
      <c r="AF393" s="180"/>
      <c r="AG393" s="172"/>
      <c r="AI393" s="181"/>
      <c r="AJ393" s="525" t="s">
        <v>1103</v>
      </c>
    </row>
    <row r="394" customFormat="false" ht="15" hidden="false" customHeight="false" outlineLevel="0" collapsed="false">
      <c r="A394" s="11" t="s">
        <v>189</v>
      </c>
      <c r="B394" s="11" t="s">
        <v>796</v>
      </c>
      <c r="C394" s="172" t="n">
        <v>800100</v>
      </c>
      <c r="D394" s="172" t="s">
        <v>799</v>
      </c>
      <c r="E394" s="172" t="s">
        <v>93</v>
      </c>
      <c r="F394" s="173" t="s">
        <v>90</v>
      </c>
      <c r="G394" s="175" t="n">
        <v>1829</v>
      </c>
      <c r="H394" s="175" t="n">
        <f aca="false">G394</f>
        <v>1829</v>
      </c>
      <c r="I394" s="175" t="n">
        <v>2000</v>
      </c>
      <c r="J394" s="109" t="s">
        <v>802</v>
      </c>
      <c r="K394" s="176" t="n">
        <v>45715</v>
      </c>
      <c r="L394" s="176" t="n">
        <v>47540</v>
      </c>
      <c r="M394" s="176"/>
      <c r="N394" s="176"/>
      <c r="O394" s="176" t="n">
        <v>46809</v>
      </c>
      <c r="P394" s="175" t="n">
        <v>120700</v>
      </c>
      <c r="Q394" s="175" t="n">
        <f aca="false">P394</f>
        <v>120700</v>
      </c>
      <c r="R394" s="9"/>
      <c r="S394" s="175" t="n">
        <v>112500</v>
      </c>
      <c r="T394" s="175" t="n">
        <f aca="false">S394</f>
        <v>112500</v>
      </c>
      <c r="U394" s="175" t="n">
        <v>118900</v>
      </c>
      <c r="V394" s="175" t="n">
        <f aca="false">U394</f>
        <v>118900</v>
      </c>
      <c r="W394" s="45" t="n">
        <f aca="false">U394/G394</f>
        <v>65.0082012028431</v>
      </c>
      <c r="X394" s="41" t="n">
        <f aca="false">SUM(U394-S394)/S394</f>
        <v>0.0568888888888889</v>
      </c>
      <c r="Y394" s="175" t="s">
        <v>60</v>
      </c>
      <c r="Z394" s="186"/>
      <c r="AA394" s="186"/>
      <c r="AB394" s="175" t="s">
        <v>43</v>
      </c>
      <c r="AC394" s="172" t="s">
        <v>562</v>
      </c>
      <c r="AD394" s="179"/>
      <c r="AE394" s="172"/>
      <c r="AF394" s="180"/>
      <c r="AG394" s="172"/>
      <c r="AI394" s="181"/>
      <c r="AJ394" s="525" t="s">
        <v>1103</v>
      </c>
    </row>
    <row r="395" customFormat="false" ht="19.4" hidden="false" customHeight="false" outlineLevel="0" collapsed="false">
      <c r="A395" s="11" t="s">
        <v>189</v>
      </c>
      <c r="B395" s="11" t="s">
        <v>796</v>
      </c>
      <c r="C395" s="172" t="n">
        <v>800100</v>
      </c>
      <c r="D395" s="172" t="s">
        <v>799</v>
      </c>
      <c r="E395" s="172" t="s">
        <v>94</v>
      </c>
      <c r="F395" s="173" t="s">
        <v>90</v>
      </c>
      <c r="G395" s="175" t="n">
        <v>1837</v>
      </c>
      <c r="H395" s="175" t="n">
        <f aca="false">G395</f>
        <v>1837</v>
      </c>
      <c r="I395" s="175" t="n">
        <v>2000</v>
      </c>
      <c r="J395" s="109" t="s">
        <v>803</v>
      </c>
      <c r="K395" s="176" t="n">
        <v>44900</v>
      </c>
      <c r="L395" s="176" t="n">
        <v>46725</v>
      </c>
      <c r="M395" s="176"/>
      <c r="N395" s="176"/>
      <c r="O395" s="176" t="n">
        <v>45995</v>
      </c>
      <c r="P395" s="175" t="n">
        <v>115731</v>
      </c>
      <c r="Q395" s="175" t="n">
        <f aca="false">P395</f>
        <v>115731</v>
      </c>
      <c r="R395" s="9"/>
      <c r="S395" s="175" t="n">
        <v>116600</v>
      </c>
      <c r="T395" s="175" t="n">
        <f aca="false">S395</f>
        <v>116600</v>
      </c>
      <c r="U395" s="175" t="n">
        <v>123100</v>
      </c>
      <c r="V395" s="175" t="n">
        <f aca="false">U395</f>
        <v>123100</v>
      </c>
      <c r="W395" s="45" t="n">
        <f aca="false">U395/G395</f>
        <v>67.0114316820904</v>
      </c>
      <c r="X395" s="41" t="n">
        <f aca="false">SUM(U395-S395)/S395</f>
        <v>0.055746140651801</v>
      </c>
      <c r="Y395" s="175" t="s">
        <v>42</v>
      </c>
      <c r="Z395" s="186"/>
      <c r="AA395" s="186"/>
      <c r="AB395" s="175" t="s">
        <v>43</v>
      </c>
      <c r="AC395" s="172" t="s">
        <v>804</v>
      </c>
      <c r="AD395" s="179"/>
      <c r="AE395" s="172"/>
      <c r="AF395" s="180"/>
      <c r="AG395" s="172"/>
      <c r="AI395" s="181"/>
      <c r="AJ395" s="525" t="s">
        <v>1103</v>
      </c>
    </row>
    <row r="396" customFormat="false" ht="15" hidden="false" customHeight="false" outlineLevel="0" collapsed="false">
      <c r="A396" s="11" t="s">
        <v>189</v>
      </c>
      <c r="B396" s="11" t="s">
        <v>796</v>
      </c>
      <c r="C396" s="172" t="n">
        <v>800100</v>
      </c>
      <c r="D396" s="172" t="s">
        <v>799</v>
      </c>
      <c r="E396" s="172" t="s">
        <v>118</v>
      </c>
      <c r="F396" s="173" t="s">
        <v>90</v>
      </c>
      <c r="G396" s="175" t="n">
        <v>1815</v>
      </c>
      <c r="H396" s="175" t="n">
        <f aca="false">G396</f>
        <v>1815</v>
      </c>
      <c r="I396" s="175" t="n">
        <v>2000</v>
      </c>
      <c r="J396" s="109" t="s">
        <v>805</v>
      </c>
      <c r="K396" s="176" t="n">
        <v>44627</v>
      </c>
      <c r="L396" s="176" t="n">
        <v>46452</v>
      </c>
      <c r="M396" s="176"/>
      <c r="N396" s="176"/>
      <c r="O396" s="176"/>
      <c r="P396" s="175" t="n">
        <v>149742</v>
      </c>
      <c r="Q396" s="175" t="n">
        <f aca="false">P396</f>
        <v>149742</v>
      </c>
      <c r="R396" s="9"/>
      <c r="S396" s="175" t="n">
        <v>115300</v>
      </c>
      <c r="T396" s="175" t="n">
        <f aca="false">S396</f>
        <v>115300</v>
      </c>
      <c r="U396" s="175" t="n">
        <v>121600</v>
      </c>
      <c r="V396" s="175" t="n">
        <f aca="false">U396</f>
        <v>121600</v>
      </c>
      <c r="W396" s="45" t="n">
        <f aca="false">U396/G396</f>
        <v>66.9972451790634</v>
      </c>
      <c r="X396" s="41" t="n">
        <f aca="false">SUM(U396-S396)/S396</f>
        <v>0.0546400693842151</v>
      </c>
      <c r="Y396" s="175" t="s">
        <v>42</v>
      </c>
      <c r="Z396" s="186"/>
      <c r="AA396" s="186"/>
      <c r="AB396" s="175" t="s">
        <v>43</v>
      </c>
      <c r="AC396" s="172" t="s">
        <v>806</v>
      </c>
      <c r="AD396" s="179"/>
      <c r="AE396" s="172"/>
      <c r="AF396" s="180"/>
      <c r="AG396" s="172"/>
      <c r="AI396" s="181"/>
      <c r="AJ396" s="525" t="s">
        <v>1103</v>
      </c>
    </row>
    <row r="397" customFormat="false" ht="15" hidden="false" customHeight="false" outlineLevel="0" collapsed="false">
      <c r="A397" s="11" t="s">
        <v>189</v>
      </c>
      <c r="B397" s="11" t="s">
        <v>796</v>
      </c>
      <c r="C397" s="172" t="n">
        <v>800100</v>
      </c>
      <c r="D397" s="172" t="s">
        <v>799</v>
      </c>
      <c r="E397" s="172" t="s">
        <v>180</v>
      </c>
      <c r="F397" s="173" t="s">
        <v>90</v>
      </c>
      <c r="G397" s="175" t="n">
        <v>1815</v>
      </c>
      <c r="H397" s="175" t="n">
        <f aca="false">G397</f>
        <v>1815</v>
      </c>
      <c r="I397" s="175" t="n">
        <v>2000</v>
      </c>
      <c r="J397" s="109" t="s">
        <v>807</v>
      </c>
      <c r="K397" s="176" t="n">
        <v>45408</v>
      </c>
      <c r="L397" s="176" t="n">
        <v>47233</v>
      </c>
      <c r="M397" s="176"/>
      <c r="N397" s="176"/>
      <c r="O397" s="176"/>
      <c r="P397" s="175" t="n">
        <v>122513</v>
      </c>
      <c r="Q397" s="175" t="n">
        <f aca="false">P397</f>
        <v>122513</v>
      </c>
      <c r="R397" s="9"/>
      <c r="S397" s="175" t="n">
        <v>115300</v>
      </c>
      <c r="T397" s="175" t="n">
        <f aca="false">S397</f>
        <v>115300</v>
      </c>
      <c r="U397" s="175" t="n">
        <v>121600</v>
      </c>
      <c r="V397" s="175" t="n">
        <f aca="false">U397</f>
        <v>121600</v>
      </c>
      <c r="W397" s="45" t="n">
        <f aca="false">U397/G397</f>
        <v>66.9972451790634</v>
      </c>
      <c r="X397" s="41" t="n">
        <f aca="false">SUM(U397-S397)/S397</f>
        <v>0.0546400693842151</v>
      </c>
      <c r="Y397" s="175" t="s">
        <v>60</v>
      </c>
      <c r="Z397" s="186"/>
      <c r="AA397" s="175"/>
      <c r="AB397" s="175" t="s">
        <v>43</v>
      </c>
      <c r="AC397" s="172"/>
      <c r="AD397" s="179"/>
      <c r="AE397" s="172"/>
      <c r="AF397" s="180"/>
      <c r="AG397" s="172"/>
      <c r="AI397" s="181"/>
      <c r="AJ397" s="525" t="s">
        <v>1103</v>
      </c>
    </row>
    <row r="398" customFormat="false" ht="15" hidden="false" customHeight="false" outlineLevel="0" collapsed="false">
      <c r="A398" s="11" t="s">
        <v>189</v>
      </c>
      <c r="B398" s="11" t="s">
        <v>796</v>
      </c>
      <c r="C398" s="172" t="n">
        <v>800100</v>
      </c>
      <c r="D398" s="172" t="s">
        <v>799</v>
      </c>
      <c r="E398" s="172" t="s">
        <v>386</v>
      </c>
      <c r="F398" s="173" t="s">
        <v>90</v>
      </c>
      <c r="G398" s="175" t="n">
        <v>790</v>
      </c>
      <c r="H398" s="175" t="n">
        <f aca="false">G398</f>
        <v>790</v>
      </c>
      <c r="I398" s="175" t="n">
        <v>750</v>
      </c>
      <c r="J398" s="109" t="s">
        <v>808</v>
      </c>
      <c r="K398" s="176" t="n">
        <v>44442</v>
      </c>
      <c r="L398" s="176" t="n">
        <v>46267</v>
      </c>
      <c r="M398" s="176"/>
      <c r="N398" s="176"/>
      <c r="O398" s="176"/>
      <c r="P398" s="175" t="n">
        <v>41080</v>
      </c>
      <c r="Q398" s="175" t="n">
        <f aca="false">P398</f>
        <v>41080</v>
      </c>
      <c r="R398" s="9"/>
      <c r="S398" s="175" t="n">
        <v>46200</v>
      </c>
      <c r="T398" s="175" t="n">
        <f aca="false">S398</f>
        <v>46200</v>
      </c>
      <c r="U398" s="175" t="n">
        <v>48600</v>
      </c>
      <c r="V398" s="175" t="n">
        <f aca="false">U398</f>
        <v>48600</v>
      </c>
      <c r="W398" s="45" t="n">
        <f aca="false">U398/G398</f>
        <v>61.5189873417722</v>
      </c>
      <c r="X398" s="41" t="n">
        <f aca="false">SUM(U398-S398)/S398</f>
        <v>0.051948051948052</v>
      </c>
      <c r="Y398" s="175" t="s">
        <v>127</v>
      </c>
      <c r="Z398" s="186"/>
      <c r="AA398" s="186"/>
      <c r="AB398" s="175" t="s">
        <v>43</v>
      </c>
      <c r="AC398" s="172"/>
      <c r="AD398" s="179"/>
      <c r="AE398" s="172"/>
      <c r="AF398" s="180"/>
      <c r="AG398" s="172"/>
      <c r="AI398" s="181"/>
      <c r="AJ398" s="525" t="s">
        <v>1103</v>
      </c>
    </row>
    <row r="399" customFormat="false" ht="15" hidden="false" customHeight="false" outlineLevel="0" collapsed="false">
      <c r="A399" s="11" t="s">
        <v>189</v>
      </c>
      <c r="B399" s="11" t="s">
        <v>796</v>
      </c>
      <c r="C399" s="172" t="n">
        <v>800100</v>
      </c>
      <c r="D399" s="172" t="s">
        <v>799</v>
      </c>
      <c r="E399" s="172" t="s">
        <v>809</v>
      </c>
      <c r="F399" s="187" t="s">
        <v>425</v>
      </c>
      <c r="G399" s="175" t="n">
        <v>0</v>
      </c>
      <c r="H399" s="175" t="n">
        <f aca="false">G399</f>
        <v>0</v>
      </c>
      <c r="I399" s="175"/>
      <c r="J399" s="109" t="s">
        <v>169</v>
      </c>
      <c r="K399" s="176" t="n">
        <v>42552</v>
      </c>
      <c r="L399" s="176" t="n">
        <v>47267</v>
      </c>
      <c r="M399" s="176"/>
      <c r="N399" s="176" t="n">
        <v>46204</v>
      </c>
      <c r="O399" s="176"/>
      <c r="P399" s="175" t="n">
        <v>1160</v>
      </c>
      <c r="Q399" s="175" t="n">
        <f aca="false">P399</f>
        <v>1160</v>
      </c>
      <c r="R399" s="9"/>
      <c r="S399" s="175" t="n">
        <v>1160</v>
      </c>
      <c r="T399" s="175" t="n">
        <f aca="false">S399</f>
        <v>1160</v>
      </c>
      <c r="U399" s="175" t="n">
        <v>1160</v>
      </c>
      <c r="V399" s="175" t="n">
        <f aca="false">U399</f>
        <v>1160</v>
      </c>
      <c r="W399" s="45"/>
      <c r="X399" s="41"/>
      <c r="Y399" s="175"/>
      <c r="Z399" s="186"/>
      <c r="AA399" s="186"/>
      <c r="AB399" s="175" t="s">
        <v>170</v>
      </c>
      <c r="AC399" s="172" t="s">
        <v>810</v>
      </c>
      <c r="AD399" s="179"/>
      <c r="AE399" s="172"/>
      <c r="AF399" s="180"/>
      <c r="AG399" s="172"/>
      <c r="AI399" s="181"/>
      <c r="AJ399" s="525" t="s">
        <v>1103</v>
      </c>
    </row>
    <row r="400" customFormat="false" ht="15" hidden="false" customHeight="false" outlineLevel="0" collapsed="false">
      <c r="A400" s="11" t="s">
        <v>189</v>
      </c>
      <c r="B400" s="11" t="s">
        <v>796</v>
      </c>
      <c r="C400" s="172" t="n">
        <v>800400</v>
      </c>
      <c r="D400" s="172" t="s">
        <v>811</v>
      </c>
      <c r="E400" s="172" t="s">
        <v>39</v>
      </c>
      <c r="F400" s="173" t="s">
        <v>797</v>
      </c>
      <c r="G400" s="174" t="n">
        <v>2598</v>
      </c>
      <c r="H400" s="175" t="n">
        <f aca="false">G400</f>
        <v>2598</v>
      </c>
      <c r="I400" s="175" t="n">
        <v>2500</v>
      </c>
      <c r="J400" s="109" t="s">
        <v>812</v>
      </c>
      <c r="K400" s="176" t="n">
        <v>43070</v>
      </c>
      <c r="L400" s="176" t="n">
        <v>46721</v>
      </c>
      <c r="M400" s="176"/>
      <c r="N400" s="176" t="n">
        <v>44896</v>
      </c>
      <c r="O400" s="176"/>
      <c r="P400" s="174" t="n">
        <v>155000</v>
      </c>
      <c r="Q400" s="174" t="n">
        <f aca="false">P400</f>
        <v>155000</v>
      </c>
      <c r="R400" s="9"/>
      <c r="S400" s="174" t="n">
        <v>118500</v>
      </c>
      <c r="T400" s="175" t="n">
        <f aca="false">S400</f>
        <v>118500</v>
      </c>
      <c r="U400" s="174" t="n">
        <v>121500</v>
      </c>
      <c r="V400" s="175" t="n">
        <f aca="false">U400</f>
        <v>121500</v>
      </c>
      <c r="W400" s="45" t="n">
        <f aca="false">U400/G400</f>
        <v>46.7667436489607</v>
      </c>
      <c r="X400" s="41" t="n">
        <f aca="false">SUM(U400-S400)/S400</f>
        <v>0.0253164556962025</v>
      </c>
      <c r="Y400" s="175" t="s">
        <v>458</v>
      </c>
      <c r="Z400" s="204"/>
      <c r="AA400" s="174" t="n">
        <v>2200000</v>
      </c>
      <c r="AB400" s="175" t="s">
        <v>43</v>
      </c>
      <c r="AC400" s="4"/>
      <c r="AD400" s="15"/>
      <c r="AE400" s="60"/>
      <c r="AF400" s="62"/>
      <c r="AG400" s="60"/>
      <c r="AI400" s="181"/>
      <c r="AJ400" s="525" t="s">
        <v>1103</v>
      </c>
    </row>
    <row r="401" customFormat="false" ht="15" hidden="false" customHeight="false" outlineLevel="0" collapsed="false">
      <c r="A401" s="11" t="s">
        <v>236</v>
      </c>
      <c r="B401" s="11" t="s">
        <v>796</v>
      </c>
      <c r="C401" s="172" t="n">
        <v>800300</v>
      </c>
      <c r="D401" s="172" t="s">
        <v>813</v>
      </c>
      <c r="E401" s="172" t="s">
        <v>39</v>
      </c>
      <c r="F401" s="207" t="s">
        <v>90</v>
      </c>
      <c r="G401" s="174" t="n">
        <v>19812</v>
      </c>
      <c r="H401" s="208" t="n">
        <f aca="false">G401</f>
        <v>19812</v>
      </c>
      <c r="I401" s="208" t="n">
        <v>20000</v>
      </c>
      <c r="J401" s="109" t="s">
        <v>814</v>
      </c>
      <c r="K401" s="176" t="n">
        <v>44986</v>
      </c>
      <c r="L401" s="176" t="n">
        <v>50464</v>
      </c>
      <c r="M401" s="176"/>
      <c r="N401" s="176" t="n">
        <v>46813</v>
      </c>
      <c r="O401" s="176"/>
      <c r="P401" s="174" t="n">
        <v>729167</v>
      </c>
      <c r="Q401" s="175" t="n">
        <f aca="false">P401</f>
        <v>729167</v>
      </c>
      <c r="S401" s="174" t="n">
        <v>1250000</v>
      </c>
      <c r="T401" s="175" t="n">
        <f aca="false">S401</f>
        <v>1250000</v>
      </c>
      <c r="U401" s="174" t="n">
        <v>1250000</v>
      </c>
      <c r="V401" s="175" t="n">
        <f aca="false">U401</f>
        <v>1250000</v>
      </c>
      <c r="W401" s="45" t="n">
        <f aca="false">U401/G401</f>
        <v>63.0930749040985</v>
      </c>
      <c r="X401" s="41" t="n">
        <f aca="false">SUM(U401-S401)/S401</f>
        <v>0</v>
      </c>
      <c r="Y401" s="175" t="s">
        <v>55</v>
      </c>
      <c r="Z401" s="209"/>
      <c r="AA401" s="174" t="n">
        <v>22175000</v>
      </c>
      <c r="AB401" s="175" t="s">
        <v>43</v>
      </c>
      <c r="AC401" s="172" t="s">
        <v>815</v>
      </c>
      <c r="AD401" s="179"/>
      <c r="AE401" s="172"/>
      <c r="AF401" s="180"/>
      <c r="AG401" s="172"/>
      <c r="AI401" s="203"/>
      <c r="AJ401" s="525" t="s">
        <v>1103</v>
      </c>
    </row>
    <row r="402" customFormat="false" ht="15" hidden="false" customHeight="false" outlineLevel="0" collapsed="false">
      <c r="A402" s="11" t="s">
        <v>106</v>
      </c>
      <c r="B402" s="11" t="s">
        <v>796</v>
      </c>
      <c r="C402" s="172" t="n">
        <v>800500</v>
      </c>
      <c r="D402" s="172" t="s">
        <v>816</v>
      </c>
      <c r="E402" s="172" t="s">
        <v>174</v>
      </c>
      <c r="F402" s="173" t="s">
        <v>237</v>
      </c>
      <c r="G402" s="175" t="n">
        <v>1582</v>
      </c>
      <c r="H402" s="208" t="n">
        <f aca="false">G402</f>
        <v>1582</v>
      </c>
      <c r="I402" s="208" t="n">
        <v>1500</v>
      </c>
      <c r="J402" s="109" t="s">
        <v>817</v>
      </c>
      <c r="K402" s="176" t="n">
        <v>43514</v>
      </c>
      <c r="L402" s="176" t="n">
        <v>46982</v>
      </c>
      <c r="M402" s="176"/>
      <c r="N402" s="176" t="n">
        <v>45340</v>
      </c>
      <c r="O402" s="176"/>
      <c r="P402" s="175" t="n">
        <v>70000</v>
      </c>
      <c r="Q402" s="175" t="n">
        <f aca="false">P402</f>
        <v>70000</v>
      </c>
      <c r="R402" s="9"/>
      <c r="S402" s="175" t="n">
        <v>63300</v>
      </c>
      <c r="T402" s="175" t="n">
        <f aca="false">S402</f>
        <v>63300</v>
      </c>
      <c r="U402" s="175" t="n">
        <v>63300</v>
      </c>
      <c r="V402" s="175" t="n">
        <f aca="false">U402</f>
        <v>63300</v>
      </c>
      <c r="W402" s="45" t="n">
        <f aca="false">U402/G402</f>
        <v>40.0126422250316</v>
      </c>
      <c r="X402" s="41" t="n">
        <f aca="false">SUM(U402-S402)/S402</f>
        <v>0</v>
      </c>
      <c r="Y402" s="175" t="s">
        <v>42</v>
      </c>
      <c r="Z402" s="209"/>
      <c r="AA402" s="174"/>
      <c r="AB402" s="175" t="s">
        <v>43</v>
      </c>
      <c r="AC402" s="172"/>
      <c r="AD402" s="179"/>
      <c r="AE402" s="172"/>
      <c r="AF402" s="180"/>
      <c r="AG402" s="172"/>
      <c r="AI402" s="181"/>
      <c r="AJ402" s="525" t="s">
        <v>1103</v>
      </c>
    </row>
    <row r="403" customFormat="false" ht="15" hidden="false" customHeight="false" outlineLevel="0" collapsed="false">
      <c r="A403" s="11" t="s">
        <v>106</v>
      </c>
      <c r="B403" s="11" t="s">
        <v>796</v>
      </c>
      <c r="C403" s="172" t="n">
        <v>800500</v>
      </c>
      <c r="D403" s="172" t="s">
        <v>816</v>
      </c>
      <c r="E403" s="172" t="s">
        <v>432</v>
      </c>
      <c r="F403" s="173" t="s">
        <v>90</v>
      </c>
      <c r="G403" s="175" t="n">
        <v>1248</v>
      </c>
      <c r="H403" s="208" t="n">
        <f aca="false">G403</f>
        <v>1248</v>
      </c>
      <c r="I403" s="208" t="n">
        <v>1250</v>
      </c>
      <c r="J403" s="109" t="s">
        <v>67</v>
      </c>
      <c r="K403" s="176"/>
      <c r="L403" s="176"/>
      <c r="M403" s="176" t="n">
        <v>44550</v>
      </c>
      <c r="N403" s="176"/>
      <c r="O403" s="176"/>
      <c r="P403" s="175" t="n">
        <v>0</v>
      </c>
      <c r="Q403" s="175" t="n">
        <f aca="false">P403</f>
        <v>0</v>
      </c>
      <c r="R403" s="9"/>
      <c r="S403" s="175" t="n">
        <v>66800</v>
      </c>
      <c r="T403" s="175" t="n">
        <f aca="false">S403</f>
        <v>66800</v>
      </c>
      <c r="U403" s="175" t="n">
        <v>66800</v>
      </c>
      <c r="V403" s="175" t="n">
        <f aca="false">U403</f>
        <v>66800</v>
      </c>
      <c r="W403" s="45" t="n">
        <f aca="false">U403/G403</f>
        <v>53.525641025641</v>
      </c>
      <c r="X403" s="41" t="n">
        <f aca="false">SUM(U403-S403)/S403</f>
        <v>0</v>
      </c>
      <c r="Y403" s="175" t="s">
        <v>55</v>
      </c>
      <c r="Z403" s="209"/>
      <c r="AA403" s="174"/>
      <c r="AB403" s="175" t="s">
        <v>43</v>
      </c>
      <c r="AC403" s="172" t="s">
        <v>119</v>
      </c>
      <c r="AD403" s="179" t="n">
        <v>58</v>
      </c>
      <c r="AE403" s="172" t="n">
        <v>2</v>
      </c>
      <c r="AF403" s="180" t="n">
        <v>5</v>
      </c>
      <c r="AG403" s="172"/>
      <c r="AI403" s="181"/>
      <c r="AJ403" s="525" t="s">
        <v>1104</v>
      </c>
    </row>
    <row r="404" customFormat="false" ht="15" hidden="false" customHeight="false" outlineLevel="0" collapsed="false">
      <c r="A404" s="11" t="s">
        <v>106</v>
      </c>
      <c r="B404" s="11" t="s">
        <v>796</v>
      </c>
      <c r="C404" s="172" t="n">
        <v>800600</v>
      </c>
      <c r="D404" s="172" t="s">
        <v>818</v>
      </c>
      <c r="E404" s="172" t="s">
        <v>819</v>
      </c>
      <c r="F404" s="187" t="s">
        <v>820</v>
      </c>
      <c r="G404" s="175" t="n">
        <v>0</v>
      </c>
      <c r="H404" s="208" t="n">
        <f aca="false">G404</f>
        <v>0</v>
      </c>
      <c r="I404" s="208"/>
      <c r="J404" s="109" t="s">
        <v>169</v>
      </c>
      <c r="K404" s="176" t="n">
        <v>18170</v>
      </c>
      <c r="L404" s="176" t="n">
        <v>54329</v>
      </c>
      <c r="M404" s="176"/>
      <c r="N404" s="176"/>
      <c r="O404" s="176"/>
      <c r="P404" s="175" t="n">
        <v>0</v>
      </c>
      <c r="Q404" s="175" t="n">
        <f aca="false">P404</f>
        <v>0</v>
      </c>
      <c r="R404" s="9"/>
      <c r="S404" s="175" t="n">
        <v>0</v>
      </c>
      <c r="T404" s="175" t="n">
        <f aca="false">S404</f>
        <v>0</v>
      </c>
      <c r="U404" s="175" t="n">
        <v>0</v>
      </c>
      <c r="V404" s="175" t="n">
        <f aca="false">U404</f>
        <v>0</v>
      </c>
      <c r="W404" s="45"/>
      <c r="X404" s="41"/>
      <c r="Y404" s="175"/>
      <c r="Z404" s="209"/>
      <c r="AA404" s="174"/>
      <c r="AB404" s="175" t="s">
        <v>170</v>
      </c>
      <c r="AC404" s="172" t="s">
        <v>821</v>
      </c>
      <c r="AD404" s="179"/>
      <c r="AE404" s="172"/>
      <c r="AF404" s="180"/>
      <c r="AG404" s="172"/>
      <c r="AI404" s="181"/>
      <c r="AJ404" s="525" t="s">
        <v>1103</v>
      </c>
    </row>
    <row r="405" customFormat="false" ht="15" hidden="false" customHeight="false" outlineLevel="0" collapsed="false">
      <c r="A405" s="11" t="s">
        <v>106</v>
      </c>
      <c r="B405" s="11" t="s">
        <v>796</v>
      </c>
      <c r="C405" s="172" t="n">
        <v>800600</v>
      </c>
      <c r="D405" s="172" t="s">
        <v>818</v>
      </c>
      <c r="E405" s="172" t="s">
        <v>822</v>
      </c>
      <c r="F405" s="173" t="s">
        <v>823</v>
      </c>
      <c r="G405" s="175" t="n">
        <v>3356</v>
      </c>
      <c r="H405" s="208" t="n">
        <f aca="false">G405</f>
        <v>3356</v>
      </c>
      <c r="I405" s="208" t="n">
        <v>3500</v>
      </c>
      <c r="J405" s="109" t="s">
        <v>67</v>
      </c>
      <c r="K405" s="176"/>
      <c r="L405" s="176"/>
      <c r="M405" s="176" t="n">
        <v>45457</v>
      </c>
      <c r="N405" s="176"/>
      <c r="O405" s="176"/>
      <c r="P405" s="175" t="n">
        <v>0</v>
      </c>
      <c r="Q405" s="175" t="n">
        <f aca="false">P405</f>
        <v>0</v>
      </c>
      <c r="R405" s="9"/>
      <c r="S405" s="175" t="n">
        <v>174600</v>
      </c>
      <c r="T405" s="175" t="n">
        <f aca="false">S405</f>
        <v>174600</v>
      </c>
      <c r="U405" s="175" t="n">
        <v>174600</v>
      </c>
      <c r="V405" s="175" t="n">
        <f aca="false">U405</f>
        <v>174600</v>
      </c>
      <c r="W405" s="45" t="n">
        <f aca="false">U405/G405</f>
        <v>52.0262216924911</v>
      </c>
      <c r="X405" s="41" t="n">
        <f aca="false">SUM(U405-S405)/S405</f>
        <v>0</v>
      </c>
      <c r="Y405" s="175" t="s">
        <v>55</v>
      </c>
      <c r="Z405" s="209"/>
      <c r="AA405" s="174"/>
      <c r="AB405" s="175" t="s">
        <v>43</v>
      </c>
      <c r="AC405" s="172" t="s">
        <v>119</v>
      </c>
      <c r="AD405" s="179" t="n">
        <v>45</v>
      </c>
      <c r="AE405" s="172" t="n">
        <v>3</v>
      </c>
      <c r="AF405" s="180" t="n">
        <v>10</v>
      </c>
      <c r="AG405" s="172" t="s">
        <v>57</v>
      </c>
      <c r="AI405" s="181"/>
      <c r="AJ405" s="525" t="s">
        <v>1104</v>
      </c>
    </row>
    <row r="406" customFormat="false" ht="19.4" hidden="false" customHeight="false" outlineLevel="0" collapsed="false">
      <c r="A406" s="11" t="s">
        <v>106</v>
      </c>
      <c r="B406" s="11" t="s">
        <v>796</v>
      </c>
      <c r="C406" s="172" t="n">
        <v>800600</v>
      </c>
      <c r="D406" s="172" t="s">
        <v>818</v>
      </c>
      <c r="E406" s="172" t="s">
        <v>824</v>
      </c>
      <c r="F406" s="173" t="s">
        <v>251</v>
      </c>
      <c r="G406" s="175" t="n">
        <v>1157</v>
      </c>
      <c r="H406" s="208" t="n">
        <f aca="false">G406</f>
        <v>1157</v>
      </c>
      <c r="I406" s="208" t="n">
        <v>1000</v>
      </c>
      <c r="J406" s="109" t="s">
        <v>825</v>
      </c>
      <c r="K406" s="176" t="n">
        <v>45230</v>
      </c>
      <c r="L406" s="176" t="n">
        <v>46325</v>
      </c>
      <c r="M406" s="176"/>
      <c r="N406" s="176"/>
      <c r="O406" s="176"/>
      <c r="P406" s="175" t="n">
        <v>46000</v>
      </c>
      <c r="Q406" s="175" t="n">
        <f aca="false">P406</f>
        <v>46000</v>
      </c>
      <c r="R406" s="9"/>
      <c r="S406" s="175" t="n">
        <v>52800</v>
      </c>
      <c r="T406" s="175" t="n">
        <f aca="false">S406</f>
        <v>52800</v>
      </c>
      <c r="U406" s="175" t="n">
        <v>52800</v>
      </c>
      <c r="V406" s="175" t="n">
        <f aca="false">U406</f>
        <v>52800</v>
      </c>
      <c r="W406" s="45" t="n">
        <f aca="false">U406/G406</f>
        <v>45.6352636127917</v>
      </c>
      <c r="X406" s="41" t="n">
        <f aca="false">SUM(U406-S406)/S406</f>
        <v>0</v>
      </c>
      <c r="Y406" s="175" t="s">
        <v>60</v>
      </c>
      <c r="Z406" s="209"/>
      <c r="AA406" s="174"/>
      <c r="AB406" s="175" t="s">
        <v>43</v>
      </c>
      <c r="AC406" s="172" t="s">
        <v>826</v>
      </c>
      <c r="AD406" s="179"/>
      <c r="AE406" s="172"/>
      <c r="AF406" s="180"/>
      <c r="AG406" s="172"/>
      <c r="AI406" s="181"/>
      <c r="AJ406" s="525" t="s">
        <v>1103</v>
      </c>
    </row>
    <row r="407" customFormat="false" ht="15" hidden="false" customHeight="false" outlineLevel="0" collapsed="false">
      <c r="A407" s="11" t="s">
        <v>106</v>
      </c>
      <c r="B407" s="11" t="s">
        <v>796</v>
      </c>
      <c r="C407" s="172" t="n">
        <v>800600</v>
      </c>
      <c r="D407" s="172" t="s">
        <v>818</v>
      </c>
      <c r="E407" s="172" t="s">
        <v>328</v>
      </c>
      <c r="F407" s="173" t="s">
        <v>90</v>
      </c>
      <c r="G407" s="175" t="n">
        <v>1015</v>
      </c>
      <c r="H407" s="208" t="n">
        <f aca="false">G407</f>
        <v>1015</v>
      </c>
      <c r="I407" s="208" t="n">
        <v>1000</v>
      </c>
      <c r="J407" s="109" t="s">
        <v>67</v>
      </c>
      <c r="K407" s="176"/>
      <c r="L407" s="176"/>
      <c r="M407" s="176" t="n">
        <v>43840</v>
      </c>
      <c r="N407" s="176"/>
      <c r="O407" s="176"/>
      <c r="P407" s="175" t="n">
        <v>0</v>
      </c>
      <c r="Q407" s="175" t="n">
        <f aca="false">P407</f>
        <v>0</v>
      </c>
      <c r="R407" s="9"/>
      <c r="S407" s="175" t="n">
        <v>53300</v>
      </c>
      <c r="T407" s="175" t="n">
        <f aca="false">S407</f>
        <v>53300</v>
      </c>
      <c r="U407" s="175" t="n">
        <v>53300</v>
      </c>
      <c r="V407" s="175" t="n">
        <f aca="false">U407</f>
        <v>53300</v>
      </c>
      <c r="W407" s="45" t="n">
        <f aca="false">U407/G407</f>
        <v>52.512315270936</v>
      </c>
      <c r="X407" s="41" t="n">
        <f aca="false">SUM(U407-S407)/S407</f>
        <v>0</v>
      </c>
      <c r="Y407" s="175" t="s">
        <v>60</v>
      </c>
      <c r="Z407" s="209"/>
      <c r="AA407" s="174"/>
      <c r="AB407" s="175" t="s">
        <v>43</v>
      </c>
      <c r="AC407" s="4" t="s">
        <v>228</v>
      </c>
      <c r="AD407" s="15"/>
      <c r="AE407" s="60"/>
      <c r="AF407" s="62"/>
      <c r="AG407" s="60"/>
      <c r="AI407" s="181"/>
      <c r="AJ407" s="525" t="s">
        <v>1104</v>
      </c>
    </row>
    <row r="408" customFormat="false" ht="15" hidden="false" customHeight="false" outlineLevel="0" collapsed="false">
      <c r="A408" s="11" t="s">
        <v>106</v>
      </c>
      <c r="B408" s="11" t="s">
        <v>796</v>
      </c>
      <c r="C408" s="172" t="n">
        <v>800600</v>
      </c>
      <c r="D408" s="172" t="s">
        <v>818</v>
      </c>
      <c r="E408" s="172" t="s">
        <v>331</v>
      </c>
      <c r="F408" s="173" t="s">
        <v>90</v>
      </c>
      <c r="G408" s="175" t="n">
        <v>250</v>
      </c>
      <c r="H408" s="208" t="n">
        <f aca="false">G408</f>
        <v>250</v>
      </c>
      <c r="I408" s="208" t="n">
        <v>250</v>
      </c>
      <c r="J408" s="109" t="s">
        <v>67</v>
      </c>
      <c r="K408" s="176"/>
      <c r="L408" s="176"/>
      <c r="M408" s="176" t="n">
        <v>45682</v>
      </c>
      <c r="N408" s="176"/>
      <c r="O408" s="176"/>
      <c r="P408" s="175" t="n">
        <v>0</v>
      </c>
      <c r="Q408" s="175" t="n">
        <f aca="false">P408</f>
        <v>0</v>
      </c>
      <c r="R408" s="9"/>
      <c r="S408" s="175" t="n">
        <v>14500</v>
      </c>
      <c r="T408" s="175" t="n">
        <f aca="false">S408</f>
        <v>14500</v>
      </c>
      <c r="U408" s="175" t="n">
        <v>14500</v>
      </c>
      <c r="V408" s="175" t="n">
        <f aca="false">U408</f>
        <v>14500</v>
      </c>
      <c r="W408" s="45" t="n">
        <f aca="false">U408/G408</f>
        <v>58</v>
      </c>
      <c r="X408" s="41" t="n">
        <f aca="false">SUM(U408-S408)/S408</f>
        <v>0</v>
      </c>
      <c r="Y408" s="175" t="s">
        <v>60</v>
      </c>
      <c r="Z408" s="209"/>
      <c r="AA408" s="174"/>
      <c r="AB408" s="175" t="s">
        <v>43</v>
      </c>
      <c r="AC408" s="172" t="s">
        <v>68</v>
      </c>
      <c r="AD408" s="179"/>
      <c r="AE408" s="172"/>
      <c r="AF408" s="180" t="n">
        <v>1</v>
      </c>
      <c r="AG408" s="172"/>
      <c r="AI408" s="181"/>
      <c r="AJ408" s="525" t="s">
        <v>1104</v>
      </c>
    </row>
    <row r="409" customFormat="false" ht="15" hidden="false" customHeight="false" outlineLevel="0" collapsed="false">
      <c r="A409" s="11" t="s">
        <v>106</v>
      </c>
      <c r="B409" s="11" t="s">
        <v>796</v>
      </c>
      <c r="C409" s="172" t="n">
        <v>800600</v>
      </c>
      <c r="D409" s="172" t="s">
        <v>818</v>
      </c>
      <c r="E409" s="172" t="s">
        <v>597</v>
      </c>
      <c r="F409" s="173" t="s">
        <v>90</v>
      </c>
      <c r="G409" s="175" t="n">
        <v>1026</v>
      </c>
      <c r="H409" s="208" t="n">
        <f aca="false">G409</f>
        <v>1026</v>
      </c>
      <c r="I409" s="208" t="n">
        <v>1000</v>
      </c>
      <c r="J409" s="109" t="s">
        <v>67</v>
      </c>
      <c r="K409" s="176"/>
      <c r="L409" s="176"/>
      <c r="M409" s="176" t="n">
        <v>44500</v>
      </c>
      <c r="N409" s="176"/>
      <c r="O409" s="176"/>
      <c r="P409" s="175" t="n">
        <v>0</v>
      </c>
      <c r="Q409" s="175" t="n">
        <f aca="false">P409</f>
        <v>0</v>
      </c>
      <c r="R409" s="9"/>
      <c r="S409" s="175" t="n">
        <v>53900</v>
      </c>
      <c r="T409" s="175" t="n">
        <f aca="false">S409</f>
        <v>53900</v>
      </c>
      <c r="U409" s="175" t="n">
        <v>53900</v>
      </c>
      <c r="V409" s="175" t="n">
        <f aca="false">U409</f>
        <v>53900</v>
      </c>
      <c r="W409" s="45" t="n">
        <f aca="false">U409/G409</f>
        <v>52.5341130604289</v>
      </c>
      <c r="X409" s="41" t="n">
        <f aca="false">SUM(U409-S409)/S409</f>
        <v>0</v>
      </c>
      <c r="Y409" s="175" t="s">
        <v>42</v>
      </c>
      <c r="Z409" s="209"/>
      <c r="AA409" s="174"/>
      <c r="AB409" s="175" t="s">
        <v>43</v>
      </c>
      <c r="AC409" s="4" t="s">
        <v>228</v>
      </c>
      <c r="AD409" s="15"/>
      <c r="AE409" s="60"/>
      <c r="AF409" s="62"/>
      <c r="AG409" s="60"/>
      <c r="AI409" s="181"/>
      <c r="AJ409" s="525" t="s">
        <v>1104</v>
      </c>
    </row>
    <row r="410" customFormat="false" ht="15" hidden="false" customHeight="false" outlineLevel="0" collapsed="false">
      <c r="A410" s="11" t="s">
        <v>106</v>
      </c>
      <c r="B410" s="11" t="s">
        <v>796</v>
      </c>
      <c r="C410" s="172" t="n">
        <v>800600</v>
      </c>
      <c r="D410" s="172" t="s">
        <v>818</v>
      </c>
      <c r="E410" s="172" t="s">
        <v>580</v>
      </c>
      <c r="F410" s="173" t="s">
        <v>90</v>
      </c>
      <c r="G410" s="175" t="n">
        <v>242</v>
      </c>
      <c r="H410" s="208" t="n">
        <f aca="false">G410</f>
        <v>242</v>
      </c>
      <c r="I410" s="208" t="n">
        <v>250</v>
      </c>
      <c r="J410" s="109" t="s">
        <v>67</v>
      </c>
      <c r="K410" s="176"/>
      <c r="L410" s="176"/>
      <c r="M410" s="176" t="n">
        <v>44135</v>
      </c>
      <c r="N410" s="176"/>
      <c r="O410" s="176"/>
      <c r="P410" s="175" t="n">
        <v>0</v>
      </c>
      <c r="Q410" s="175" t="n">
        <f aca="false">P410</f>
        <v>0</v>
      </c>
      <c r="R410" s="9"/>
      <c r="S410" s="175" t="n">
        <v>14000</v>
      </c>
      <c r="T410" s="175" t="n">
        <f aca="false">S410</f>
        <v>14000</v>
      </c>
      <c r="U410" s="175" t="n">
        <v>14000</v>
      </c>
      <c r="V410" s="175" t="n">
        <f aca="false">U410</f>
        <v>14000</v>
      </c>
      <c r="W410" s="45" t="n">
        <f aca="false">U410/G410</f>
        <v>57.8512396694215</v>
      </c>
      <c r="X410" s="41" t="n">
        <f aca="false">SUM(U410-S410)/S410</f>
        <v>0</v>
      </c>
      <c r="Y410" s="175" t="s">
        <v>127</v>
      </c>
      <c r="Z410" s="209"/>
      <c r="AA410" s="174"/>
      <c r="AB410" s="175" t="s">
        <v>43</v>
      </c>
      <c r="AC410" s="4" t="s">
        <v>228</v>
      </c>
      <c r="AD410" s="15"/>
      <c r="AE410" s="60"/>
      <c r="AF410" s="62"/>
      <c r="AG410" s="60"/>
      <c r="AI410" s="181"/>
      <c r="AJ410" s="525" t="s">
        <v>1104</v>
      </c>
    </row>
    <row r="411" customFormat="false" ht="15" hidden="false" customHeight="false" outlineLevel="0" collapsed="false">
      <c r="A411" s="11" t="s">
        <v>106</v>
      </c>
      <c r="B411" s="11" t="s">
        <v>796</v>
      </c>
      <c r="C411" s="172" t="n">
        <v>800600</v>
      </c>
      <c r="D411" s="172" t="s">
        <v>818</v>
      </c>
      <c r="E411" s="172" t="s">
        <v>94</v>
      </c>
      <c r="F411" s="173" t="s">
        <v>90</v>
      </c>
      <c r="G411" s="175" t="n">
        <v>1028</v>
      </c>
      <c r="H411" s="208" t="n">
        <f aca="false">G411</f>
        <v>1028</v>
      </c>
      <c r="I411" s="208" t="n">
        <v>1000</v>
      </c>
      <c r="J411" s="109" t="s">
        <v>827</v>
      </c>
      <c r="K411" s="176" t="n">
        <v>44135</v>
      </c>
      <c r="L411" s="176" t="n">
        <v>45960</v>
      </c>
      <c r="M411" s="176"/>
      <c r="N411" s="176"/>
      <c r="O411" s="176"/>
      <c r="P411" s="175" t="n">
        <v>52572</v>
      </c>
      <c r="Q411" s="175" t="n">
        <f aca="false">P411</f>
        <v>52572</v>
      </c>
      <c r="R411" s="9"/>
      <c r="S411" s="175" t="n">
        <v>51400</v>
      </c>
      <c r="T411" s="175" t="n">
        <f aca="false">S411</f>
        <v>51400</v>
      </c>
      <c r="U411" s="175" t="n">
        <v>51400</v>
      </c>
      <c r="V411" s="175" t="n">
        <f aca="false">U411</f>
        <v>51400</v>
      </c>
      <c r="W411" s="45" t="n">
        <f aca="false">U411/G411</f>
        <v>50</v>
      </c>
      <c r="X411" s="41" t="n">
        <f aca="false">SUM(U411-S411)/S411</f>
        <v>0</v>
      </c>
      <c r="Y411" s="175" t="s">
        <v>60</v>
      </c>
      <c r="Z411" s="209"/>
      <c r="AA411" s="174"/>
      <c r="AB411" s="175" t="s">
        <v>43</v>
      </c>
      <c r="AC411" s="4" t="s">
        <v>228</v>
      </c>
      <c r="AD411" s="15"/>
      <c r="AE411" s="60"/>
      <c r="AF411" s="62"/>
      <c r="AG411" s="60"/>
      <c r="AI411" s="181"/>
      <c r="AJ411" s="525" t="s">
        <v>1103</v>
      </c>
    </row>
    <row r="412" customFormat="false" ht="15" hidden="false" customHeight="false" outlineLevel="0" collapsed="false">
      <c r="A412" s="11" t="s">
        <v>106</v>
      </c>
      <c r="B412" s="11" t="s">
        <v>796</v>
      </c>
      <c r="C412" s="172" t="n">
        <v>800600</v>
      </c>
      <c r="D412" s="172" t="s">
        <v>818</v>
      </c>
      <c r="E412" s="172" t="s">
        <v>118</v>
      </c>
      <c r="F412" s="173" t="s">
        <v>90</v>
      </c>
      <c r="G412" s="175" t="n">
        <v>834</v>
      </c>
      <c r="H412" s="208" t="n">
        <f aca="false">G412</f>
        <v>834</v>
      </c>
      <c r="I412" s="208" t="n">
        <v>1000</v>
      </c>
      <c r="J412" s="109" t="s">
        <v>67</v>
      </c>
      <c r="K412" s="176"/>
      <c r="L412" s="176"/>
      <c r="M412" s="176" t="n">
        <v>43840</v>
      </c>
      <c r="N412" s="176"/>
      <c r="O412" s="176"/>
      <c r="P412" s="175" t="n">
        <v>0</v>
      </c>
      <c r="Q412" s="175" t="n">
        <f aca="false">P412</f>
        <v>0</v>
      </c>
      <c r="R412" s="9"/>
      <c r="S412" s="175" t="n">
        <v>43800</v>
      </c>
      <c r="T412" s="175" t="n">
        <f aca="false">S412</f>
        <v>43800</v>
      </c>
      <c r="U412" s="175" t="n">
        <v>43800</v>
      </c>
      <c r="V412" s="175" t="n">
        <f aca="false">U412</f>
        <v>43800</v>
      </c>
      <c r="W412" s="45" t="n">
        <f aca="false">U412/G412</f>
        <v>52.5179856115108</v>
      </c>
      <c r="X412" s="41" t="n">
        <f aca="false">SUM(U412-S412)/S412</f>
        <v>0</v>
      </c>
      <c r="Y412" s="175" t="s">
        <v>60</v>
      </c>
      <c r="Z412" s="209"/>
      <c r="AA412" s="174"/>
      <c r="AB412" s="175" t="s">
        <v>43</v>
      </c>
      <c r="AC412" s="4" t="s">
        <v>228</v>
      </c>
      <c r="AD412" s="15"/>
      <c r="AE412" s="60"/>
      <c r="AF412" s="62"/>
      <c r="AG412" s="60"/>
      <c r="AI412" s="181"/>
      <c r="AJ412" s="525" t="s">
        <v>1104</v>
      </c>
    </row>
    <row r="413" customFormat="false" ht="19.4" hidden="false" customHeight="false" outlineLevel="0" collapsed="false">
      <c r="A413" s="11" t="s">
        <v>189</v>
      </c>
      <c r="B413" s="11" t="s">
        <v>829</v>
      </c>
      <c r="C413" s="172" t="n">
        <v>111010</v>
      </c>
      <c r="D413" s="172" t="s">
        <v>828</v>
      </c>
      <c r="E413" s="172" t="s">
        <v>264</v>
      </c>
      <c r="F413" s="187" t="s">
        <v>593</v>
      </c>
      <c r="G413" s="175" t="n">
        <v>4289</v>
      </c>
      <c r="H413" s="175" t="n">
        <f aca="false">G413</f>
        <v>4289</v>
      </c>
      <c r="I413" s="175" t="n">
        <v>4250</v>
      </c>
      <c r="J413" s="109" t="s">
        <v>830</v>
      </c>
      <c r="K413" s="176" t="n">
        <v>45510</v>
      </c>
      <c r="L413" s="176" t="n">
        <v>50987</v>
      </c>
      <c r="M413" s="176"/>
      <c r="N413" s="176" t="n">
        <v>47336</v>
      </c>
      <c r="O413" s="176" t="n">
        <v>49162</v>
      </c>
      <c r="P413" s="175" t="n">
        <v>110000</v>
      </c>
      <c r="Q413" s="175" t="n">
        <f aca="false">P413</f>
        <v>110000</v>
      </c>
      <c r="R413" s="9"/>
      <c r="S413" s="175" t="n">
        <v>220100</v>
      </c>
      <c r="T413" s="175" t="n">
        <f aca="false">S413</f>
        <v>220100</v>
      </c>
      <c r="U413" s="175" t="n">
        <v>220100</v>
      </c>
      <c r="V413" s="175" t="n">
        <f aca="false">U413</f>
        <v>220100</v>
      </c>
      <c r="W413" s="45" t="n">
        <f aca="false">U413/G413</f>
        <v>51.3173233854045</v>
      </c>
      <c r="X413" s="41" t="n">
        <f aca="false">SUM(U413-S413)/S413</f>
        <v>0</v>
      </c>
      <c r="Y413" s="175" t="s">
        <v>42</v>
      </c>
      <c r="Z413" s="186" t="s">
        <v>26</v>
      </c>
      <c r="AA413" s="186"/>
      <c r="AB413" s="175" t="s">
        <v>43</v>
      </c>
      <c r="AC413" s="172" t="s">
        <v>831</v>
      </c>
      <c r="AD413" s="179"/>
      <c r="AE413" s="223"/>
      <c r="AF413" s="224"/>
      <c r="AG413" s="225"/>
      <c r="AI413" s="181"/>
      <c r="AJ413" s="525" t="s">
        <v>1103</v>
      </c>
    </row>
    <row r="414" customFormat="false" ht="15" hidden="false" customHeight="false" outlineLevel="0" collapsed="false">
      <c r="A414" s="11" t="s">
        <v>189</v>
      </c>
      <c r="B414" s="11" t="s">
        <v>829</v>
      </c>
      <c r="C414" s="172" t="n">
        <v>111010</v>
      </c>
      <c r="D414" s="172" t="s">
        <v>828</v>
      </c>
      <c r="E414" s="172" t="s">
        <v>89</v>
      </c>
      <c r="F414" s="173" t="s">
        <v>90</v>
      </c>
      <c r="G414" s="175" t="n">
        <v>2279</v>
      </c>
      <c r="H414" s="175" t="n">
        <f aca="false">G414</f>
        <v>2279</v>
      </c>
      <c r="I414" s="175" t="n">
        <v>2250</v>
      </c>
      <c r="J414" s="109" t="s">
        <v>67</v>
      </c>
      <c r="K414" s="176"/>
      <c r="L414" s="176"/>
      <c r="M414" s="176" t="n">
        <v>44577</v>
      </c>
      <c r="N414" s="176"/>
      <c r="O414" s="176"/>
      <c r="P414" s="175" t="n">
        <v>0</v>
      </c>
      <c r="Q414" s="175" t="n">
        <f aca="false">P414</f>
        <v>0</v>
      </c>
      <c r="R414" s="9"/>
      <c r="S414" s="175" t="n">
        <v>150000</v>
      </c>
      <c r="T414" s="175" t="n">
        <f aca="false">S414</f>
        <v>150000</v>
      </c>
      <c r="U414" s="175" t="n">
        <v>167500</v>
      </c>
      <c r="V414" s="175" t="n">
        <f aca="false">U414</f>
        <v>167500</v>
      </c>
      <c r="W414" s="45" t="n">
        <f aca="false">U414/G414</f>
        <v>73.4971478718736</v>
      </c>
      <c r="X414" s="41" t="n">
        <f aca="false">SUM(U414-S414)/S414</f>
        <v>0.116666666666667</v>
      </c>
      <c r="Y414" s="175" t="s">
        <v>42</v>
      </c>
      <c r="Z414" s="186" t="s">
        <v>26</v>
      </c>
      <c r="AA414" s="186"/>
      <c r="AB414" s="175" t="s">
        <v>43</v>
      </c>
      <c r="AC414" s="172" t="s">
        <v>119</v>
      </c>
      <c r="AD414" s="179" t="n">
        <v>75</v>
      </c>
      <c r="AE414" s="172" t="n">
        <v>1</v>
      </c>
      <c r="AF414" s="180" t="n">
        <v>2</v>
      </c>
      <c r="AG414" s="182" t="s">
        <v>57</v>
      </c>
      <c r="AI414" s="181"/>
      <c r="AJ414" s="525" t="s">
        <v>1104</v>
      </c>
    </row>
    <row r="415" customFormat="false" ht="15" hidden="false" customHeight="false" outlineLevel="0" collapsed="false">
      <c r="A415" s="11" t="s">
        <v>189</v>
      </c>
      <c r="B415" s="11" t="s">
        <v>829</v>
      </c>
      <c r="C415" s="172" t="n">
        <v>111010</v>
      </c>
      <c r="D415" s="172" t="s">
        <v>828</v>
      </c>
      <c r="E415" s="172" t="s">
        <v>93</v>
      </c>
      <c r="F415" s="173" t="s">
        <v>90</v>
      </c>
      <c r="G415" s="175" t="n">
        <v>1640</v>
      </c>
      <c r="H415" s="175" t="n">
        <f aca="false">G415</f>
        <v>1640</v>
      </c>
      <c r="I415" s="175" t="n">
        <v>1500</v>
      </c>
      <c r="J415" s="109" t="s">
        <v>832</v>
      </c>
      <c r="K415" s="176" t="n">
        <v>44710</v>
      </c>
      <c r="L415" s="176" t="n">
        <v>45805</v>
      </c>
      <c r="M415" s="176"/>
      <c r="N415" s="176"/>
      <c r="O415" s="176"/>
      <c r="P415" s="175" t="n">
        <v>101000</v>
      </c>
      <c r="Q415" s="175" t="n">
        <f aca="false">P415</f>
        <v>101000</v>
      </c>
      <c r="R415" s="9"/>
      <c r="S415" s="175" t="n">
        <v>104100</v>
      </c>
      <c r="T415" s="175" t="n">
        <f aca="false">S415</f>
        <v>104100</v>
      </c>
      <c r="U415" s="175" t="n">
        <v>114800</v>
      </c>
      <c r="V415" s="175" t="n">
        <f aca="false">U415</f>
        <v>114800</v>
      </c>
      <c r="W415" s="45" t="n">
        <f aca="false">U415/G415</f>
        <v>70</v>
      </c>
      <c r="X415" s="41" t="n">
        <f aca="false">SUM(U415-S415)/S415</f>
        <v>0.102785782901057</v>
      </c>
      <c r="Y415" s="175" t="s">
        <v>42</v>
      </c>
      <c r="Z415" s="186" t="s">
        <v>26</v>
      </c>
      <c r="AA415" s="186"/>
      <c r="AB415" s="175" t="s">
        <v>43</v>
      </c>
      <c r="AC415" s="226" t="s">
        <v>833</v>
      </c>
      <c r="AE415" s="172"/>
      <c r="AF415" s="180"/>
      <c r="AG415" s="182"/>
      <c r="AI415" s="181"/>
      <c r="AJ415" s="525" t="s">
        <v>1103</v>
      </c>
    </row>
    <row r="416" customFormat="false" ht="15" hidden="false" customHeight="false" outlineLevel="0" collapsed="false">
      <c r="A416" s="11" t="s">
        <v>189</v>
      </c>
      <c r="B416" s="11" t="s">
        <v>829</v>
      </c>
      <c r="C416" s="172" t="n">
        <v>111010</v>
      </c>
      <c r="D416" s="172" t="s">
        <v>828</v>
      </c>
      <c r="E416" s="172" t="s">
        <v>94</v>
      </c>
      <c r="F416" s="173" t="s">
        <v>90</v>
      </c>
      <c r="G416" s="175" t="n">
        <v>1641</v>
      </c>
      <c r="H416" s="175" t="n">
        <f aca="false">G416</f>
        <v>1641</v>
      </c>
      <c r="I416" s="175" t="n">
        <v>1500</v>
      </c>
      <c r="J416" s="109" t="s">
        <v>67</v>
      </c>
      <c r="K416" s="176"/>
      <c r="L416" s="176"/>
      <c r="M416" s="176" t="n">
        <v>44603</v>
      </c>
      <c r="N416" s="176"/>
      <c r="O416" s="176"/>
      <c r="P416" s="175" t="n">
        <v>0</v>
      </c>
      <c r="Q416" s="175" t="n">
        <f aca="false">P416</f>
        <v>0</v>
      </c>
      <c r="R416" s="9"/>
      <c r="S416" s="175" t="n">
        <v>120000</v>
      </c>
      <c r="T416" s="175" t="n">
        <f aca="false">S416</f>
        <v>120000</v>
      </c>
      <c r="U416" s="175" t="n">
        <v>114900</v>
      </c>
      <c r="V416" s="175" t="n">
        <f aca="false">U416</f>
        <v>114900</v>
      </c>
      <c r="W416" s="45" t="n">
        <f aca="false">U416/G416</f>
        <v>70.018281535649</v>
      </c>
      <c r="X416" s="41" t="n">
        <f aca="false">SUM(U416-S416)/S416</f>
        <v>-0.0425</v>
      </c>
      <c r="Y416" s="175" t="s">
        <v>42</v>
      </c>
      <c r="Z416" s="186" t="s">
        <v>26</v>
      </c>
      <c r="AA416" s="186"/>
      <c r="AB416" s="175" t="s">
        <v>43</v>
      </c>
      <c r="AC416" s="172" t="s">
        <v>119</v>
      </c>
      <c r="AD416" s="179" t="n">
        <v>75</v>
      </c>
      <c r="AE416" s="172" t="n">
        <v>1</v>
      </c>
      <c r="AF416" s="180" t="n">
        <v>1</v>
      </c>
      <c r="AG416" s="182" t="s">
        <v>57</v>
      </c>
      <c r="AI416" s="181"/>
      <c r="AJ416" s="525" t="s">
        <v>1104</v>
      </c>
    </row>
    <row r="417" customFormat="false" ht="15" hidden="false" customHeight="false" outlineLevel="0" collapsed="false">
      <c r="A417" s="11" t="s">
        <v>189</v>
      </c>
      <c r="B417" s="11" t="s">
        <v>829</v>
      </c>
      <c r="C417" s="172" t="n">
        <v>111010</v>
      </c>
      <c r="D417" s="172" t="s">
        <v>828</v>
      </c>
      <c r="E417" s="172" t="s">
        <v>834</v>
      </c>
      <c r="F417" s="173" t="s">
        <v>90</v>
      </c>
      <c r="G417" s="175" t="n">
        <v>1636</v>
      </c>
      <c r="H417" s="175" t="n">
        <f aca="false">G417</f>
        <v>1636</v>
      </c>
      <c r="I417" s="175" t="n">
        <v>1500</v>
      </c>
      <c r="J417" s="109" t="s">
        <v>67</v>
      </c>
      <c r="K417" s="176"/>
      <c r="L417" s="176"/>
      <c r="M417" s="176" t="n">
        <v>45579</v>
      </c>
      <c r="N417" s="176"/>
      <c r="O417" s="176"/>
      <c r="P417" s="175" t="n">
        <v>0</v>
      </c>
      <c r="Q417" s="175" t="n">
        <f aca="false">P417</f>
        <v>0</v>
      </c>
      <c r="R417" s="9"/>
      <c r="S417" s="175" t="n">
        <v>103900</v>
      </c>
      <c r="T417" s="175" t="n">
        <f aca="false">S417</f>
        <v>103900</v>
      </c>
      <c r="U417" s="175" t="n">
        <v>118600</v>
      </c>
      <c r="V417" s="175" t="n">
        <f aca="false">U417</f>
        <v>118600</v>
      </c>
      <c r="W417" s="45" t="n">
        <f aca="false">U417/G417</f>
        <v>72.4938875305624</v>
      </c>
      <c r="X417" s="41" t="n">
        <f aca="false">SUM(U417-S417)/S417</f>
        <v>0.141482194417709</v>
      </c>
      <c r="Y417" s="175" t="s">
        <v>55</v>
      </c>
      <c r="Z417" s="186" t="s">
        <v>26</v>
      </c>
      <c r="AA417" s="186"/>
      <c r="AB417" s="175" t="s">
        <v>43</v>
      </c>
      <c r="AC417" s="172" t="s">
        <v>119</v>
      </c>
      <c r="AD417" s="179" t="n">
        <v>75</v>
      </c>
      <c r="AE417" s="172" t="n">
        <v>1</v>
      </c>
      <c r="AF417" s="180" t="n">
        <v>1</v>
      </c>
      <c r="AG417" s="182" t="s">
        <v>599</v>
      </c>
      <c r="AI417" s="181"/>
      <c r="AJ417" s="525" t="s">
        <v>1104</v>
      </c>
    </row>
    <row r="418" customFormat="false" ht="19.4" hidden="false" customHeight="false" outlineLevel="0" collapsed="false">
      <c r="A418" s="11" t="s">
        <v>189</v>
      </c>
      <c r="B418" s="11" t="s">
        <v>829</v>
      </c>
      <c r="C418" s="172" t="n">
        <v>111010</v>
      </c>
      <c r="D418" s="172" t="s">
        <v>828</v>
      </c>
      <c r="E418" s="172" t="s">
        <v>180</v>
      </c>
      <c r="F418" s="173" t="s">
        <v>90</v>
      </c>
      <c r="G418" s="175" t="n">
        <v>1536</v>
      </c>
      <c r="H418" s="175" t="n">
        <f aca="false">G418</f>
        <v>1536</v>
      </c>
      <c r="I418" s="175" t="n">
        <v>1500</v>
      </c>
      <c r="J418" s="109" t="s">
        <v>835</v>
      </c>
      <c r="K418" s="176" t="n">
        <v>45464</v>
      </c>
      <c r="L418" s="176" t="n">
        <v>49115</v>
      </c>
      <c r="M418" s="176"/>
      <c r="N418" s="176" t="n">
        <v>47290</v>
      </c>
      <c r="O418" s="176" t="n">
        <v>47289</v>
      </c>
      <c r="P418" s="175" t="n">
        <v>52745</v>
      </c>
      <c r="Q418" s="175" t="n">
        <f aca="false">P418</f>
        <v>52745</v>
      </c>
      <c r="R418" s="9"/>
      <c r="S418" s="175" t="n">
        <v>97500</v>
      </c>
      <c r="T418" s="175" t="n">
        <f aca="false">S418</f>
        <v>97500</v>
      </c>
      <c r="U418" s="175" t="n">
        <v>105200</v>
      </c>
      <c r="V418" s="175" t="n">
        <f aca="false">U418</f>
        <v>105200</v>
      </c>
      <c r="W418" s="45" t="n">
        <f aca="false">U418/G418</f>
        <v>68.4895833333333</v>
      </c>
      <c r="X418" s="41" t="n">
        <f aca="false">SUM(U418-S418)/S418</f>
        <v>0.078974358974359</v>
      </c>
      <c r="Y418" s="175" t="s">
        <v>42</v>
      </c>
      <c r="Z418" s="186" t="s">
        <v>26</v>
      </c>
      <c r="AA418" s="186"/>
      <c r="AB418" s="175" t="s">
        <v>43</v>
      </c>
      <c r="AC418" s="172" t="s">
        <v>836</v>
      </c>
      <c r="AD418" s="179"/>
      <c r="AE418" s="172"/>
      <c r="AF418" s="180"/>
      <c r="AG418" s="182"/>
      <c r="AI418" s="181"/>
      <c r="AJ418" s="525" t="s">
        <v>1103</v>
      </c>
    </row>
    <row r="419" customFormat="false" ht="19.4" hidden="false" customHeight="false" outlineLevel="0" collapsed="false">
      <c r="A419" s="11" t="s">
        <v>189</v>
      </c>
      <c r="B419" s="171" t="s">
        <v>840</v>
      </c>
      <c r="C419" s="172" t="n">
        <v>888010</v>
      </c>
      <c r="D419" s="172" t="s">
        <v>839</v>
      </c>
      <c r="E419" s="172" t="s">
        <v>841</v>
      </c>
      <c r="F419" s="173" t="s">
        <v>49</v>
      </c>
      <c r="G419" s="175" t="n">
        <v>5662</v>
      </c>
      <c r="H419" s="175" t="n">
        <f aca="false">G419</f>
        <v>5662</v>
      </c>
      <c r="I419" s="175" t="n">
        <v>5500</v>
      </c>
      <c r="J419" s="109" t="s">
        <v>842</v>
      </c>
      <c r="K419" s="176" t="n">
        <v>45192</v>
      </c>
      <c r="L419" s="176" t="n">
        <v>48844</v>
      </c>
      <c r="M419" s="176"/>
      <c r="N419" s="176" t="n">
        <v>47019</v>
      </c>
      <c r="O419" s="176" t="n">
        <v>47018</v>
      </c>
      <c r="P419" s="175" t="n">
        <v>325000</v>
      </c>
      <c r="Q419" s="175" t="n">
        <f aca="false">P419</f>
        <v>325000</v>
      </c>
      <c r="R419" s="175"/>
      <c r="S419" s="175" t="n">
        <v>650000</v>
      </c>
      <c r="T419" s="175" t="n">
        <f aca="false">S419</f>
        <v>650000</v>
      </c>
      <c r="U419" s="175" t="n">
        <v>758000</v>
      </c>
      <c r="V419" s="175" t="n">
        <f aca="false">U419</f>
        <v>758000</v>
      </c>
      <c r="W419" s="45" t="n">
        <f aca="false">U419/G419</f>
        <v>133.874955845991</v>
      </c>
      <c r="X419" s="41" t="n">
        <f aca="false">SUM(U419-S419)/S419</f>
        <v>0.166153846153846</v>
      </c>
      <c r="Y419" s="175" t="s">
        <v>42</v>
      </c>
      <c r="Z419" s="186"/>
      <c r="AA419" s="186"/>
      <c r="AB419" s="524" t="s">
        <v>43</v>
      </c>
      <c r="AC419" s="172" t="s">
        <v>843</v>
      </c>
      <c r="AD419" s="179"/>
      <c r="AE419" s="172"/>
      <c r="AF419" s="180"/>
      <c r="AG419" s="182"/>
      <c r="AI419" s="181"/>
      <c r="AJ419" s="525" t="s">
        <v>1103</v>
      </c>
    </row>
    <row r="420" customFormat="false" ht="15" hidden="false" customHeight="false" outlineLevel="0" collapsed="false">
      <c r="A420" s="11" t="s">
        <v>189</v>
      </c>
      <c r="B420" s="171" t="s">
        <v>840</v>
      </c>
      <c r="C420" s="172" t="n">
        <v>888010</v>
      </c>
      <c r="D420" s="172" t="s">
        <v>839</v>
      </c>
      <c r="E420" s="109" t="s">
        <v>844</v>
      </c>
      <c r="F420" s="173" t="s">
        <v>49</v>
      </c>
      <c r="G420" s="175" t="n">
        <v>5350</v>
      </c>
      <c r="H420" s="175" t="n">
        <f aca="false">G420</f>
        <v>5350</v>
      </c>
      <c r="I420" s="175" t="n">
        <v>5500</v>
      </c>
      <c r="J420" s="109" t="s">
        <v>845</v>
      </c>
      <c r="K420" s="176" t="n">
        <v>40651</v>
      </c>
      <c r="L420" s="176" t="n">
        <v>46129</v>
      </c>
      <c r="M420" s="176"/>
      <c r="N420" s="176" t="n">
        <v>44304</v>
      </c>
      <c r="O420" s="176"/>
      <c r="P420" s="175" t="n">
        <v>730000</v>
      </c>
      <c r="Q420" s="175" t="n">
        <f aca="false">P420</f>
        <v>730000</v>
      </c>
      <c r="R420" s="175"/>
      <c r="S420" s="175" t="n">
        <v>400000</v>
      </c>
      <c r="T420" s="175" t="n">
        <f aca="false">S420</f>
        <v>400000</v>
      </c>
      <c r="U420" s="175" t="n">
        <v>450000</v>
      </c>
      <c r="V420" s="175" t="n">
        <f aca="false">U420</f>
        <v>450000</v>
      </c>
      <c r="W420" s="45" t="n">
        <f aca="false">U420/G420</f>
        <v>84.1121495327103</v>
      </c>
      <c r="X420" s="41" t="n">
        <f aca="false">SUM(U420-S420)/S420</f>
        <v>0.125</v>
      </c>
      <c r="Y420" s="175" t="s">
        <v>42</v>
      </c>
      <c r="Z420" s="186"/>
      <c r="AA420" s="186"/>
      <c r="AB420" s="524" t="s">
        <v>170</v>
      </c>
      <c r="AC420" s="172"/>
      <c r="AD420" s="179"/>
      <c r="AE420" s="172"/>
      <c r="AF420" s="180"/>
      <c r="AG420" s="182"/>
      <c r="AI420" s="181"/>
      <c r="AJ420" s="525" t="s">
        <v>1103</v>
      </c>
    </row>
    <row r="421" customFormat="false" ht="15" hidden="false" customHeight="false" outlineLevel="0" collapsed="false">
      <c r="A421" s="11" t="s">
        <v>189</v>
      </c>
      <c r="B421" s="171" t="s">
        <v>840</v>
      </c>
      <c r="C421" s="172" t="n">
        <v>888010</v>
      </c>
      <c r="D421" s="172" t="s">
        <v>839</v>
      </c>
      <c r="E421" s="172" t="s">
        <v>846</v>
      </c>
      <c r="F421" s="173" t="s">
        <v>49</v>
      </c>
      <c r="G421" s="175" t="n">
        <v>2044</v>
      </c>
      <c r="H421" s="175" t="n">
        <f aca="false">G421</f>
        <v>2044</v>
      </c>
      <c r="I421" s="175" t="n">
        <v>2000</v>
      </c>
      <c r="J421" s="109" t="s">
        <v>847</v>
      </c>
      <c r="K421" s="176" t="n">
        <v>42650</v>
      </c>
      <c r="L421" s="176" t="n">
        <v>46301</v>
      </c>
      <c r="M421" s="176"/>
      <c r="N421" s="176" t="n">
        <v>45885</v>
      </c>
      <c r="O421" s="176"/>
      <c r="P421" s="175" t="n">
        <v>115701</v>
      </c>
      <c r="Q421" s="175" t="n">
        <f aca="false">P421</f>
        <v>115701</v>
      </c>
      <c r="R421" s="175"/>
      <c r="S421" s="175" t="n">
        <v>110000</v>
      </c>
      <c r="T421" s="175" t="n">
        <f aca="false">S421</f>
        <v>110000</v>
      </c>
      <c r="U421" s="175" t="n">
        <v>112000</v>
      </c>
      <c r="V421" s="175" t="n">
        <f aca="false">U421</f>
        <v>112000</v>
      </c>
      <c r="W421" s="45" t="n">
        <f aca="false">U421/G421</f>
        <v>54.7945205479452</v>
      </c>
      <c r="X421" s="41" t="n">
        <f aca="false">SUM(U421-S421)/S421</f>
        <v>0.0181818181818182</v>
      </c>
      <c r="Y421" s="175" t="s">
        <v>55</v>
      </c>
      <c r="Z421" s="186"/>
      <c r="AA421" s="186"/>
      <c r="AB421" s="524" t="s">
        <v>43</v>
      </c>
      <c r="AC421" s="172" t="s">
        <v>848</v>
      </c>
      <c r="AD421" s="179"/>
      <c r="AE421" s="172"/>
      <c r="AF421" s="180"/>
      <c r="AG421" s="182"/>
      <c r="AI421" s="181"/>
      <c r="AJ421" s="525" t="s">
        <v>1103</v>
      </c>
    </row>
    <row r="422" customFormat="false" ht="15" hidden="false" customHeight="false" outlineLevel="0" collapsed="false">
      <c r="A422" s="11" t="s">
        <v>189</v>
      </c>
      <c r="B422" s="171" t="s">
        <v>840</v>
      </c>
      <c r="C422" s="172" t="n">
        <v>888010</v>
      </c>
      <c r="D422" s="172" t="s">
        <v>839</v>
      </c>
      <c r="E422" s="172" t="s">
        <v>849</v>
      </c>
      <c r="F422" s="173" t="s">
        <v>40</v>
      </c>
      <c r="G422" s="175" t="n">
        <v>4463</v>
      </c>
      <c r="H422" s="175" t="n">
        <f aca="false">G422</f>
        <v>4463</v>
      </c>
      <c r="I422" s="175" t="n">
        <v>4500</v>
      </c>
      <c r="J422" s="109" t="s">
        <v>850</v>
      </c>
      <c r="K422" s="176" t="n">
        <v>42286</v>
      </c>
      <c r="L422" s="176" t="n">
        <v>45938</v>
      </c>
      <c r="M422" s="176"/>
      <c r="N422" s="176" t="n">
        <v>44113</v>
      </c>
      <c r="O422" s="176"/>
      <c r="P422" s="175" t="n">
        <v>367290</v>
      </c>
      <c r="Q422" s="175" t="n">
        <f aca="false">P422</f>
        <v>367290</v>
      </c>
      <c r="R422" s="175"/>
      <c r="S422" s="175" t="n">
        <v>345000</v>
      </c>
      <c r="T422" s="175" t="n">
        <f aca="false">S422</f>
        <v>345000</v>
      </c>
      <c r="U422" s="175" t="n">
        <v>368000</v>
      </c>
      <c r="V422" s="175" t="n">
        <f aca="false">U422</f>
        <v>368000</v>
      </c>
      <c r="W422" s="45" t="n">
        <f aca="false">U422/G422</f>
        <v>82.4557472552095</v>
      </c>
      <c r="X422" s="41" t="n">
        <f aca="false">SUM(U422-S422)/S422</f>
        <v>0.0666666666666667</v>
      </c>
      <c r="Y422" s="175" t="s">
        <v>55</v>
      </c>
      <c r="Z422" s="186"/>
      <c r="AA422" s="186"/>
      <c r="AB422" s="524" t="s">
        <v>43</v>
      </c>
      <c r="AC422" s="172"/>
      <c r="AD422" s="179"/>
      <c r="AE422" s="172"/>
      <c r="AF422" s="180"/>
      <c r="AG422" s="182"/>
      <c r="AI422" s="181"/>
      <c r="AJ422" s="525" t="s">
        <v>1103</v>
      </c>
    </row>
    <row r="423" customFormat="false" ht="15" hidden="false" customHeight="false" outlineLevel="0" collapsed="false">
      <c r="A423" s="11" t="s">
        <v>189</v>
      </c>
      <c r="B423" s="171" t="s">
        <v>840</v>
      </c>
      <c r="C423" s="172" t="n">
        <v>888010</v>
      </c>
      <c r="D423" s="172" t="s">
        <v>839</v>
      </c>
      <c r="E423" s="172" t="s">
        <v>851</v>
      </c>
      <c r="F423" s="173" t="s">
        <v>40</v>
      </c>
      <c r="G423" s="175" t="n">
        <v>4462</v>
      </c>
      <c r="H423" s="175" t="n">
        <f aca="false">G423</f>
        <v>4462</v>
      </c>
      <c r="I423" s="175" t="n">
        <v>4500</v>
      </c>
      <c r="J423" s="109" t="s">
        <v>67</v>
      </c>
      <c r="K423" s="176"/>
      <c r="L423" s="176"/>
      <c r="M423" s="176" t="n">
        <v>45490</v>
      </c>
      <c r="N423" s="176"/>
      <c r="O423" s="176"/>
      <c r="P423" s="175" t="n">
        <v>0</v>
      </c>
      <c r="Q423" s="175" t="n">
        <f aca="false">P423</f>
        <v>0</v>
      </c>
      <c r="R423" s="175"/>
      <c r="S423" s="175" t="n">
        <v>357800</v>
      </c>
      <c r="T423" s="175" t="n">
        <f aca="false">S423</f>
        <v>357800</v>
      </c>
      <c r="U423" s="175" t="n">
        <v>379000</v>
      </c>
      <c r="V423" s="175" t="n">
        <f aca="false">U423</f>
        <v>379000</v>
      </c>
      <c r="W423" s="45" t="n">
        <f aca="false">U423/G423</f>
        <v>84.9394890183774</v>
      </c>
      <c r="X423" s="41" t="n">
        <f aca="false">SUM(U423-S423)/S423</f>
        <v>0.0592509782001118</v>
      </c>
      <c r="Y423" s="175" t="s">
        <v>458</v>
      </c>
      <c r="Z423" s="186"/>
      <c r="AA423" s="186"/>
      <c r="AB423" s="186"/>
      <c r="AC423" s="4" t="s">
        <v>68</v>
      </c>
      <c r="AD423" s="244" t="n">
        <v>85</v>
      </c>
      <c r="AE423" s="245" t="n">
        <v>2</v>
      </c>
      <c r="AF423" s="246" t="n">
        <v>7</v>
      </c>
      <c r="AG423" s="243" t="s">
        <v>852</v>
      </c>
      <c r="AI423" s="181"/>
      <c r="AJ423" s="525" t="s">
        <v>1104</v>
      </c>
    </row>
    <row r="424" customFormat="false" ht="28.35" hidden="false" customHeight="false" outlineLevel="0" collapsed="false">
      <c r="A424" s="11" t="s">
        <v>189</v>
      </c>
      <c r="B424" s="171" t="s">
        <v>840</v>
      </c>
      <c r="C424" s="172" t="n">
        <v>888010</v>
      </c>
      <c r="D424" s="172" t="s">
        <v>839</v>
      </c>
      <c r="E424" s="172" t="s">
        <v>853</v>
      </c>
      <c r="F424" s="173" t="s">
        <v>40</v>
      </c>
      <c r="G424" s="175" t="n">
        <v>4250</v>
      </c>
      <c r="H424" s="175" t="n">
        <f aca="false">G424</f>
        <v>4250</v>
      </c>
      <c r="I424" s="175" t="n">
        <v>4500</v>
      </c>
      <c r="J424" s="109" t="s">
        <v>854</v>
      </c>
      <c r="K424" s="176" t="n">
        <v>45786</v>
      </c>
      <c r="L424" s="176" t="n">
        <v>49437</v>
      </c>
      <c r="M424" s="176"/>
      <c r="N424" s="176" t="n">
        <v>47612</v>
      </c>
      <c r="O424" s="176" t="n">
        <v>11086</v>
      </c>
      <c r="P424" s="175" t="n">
        <v>0</v>
      </c>
      <c r="Q424" s="175" t="n">
        <f aca="false">P424</f>
        <v>0</v>
      </c>
      <c r="R424" s="175"/>
      <c r="S424" s="175" t="n">
        <v>358600</v>
      </c>
      <c r="T424" s="175" t="n">
        <f aca="false">S424</f>
        <v>358600</v>
      </c>
      <c r="U424" s="175" t="n">
        <v>361000</v>
      </c>
      <c r="V424" s="175" t="n">
        <f aca="false">U424</f>
        <v>361000</v>
      </c>
      <c r="W424" s="45" t="n">
        <f aca="false">U424/G424</f>
        <v>84.9411764705882</v>
      </c>
      <c r="X424" s="41" t="n">
        <f aca="false">SUM(U424-S424)/S424</f>
        <v>0.00669269380925823</v>
      </c>
      <c r="Y424" s="175" t="s">
        <v>458</v>
      </c>
      <c r="Z424" s="186"/>
      <c r="AA424" s="186"/>
      <c r="AB424" s="186"/>
      <c r="AC424" s="172" t="s">
        <v>855</v>
      </c>
      <c r="AD424" s="179" t="n">
        <v>85</v>
      </c>
      <c r="AE424" s="247" t="n">
        <v>1</v>
      </c>
      <c r="AF424" s="246" t="n">
        <v>5</v>
      </c>
      <c r="AG424" s="243" t="s">
        <v>852</v>
      </c>
      <c r="AI424" s="181"/>
      <c r="AJ424" s="525" t="s">
        <v>1103</v>
      </c>
    </row>
    <row r="425" customFormat="false" ht="37.3" hidden="false" customHeight="false" outlineLevel="0" collapsed="false">
      <c r="A425" s="11" t="s">
        <v>189</v>
      </c>
      <c r="B425" s="171" t="s">
        <v>840</v>
      </c>
      <c r="C425" s="172" t="n">
        <v>888010</v>
      </c>
      <c r="D425" s="172" t="s">
        <v>839</v>
      </c>
      <c r="E425" s="172" t="s">
        <v>856</v>
      </c>
      <c r="F425" s="173" t="s">
        <v>40</v>
      </c>
      <c r="G425" s="175" t="n">
        <v>3999</v>
      </c>
      <c r="H425" s="175" t="n">
        <f aca="false">G425</f>
        <v>3999</v>
      </c>
      <c r="I425" s="175" t="n">
        <v>4000</v>
      </c>
      <c r="J425" s="109" t="s">
        <v>857</v>
      </c>
      <c r="K425" s="176" t="n">
        <v>44183</v>
      </c>
      <c r="L425" s="185" t="n">
        <v>46373</v>
      </c>
      <c r="M425" s="176"/>
      <c r="N425" s="176"/>
      <c r="O425" s="176"/>
      <c r="P425" s="175" t="n">
        <v>348163</v>
      </c>
      <c r="Q425" s="175" t="n">
        <f aca="false">P425</f>
        <v>348163</v>
      </c>
      <c r="R425" s="175"/>
      <c r="S425" s="175" t="n">
        <v>352000</v>
      </c>
      <c r="T425" s="175" t="n">
        <f aca="false">S425</f>
        <v>352000</v>
      </c>
      <c r="U425" s="175" t="n">
        <v>350000</v>
      </c>
      <c r="V425" s="175" t="n">
        <f aca="false">U425</f>
        <v>350000</v>
      </c>
      <c r="W425" s="45" t="n">
        <f aca="false">U425/G425</f>
        <v>87.5218804701175</v>
      </c>
      <c r="X425" s="41" t="n">
        <f aca="false">SUM(U425-S425)/S425</f>
        <v>-0.00568181818181818</v>
      </c>
      <c r="Y425" s="175" t="s">
        <v>55</v>
      </c>
      <c r="Z425" s="186"/>
      <c r="AA425" s="186"/>
      <c r="AB425" s="524" t="s">
        <v>43</v>
      </c>
      <c r="AC425" s="223" t="s">
        <v>858</v>
      </c>
      <c r="AD425" s="179"/>
      <c r="AE425" s="172"/>
      <c r="AF425" s="180"/>
      <c r="AG425" s="182"/>
      <c r="AI425" s="181"/>
      <c r="AJ425" s="525" t="s">
        <v>1103</v>
      </c>
    </row>
    <row r="426" customFormat="false" ht="37.3" hidden="false" customHeight="false" outlineLevel="0" collapsed="false">
      <c r="A426" s="11" t="s">
        <v>189</v>
      </c>
      <c r="B426" s="171" t="s">
        <v>840</v>
      </c>
      <c r="C426" s="172" t="n">
        <v>888010</v>
      </c>
      <c r="D426" s="172" t="s">
        <v>839</v>
      </c>
      <c r="E426" s="172" t="s">
        <v>859</v>
      </c>
      <c r="F426" s="173" t="s">
        <v>40</v>
      </c>
      <c r="G426" s="175" t="n">
        <v>3145</v>
      </c>
      <c r="H426" s="175" t="n">
        <f aca="false">G426</f>
        <v>3145</v>
      </c>
      <c r="I426" s="175" t="n">
        <v>3000</v>
      </c>
      <c r="J426" s="109" t="s">
        <v>857</v>
      </c>
      <c r="K426" s="176" t="n">
        <v>44217</v>
      </c>
      <c r="L426" s="185" t="n">
        <v>46373</v>
      </c>
      <c r="M426" s="176"/>
      <c r="N426" s="176"/>
      <c r="O426" s="176"/>
      <c r="P426" s="175" t="n">
        <v>281873</v>
      </c>
      <c r="Q426" s="175" t="n">
        <f aca="false">P426</f>
        <v>281873</v>
      </c>
      <c r="R426" s="175"/>
      <c r="S426" s="175" t="n">
        <v>284800</v>
      </c>
      <c r="T426" s="175" t="n">
        <f aca="false">S426</f>
        <v>284800</v>
      </c>
      <c r="U426" s="175" t="n">
        <v>283000</v>
      </c>
      <c r="V426" s="175" t="n">
        <f aca="false">U426</f>
        <v>283000</v>
      </c>
      <c r="W426" s="45" t="n">
        <f aca="false">U426/G426</f>
        <v>89.9841017488076</v>
      </c>
      <c r="X426" s="41" t="n">
        <f aca="false">SUM(U426-S426)/S426</f>
        <v>-0.00632022471910112</v>
      </c>
      <c r="Y426" s="175" t="s">
        <v>55</v>
      </c>
      <c r="Z426" s="186"/>
      <c r="AA426" s="186"/>
      <c r="AB426" s="524" t="s">
        <v>43</v>
      </c>
      <c r="AC426" s="223" t="s">
        <v>858</v>
      </c>
      <c r="AD426" s="179"/>
      <c r="AE426" s="172"/>
      <c r="AF426" s="180"/>
      <c r="AG426" s="172"/>
      <c r="AI426" s="181"/>
      <c r="AJ426" s="525" t="s">
        <v>1103</v>
      </c>
    </row>
    <row r="427" customFormat="false" ht="15" hidden="false" customHeight="false" outlineLevel="0" collapsed="false">
      <c r="A427" s="11" t="s">
        <v>189</v>
      </c>
      <c r="B427" s="171" t="s">
        <v>840</v>
      </c>
      <c r="C427" s="172" t="n">
        <v>888010</v>
      </c>
      <c r="D427" s="172" t="s">
        <v>839</v>
      </c>
      <c r="E427" s="172" t="s">
        <v>754</v>
      </c>
      <c r="F427" s="173" t="s">
        <v>168</v>
      </c>
      <c r="G427" s="175" t="n">
        <v>0</v>
      </c>
      <c r="H427" s="175" t="n">
        <f aca="false">G427</f>
        <v>0</v>
      </c>
      <c r="I427" s="175"/>
      <c r="J427" s="109" t="s">
        <v>860</v>
      </c>
      <c r="K427" s="248" t="n">
        <v>20814</v>
      </c>
      <c r="L427" s="248" t="n">
        <v>39073</v>
      </c>
      <c r="M427" s="248"/>
      <c r="N427" s="176"/>
      <c r="O427" s="176"/>
      <c r="P427" s="175" t="n">
        <v>0</v>
      </c>
      <c r="Q427" s="175" t="n">
        <f aca="false">P427</f>
        <v>0</v>
      </c>
      <c r="R427" s="175"/>
      <c r="S427" s="175" t="n">
        <v>0</v>
      </c>
      <c r="T427" s="175" t="n">
        <f aca="false">S427</f>
        <v>0</v>
      </c>
      <c r="U427" s="175" t="n">
        <v>0</v>
      </c>
      <c r="V427" s="175" t="n">
        <f aca="false">U427</f>
        <v>0</v>
      </c>
      <c r="W427" s="45"/>
      <c r="X427" s="41"/>
      <c r="Y427" s="175"/>
      <c r="Z427" s="186"/>
      <c r="AA427" s="186"/>
      <c r="AB427" s="524" t="s">
        <v>170</v>
      </c>
      <c r="AC427" s="172" t="s">
        <v>861</v>
      </c>
      <c r="AD427" s="179"/>
      <c r="AE427" s="172"/>
      <c r="AF427" s="180"/>
      <c r="AG427" s="172"/>
      <c r="AI427" s="181"/>
      <c r="AJ427" s="525" t="s">
        <v>1103</v>
      </c>
    </row>
    <row r="428" customFormat="false" ht="15" hidden="false" customHeight="true" outlineLevel="0" collapsed="false">
      <c r="AJ428" s="525"/>
    </row>
    <row r="429" customFormat="false" ht="15" hidden="false" customHeight="true" outlineLevel="0" collapsed="false">
      <c r="AJ429" s="525"/>
    </row>
    <row r="430" customFormat="false" ht="15" hidden="false" customHeight="true" outlineLevel="0" collapsed="false">
      <c r="AJ430" s="525"/>
    </row>
    <row r="431" customFormat="false" ht="15" hidden="false" customHeight="true" outlineLevel="0" collapsed="false">
      <c r="AJ431" s="525"/>
    </row>
    <row r="432" customFormat="false" ht="15" hidden="false" customHeight="true" outlineLevel="0" collapsed="false">
      <c r="AJ432" s="525"/>
    </row>
    <row r="433" customFormat="false" ht="15" hidden="false" customHeight="true" outlineLevel="0" collapsed="false">
      <c r="AJ433" s="525"/>
    </row>
    <row r="434" customFormat="false" ht="15" hidden="false" customHeight="true" outlineLevel="0" collapsed="false">
      <c r="AJ434" s="525"/>
    </row>
    <row r="435" customFormat="false" ht="15" hidden="false" customHeight="true" outlineLevel="0" collapsed="false">
      <c r="AJ435" s="525"/>
    </row>
    <row r="436" customFormat="false" ht="15" hidden="false" customHeight="true" outlineLevel="0" collapsed="false">
      <c r="AJ436" s="525"/>
    </row>
    <row r="437" customFormat="false" ht="15" hidden="false" customHeight="true" outlineLevel="0" collapsed="false">
      <c r="AJ437" s="525"/>
    </row>
    <row r="438" customFormat="false" ht="15" hidden="false" customHeight="true" outlineLevel="0" collapsed="false">
      <c r="AJ438" s="525"/>
    </row>
    <row r="439" customFormat="false" ht="15" hidden="false" customHeight="true" outlineLevel="0" collapsed="false">
      <c r="AJ439" s="525"/>
    </row>
    <row r="440" customFormat="false" ht="15" hidden="false" customHeight="true" outlineLevel="0" collapsed="false">
      <c r="AJ440" s="525"/>
    </row>
    <row r="441" customFormat="false" ht="15" hidden="false" customHeight="true" outlineLevel="0" collapsed="false">
      <c r="AJ441" s="525"/>
    </row>
    <row r="442" customFormat="false" ht="15" hidden="false" customHeight="true" outlineLevel="0" collapsed="false">
      <c r="AJ442" s="525"/>
    </row>
    <row r="443" customFormat="false" ht="15" hidden="false" customHeight="true" outlineLevel="0" collapsed="false">
      <c r="AJ443" s="525"/>
    </row>
    <row r="444" customFormat="false" ht="15" hidden="false" customHeight="true" outlineLevel="0" collapsed="false">
      <c r="AJ444" s="525"/>
    </row>
    <row r="445" customFormat="false" ht="15" hidden="false" customHeight="true" outlineLevel="0" collapsed="false">
      <c r="AJ445" s="525"/>
    </row>
    <row r="446" customFormat="false" ht="15" hidden="false" customHeight="true" outlineLevel="0" collapsed="false">
      <c r="AJ446" s="525"/>
    </row>
    <row r="447" customFormat="false" ht="15" hidden="false" customHeight="true" outlineLevel="0" collapsed="false">
      <c r="AJ447" s="525"/>
    </row>
    <row r="448" customFormat="false" ht="15" hidden="false" customHeight="true" outlineLevel="0" collapsed="false">
      <c r="AJ448" s="525"/>
    </row>
    <row r="449" customFormat="false" ht="15" hidden="false" customHeight="true" outlineLevel="0" collapsed="false">
      <c r="AJ449" s="525"/>
    </row>
    <row r="450" customFormat="false" ht="15" hidden="false" customHeight="true" outlineLevel="0" collapsed="false">
      <c r="AJ450" s="525"/>
    </row>
    <row r="451" customFormat="false" ht="15" hidden="false" customHeight="true" outlineLevel="0" collapsed="false">
      <c r="AJ451" s="525"/>
    </row>
    <row r="452" customFormat="false" ht="15" hidden="false" customHeight="true" outlineLevel="0" collapsed="false">
      <c r="AJ452" s="525"/>
    </row>
    <row r="453" customFormat="false" ht="15" hidden="false" customHeight="true" outlineLevel="0" collapsed="false">
      <c r="AJ453" s="525"/>
    </row>
    <row r="454" customFormat="false" ht="15" hidden="false" customHeight="true" outlineLevel="0" collapsed="false">
      <c r="AJ454" s="525"/>
    </row>
    <row r="455" customFormat="false" ht="15" hidden="false" customHeight="true" outlineLevel="0" collapsed="false">
      <c r="AJ455" s="525"/>
    </row>
    <row r="456" customFormat="false" ht="15" hidden="false" customHeight="true" outlineLevel="0" collapsed="false">
      <c r="AJ456" s="525"/>
    </row>
    <row r="457" customFormat="false" ht="15" hidden="false" customHeight="true" outlineLevel="0" collapsed="false">
      <c r="AJ457" s="525"/>
    </row>
    <row r="458" customFormat="false" ht="15" hidden="false" customHeight="true" outlineLevel="0" collapsed="false">
      <c r="AJ458" s="525"/>
    </row>
    <row r="459" customFormat="false" ht="15" hidden="false" customHeight="true" outlineLevel="0" collapsed="false">
      <c r="AJ459" s="525"/>
    </row>
    <row r="460" customFormat="false" ht="15" hidden="false" customHeight="true" outlineLevel="0" collapsed="false">
      <c r="AJ460" s="525"/>
    </row>
    <row r="461" customFormat="false" ht="15" hidden="false" customHeight="true" outlineLevel="0" collapsed="false">
      <c r="AJ461" s="525"/>
    </row>
    <row r="462" customFormat="false" ht="15" hidden="false" customHeight="true" outlineLevel="0" collapsed="false">
      <c r="AJ462" s="525"/>
    </row>
    <row r="463" customFormat="false" ht="15" hidden="false" customHeight="true" outlineLevel="0" collapsed="false">
      <c r="AJ463" s="525"/>
    </row>
    <row r="464" customFormat="false" ht="15" hidden="false" customHeight="true" outlineLevel="0" collapsed="false">
      <c r="AJ464" s="525"/>
    </row>
    <row r="465" customFormat="false" ht="15" hidden="false" customHeight="true" outlineLevel="0" collapsed="false">
      <c r="AJ465" s="525"/>
    </row>
    <row r="466" customFormat="false" ht="15" hidden="false" customHeight="true" outlineLevel="0" collapsed="false">
      <c r="AJ466" s="525"/>
    </row>
    <row r="467" customFormat="false" ht="15" hidden="false" customHeight="true" outlineLevel="0" collapsed="false">
      <c r="AJ467" s="525"/>
    </row>
    <row r="468" customFormat="false" ht="15" hidden="false" customHeight="true" outlineLevel="0" collapsed="false">
      <c r="AJ468" s="525"/>
    </row>
    <row r="469" customFormat="false" ht="15" hidden="false" customHeight="true" outlineLevel="0" collapsed="false">
      <c r="AJ469" s="525"/>
    </row>
    <row r="470" customFormat="false" ht="15" hidden="false" customHeight="true" outlineLevel="0" collapsed="false">
      <c r="AJ470" s="525"/>
    </row>
    <row r="471" customFormat="false" ht="15" hidden="false" customHeight="true" outlineLevel="0" collapsed="false">
      <c r="AJ471" s="525"/>
    </row>
    <row r="472" customFormat="false" ht="15" hidden="false" customHeight="true" outlineLevel="0" collapsed="false">
      <c r="AJ472" s="525"/>
    </row>
    <row r="473" customFormat="false" ht="15" hidden="false" customHeight="true" outlineLevel="0" collapsed="false">
      <c r="AJ473" s="525"/>
    </row>
    <row r="474" customFormat="false" ht="15" hidden="false" customHeight="true" outlineLevel="0" collapsed="false">
      <c r="AJ474" s="525"/>
    </row>
    <row r="475" customFormat="false" ht="15" hidden="false" customHeight="true" outlineLevel="0" collapsed="false">
      <c r="AJ475" s="525"/>
    </row>
    <row r="476" customFormat="false" ht="15" hidden="false" customHeight="true" outlineLevel="0" collapsed="false">
      <c r="AJ476" s="525"/>
    </row>
    <row r="477" customFormat="false" ht="15" hidden="false" customHeight="true" outlineLevel="0" collapsed="false">
      <c r="AJ477" s="525"/>
    </row>
    <row r="478" customFormat="false" ht="15" hidden="false" customHeight="true" outlineLevel="0" collapsed="false">
      <c r="AJ478" s="525"/>
    </row>
    <row r="479" customFormat="false" ht="15" hidden="false" customHeight="true" outlineLevel="0" collapsed="false">
      <c r="AJ479" s="525"/>
    </row>
    <row r="480" customFormat="false" ht="15" hidden="false" customHeight="true" outlineLevel="0" collapsed="false">
      <c r="AJ480" s="525"/>
    </row>
    <row r="481" customFormat="false" ht="15" hidden="false" customHeight="true" outlineLevel="0" collapsed="false">
      <c r="AJ481" s="525"/>
    </row>
    <row r="482" customFormat="false" ht="15" hidden="false" customHeight="true" outlineLevel="0" collapsed="false">
      <c r="AJ482" s="525"/>
    </row>
    <row r="483" customFormat="false" ht="15" hidden="false" customHeight="true" outlineLevel="0" collapsed="false">
      <c r="AJ483" s="525"/>
    </row>
    <row r="484" customFormat="false" ht="15" hidden="false" customHeight="true" outlineLevel="0" collapsed="false">
      <c r="AJ484" s="525"/>
    </row>
    <row r="485" customFormat="false" ht="15" hidden="false" customHeight="true" outlineLevel="0" collapsed="false">
      <c r="AJ485" s="525"/>
    </row>
    <row r="486" customFormat="false" ht="15" hidden="false" customHeight="true" outlineLevel="0" collapsed="false">
      <c r="AJ486" s="525"/>
    </row>
    <row r="487" customFormat="false" ht="15" hidden="false" customHeight="true" outlineLevel="0" collapsed="false">
      <c r="AJ487" s="525"/>
    </row>
    <row r="488" customFormat="false" ht="15" hidden="false" customHeight="true" outlineLevel="0" collapsed="false">
      <c r="AJ488" s="525"/>
    </row>
    <row r="489" customFormat="false" ht="15" hidden="false" customHeight="true" outlineLevel="0" collapsed="false">
      <c r="AJ489" s="525"/>
    </row>
    <row r="490" customFormat="false" ht="15" hidden="false" customHeight="true" outlineLevel="0" collapsed="false">
      <c r="AJ490" s="525"/>
    </row>
    <row r="491" customFormat="false" ht="15" hidden="false" customHeight="true" outlineLevel="0" collapsed="false">
      <c r="AJ491" s="525"/>
    </row>
    <row r="492" customFormat="false" ht="15" hidden="false" customHeight="true" outlineLevel="0" collapsed="false">
      <c r="AJ492" s="525"/>
    </row>
    <row r="493" customFormat="false" ht="15" hidden="false" customHeight="true" outlineLevel="0" collapsed="false">
      <c r="AJ493" s="525"/>
    </row>
    <row r="494" customFormat="false" ht="15" hidden="false" customHeight="true" outlineLevel="0" collapsed="false">
      <c r="AJ494" s="525"/>
    </row>
    <row r="495" customFormat="false" ht="15" hidden="false" customHeight="true" outlineLevel="0" collapsed="false">
      <c r="AJ495" s="525"/>
    </row>
    <row r="496" customFormat="false" ht="15" hidden="false" customHeight="true" outlineLevel="0" collapsed="false">
      <c r="AJ496" s="525"/>
    </row>
    <row r="497" customFormat="false" ht="15" hidden="false" customHeight="true" outlineLevel="0" collapsed="false">
      <c r="AJ497" s="525"/>
    </row>
    <row r="498" customFormat="false" ht="15" hidden="false" customHeight="true" outlineLevel="0" collapsed="false">
      <c r="AJ498" s="525"/>
    </row>
    <row r="499" customFormat="false" ht="15" hidden="false" customHeight="true" outlineLevel="0" collapsed="false">
      <c r="AJ499" s="525"/>
    </row>
    <row r="500" customFormat="false" ht="15" hidden="false" customHeight="true" outlineLevel="0" collapsed="false">
      <c r="AJ500" s="525"/>
    </row>
    <row r="501" customFormat="false" ht="15" hidden="false" customHeight="true" outlineLevel="0" collapsed="false">
      <c r="AJ501" s="525"/>
    </row>
    <row r="502" customFormat="false" ht="15" hidden="false" customHeight="true" outlineLevel="0" collapsed="false">
      <c r="AJ502" s="525"/>
    </row>
    <row r="503" customFormat="false" ht="15" hidden="false" customHeight="true" outlineLevel="0" collapsed="false">
      <c r="AJ503" s="525"/>
    </row>
    <row r="504" customFormat="false" ht="15" hidden="false" customHeight="true" outlineLevel="0" collapsed="false">
      <c r="AJ504" s="525"/>
    </row>
    <row r="505" customFormat="false" ht="15" hidden="false" customHeight="true" outlineLevel="0" collapsed="false">
      <c r="AJ505" s="525"/>
    </row>
    <row r="506" customFormat="false" ht="15" hidden="false" customHeight="true" outlineLevel="0" collapsed="false">
      <c r="AJ506" s="525"/>
    </row>
    <row r="507" customFormat="false" ht="15" hidden="false" customHeight="true" outlineLevel="0" collapsed="false">
      <c r="AJ507" s="525"/>
    </row>
    <row r="508" customFormat="false" ht="15" hidden="false" customHeight="true" outlineLevel="0" collapsed="false">
      <c r="AJ508" s="525"/>
    </row>
    <row r="509" customFormat="false" ht="15" hidden="false" customHeight="true" outlineLevel="0" collapsed="false">
      <c r="AJ509" s="525"/>
    </row>
    <row r="510" customFormat="false" ht="15" hidden="false" customHeight="true" outlineLevel="0" collapsed="false">
      <c r="AJ510" s="525"/>
    </row>
    <row r="511" customFormat="false" ht="15" hidden="false" customHeight="true" outlineLevel="0" collapsed="false">
      <c r="AJ511" s="525"/>
    </row>
    <row r="512" customFormat="false" ht="15" hidden="false" customHeight="true" outlineLevel="0" collapsed="false">
      <c r="AJ512" s="525"/>
    </row>
    <row r="513" customFormat="false" ht="15" hidden="false" customHeight="true" outlineLevel="0" collapsed="false">
      <c r="AJ513" s="525"/>
    </row>
    <row r="514" customFormat="false" ht="15" hidden="false" customHeight="true" outlineLevel="0" collapsed="false">
      <c r="AJ514" s="525"/>
    </row>
    <row r="515" customFormat="false" ht="15" hidden="false" customHeight="true" outlineLevel="0" collapsed="false">
      <c r="AJ515" s="525"/>
    </row>
    <row r="516" customFormat="false" ht="15" hidden="false" customHeight="true" outlineLevel="0" collapsed="false">
      <c r="AJ516" s="525"/>
    </row>
    <row r="517" customFormat="false" ht="15" hidden="false" customHeight="true" outlineLevel="0" collapsed="false">
      <c r="AJ517" s="525"/>
    </row>
    <row r="518" customFormat="false" ht="15" hidden="false" customHeight="true" outlineLevel="0" collapsed="false">
      <c r="AJ518" s="525"/>
    </row>
    <row r="519" customFormat="false" ht="15" hidden="false" customHeight="true" outlineLevel="0" collapsed="false">
      <c r="AJ519" s="525"/>
    </row>
    <row r="520" customFormat="false" ht="15" hidden="false" customHeight="true" outlineLevel="0" collapsed="false">
      <c r="AJ520" s="525"/>
    </row>
    <row r="521" customFormat="false" ht="15" hidden="false" customHeight="true" outlineLevel="0" collapsed="false">
      <c r="AJ521" s="525"/>
    </row>
    <row r="522" customFormat="false" ht="15" hidden="false" customHeight="true" outlineLevel="0" collapsed="false">
      <c r="AJ522" s="525"/>
    </row>
    <row r="523" customFormat="false" ht="15" hidden="false" customHeight="true" outlineLevel="0" collapsed="false">
      <c r="AJ523" s="525"/>
    </row>
    <row r="524" customFormat="false" ht="15" hidden="false" customHeight="true" outlineLevel="0" collapsed="false">
      <c r="AJ524" s="525"/>
    </row>
    <row r="525" customFormat="false" ht="15" hidden="false" customHeight="true" outlineLevel="0" collapsed="false">
      <c r="AJ525" s="525"/>
    </row>
    <row r="526" customFormat="false" ht="15" hidden="false" customHeight="true" outlineLevel="0" collapsed="false">
      <c r="AJ526" s="525"/>
    </row>
    <row r="527" customFormat="false" ht="15" hidden="false" customHeight="true" outlineLevel="0" collapsed="false">
      <c r="AJ527" s="525"/>
    </row>
    <row r="528" customFormat="false" ht="15" hidden="false" customHeight="true" outlineLevel="0" collapsed="false">
      <c r="AJ528" s="525"/>
    </row>
    <row r="529" customFormat="false" ht="15" hidden="false" customHeight="true" outlineLevel="0" collapsed="false">
      <c r="AJ529" s="525"/>
    </row>
    <row r="530" customFormat="false" ht="15" hidden="false" customHeight="true" outlineLevel="0" collapsed="false">
      <c r="AJ530" s="525"/>
    </row>
    <row r="531" customFormat="false" ht="15" hidden="false" customHeight="true" outlineLevel="0" collapsed="false">
      <c r="AJ531" s="525"/>
    </row>
    <row r="532" customFormat="false" ht="15" hidden="false" customHeight="true" outlineLevel="0" collapsed="false">
      <c r="AJ532" s="525"/>
    </row>
    <row r="533" customFormat="false" ht="15" hidden="false" customHeight="true" outlineLevel="0" collapsed="false">
      <c r="AJ533" s="525"/>
    </row>
    <row r="534" customFormat="false" ht="15" hidden="false" customHeight="true" outlineLevel="0" collapsed="false">
      <c r="AJ534" s="525"/>
    </row>
    <row r="535" customFormat="false" ht="15" hidden="false" customHeight="true" outlineLevel="0" collapsed="false">
      <c r="AJ535" s="525"/>
    </row>
    <row r="536" customFormat="false" ht="15" hidden="false" customHeight="true" outlineLevel="0" collapsed="false">
      <c r="AJ536" s="525"/>
    </row>
    <row r="537" customFormat="false" ht="15" hidden="false" customHeight="true" outlineLevel="0" collapsed="false">
      <c r="AJ537" s="525"/>
    </row>
    <row r="538" customFormat="false" ht="15" hidden="false" customHeight="true" outlineLevel="0" collapsed="false">
      <c r="AJ538" s="525"/>
    </row>
    <row r="539" customFormat="false" ht="15" hidden="false" customHeight="true" outlineLevel="0" collapsed="false">
      <c r="AJ539" s="525"/>
    </row>
    <row r="540" customFormat="false" ht="15" hidden="false" customHeight="true" outlineLevel="0" collapsed="false">
      <c r="AJ540" s="525"/>
    </row>
    <row r="541" customFormat="false" ht="15" hidden="false" customHeight="true" outlineLevel="0" collapsed="false">
      <c r="AJ541" s="525"/>
    </row>
    <row r="542" customFormat="false" ht="15" hidden="false" customHeight="true" outlineLevel="0" collapsed="false">
      <c r="AJ542" s="525"/>
    </row>
    <row r="543" customFormat="false" ht="15" hidden="false" customHeight="true" outlineLevel="0" collapsed="false">
      <c r="AJ543" s="525"/>
    </row>
    <row r="544" customFormat="false" ht="15" hidden="false" customHeight="true" outlineLevel="0" collapsed="false">
      <c r="AJ544" s="525"/>
    </row>
    <row r="545" customFormat="false" ht="15" hidden="false" customHeight="true" outlineLevel="0" collapsed="false">
      <c r="AJ545" s="525"/>
    </row>
    <row r="546" customFormat="false" ht="15" hidden="false" customHeight="true" outlineLevel="0" collapsed="false">
      <c r="AJ546" s="525"/>
    </row>
    <row r="547" customFormat="false" ht="15" hidden="false" customHeight="true" outlineLevel="0" collapsed="false">
      <c r="AJ547" s="525"/>
    </row>
    <row r="548" customFormat="false" ht="15" hidden="false" customHeight="true" outlineLevel="0" collapsed="false">
      <c r="AJ548" s="525"/>
    </row>
    <row r="549" customFormat="false" ht="15" hidden="false" customHeight="true" outlineLevel="0" collapsed="false">
      <c r="AJ549" s="525"/>
    </row>
    <row r="550" customFormat="false" ht="15" hidden="false" customHeight="true" outlineLevel="0" collapsed="false">
      <c r="AJ550" s="525"/>
    </row>
    <row r="551" customFormat="false" ht="15" hidden="false" customHeight="true" outlineLevel="0" collapsed="false">
      <c r="AJ551" s="525"/>
    </row>
    <row r="552" customFormat="false" ht="15" hidden="false" customHeight="true" outlineLevel="0" collapsed="false">
      <c r="AJ552" s="525"/>
    </row>
    <row r="553" customFormat="false" ht="15" hidden="false" customHeight="true" outlineLevel="0" collapsed="false">
      <c r="AJ553" s="525"/>
    </row>
    <row r="554" customFormat="false" ht="15" hidden="false" customHeight="true" outlineLevel="0" collapsed="false">
      <c r="AJ554" s="525"/>
    </row>
    <row r="555" customFormat="false" ht="15" hidden="false" customHeight="true" outlineLevel="0" collapsed="false">
      <c r="AJ555" s="525"/>
    </row>
    <row r="556" customFormat="false" ht="15" hidden="false" customHeight="true" outlineLevel="0" collapsed="false">
      <c r="AJ556" s="525"/>
    </row>
    <row r="557" customFormat="false" ht="15" hidden="false" customHeight="true" outlineLevel="0" collapsed="false">
      <c r="AJ557" s="525"/>
    </row>
    <row r="558" customFormat="false" ht="15" hidden="false" customHeight="true" outlineLevel="0" collapsed="false">
      <c r="AJ558" s="525"/>
    </row>
    <row r="559" customFormat="false" ht="15" hidden="false" customHeight="true" outlineLevel="0" collapsed="false">
      <c r="AJ559" s="525"/>
    </row>
    <row r="560" customFormat="false" ht="15" hidden="false" customHeight="true" outlineLevel="0" collapsed="false">
      <c r="AJ560" s="525"/>
    </row>
    <row r="561" customFormat="false" ht="15" hidden="false" customHeight="true" outlineLevel="0" collapsed="false">
      <c r="AJ561" s="525"/>
    </row>
    <row r="562" customFormat="false" ht="15" hidden="false" customHeight="true" outlineLevel="0" collapsed="false">
      <c r="AJ562" s="525"/>
    </row>
    <row r="563" customFormat="false" ht="15" hidden="false" customHeight="true" outlineLevel="0" collapsed="false">
      <c r="AJ563" s="525"/>
    </row>
    <row r="564" customFormat="false" ht="15" hidden="false" customHeight="true" outlineLevel="0" collapsed="false">
      <c r="AJ564" s="525"/>
    </row>
    <row r="565" customFormat="false" ht="15" hidden="false" customHeight="true" outlineLevel="0" collapsed="false">
      <c r="AJ565" s="525"/>
    </row>
    <row r="566" customFormat="false" ht="15" hidden="false" customHeight="true" outlineLevel="0" collapsed="false">
      <c r="AJ566" s="525"/>
    </row>
    <row r="567" customFormat="false" ht="15" hidden="false" customHeight="true" outlineLevel="0" collapsed="false">
      <c r="AJ567" s="525"/>
    </row>
    <row r="568" customFormat="false" ht="15" hidden="false" customHeight="true" outlineLevel="0" collapsed="false">
      <c r="AJ568" s="525"/>
    </row>
    <row r="569" customFormat="false" ht="15" hidden="false" customHeight="true" outlineLevel="0" collapsed="false">
      <c r="AJ569" s="525"/>
    </row>
    <row r="570" customFormat="false" ht="15" hidden="false" customHeight="true" outlineLevel="0" collapsed="false">
      <c r="AJ570" s="525"/>
    </row>
    <row r="571" customFormat="false" ht="15" hidden="false" customHeight="true" outlineLevel="0" collapsed="false">
      <c r="AJ571" s="525"/>
    </row>
    <row r="572" customFormat="false" ht="15" hidden="false" customHeight="true" outlineLevel="0" collapsed="false">
      <c r="AJ572" s="525"/>
    </row>
    <row r="573" customFormat="false" ht="15" hidden="false" customHeight="true" outlineLevel="0" collapsed="false">
      <c r="AJ573" s="525"/>
    </row>
    <row r="574" customFormat="false" ht="15" hidden="false" customHeight="true" outlineLevel="0" collapsed="false">
      <c r="AJ574" s="525"/>
    </row>
    <row r="575" customFormat="false" ht="15" hidden="false" customHeight="true" outlineLevel="0" collapsed="false">
      <c r="AJ575" s="525"/>
    </row>
    <row r="576" customFormat="false" ht="15" hidden="false" customHeight="true" outlineLevel="0" collapsed="false">
      <c r="AJ576" s="525"/>
    </row>
    <row r="577" customFormat="false" ht="15" hidden="false" customHeight="true" outlineLevel="0" collapsed="false">
      <c r="AJ577" s="525"/>
    </row>
    <row r="578" customFormat="false" ht="15" hidden="false" customHeight="true" outlineLevel="0" collapsed="false">
      <c r="AJ578" s="525"/>
    </row>
    <row r="579" customFormat="false" ht="15" hidden="false" customHeight="true" outlineLevel="0" collapsed="false">
      <c r="AJ579" s="525"/>
    </row>
    <row r="580" customFormat="false" ht="15" hidden="false" customHeight="true" outlineLevel="0" collapsed="false">
      <c r="AJ580" s="525"/>
    </row>
    <row r="581" customFormat="false" ht="15" hidden="false" customHeight="true" outlineLevel="0" collapsed="false">
      <c r="AJ581" s="525"/>
    </row>
    <row r="582" customFormat="false" ht="15" hidden="false" customHeight="true" outlineLevel="0" collapsed="false">
      <c r="AJ582" s="525"/>
    </row>
    <row r="583" customFormat="false" ht="15" hidden="false" customHeight="true" outlineLevel="0" collapsed="false">
      <c r="AJ583" s="525"/>
    </row>
    <row r="584" customFormat="false" ht="15" hidden="false" customHeight="true" outlineLevel="0" collapsed="false">
      <c r="AJ584" s="525"/>
    </row>
    <row r="585" customFormat="false" ht="15" hidden="false" customHeight="true" outlineLevel="0" collapsed="false">
      <c r="AJ585" s="525"/>
    </row>
    <row r="586" customFormat="false" ht="15" hidden="false" customHeight="true" outlineLevel="0" collapsed="false">
      <c r="AJ586" s="525"/>
    </row>
    <row r="587" customFormat="false" ht="15" hidden="false" customHeight="true" outlineLevel="0" collapsed="false">
      <c r="AJ587" s="525"/>
    </row>
    <row r="588" customFormat="false" ht="15" hidden="false" customHeight="true" outlineLevel="0" collapsed="false">
      <c r="AJ588" s="525"/>
    </row>
    <row r="589" customFormat="false" ht="15" hidden="false" customHeight="true" outlineLevel="0" collapsed="false">
      <c r="AJ589" s="525"/>
    </row>
    <row r="590" customFormat="false" ht="15" hidden="false" customHeight="true" outlineLevel="0" collapsed="false">
      <c r="AJ590" s="525"/>
    </row>
    <row r="591" customFormat="false" ht="15" hidden="false" customHeight="true" outlineLevel="0" collapsed="false">
      <c r="AJ591" s="525"/>
    </row>
    <row r="592" customFormat="false" ht="15" hidden="false" customHeight="true" outlineLevel="0" collapsed="false">
      <c r="AJ592" s="525"/>
    </row>
    <row r="593" customFormat="false" ht="15" hidden="false" customHeight="true" outlineLevel="0" collapsed="false">
      <c r="AJ593" s="525"/>
    </row>
    <row r="594" customFormat="false" ht="15" hidden="false" customHeight="true" outlineLevel="0" collapsed="false">
      <c r="AJ594" s="525"/>
    </row>
    <row r="595" customFormat="false" ht="15" hidden="false" customHeight="true" outlineLevel="0" collapsed="false">
      <c r="AJ595" s="525"/>
    </row>
    <row r="596" customFormat="false" ht="15" hidden="false" customHeight="true" outlineLevel="0" collapsed="false">
      <c r="AJ596" s="525"/>
    </row>
    <row r="597" customFormat="false" ht="15" hidden="false" customHeight="true" outlineLevel="0" collapsed="false">
      <c r="AJ597" s="525"/>
    </row>
    <row r="598" customFormat="false" ht="15" hidden="false" customHeight="true" outlineLevel="0" collapsed="false">
      <c r="AJ598" s="525"/>
    </row>
    <row r="599" customFormat="false" ht="15" hidden="false" customHeight="true" outlineLevel="0" collapsed="false">
      <c r="AJ599" s="525"/>
    </row>
    <row r="600" customFormat="false" ht="15" hidden="false" customHeight="true" outlineLevel="0" collapsed="false">
      <c r="AJ600" s="525"/>
    </row>
    <row r="601" customFormat="false" ht="15" hidden="false" customHeight="true" outlineLevel="0" collapsed="false">
      <c r="AJ601" s="525"/>
    </row>
    <row r="602" customFormat="false" ht="15" hidden="false" customHeight="true" outlineLevel="0" collapsed="false">
      <c r="AJ602" s="525"/>
    </row>
    <row r="603" customFormat="false" ht="15" hidden="false" customHeight="true" outlineLevel="0" collapsed="false">
      <c r="AJ603" s="525"/>
    </row>
    <row r="604" customFormat="false" ht="15" hidden="false" customHeight="true" outlineLevel="0" collapsed="false">
      <c r="AJ604" s="525"/>
    </row>
    <row r="605" customFormat="false" ht="15" hidden="false" customHeight="true" outlineLevel="0" collapsed="false">
      <c r="AJ605" s="525"/>
    </row>
    <row r="606" customFormat="false" ht="15" hidden="false" customHeight="true" outlineLevel="0" collapsed="false">
      <c r="AJ606" s="525"/>
    </row>
    <row r="607" customFormat="false" ht="15" hidden="false" customHeight="true" outlineLevel="0" collapsed="false">
      <c r="AJ607" s="525"/>
    </row>
    <row r="608" customFormat="false" ht="15" hidden="false" customHeight="true" outlineLevel="0" collapsed="false">
      <c r="AJ608" s="525"/>
    </row>
    <row r="609" customFormat="false" ht="15" hidden="false" customHeight="true" outlineLevel="0" collapsed="false">
      <c r="AJ609" s="525"/>
    </row>
    <row r="610" customFormat="false" ht="15" hidden="false" customHeight="true" outlineLevel="0" collapsed="false">
      <c r="AJ610" s="525"/>
    </row>
    <row r="611" customFormat="false" ht="15" hidden="false" customHeight="true" outlineLevel="0" collapsed="false">
      <c r="AJ611" s="525"/>
    </row>
    <row r="612" customFormat="false" ht="15" hidden="false" customHeight="true" outlineLevel="0" collapsed="false">
      <c r="AJ612" s="525"/>
    </row>
    <row r="613" customFormat="false" ht="15" hidden="false" customHeight="true" outlineLevel="0" collapsed="false">
      <c r="AJ613" s="525"/>
    </row>
    <row r="614" customFormat="false" ht="15" hidden="false" customHeight="true" outlineLevel="0" collapsed="false">
      <c r="AJ614" s="525"/>
    </row>
    <row r="615" customFormat="false" ht="15" hidden="false" customHeight="true" outlineLevel="0" collapsed="false">
      <c r="AJ615" s="525"/>
    </row>
    <row r="616" customFormat="false" ht="15" hidden="false" customHeight="true" outlineLevel="0" collapsed="false">
      <c r="AJ616" s="525"/>
    </row>
    <row r="617" customFormat="false" ht="15" hidden="false" customHeight="true" outlineLevel="0" collapsed="false">
      <c r="AJ617" s="525"/>
    </row>
    <row r="618" customFormat="false" ht="15" hidden="false" customHeight="true" outlineLevel="0" collapsed="false">
      <c r="AJ618" s="525"/>
    </row>
    <row r="619" customFormat="false" ht="15" hidden="false" customHeight="true" outlineLevel="0" collapsed="false">
      <c r="AJ619" s="525"/>
    </row>
    <row r="620" customFormat="false" ht="15" hidden="false" customHeight="true" outlineLevel="0" collapsed="false">
      <c r="AJ620" s="525"/>
    </row>
    <row r="621" customFormat="false" ht="15" hidden="false" customHeight="true" outlineLevel="0" collapsed="false">
      <c r="AJ621" s="525"/>
    </row>
    <row r="622" customFormat="false" ht="15" hidden="false" customHeight="true" outlineLevel="0" collapsed="false">
      <c r="AJ622" s="525"/>
    </row>
    <row r="623" customFormat="false" ht="15" hidden="false" customHeight="true" outlineLevel="0" collapsed="false">
      <c r="AJ623" s="525"/>
    </row>
    <row r="624" customFormat="false" ht="15" hidden="false" customHeight="true" outlineLevel="0" collapsed="false">
      <c r="AJ624" s="525"/>
    </row>
    <row r="625" customFormat="false" ht="15" hidden="false" customHeight="true" outlineLevel="0" collapsed="false">
      <c r="AJ625" s="525"/>
    </row>
    <row r="626" customFormat="false" ht="15" hidden="false" customHeight="true" outlineLevel="0" collapsed="false">
      <c r="AJ626" s="525"/>
    </row>
    <row r="627" customFormat="false" ht="15" hidden="false" customHeight="true" outlineLevel="0" collapsed="false">
      <c r="AJ627" s="525"/>
    </row>
    <row r="628" customFormat="false" ht="15" hidden="false" customHeight="true" outlineLevel="0" collapsed="false">
      <c r="AJ628" s="525"/>
    </row>
    <row r="629" customFormat="false" ht="15" hidden="false" customHeight="true" outlineLevel="0" collapsed="false">
      <c r="AJ629" s="525"/>
    </row>
    <row r="630" customFormat="false" ht="15" hidden="false" customHeight="true" outlineLevel="0" collapsed="false">
      <c r="AJ630" s="525"/>
    </row>
    <row r="631" customFormat="false" ht="15" hidden="false" customHeight="true" outlineLevel="0" collapsed="false">
      <c r="AJ631" s="525"/>
    </row>
    <row r="632" customFormat="false" ht="15" hidden="false" customHeight="true" outlineLevel="0" collapsed="false">
      <c r="AJ632" s="525"/>
    </row>
    <row r="633" customFormat="false" ht="15" hidden="false" customHeight="true" outlineLevel="0" collapsed="false">
      <c r="AJ633" s="525"/>
    </row>
    <row r="634" customFormat="false" ht="15" hidden="false" customHeight="true" outlineLevel="0" collapsed="false">
      <c r="AJ634" s="525"/>
    </row>
    <row r="635" customFormat="false" ht="15" hidden="false" customHeight="true" outlineLevel="0" collapsed="false">
      <c r="AJ635" s="525"/>
    </row>
    <row r="636" customFormat="false" ht="15" hidden="false" customHeight="true" outlineLevel="0" collapsed="false">
      <c r="AJ636" s="525"/>
    </row>
    <row r="637" customFormat="false" ht="15" hidden="false" customHeight="true" outlineLevel="0" collapsed="false">
      <c r="AJ637" s="525"/>
    </row>
    <row r="638" customFormat="false" ht="15" hidden="false" customHeight="true" outlineLevel="0" collapsed="false">
      <c r="AJ638" s="525"/>
    </row>
    <row r="639" customFormat="false" ht="15" hidden="false" customHeight="true" outlineLevel="0" collapsed="false">
      <c r="AJ639" s="525"/>
    </row>
    <row r="640" customFormat="false" ht="15" hidden="false" customHeight="true" outlineLevel="0" collapsed="false">
      <c r="AJ640" s="525"/>
    </row>
    <row r="641" customFormat="false" ht="15" hidden="false" customHeight="true" outlineLevel="0" collapsed="false">
      <c r="AJ641" s="525"/>
    </row>
    <row r="642" customFormat="false" ht="15" hidden="false" customHeight="true" outlineLevel="0" collapsed="false">
      <c r="AJ642" s="525"/>
    </row>
    <row r="643" customFormat="false" ht="15" hidden="false" customHeight="true" outlineLevel="0" collapsed="false">
      <c r="AJ643" s="525"/>
    </row>
    <row r="644" customFormat="false" ht="15" hidden="false" customHeight="true" outlineLevel="0" collapsed="false">
      <c r="AJ644" s="525"/>
    </row>
    <row r="645" customFormat="false" ht="15" hidden="false" customHeight="true" outlineLevel="0" collapsed="false">
      <c r="AJ645" s="525"/>
    </row>
    <row r="646" customFormat="false" ht="15" hidden="false" customHeight="true" outlineLevel="0" collapsed="false">
      <c r="AJ646" s="525"/>
    </row>
    <row r="647" customFormat="false" ht="15" hidden="false" customHeight="true" outlineLevel="0" collapsed="false">
      <c r="AJ647" s="525"/>
    </row>
    <row r="648" customFormat="false" ht="15" hidden="false" customHeight="true" outlineLevel="0" collapsed="false">
      <c r="AJ648" s="525"/>
    </row>
    <row r="649" customFormat="false" ht="15" hidden="false" customHeight="true" outlineLevel="0" collapsed="false">
      <c r="AJ649" s="525"/>
    </row>
    <row r="650" customFormat="false" ht="15" hidden="false" customHeight="true" outlineLevel="0" collapsed="false">
      <c r="AJ650" s="525"/>
    </row>
    <row r="651" customFormat="false" ht="15" hidden="false" customHeight="true" outlineLevel="0" collapsed="false">
      <c r="AJ651" s="525"/>
    </row>
    <row r="652" customFormat="false" ht="15" hidden="false" customHeight="true" outlineLevel="0" collapsed="false">
      <c r="AJ652" s="525"/>
    </row>
    <row r="653" customFormat="false" ht="15" hidden="false" customHeight="true" outlineLevel="0" collapsed="false">
      <c r="AJ653" s="525"/>
    </row>
    <row r="654" customFormat="false" ht="15" hidden="false" customHeight="true" outlineLevel="0" collapsed="false">
      <c r="AJ654" s="525"/>
    </row>
    <row r="655" customFormat="false" ht="15" hidden="false" customHeight="true" outlineLevel="0" collapsed="false">
      <c r="AJ655" s="525"/>
    </row>
    <row r="656" customFormat="false" ht="15" hidden="false" customHeight="true" outlineLevel="0" collapsed="false">
      <c r="AJ656" s="525"/>
    </row>
    <row r="657" customFormat="false" ht="15" hidden="false" customHeight="true" outlineLevel="0" collapsed="false">
      <c r="AJ657" s="525"/>
    </row>
    <row r="658" customFormat="false" ht="15" hidden="false" customHeight="true" outlineLevel="0" collapsed="false">
      <c r="AJ658" s="525"/>
    </row>
    <row r="659" customFormat="false" ht="15" hidden="false" customHeight="true" outlineLevel="0" collapsed="false">
      <c r="AJ659" s="525"/>
    </row>
    <row r="660" customFormat="false" ht="15" hidden="false" customHeight="true" outlineLevel="0" collapsed="false">
      <c r="AJ660" s="525"/>
    </row>
    <row r="661" customFormat="false" ht="15" hidden="false" customHeight="true" outlineLevel="0" collapsed="false">
      <c r="AJ661" s="525"/>
    </row>
    <row r="662" customFormat="false" ht="15" hidden="false" customHeight="true" outlineLevel="0" collapsed="false">
      <c r="AJ662" s="525"/>
    </row>
    <row r="663" customFormat="false" ht="15" hidden="false" customHeight="true" outlineLevel="0" collapsed="false">
      <c r="AJ663" s="525"/>
    </row>
    <row r="664" customFormat="false" ht="15" hidden="false" customHeight="true" outlineLevel="0" collapsed="false">
      <c r="AJ664" s="525"/>
    </row>
    <row r="665" customFormat="false" ht="15" hidden="false" customHeight="true" outlineLevel="0" collapsed="false">
      <c r="AJ665" s="525"/>
    </row>
    <row r="666" customFormat="false" ht="15" hidden="false" customHeight="true" outlineLevel="0" collapsed="false">
      <c r="AJ666" s="525"/>
    </row>
    <row r="667" customFormat="false" ht="15" hidden="false" customHeight="true" outlineLevel="0" collapsed="false">
      <c r="AJ667" s="525"/>
    </row>
    <row r="668" customFormat="false" ht="15" hidden="false" customHeight="true" outlineLevel="0" collapsed="false">
      <c r="AJ668" s="525"/>
    </row>
    <row r="669" customFormat="false" ht="15" hidden="false" customHeight="true" outlineLevel="0" collapsed="false">
      <c r="AJ669" s="525"/>
    </row>
    <row r="670" customFormat="false" ht="15" hidden="false" customHeight="true" outlineLevel="0" collapsed="false">
      <c r="AJ670" s="525"/>
    </row>
    <row r="671" customFormat="false" ht="15" hidden="false" customHeight="true" outlineLevel="0" collapsed="false">
      <c r="AJ671" s="525"/>
    </row>
    <row r="672" customFormat="false" ht="15" hidden="false" customHeight="true" outlineLevel="0" collapsed="false">
      <c r="AJ672" s="525"/>
    </row>
    <row r="673" customFormat="false" ht="15" hidden="false" customHeight="true" outlineLevel="0" collapsed="false">
      <c r="AJ673" s="525"/>
    </row>
    <row r="674" customFormat="false" ht="15" hidden="false" customHeight="true" outlineLevel="0" collapsed="false">
      <c r="AJ674" s="525"/>
    </row>
    <row r="675" customFormat="false" ht="15" hidden="false" customHeight="true" outlineLevel="0" collapsed="false">
      <c r="AJ675" s="525"/>
    </row>
    <row r="676" customFormat="false" ht="15" hidden="false" customHeight="true" outlineLevel="0" collapsed="false">
      <c r="AJ676" s="525"/>
    </row>
    <row r="677" customFormat="false" ht="15" hidden="false" customHeight="true" outlineLevel="0" collapsed="false">
      <c r="AJ677" s="525"/>
    </row>
    <row r="678" customFormat="false" ht="15" hidden="false" customHeight="true" outlineLevel="0" collapsed="false">
      <c r="AJ678" s="525"/>
    </row>
    <row r="679" customFormat="false" ht="15" hidden="false" customHeight="true" outlineLevel="0" collapsed="false">
      <c r="AJ679" s="525"/>
    </row>
    <row r="680" customFormat="false" ht="15" hidden="false" customHeight="true" outlineLevel="0" collapsed="false">
      <c r="AJ680" s="525"/>
    </row>
    <row r="681" customFormat="false" ht="15" hidden="false" customHeight="true" outlineLevel="0" collapsed="false">
      <c r="AJ681" s="525"/>
    </row>
    <row r="682" customFormat="false" ht="15" hidden="false" customHeight="true" outlineLevel="0" collapsed="false">
      <c r="AJ682" s="525"/>
    </row>
    <row r="683" customFormat="false" ht="15" hidden="false" customHeight="true" outlineLevel="0" collapsed="false">
      <c r="AJ683" s="525"/>
    </row>
    <row r="684" customFormat="false" ht="15" hidden="false" customHeight="true" outlineLevel="0" collapsed="false">
      <c r="AJ684" s="525"/>
    </row>
    <row r="685" customFormat="false" ht="15" hidden="false" customHeight="true" outlineLevel="0" collapsed="false">
      <c r="AJ685" s="525"/>
    </row>
    <row r="686" customFormat="false" ht="15" hidden="false" customHeight="true" outlineLevel="0" collapsed="false">
      <c r="AJ686" s="525"/>
    </row>
    <row r="687" customFormat="false" ht="15" hidden="false" customHeight="true" outlineLevel="0" collapsed="false">
      <c r="AJ687" s="525"/>
    </row>
    <row r="688" customFormat="false" ht="15" hidden="false" customHeight="true" outlineLevel="0" collapsed="false">
      <c r="AJ688" s="525"/>
    </row>
    <row r="689" customFormat="false" ht="15" hidden="false" customHeight="true" outlineLevel="0" collapsed="false">
      <c r="AJ689" s="525"/>
    </row>
    <row r="690" customFormat="false" ht="15" hidden="false" customHeight="true" outlineLevel="0" collapsed="false">
      <c r="AJ690" s="525"/>
    </row>
    <row r="691" customFormat="false" ht="15" hidden="false" customHeight="true" outlineLevel="0" collapsed="false">
      <c r="AJ691" s="525"/>
    </row>
    <row r="692" customFormat="false" ht="15" hidden="false" customHeight="true" outlineLevel="0" collapsed="false">
      <c r="AJ692" s="525"/>
    </row>
    <row r="693" customFormat="false" ht="15" hidden="false" customHeight="true" outlineLevel="0" collapsed="false">
      <c r="AJ693" s="525"/>
    </row>
    <row r="694" customFormat="false" ht="15" hidden="false" customHeight="true" outlineLevel="0" collapsed="false">
      <c r="AJ694" s="525"/>
    </row>
    <row r="695" customFormat="false" ht="15" hidden="false" customHeight="true" outlineLevel="0" collapsed="false">
      <c r="AJ695" s="525"/>
    </row>
    <row r="696" customFormat="false" ht="15" hidden="false" customHeight="true" outlineLevel="0" collapsed="false">
      <c r="AJ696" s="525"/>
    </row>
    <row r="697" customFormat="false" ht="15" hidden="false" customHeight="true" outlineLevel="0" collapsed="false">
      <c r="AJ697" s="525"/>
    </row>
    <row r="698" customFormat="false" ht="15" hidden="false" customHeight="true" outlineLevel="0" collapsed="false">
      <c r="AJ698" s="525"/>
    </row>
    <row r="699" customFormat="false" ht="15" hidden="false" customHeight="true" outlineLevel="0" collapsed="false">
      <c r="AJ699" s="525"/>
    </row>
    <row r="700" customFormat="false" ht="15" hidden="false" customHeight="true" outlineLevel="0" collapsed="false">
      <c r="AJ700" s="525"/>
    </row>
    <row r="701" customFormat="false" ht="15" hidden="false" customHeight="true" outlineLevel="0" collapsed="false">
      <c r="AJ701" s="525"/>
    </row>
    <row r="702" customFormat="false" ht="15" hidden="false" customHeight="true" outlineLevel="0" collapsed="false">
      <c r="AJ702" s="525"/>
    </row>
    <row r="703" customFormat="false" ht="15" hidden="false" customHeight="true" outlineLevel="0" collapsed="false">
      <c r="AJ703" s="525"/>
    </row>
    <row r="704" customFormat="false" ht="15" hidden="false" customHeight="true" outlineLevel="0" collapsed="false">
      <c r="AJ704" s="525"/>
    </row>
    <row r="705" customFormat="false" ht="15" hidden="false" customHeight="true" outlineLevel="0" collapsed="false">
      <c r="AJ705" s="525"/>
    </row>
    <row r="706" customFormat="false" ht="15" hidden="false" customHeight="true" outlineLevel="0" collapsed="false">
      <c r="AJ706" s="525"/>
    </row>
    <row r="707" customFormat="false" ht="15" hidden="false" customHeight="true" outlineLevel="0" collapsed="false">
      <c r="AJ707" s="525"/>
    </row>
    <row r="708" customFormat="false" ht="15" hidden="false" customHeight="true" outlineLevel="0" collapsed="false">
      <c r="AJ708" s="525"/>
    </row>
    <row r="709" customFormat="false" ht="15" hidden="false" customHeight="true" outlineLevel="0" collapsed="false">
      <c r="AJ709" s="525"/>
    </row>
    <row r="710" customFormat="false" ht="15" hidden="false" customHeight="true" outlineLevel="0" collapsed="false">
      <c r="AJ710" s="525"/>
    </row>
    <row r="711" customFormat="false" ht="15" hidden="false" customHeight="true" outlineLevel="0" collapsed="false">
      <c r="AJ711" s="525"/>
    </row>
    <row r="712" customFormat="false" ht="15" hidden="false" customHeight="true" outlineLevel="0" collapsed="false">
      <c r="AJ712" s="525"/>
    </row>
    <row r="713" customFormat="false" ht="15" hidden="false" customHeight="true" outlineLevel="0" collapsed="false">
      <c r="AJ713" s="525"/>
    </row>
    <row r="714" customFormat="false" ht="15" hidden="false" customHeight="true" outlineLevel="0" collapsed="false">
      <c r="AJ714" s="525"/>
    </row>
    <row r="715" customFormat="false" ht="15" hidden="false" customHeight="true" outlineLevel="0" collapsed="false">
      <c r="AJ715" s="525"/>
    </row>
    <row r="716" customFormat="false" ht="15" hidden="false" customHeight="true" outlineLevel="0" collapsed="false">
      <c r="AJ716" s="525"/>
    </row>
    <row r="717" customFormat="false" ht="15" hidden="false" customHeight="true" outlineLevel="0" collapsed="false">
      <c r="AJ717" s="525"/>
    </row>
    <row r="718" customFormat="false" ht="15" hidden="false" customHeight="true" outlineLevel="0" collapsed="false">
      <c r="AJ718" s="525"/>
    </row>
    <row r="719" customFormat="false" ht="15" hidden="false" customHeight="true" outlineLevel="0" collapsed="false">
      <c r="AJ719" s="525"/>
    </row>
    <row r="720" customFormat="false" ht="15" hidden="false" customHeight="true" outlineLevel="0" collapsed="false">
      <c r="AJ720" s="525"/>
    </row>
    <row r="721" customFormat="false" ht="15" hidden="false" customHeight="true" outlineLevel="0" collapsed="false">
      <c r="AJ721" s="525"/>
    </row>
    <row r="722" customFormat="false" ht="15" hidden="false" customHeight="true" outlineLevel="0" collapsed="false">
      <c r="AJ722" s="525"/>
    </row>
    <row r="723" customFormat="false" ht="15" hidden="false" customHeight="true" outlineLevel="0" collapsed="false">
      <c r="AJ723" s="525"/>
    </row>
    <row r="724" customFormat="false" ht="15" hidden="false" customHeight="true" outlineLevel="0" collapsed="false">
      <c r="AJ724" s="525"/>
    </row>
    <row r="725" customFormat="false" ht="15" hidden="false" customHeight="true" outlineLevel="0" collapsed="false">
      <c r="AJ725" s="525"/>
    </row>
    <row r="726" customFormat="false" ht="15" hidden="false" customHeight="true" outlineLevel="0" collapsed="false">
      <c r="AJ726" s="525"/>
    </row>
    <row r="727" customFormat="false" ht="15" hidden="false" customHeight="true" outlineLevel="0" collapsed="false">
      <c r="AJ727" s="525"/>
    </row>
    <row r="728" customFormat="false" ht="15" hidden="false" customHeight="true" outlineLevel="0" collapsed="false">
      <c r="AJ728" s="525"/>
    </row>
    <row r="729" customFormat="false" ht="15" hidden="false" customHeight="true" outlineLevel="0" collapsed="false">
      <c r="AJ729" s="525"/>
    </row>
    <row r="730" customFormat="false" ht="15" hidden="false" customHeight="true" outlineLevel="0" collapsed="false">
      <c r="AJ730" s="525"/>
    </row>
    <row r="731" customFormat="false" ht="15" hidden="false" customHeight="true" outlineLevel="0" collapsed="false">
      <c r="AJ731" s="525"/>
    </row>
    <row r="732" customFormat="false" ht="15" hidden="false" customHeight="true" outlineLevel="0" collapsed="false">
      <c r="AJ732" s="525"/>
    </row>
    <row r="733" customFormat="false" ht="15" hidden="false" customHeight="true" outlineLevel="0" collapsed="false">
      <c r="AJ733" s="525"/>
    </row>
    <row r="734" customFormat="false" ht="15" hidden="false" customHeight="true" outlineLevel="0" collapsed="false">
      <c r="AJ734" s="525"/>
    </row>
    <row r="735" customFormat="false" ht="15" hidden="false" customHeight="true" outlineLevel="0" collapsed="false">
      <c r="AJ735" s="525"/>
    </row>
    <row r="736" customFormat="false" ht="15" hidden="false" customHeight="true" outlineLevel="0" collapsed="false">
      <c r="AJ736" s="525"/>
    </row>
    <row r="737" customFormat="false" ht="15" hidden="false" customHeight="true" outlineLevel="0" collapsed="false">
      <c r="AJ737" s="525"/>
    </row>
    <row r="738" customFormat="false" ht="15" hidden="false" customHeight="true" outlineLevel="0" collapsed="false">
      <c r="AJ738" s="525"/>
    </row>
    <row r="739" customFormat="false" ht="15" hidden="false" customHeight="true" outlineLevel="0" collapsed="false">
      <c r="AJ739" s="525"/>
    </row>
    <row r="740" customFormat="false" ht="15" hidden="false" customHeight="true" outlineLevel="0" collapsed="false">
      <c r="AJ740" s="525"/>
    </row>
    <row r="741" customFormat="false" ht="15" hidden="false" customHeight="true" outlineLevel="0" collapsed="false">
      <c r="AJ741" s="525"/>
    </row>
    <row r="742" customFormat="false" ht="15" hidden="false" customHeight="true" outlineLevel="0" collapsed="false">
      <c r="AJ742" s="525"/>
    </row>
    <row r="743" customFormat="false" ht="15" hidden="false" customHeight="true" outlineLevel="0" collapsed="false">
      <c r="AJ743" s="525"/>
    </row>
    <row r="744" customFormat="false" ht="15" hidden="false" customHeight="true" outlineLevel="0" collapsed="false">
      <c r="AJ744" s="525"/>
    </row>
    <row r="745" customFormat="false" ht="15" hidden="false" customHeight="true" outlineLevel="0" collapsed="false">
      <c r="AJ745" s="525"/>
    </row>
    <row r="746" customFormat="false" ht="15" hidden="false" customHeight="true" outlineLevel="0" collapsed="false">
      <c r="AJ746" s="525"/>
    </row>
    <row r="747" customFormat="false" ht="15" hidden="false" customHeight="true" outlineLevel="0" collapsed="false">
      <c r="AJ747" s="525"/>
    </row>
    <row r="748" customFormat="false" ht="15" hidden="false" customHeight="true" outlineLevel="0" collapsed="false">
      <c r="AJ748" s="525"/>
    </row>
    <row r="749" customFormat="false" ht="15" hidden="false" customHeight="true" outlineLevel="0" collapsed="false">
      <c r="AJ749" s="525"/>
    </row>
    <row r="750" customFormat="false" ht="15" hidden="false" customHeight="true" outlineLevel="0" collapsed="false">
      <c r="AJ750" s="525"/>
    </row>
    <row r="751" customFormat="false" ht="15" hidden="false" customHeight="true" outlineLevel="0" collapsed="false">
      <c r="AJ751" s="525"/>
    </row>
    <row r="752" customFormat="false" ht="15" hidden="false" customHeight="true" outlineLevel="0" collapsed="false">
      <c r="AJ752" s="525"/>
    </row>
    <row r="753" customFormat="false" ht="15" hidden="false" customHeight="true" outlineLevel="0" collapsed="false">
      <c r="AJ753" s="525"/>
    </row>
    <row r="754" customFormat="false" ht="15" hidden="false" customHeight="true" outlineLevel="0" collapsed="false">
      <c r="AJ754" s="525"/>
    </row>
    <row r="755" customFormat="false" ht="15" hidden="false" customHeight="true" outlineLevel="0" collapsed="false">
      <c r="AJ755" s="525"/>
    </row>
    <row r="756" customFormat="false" ht="15" hidden="false" customHeight="true" outlineLevel="0" collapsed="false">
      <c r="AJ756" s="525"/>
    </row>
    <row r="757" customFormat="false" ht="15" hidden="false" customHeight="true" outlineLevel="0" collapsed="false">
      <c r="AJ757" s="525"/>
    </row>
    <row r="758" customFormat="false" ht="15" hidden="false" customHeight="true" outlineLevel="0" collapsed="false">
      <c r="AJ758" s="525"/>
    </row>
    <row r="759" customFormat="false" ht="15" hidden="false" customHeight="true" outlineLevel="0" collapsed="false">
      <c r="AJ759" s="525"/>
    </row>
    <row r="760" customFormat="false" ht="15" hidden="false" customHeight="true" outlineLevel="0" collapsed="false">
      <c r="AJ760" s="525"/>
    </row>
    <row r="761" customFormat="false" ht="15" hidden="false" customHeight="true" outlineLevel="0" collapsed="false">
      <c r="AJ761" s="525"/>
    </row>
    <row r="762" customFormat="false" ht="15" hidden="false" customHeight="true" outlineLevel="0" collapsed="false">
      <c r="AJ762" s="525"/>
    </row>
    <row r="763" customFormat="false" ht="15" hidden="false" customHeight="true" outlineLevel="0" collapsed="false">
      <c r="AJ763" s="525"/>
    </row>
    <row r="764" customFormat="false" ht="15" hidden="false" customHeight="true" outlineLevel="0" collapsed="false">
      <c r="AJ764" s="525"/>
    </row>
    <row r="765" customFormat="false" ht="15" hidden="false" customHeight="true" outlineLevel="0" collapsed="false">
      <c r="AJ765" s="525"/>
    </row>
    <row r="766" customFormat="false" ht="15" hidden="false" customHeight="true" outlineLevel="0" collapsed="false">
      <c r="AJ766" s="525"/>
    </row>
    <row r="767" customFormat="false" ht="15" hidden="false" customHeight="true" outlineLevel="0" collapsed="false">
      <c r="AJ767" s="525"/>
    </row>
    <row r="768" customFormat="false" ht="15" hidden="false" customHeight="true" outlineLevel="0" collapsed="false">
      <c r="AJ768" s="525"/>
    </row>
    <row r="769" customFormat="false" ht="15" hidden="false" customHeight="true" outlineLevel="0" collapsed="false">
      <c r="AJ769" s="525"/>
    </row>
    <row r="770" customFormat="false" ht="15" hidden="false" customHeight="true" outlineLevel="0" collapsed="false">
      <c r="AJ770" s="525"/>
    </row>
    <row r="771" customFormat="false" ht="15" hidden="false" customHeight="true" outlineLevel="0" collapsed="false">
      <c r="AJ771" s="525"/>
    </row>
    <row r="772" customFormat="false" ht="15" hidden="false" customHeight="true" outlineLevel="0" collapsed="false">
      <c r="AJ772" s="525"/>
    </row>
    <row r="773" customFormat="false" ht="15" hidden="false" customHeight="true" outlineLevel="0" collapsed="false">
      <c r="AJ773" s="525"/>
    </row>
    <row r="774" customFormat="false" ht="15" hidden="false" customHeight="true" outlineLevel="0" collapsed="false">
      <c r="AJ774" s="525"/>
    </row>
    <row r="775" customFormat="false" ht="15" hidden="false" customHeight="true" outlineLevel="0" collapsed="false">
      <c r="AJ775" s="525"/>
    </row>
    <row r="776" customFormat="false" ht="15" hidden="false" customHeight="true" outlineLevel="0" collapsed="false">
      <c r="AJ776" s="525"/>
    </row>
    <row r="777" customFormat="false" ht="15" hidden="false" customHeight="true" outlineLevel="0" collapsed="false">
      <c r="AJ777" s="525"/>
    </row>
    <row r="778" customFormat="false" ht="15" hidden="false" customHeight="true" outlineLevel="0" collapsed="false">
      <c r="AJ778" s="525"/>
    </row>
    <row r="779" customFormat="false" ht="15" hidden="false" customHeight="true" outlineLevel="0" collapsed="false">
      <c r="AJ779" s="525"/>
    </row>
    <row r="780" customFormat="false" ht="15" hidden="false" customHeight="true" outlineLevel="0" collapsed="false">
      <c r="AJ780" s="525"/>
    </row>
    <row r="781" customFormat="false" ht="15" hidden="false" customHeight="true" outlineLevel="0" collapsed="false">
      <c r="AJ781" s="525"/>
    </row>
    <row r="782" customFormat="false" ht="15" hidden="false" customHeight="true" outlineLevel="0" collapsed="false">
      <c r="AJ782" s="525"/>
    </row>
    <row r="783" customFormat="false" ht="15" hidden="false" customHeight="true" outlineLevel="0" collapsed="false">
      <c r="AJ783" s="525"/>
    </row>
    <row r="784" customFormat="false" ht="15" hidden="false" customHeight="true" outlineLevel="0" collapsed="false">
      <c r="AJ784" s="525"/>
    </row>
    <row r="785" customFormat="false" ht="15" hidden="false" customHeight="true" outlineLevel="0" collapsed="false">
      <c r="AJ785" s="525"/>
    </row>
    <row r="786" customFormat="false" ht="15" hidden="false" customHeight="true" outlineLevel="0" collapsed="false">
      <c r="AJ786" s="525"/>
    </row>
    <row r="787" customFormat="false" ht="15" hidden="false" customHeight="true" outlineLevel="0" collapsed="false">
      <c r="AJ787" s="525"/>
    </row>
    <row r="788" customFormat="false" ht="15" hidden="false" customHeight="true" outlineLevel="0" collapsed="false">
      <c r="AJ788" s="525"/>
    </row>
    <row r="789" customFormat="false" ht="15" hidden="false" customHeight="true" outlineLevel="0" collapsed="false">
      <c r="AJ789" s="525"/>
    </row>
    <row r="790" customFormat="false" ht="15" hidden="false" customHeight="true" outlineLevel="0" collapsed="false">
      <c r="AJ790" s="525"/>
    </row>
    <row r="791" customFormat="false" ht="15" hidden="false" customHeight="true" outlineLevel="0" collapsed="false">
      <c r="AJ791" s="525"/>
    </row>
    <row r="792" customFormat="false" ht="15" hidden="false" customHeight="true" outlineLevel="0" collapsed="false">
      <c r="AJ792" s="525"/>
    </row>
    <row r="793" customFormat="false" ht="15" hidden="false" customHeight="true" outlineLevel="0" collapsed="false">
      <c r="AJ793" s="525"/>
    </row>
    <row r="794" customFormat="false" ht="15" hidden="false" customHeight="true" outlineLevel="0" collapsed="false">
      <c r="AJ794" s="525"/>
    </row>
    <row r="795" customFormat="false" ht="15" hidden="false" customHeight="true" outlineLevel="0" collapsed="false">
      <c r="AJ795" s="525"/>
    </row>
    <row r="796" customFormat="false" ht="15" hidden="false" customHeight="true" outlineLevel="0" collapsed="false">
      <c r="AJ796" s="525"/>
    </row>
    <row r="797" customFormat="false" ht="15" hidden="false" customHeight="true" outlineLevel="0" collapsed="false">
      <c r="AJ797" s="525"/>
    </row>
    <row r="798" customFormat="false" ht="15" hidden="false" customHeight="true" outlineLevel="0" collapsed="false">
      <c r="AJ798" s="525"/>
    </row>
    <row r="799" customFormat="false" ht="15" hidden="false" customHeight="true" outlineLevel="0" collapsed="false">
      <c r="AJ799" s="525"/>
    </row>
    <row r="800" customFormat="false" ht="15" hidden="false" customHeight="true" outlineLevel="0" collapsed="false">
      <c r="AJ800" s="525"/>
    </row>
    <row r="801" customFormat="false" ht="15" hidden="false" customHeight="true" outlineLevel="0" collapsed="false">
      <c r="AJ801" s="525"/>
    </row>
    <row r="802" customFormat="false" ht="15" hidden="false" customHeight="true" outlineLevel="0" collapsed="false">
      <c r="AJ802" s="525"/>
    </row>
    <row r="803" customFormat="false" ht="15" hidden="false" customHeight="true" outlineLevel="0" collapsed="false">
      <c r="AJ803" s="525"/>
    </row>
    <row r="804" customFormat="false" ht="15" hidden="false" customHeight="true" outlineLevel="0" collapsed="false">
      <c r="AJ804" s="525"/>
    </row>
    <row r="805" customFormat="false" ht="15" hidden="false" customHeight="true" outlineLevel="0" collapsed="false">
      <c r="AJ805" s="525"/>
    </row>
    <row r="806" customFormat="false" ht="15" hidden="false" customHeight="true" outlineLevel="0" collapsed="false">
      <c r="AJ806" s="525"/>
    </row>
    <row r="807" customFormat="false" ht="15" hidden="false" customHeight="true" outlineLevel="0" collapsed="false">
      <c r="AJ807" s="525"/>
    </row>
    <row r="808" customFormat="false" ht="15" hidden="false" customHeight="true" outlineLevel="0" collapsed="false">
      <c r="AJ808" s="525"/>
    </row>
    <row r="809" customFormat="false" ht="15" hidden="false" customHeight="true" outlineLevel="0" collapsed="false">
      <c r="AJ809" s="525"/>
    </row>
    <row r="810" customFormat="false" ht="15" hidden="false" customHeight="true" outlineLevel="0" collapsed="false">
      <c r="AJ810" s="525"/>
    </row>
    <row r="811" customFormat="false" ht="15" hidden="false" customHeight="true" outlineLevel="0" collapsed="false">
      <c r="AJ811" s="525"/>
    </row>
    <row r="812" customFormat="false" ht="15" hidden="false" customHeight="true" outlineLevel="0" collapsed="false">
      <c r="AJ812" s="525"/>
    </row>
    <row r="813" customFormat="false" ht="15" hidden="false" customHeight="true" outlineLevel="0" collapsed="false">
      <c r="AJ813" s="525"/>
    </row>
    <row r="814" customFormat="false" ht="15" hidden="false" customHeight="true" outlineLevel="0" collapsed="false">
      <c r="AJ814" s="525"/>
    </row>
    <row r="815" customFormat="false" ht="15" hidden="false" customHeight="true" outlineLevel="0" collapsed="false">
      <c r="AJ815" s="525"/>
    </row>
    <row r="816" customFormat="false" ht="15" hidden="false" customHeight="true" outlineLevel="0" collapsed="false">
      <c r="AJ816" s="525"/>
    </row>
    <row r="817" customFormat="false" ht="15" hidden="false" customHeight="true" outlineLevel="0" collapsed="false">
      <c r="AJ817" s="525"/>
    </row>
    <row r="818" customFormat="false" ht="15" hidden="false" customHeight="true" outlineLevel="0" collapsed="false">
      <c r="AJ818" s="525"/>
    </row>
    <row r="819" customFormat="false" ht="15" hidden="false" customHeight="true" outlineLevel="0" collapsed="false">
      <c r="AJ819" s="525"/>
    </row>
    <row r="820" customFormat="false" ht="15" hidden="false" customHeight="true" outlineLevel="0" collapsed="false">
      <c r="AJ820" s="525"/>
    </row>
    <row r="821" customFormat="false" ht="15" hidden="false" customHeight="true" outlineLevel="0" collapsed="false">
      <c r="AJ821" s="525"/>
    </row>
    <row r="822" customFormat="false" ht="15" hidden="false" customHeight="true" outlineLevel="0" collapsed="false">
      <c r="AJ822" s="525"/>
    </row>
    <row r="823" customFormat="false" ht="15" hidden="false" customHeight="true" outlineLevel="0" collapsed="false">
      <c r="AJ823" s="525"/>
    </row>
    <row r="824" customFormat="false" ht="15" hidden="false" customHeight="true" outlineLevel="0" collapsed="false">
      <c r="AJ824" s="525"/>
    </row>
    <row r="825" customFormat="false" ht="15" hidden="false" customHeight="true" outlineLevel="0" collapsed="false">
      <c r="AJ825" s="525"/>
    </row>
    <row r="826" customFormat="false" ht="15" hidden="false" customHeight="true" outlineLevel="0" collapsed="false">
      <c r="AJ826" s="525"/>
    </row>
    <row r="827" customFormat="false" ht="15" hidden="false" customHeight="true" outlineLevel="0" collapsed="false">
      <c r="AJ827" s="525"/>
    </row>
    <row r="828" customFormat="false" ht="15" hidden="false" customHeight="true" outlineLevel="0" collapsed="false">
      <c r="AJ828" s="525"/>
    </row>
    <row r="829" customFormat="false" ht="15" hidden="false" customHeight="true" outlineLevel="0" collapsed="false">
      <c r="AJ829" s="525"/>
    </row>
    <row r="830" customFormat="false" ht="15" hidden="false" customHeight="true" outlineLevel="0" collapsed="false">
      <c r="AJ830" s="525"/>
    </row>
    <row r="831" customFormat="false" ht="15" hidden="false" customHeight="true" outlineLevel="0" collapsed="false">
      <c r="AJ831" s="525"/>
    </row>
    <row r="832" customFormat="false" ht="15" hidden="false" customHeight="true" outlineLevel="0" collapsed="false">
      <c r="AJ832" s="525"/>
    </row>
    <row r="833" customFormat="false" ht="15" hidden="false" customHeight="true" outlineLevel="0" collapsed="false">
      <c r="AJ833" s="525"/>
    </row>
    <row r="834" customFormat="false" ht="15" hidden="false" customHeight="true" outlineLevel="0" collapsed="false">
      <c r="AJ834" s="525"/>
    </row>
    <row r="835" customFormat="false" ht="15" hidden="false" customHeight="true" outlineLevel="0" collapsed="false">
      <c r="AJ835" s="525"/>
    </row>
    <row r="836" customFormat="false" ht="15" hidden="false" customHeight="true" outlineLevel="0" collapsed="false">
      <c r="AJ836" s="525"/>
    </row>
    <row r="837" customFormat="false" ht="15" hidden="false" customHeight="true" outlineLevel="0" collapsed="false">
      <c r="AJ837" s="525"/>
    </row>
    <row r="838" customFormat="false" ht="15" hidden="false" customHeight="true" outlineLevel="0" collapsed="false">
      <c r="AJ838" s="525"/>
    </row>
    <row r="839" customFormat="false" ht="15" hidden="false" customHeight="true" outlineLevel="0" collapsed="false">
      <c r="AJ839" s="525"/>
    </row>
    <row r="840" customFormat="false" ht="15" hidden="false" customHeight="true" outlineLevel="0" collapsed="false">
      <c r="AJ840" s="525"/>
    </row>
    <row r="841" customFormat="false" ht="15" hidden="false" customHeight="true" outlineLevel="0" collapsed="false">
      <c r="AJ841" s="525"/>
    </row>
    <row r="842" customFormat="false" ht="15" hidden="false" customHeight="true" outlineLevel="0" collapsed="false">
      <c r="AJ842" s="525"/>
    </row>
    <row r="843" customFormat="false" ht="15" hidden="false" customHeight="true" outlineLevel="0" collapsed="false">
      <c r="AJ843" s="525"/>
    </row>
    <row r="844" customFormat="false" ht="15" hidden="false" customHeight="true" outlineLevel="0" collapsed="false">
      <c r="AJ844" s="525"/>
    </row>
    <row r="845" customFormat="false" ht="15" hidden="false" customHeight="true" outlineLevel="0" collapsed="false">
      <c r="AJ845" s="525"/>
    </row>
    <row r="846" customFormat="false" ht="15" hidden="false" customHeight="true" outlineLevel="0" collapsed="false">
      <c r="AJ846" s="525"/>
    </row>
    <row r="847" customFormat="false" ht="15" hidden="false" customHeight="true" outlineLevel="0" collapsed="false">
      <c r="AJ847" s="525"/>
    </row>
    <row r="848" customFormat="false" ht="15" hidden="false" customHeight="true" outlineLevel="0" collapsed="false">
      <c r="AJ848" s="525"/>
    </row>
    <row r="849" customFormat="false" ht="15" hidden="false" customHeight="true" outlineLevel="0" collapsed="false">
      <c r="AJ849" s="525"/>
    </row>
    <row r="850" customFormat="false" ht="15" hidden="false" customHeight="true" outlineLevel="0" collapsed="false">
      <c r="AJ850" s="525"/>
    </row>
    <row r="851" customFormat="false" ht="15" hidden="false" customHeight="true" outlineLevel="0" collapsed="false">
      <c r="AJ851" s="525"/>
    </row>
    <row r="852" customFormat="false" ht="15" hidden="false" customHeight="true" outlineLevel="0" collapsed="false">
      <c r="AJ852" s="525"/>
    </row>
    <row r="853" customFormat="false" ht="15" hidden="false" customHeight="true" outlineLevel="0" collapsed="false">
      <c r="AJ853" s="525"/>
    </row>
    <row r="854" customFormat="false" ht="15" hidden="false" customHeight="true" outlineLevel="0" collapsed="false">
      <c r="AJ854" s="525"/>
    </row>
    <row r="855" customFormat="false" ht="15" hidden="false" customHeight="true" outlineLevel="0" collapsed="false">
      <c r="AJ855" s="525"/>
    </row>
    <row r="856" customFormat="false" ht="15" hidden="false" customHeight="true" outlineLevel="0" collapsed="false">
      <c r="AJ856" s="525"/>
    </row>
    <row r="857" customFormat="false" ht="15" hidden="false" customHeight="true" outlineLevel="0" collapsed="false">
      <c r="AJ857" s="525"/>
    </row>
    <row r="858" customFormat="false" ht="15" hidden="false" customHeight="true" outlineLevel="0" collapsed="false">
      <c r="AJ858" s="525"/>
    </row>
    <row r="859" customFormat="false" ht="15" hidden="false" customHeight="true" outlineLevel="0" collapsed="false">
      <c r="AJ859" s="525"/>
    </row>
    <row r="860" customFormat="false" ht="15" hidden="false" customHeight="true" outlineLevel="0" collapsed="false">
      <c r="AJ860" s="525"/>
    </row>
    <row r="861" customFormat="false" ht="15" hidden="false" customHeight="true" outlineLevel="0" collapsed="false">
      <c r="AJ861" s="525"/>
    </row>
    <row r="862" customFormat="false" ht="15" hidden="false" customHeight="true" outlineLevel="0" collapsed="false">
      <c r="AJ862" s="525"/>
    </row>
    <row r="863" customFormat="false" ht="15" hidden="false" customHeight="true" outlineLevel="0" collapsed="false">
      <c r="AJ863" s="525"/>
    </row>
    <row r="864" customFormat="false" ht="15" hidden="false" customHeight="true" outlineLevel="0" collapsed="false">
      <c r="AJ864" s="525"/>
    </row>
    <row r="865" customFormat="false" ht="15" hidden="false" customHeight="true" outlineLevel="0" collapsed="false">
      <c r="AJ865" s="525"/>
    </row>
    <row r="866" customFormat="false" ht="15" hidden="false" customHeight="true" outlineLevel="0" collapsed="false">
      <c r="AJ866" s="525"/>
    </row>
    <row r="867" customFormat="false" ht="15" hidden="false" customHeight="true" outlineLevel="0" collapsed="false">
      <c r="AJ867" s="525"/>
    </row>
    <row r="868" customFormat="false" ht="15" hidden="false" customHeight="true" outlineLevel="0" collapsed="false">
      <c r="AJ868" s="525"/>
    </row>
    <row r="869" customFormat="false" ht="15" hidden="false" customHeight="true" outlineLevel="0" collapsed="false">
      <c r="AJ869" s="525"/>
    </row>
    <row r="870" customFormat="false" ht="15" hidden="false" customHeight="true" outlineLevel="0" collapsed="false">
      <c r="AJ870" s="525"/>
    </row>
    <row r="871" customFormat="false" ht="15" hidden="false" customHeight="true" outlineLevel="0" collapsed="false">
      <c r="AJ871" s="525"/>
    </row>
    <row r="872" customFormat="false" ht="15" hidden="false" customHeight="true" outlineLevel="0" collapsed="false">
      <c r="AJ872" s="525"/>
    </row>
    <row r="873" customFormat="false" ht="15" hidden="false" customHeight="true" outlineLevel="0" collapsed="false">
      <c r="AJ873" s="525"/>
    </row>
    <row r="874" customFormat="false" ht="15" hidden="false" customHeight="true" outlineLevel="0" collapsed="false">
      <c r="AJ874" s="525"/>
    </row>
    <row r="875" customFormat="false" ht="15" hidden="false" customHeight="true" outlineLevel="0" collapsed="false">
      <c r="AJ875" s="525"/>
    </row>
    <row r="876" customFormat="false" ht="15" hidden="false" customHeight="true" outlineLevel="0" collapsed="false">
      <c r="AJ876" s="525"/>
    </row>
    <row r="877" customFormat="false" ht="15" hidden="false" customHeight="true" outlineLevel="0" collapsed="false">
      <c r="AJ877" s="525"/>
    </row>
    <row r="878" customFormat="false" ht="15" hidden="false" customHeight="true" outlineLevel="0" collapsed="false">
      <c r="AJ878" s="525"/>
    </row>
    <row r="879" customFormat="false" ht="15" hidden="false" customHeight="true" outlineLevel="0" collapsed="false">
      <c r="AJ879" s="525"/>
    </row>
    <row r="880" customFormat="false" ht="15" hidden="false" customHeight="true" outlineLevel="0" collapsed="false">
      <c r="AJ880" s="525"/>
    </row>
    <row r="881" customFormat="false" ht="15" hidden="false" customHeight="true" outlineLevel="0" collapsed="false">
      <c r="AJ881" s="525"/>
    </row>
    <row r="882" customFormat="false" ht="15" hidden="false" customHeight="true" outlineLevel="0" collapsed="false">
      <c r="AJ882" s="525"/>
    </row>
    <row r="883" customFormat="false" ht="15" hidden="false" customHeight="true" outlineLevel="0" collapsed="false">
      <c r="AJ883" s="525"/>
    </row>
    <row r="884" customFormat="false" ht="15" hidden="false" customHeight="true" outlineLevel="0" collapsed="false">
      <c r="AJ884" s="525"/>
    </row>
    <row r="885" customFormat="false" ht="15" hidden="false" customHeight="true" outlineLevel="0" collapsed="false">
      <c r="AJ885" s="525"/>
    </row>
    <row r="886" customFormat="false" ht="15" hidden="false" customHeight="true" outlineLevel="0" collapsed="false">
      <c r="AJ886" s="525"/>
    </row>
    <row r="887" customFormat="false" ht="15" hidden="false" customHeight="true" outlineLevel="0" collapsed="false">
      <c r="AJ887" s="525"/>
    </row>
    <row r="888" customFormat="false" ht="15" hidden="false" customHeight="true" outlineLevel="0" collapsed="false">
      <c r="AJ888" s="525"/>
    </row>
    <row r="889" customFormat="false" ht="15" hidden="false" customHeight="true" outlineLevel="0" collapsed="false">
      <c r="AJ889" s="525"/>
    </row>
    <row r="890" customFormat="false" ht="15" hidden="false" customHeight="true" outlineLevel="0" collapsed="false">
      <c r="AJ890" s="525"/>
    </row>
    <row r="891" customFormat="false" ht="15" hidden="false" customHeight="true" outlineLevel="0" collapsed="false">
      <c r="AJ891" s="525"/>
    </row>
    <row r="892" customFormat="false" ht="15" hidden="false" customHeight="true" outlineLevel="0" collapsed="false">
      <c r="AJ892" s="525"/>
    </row>
    <row r="893" customFormat="false" ht="15" hidden="false" customHeight="true" outlineLevel="0" collapsed="false">
      <c r="AJ893" s="525"/>
    </row>
    <row r="894" customFormat="false" ht="15" hidden="false" customHeight="true" outlineLevel="0" collapsed="false">
      <c r="AJ894" s="525"/>
    </row>
    <row r="895" customFormat="false" ht="15" hidden="false" customHeight="true" outlineLevel="0" collapsed="false">
      <c r="AJ895" s="525"/>
    </row>
    <row r="896" customFormat="false" ht="15" hidden="false" customHeight="true" outlineLevel="0" collapsed="false">
      <c r="AJ896" s="525"/>
    </row>
    <row r="897" customFormat="false" ht="15" hidden="false" customHeight="true" outlineLevel="0" collapsed="false">
      <c r="AJ897" s="525"/>
    </row>
    <row r="898" customFormat="false" ht="15" hidden="false" customHeight="true" outlineLevel="0" collapsed="false">
      <c r="AJ898" s="525"/>
    </row>
    <row r="899" customFormat="false" ht="15" hidden="false" customHeight="true" outlineLevel="0" collapsed="false">
      <c r="AJ899" s="525"/>
    </row>
    <row r="900" customFormat="false" ht="15" hidden="false" customHeight="true" outlineLevel="0" collapsed="false">
      <c r="AJ900" s="525"/>
    </row>
    <row r="901" customFormat="false" ht="15" hidden="false" customHeight="true" outlineLevel="0" collapsed="false">
      <c r="AJ901" s="525"/>
    </row>
    <row r="902" customFormat="false" ht="15" hidden="false" customHeight="true" outlineLevel="0" collapsed="false">
      <c r="AJ902" s="525"/>
    </row>
    <row r="903" customFormat="false" ht="15" hidden="false" customHeight="true" outlineLevel="0" collapsed="false">
      <c r="AJ903" s="525"/>
    </row>
    <row r="904" customFormat="false" ht="15" hidden="false" customHeight="true" outlineLevel="0" collapsed="false">
      <c r="AJ904" s="525"/>
    </row>
    <row r="905" customFormat="false" ht="15" hidden="false" customHeight="true" outlineLevel="0" collapsed="false">
      <c r="AJ905" s="525"/>
    </row>
    <row r="906" customFormat="false" ht="15" hidden="false" customHeight="true" outlineLevel="0" collapsed="false">
      <c r="AJ906" s="525"/>
    </row>
    <row r="907" customFormat="false" ht="15" hidden="false" customHeight="true" outlineLevel="0" collapsed="false">
      <c r="AJ907" s="525"/>
    </row>
    <row r="908" customFormat="false" ht="15" hidden="false" customHeight="true" outlineLevel="0" collapsed="false">
      <c r="AJ908" s="525"/>
    </row>
    <row r="909" customFormat="false" ht="15" hidden="false" customHeight="true" outlineLevel="0" collapsed="false">
      <c r="AJ909" s="525"/>
    </row>
    <row r="910" customFormat="false" ht="15" hidden="false" customHeight="true" outlineLevel="0" collapsed="false">
      <c r="AJ910" s="525"/>
    </row>
    <row r="911" customFormat="false" ht="15" hidden="false" customHeight="true" outlineLevel="0" collapsed="false">
      <c r="AJ911" s="525"/>
    </row>
    <row r="912" customFormat="false" ht="15" hidden="false" customHeight="true" outlineLevel="0" collapsed="false">
      <c r="AJ912" s="525"/>
    </row>
    <row r="913" customFormat="false" ht="15" hidden="false" customHeight="true" outlineLevel="0" collapsed="false">
      <c r="AJ913" s="525"/>
    </row>
    <row r="914" customFormat="false" ht="15" hidden="false" customHeight="true" outlineLevel="0" collapsed="false">
      <c r="AJ914" s="525"/>
    </row>
    <row r="915" customFormat="false" ht="15" hidden="false" customHeight="true" outlineLevel="0" collapsed="false">
      <c r="AJ915" s="525"/>
    </row>
    <row r="916" customFormat="false" ht="15" hidden="false" customHeight="true" outlineLevel="0" collapsed="false">
      <c r="AJ916" s="525"/>
    </row>
    <row r="917" customFormat="false" ht="15" hidden="false" customHeight="true" outlineLevel="0" collapsed="false">
      <c r="AJ917" s="525"/>
    </row>
    <row r="918" customFormat="false" ht="15" hidden="false" customHeight="true" outlineLevel="0" collapsed="false">
      <c r="AJ918" s="525"/>
    </row>
    <row r="919" customFormat="false" ht="15" hidden="false" customHeight="true" outlineLevel="0" collapsed="false">
      <c r="AJ919" s="525"/>
    </row>
    <row r="920" customFormat="false" ht="15" hidden="false" customHeight="true" outlineLevel="0" collapsed="false">
      <c r="AJ920" s="525"/>
    </row>
    <row r="921" customFormat="false" ht="15" hidden="false" customHeight="true" outlineLevel="0" collapsed="false">
      <c r="AJ921" s="525"/>
    </row>
    <row r="922" customFormat="false" ht="15" hidden="false" customHeight="true" outlineLevel="0" collapsed="false">
      <c r="AJ922" s="525"/>
    </row>
    <row r="923" customFormat="false" ht="15" hidden="false" customHeight="true" outlineLevel="0" collapsed="false">
      <c r="AJ923" s="525"/>
    </row>
    <row r="924" customFormat="false" ht="15" hidden="false" customHeight="true" outlineLevel="0" collapsed="false">
      <c r="AJ924" s="525"/>
    </row>
    <row r="925" customFormat="false" ht="15" hidden="false" customHeight="true" outlineLevel="0" collapsed="false">
      <c r="AJ925" s="525"/>
    </row>
    <row r="926" customFormat="false" ht="15" hidden="false" customHeight="true" outlineLevel="0" collapsed="false">
      <c r="AJ926" s="525"/>
    </row>
    <row r="927" customFormat="false" ht="15" hidden="false" customHeight="true" outlineLevel="0" collapsed="false">
      <c r="AJ927" s="525"/>
    </row>
    <row r="928" customFormat="false" ht="15" hidden="false" customHeight="true" outlineLevel="0" collapsed="false">
      <c r="AJ928" s="525"/>
    </row>
    <row r="929" customFormat="false" ht="15" hidden="false" customHeight="true" outlineLevel="0" collapsed="false">
      <c r="AJ929" s="525"/>
    </row>
    <row r="930" customFormat="false" ht="15" hidden="false" customHeight="true" outlineLevel="0" collapsed="false">
      <c r="AJ930" s="525"/>
    </row>
    <row r="931" customFormat="false" ht="15" hidden="false" customHeight="true" outlineLevel="0" collapsed="false">
      <c r="AJ931" s="525"/>
    </row>
    <row r="932" customFormat="false" ht="15" hidden="false" customHeight="true" outlineLevel="0" collapsed="false">
      <c r="AJ932" s="525"/>
    </row>
    <row r="933" customFormat="false" ht="15" hidden="false" customHeight="true" outlineLevel="0" collapsed="false">
      <c r="AJ933" s="525"/>
    </row>
    <row r="934" customFormat="false" ht="15" hidden="false" customHeight="true" outlineLevel="0" collapsed="false">
      <c r="AJ934" s="525"/>
    </row>
    <row r="935" customFormat="false" ht="15" hidden="false" customHeight="true" outlineLevel="0" collapsed="false">
      <c r="AJ935" s="525"/>
    </row>
    <row r="936" customFormat="false" ht="15" hidden="false" customHeight="true" outlineLevel="0" collapsed="false">
      <c r="AJ936" s="525"/>
    </row>
    <row r="937" customFormat="false" ht="15" hidden="false" customHeight="true" outlineLevel="0" collapsed="false">
      <c r="AJ937" s="525"/>
    </row>
    <row r="938" customFormat="false" ht="15" hidden="false" customHeight="true" outlineLevel="0" collapsed="false">
      <c r="AJ938" s="525"/>
    </row>
    <row r="939" customFormat="false" ht="15" hidden="false" customHeight="true" outlineLevel="0" collapsed="false">
      <c r="AJ939" s="525"/>
    </row>
    <row r="940" customFormat="false" ht="15" hidden="false" customHeight="true" outlineLevel="0" collapsed="false">
      <c r="AJ940" s="525"/>
    </row>
    <row r="941" customFormat="false" ht="15" hidden="false" customHeight="true" outlineLevel="0" collapsed="false">
      <c r="AJ941" s="525"/>
    </row>
    <row r="942" customFormat="false" ht="15" hidden="false" customHeight="true" outlineLevel="0" collapsed="false">
      <c r="AJ942" s="525"/>
    </row>
    <row r="943" customFormat="false" ht="15" hidden="false" customHeight="true" outlineLevel="0" collapsed="false">
      <c r="AJ943" s="525"/>
    </row>
    <row r="944" customFormat="false" ht="15" hidden="false" customHeight="true" outlineLevel="0" collapsed="false">
      <c r="AJ944" s="525"/>
    </row>
    <row r="945" customFormat="false" ht="15" hidden="false" customHeight="true" outlineLevel="0" collapsed="false">
      <c r="AJ945" s="525"/>
    </row>
    <row r="946" customFormat="false" ht="15" hidden="false" customHeight="true" outlineLevel="0" collapsed="false">
      <c r="AJ946" s="525"/>
    </row>
    <row r="947" customFormat="false" ht="15" hidden="false" customHeight="true" outlineLevel="0" collapsed="false">
      <c r="AJ947" s="525"/>
    </row>
    <row r="948" customFormat="false" ht="15" hidden="false" customHeight="true" outlineLevel="0" collapsed="false">
      <c r="AJ948" s="525"/>
    </row>
    <row r="949" customFormat="false" ht="15" hidden="false" customHeight="true" outlineLevel="0" collapsed="false">
      <c r="AJ949" s="525"/>
    </row>
    <row r="950" customFormat="false" ht="15" hidden="false" customHeight="true" outlineLevel="0" collapsed="false">
      <c r="AJ950" s="525"/>
    </row>
    <row r="951" customFormat="false" ht="15" hidden="false" customHeight="true" outlineLevel="0" collapsed="false">
      <c r="AJ951" s="525"/>
    </row>
    <row r="952" customFormat="false" ht="15" hidden="false" customHeight="true" outlineLevel="0" collapsed="false">
      <c r="AJ952" s="525"/>
    </row>
    <row r="953" customFormat="false" ht="15" hidden="false" customHeight="true" outlineLevel="0" collapsed="false">
      <c r="AJ953" s="525"/>
    </row>
    <row r="954" customFormat="false" ht="15" hidden="false" customHeight="true" outlineLevel="0" collapsed="false">
      <c r="AJ954" s="525"/>
    </row>
    <row r="955" customFormat="false" ht="15" hidden="false" customHeight="true" outlineLevel="0" collapsed="false">
      <c r="AJ955" s="525"/>
    </row>
    <row r="956" customFormat="false" ht="15" hidden="false" customHeight="true" outlineLevel="0" collapsed="false">
      <c r="AJ956" s="525"/>
    </row>
    <row r="957" customFormat="false" ht="15" hidden="false" customHeight="true" outlineLevel="0" collapsed="false">
      <c r="AJ957" s="525"/>
    </row>
    <row r="958" customFormat="false" ht="15" hidden="false" customHeight="true" outlineLevel="0" collapsed="false">
      <c r="AJ958" s="525"/>
    </row>
    <row r="959" customFormat="false" ht="15" hidden="false" customHeight="true" outlineLevel="0" collapsed="false">
      <c r="AJ959" s="525"/>
    </row>
    <row r="960" customFormat="false" ht="15" hidden="false" customHeight="true" outlineLevel="0" collapsed="false">
      <c r="AJ960" s="525"/>
    </row>
    <row r="961" customFormat="false" ht="15" hidden="false" customHeight="true" outlineLevel="0" collapsed="false">
      <c r="AJ961" s="525"/>
    </row>
    <row r="962" customFormat="false" ht="15" hidden="false" customHeight="true" outlineLevel="0" collapsed="false">
      <c r="AJ962" s="525"/>
    </row>
    <row r="963" customFormat="false" ht="15" hidden="false" customHeight="true" outlineLevel="0" collapsed="false">
      <c r="AJ963" s="525"/>
    </row>
    <row r="964" customFormat="false" ht="15" hidden="false" customHeight="true" outlineLevel="0" collapsed="false">
      <c r="AJ964" s="525"/>
    </row>
    <row r="965" customFormat="false" ht="15" hidden="false" customHeight="true" outlineLevel="0" collapsed="false">
      <c r="AJ965" s="525"/>
    </row>
    <row r="966" customFormat="false" ht="15" hidden="false" customHeight="true" outlineLevel="0" collapsed="false">
      <c r="AJ966" s="525"/>
    </row>
    <row r="967" customFormat="false" ht="15" hidden="false" customHeight="true" outlineLevel="0" collapsed="false">
      <c r="AJ967" s="525"/>
    </row>
    <row r="968" customFormat="false" ht="15" hidden="false" customHeight="true" outlineLevel="0" collapsed="false">
      <c r="AJ968" s="525"/>
    </row>
    <row r="969" customFormat="false" ht="15" hidden="false" customHeight="true" outlineLevel="0" collapsed="false">
      <c r="AJ969" s="525"/>
    </row>
    <row r="970" customFormat="false" ht="15" hidden="false" customHeight="true" outlineLevel="0" collapsed="false">
      <c r="AJ970" s="525"/>
    </row>
    <row r="971" customFormat="false" ht="15" hidden="false" customHeight="true" outlineLevel="0" collapsed="false">
      <c r="AJ971" s="525"/>
    </row>
    <row r="972" customFormat="false" ht="15" hidden="false" customHeight="true" outlineLevel="0" collapsed="false">
      <c r="AJ972" s="525"/>
    </row>
    <row r="973" customFormat="false" ht="15" hidden="false" customHeight="true" outlineLevel="0" collapsed="false">
      <c r="AJ973" s="525"/>
    </row>
    <row r="974" customFormat="false" ht="15" hidden="false" customHeight="true" outlineLevel="0" collapsed="false">
      <c r="AJ974" s="525"/>
    </row>
    <row r="975" customFormat="false" ht="15" hidden="false" customHeight="true" outlineLevel="0" collapsed="false">
      <c r="AJ975" s="525"/>
    </row>
    <row r="976" customFormat="false" ht="15" hidden="false" customHeight="true" outlineLevel="0" collapsed="false">
      <c r="AJ976" s="525"/>
    </row>
    <row r="977" customFormat="false" ht="15" hidden="false" customHeight="true" outlineLevel="0" collapsed="false">
      <c r="AJ977" s="525"/>
    </row>
    <row r="978" customFormat="false" ht="15" hidden="false" customHeight="true" outlineLevel="0" collapsed="false">
      <c r="AJ978" s="525"/>
    </row>
    <row r="979" customFormat="false" ht="15" hidden="false" customHeight="true" outlineLevel="0" collapsed="false">
      <c r="AJ979" s="525"/>
    </row>
    <row r="980" customFormat="false" ht="15" hidden="false" customHeight="true" outlineLevel="0" collapsed="false">
      <c r="AJ980" s="525"/>
    </row>
    <row r="981" customFormat="false" ht="15" hidden="false" customHeight="true" outlineLevel="0" collapsed="false">
      <c r="AJ981" s="525"/>
    </row>
    <row r="982" customFormat="false" ht="15" hidden="false" customHeight="true" outlineLevel="0" collapsed="false">
      <c r="AJ982" s="525"/>
    </row>
    <row r="983" customFormat="false" ht="15" hidden="false" customHeight="true" outlineLevel="0" collapsed="false">
      <c r="AJ983" s="525"/>
    </row>
    <row r="984" customFormat="false" ht="15" hidden="false" customHeight="true" outlineLevel="0" collapsed="false">
      <c r="AJ984" s="525"/>
    </row>
    <row r="985" customFormat="false" ht="15" hidden="false" customHeight="true" outlineLevel="0" collapsed="false">
      <c r="AJ985" s="525"/>
    </row>
    <row r="986" customFormat="false" ht="15" hidden="false" customHeight="true" outlineLevel="0" collapsed="false">
      <c r="AJ986" s="525"/>
    </row>
    <row r="987" customFormat="false" ht="15" hidden="false" customHeight="true" outlineLevel="0" collapsed="false">
      <c r="AJ987" s="525"/>
    </row>
    <row r="988" customFormat="false" ht="15" hidden="false" customHeight="true" outlineLevel="0" collapsed="false">
      <c r="AJ988" s="525"/>
    </row>
    <row r="989" customFormat="false" ht="15" hidden="false" customHeight="true" outlineLevel="0" collapsed="false">
      <c r="AJ989" s="525"/>
    </row>
    <row r="990" customFormat="false" ht="15" hidden="false" customHeight="true" outlineLevel="0" collapsed="false">
      <c r="AJ990" s="525"/>
    </row>
    <row r="991" customFormat="false" ht="15" hidden="false" customHeight="true" outlineLevel="0" collapsed="false">
      <c r="AJ991" s="525"/>
    </row>
    <row r="992" customFormat="false" ht="15" hidden="false" customHeight="true" outlineLevel="0" collapsed="false">
      <c r="AJ992" s="525"/>
    </row>
    <row r="993" customFormat="false" ht="15" hidden="false" customHeight="true" outlineLevel="0" collapsed="false">
      <c r="AJ993" s="525"/>
    </row>
    <row r="994" customFormat="false" ht="15" hidden="false" customHeight="true" outlineLevel="0" collapsed="false">
      <c r="AJ994" s="525"/>
    </row>
    <row r="995" customFormat="false" ht="15" hidden="false" customHeight="true" outlineLevel="0" collapsed="false">
      <c r="AJ995" s="525"/>
    </row>
    <row r="996" customFormat="false" ht="15" hidden="false" customHeight="true" outlineLevel="0" collapsed="false">
      <c r="AJ996" s="525"/>
    </row>
    <row r="997" customFormat="false" ht="15" hidden="false" customHeight="true" outlineLevel="0" collapsed="false">
      <c r="AJ997" s="525"/>
    </row>
    <row r="998" customFormat="false" ht="15" hidden="false" customHeight="true" outlineLevel="0" collapsed="false">
      <c r="AJ998" s="525"/>
    </row>
    <row r="999" customFormat="false" ht="15" hidden="false" customHeight="true" outlineLevel="0" collapsed="false">
      <c r="AJ999" s="525"/>
    </row>
    <row r="1000" customFormat="false" ht="15" hidden="false" customHeight="true" outlineLevel="0" collapsed="false">
      <c r="AJ1000" s="525"/>
    </row>
    <row r="1001" customFormat="false" ht="15" hidden="false" customHeight="true" outlineLevel="0" collapsed="false">
      <c r="AJ1001" s="525"/>
    </row>
    <row r="1002" customFormat="false" ht="15" hidden="false" customHeight="true" outlineLevel="0" collapsed="false">
      <c r="AJ1002" s="525"/>
    </row>
    <row r="1003" customFormat="false" ht="15" hidden="false" customHeight="true" outlineLevel="0" collapsed="false">
      <c r="AJ1003" s="525"/>
    </row>
    <row r="1004" customFormat="false" ht="15" hidden="false" customHeight="true" outlineLevel="0" collapsed="false">
      <c r="AJ1004" s="525"/>
    </row>
    <row r="1005" customFormat="false" ht="15" hidden="false" customHeight="true" outlineLevel="0" collapsed="false">
      <c r="AJ1005" s="525"/>
    </row>
    <row r="1006" customFormat="false" ht="15" hidden="false" customHeight="true" outlineLevel="0" collapsed="false">
      <c r="AJ1006" s="525"/>
    </row>
    <row r="1007" customFormat="false" ht="15" hidden="false" customHeight="true" outlineLevel="0" collapsed="false">
      <c r="AJ1007" s="525"/>
    </row>
    <row r="1008" customFormat="false" ht="15" hidden="false" customHeight="true" outlineLevel="0" collapsed="false">
      <c r="AJ1008" s="525"/>
    </row>
    <row r="1009" customFormat="false" ht="15" hidden="false" customHeight="true" outlineLevel="0" collapsed="false">
      <c r="AJ1009" s="525"/>
    </row>
    <row r="1010" customFormat="false" ht="15" hidden="false" customHeight="true" outlineLevel="0" collapsed="false">
      <c r="AJ1010" s="525"/>
    </row>
    <row r="1011" customFormat="false" ht="15" hidden="false" customHeight="true" outlineLevel="0" collapsed="false">
      <c r="AJ1011" s="525"/>
    </row>
    <row r="1012" customFormat="false" ht="15" hidden="false" customHeight="true" outlineLevel="0" collapsed="false">
      <c r="AJ1012" s="525"/>
    </row>
    <row r="1013" customFormat="false" ht="15" hidden="false" customHeight="true" outlineLevel="0" collapsed="false">
      <c r="AJ1013" s="525"/>
    </row>
    <row r="1014" customFormat="false" ht="15" hidden="false" customHeight="true" outlineLevel="0" collapsed="false">
      <c r="AJ1014" s="525"/>
    </row>
    <row r="1015" customFormat="false" ht="15" hidden="false" customHeight="true" outlineLevel="0" collapsed="false">
      <c r="AJ1015" s="525"/>
    </row>
    <row r="1016" customFormat="false" ht="15" hidden="false" customHeight="true" outlineLevel="0" collapsed="false">
      <c r="AJ1016" s="525"/>
    </row>
    <row r="1017" customFormat="false" ht="15" hidden="false" customHeight="true" outlineLevel="0" collapsed="false">
      <c r="AJ1017" s="525"/>
    </row>
    <row r="1018" customFormat="false" ht="15" hidden="false" customHeight="true" outlineLevel="0" collapsed="false">
      <c r="AJ1018" s="525"/>
    </row>
    <row r="1019" customFormat="false" ht="15" hidden="false" customHeight="true" outlineLevel="0" collapsed="false">
      <c r="AJ1019" s="525"/>
    </row>
    <row r="1020" customFormat="false" ht="15" hidden="false" customHeight="true" outlineLevel="0" collapsed="false">
      <c r="AJ1020" s="525"/>
    </row>
    <row r="1021" customFormat="false" ht="15" hidden="false" customHeight="true" outlineLevel="0" collapsed="false">
      <c r="AJ1021" s="525"/>
    </row>
    <row r="1022" customFormat="false" ht="15" hidden="false" customHeight="true" outlineLevel="0" collapsed="false">
      <c r="AJ1022" s="525"/>
    </row>
    <row r="1023" customFormat="false" ht="15" hidden="false" customHeight="true" outlineLevel="0" collapsed="false">
      <c r="AJ1023" s="525"/>
    </row>
    <row r="1024" customFormat="false" ht="15" hidden="false" customHeight="true" outlineLevel="0" collapsed="false">
      <c r="AJ1024" s="525"/>
    </row>
    <row r="1025" customFormat="false" ht="15" hidden="false" customHeight="true" outlineLevel="0" collapsed="false">
      <c r="AJ1025" s="525"/>
    </row>
    <row r="1026" customFormat="false" ht="15" hidden="false" customHeight="true" outlineLevel="0" collapsed="false">
      <c r="AJ1026" s="525"/>
    </row>
    <row r="1027" customFormat="false" ht="15" hidden="false" customHeight="true" outlineLevel="0" collapsed="false">
      <c r="AJ1027" s="525"/>
    </row>
    <row r="1028" customFormat="false" ht="15" hidden="false" customHeight="true" outlineLevel="0" collapsed="false">
      <c r="AJ1028" s="525"/>
    </row>
    <row r="1029" customFormat="false" ht="15" hidden="false" customHeight="true" outlineLevel="0" collapsed="false">
      <c r="AJ1029" s="525"/>
    </row>
    <row r="1030" customFormat="false" ht="15" hidden="false" customHeight="true" outlineLevel="0" collapsed="false">
      <c r="AJ1030" s="525"/>
    </row>
    <row r="1031" customFormat="false" ht="15" hidden="false" customHeight="true" outlineLevel="0" collapsed="false">
      <c r="AJ1031" s="525"/>
    </row>
    <row r="1032" customFormat="false" ht="15" hidden="false" customHeight="true" outlineLevel="0" collapsed="false">
      <c r="AJ1032" s="525"/>
    </row>
    <row r="1033" customFormat="false" ht="15" hidden="false" customHeight="true" outlineLevel="0" collapsed="false">
      <c r="AJ1033" s="525"/>
    </row>
    <row r="1034" customFormat="false" ht="15" hidden="false" customHeight="true" outlineLevel="0" collapsed="false">
      <c r="AJ1034" s="525"/>
    </row>
    <row r="1035" customFormat="false" ht="15" hidden="false" customHeight="true" outlineLevel="0" collapsed="false">
      <c r="AJ1035" s="525"/>
    </row>
    <row r="1036" customFormat="false" ht="15" hidden="false" customHeight="true" outlineLevel="0" collapsed="false">
      <c r="AJ1036" s="525"/>
    </row>
    <row r="1037" customFormat="false" ht="15" hidden="false" customHeight="true" outlineLevel="0" collapsed="false">
      <c r="AJ1037" s="525"/>
    </row>
    <row r="1038" customFormat="false" ht="15" hidden="false" customHeight="true" outlineLevel="0" collapsed="false">
      <c r="AJ1038" s="525"/>
    </row>
    <row r="1039" customFormat="false" ht="15" hidden="false" customHeight="true" outlineLevel="0" collapsed="false">
      <c r="AJ1039" s="525"/>
    </row>
    <row r="1040" customFormat="false" ht="15" hidden="false" customHeight="true" outlineLevel="0" collapsed="false">
      <c r="AJ1040" s="525"/>
    </row>
    <row r="1041" customFormat="false" ht="15" hidden="false" customHeight="true" outlineLevel="0" collapsed="false">
      <c r="AJ1041" s="525"/>
    </row>
    <row r="1042" customFormat="false" ht="15" hidden="false" customHeight="true" outlineLevel="0" collapsed="false">
      <c r="AJ1042" s="525"/>
    </row>
    <row r="1043" customFormat="false" ht="15" hidden="false" customHeight="true" outlineLevel="0" collapsed="false">
      <c r="AJ1043" s="525"/>
    </row>
    <row r="1044" customFormat="false" ht="15" hidden="false" customHeight="true" outlineLevel="0" collapsed="false">
      <c r="AJ1044" s="525"/>
    </row>
    <row r="1045" customFormat="false" ht="15" hidden="false" customHeight="true" outlineLevel="0" collapsed="false">
      <c r="AJ1045" s="525"/>
    </row>
    <row r="1046" customFormat="false" ht="15" hidden="false" customHeight="true" outlineLevel="0" collapsed="false">
      <c r="AJ1046" s="525"/>
    </row>
    <row r="1047" customFormat="false" ht="15" hidden="false" customHeight="true" outlineLevel="0" collapsed="false">
      <c r="AJ1047" s="525"/>
    </row>
    <row r="1048" customFormat="false" ht="15" hidden="false" customHeight="true" outlineLevel="0" collapsed="false">
      <c r="AJ1048" s="525"/>
    </row>
    <row r="1049" customFormat="false" ht="15" hidden="false" customHeight="true" outlineLevel="0" collapsed="false">
      <c r="AJ1049" s="525"/>
    </row>
    <row r="1050" customFormat="false" ht="15" hidden="false" customHeight="true" outlineLevel="0" collapsed="false">
      <c r="AJ1050" s="525"/>
    </row>
    <row r="1051" customFormat="false" ht="15" hidden="false" customHeight="true" outlineLevel="0" collapsed="false">
      <c r="AJ1051" s="525"/>
    </row>
    <row r="1052" customFormat="false" ht="15" hidden="false" customHeight="true" outlineLevel="0" collapsed="false">
      <c r="AJ1052" s="525"/>
    </row>
    <row r="1053" customFormat="false" ht="15" hidden="false" customHeight="true" outlineLevel="0" collapsed="false">
      <c r="AJ1053" s="525"/>
    </row>
    <row r="1054" customFormat="false" ht="15" hidden="false" customHeight="true" outlineLevel="0" collapsed="false">
      <c r="AJ1054" s="525"/>
    </row>
    <row r="1055" customFormat="false" ht="15" hidden="false" customHeight="true" outlineLevel="0" collapsed="false">
      <c r="AJ1055" s="525"/>
    </row>
    <row r="1056" customFormat="false" ht="15" hidden="false" customHeight="true" outlineLevel="0" collapsed="false">
      <c r="AJ1056" s="525"/>
    </row>
    <row r="1057" customFormat="false" ht="15" hidden="false" customHeight="true" outlineLevel="0" collapsed="false">
      <c r="AJ1057" s="525"/>
    </row>
    <row r="1058" customFormat="false" ht="15" hidden="false" customHeight="true" outlineLevel="0" collapsed="false">
      <c r="AJ1058" s="525"/>
    </row>
    <row r="1059" customFormat="false" ht="15" hidden="false" customHeight="true" outlineLevel="0" collapsed="false">
      <c r="AJ1059" s="525"/>
    </row>
    <row r="1060" customFormat="false" ht="15" hidden="false" customHeight="true" outlineLevel="0" collapsed="false">
      <c r="AJ1060" s="525"/>
    </row>
    <row r="1061" customFormat="false" ht="15" hidden="false" customHeight="true" outlineLevel="0" collapsed="false">
      <c r="AJ1061" s="525"/>
    </row>
    <row r="1062" customFormat="false" ht="15" hidden="false" customHeight="true" outlineLevel="0" collapsed="false">
      <c r="AJ1062" s="525"/>
    </row>
    <row r="1063" customFormat="false" ht="15" hidden="false" customHeight="true" outlineLevel="0" collapsed="false">
      <c r="AJ1063" s="525"/>
    </row>
    <row r="1064" customFormat="false" ht="15" hidden="false" customHeight="true" outlineLevel="0" collapsed="false">
      <c r="AJ1064" s="525"/>
    </row>
    <row r="1065" customFormat="false" ht="15" hidden="false" customHeight="true" outlineLevel="0" collapsed="false">
      <c r="AJ1065" s="525"/>
    </row>
    <row r="1066" customFormat="false" ht="15" hidden="false" customHeight="true" outlineLevel="0" collapsed="false">
      <c r="AJ1066" s="525"/>
    </row>
    <row r="1067" customFormat="false" ht="15" hidden="false" customHeight="true" outlineLevel="0" collapsed="false">
      <c r="AJ1067" s="525"/>
    </row>
    <row r="1068" customFormat="false" ht="15" hidden="false" customHeight="true" outlineLevel="0" collapsed="false">
      <c r="AJ1068" s="525"/>
    </row>
    <row r="1069" customFormat="false" ht="15" hidden="false" customHeight="true" outlineLevel="0" collapsed="false">
      <c r="AJ1069" s="525"/>
    </row>
    <row r="1070" customFormat="false" ht="15" hidden="false" customHeight="true" outlineLevel="0" collapsed="false">
      <c r="AJ1070" s="525"/>
    </row>
    <row r="1071" customFormat="false" ht="15" hidden="false" customHeight="true" outlineLevel="0" collapsed="false">
      <c r="AJ1071" s="525"/>
    </row>
    <row r="1072" customFormat="false" ht="15" hidden="false" customHeight="true" outlineLevel="0" collapsed="false">
      <c r="AJ1072" s="525"/>
    </row>
    <row r="1073" customFormat="false" ht="15" hidden="false" customHeight="true" outlineLevel="0" collapsed="false">
      <c r="AJ1073" s="525"/>
    </row>
    <row r="1074" customFormat="false" ht="15" hidden="false" customHeight="true" outlineLevel="0" collapsed="false">
      <c r="AJ1074" s="525"/>
    </row>
    <row r="1075" customFormat="false" ht="15" hidden="false" customHeight="true" outlineLevel="0" collapsed="false">
      <c r="AJ1075" s="525"/>
    </row>
    <row r="1076" customFormat="false" ht="15" hidden="false" customHeight="true" outlineLevel="0" collapsed="false">
      <c r="AJ1076" s="525"/>
    </row>
    <row r="1077" customFormat="false" ht="15" hidden="false" customHeight="true" outlineLevel="0" collapsed="false">
      <c r="AJ1077" s="525"/>
    </row>
    <row r="1078" customFormat="false" ht="15" hidden="false" customHeight="true" outlineLevel="0" collapsed="false">
      <c r="AJ1078" s="525"/>
    </row>
    <row r="1079" customFormat="false" ht="15" hidden="false" customHeight="true" outlineLevel="0" collapsed="false">
      <c r="AJ1079" s="525"/>
    </row>
    <row r="1080" customFormat="false" ht="15" hidden="false" customHeight="true" outlineLevel="0" collapsed="false">
      <c r="AJ1080" s="525"/>
    </row>
    <row r="1081" customFormat="false" ht="15" hidden="false" customHeight="true" outlineLevel="0" collapsed="false">
      <c r="AJ1081" s="525"/>
    </row>
    <row r="1082" customFormat="false" ht="15" hidden="false" customHeight="true" outlineLevel="0" collapsed="false">
      <c r="AJ1082" s="525"/>
    </row>
    <row r="1083" customFormat="false" ht="15" hidden="false" customHeight="true" outlineLevel="0" collapsed="false">
      <c r="AJ1083" s="525"/>
    </row>
    <row r="1084" customFormat="false" ht="15" hidden="false" customHeight="true" outlineLevel="0" collapsed="false">
      <c r="AJ1084" s="525"/>
    </row>
    <row r="1085" customFormat="false" ht="15" hidden="false" customHeight="true" outlineLevel="0" collapsed="false">
      <c r="AJ1085" s="525"/>
    </row>
    <row r="1086" customFormat="false" ht="15" hidden="false" customHeight="true" outlineLevel="0" collapsed="false">
      <c r="AJ1086" s="525"/>
    </row>
    <row r="1087" customFormat="false" ht="15" hidden="false" customHeight="true" outlineLevel="0" collapsed="false">
      <c r="AJ1087" s="525"/>
    </row>
    <row r="1088" customFormat="false" ht="15" hidden="false" customHeight="true" outlineLevel="0" collapsed="false">
      <c r="AJ1088" s="525"/>
    </row>
    <row r="1089" customFormat="false" ht="15" hidden="false" customHeight="true" outlineLevel="0" collapsed="false">
      <c r="AJ1089" s="525"/>
    </row>
    <row r="1090" customFormat="false" ht="15" hidden="false" customHeight="true" outlineLevel="0" collapsed="false">
      <c r="AJ1090" s="525"/>
    </row>
    <row r="1091" customFormat="false" ht="15" hidden="false" customHeight="true" outlineLevel="0" collapsed="false">
      <c r="AJ1091" s="525"/>
    </row>
    <row r="1092" customFormat="false" ht="15" hidden="false" customHeight="true" outlineLevel="0" collapsed="false">
      <c r="AJ1092" s="525"/>
    </row>
    <row r="1093" customFormat="false" ht="15" hidden="false" customHeight="true" outlineLevel="0" collapsed="false">
      <c r="AJ1093" s="525"/>
    </row>
    <row r="1094" customFormat="false" ht="15" hidden="false" customHeight="true" outlineLevel="0" collapsed="false">
      <c r="AJ1094" s="525"/>
    </row>
    <row r="1095" customFormat="false" ht="15" hidden="false" customHeight="true" outlineLevel="0" collapsed="false">
      <c r="AJ1095" s="525"/>
    </row>
    <row r="1096" customFormat="false" ht="15" hidden="false" customHeight="true" outlineLevel="0" collapsed="false">
      <c r="AJ1096" s="525"/>
    </row>
    <row r="1097" customFormat="false" ht="15" hidden="false" customHeight="true" outlineLevel="0" collapsed="false">
      <c r="AJ1097" s="525"/>
    </row>
    <row r="1098" customFormat="false" ht="15" hidden="false" customHeight="true" outlineLevel="0" collapsed="false">
      <c r="AJ1098" s="525"/>
    </row>
    <row r="1099" customFormat="false" ht="15" hidden="false" customHeight="true" outlineLevel="0" collapsed="false">
      <c r="AJ1099" s="525"/>
    </row>
    <row r="1100" customFormat="false" ht="15" hidden="false" customHeight="true" outlineLevel="0" collapsed="false">
      <c r="AJ1100" s="525"/>
    </row>
    <row r="1101" customFormat="false" ht="15" hidden="false" customHeight="true" outlineLevel="0" collapsed="false">
      <c r="AJ1101" s="525"/>
    </row>
    <row r="1102" customFormat="false" ht="15" hidden="false" customHeight="true" outlineLevel="0" collapsed="false">
      <c r="AJ1102" s="525"/>
    </row>
    <row r="1103" customFormat="false" ht="15" hidden="false" customHeight="true" outlineLevel="0" collapsed="false">
      <c r="AJ1103" s="525"/>
    </row>
    <row r="1104" customFormat="false" ht="15" hidden="false" customHeight="true" outlineLevel="0" collapsed="false">
      <c r="AJ1104" s="525"/>
    </row>
    <row r="1105" customFormat="false" ht="15" hidden="false" customHeight="true" outlineLevel="0" collapsed="false">
      <c r="AJ1105" s="525"/>
    </row>
    <row r="1106" customFormat="false" ht="15" hidden="false" customHeight="true" outlineLevel="0" collapsed="false">
      <c r="AJ1106" s="525"/>
    </row>
    <row r="1107" customFormat="false" ht="15" hidden="false" customHeight="true" outlineLevel="0" collapsed="false">
      <c r="AJ1107" s="525"/>
    </row>
    <row r="1108" customFormat="false" ht="15" hidden="false" customHeight="true" outlineLevel="0" collapsed="false">
      <c r="AJ1108" s="525"/>
    </row>
    <row r="1109" customFormat="false" ht="15" hidden="false" customHeight="true" outlineLevel="0" collapsed="false">
      <c r="AJ1109" s="525"/>
    </row>
    <row r="1110" customFormat="false" ht="15" hidden="false" customHeight="true" outlineLevel="0" collapsed="false">
      <c r="AJ1110" s="525"/>
    </row>
    <row r="1111" customFormat="false" ht="15" hidden="false" customHeight="true" outlineLevel="0" collapsed="false">
      <c r="AJ1111" s="525"/>
    </row>
    <row r="1112" customFormat="false" ht="15" hidden="false" customHeight="true" outlineLevel="0" collapsed="false">
      <c r="AJ1112" s="525"/>
    </row>
    <row r="1113" customFormat="false" ht="15" hidden="false" customHeight="true" outlineLevel="0" collapsed="false">
      <c r="AJ1113" s="525"/>
    </row>
    <row r="1114" customFormat="false" ht="15" hidden="false" customHeight="true" outlineLevel="0" collapsed="false">
      <c r="AJ1114" s="525"/>
    </row>
    <row r="1115" customFormat="false" ht="15" hidden="false" customHeight="true" outlineLevel="0" collapsed="false">
      <c r="AJ1115" s="525"/>
    </row>
    <row r="1116" customFormat="false" ht="15" hidden="false" customHeight="true" outlineLevel="0" collapsed="false">
      <c r="AJ1116" s="525"/>
    </row>
    <row r="1117" customFormat="false" ht="15" hidden="false" customHeight="true" outlineLevel="0" collapsed="false">
      <c r="AJ1117" s="525"/>
    </row>
    <row r="1118" customFormat="false" ht="15" hidden="false" customHeight="true" outlineLevel="0" collapsed="false">
      <c r="AJ1118" s="525"/>
    </row>
    <row r="1119" customFormat="false" ht="15" hidden="false" customHeight="true" outlineLevel="0" collapsed="false">
      <c r="AJ1119" s="525"/>
    </row>
    <row r="1120" customFormat="false" ht="15" hidden="false" customHeight="true" outlineLevel="0" collapsed="false">
      <c r="AJ1120" s="525"/>
    </row>
    <row r="1121" customFormat="false" ht="15" hidden="false" customHeight="true" outlineLevel="0" collapsed="false">
      <c r="AJ1121" s="525"/>
    </row>
    <row r="1122" customFormat="false" ht="15" hidden="false" customHeight="true" outlineLevel="0" collapsed="false">
      <c r="AJ1122" s="525"/>
    </row>
    <row r="1123" customFormat="false" ht="15" hidden="false" customHeight="true" outlineLevel="0" collapsed="false">
      <c r="AJ1123" s="525"/>
    </row>
    <row r="1124" customFormat="false" ht="15" hidden="false" customHeight="true" outlineLevel="0" collapsed="false">
      <c r="AJ1124" s="525"/>
    </row>
    <row r="1125" customFormat="false" ht="15" hidden="false" customHeight="true" outlineLevel="0" collapsed="false">
      <c r="AJ1125" s="525"/>
    </row>
    <row r="1126" customFormat="false" ht="15" hidden="false" customHeight="true" outlineLevel="0" collapsed="false">
      <c r="AJ1126" s="525"/>
    </row>
    <row r="1127" customFormat="false" ht="15" hidden="false" customHeight="true" outlineLevel="0" collapsed="false">
      <c r="AJ1127" s="525"/>
    </row>
    <row r="1128" customFormat="false" ht="15" hidden="false" customHeight="true" outlineLevel="0" collapsed="false">
      <c r="AJ1128" s="525"/>
    </row>
    <row r="1129" customFormat="false" ht="15" hidden="false" customHeight="true" outlineLevel="0" collapsed="false">
      <c r="AJ1129" s="525"/>
    </row>
    <row r="1130" customFormat="false" ht="15" hidden="false" customHeight="true" outlineLevel="0" collapsed="false">
      <c r="AJ1130" s="525"/>
    </row>
    <row r="1131" customFormat="false" ht="15" hidden="false" customHeight="true" outlineLevel="0" collapsed="false">
      <c r="AJ1131" s="525"/>
    </row>
    <row r="1132" customFormat="false" ht="15" hidden="false" customHeight="true" outlineLevel="0" collapsed="false">
      <c r="AJ1132" s="525"/>
    </row>
    <row r="1133" customFormat="false" ht="15" hidden="false" customHeight="true" outlineLevel="0" collapsed="false">
      <c r="AJ1133" s="525"/>
    </row>
    <row r="1134" customFormat="false" ht="15" hidden="false" customHeight="true" outlineLevel="0" collapsed="false">
      <c r="AJ1134" s="525"/>
    </row>
    <row r="1135" customFormat="false" ht="15" hidden="false" customHeight="true" outlineLevel="0" collapsed="false">
      <c r="AJ1135" s="525"/>
    </row>
    <row r="1136" customFormat="false" ht="15" hidden="false" customHeight="true" outlineLevel="0" collapsed="false">
      <c r="AJ1136" s="525"/>
    </row>
    <row r="1137" customFormat="false" ht="15" hidden="false" customHeight="true" outlineLevel="0" collapsed="false">
      <c r="AJ1137" s="525"/>
    </row>
    <row r="1138" customFormat="false" ht="15" hidden="false" customHeight="true" outlineLevel="0" collapsed="false">
      <c r="AJ1138" s="525"/>
    </row>
    <row r="1139" customFormat="false" ht="15" hidden="false" customHeight="true" outlineLevel="0" collapsed="false">
      <c r="AJ1139" s="525"/>
    </row>
    <row r="1140" customFormat="false" ht="15" hidden="false" customHeight="true" outlineLevel="0" collapsed="false">
      <c r="AJ1140" s="525"/>
    </row>
    <row r="1141" customFormat="false" ht="15" hidden="false" customHeight="true" outlineLevel="0" collapsed="false">
      <c r="AJ1141" s="525"/>
    </row>
    <row r="1142" customFormat="false" ht="15" hidden="false" customHeight="true" outlineLevel="0" collapsed="false">
      <c r="AJ1142" s="525"/>
    </row>
    <row r="1143" customFormat="false" ht="15" hidden="false" customHeight="true" outlineLevel="0" collapsed="false">
      <c r="AJ1143" s="525"/>
    </row>
    <row r="1144" customFormat="false" ht="15" hidden="false" customHeight="true" outlineLevel="0" collapsed="false">
      <c r="AJ1144" s="525"/>
    </row>
    <row r="1145" customFormat="false" ht="15" hidden="false" customHeight="true" outlineLevel="0" collapsed="false">
      <c r="AJ1145" s="525"/>
    </row>
    <row r="1146" customFormat="false" ht="15" hidden="false" customHeight="true" outlineLevel="0" collapsed="false">
      <c r="AJ1146" s="525"/>
    </row>
    <row r="1147" customFormat="false" ht="15" hidden="false" customHeight="true" outlineLevel="0" collapsed="false">
      <c r="AJ1147" s="525"/>
    </row>
    <row r="1148" customFormat="false" ht="15" hidden="false" customHeight="true" outlineLevel="0" collapsed="false">
      <c r="AJ1148" s="525"/>
    </row>
    <row r="1149" customFormat="false" ht="15" hidden="false" customHeight="true" outlineLevel="0" collapsed="false">
      <c r="AJ1149" s="525"/>
    </row>
    <row r="1150" customFormat="false" ht="15" hidden="false" customHeight="true" outlineLevel="0" collapsed="false">
      <c r="AJ1150" s="525"/>
    </row>
    <row r="1151" customFormat="false" ht="15" hidden="false" customHeight="true" outlineLevel="0" collapsed="false">
      <c r="AJ1151" s="525"/>
    </row>
    <row r="1152" customFormat="false" ht="15" hidden="false" customHeight="true" outlineLevel="0" collapsed="false">
      <c r="AJ1152" s="525"/>
    </row>
    <row r="1153" customFormat="false" ht="15" hidden="false" customHeight="true" outlineLevel="0" collapsed="false">
      <c r="AJ1153" s="525"/>
    </row>
    <row r="1154" customFormat="false" ht="15" hidden="false" customHeight="true" outlineLevel="0" collapsed="false">
      <c r="AJ1154" s="525"/>
    </row>
    <row r="1155" customFormat="false" ht="15" hidden="false" customHeight="true" outlineLevel="0" collapsed="false">
      <c r="AJ1155" s="525"/>
    </row>
    <row r="1156" customFormat="false" ht="15" hidden="false" customHeight="true" outlineLevel="0" collapsed="false">
      <c r="AJ1156" s="525"/>
    </row>
    <row r="1157" customFormat="false" ht="15" hidden="false" customHeight="true" outlineLevel="0" collapsed="false">
      <c r="AJ1157" s="525"/>
    </row>
    <row r="1158" customFormat="false" ht="15" hidden="false" customHeight="true" outlineLevel="0" collapsed="false">
      <c r="AJ1158" s="525"/>
    </row>
    <row r="1159" customFormat="false" ht="15" hidden="false" customHeight="true" outlineLevel="0" collapsed="false">
      <c r="AJ1159" s="525"/>
    </row>
    <row r="1160" customFormat="false" ht="15" hidden="false" customHeight="true" outlineLevel="0" collapsed="false">
      <c r="AJ1160" s="525"/>
    </row>
    <row r="1161" customFormat="false" ht="15" hidden="false" customHeight="true" outlineLevel="0" collapsed="false">
      <c r="AJ1161" s="525"/>
    </row>
    <row r="1162" customFormat="false" ht="15" hidden="false" customHeight="true" outlineLevel="0" collapsed="false">
      <c r="AJ1162" s="525"/>
    </row>
    <row r="1163" customFormat="false" ht="15" hidden="false" customHeight="true" outlineLevel="0" collapsed="false">
      <c r="AJ1163" s="525"/>
    </row>
    <row r="1164" customFormat="false" ht="15" hidden="false" customHeight="true" outlineLevel="0" collapsed="false">
      <c r="AJ1164" s="525"/>
    </row>
    <row r="1165" customFormat="false" ht="15" hidden="false" customHeight="true" outlineLevel="0" collapsed="false">
      <c r="AJ1165" s="525"/>
    </row>
    <row r="1166" customFormat="false" ht="15" hidden="false" customHeight="true" outlineLevel="0" collapsed="false">
      <c r="AJ1166" s="525"/>
    </row>
    <row r="1167" customFormat="false" ht="15" hidden="false" customHeight="true" outlineLevel="0" collapsed="false">
      <c r="AJ1167" s="525"/>
    </row>
    <row r="1168" customFormat="false" ht="15" hidden="false" customHeight="true" outlineLevel="0" collapsed="false">
      <c r="AJ1168" s="525"/>
    </row>
    <row r="1169" customFormat="false" ht="15" hidden="false" customHeight="true" outlineLevel="0" collapsed="false">
      <c r="AJ1169" s="525"/>
    </row>
    <row r="1170" customFormat="false" ht="15" hidden="false" customHeight="true" outlineLevel="0" collapsed="false">
      <c r="AJ1170" s="525"/>
    </row>
    <row r="1171" customFormat="false" ht="15" hidden="false" customHeight="true" outlineLevel="0" collapsed="false">
      <c r="AJ1171" s="525"/>
    </row>
    <row r="1172" customFormat="false" ht="15" hidden="false" customHeight="true" outlineLevel="0" collapsed="false">
      <c r="AJ1172" s="525"/>
    </row>
    <row r="1173" customFormat="false" ht="15" hidden="false" customHeight="true" outlineLevel="0" collapsed="false">
      <c r="AJ1173" s="525"/>
    </row>
    <row r="1174" customFormat="false" ht="15" hidden="false" customHeight="true" outlineLevel="0" collapsed="false">
      <c r="AJ1174" s="525"/>
    </row>
    <row r="1175" customFormat="false" ht="15" hidden="false" customHeight="true" outlineLevel="0" collapsed="false">
      <c r="AJ1175" s="525"/>
    </row>
    <row r="1176" customFormat="false" ht="15" hidden="false" customHeight="true" outlineLevel="0" collapsed="false">
      <c r="AJ1176" s="525"/>
    </row>
    <row r="1177" customFormat="false" ht="15" hidden="false" customHeight="true" outlineLevel="0" collapsed="false">
      <c r="AJ1177" s="525"/>
    </row>
    <row r="1178" customFormat="false" ht="15" hidden="false" customHeight="true" outlineLevel="0" collapsed="false">
      <c r="AJ1178" s="525"/>
    </row>
    <row r="1179" customFormat="false" ht="15" hidden="false" customHeight="true" outlineLevel="0" collapsed="false">
      <c r="AJ1179" s="525"/>
    </row>
    <row r="1180" customFormat="false" ht="15" hidden="false" customHeight="true" outlineLevel="0" collapsed="false">
      <c r="AJ1180" s="525"/>
    </row>
    <row r="1181" customFormat="false" ht="15" hidden="false" customHeight="true" outlineLevel="0" collapsed="false">
      <c r="AJ1181" s="525"/>
    </row>
    <row r="1182" customFormat="false" ht="15" hidden="false" customHeight="true" outlineLevel="0" collapsed="false">
      <c r="AJ1182" s="525"/>
    </row>
    <row r="1183" customFormat="false" ht="15" hidden="false" customHeight="true" outlineLevel="0" collapsed="false">
      <c r="AJ1183" s="525"/>
    </row>
    <row r="1184" customFormat="false" ht="15" hidden="false" customHeight="true" outlineLevel="0" collapsed="false">
      <c r="AJ1184" s="525"/>
    </row>
    <row r="1185" customFormat="false" ht="15" hidden="false" customHeight="true" outlineLevel="0" collapsed="false">
      <c r="AJ1185" s="525"/>
    </row>
    <row r="1186" customFormat="false" ht="15" hidden="false" customHeight="true" outlineLevel="0" collapsed="false">
      <c r="AJ1186" s="525"/>
    </row>
    <row r="1187" customFormat="false" ht="15" hidden="false" customHeight="true" outlineLevel="0" collapsed="false">
      <c r="AJ1187" s="525"/>
    </row>
    <row r="1188" customFormat="false" ht="15" hidden="false" customHeight="true" outlineLevel="0" collapsed="false">
      <c r="AJ1188" s="525"/>
    </row>
    <row r="1189" customFormat="false" ht="15" hidden="false" customHeight="true" outlineLevel="0" collapsed="false">
      <c r="AJ1189" s="525"/>
    </row>
    <row r="1190" customFormat="false" ht="15" hidden="false" customHeight="true" outlineLevel="0" collapsed="false">
      <c r="AJ1190" s="525"/>
    </row>
    <row r="1191" customFormat="false" ht="15" hidden="false" customHeight="true" outlineLevel="0" collapsed="false">
      <c r="AJ1191" s="525"/>
    </row>
    <row r="1192" customFormat="false" ht="15" hidden="false" customHeight="true" outlineLevel="0" collapsed="false">
      <c r="AJ1192" s="525"/>
    </row>
    <row r="1193" customFormat="false" ht="15" hidden="false" customHeight="true" outlineLevel="0" collapsed="false">
      <c r="AJ1193" s="525"/>
    </row>
    <row r="1194" customFormat="false" ht="15" hidden="false" customHeight="true" outlineLevel="0" collapsed="false">
      <c r="AJ1194" s="525"/>
    </row>
    <row r="1195" customFormat="false" ht="15" hidden="false" customHeight="true" outlineLevel="0" collapsed="false">
      <c r="AJ1195" s="525"/>
    </row>
    <row r="1196" customFormat="false" ht="15" hidden="false" customHeight="true" outlineLevel="0" collapsed="false">
      <c r="AJ1196" s="525"/>
    </row>
    <row r="1197" customFormat="false" ht="15" hidden="false" customHeight="true" outlineLevel="0" collapsed="false">
      <c r="AJ1197" s="525"/>
    </row>
    <row r="1198" customFormat="false" ht="15" hidden="false" customHeight="true" outlineLevel="0" collapsed="false">
      <c r="AJ1198" s="525"/>
    </row>
    <row r="1199" customFormat="false" ht="15" hidden="false" customHeight="true" outlineLevel="0" collapsed="false">
      <c r="AJ1199" s="525"/>
    </row>
    <row r="1200" customFormat="false" ht="15" hidden="false" customHeight="true" outlineLevel="0" collapsed="false">
      <c r="AJ1200" s="525"/>
    </row>
    <row r="1201" customFormat="false" ht="15" hidden="false" customHeight="true" outlineLevel="0" collapsed="false">
      <c r="AJ1201" s="525"/>
    </row>
    <row r="1202" customFormat="false" ht="15" hidden="false" customHeight="true" outlineLevel="0" collapsed="false">
      <c r="AJ1202" s="525"/>
    </row>
    <row r="1203" customFormat="false" ht="15" hidden="false" customHeight="true" outlineLevel="0" collapsed="false">
      <c r="AJ1203" s="525"/>
    </row>
    <row r="1204" customFormat="false" ht="15" hidden="false" customHeight="true" outlineLevel="0" collapsed="false">
      <c r="AJ1204" s="525"/>
    </row>
    <row r="1205" customFormat="false" ht="15" hidden="false" customHeight="true" outlineLevel="0" collapsed="false">
      <c r="AJ1205" s="525"/>
    </row>
    <row r="1206" customFormat="false" ht="15" hidden="false" customHeight="true" outlineLevel="0" collapsed="false">
      <c r="AJ1206" s="525"/>
    </row>
    <row r="1207" customFormat="false" ht="15" hidden="false" customHeight="true" outlineLevel="0" collapsed="false">
      <c r="AJ1207" s="525"/>
    </row>
    <row r="1208" customFormat="false" ht="15" hidden="false" customHeight="true" outlineLevel="0" collapsed="false">
      <c r="AJ1208" s="525"/>
    </row>
    <row r="1209" customFormat="false" ht="15" hidden="false" customHeight="true" outlineLevel="0" collapsed="false">
      <c r="AJ1209" s="525"/>
    </row>
    <row r="1210" customFormat="false" ht="15" hidden="false" customHeight="true" outlineLevel="0" collapsed="false">
      <c r="AJ1210" s="525"/>
    </row>
    <row r="1211" customFormat="false" ht="15" hidden="false" customHeight="true" outlineLevel="0" collapsed="false">
      <c r="AJ1211" s="525"/>
    </row>
    <row r="1212" customFormat="false" ht="15" hidden="false" customHeight="true" outlineLevel="0" collapsed="false">
      <c r="AJ1212" s="525"/>
    </row>
    <row r="1213" customFormat="false" ht="15" hidden="false" customHeight="true" outlineLevel="0" collapsed="false">
      <c r="AJ1213" s="525"/>
    </row>
    <row r="1214" customFormat="false" ht="15" hidden="false" customHeight="true" outlineLevel="0" collapsed="false">
      <c r="AJ1214" s="525"/>
    </row>
    <row r="1215" customFormat="false" ht="15" hidden="false" customHeight="true" outlineLevel="0" collapsed="false">
      <c r="AJ1215" s="525"/>
    </row>
    <row r="1216" customFormat="false" ht="15" hidden="false" customHeight="true" outlineLevel="0" collapsed="false">
      <c r="AJ1216" s="525"/>
    </row>
    <row r="1217" customFormat="false" ht="15" hidden="false" customHeight="true" outlineLevel="0" collapsed="false">
      <c r="AJ1217" s="525"/>
    </row>
    <row r="1218" customFormat="false" ht="15" hidden="false" customHeight="true" outlineLevel="0" collapsed="false">
      <c r="AJ1218" s="525"/>
    </row>
    <row r="1219" customFormat="false" ht="15" hidden="false" customHeight="true" outlineLevel="0" collapsed="false">
      <c r="AJ1219" s="525"/>
    </row>
    <row r="1220" customFormat="false" ht="15" hidden="false" customHeight="true" outlineLevel="0" collapsed="false">
      <c r="AJ1220" s="525"/>
    </row>
    <row r="1221" customFormat="false" ht="15" hidden="false" customHeight="true" outlineLevel="0" collapsed="false">
      <c r="AJ1221" s="525"/>
    </row>
    <row r="1222" customFormat="false" ht="15" hidden="false" customHeight="true" outlineLevel="0" collapsed="false">
      <c r="AJ1222" s="525"/>
    </row>
    <row r="1223" customFormat="false" ht="15" hidden="false" customHeight="true" outlineLevel="0" collapsed="false">
      <c r="AJ1223" s="525"/>
    </row>
    <row r="1224" customFormat="false" ht="15" hidden="false" customHeight="true" outlineLevel="0" collapsed="false">
      <c r="AJ1224" s="525"/>
    </row>
    <row r="1225" customFormat="false" ht="15" hidden="false" customHeight="true" outlineLevel="0" collapsed="false">
      <c r="AJ1225" s="525"/>
    </row>
    <row r="1226" customFormat="false" ht="15" hidden="false" customHeight="true" outlineLevel="0" collapsed="false">
      <c r="AJ1226" s="525"/>
    </row>
    <row r="1227" customFormat="false" ht="15" hidden="false" customHeight="true" outlineLevel="0" collapsed="false">
      <c r="AJ1227" s="525"/>
    </row>
    <row r="1228" customFormat="false" ht="15" hidden="false" customHeight="true" outlineLevel="0" collapsed="false">
      <c r="AJ1228" s="525"/>
    </row>
    <row r="1229" customFormat="false" ht="15" hidden="false" customHeight="true" outlineLevel="0" collapsed="false">
      <c r="AJ1229" s="525"/>
    </row>
    <row r="1230" customFormat="false" ht="15" hidden="false" customHeight="true" outlineLevel="0" collapsed="false">
      <c r="AJ1230" s="525"/>
    </row>
    <row r="1231" customFormat="false" ht="15" hidden="false" customHeight="true" outlineLevel="0" collapsed="false">
      <c r="AJ1231" s="525"/>
    </row>
    <row r="1232" customFormat="false" ht="15" hidden="false" customHeight="true" outlineLevel="0" collapsed="false">
      <c r="AJ1232" s="525"/>
    </row>
    <row r="1233" customFormat="false" ht="15" hidden="false" customHeight="true" outlineLevel="0" collapsed="false">
      <c r="AJ1233" s="525"/>
    </row>
    <row r="1234" customFormat="false" ht="15" hidden="false" customHeight="true" outlineLevel="0" collapsed="false">
      <c r="AJ1234" s="525"/>
    </row>
    <row r="1235" customFormat="false" ht="15" hidden="false" customHeight="true" outlineLevel="0" collapsed="false">
      <c r="AJ1235" s="525"/>
    </row>
    <row r="1236" customFormat="false" ht="15" hidden="false" customHeight="true" outlineLevel="0" collapsed="false">
      <c r="AJ1236" s="525"/>
    </row>
    <row r="1237" customFormat="false" ht="15" hidden="false" customHeight="true" outlineLevel="0" collapsed="false">
      <c r="AJ1237" s="525"/>
    </row>
    <row r="1238" customFormat="false" ht="15" hidden="false" customHeight="true" outlineLevel="0" collapsed="false">
      <c r="AJ1238" s="525"/>
    </row>
    <row r="1239" customFormat="false" ht="15" hidden="false" customHeight="true" outlineLevel="0" collapsed="false">
      <c r="AJ1239" s="525"/>
    </row>
    <row r="1240" customFormat="false" ht="15" hidden="false" customHeight="true" outlineLevel="0" collapsed="false">
      <c r="AJ1240" s="525"/>
    </row>
    <row r="1241" customFormat="false" ht="15" hidden="false" customHeight="true" outlineLevel="0" collapsed="false">
      <c r="AJ1241" s="525"/>
    </row>
    <row r="1242" customFormat="false" ht="15" hidden="false" customHeight="true" outlineLevel="0" collapsed="false">
      <c r="AJ1242" s="525"/>
    </row>
    <row r="1243" customFormat="false" ht="15" hidden="false" customHeight="true" outlineLevel="0" collapsed="false">
      <c r="AJ1243" s="525"/>
    </row>
    <row r="1244" customFormat="false" ht="15" hidden="false" customHeight="true" outlineLevel="0" collapsed="false">
      <c r="AJ1244" s="525"/>
    </row>
    <row r="1245" customFormat="false" ht="15" hidden="false" customHeight="true" outlineLevel="0" collapsed="false">
      <c r="AJ1245" s="525"/>
    </row>
    <row r="1246" customFormat="false" ht="15" hidden="false" customHeight="true" outlineLevel="0" collapsed="false">
      <c r="AJ1246" s="525"/>
    </row>
    <row r="1247" customFormat="false" ht="15" hidden="false" customHeight="true" outlineLevel="0" collapsed="false">
      <c r="AJ1247" s="525"/>
    </row>
    <row r="1248" customFormat="false" ht="15" hidden="false" customHeight="true" outlineLevel="0" collapsed="false">
      <c r="AJ1248" s="525"/>
    </row>
    <row r="1249" customFormat="false" ht="15" hidden="false" customHeight="true" outlineLevel="0" collapsed="false">
      <c r="AJ1249" s="525"/>
    </row>
    <row r="1250" customFormat="false" ht="15" hidden="false" customHeight="true" outlineLevel="0" collapsed="false">
      <c r="AJ1250" s="525"/>
    </row>
    <row r="1251" customFormat="false" ht="15" hidden="false" customHeight="true" outlineLevel="0" collapsed="false">
      <c r="AJ1251" s="525"/>
    </row>
    <row r="1252" customFormat="false" ht="15" hidden="false" customHeight="true" outlineLevel="0" collapsed="false">
      <c r="AJ1252" s="525"/>
    </row>
    <row r="1253" customFormat="false" ht="15" hidden="false" customHeight="true" outlineLevel="0" collapsed="false">
      <c r="AJ1253" s="525"/>
    </row>
    <row r="1254" customFormat="false" ht="15" hidden="false" customHeight="true" outlineLevel="0" collapsed="false">
      <c r="AJ1254" s="525"/>
    </row>
    <row r="1255" customFormat="false" ht="15" hidden="false" customHeight="true" outlineLevel="0" collapsed="false">
      <c r="AJ1255" s="525"/>
    </row>
    <row r="1256" customFormat="false" ht="15" hidden="false" customHeight="true" outlineLevel="0" collapsed="false">
      <c r="AJ1256" s="525"/>
    </row>
    <row r="1257" customFormat="false" ht="15" hidden="false" customHeight="true" outlineLevel="0" collapsed="false">
      <c r="AJ1257" s="525"/>
    </row>
    <row r="1258" customFormat="false" ht="15" hidden="false" customHeight="true" outlineLevel="0" collapsed="false">
      <c r="AJ1258" s="525"/>
    </row>
    <row r="1259" customFormat="false" ht="15" hidden="false" customHeight="true" outlineLevel="0" collapsed="false">
      <c r="AJ1259" s="525"/>
    </row>
    <row r="1260" customFormat="false" ht="15" hidden="false" customHeight="true" outlineLevel="0" collapsed="false">
      <c r="AJ1260" s="525"/>
    </row>
    <row r="1261" customFormat="false" ht="15" hidden="false" customHeight="true" outlineLevel="0" collapsed="false">
      <c r="AJ1261" s="525"/>
    </row>
    <row r="1262" customFormat="false" ht="15" hidden="false" customHeight="true" outlineLevel="0" collapsed="false">
      <c r="AJ1262" s="525"/>
    </row>
    <row r="1263" customFormat="false" ht="15" hidden="false" customHeight="true" outlineLevel="0" collapsed="false">
      <c r="AJ1263" s="525"/>
    </row>
    <row r="1264" customFormat="false" ht="15" hidden="false" customHeight="true" outlineLevel="0" collapsed="false">
      <c r="AJ1264" s="525"/>
    </row>
    <row r="1265" customFormat="false" ht="15" hidden="false" customHeight="true" outlineLevel="0" collapsed="false">
      <c r="AJ1265" s="525"/>
    </row>
    <row r="1266" customFormat="false" ht="15" hidden="false" customHeight="true" outlineLevel="0" collapsed="false">
      <c r="AJ1266" s="525"/>
    </row>
    <row r="1267" customFormat="false" ht="15" hidden="false" customHeight="true" outlineLevel="0" collapsed="false">
      <c r="AJ1267" s="525"/>
    </row>
    <row r="1268" customFormat="false" ht="15" hidden="false" customHeight="true" outlineLevel="0" collapsed="false">
      <c r="AJ1268" s="525"/>
    </row>
    <row r="1269" customFormat="false" ht="15" hidden="false" customHeight="true" outlineLevel="0" collapsed="false">
      <c r="AJ1269" s="525"/>
    </row>
    <row r="1270" customFormat="false" ht="15" hidden="false" customHeight="true" outlineLevel="0" collapsed="false">
      <c r="AJ1270" s="525"/>
    </row>
    <row r="1271" customFormat="false" ht="15" hidden="false" customHeight="true" outlineLevel="0" collapsed="false">
      <c r="AJ1271" s="525"/>
    </row>
    <row r="1272" customFormat="false" ht="15" hidden="false" customHeight="true" outlineLevel="0" collapsed="false">
      <c r="AJ1272" s="525"/>
    </row>
    <row r="1273" customFormat="false" ht="15" hidden="false" customHeight="true" outlineLevel="0" collapsed="false">
      <c r="AJ1273" s="525"/>
    </row>
    <row r="1274" customFormat="false" ht="15" hidden="false" customHeight="true" outlineLevel="0" collapsed="false">
      <c r="AJ1274" s="525"/>
    </row>
    <row r="1275" customFormat="false" ht="15" hidden="false" customHeight="true" outlineLevel="0" collapsed="false">
      <c r="AJ1275" s="525"/>
    </row>
    <row r="1276" customFormat="false" ht="15" hidden="false" customHeight="true" outlineLevel="0" collapsed="false">
      <c r="AJ1276" s="525"/>
    </row>
    <row r="1277" customFormat="false" ht="15" hidden="false" customHeight="true" outlineLevel="0" collapsed="false">
      <c r="AJ1277" s="525"/>
    </row>
    <row r="1278" customFormat="false" ht="15" hidden="false" customHeight="true" outlineLevel="0" collapsed="false">
      <c r="AJ1278" s="525"/>
    </row>
    <row r="1279" customFormat="false" ht="15" hidden="false" customHeight="true" outlineLevel="0" collapsed="false">
      <c r="AJ1279" s="525"/>
    </row>
    <row r="1280" customFormat="false" ht="15" hidden="false" customHeight="true" outlineLevel="0" collapsed="false">
      <c r="AJ1280" s="525"/>
    </row>
    <row r="1281" customFormat="false" ht="15" hidden="false" customHeight="true" outlineLevel="0" collapsed="false">
      <c r="AJ1281" s="525"/>
    </row>
    <row r="1282" customFormat="false" ht="15" hidden="false" customHeight="true" outlineLevel="0" collapsed="false">
      <c r="AJ1282" s="525"/>
    </row>
    <row r="1283" customFormat="false" ht="15" hidden="false" customHeight="true" outlineLevel="0" collapsed="false">
      <c r="AJ1283" s="525"/>
    </row>
    <row r="1284" customFormat="false" ht="15" hidden="false" customHeight="true" outlineLevel="0" collapsed="false">
      <c r="AJ1284" s="525"/>
    </row>
    <row r="1285" customFormat="false" ht="15" hidden="false" customHeight="true" outlineLevel="0" collapsed="false">
      <c r="AJ1285" s="525"/>
    </row>
    <row r="1286" customFormat="false" ht="15" hidden="false" customHeight="true" outlineLevel="0" collapsed="false">
      <c r="AJ1286" s="525"/>
    </row>
    <row r="1287" customFormat="false" ht="15" hidden="false" customHeight="true" outlineLevel="0" collapsed="false">
      <c r="AJ1287" s="525"/>
    </row>
    <row r="1288" customFormat="false" ht="15" hidden="false" customHeight="true" outlineLevel="0" collapsed="false">
      <c r="AJ1288" s="525"/>
    </row>
    <row r="1289" customFormat="false" ht="15" hidden="false" customHeight="true" outlineLevel="0" collapsed="false">
      <c r="AJ1289" s="525"/>
    </row>
    <row r="1290" customFormat="false" ht="15" hidden="false" customHeight="true" outlineLevel="0" collapsed="false">
      <c r="AJ1290" s="525"/>
    </row>
    <row r="1291" customFormat="false" ht="15" hidden="false" customHeight="true" outlineLevel="0" collapsed="false">
      <c r="AJ1291" s="525"/>
    </row>
    <row r="1292" customFormat="false" ht="15" hidden="false" customHeight="true" outlineLevel="0" collapsed="false">
      <c r="AJ1292" s="525"/>
    </row>
    <row r="1293" customFormat="false" ht="15" hidden="false" customHeight="true" outlineLevel="0" collapsed="false">
      <c r="AJ1293" s="525"/>
    </row>
    <row r="1294" customFormat="false" ht="15" hidden="false" customHeight="true" outlineLevel="0" collapsed="false">
      <c r="AJ1294" s="525"/>
    </row>
    <row r="1295" customFormat="false" ht="15" hidden="false" customHeight="true" outlineLevel="0" collapsed="false">
      <c r="AJ1295" s="525"/>
    </row>
    <row r="1296" customFormat="false" ht="15" hidden="false" customHeight="true" outlineLevel="0" collapsed="false">
      <c r="AJ1296" s="525"/>
    </row>
    <row r="1297" customFormat="false" ht="15" hidden="false" customHeight="true" outlineLevel="0" collapsed="false">
      <c r="AJ1297" s="525"/>
    </row>
    <row r="1298" customFormat="false" ht="15" hidden="false" customHeight="true" outlineLevel="0" collapsed="false">
      <c r="AJ1298" s="525"/>
    </row>
    <row r="1299" customFormat="false" ht="15" hidden="false" customHeight="true" outlineLevel="0" collapsed="false">
      <c r="AJ1299" s="525"/>
    </row>
    <row r="1300" customFormat="false" ht="15" hidden="false" customHeight="true" outlineLevel="0" collapsed="false">
      <c r="AJ1300" s="525"/>
    </row>
    <row r="1301" customFormat="false" ht="15" hidden="false" customHeight="true" outlineLevel="0" collapsed="false">
      <c r="AJ1301" s="525"/>
    </row>
    <row r="1302" customFormat="false" ht="15" hidden="false" customHeight="true" outlineLevel="0" collapsed="false">
      <c r="AJ1302" s="525"/>
    </row>
    <row r="1303" customFormat="false" ht="15" hidden="false" customHeight="true" outlineLevel="0" collapsed="false">
      <c r="AJ1303" s="525"/>
    </row>
    <row r="1304" customFormat="false" ht="15" hidden="false" customHeight="true" outlineLevel="0" collapsed="false">
      <c r="AJ1304" s="525"/>
    </row>
    <row r="1305" customFormat="false" ht="15" hidden="false" customHeight="true" outlineLevel="0" collapsed="false">
      <c r="AJ1305" s="525"/>
    </row>
    <row r="1306" customFormat="false" ht="15" hidden="false" customHeight="true" outlineLevel="0" collapsed="false">
      <c r="AJ1306" s="525"/>
    </row>
    <row r="1307" customFormat="false" ht="15" hidden="false" customHeight="true" outlineLevel="0" collapsed="false">
      <c r="AJ1307" s="525"/>
    </row>
    <row r="1308" customFormat="false" ht="15" hidden="false" customHeight="true" outlineLevel="0" collapsed="false">
      <c r="AJ1308" s="525"/>
    </row>
    <row r="1309" customFormat="false" ht="15" hidden="false" customHeight="true" outlineLevel="0" collapsed="false">
      <c r="AJ1309" s="525"/>
    </row>
    <row r="1310" customFormat="false" ht="15" hidden="false" customHeight="true" outlineLevel="0" collapsed="false">
      <c r="AJ1310" s="525"/>
    </row>
    <row r="1311" customFormat="false" ht="15" hidden="false" customHeight="true" outlineLevel="0" collapsed="false">
      <c r="AJ1311" s="525"/>
    </row>
    <row r="1312" customFormat="false" ht="15" hidden="false" customHeight="true" outlineLevel="0" collapsed="false">
      <c r="AJ1312" s="525"/>
    </row>
    <row r="1313" customFormat="false" ht="15" hidden="false" customHeight="true" outlineLevel="0" collapsed="false">
      <c r="AJ1313" s="525"/>
    </row>
    <row r="1314" customFormat="false" ht="15" hidden="false" customHeight="true" outlineLevel="0" collapsed="false">
      <c r="AJ1314" s="525"/>
    </row>
    <row r="1315" customFormat="false" ht="15" hidden="false" customHeight="true" outlineLevel="0" collapsed="false">
      <c r="AJ1315" s="525"/>
    </row>
    <row r="1316" customFormat="false" ht="15" hidden="false" customHeight="true" outlineLevel="0" collapsed="false">
      <c r="AJ1316" s="525"/>
    </row>
    <row r="1317" customFormat="false" ht="15" hidden="false" customHeight="true" outlineLevel="0" collapsed="false">
      <c r="AJ1317" s="525"/>
    </row>
    <row r="1318" customFormat="false" ht="15" hidden="false" customHeight="true" outlineLevel="0" collapsed="false">
      <c r="AJ1318" s="525"/>
    </row>
    <row r="1319" customFormat="false" ht="15" hidden="false" customHeight="true" outlineLevel="0" collapsed="false">
      <c r="AJ1319" s="525"/>
    </row>
    <row r="1320" customFormat="false" ht="15" hidden="false" customHeight="true" outlineLevel="0" collapsed="false">
      <c r="AJ1320" s="525"/>
    </row>
    <row r="1321" customFormat="false" ht="15" hidden="false" customHeight="true" outlineLevel="0" collapsed="false">
      <c r="AJ1321" s="525"/>
    </row>
    <row r="1322" customFormat="false" ht="15" hidden="false" customHeight="true" outlineLevel="0" collapsed="false">
      <c r="AJ1322" s="525"/>
    </row>
    <row r="1323" customFormat="false" ht="15" hidden="false" customHeight="true" outlineLevel="0" collapsed="false">
      <c r="AJ1323" s="525"/>
    </row>
    <row r="1324" customFormat="false" ht="15" hidden="false" customHeight="true" outlineLevel="0" collapsed="false">
      <c r="AJ1324" s="525"/>
    </row>
    <row r="1325" customFormat="false" ht="15" hidden="false" customHeight="true" outlineLevel="0" collapsed="false">
      <c r="AJ1325" s="525"/>
    </row>
    <row r="1326" customFormat="false" ht="15" hidden="false" customHeight="true" outlineLevel="0" collapsed="false">
      <c r="AJ1326" s="525"/>
    </row>
    <row r="1327" customFormat="false" ht="15" hidden="false" customHeight="true" outlineLevel="0" collapsed="false">
      <c r="AJ1327" s="525"/>
    </row>
    <row r="1328" customFormat="false" ht="15" hidden="false" customHeight="true" outlineLevel="0" collapsed="false">
      <c r="AJ1328" s="525"/>
    </row>
    <row r="1329" customFormat="false" ht="15" hidden="false" customHeight="true" outlineLevel="0" collapsed="false">
      <c r="AJ1329" s="525"/>
    </row>
    <row r="1330" customFormat="false" ht="15" hidden="false" customHeight="true" outlineLevel="0" collapsed="false">
      <c r="AJ1330" s="525"/>
    </row>
    <row r="1331" customFormat="false" ht="15" hidden="false" customHeight="true" outlineLevel="0" collapsed="false">
      <c r="AJ1331" s="525"/>
    </row>
    <row r="1332" customFormat="false" ht="15" hidden="false" customHeight="true" outlineLevel="0" collapsed="false">
      <c r="AJ1332" s="525"/>
    </row>
    <row r="1333" customFormat="false" ht="15" hidden="false" customHeight="true" outlineLevel="0" collapsed="false">
      <c r="AJ1333" s="525"/>
    </row>
    <row r="1334" customFormat="false" ht="15" hidden="false" customHeight="true" outlineLevel="0" collapsed="false">
      <c r="AJ1334" s="525"/>
    </row>
    <row r="1335" customFormat="false" ht="15" hidden="false" customHeight="true" outlineLevel="0" collapsed="false">
      <c r="AJ1335" s="525"/>
    </row>
    <row r="1336" customFormat="false" ht="15" hidden="false" customHeight="true" outlineLevel="0" collapsed="false">
      <c r="AJ1336" s="525"/>
    </row>
    <row r="1337" customFormat="false" ht="15" hidden="false" customHeight="true" outlineLevel="0" collapsed="false">
      <c r="AJ1337" s="525"/>
    </row>
    <row r="1338" customFormat="false" ht="15" hidden="false" customHeight="true" outlineLevel="0" collapsed="false">
      <c r="AJ1338" s="525"/>
    </row>
    <row r="1339" customFormat="false" ht="15" hidden="false" customHeight="true" outlineLevel="0" collapsed="false">
      <c r="AJ1339" s="525"/>
    </row>
    <row r="1340" customFormat="false" ht="15" hidden="false" customHeight="true" outlineLevel="0" collapsed="false">
      <c r="AJ1340" s="525"/>
    </row>
    <row r="1341" customFormat="false" ht="15" hidden="false" customHeight="true" outlineLevel="0" collapsed="false">
      <c r="AJ1341" s="525"/>
    </row>
    <row r="1342" customFormat="false" ht="15" hidden="false" customHeight="true" outlineLevel="0" collapsed="false">
      <c r="AJ1342" s="525"/>
    </row>
    <row r="1343" customFormat="false" ht="15" hidden="false" customHeight="true" outlineLevel="0" collapsed="false">
      <c r="AJ1343" s="525"/>
    </row>
    <row r="1344" customFormat="false" ht="15" hidden="false" customHeight="true" outlineLevel="0" collapsed="false">
      <c r="AJ1344" s="525"/>
    </row>
    <row r="1345" customFormat="false" ht="15" hidden="false" customHeight="true" outlineLevel="0" collapsed="false">
      <c r="AJ1345" s="525"/>
    </row>
    <row r="1346" customFormat="false" ht="15" hidden="false" customHeight="true" outlineLevel="0" collapsed="false">
      <c r="AJ1346" s="525"/>
    </row>
    <row r="1347" customFormat="false" ht="15" hidden="false" customHeight="true" outlineLevel="0" collapsed="false">
      <c r="AJ1347" s="525"/>
    </row>
    <row r="1348" customFormat="false" ht="15" hidden="false" customHeight="true" outlineLevel="0" collapsed="false">
      <c r="AJ1348" s="525"/>
    </row>
    <row r="1349" customFormat="false" ht="15" hidden="false" customHeight="true" outlineLevel="0" collapsed="false">
      <c r="AJ1349" s="525"/>
    </row>
    <row r="1350" customFormat="false" ht="15" hidden="false" customHeight="true" outlineLevel="0" collapsed="false">
      <c r="AJ1350" s="525"/>
    </row>
    <row r="1351" customFormat="false" ht="15" hidden="false" customHeight="true" outlineLevel="0" collapsed="false">
      <c r="AJ1351" s="525"/>
    </row>
    <row r="1352" customFormat="false" ht="15" hidden="false" customHeight="true" outlineLevel="0" collapsed="false">
      <c r="AJ1352" s="525"/>
    </row>
    <row r="1353" customFormat="false" ht="15" hidden="false" customHeight="true" outlineLevel="0" collapsed="false">
      <c r="AJ1353" s="525"/>
    </row>
    <row r="1354" customFormat="false" ht="15" hidden="false" customHeight="true" outlineLevel="0" collapsed="false">
      <c r="AJ1354" s="525"/>
    </row>
    <row r="1355" customFormat="false" ht="15" hidden="false" customHeight="true" outlineLevel="0" collapsed="false">
      <c r="AJ1355" s="525"/>
    </row>
    <row r="1356" customFormat="false" ht="15" hidden="false" customHeight="true" outlineLevel="0" collapsed="false">
      <c r="AJ1356" s="525"/>
    </row>
    <row r="1357" customFormat="false" ht="15" hidden="false" customHeight="true" outlineLevel="0" collapsed="false">
      <c r="AJ1357" s="525"/>
    </row>
    <row r="1358" customFormat="false" ht="15" hidden="false" customHeight="true" outlineLevel="0" collapsed="false">
      <c r="AJ1358" s="525"/>
    </row>
    <row r="1359" customFormat="false" ht="15" hidden="false" customHeight="true" outlineLevel="0" collapsed="false">
      <c r="AJ1359" s="525"/>
    </row>
    <row r="1360" customFormat="false" ht="15" hidden="false" customHeight="true" outlineLevel="0" collapsed="false">
      <c r="AJ1360" s="525"/>
    </row>
    <row r="1361" customFormat="false" ht="15" hidden="false" customHeight="true" outlineLevel="0" collapsed="false">
      <c r="AJ1361" s="525"/>
    </row>
    <row r="1362" customFormat="false" ht="15" hidden="false" customHeight="true" outlineLevel="0" collapsed="false">
      <c r="AJ1362" s="525"/>
    </row>
    <row r="1363" customFormat="false" ht="15" hidden="false" customHeight="true" outlineLevel="0" collapsed="false">
      <c r="AJ1363" s="525"/>
    </row>
    <row r="1364" customFormat="false" ht="15" hidden="false" customHeight="true" outlineLevel="0" collapsed="false">
      <c r="AJ1364" s="525"/>
    </row>
    <row r="1365" customFormat="false" ht="15" hidden="false" customHeight="true" outlineLevel="0" collapsed="false">
      <c r="AJ1365" s="525"/>
    </row>
    <row r="1366" customFormat="false" ht="15" hidden="false" customHeight="true" outlineLevel="0" collapsed="false">
      <c r="AJ1366" s="525"/>
    </row>
    <row r="1367" customFormat="false" ht="15" hidden="false" customHeight="true" outlineLevel="0" collapsed="false">
      <c r="AJ1367" s="525"/>
    </row>
    <row r="1368" customFormat="false" ht="15" hidden="false" customHeight="true" outlineLevel="0" collapsed="false">
      <c r="AJ1368" s="525"/>
    </row>
    <row r="1369" customFormat="false" ht="15" hidden="false" customHeight="true" outlineLevel="0" collapsed="false">
      <c r="AJ1369" s="525"/>
    </row>
    <row r="1370" customFormat="false" ht="15" hidden="false" customHeight="true" outlineLevel="0" collapsed="false">
      <c r="AJ1370" s="525"/>
    </row>
    <row r="1371" customFormat="false" ht="15" hidden="false" customHeight="true" outlineLevel="0" collapsed="false">
      <c r="AJ1371" s="525"/>
    </row>
    <row r="1372" customFormat="false" ht="15" hidden="false" customHeight="true" outlineLevel="0" collapsed="false">
      <c r="AJ1372" s="525"/>
    </row>
    <row r="1373" customFormat="false" ht="15" hidden="false" customHeight="true" outlineLevel="0" collapsed="false">
      <c r="AJ1373" s="525"/>
    </row>
    <row r="1374" customFormat="false" ht="15" hidden="false" customHeight="true" outlineLevel="0" collapsed="false">
      <c r="AJ1374" s="525"/>
    </row>
    <row r="1375" customFormat="false" ht="15" hidden="false" customHeight="true" outlineLevel="0" collapsed="false">
      <c r="AJ1375" s="525"/>
    </row>
    <row r="1376" customFormat="false" ht="15" hidden="false" customHeight="true" outlineLevel="0" collapsed="false">
      <c r="AJ1376" s="525"/>
    </row>
    <row r="1377" customFormat="false" ht="15" hidden="false" customHeight="true" outlineLevel="0" collapsed="false">
      <c r="AJ1377" s="525"/>
    </row>
    <row r="1378" customFormat="false" ht="15" hidden="false" customHeight="true" outlineLevel="0" collapsed="false">
      <c r="AJ1378" s="525"/>
    </row>
    <row r="1379" customFormat="false" ht="15" hidden="false" customHeight="true" outlineLevel="0" collapsed="false">
      <c r="AJ1379" s="525"/>
    </row>
    <row r="1380" customFormat="false" ht="15" hidden="false" customHeight="true" outlineLevel="0" collapsed="false">
      <c r="AJ1380" s="525"/>
    </row>
    <row r="1381" customFormat="false" ht="15" hidden="false" customHeight="true" outlineLevel="0" collapsed="false">
      <c r="AJ1381" s="525"/>
    </row>
    <row r="1382" customFormat="false" ht="15" hidden="false" customHeight="true" outlineLevel="0" collapsed="false">
      <c r="AJ1382" s="525"/>
    </row>
    <row r="1383" customFormat="false" ht="15" hidden="false" customHeight="true" outlineLevel="0" collapsed="false">
      <c r="AJ1383" s="525"/>
    </row>
    <row r="1384" customFormat="false" ht="15" hidden="false" customHeight="true" outlineLevel="0" collapsed="false">
      <c r="AJ1384" s="525"/>
    </row>
    <row r="1385" customFormat="false" ht="15" hidden="false" customHeight="true" outlineLevel="0" collapsed="false">
      <c r="AJ1385" s="525"/>
    </row>
    <row r="1386" customFormat="false" ht="15" hidden="false" customHeight="true" outlineLevel="0" collapsed="false">
      <c r="AJ1386" s="525"/>
    </row>
    <row r="1387" customFormat="false" ht="15" hidden="false" customHeight="true" outlineLevel="0" collapsed="false">
      <c r="AJ1387" s="525"/>
    </row>
    <row r="1388" customFormat="false" ht="15" hidden="false" customHeight="true" outlineLevel="0" collapsed="false">
      <c r="AJ1388" s="525"/>
    </row>
    <row r="1389" customFormat="false" ht="15" hidden="false" customHeight="true" outlineLevel="0" collapsed="false">
      <c r="AJ1389" s="525"/>
    </row>
    <row r="1390" customFormat="false" ht="15" hidden="false" customHeight="true" outlineLevel="0" collapsed="false">
      <c r="AJ1390" s="525"/>
    </row>
    <row r="1391" customFormat="false" ht="15" hidden="false" customHeight="true" outlineLevel="0" collapsed="false">
      <c r="AJ1391" s="525"/>
    </row>
    <row r="1392" customFormat="false" ht="15" hidden="false" customHeight="true" outlineLevel="0" collapsed="false">
      <c r="AJ1392" s="525"/>
    </row>
    <row r="1393" customFormat="false" ht="15" hidden="false" customHeight="true" outlineLevel="0" collapsed="false">
      <c r="AJ1393" s="525"/>
    </row>
    <row r="1394" customFormat="false" ht="15" hidden="false" customHeight="true" outlineLevel="0" collapsed="false">
      <c r="AJ1394" s="525"/>
    </row>
    <row r="1395" customFormat="false" ht="15" hidden="false" customHeight="true" outlineLevel="0" collapsed="false">
      <c r="AJ1395" s="525"/>
    </row>
    <row r="1396" customFormat="false" ht="15" hidden="false" customHeight="true" outlineLevel="0" collapsed="false">
      <c r="AJ1396" s="525"/>
    </row>
    <row r="1397" customFormat="false" ht="15" hidden="false" customHeight="true" outlineLevel="0" collapsed="false">
      <c r="AJ1397" s="525"/>
    </row>
    <row r="1398" customFormat="false" ht="15" hidden="false" customHeight="true" outlineLevel="0" collapsed="false">
      <c r="AJ1398" s="525"/>
    </row>
    <row r="1399" customFormat="false" ht="15" hidden="false" customHeight="true" outlineLevel="0" collapsed="false">
      <c r="AJ1399" s="525"/>
    </row>
    <row r="1400" customFormat="false" ht="15" hidden="false" customHeight="true" outlineLevel="0" collapsed="false">
      <c r="AJ1400" s="525"/>
    </row>
    <row r="1401" customFormat="false" ht="15" hidden="false" customHeight="true" outlineLevel="0" collapsed="false">
      <c r="AJ1401" s="525"/>
    </row>
    <row r="1402" customFormat="false" ht="15" hidden="false" customHeight="true" outlineLevel="0" collapsed="false">
      <c r="AJ1402" s="525"/>
    </row>
    <row r="1403" customFormat="false" ht="15" hidden="false" customHeight="true" outlineLevel="0" collapsed="false">
      <c r="AJ1403" s="525"/>
    </row>
    <row r="1404" customFormat="false" ht="15" hidden="false" customHeight="true" outlineLevel="0" collapsed="false">
      <c r="AJ1404" s="525"/>
    </row>
    <row r="1405" customFormat="false" ht="15" hidden="false" customHeight="true" outlineLevel="0" collapsed="false">
      <c r="AJ1405" s="525"/>
    </row>
    <row r="1406" customFormat="false" ht="15" hidden="false" customHeight="true" outlineLevel="0" collapsed="false">
      <c r="AJ1406" s="525"/>
    </row>
    <row r="1407" customFormat="false" ht="15" hidden="false" customHeight="true" outlineLevel="0" collapsed="false">
      <c r="AJ1407" s="525"/>
    </row>
    <row r="1408" customFormat="false" ht="15" hidden="false" customHeight="true" outlineLevel="0" collapsed="false">
      <c r="AJ1408" s="525"/>
    </row>
    <row r="1409" customFormat="false" ht="15" hidden="false" customHeight="true" outlineLevel="0" collapsed="false">
      <c r="AJ1409" s="525"/>
    </row>
    <row r="1410" customFormat="false" ht="15" hidden="false" customHeight="true" outlineLevel="0" collapsed="false">
      <c r="AJ1410" s="525"/>
    </row>
    <row r="1411" customFormat="false" ht="15" hidden="false" customHeight="true" outlineLevel="0" collapsed="false">
      <c r="AJ1411" s="525"/>
    </row>
    <row r="1412" customFormat="false" ht="15" hidden="false" customHeight="true" outlineLevel="0" collapsed="false">
      <c r="AJ1412" s="525"/>
    </row>
    <row r="1413" customFormat="false" ht="15" hidden="false" customHeight="true" outlineLevel="0" collapsed="false">
      <c r="AJ1413" s="525"/>
    </row>
    <row r="1414" customFormat="false" ht="15" hidden="false" customHeight="true" outlineLevel="0" collapsed="false">
      <c r="AJ1414" s="525"/>
    </row>
    <row r="1415" customFormat="false" ht="15" hidden="false" customHeight="true" outlineLevel="0" collapsed="false">
      <c r="AJ1415" s="525"/>
    </row>
    <row r="1416" customFormat="false" ht="15" hidden="false" customHeight="true" outlineLevel="0" collapsed="false">
      <c r="AJ1416" s="525"/>
    </row>
    <row r="1417" customFormat="false" ht="15" hidden="false" customHeight="true" outlineLevel="0" collapsed="false">
      <c r="AJ1417" s="525"/>
    </row>
    <row r="1418" customFormat="false" ht="15" hidden="false" customHeight="true" outlineLevel="0" collapsed="false">
      <c r="AJ1418" s="525"/>
    </row>
    <row r="1419" customFormat="false" ht="15" hidden="false" customHeight="true" outlineLevel="0" collapsed="false">
      <c r="AJ1419" s="525"/>
    </row>
    <row r="1420" customFormat="false" ht="15" hidden="false" customHeight="true" outlineLevel="0" collapsed="false">
      <c r="AJ1420" s="525"/>
    </row>
    <row r="1421" customFormat="false" ht="15" hidden="false" customHeight="true" outlineLevel="0" collapsed="false">
      <c r="AJ1421" s="525"/>
    </row>
    <row r="1422" customFormat="false" ht="15" hidden="false" customHeight="true" outlineLevel="0" collapsed="false">
      <c r="AJ1422" s="525"/>
    </row>
    <row r="1423" customFormat="false" ht="15" hidden="false" customHeight="true" outlineLevel="0" collapsed="false">
      <c r="AJ1423" s="525"/>
    </row>
    <row r="1424" customFormat="false" ht="15" hidden="false" customHeight="true" outlineLevel="0" collapsed="false">
      <c r="AJ1424" s="525"/>
    </row>
    <row r="1425" customFormat="false" ht="15" hidden="false" customHeight="true" outlineLevel="0" collapsed="false">
      <c r="AJ1425" s="525"/>
    </row>
    <row r="1426" customFormat="false" ht="15" hidden="false" customHeight="true" outlineLevel="0" collapsed="false">
      <c r="AJ1426" s="525"/>
    </row>
    <row r="1427" customFormat="false" ht="15" hidden="false" customHeight="true" outlineLevel="0" collapsed="false">
      <c r="AJ1427" s="525"/>
    </row>
  </sheetData>
  <autoFilter ref="A1:AJ427"/>
  <dataValidations count="1">
    <dataValidation allowBlank="true" errorStyle="stop" operator="between" showDropDown="false" showErrorMessage="true" showInputMessage="true" sqref="AJ2:AJ1427" type="list">
      <formula1>"Let,Void,Under Ref,Mothballed,Under Off"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7"/>
  <sheetViews>
    <sheetView showFormulas="false" showGridLines="true" showRowColHeaders="true" showZeros="true" rightToLeft="false" tabSelected="true" showOutlineSymbols="true" defaultGridColor="true" view="pageBreakPreview" topLeftCell="B1" colorId="64" zoomScale="100" zoomScaleNormal="100" zoomScalePageLayoutView="100" workbookViewId="0">
      <selection pane="topLeft" activeCell="F7" activeCellId="0" sqref="F7"/>
    </sheetView>
  </sheetViews>
  <sheetFormatPr defaultColWidth="8.6796875" defaultRowHeight="15" customHeight="true" zeroHeight="false" outlineLevelRow="0" outlineLevelCol="0"/>
  <cols>
    <col collapsed="false" customWidth="true" hidden="false" outlineLevel="0" max="5" min="1" style="1" width="50"/>
    <col collapsed="false" customWidth="true" hidden="false" outlineLevel="0" max="6" min="6" style="1" width="24"/>
  </cols>
  <sheetData>
    <row r="1" customFormat="false" ht="15" hidden="false" customHeight="false" outlineLevel="0" collapsed="false">
      <c r="A1" s="527" t="s">
        <v>1105</v>
      </c>
      <c r="B1" s="527" t="s">
        <v>7</v>
      </c>
      <c r="C1" s="527" t="s">
        <v>1106</v>
      </c>
      <c r="D1" s="527" t="s">
        <v>1107</v>
      </c>
      <c r="E1" s="527" t="s">
        <v>1108</v>
      </c>
      <c r="F1" s="527" t="s">
        <v>1109</v>
      </c>
    </row>
    <row r="2" customFormat="false" ht="15" hidden="false" customHeight="false" outlineLevel="0" collapsed="false">
      <c r="A2" s="1" t="s">
        <v>36</v>
      </c>
      <c r="B2" s="476" t="n">
        <f aca="false">SUMIF(Units!D:D,"5-6 Bywell Place",Units!G:G)</f>
        <v>2011</v>
      </c>
      <c r="C2" s="528" t="n">
        <f aca="false">SUMIF(Units!D:D,"5-6 Bywell Place",Units!P:P)</f>
        <v>115500</v>
      </c>
      <c r="D2" s="528" t="n">
        <f aca="false">SUMIF(Units!D:D,"5-6 Bywell Place",Units!S:S)</f>
        <v>100600</v>
      </c>
      <c r="E2" s="528" t="n">
        <f aca="false">SUMIF(Units!D:D,"5-6 Bywell Place",Units!U:U)</f>
        <v>115000</v>
      </c>
      <c r="F2" s="292" t="n">
        <f aca="false">'Bank Schedule'!AB7</f>
        <v>1825000</v>
      </c>
    </row>
    <row r="3" customFormat="false" ht="15" hidden="false" customHeight="false" outlineLevel="0" collapsed="false">
      <c r="A3" s="1" t="s">
        <v>46</v>
      </c>
      <c r="B3" s="476" t="n">
        <f aca="false">SUMIF(Units!D:D,"22 and 23-25 Eastcastle Street",Units!G:G)</f>
        <v>20705</v>
      </c>
      <c r="C3" s="528" t="n">
        <f aca="false">SUMIF(Units!D:D,"22 and 23-25 Eastcastle Street",Units!P:P)</f>
        <v>858696</v>
      </c>
      <c r="D3" s="528" t="n">
        <f aca="false">SUMIF(Units!D:D,"22 and 23-25 Eastcastle Street",Units!S:S)</f>
        <v>1001300</v>
      </c>
      <c r="E3" s="528" t="n">
        <f aca="false">SUMIF(Units!D:D,"22 and 23-25 Eastcastle Street",Units!U:U)</f>
        <v>1051500</v>
      </c>
      <c r="F3" s="292" t="n">
        <f aca="false">'Bank Schedule'!AB25</f>
        <v>14850000</v>
      </c>
    </row>
    <row r="4" customFormat="false" ht="15" hidden="false" customHeight="false" outlineLevel="0" collapsed="false">
      <c r="A4" s="1" t="s">
        <v>84</v>
      </c>
      <c r="B4" s="476" t="n">
        <f aca="false">SUMIF(Units!D:D,"26 Eastcastle Street",Units!G:G)</f>
        <v>5929</v>
      </c>
      <c r="C4" s="528" t="n">
        <f aca="false">SUMIF(Units!D:D,"26 Eastcastle Street",Units!P:P)</f>
        <v>247833</v>
      </c>
      <c r="D4" s="528" t="n">
        <f aca="false">SUMIF(Units!D:D,"26 Eastcastle Street",Units!S:S)</f>
        <v>277900</v>
      </c>
      <c r="E4" s="528" t="n">
        <f aca="false">SUMIF(Units!D:D,"26 Eastcastle Street",Units!U:U)</f>
        <v>317100</v>
      </c>
      <c r="F4" s="292" t="n">
        <f aca="false">'Bank Schedule'!AB34</f>
        <v>4725000</v>
      </c>
    </row>
    <row r="5" customFormat="false" ht="15" hidden="false" customHeight="false" outlineLevel="0" collapsed="false">
      <c r="A5" s="1" t="s">
        <v>96</v>
      </c>
      <c r="B5" s="476" t="n">
        <f aca="false">SUMIF(Units!D:D,"27 - 28 Eastcastle Street",Units!G:G)</f>
        <v>6467</v>
      </c>
      <c r="C5" s="528" t="n">
        <f aca="false">SUMIF(Units!D:D,"27 - 28 Eastcastle Street",Units!P:P)</f>
        <v>427375</v>
      </c>
      <c r="D5" s="528" t="n">
        <f aca="false">SUMIF(Units!D:D,"27 - 28 Eastcastle Street",Units!S:S)</f>
        <v>324000</v>
      </c>
      <c r="E5" s="528" t="n">
        <f aca="false">SUMIF(Units!D:D,"27 - 28 Eastcastle Street",Units!U:U)</f>
        <v>348700</v>
      </c>
      <c r="F5" s="292" t="n">
        <f aca="false">'Bank Schedule'!AB43</f>
        <v>5675000</v>
      </c>
    </row>
    <row r="6" customFormat="false" ht="15" hidden="false" customHeight="false" outlineLevel="0" collapsed="false">
      <c r="A6" s="1" t="s">
        <v>105</v>
      </c>
      <c r="B6" s="476" t="n">
        <f aca="false">SUMIF(Units!D:D,"10 Great Castle Street",Units!G:G)</f>
        <v>12578</v>
      </c>
      <c r="C6" s="528" t="n">
        <f aca="false">SUMIF(Units!D:D,"10 Great Castle Street",Units!P:P)</f>
        <v>633334</v>
      </c>
      <c r="D6" s="528" t="n">
        <f aca="false">SUMIF(Units!D:D,"10 Great Castle Street",Units!S:S)</f>
        <v>950000</v>
      </c>
      <c r="E6" s="528" t="n">
        <f aca="false">SUMIF(Units!D:D,"10 Great Castle Street",Units!U:U)</f>
        <v>950000</v>
      </c>
      <c r="F6" s="292" t="n">
        <f aca="false">'Bank Schedule'!AB47</f>
        <v>17050000</v>
      </c>
    </row>
    <row r="7" customFormat="false" ht="15" hidden="false" customHeight="false" outlineLevel="0" collapsed="false">
      <c r="A7" s="1" t="s">
        <v>111</v>
      </c>
      <c r="B7" s="476" t="n">
        <f aca="false">SUMIF(Units!D:D,"Windsor House, 40-41 Great Castle Street",Units!G:G)</f>
        <v>4639</v>
      </c>
      <c r="C7" s="528" t="n">
        <f aca="false">SUMIF(Units!D:D,"Windsor House, 40-41 Great Castle Street",Units!P:P)</f>
        <v>115500</v>
      </c>
      <c r="D7" s="528" t="n">
        <f aca="false">SUMIF(Units!D:D,"Windsor House, 40-41 Great Castle Street",Units!S:S)</f>
        <v>280400</v>
      </c>
      <c r="E7" s="528" t="n">
        <f aca="false">SUMIF(Units!D:D,"Windsor House, 40-41 Great Castle Street",Units!U:U)</f>
        <v>285000</v>
      </c>
      <c r="F7" s="292" t="n">
        <f aca="false">'Bank Schedule'!AB58</f>
        <v>4750000</v>
      </c>
    </row>
    <row r="8" customFormat="false" ht="15" hidden="false" customHeight="false" outlineLevel="0" collapsed="false">
      <c r="A8" s="1" t="s">
        <v>123</v>
      </c>
      <c r="B8" s="476" t="n">
        <f aca="false">SUMIF(Units!D:D,"Portland House, 4 Great Portland Street",Units!G:G)</f>
        <v>31169</v>
      </c>
      <c r="C8" s="528" t="n">
        <f aca="false">SUMIF(Units!D:D,"Portland House, 4 Great Portland Street",Units!P:P)</f>
        <v>1582568</v>
      </c>
      <c r="D8" s="528" t="n">
        <f aca="false">SUMIF(Units!D:D,"Portland House, 4 Great Portland Street",Units!S:S)</f>
        <v>1752665</v>
      </c>
      <c r="E8" s="528" t="n">
        <f aca="false">SUMIF(Units!D:D,"Portland House, 4 Great Portland Street",Units!U:U)</f>
        <v>2037500</v>
      </c>
      <c r="F8" s="292" t="n">
        <f aca="false">'Bank Schedule'!AB80</f>
        <v>34025000</v>
      </c>
    </row>
    <row r="9" customFormat="false" ht="15" hidden="false" customHeight="false" outlineLevel="0" collapsed="false">
      <c r="A9" s="1" t="s">
        <v>173</v>
      </c>
      <c r="B9" s="476" t="n">
        <f aca="false">SUMIF(Units!D:D,"6-10a Great Portland Street",Units!G:G)</f>
        <v>13113</v>
      </c>
      <c r="C9" s="528" t="n">
        <f aca="false">SUMIF(Units!D:D,"6-10a Great Portland Street",Units!P:P)</f>
        <v>358501</v>
      </c>
      <c r="D9" s="528" t="n">
        <f aca="false">SUMIF(Units!D:D,"6-10a Great Portland Street",Units!S:S)</f>
        <v>814825</v>
      </c>
      <c r="E9" s="528" t="n">
        <f aca="false">SUMIF(Units!D:D,"6-10a Great Portland Street",Units!U:U)</f>
        <v>867725</v>
      </c>
      <c r="F9" s="292" t="n">
        <f aca="false">'Bank Schedule'!AB92</f>
        <v>13775000</v>
      </c>
    </row>
    <row r="10" customFormat="false" ht="15" hidden="false" customHeight="false" outlineLevel="0" collapsed="false">
      <c r="A10" s="1" t="s">
        <v>184</v>
      </c>
      <c r="B10" s="476" t="n">
        <f aca="false">SUMIF(Units!D:D,"15-17 Great Portland Street &amp; 6-7 Great Castle Street",Units!G:G)</f>
        <v>9884</v>
      </c>
      <c r="C10" s="528" t="n">
        <f aca="false">SUMIF(Units!D:D,"15-17 Great Portland Street &amp; 6-7 Great Castle Street",Units!P:P)</f>
        <v>580000</v>
      </c>
      <c r="D10" s="528" t="n">
        <f aca="false">SUMIF(Units!D:D,"15-17 Great Portland Street &amp; 6-7 Great Castle Street",Units!S:S)</f>
        <v>580000</v>
      </c>
      <c r="E10" s="528" t="n">
        <f aca="false">SUMIF(Units!D:D,"15-17 Great Portland Street &amp; 6-7 Great Castle Street",Units!U:U)</f>
        <v>607100</v>
      </c>
      <c r="F10" s="292" t="n">
        <f aca="false">'Bank Schedule'!AB96</f>
        <v>10650000</v>
      </c>
    </row>
    <row r="11" customFormat="false" ht="15" hidden="false" customHeight="false" outlineLevel="0" collapsed="false">
      <c r="A11" s="1" t="s">
        <v>188</v>
      </c>
      <c r="B11" s="476" t="n">
        <f aca="false">SUMIF(Units!D:D,"19-21 Great Portland Street",Units!G:G)</f>
        <v>0</v>
      </c>
      <c r="C11" s="528" t="n">
        <f aca="false">SUMIF(Units!D:D,"19-21 Great Portland Street",Units!P:P)</f>
        <v>0</v>
      </c>
      <c r="D11" s="528" t="n">
        <f aca="false">SUMIF(Units!D:D,"19-21 Great Portland Street",Units!S:S)</f>
        <v>0</v>
      </c>
      <c r="E11" s="528" t="n">
        <f aca="false">SUMIF(Units!D:D,"19-21 Great Portland Street",Units!U:U)</f>
        <v>0</v>
      </c>
    </row>
    <row r="12" customFormat="false" ht="15" hidden="false" customHeight="false" outlineLevel="0" collapsed="false">
      <c r="A12" s="1" t="s">
        <v>200</v>
      </c>
      <c r="B12" s="476" t="n">
        <f aca="false">SUMIF(Units!D:D,"20 Great Portland Street",Units!G:G)</f>
        <v>4950</v>
      </c>
      <c r="C12" s="528" t="n">
        <f aca="false">SUMIF(Units!D:D,"20 Great Portland Street",Units!P:P)</f>
        <v>218002</v>
      </c>
      <c r="D12" s="528" t="n">
        <f aca="false">SUMIF(Units!D:D,"20 Great Portland Street",Units!S:S)</f>
        <v>228938</v>
      </c>
      <c r="E12" s="528" t="n">
        <f aca="false">SUMIF(Units!D:D,"20 Great Portland Street",Units!U:U)</f>
        <v>228600</v>
      </c>
      <c r="F12" s="292" t="n">
        <f aca="false">'Bank Schedule'!AB121</f>
        <v>3225000</v>
      </c>
    </row>
    <row r="13" customFormat="false" ht="15" hidden="false" customHeight="false" outlineLevel="0" collapsed="false">
      <c r="A13" s="1" t="s">
        <v>224</v>
      </c>
      <c r="B13" s="476" t="n">
        <f aca="false">SUMIF(Units!D:D,"Highlight House, 22-24 Great Portland Street",Units!G:G)</f>
        <v>9646</v>
      </c>
      <c r="C13" s="528" t="n">
        <f aca="false">SUMIF(Units!D:D,"Highlight House, 22-24 Great Portland Street",Units!P:P)</f>
        <v>220000</v>
      </c>
      <c r="D13" s="528" t="n">
        <f aca="false">SUMIF(Units!D:D,"Highlight House, 22-24 Great Portland Street",Units!S:S)</f>
        <v>551600</v>
      </c>
      <c r="E13" s="528" t="n">
        <f aca="false">SUMIF(Units!D:D,"Highlight House, 22-24 Great Portland Street",Units!U:U)</f>
        <v>596500</v>
      </c>
      <c r="F13" s="292" t="n">
        <f aca="false">'Bank Schedule'!AB131</f>
        <v>9175000</v>
      </c>
    </row>
    <row r="14" customFormat="false" ht="15" hidden="false" customHeight="false" outlineLevel="0" collapsed="false">
      <c r="A14" s="1" t="s">
        <v>230</v>
      </c>
      <c r="B14" s="476" t="n">
        <f aca="false">SUMIF(Units!D:D,"23-25 Great Portland Street &amp; 54-55 Margaret Street",Units!G:G)</f>
        <v>5709</v>
      </c>
      <c r="C14" s="528" t="n">
        <f aca="false">SUMIF(Units!D:D,"23-25 Great Portland Street &amp; 54-55 Margaret Street",Units!P:P)</f>
        <v>385000</v>
      </c>
      <c r="D14" s="528" t="n">
        <f aca="false">SUMIF(Units!D:D,"23-25 Great Portland Street &amp; 54-55 Margaret Street",Units!S:S)</f>
        <v>385000</v>
      </c>
      <c r="E14" s="528" t="n">
        <f aca="false">SUMIF(Units!D:D,"23-25 Great Portland Street &amp; 54-55 Margaret Street",Units!U:U)</f>
        <v>385000</v>
      </c>
      <c r="F14" s="292" t="n">
        <f aca="false">'Bank Schedule'!AB138</f>
        <v>6875000</v>
      </c>
    </row>
    <row r="15" customFormat="false" ht="15" hidden="false" customHeight="false" outlineLevel="0" collapsed="false">
      <c r="A15" s="1" t="s">
        <v>235</v>
      </c>
      <c r="B15" s="476" t="n">
        <f aca="false">SUMIF(Units!D:D,"39 Great Portland Street",Units!G:G)</f>
        <v>4894</v>
      </c>
      <c r="C15" s="528" t="n">
        <f aca="false">SUMIF(Units!D:D,"39 Great Portland Street",Units!P:P)</f>
        <v>264410</v>
      </c>
      <c r="D15" s="528" t="n">
        <f aca="false">SUMIF(Units!D:D,"39 Great Portland Street",Units!S:S)</f>
        <v>259360</v>
      </c>
      <c r="E15" s="528" t="n">
        <f aca="false">SUMIF(Units!D:D,"39 Great Portland Street",Units!U:U)</f>
        <v>261140</v>
      </c>
      <c r="F15" s="292" t="n">
        <f aca="false">'Bank Schedule'!AB148</f>
        <v>4300000</v>
      </c>
    </row>
    <row r="16" customFormat="false" ht="15" hidden="false" customHeight="false" outlineLevel="0" collapsed="false">
      <c r="A16" s="1" t="s">
        <v>246</v>
      </c>
      <c r="B16" s="476" t="n">
        <f aca="false">SUMIF(Units!D:D,"41 Great Portland Street",Units!G:G)</f>
        <v>2313</v>
      </c>
      <c r="C16" s="528" t="n">
        <f aca="false">SUMIF(Units!D:D,"41 Great Portland Street",Units!P:P)</f>
        <v>112000</v>
      </c>
      <c r="D16" s="528" t="n">
        <f aca="false">SUMIF(Units!D:D,"41 Great Portland Street",Units!S:S)</f>
        <v>106600</v>
      </c>
      <c r="E16" s="528" t="n">
        <f aca="false">SUMIF(Units!D:D,"41 Great Portland Street",Units!U:U)</f>
        <v>102100</v>
      </c>
      <c r="F16" s="292" t="n">
        <f aca="false">'Bank Schedule'!AB152</f>
        <v>1750000</v>
      </c>
    </row>
    <row r="17" customFormat="false" ht="15" hidden="false" customHeight="false" outlineLevel="0" collapsed="false">
      <c r="A17" s="1" t="s">
        <v>249</v>
      </c>
      <c r="B17" s="476" t="n">
        <f aca="false">SUMIF(Units!D:D,"42-48 Great Portland Street",Units!G:G)</f>
        <v>11298</v>
      </c>
      <c r="C17" s="528" t="n">
        <f aca="false">SUMIF(Units!D:D,"42-48 Great Portland Street",Units!P:P)</f>
        <v>324620</v>
      </c>
      <c r="D17" s="528" t="n">
        <f aca="false">SUMIF(Units!D:D,"42-48 Great Portland Street",Units!S:S)</f>
        <v>603000</v>
      </c>
      <c r="E17" s="528" t="n">
        <f aca="false">SUMIF(Units!D:D,"42-48 Great Portland Street",Units!U:U)</f>
        <v>670500</v>
      </c>
      <c r="F17" s="292" t="n">
        <f aca="false">'Bank Schedule'!AB163</f>
        <v>9750000</v>
      </c>
    </row>
    <row r="18" customFormat="false" ht="15" hidden="false" customHeight="false" outlineLevel="0" collapsed="false">
      <c r="A18" s="1" t="s">
        <v>253</v>
      </c>
      <c r="B18" s="476" t="n">
        <f aca="false">SUMIF(Units!D:D,"45-49 Great Portland Street",Units!G:G)</f>
        <v>6440</v>
      </c>
      <c r="C18" s="528" t="n">
        <f aca="false">SUMIF(Units!D:D,"45-49 Great Portland Street",Units!P:P)</f>
        <v>379000</v>
      </c>
      <c r="D18" s="528" t="n">
        <f aca="false">SUMIF(Units!D:D,"45-49 Great Portland Street",Units!S:S)</f>
        <v>346800</v>
      </c>
      <c r="E18" s="528" t="n">
        <f aca="false">SUMIF(Units!D:D,"45-49 Great Portland Street",Units!U:U)</f>
        <v>363400</v>
      </c>
      <c r="F18" s="292" t="n">
        <f aca="false">'Bank Schedule'!AB171</f>
        <v>5950000</v>
      </c>
    </row>
    <row r="19" customFormat="false" ht="15" hidden="false" customHeight="false" outlineLevel="0" collapsed="false">
      <c r="A19" s="1" t="s">
        <v>263</v>
      </c>
      <c r="B19" s="476" t="n">
        <f aca="false">SUMIF(Units!D:D,"50 Great Portland Street",Units!G:G)</f>
        <v>3154</v>
      </c>
      <c r="C19" s="528" t="n">
        <f aca="false">SUMIF(Units!D:D,"50 Great Portland Street",Units!P:P)</f>
        <v>144000</v>
      </c>
      <c r="D19" s="528" t="n">
        <f aca="false">SUMIF(Units!D:D,"50 Great Portland Street",Units!S:S)</f>
        <v>146600</v>
      </c>
      <c r="E19" s="528" t="n">
        <f aca="false">SUMIF(Units!D:D,"50 Great Portland Street",Units!U:U)</f>
        <v>157000</v>
      </c>
      <c r="F19" s="292" t="n">
        <f aca="false">'Bank Schedule'!AB182</f>
        <v>2325000</v>
      </c>
    </row>
    <row r="20" customFormat="false" ht="15" hidden="false" customHeight="false" outlineLevel="0" collapsed="false">
      <c r="A20" s="1" t="s">
        <v>273</v>
      </c>
      <c r="B20" s="476" t="n">
        <f aca="false">SUMIF(Units!D:D,"51 Great Portland Street",Units!G:G)</f>
        <v>1725</v>
      </c>
      <c r="C20" s="528" t="n">
        <f aca="false">SUMIF(Units!D:D,"51 Great Portland Street",Units!P:P)</f>
        <v>67069</v>
      </c>
      <c r="D20" s="528" t="n">
        <f aca="false">SUMIF(Units!D:D,"51 Great Portland Street",Units!S:S)</f>
        <v>89500</v>
      </c>
      <c r="E20" s="528" t="n">
        <f aca="false">SUMIF(Units!D:D,"51 Great Portland Street",Units!U:U)</f>
        <v>89500</v>
      </c>
      <c r="F20" s="292" t="n">
        <f aca="false">'Bank Schedule'!AB191</f>
        <v>1300000</v>
      </c>
    </row>
    <row r="21" customFormat="false" ht="15" hidden="false" customHeight="false" outlineLevel="0" collapsed="false">
      <c r="A21" s="1" t="s">
        <v>277</v>
      </c>
      <c r="B21" s="476" t="n">
        <f aca="false">SUMIF(Units!D:D,"53 Great Portland Street",Units!G:G)</f>
        <v>1883</v>
      </c>
      <c r="C21" s="528" t="n">
        <f aca="false">SUMIF(Units!D:D,"53 Great Portland Street",Units!P:P)</f>
        <v>46820</v>
      </c>
      <c r="D21" s="528" t="n">
        <f aca="false">SUMIF(Units!D:D,"53 Great Portland Street",Units!S:S)</f>
        <v>98820</v>
      </c>
      <c r="E21" s="528" t="n">
        <f aca="false">SUMIF(Units!D:D,"53 Great Portland Street",Units!U:U)</f>
        <v>98895</v>
      </c>
      <c r="F21" s="292" t="n">
        <f aca="false">'Bank Schedule'!AB201</f>
        <v>1400000</v>
      </c>
    </row>
    <row r="22" customFormat="false" ht="15" hidden="false" customHeight="false" outlineLevel="0" collapsed="false">
      <c r="A22" s="1" t="s">
        <v>284</v>
      </c>
      <c r="B22" s="476" t="n">
        <f aca="false">SUMIF(Units!D:D,"76 Great Portland Street",Units!G:G)</f>
        <v>3034</v>
      </c>
      <c r="C22" s="528" t="n">
        <f aca="false">SUMIF(Units!D:D,"76 Great Portland Street",Units!P:P)</f>
        <v>49000</v>
      </c>
      <c r="D22" s="528" t="n">
        <f aca="false">SUMIF(Units!D:D,"76 Great Portland Street",Units!S:S)</f>
        <v>135000</v>
      </c>
      <c r="E22" s="528" t="n">
        <f aca="false">SUMIF(Units!D:D,"76 Great Portland Street",Units!U:U)</f>
        <v>130000</v>
      </c>
      <c r="F22" s="292" t="n">
        <f aca="false">'Bank Schedule'!AB209</f>
        <v>1400000</v>
      </c>
    </row>
    <row r="23" customFormat="false" ht="15" hidden="false" customHeight="false" outlineLevel="0" collapsed="false">
      <c r="A23" s="1" t="s">
        <v>289</v>
      </c>
      <c r="B23" s="476" t="n">
        <f aca="false">SUMIF(Units!D:D,"1 Great Titchfield Street",Units!G:G)</f>
        <v>1305</v>
      </c>
      <c r="C23" s="528" t="n">
        <f aca="false">SUMIF(Units!D:D,"1 Great Titchfield Street",Units!P:P)</f>
        <v>0</v>
      </c>
      <c r="D23" s="528" t="n">
        <f aca="false">SUMIF(Units!D:D,"1 Great Titchfield Street",Units!S:S)</f>
        <v>90000</v>
      </c>
      <c r="E23" s="528" t="n">
        <f aca="false">SUMIF(Units!D:D,"1 Great Titchfield Street",Units!U:U)</f>
        <v>90000</v>
      </c>
      <c r="F23" s="292" t="n">
        <f aca="false">'Bank Schedule'!AB213</f>
        <v>1630000</v>
      </c>
    </row>
    <row r="24" customFormat="false" ht="15" hidden="false" customHeight="false" outlineLevel="0" collapsed="false">
      <c r="A24" s="1" t="s">
        <v>294</v>
      </c>
      <c r="B24" s="476" t="n">
        <f aca="false">SUMIF(Units!D:D,"3 Great Titchfield Street",Units!G:G)</f>
        <v>2522</v>
      </c>
      <c r="C24" s="528" t="n">
        <f aca="false">SUMIF(Units!D:D,"3 Great Titchfield Street",Units!P:P)</f>
        <v>188400</v>
      </c>
      <c r="D24" s="528" t="n">
        <f aca="false">SUMIF(Units!D:D,"3 Great Titchfield Street",Units!S:S)</f>
        <v>158968</v>
      </c>
      <c r="E24" s="528" t="n">
        <f aca="false">SUMIF(Units!D:D,"3 Great Titchfield Street",Units!U:U)</f>
        <v>158968</v>
      </c>
      <c r="F24" s="292" t="n">
        <f aca="false">'Bank Schedule'!AB221</f>
        <v>3725000</v>
      </c>
    </row>
    <row r="25" customFormat="false" ht="15" hidden="false" customHeight="false" outlineLevel="0" collapsed="false">
      <c r="A25" s="1" t="s">
        <v>300</v>
      </c>
      <c r="B25" s="476" t="n">
        <f aca="false">SUMIF(Units!D:D,"Great Titchfield House,  14-18 Great Titchfield Street",Units!G:G)</f>
        <v>13564</v>
      </c>
      <c r="C25" s="528" t="n">
        <f aca="false">SUMIF(Units!D:D,"Great Titchfield House,  14-18 Great Titchfield Street",Units!P:P)</f>
        <v>679555</v>
      </c>
      <c r="D25" s="528" t="n">
        <f aca="false">SUMIF(Units!D:D,"Great Titchfield House,  14-18 Great Titchfield Street",Units!S:S)</f>
        <v>733600</v>
      </c>
      <c r="E25" s="528" t="n">
        <f aca="false">SUMIF(Units!D:D,"Great Titchfield House,  14-18 Great Titchfield Street",Units!U:U)</f>
        <v>826660</v>
      </c>
      <c r="F25" s="292" t="n">
        <f aca="false">'Bank Schedule'!AB233</f>
        <v>11300000</v>
      </c>
    </row>
    <row r="26" customFormat="false" ht="15" hidden="false" customHeight="false" outlineLevel="0" collapsed="false">
      <c r="A26" s="1" t="s">
        <v>316</v>
      </c>
      <c r="B26" s="476" t="n">
        <f aca="false">SUMIF(Units!D:D,"Golderbrock House,  15-19 Great Titchfield Street",Units!G:G)</f>
        <v>8998</v>
      </c>
      <c r="C26" s="528" t="n">
        <f aca="false">SUMIF(Units!D:D,"Golderbrock House,  15-19 Great Titchfield Street",Units!P:P)</f>
        <v>432760</v>
      </c>
      <c r="D26" s="528" t="n">
        <f aca="false">SUMIF(Units!D:D,"Golderbrock House,  15-19 Great Titchfield Street",Units!S:S)</f>
        <v>479000</v>
      </c>
      <c r="E26" s="528" t="n">
        <f aca="false">SUMIF(Units!D:D,"Golderbrock House,  15-19 Great Titchfield Street",Units!U:U)</f>
        <v>496610</v>
      </c>
      <c r="F26" s="292" t="n">
        <f aca="false">'Bank Schedule'!AB247</f>
        <v>6850000</v>
      </c>
    </row>
    <row r="27" customFormat="false" ht="15" hidden="false" customHeight="false" outlineLevel="0" collapsed="false">
      <c r="A27" s="1" t="s">
        <v>336</v>
      </c>
      <c r="B27" s="476" t="n">
        <f aca="false">SUMIF(Units!D:D,"Circus House,  21 Great Titchfield Street",Units!G:G)</f>
        <v>16773</v>
      </c>
      <c r="C27" s="528" t="n">
        <f aca="false">SUMIF(Units!D:D,"Circus House,  21 Great Titchfield Street",Units!P:P)</f>
        <v>811341</v>
      </c>
      <c r="D27" s="528" t="n">
        <f aca="false">SUMIF(Units!D:D,"Circus House,  21 Great Titchfield Street",Units!S:S)</f>
        <v>948800</v>
      </c>
      <c r="E27" s="528" t="n">
        <f aca="false">SUMIF(Units!D:D,"Circus House,  21 Great Titchfield Street",Units!U:U)</f>
        <v>960100</v>
      </c>
      <c r="F27" s="292" t="n">
        <f aca="false">'Bank Schedule'!AB258</f>
        <v>15675000</v>
      </c>
    </row>
    <row r="28" customFormat="false" ht="15" hidden="false" customHeight="false" outlineLevel="0" collapsed="false">
      <c r="A28" s="1" t="s">
        <v>350</v>
      </c>
      <c r="B28" s="476" t="n">
        <f aca="false">SUMIF(Units!D:D,"Moray House, 23-35 Great Titchfield Street &amp; 63-65 Mortimer Street",Units!G:G)</f>
        <v>34064</v>
      </c>
      <c r="C28" s="528" t="n">
        <f aca="false">SUMIF(Units!D:D,"Moray House, 23-35 Great Titchfield Street &amp; 63-65 Mortimer Street",Units!P:P)</f>
        <v>1714201</v>
      </c>
      <c r="D28" s="528" t="n">
        <f aca="false">SUMIF(Units!D:D,"Moray House, 23-35 Great Titchfield Street &amp; 63-65 Mortimer Street",Units!S:S)</f>
        <v>1934246</v>
      </c>
      <c r="E28" s="528" t="n">
        <f aca="false">SUMIF(Units!D:D,"Moray House, 23-35 Great Titchfield Street &amp; 63-65 Mortimer Street",Units!U:U)</f>
        <v>2079021</v>
      </c>
      <c r="F28" s="292" t="n">
        <f aca="false">'Bank Schedule'!AB277</f>
        <v>35150000</v>
      </c>
    </row>
    <row r="29" customFormat="false" ht="15" hidden="false" customHeight="false" outlineLevel="0" collapsed="false">
      <c r="A29" s="1" t="s">
        <v>389</v>
      </c>
      <c r="B29" s="476" t="n">
        <f aca="false">SUMIF(Units!D:D,"56 Great Titchfield Street",Units!G:G)</f>
        <v>2692</v>
      </c>
      <c r="C29" s="528" t="n">
        <f aca="false">SUMIF(Units!D:D,"56 Great Titchfield Street",Units!P:P)</f>
        <v>104500</v>
      </c>
      <c r="D29" s="528" t="n">
        <f aca="false">SUMIF(Units!D:D,"56 Great Titchfield Street",Units!S:S)</f>
        <v>94400</v>
      </c>
      <c r="E29" s="528" t="n">
        <f aca="false">SUMIF(Units!D:D,"56 Great Titchfield Street",Units!U:U)</f>
        <v>94400</v>
      </c>
      <c r="F29" s="292" t="n">
        <f aca="false">'Bank Schedule'!AB281</f>
        <v>1425000</v>
      </c>
    </row>
    <row r="30" customFormat="false" ht="15" hidden="false" customHeight="false" outlineLevel="0" collapsed="false">
      <c r="A30" s="1" t="s">
        <v>392</v>
      </c>
      <c r="B30" s="476" t="n">
        <f aca="false">SUMIF(Units!D:D,"58 Great Titchfield Street",Units!G:G)</f>
        <v>2291</v>
      </c>
      <c r="C30" s="528" t="n">
        <f aca="false">SUMIF(Units!D:D,"58 Great Titchfield Street",Units!P:P)</f>
        <v>112000</v>
      </c>
      <c r="D30" s="528" t="n">
        <f aca="false">SUMIF(Units!D:D,"58 Great Titchfield Street",Units!S:S)</f>
        <v>99800</v>
      </c>
      <c r="E30" s="528" t="n">
        <f aca="false">SUMIF(Units!D:D,"58 Great Titchfield Street",Units!U:U)</f>
        <v>99800</v>
      </c>
      <c r="F30" s="292" t="n">
        <f aca="false">'Bank Schedule'!AB288</f>
        <v>1525000</v>
      </c>
    </row>
    <row r="31" customFormat="false" ht="15" hidden="false" customHeight="false" outlineLevel="0" collapsed="false">
      <c r="A31" s="1" t="s">
        <v>394</v>
      </c>
      <c r="B31" s="476" t="n">
        <f aca="false">SUMIF(Units!D:D,"12 Hallam Street (The Hallam Hotel)",Units!G:G)</f>
        <v>4284</v>
      </c>
      <c r="C31" s="528" t="n">
        <f aca="false">SUMIF(Units!D:D,"12 Hallam Street (The Hallam Hotel)",Units!P:P)</f>
        <v>0</v>
      </c>
      <c r="D31" s="528" t="n">
        <f aca="false">SUMIF(Units!D:D,"12 Hallam Street (The Hallam Hotel)",Units!S:S)</f>
        <v>0</v>
      </c>
      <c r="E31" s="528" t="n">
        <f aca="false">SUMIF(Units!D:D,"12 Hallam Street (The Hallam Hotel)",Units!U:U)</f>
        <v>0</v>
      </c>
      <c r="F31" s="292" t="n">
        <f aca="false">'Bank Schedule'!AB292</f>
        <v>1500000</v>
      </c>
    </row>
    <row r="32" customFormat="false" ht="15" hidden="false" customHeight="false" outlineLevel="0" collapsed="false">
      <c r="A32" s="1" t="s">
        <v>398</v>
      </c>
      <c r="B32" s="476" t="n">
        <f aca="false">SUMIF(Units!D:D,"16-20 Hallam Street  (Astor Court Hotel)",Units!G:G)</f>
        <v>23500</v>
      </c>
      <c r="C32" s="528" t="n">
        <f aca="false">SUMIF(Units!D:D,"16-20 Hallam Street  (Astor Court Hotel)",Units!P:P)</f>
        <v>660000</v>
      </c>
      <c r="D32" s="528" t="n">
        <f aca="false">SUMIF(Units!D:D,"16-20 Hallam Street  (Astor Court Hotel)",Units!S:S)</f>
        <v>0</v>
      </c>
      <c r="E32" s="528" t="n">
        <f aca="false">SUMIF(Units!D:D,"16-20 Hallam Street  (Astor Court Hotel)",Units!U:U)</f>
        <v>0</v>
      </c>
      <c r="F32" s="292" t="n">
        <f aca="false">'Bank Schedule'!AB297</f>
        <v>17500000</v>
      </c>
    </row>
    <row r="33" customFormat="false" ht="15" hidden="false" customHeight="false" outlineLevel="0" collapsed="false">
      <c r="A33" s="1" t="s">
        <v>402</v>
      </c>
      <c r="B33" s="476" t="n">
        <f aca="false">SUMIF(Units!D:D,"Flat 1, 2 Little Portland Street",Units!G:G)</f>
        <v>420</v>
      </c>
      <c r="C33" s="528" t="n">
        <f aca="false">SUMIF(Units!D:D,"Flat 1, 2 Little Portland Street",Units!P:P)</f>
        <v>25220</v>
      </c>
      <c r="D33" s="528" t="n">
        <f aca="false">SUMIF(Units!D:D,"Flat 1, 2 Little Portland Street",Units!S:S)</f>
        <v>27000</v>
      </c>
      <c r="E33" s="528" t="n">
        <f aca="false">SUMIF(Units!D:D,"Flat 1, 2 Little Portland Street",Units!U:U)</f>
        <v>27000</v>
      </c>
      <c r="F33" s="292" t="n">
        <f aca="false">'Bank Schedule'!AB301</f>
        <v>590000</v>
      </c>
    </row>
    <row r="34" customFormat="false" ht="15" hidden="false" customHeight="false" outlineLevel="0" collapsed="false">
      <c r="A34" s="1" t="s">
        <v>406</v>
      </c>
      <c r="B34" s="476" t="n">
        <f aca="false">SUMIF(Units!D:D,"3/4/4a Little Portland Street",Units!G:G)</f>
        <v>13648</v>
      </c>
      <c r="C34" s="528" t="n">
        <f aca="false">SUMIF(Units!D:D,"3/4/4a Little Portland Street",Units!P:P)</f>
        <v>708415</v>
      </c>
      <c r="D34" s="528" t="n">
        <f aca="false">SUMIF(Units!D:D,"3/4/4a Little Portland Street",Units!S:S)</f>
        <v>783320</v>
      </c>
      <c r="E34" s="528" t="n">
        <f aca="false">SUMIF(Units!D:D,"3/4/4a Little Portland Street",Units!U:U)</f>
        <v>778380</v>
      </c>
      <c r="F34" s="292" t="n">
        <f aca="false">'Bank Schedule'!AB318</f>
        <v>11600000</v>
      </c>
    </row>
    <row r="35" customFormat="false" ht="15" hidden="false" customHeight="false" outlineLevel="0" collapsed="false">
      <c r="A35" s="1" t="s">
        <v>428</v>
      </c>
      <c r="B35" s="476" t="n">
        <f aca="false">SUMIF(Units!D:D,"5 Little Portland Street",Units!G:G)</f>
        <v>4706</v>
      </c>
      <c r="C35" s="528" t="n">
        <f aca="false">SUMIF(Units!D:D,"5 Little Portland Street",Units!P:P)</f>
        <v>183700</v>
      </c>
      <c r="D35" s="528" t="n">
        <f aca="false">SUMIF(Units!D:D,"5 Little Portland Street",Units!S:S)</f>
        <v>187100</v>
      </c>
      <c r="E35" s="528" t="n">
        <f aca="false">SUMIF(Units!D:D,"5 Little Portland Street",Units!U:U)</f>
        <v>187100</v>
      </c>
      <c r="F35" s="292" t="n">
        <f aca="false">'Bank Schedule'!AB325</f>
        <v>3075000</v>
      </c>
    </row>
    <row r="36" customFormat="false" ht="15" hidden="false" customHeight="false" outlineLevel="0" collapsed="false">
      <c r="A36" s="1" t="s">
        <v>435</v>
      </c>
      <c r="B36" s="476" t="n">
        <f aca="false">SUMIF(Units!D:D,"Alexandra House, 6 Little Portland Street",Units!G:G)</f>
        <v>14851</v>
      </c>
      <c r="C36" s="528" t="n">
        <f aca="false">SUMIF(Units!D:D,"Alexandra House, 6 Little Portland Street",Units!P:P)</f>
        <v>743565</v>
      </c>
      <c r="D36" s="528" t="n">
        <f aca="false">SUMIF(Units!D:D,"Alexandra House, 6 Little Portland Street",Units!S:S)</f>
        <v>719600</v>
      </c>
      <c r="E36" s="528" t="n">
        <f aca="false">SUMIF(Units!D:D,"Alexandra House, 6 Little Portland Street",Units!U:U)</f>
        <v>741800</v>
      </c>
      <c r="F36" s="292" t="n">
        <f aca="false">'Bank Schedule'!AB332</f>
        <v>12075000</v>
      </c>
    </row>
    <row r="37" customFormat="false" ht="15" hidden="false" customHeight="false" outlineLevel="0" collapsed="false">
      <c r="A37" s="1" t="s">
        <v>441</v>
      </c>
      <c r="B37" s="476" t="n">
        <f aca="false">SUMIF(Units!D:D,"9 Little Portland Street",Units!G:G)</f>
        <v>1986</v>
      </c>
      <c r="C37" s="528" t="n">
        <f aca="false">SUMIF(Units!D:D,"9 Little Portland Street",Units!P:P)</f>
        <v>66060</v>
      </c>
      <c r="D37" s="528" t="n">
        <f aca="false">SUMIF(Units!D:D,"9 Little Portland Street",Units!S:S)</f>
        <v>109900</v>
      </c>
      <c r="E37" s="528" t="n">
        <f aca="false">SUMIF(Units!D:D,"9 Little Portland Street",Units!U:U)</f>
        <v>113200</v>
      </c>
      <c r="F37" s="292" t="n">
        <f aca="false">'Bank Schedule'!AB341</f>
        <v>1425000</v>
      </c>
    </row>
    <row r="38" customFormat="false" ht="15" hidden="false" customHeight="false" outlineLevel="0" collapsed="false">
      <c r="A38" s="1" t="s">
        <v>448</v>
      </c>
      <c r="B38" s="476" t="n">
        <f aca="false">SUMIF(Units!D:D,"21 Little Portland Street",Units!G:G)</f>
        <v>6542</v>
      </c>
      <c r="C38" s="528" t="n">
        <f aca="false">SUMIF(Units!D:D,"21 Little Portland Street",Units!P:P)</f>
        <v>258773</v>
      </c>
      <c r="D38" s="528" t="n">
        <f aca="false">SUMIF(Units!D:D,"21 Little Portland Street",Units!S:S)</f>
        <v>331500</v>
      </c>
      <c r="E38" s="528" t="n">
        <f aca="false">SUMIF(Units!D:D,"21 Little Portland Street",Units!U:U)</f>
        <v>345600</v>
      </c>
      <c r="F38" s="292" t="n">
        <f aca="false">'Bank Schedule'!AB352</f>
        <v>5075000</v>
      </c>
    </row>
    <row r="39" customFormat="false" ht="15" hidden="false" customHeight="false" outlineLevel="0" collapsed="false">
      <c r="A39" s="1" t="s">
        <v>454</v>
      </c>
      <c r="B39" s="476" t="n">
        <f aca="false">SUMIF(Units!D:D,"22 Little Portland Street (formerly 22-23 LPS)",Units!G:G)</f>
        <v>0</v>
      </c>
      <c r="C39" s="528" t="n">
        <f aca="false">SUMIF(Units!D:D,"22 Little Portland Street (formerly 22-23 LPS)",Units!P:P)</f>
        <v>0</v>
      </c>
      <c r="D39" s="528" t="n">
        <f aca="false">SUMIF(Units!D:D,"22 Little Portland Street (formerly 22-23 LPS)",Units!S:S)</f>
        <v>0</v>
      </c>
      <c r="E39" s="528" t="n">
        <f aca="false">SUMIF(Units!D:D,"22 Little Portland Street (formerly 22-23 LPS)",Units!U:U)</f>
        <v>0</v>
      </c>
    </row>
    <row r="40" customFormat="false" ht="15" hidden="false" customHeight="false" outlineLevel="0" collapsed="false">
      <c r="A40" s="1" t="s">
        <v>459</v>
      </c>
      <c r="B40" s="476" t="n">
        <f aca="false">SUMIF(Units!D:D,"9 Margaret Street",Units!G:G)</f>
        <v>4969</v>
      </c>
      <c r="C40" s="528" t="n">
        <f aca="false">SUMIF(Units!D:D,"9 Margaret Street",Units!P:P)</f>
        <v>315000</v>
      </c>
      <c r="D40" s="528" t="n">
        <f aca="false">SUMIF(Units!D:D,"9 Margaret Street",Units!S:S)</f>
        <v>266600</v>
      </c>
      <c r="E40" s="528" t="n">
        <f aca="false">SUMIF(Units!D:D,"9 Margaret Street",Units!U:U)</f>
        <v>315000</v>
      </c>
      <c r="F40" s="292" t="n">
        <f aca="false">'Bank Schedule'!AB360</f>
        <v>5575000</v>
      </c>
    </row>
    <row r="41" customFormat="false" ht="15" hidden="false" customHeight="false" outlineLevel="0" collapsed="false">
      <c r="A41" s="1" t="s">
        <v>463</v>
      </c>
      <c r="B41" s="476" t="n">
        <f aca="false">SUMIF(Units!D:D,"London House, 9a Margaret Street",Units!G:G)</f>
        <v>8311</v>
      </c>
      <c r="C41" s="528" t="n">
        <f aca="false">SUMIF(Units!D:D,"London House, 9a Margaret Street",Units!P:P)</f>
        <v>397150</v>
      </c>
      <c r="D41" s="528" t="n">
        <f aca="false">SUMIF(Units!D:D,"London House, 9a Margaret Street",Units!S:S)</f>
        <v>409300</v>
      </c>
      <c r="E41" s="528" t="n">
        <f aca="false">SUMIF(Units!D:D,"London House, 9a Margaret Street",Units!U:U)</f>
        <v>440100</v>
      </c>
      <c r="F41" s="292" t="n">
        <f aca="false">'Bank Schedule'!AB374</f>
        <v>5350000</v>
      </c>
    </row>
    <row r="42" customFormat="false" ht="15" hidden="false" customHeight="false" outlineLevel="0" collapsed="false">
      <c r="A42" s="1" t="s">
        <v>469</v>
      </c>
      <c r="B42" s="476" t="n">
        <f aca="false">SUMIF(Units!D:D,"10 Margaret Street",Units!G:G)</f>
        <v>8445</v>
      </c>
      <c r="C42" s="528" t="n">
        <f aca="false">SUMIF(Units!D:D,"10 Margaret Street",Units!P:P)</f>
        <v>451600</v>
      </c>
      <c r="D42" s="528" t="n">
        <f aca="false">SUMIF(Units!D:D,"10 Margaret Street",Units!S:S)</f>
        <v>451600</v>
      </c>
      <c r="E42" s="528" t="n">
        <f aca="false">SUMIF(Units!D:D,"10 Margaret Street",Units!U:U)</f>
        <v>496400</v>
      </c>
      <c r="F42" s="292" t="n">
        <f aca="false">'Bank Schedule'!AB381</f>
        <v>7250000</v>
      </c>
    </row>
    <row r="43" customFormat="false" ht="15" hidden="false" customHeight="false" outlineLevel="0" collapsed="false">
      <c r="A43" s="1" t="s">
        <v>473</v>
      </c>
      <c r="B43" s="476" t="n">
        <f aca="false">SUMIF(Units!D:D,"Audley House,  12 Margaret Street",Units!G:G)</f>
        <v>6563</v>
      </c>
      <c r="C43" s="528" t="n">
        <f aca="false">SUMIF(Units!D:D,"Audley House,  12 Margaret Street",Units!P:P)</f>
        <v>350000</v>
      </c>
      <c r="D43" s="528" t="n">
        <f aca="false">SUMIF(Units!D:D,"Audley House,  12 Margaret Street",Units!S:S)</f>
        <v>350000</v>
      </c>
      <c r="E43" s="528" t="n">
        <f aca="false">SUMIF(Units!D:D,"Audley House,  12 Margaret Street",Units!U:U)</f>
        <v>350000</v>
      </c>
      <c r="F43" s="292" t="n">
        <f aca="false">'Bank Schedule'!AB385</f>
        <v>6575000</v>
      </c>
    </row>
    <row r="44" customFormat="false" ht="15" hidden="false" customHeight="false" outlineLevel="0" collapsed="false">
      <c r="A44" s="1" t="s">
        <v>476</v>
      </c>
      <c r="B44" s="476" t="n">
        <f aca="false">SUMIF(Units!D:D,"13-14 Margaret Street",Units!G:G)</f>
        <v>17804</v>
      </c>
      <c r="C44" s="528" t="n">
        <f aca="false">SUMIF(Units!D:D,"13-14 Margaret Street",Units!P:P)</f>
        <v>1030975</v>
      </c>
      <c r="D44" s="528" t="n">
        <f aca="false">SUMIF(Units!D:D,"13-14 Margaret Street",Units!S:S)</f>
        <v>1022600</v>
      </c>
      <c r="E44" s="528" t="n">
        <f aca="false">SUMIF(Units!D:D,"13-14 Margaret Street",Units!U:U)</f>
        <v>1046488</v>
      </c>
      <c r="F44" s="292" t="n">
        <f aca="false">'Bank Schedule'!AB397</f>
        <v>14250000</v>
      </c>
    </row>
    <row r="45" customFormat="false" ht="15" hidden="false" customHeight="false" outlineLevel="0" collapsed="false">
      <c r="A45" s="1" t="s">
        <v>480</v>
      </c>
      <c r="B45" s="476" t="n">
        <f aca="false">SUMIF(Units!D:D,"15-16 Margaret Street",Units!G:G)</f>
        <v>9999</v>
      </c>
      <c r="C45" s="528" t="n">
        <f aca="false">SUMIF(Units!D:D,"15-16 Margaret Street",Units!P:P)</f>
        <v>205700</v>
      </c>
      <c r="D45" s="528" t="n">
        <f aca="false">SUMIF(Units!D:D,"15-16 Margaret Street",Units!S:S)</f>
        <v>493000</v>
      </c>
      <c r="E45" s="528" t="n">
        <f aca="false">SUMIF(Units!D:D,"15-16 Margaret Street",Units!U:U)</f>
        <v>534600</v>
      </c>
      <c r="F45" s="292" t="n">
        <f aca="false">'Bank Schedule'!AB409</f>
        <v>6525000</v>
      </c>
    </row>
    <row r="46" customFormat="false" ht="15" hidden="false" customHeight="false" outlineLevel="0" collapsed="false">
      <c r="A46" s="1" t="s">
        <v>486</v>
      </c>
      <c r="B46" s="476" t="n">
        <f aca="false">SUMIF(Units!D:D,"17-18 Margaret Street",Units!G:G)</f>
        <v>12996</v>
      </c>
      <c r="C46" s="528" t="n">
        <f aca="false">SUMIF(Units!D:D,"17-18 Margaret Street",Units!P:P)</f>
        <v>578943</v>
      </c>
      <c r="D46" s="528" t="n">
        <f aca="false">SUMIF(Units!D:D,"17-18 Margaret Street",Units!S:S)</f>
        <v>653710</v>
      </c>
      <c r="E46" s="528" t="n">
        <f aca="false">SUMIF(Units!D:D,"17-18 Margaret Street",Units!U:U)</f>
        <v>665910</v>
      </c>
      <c r="F46" s="292" t="n">
        <f aca="false">'Bank Schedule'!AB425</f>
        <v>10100000</v>
      </c>
    </row>
    <row r="47" customFormat="false" ht="15" hidden="false" customHeight="false" outlineLevel="0" collapsed="false">
      <c r="A47" s="1" t="s">
        <v>502</v>
      </c>
      <c r="B47" s="476" t="n">
        <f aca="false">SUMIF(Units!D:D,"19 Margaret Street",Units!G:G)</f>
        <v>6681</v>
      </c>
      <c r="C47" s="528" t="n">
        <f aca="false">SUMIF(Units!D:D,"19 Margaret Street",Units!P:P)</f>
        <v>253710</v>
      </c>
      <c r="D47" s="528" t="n">
        <f aca="false">SUMIF(Units!D:D,"19 Margaret Street",Units!S:S)</f>
        <v>337900</v>
      </c>
      <c r="E47" s="528" t="n">
        <f aca="false">SUMIF(Units!D:D,"19 Margaret Street",Units!U:U)</f>
        <v>348700</v>
      </c>
      <c r="F47" s="292" t="n">
        <f aca="false">'Bank Schedule'!AB436</f>
        <v>5050000</v>
      </c>
    </row>
    <row r="48" customFormat="false" ht="15" hidden="false" customHeight="false" outlineLevel="0" collapsed="false">
      <c r="A48" s="1" t="s">
        <v>506</v>
      </c>
      <c r="B48" s="476" t="n">
        <f aca="false">SUMIF(Units!D:D,"20 Margaret Street",Units!G:G)</f>
        <v>5898</v>
      </c>
      <c r="C48" s="528" t="n">
        <f aca="false">SUMIF(Units!D:D,"20 Margaret Street",Units!P:P)</f>
        <v>181940</v>
      </c>
      <c r="D48" s="528" t="n">
        <f aca="false">SUMIF(Units!D:D,"20 Margaret Street",Units!S:S)</f>
        <v>302200</v>
      </c>
      <c r="E48" s="528" t="n">
        <f aca="false">SUMIF(Units!D:D,"20 Margaret Street",Units!U:U)</f>
        <v>319717</v>
      </c>
      <c r="F48" s="292" t="n">
        <f aca="false">'Bank Schedule'!AB447</f>
        <v>4050000</v>
      </c>
    </row>
    <row r="49" customFormat="false" ht="15" hidden="false" customHeight="false" outlineLevel="0" collapsed="false">
      <c r="A49" s="1" t="s">
        <v>511</v>
      </c>
      <c r="B49" s="476" t="n">
        <f aca="false">SUMIF(Units!D:D,"25 Margaret Street",Units!G:G)</f>
        <v>2128</v>
      </c>
      <c r="C49" s="528" t="n">
        <f aca="false">SUMIF(Units!D:D,"25 Margaret Street",Units!P:P)</f>
        <v>123827</v>
      </c>
      <c r="D49" s="528" t="n">
        <f aca="false">SUMIF(Units!D:D,"25 Margaret Street",Units!S:S)</f>
        <v>118292</v>
      </c>
      <c r="E49" s="528" t="n">
        <f aca="false">SUMIF(Units!D:D,"25 Margaret Street",Units!U:U)</f>
        <v>126445</v>
      </c>
      <c r="F49" s="292" t="n">
        <f aca="false">'Bank Schedule'!AB459</f>
        <v>2175000</v>
      </c>
    </row>
    <row r="50" customFormat="false" ht="15" hidden="false" customHeight="false" outlineLevel="0" collapsed="false">
      <c r="A50" s="1" t="s">
        <v>527</v>
      </c>
      <c r="B50" s="476" t="n">
        <f aca="false">SUMIF(Units!D:D,"47,48 &amp; 50 Margaret Street",Units!G:G)</f>
        <v>18782</v>
      </c>
      <c r="C50" s="528" t="n">
        <f aca="false">SUMIF(Units!D:D,"47,48 &amp; 50 Margaret Street",Units!P:P)</f>
        <v>696630</v>
      </c>
      <c r="D50" s="528" t="n">
        <f aca="false">SUMIF(Units!D:D,"47,48 &amp; 50 Margaret Street",Units!S:S)</f>
        <v>1075700</v>
      </c>
      <c r="E50" s="528" t="n">
        <f aca="false">SUMIF(Units!D:D,"47,48 &amp; 50 Margaret Street",Units!U:U)</f>
        <v>1075050</v>
      </c>
      <c r="F50" s="292" t="n">
        <f aca="false">'Bank Schedule'!AB476</f>
        <v>16275000</v>
      </c>
    </row>
    <row r="51" customFormat="false" ht="15" hidden="false" customHeight="false" outlineLevel="0" collapsed="false">
      <c r="A51" s="1" t="s">
        <v>549</v>
      </c>
      <c r="B51" s="476" t="n">
        <f aca="false">SUMIF(Units!D:D,"51-53 Margaret Street",Units!G:G)</f>
        <v>7491</v>
      </c>
      <c r="C51" s="528" t="n">
        <f aca="false">SUMIF(Units!D:D,"51-53 Margaret Street",Units!P:P)</f>
        <v>347195</v>
      </c>
      <c r="D51" s="528" t="n">
        <f aca="false">SUMIF(Units!D:D,"51-53 Margaret Street",Units!S:S)</f>
        <v>422965</v>
      </c>
      <c r="E51" s="528" t="n">
        <f aca="false">SUMIF(Units!D:D,"51-53 Margaret Street",Units!U:U)</f>
        <v>436563</v>
      </c>
      <c r="F51" s="292" t="n">
        <f aca="false">'Bank Schedule'!AB494</f>
        <v>6350000</v>
      </c>
    </row>
    <row r="52" customFormat="false" ht="15" hidden="false" customHeight="false" outlineLevel="0" collapsed="false">
      <c r="A52" s="1" t="s">
        <v>567</v>
      </c>
      <c r="B52" s="476" t="n">
        <f aca="false">SUMIF(Units!D:D,"63-64 Margaret Street",Units!G:G)</f>
        <v>11505</v>
      </c>
      <c r="C52" s="528" t="n">
        <f aca="false">SUMIF(Units!D:D,"63-64 Margaret Street",Units!P:P)</f>
        <v>351590</v>
      </c>
      <c r="D52" s="528" t="n">
        <f aca="false">SUMIF(Units!D:D,"63-64 Margaret Street",Units!S:S)</f>
        <v>572500</v>
      </c>
      <c r="E52" s="528" t="n">
        <f aca="false">SUMIF(Units!D:D,"63-64 Margaret Street",Units!U:U)</f>
        <v>623060</v>
      </c>
      <c r="F52" s="292" t="n">
        <f aca="false">'Bank Schedule'!AB513</f>
        <v>7950000</v>
      </c>
    </row>
    <row r="53" customFormat="false" ht="15" hidden="false" customHeight="false" outlineLevel="0" collapsed="false">
      <c r="A53" s="1" t="s">
        <v>582</v>
      </c>
      <c r="B53" s="476" t="n">
        <f aca="false">SUMIF(Units!D:D,"65 Margaret Street",Units!G:G)</f>
        <v>2715</v>
      </c>
      <c r="C53" s="528" t="n">
        <f aca="false">SUMIF(Units!D:D,"65 Margaret Street",Units!P:P)</f>
        <v>104200</v>
      </c>
      <c r="D53" s="528" t="n">
        <f aca="false">SUMIF(Units!D:D,"65 Margaret Street",Units!S:S)</f>
        <v>141150</v>
      </c>
      <c r="E53" s="528" t="n">
        <f aca="false">SUMIF(Units!D:D,"65 Margaret Street",Units!U:U)</f>
        <v>146950</v>
      </c>
      <c r="F53" s="292" t="n">
        <f aca="false">'Bank Schedule'!AB524</f>
        <v>2075000</v>
      </c>
    </row>
    <row r="54" customFormat="false" ht="15" hidden="false" customHeight="false" outlineLevel="0" collapsed="false">
      <c r="A54" s="1" t="s">
        <v>589</v>
      </c>
      <c r="B54" s="476" t="n">
        <f aca="false">SUMIF(Units!D:D,"75-77 Margaret Street",Units!G:G)</f>
        <v>24539</v>
      </c>
      <c r="C54" s="528" t="n">
        <f aca="false">SUMIF(Units!D:D,"75-77 Margaret Street",Units!P:P)</f>
        <v>765755</v>
      </c>
      <c r="D54" s="528" t="n">
        <f aca="false">SUMIF(Units!D:D,"75-77 Margaret Street",Units!S:S)</f>
        <v>1179600</v>
      </c>
      <c r="E54" s="528" t="n">
        <f aca="false">SUMIF(Units!D:D,"75-77 Margaret Street",Units!U:U)</f>
        <v>1242175</v>
      </c>
      <c r="F54" s="292" t="n">
        <f aca="false">'Bank Schedule'!AB538</f>
        <v>16825000</v>
      </c>
    </row>
    <row r="55" customFormat="false" ht="15" hidden="false" customHeight="false" outlineLevel="0" collapsed="false">
      <c r="A55" s="1" t="s">
        <v>601</v>
      </c>
      <c r="B55" s="476" t="n">
        <f aca="false">SUMIF(Units!D:D,"Sackville House - 78 Margaret Street",Units!G:G)</f>
        <v>3908</v>
      </c>
      <c r="C55" s="528" t="n">
        <f aca="false">SUMIF(Units!D:D,"Sackville House - 78 Margaret Street",Units!P:P)</f>
        <v>13900</v>
      </c>
      <c r="D55" s="528" t="n">
        <f aca="false">SUMIF(Units!D:D,"Sackville House - 78 Margaret Street",Units!S:S)</f>
        <v>175400</v>
      </c>
      <c r="E55" s="528" t="n">
        <f aca="false">SUMIF(Units!D:D,"Sackville House - 78 Margaret Street",Units!U:U)</f>
        <v>182800</v>
      </c>
      <c r="F55" s="292" t="n">
        <f aca="false">'Bank Schedule'!AB547</f>
        <v>1975000</v>
      </c>
    </row>
    <row r="56" customFormat="false" ht="15" hidden="false" customHeight="false" outlineLevel="0" collapsed="false">
      <c r="A56" s="1" t="s">
        <v>604</v>
      </c>
      <c r="B56" s="476" t="n">
        <f aca="false">SUMIF(Units!D:D,"Kenilworth House - 79-80 Margaret Street",Units!G:G)</f>
        <v>13448</v>
      </c>
      <c r="C56" s="528" t="n">
        <f aca="false">SUMIF(Units!D:D,"Kenilworth House - 79-80 Margaret Street",Units!P:P)</f>
        <v>144387</v>
      </c>
      <c r="D56" s="528" t="n">
        <f aca="false">SUMIF(Units!D:D,"Kenilworth House - 79-80 Margaret Street",Units!S:S)</f>
        <v>731300</v>
      </c>
      <c r="E56" s="528" t="n">
        <f aca="false">SUMIF(Units!D:D,"Kenilworth House - 79-80 Margaret Street",Units!U:U)</f>
        <v>773600</v>
      </c>
      <c r="F56" s="292" t="n">
        <f aca="false">'Bank Schedule'!AB565</f>
        <v>8950000</v>
      </c>
    </row>
    <row r="57" customFormat="false" ht="15" hidden="false" customHeight="false" outlineLevel="0" collapsed="false">
      <c r="A57" s="1" t="s">
        <v>615</v>
      </c>
      <c r="B57" s="476" t="n">
        <f aca="false">SUMIF(Units!D:D,"4 Market Place",Units!G:G)</f>
        <v>2234</v>
      </c>
      <c r="C57" s="528" t="n">
        <f aca="false">SUMIF(Units!D:D,"4 Market Place",Units!P:P)</f>
        <v>167500</v>
      </c>
      <c r="D57" s="528" t="n">
        <f aca="false">SUMIF(Units!D:D,"4 Market Place",Units!S:S)</f>
        <v>159800</v>
      </c>
      <c r="E57" s="528" t="n">
        <f aca="false">SUMIF(Units!D:D,"4 Market Place",Units!U:U)</f>
        <v>159800</v>
      </c>
      <c r="F57" s="292" t="n">
        <f aca="false">'Bank Schedule'!AB572</f>
        <v>3000000</v>
      </c>
    </row>
    <row r="58" customFormat="false" ht="15" hidden="false" customHeight="false" outlineLevel="0" collapsed="false">
      <c r="A58" s="1" t="s">
        <v>620</v>
      </c>
      <c r="B58" s="476" t="n">
        <f aca="false">SUMIF(Units!D:D,"11-13 Market Place",Units!G:G)</f>
        <v>6979</v>
      </c>
      <c r="C58" s="528" t="n">
        <f aca="false">SUMIF(Units!D:D,"11-13 Market Place",Units!P:P)</f>
        <v>420000</v>
      </c>
      <c r="D58" s="528" t="n">
        <f aca="false">SUMIF(Units!D:D,"11-13 Market Place",Units!S:S)</f>
        <v>364600</v>
      </c>
      <c r="E58" s="528" t="n">
        <f aca="false">SUMIF(Units!D:D,"11-13 Market Place",Units!U:U)</f>
        <v>414100</v>
      </c>
      <c r="F58" s="292" t="n">
        <f aca="false">'Bank Schedule'!AB576</f>
        <v>7475000</v>
      </c>
    </row>
    <row r="59" customFormat="false" ht="15" hidden="false" customHeight="false" outlineLevel="0" collapsed="false">
      <c r="A59" s="1" t="s">
        <v>624</v>
      </c>
      <c r="B59" s="476" t="n">
        <f aca="false">SUMIF(Units!D:D,"Radiant House, 34-38 Mortimer Street &amp; 3-4 Bywell Place",Units!G:G)</f>
        <v>16021</v>
      </c>
      <c r="C59" s="528" t="n">
        <f aca="false">SUMIF(Units!D:D,"Radiant House, 34-38 Mortimer Street &amp; 3-4 Bywell Place",Units!P:P)</f>
        <v>394110</v>
      </c>
      <c r="D59" s="528" t="n">
        <f aca="false">SUMIF(Units!D:D,"Radiant House, 34-38 Mortimer Street &amp; 3-4 Bywell Place",Units!S:S)</f>
        <v>708400</v>
      </c>
      <c r="E59" s="528" t="n">
        <f aca="false">SUMIF(Units!D:D,"Radiant House, 34-38 Mortimer Street &amp; 3-4 Bywell Place",Units!U:U)</f>
        <v>718000</v>
      </c>
      <c r="F59" s="292" t="n">
        <f aca="false">'Bank Schedule'!AB591</f>
        <v>9475000</v>
      </c>
    </row>
    <row r="60" customFormat="false" ht="15" hidden="false" customHeight="false" outlineLevel="0" collapsed="false">
      <c r="A60" s="1" t="s">
        <v>643</v>
      </c>
      <c r="B60" s="476" t="n">
        <f aca="false">SUMIF(Units!D:D,"Gilmoora House, 57-61 Mortimer Street",Units!G:G)</f>
        <v>27535</v>
      </c>
      <c r="C60" s="528" t="n">
        <f aca="false">SUMIF(Units!D:D,"Gilmoora House, 57-61 Mortimer Street",Units!P:P)</f>
        <v>1210000</v>
      </c>
      <c r="D60" s="528" t="n">
        <f aca="false">SUMIF(Units!D:D,"Gilmoora House, 57-61 Mortimer Street",Units!S:S)</f>
        <v>1898000</v>
      </c>
      <c r="E60" s="528" t="n">
        <f aca="false">SUMIF(Units!D:D,"Gilmoora House, 57-61 Mortimer Street",Units!U:U)</f>
        <v>2185000</v>
      </c>
      <c r="F60" s="292" t="n">
        <f aca="false">'Bank Schedule'!AB598</f>
        <v>23850000</v>
      </c>
    </row>
    <row r="61" customFormat="false" ht="15" hidden="false" customHeight="false" outlineLevel="0" collapsed="false">
      <c r="A61" s="1" t="s">
        <v>651</v>
      </c>
      <c r="B61" s="476" t="n">
        <f aca="false">SUMIF(Units!D:D,"67 - 81 Mortimer Street",Units!G:G)</f>
        <v>16518</v>
      </c>
      <c r="C61" s="528" t="n">
        <f aca="false">SUMIF(Units!D:D,"67 - 81 Mortimer Street",Units!P:P)</f>
        <v>562409</v>
      </c>
      <c r="D61" s="528" t="n">
        <f aca="false">SUMIF(Units!D:D,"67 - 81 Mortimer Street",Units!S:S)</f>
        <v>839900</v>
      </c>
      <c r="E61" s="528" t="n">
        <f aca="false">SUMIF(Units!D:D,"67 - 81 Mortimer Street",Units!U:U)</f>
        <v>839900</v>
      </c>
      <c r="F61" s="292" t="n">
        <f aca="false">'Bank Schedule'!AB615</f>
        <v>12075000</v>
      </c>
    </row>
    <row r="62" customFormat="false" ht="15" hidden="false" customHeight="false" outlineLevel="0" collapsed="false">
      <c r="A62" s="1" t="s">
        <v>671</v>
      </c>
      <c r="B62" s="476" t="n">
        <f aca="false">SUMIF(Units!D:D,"93 Mortimer Street &amp; 43 Great Portland Street",Units!G:G)</f>
        <v>10112</v>
      </c>
      <c r="C62" s="528" t="n">
        <f aca="false">SUMIF(Units!D:D,"93 Mortimer Street &amp; 43 Great Portland Street",Units!P:P)</f>
        <v>550000</v>
      </c>
      <c r="D62" s="528" t="n">
        <f aca="false">SUMIF(Units!D:D,"93 Mortimer Street &amp; 43 Great Portland Street",Units!S:S)</f>
        <v>750000</v>
      </c>
      <c r="E62" s="528" t="n">
        <f aca="false">SUMIF(Units!D:D,"93 Mortimer Street &amp; 43 Great Portland Street",Units!U:U)</f>
        <v>685000</v>
      </c>
      <c r="F62" s="292" t="n">
        <f aca="false">'Bank Schedule'!AB619</f>
        <v>11800000</v>
      </c>
    </row>
    <row r="63" customFormat="false" ht="15" hidden="false" customHeight="false" outlineLevel="0" collapsed="false">
      <c r="A63" s="1" t="s">
        <v>675</v>
      </c>
      <c r="B63" s="476" t="n">
        <f aca="false">SUMIF(Units!D:D,"142-144 Oxford Street",Units!G:G)</f>
        <v>9296</v>
      </c>
      <c r="C63" s="528" t="n">
        <f aca="false">SUMIF(Units!D:D,"142-144 Oxford Street",Units!P:P)</f>
        <v>198250</v>
      </c>
      <c r="D63" s="528" t="n">
        <f aca="false">SUMIF(Units!D:D,"142-144 Oxford Street",Units!S:S)</f>
        <v>811000</v>
      </c>
      <c r="E63" s="528" t="n">
        <f aca="false">SUMIF(Units!D:D,"142-144 Oxford Street",Units!U:U)</f>
        <v>747000</v>
      </c>
      <c r="F63" s="292" t="n">
        <f aca="false">'Bank Schedule'!AB628</f>
        <v>12075000</v>
      </c>
    </row>
    <row r="64" customFormat="false" ht="15" hidden="false" customHeight="false" outlineLevel="0" collapsed="false">
      <c r="A64" s="1" t="s">
        <v>684</v>
      </c>
      <c r="B64" s="476" t="n">
        <f aca="false">SUMIF(Units!D:D,"146/148 Oxford Street",Units!G:G)</f>
        <v>6312</v>
      </c>
      <c r="C64" s="528" t="n">
        <f aca="false">SUMIF(Units!D:D,"146/148 Oxford Street",Units!P:P)</f>
        <v>260000</v>
      </c>
      <c r="D64" s="528" t="n">
        <f aca="false">SUMIF(Units!D:D,"146/148 Oxford Street",Units!S:S)</f>
        <v>637500</v>
      </c>
      <c r="E64" s="528" t="n">
        <f aca="false">SUMIF(Units!D:D,"146/148 Oxford Street",Units!U:U)</f>
        <v>637500</v>
      </c>
      <c r="F64" s="292" t="n">
        <f aca="false">'Bank Schedule'!AB636</f>
        <v>9725000</v>
      </c>
    </row>
    <row r="65" customFormat="false" ht="15" hidden="false" customHeight="false" outlineLevel="0" collapsed="false">
      <c r="A65" s="1" t="s">
        <v>689</v>
      </c>
      <c r="B65" s="476" t="n">
        <f aca="false">SUMIF(Units!D:D,"150/154 Oxford Street",Units!G:G)</f>
        <v>61433</v>
      </c>
      <c r="C65" s="528" t="n">
        <f aca="false">SUMIF(Units!D:D,"150/154 Oxford Street",Units!P:P)</f>
        <v>4275000</v>
      </c>
      <c r="D65" s="528" t="n">
        <f aca="false">SUMIF(Units!D:D,"150/154 Oxford Street",Units!S:S)</f>
        <v>2569000</v>
      </c>
      <c r="E65" s="528" t="n">
        <f aca="false">SUMIF(Units!D:D,"150/154 Oxford Street",Units!U:U)</f>
        <v>3039000</v>
      </c>
      <c r="F65" s="292" t="n">
        <f aca="false">'Bank Schedule'!AB640</f>
        <v>66775000</v>
      </c>
    </row>
    <row r="66" customFormat="false" ht="15" hidden="false" customHeight="false" outlineLevel="0" collapsed="false">
      <c r="A66" s="1" t="s">
        <v>693</v>
      </c>
      <c r="B66" s="476" t="n">
        <f aca="false">SUMIF(Units!D:D,"50 Eastcastle Street",Units!G:G)</f>
        <v>0</v>
      </c>
      <c r="C66" s="528" t="n">
        <f aca="false">SUMIF(Units!D:D,"50 Eastcastle Street",Units!P:P)</f>
        <v>0</v>
      </c>
      <c r="D66" s="528" t="n">
        <f aca="false">SUMIF(Units!D:D,"50 Eastcastle Street",Units!S:S)</f>
        <v>0</v>
      </c>
      <c r="E66" s="528" t="n">
        <f aca="false">SUMIF(Units!D:D,"50 Eastcastle Street",Units!U:U)</f>
        <v>0</v>
      </c>
    </row>
    <row r="67" customFormat="false" ht="15" hidden="false" customHeight="false" outlineLevel="0" collapsed="false">
      <c r="A67" s="1" t="s">
        <v>753</v>
      </c>
      <c r="B67" s="476" t="n">
        <f aca="false">SUMIF(Units!D:D,"Mappin House, 156-162 Oxford Street",Units!G:G)</f>
        <v>57449</v>
      </c>
      <c r="C67" s="528" t="n">
        <f aca="false">SUMIF(Units!D:D,"Mappin House, 156-162 Oxford Street",Units!P:P)</f>
        <v>3438264</v>
      </c>
      <c r="D67" s="528" t="n">
        <f aca="false">SUMIF(Units!D:D,"Mappin House, 156-162 Oxford Street",Units!S:S)</f>
        <v>4554150</v>
      </c>
      <c r="E67" s="528" t="n">
        <f aca="false">SUMIF(Units!D:D,"Mappin House, 156-162 Oxford Street",Units!U:U)</f>
        <v>4663900</v>
      </c>
      <c r="F67" s="292" t="n">
        <f aca="false">'Bank Schedule'!AB698</f>
        <v>75525000</v>
      </c>
    </row>
    <row r="68" customFormat="false" ht="15" hidden="false" customHeight="false" outlineLevel="0" collapsed="false">
      <c r="A68" s="1" t="s">
        <v>777</v>
      </c>
      <c r="B68" s="476" t="n">
        <f aca="false">SUMIF(Units!D:D,"53 Wells Street",Units!G:G)</f>
        <v>825</v>
      </c>
      <c r="C68" s="528" t="n">
        <f aca="false">SUMIF(Units!D:D,"53 Wells Street",Units!P:P)</f>
        <v>300</v>
      </c>
      <c r="D68" s="528" t="n">
        <f aca="false">SUMIF(Units!D:D,"53 Wells Street",Units!S:S)</f>
        <v>27800</v>
      </c>
      <c r="E68" s="528" t="n">
        <f aca="false">SUMIF(Units!D:D,"53 Wells Street",Units!U:U)</f>
        <v>33600</v>
      </c>
      <c r="F68" s="292" t="n">
        <f aca="false">'Bank Schedule'!AB708</f>
        <v>300000</v>
      </c>
    </row>
    <row r="69" customFormat="false" ht="15" hidden="false" customHeight="false" outlineLevel="0" collapsed="false">
      <c r="A69" s="1" t="s">
        <v>790</v>
      </c>
      <c r="B69" s="476" t="n">
        <f aca="false">SUMIF(Units!D:D,"68 Wells Street",Units!G:G)</f>
        <v>2085</v>
      </c>
      <c r="C69" s="528" t="n">
        <f aca="false">SUMIF(Units!D:D,"68 Wells Street",Units!P:P)</f>
        <v>90000</v>
      </c>
      <c r="D69" s="528" t="n">
        <f aca="false">SUMIF(Units!D:D,"68 Wells Street",Units!S:S)</f>
        <v>80000</v>
      </c>
      <c r="E69" s="528" t="n">
        <f aca="false">SUMIF(Units!D:D,"68 Wells Street",Units!U:U)</f>
        <v>79600</v>
      </c>
      <c r="F69" s="292" t="n">
        <f aca="false">'Bank Schedule'!AB712</f>
        <v>1200000</v>
      </c>
    </row>
    <row r="70" customFormat="false" ht="15" hidden="false" customHeight="false" outlineLevel="0" collapsed="false">
      <c r="A70" s="1" t="s">
        <v>795</v>
      </c>
      <c r="B70" s="476" t="n">
        <f aca="false">SUMIF(Units!D:D,"33 Eastcastle Street",Units!G:G)</f>
        <v>3122</v>
      </c>
      <c r="C70" s="528" t="n">
        <f aca="false">SUMIF(Units!D:D,"33 Eastcastle Street",Units!P:P)</f>
        <v>170000</v>
      </c>
      <c r="D70" s="528" t="n">
        <f aca="false">SUMIF(Units!D:D,"33 Eastcastle Street",Units!S:S)</f>
        <v>124100</v>
      </c>
      <c r="E70" s="528" t="n">
        <f aca="false">SUMIF(Units!D:D,"33 Eastcastle Street",Units!U:U)</f>
        <v>124100</v>
      </c>
      <c r="F70" s="292" t="n">
        <f aca="false">'Bank Schedule'!AB720</f>
        <v>1325000</v>
      </c>
    </row>
    <row r="71" customFormat="false" ht="15" hidden="false" customHeight="false" outlineLevel="0" collapsed="false">
      <c r="A71" s="1" t="s">
        <v>799</v>
      </c>
      <c r="B71" s="476" t="n">
        <f aca="false">SUMIF(Units!D:D,"Julco House, 26-28 Great Portland Street",Units!G:G)</f>
        <v>14236</v>
      </c>
      <c r="C71" s="528" t="n">
        <f aca="false">SUMIF(Units!D:D,"Julco House, 26-28 Great Portland Street",Units!P:P)</f>
        <v>888926</v>
      </c>
      <c r="D71" s="528" t="n">
        <f aca="false">SUMIF(Units!D:D,"Julco House, 26-28 Great Portland Street",Units!S:S)</f>
        <v>909360</v>
      </c>
      <c r="E71" s="528" t="n">
        <f aca="false">SUMIF(Units!D:D,"Julco House, 26-28 Great Portland Street",Units!U:U)</f>
        <v>943660</v>
      </c>
      <c r="F71" s="292" t="n">
        <f aca="false">'Bank Schedule'!AB734</f>
        <v>14700000</v>
      </c>
    </row>
    <row r="72" customFormat="false" ht="15" hidden="false" customHeight="false" outlineLevel="0" collapsed="false">
      <c r="A72" s="1" t="s">
        <v>811</v>
      </c>
      <c r="B72" s="476" t="n">
        <f aca="false">SUMIF(Units!D:D,"5 Margaret Street",Units!G:G)</f>
        <v>2598</v>
      </c>
      <c r="C72" s="528" t="n">
        <f aca="false">SUMIF(Units!D:D,"5 Margaret Street",Units!P:P)</f>
        <v>155000</v>
      </c>
      <c r="D72" s="528" t="n">
        <f aca="false">SUMIF(Units!D:D,"5 Margaret Street",Units!S:S)</f>
        <v>118500</v>
      </c>
      <c r="E72" s="528" t="n">
        <f aca="false">SUMIF(Units!D:D,"5 Margaret Street",Units!U:U)</f>
        <v>121500</v>
      </c>
      <c r="F72" s="292" t="n">
        <f aca="false">'Bank Schedule'!AB739</f>
        <v>2200000</v>
      </c>
    </row>
    <row r="73" customFormat="false" ht="15" hidden="false" customHeight="false" outlineLevel="0" collapsed="false">
      <c r="A73" s="1" t="s">
        <v>813</v>
      </c>
      <c r="B73" s="476" t="n">
        <f aca="false">SUMIF(Units!D:D,"60/62 Margaret Street",Units!G:G)</f>
        <v>19812</v>
      </c>
      <c r="C73" s="528" t="n">
        <f aca="false">SUMIF(Units!D:D,"60/62 Margaret Street",Units!P:P)</f>
        <v>729167</v>
      </c>
      <c r="D73" s="528" t="n">
        <f aca="false">SUMIF(Units!D:D,"60/62 Margaret Street",Units!S:S)</f>
        <v>1250000</v>
      </c>
      <c r="E73" s="528" t="n">
        <f aca="false">SUMIF(Units!D:D,"60/62 Margaret Street",Units!U:U)</f>
        <v>1250000</v>
      </c>
      <c r="F73" s="292" t="n">
        <f aca="false">'Bank Schedule'!AB744</f>
        <v>22175000</v>
      </c>
    </row>
    <row r="74" customFormat="false" ht="15" hidden="false" customHeight="false" outlineLevel="0" collapsed="false">
      <c r="A74" s="1" t="s">
        <v>816</v>
      </c>
      <c r="B74" s="476" t="n">
        <f aca="false">SUMIF(Units!D:D,"85 Mortimer Street",Units!G:G)</f>
        <v>2830</v>
      </c>
      <c r="C74" s="528" t="n">
        <f aca="false">SUMIF(Units!D:D,"85 Mortimer Street",Units!P:P)</f>
        <v>70000</v>
      </c>
      <c r="D74" s="528" t="n">
        <f aca="false">SUMIF(Units!D:D,"85 Mortimer Street",Units!S:S)</f>
        <v>130100</v>
      </c>
      <c r="E74" s="528" t="n">
        <f aca="false">SUMIF(Units!D:D,"85 Mortimer Street",Units!U:U)</f>
        <v>130100</v>
      </c>
      <c r="F74" s="292" t="n">
        <f aca="false">'Bank Schedule'!AB752</f>
        <v>1865000</v>
      </c>
    </row>
    <row r="75" customFormat="false" ht="15" hidden="false" customHeight="false" outlineLevel="0" collapsed="false">
      <c r="A75" s="1" t="s">
        <v>818</v>
      </c>
      <c r="B75" s="476" t="n">
        <f aca="false">SUMIF(Units!D:D,"Welbeck House, 66/67 Wells Street",Units!G:G)</f>
        <v>8908</v>
      </c>
      <c r="C75" s="528" t="n">
        <f aca="false">SUMIF(Units!D:D,"Welbeck House, 66/67 Wells Street",Units!P:P)</f>
        <v>98572</v>
      </c>
      <c r="D75" s="528" t="n">
        <f aca="false">SUMIF(Units!D:D,"Welbeck House, 66/67 Wells Street",Units!S:S)</f>
        <v>458300</v>
      </c>
      <c r="E75" s="528" t="n">
        <f aca="false">SUMIF(Units!D:D,"Welbeck House, 66/67 Wells Street",Units!U:U)</f>
        <v>458300</v>
      </c>
      <c r="F75" s="292" t="n">
        <f aca="false">'Bank Schedule'!AB767</f>
        <v>5130000</v>
      </c>
    </row>
    <row r="76" customFormat="false" ht="15" hidden="false" customHeight="false" outlineLevel="0" collapsed="false">
      <c r="A76" s="1" t="s">
        <v>828</v>
      </c>
      <c r="B76" s="476" t="n">
        <f aca="false">SUMIF(Units!D:D,"32-36 Great Portland Street",Units!G:G)</f>
        <v>13021</v>
      </c>
      <c r="C76" s="528" t="n">
        <f aca="false">SUMIF(Units!D:D,"32-36 Great Portland Street",Units!P:P)</f>
        <v>263745</v>
      </c>
      <c r="D76" s="528" t="n">
        <f aca="false">SUMIF(Units!D:D,"32-36 Great Portland Street",Units!S:S)</f>
        <v>795600</v>
      </c>
      <c r="E76" s="528" t="n">
        <f aca="false">SUMIF(Units!D:D,"32-36 Great Portland Street",Units!U:U)</f>
        <v>841100</v>
      </c>
      <c r="F76" s="292" t="n">
        <f aca="false">'Bank Schedule'!AB779</f>
        <v>13000000</v>
      </c>
    </row>
    <row r="77" customFormat="false" ht="15" hidden="false" customHeight="false" outlineLevel="0" collapsed="false">
      <c r="A77" s="1" t="s">
        <v>839</v>
      </c>
      <c r="B77" s="476" t="n">
        <f aca="false">SUMIF(Units!D:D,"184-190 Oxford Street &amp; 28/30 Market Place",Units!G:G)</f>
        <v>33375</v>
      </c>
      <c r="C77" s="528" t="n">
        <f aca="false">SUMIF(Units!D:D,"184-190 Oxford Street &amp; 28/30 Market Place",Units!P:P)</f>
        <v>2168027</v>
      </c>
      <c r="D77" s="528" t="n">
        <f aca="false">SUMIF(Units!D:D,"184-190 Oxford Street &amp; 28/30 Market Place",Units!S:S)</f>
        <v>2858200</v>
      </c>
      <c r="E77" s="528" t="n">
        <f aca="false">SUMIF(Units!D:D,"184-190 Oxford Street &amp; 28/30 Market Place",Units!U:U)</f>
        <v>3061000</v>
      </c>
      <c r="F77" s="292" t="n">
        <f aca="false">'Bank Schedule'!AB796</f>
        <v>52400000</v>
      </c>
    </row>
  </sheetData>
  <autoFilter ref="A1:F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2001-09-21T10:37:47Z</dcterms:created>
  <dc:creator>Langham Estate Management Ltd</dc:creator>
  <dc:description/>
  <dc:language>en-GB</dc:language>
  <cp:lastModifiedBy/>
  <cp:lastPrinted>2025-06-30T15:43:09Z</cp:lastPrinted>
  <dcterms:modified xsi:type="dcterms:W3CDTF">2025-12-02T15:39:08Z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