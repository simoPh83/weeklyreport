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media/image2.png" ContentType="image/png"/>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comments6.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3"/>
    <sheet name="Letting Progress" sheetId="2" state="visible" r:id="rId4"/>
    <sheet name="Dead Ducks" sheetId="3" state="visible" r:id="rId5"/>
    <sheet name="Viewing Schedule" sheetId="4" state="visible" r:id="rId6"/>
    <sheet name="Income" sheetId="5" state="visible" r:id="rId7"/>
    <sheet name="Completed Deals" sheetId="6" state="visible" r:id="rId8"/>
  </sheets>
  <definedNames>
    <definedName function="false" hidden="false" localSheetId="2" name="_xlnm.Print_Area" vbProcedure="false">'Dead Ducks'!$A$1:$I$13</definedName>
    <definedName function="false" hidden="false" localSheetId="2" name="_xlnm.Print_Titles" vbProcedure="false">'Dead Ducks'!$9:$9</definedName>
    <definedName function="false" hidden="false" localSheetId="4" name="_xlnm.Print_Area" vbProcedure="false">Income!$A$1:$AM$26</definedName>
    <definedName function="false" hidden="false" localSheetId="4" name="_xlnm.Print_Titles" vbProcedure="false">Income!$B:$E</definedName>
    <definedName function="false" hidden="false" localSheetId="1" name="_xlnm.Print_Area" vbProcedure="false">'Letting Progress'!$A$1:$S$17</definedName>
    <definedName function="false" hidden="false" localSheetId="1" name="_xlnm.Print_Titles" vbProcedure="false">'Letting Progress'!$4:$4</definedName>
    <definedName function="false" hidden="true" localSheetId="1" name="_xlnm._FilterDatabase" vbProcedure="false">'Letting Progress'!$A$4:$S$19</definedName>
    <definedName function="false" hidden="false" localSheetId="0" name="_xlnm.Print_Area" vbProcedure="false">Summary!$A$1:$I$47</definedName>
    <definedName function="false" hidden="false" localSheetId="3" name="_xlnm.Print_Area" vbProcedure="false">'Viewing Schedule'!$A$1:$I$37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Perry Linch</author>
  </authors>
  <commentList>
    <comment ref="D4" authorId="0">
      <text>
        <r>
          <rPr>
            <sz val="10"/>
            <rFont val="Arial"/>
            <family val="2"/>
          </rPr>
          <t xml:space="preserve">Abbreviations
</t>
        </r>
        <r>
          <rPr>
            <sz val="9"/>
            <color rgb="FF000000"/>
            <rFont val="Tahoma"/>
            <family val="2"/>
            <charset val="1"/>
          </rPr>
          <t xml:space="preserve">Lease Renewal - LR
New Lease - NL
Temporary Let -STL</t>
        </r>
      </text>
    </comment>
  </commentList>
</comments>
</file>

<file path=xl/comments6.xml><?xml version="1.0" encoding="utf-8"?>
<comments xmlns="http://schemas.openxmlformats.org/spreadsheetml/2006/main" xmlns:xdr="http://schemas.openxmlformats.org/drawingml/2006/spreadsheetDrawing">
  <authors>
    <author>Perry Linch</author>
  </authors>
  <commentList>
    <comment ref="E6" authorId="0">
      <text>
        <r>
          <rPr>
            <sz val="10"/>
            <rFont val="Arial"/>
            <family val="2"/>
          </rPr>
          <t xml:space="preserve">Abbreviations
</t>
        </r>
        <r>
          <rPr>
            <sz val="9"/>
            <color rgb="FF000000"/>
            <rFont val="Tahoma"/>
            <family val="2"/>
            <charset val="1"/>
          </rPr>
          <t xml:space="preserve">Lease Renewal - LR
New Lease - NL
Temporary Let - TL</t>
        </r>
      </text>
    </comment>
  </commentList>
</comments>
</file>

<file path=xl/sharedStrings.xml><?xml version="1.0" encoding="utf-8"?>
<sst xmlns="http://schemas.openxmlformats.org/spreadsheetml/2006/main" count="3842" uniqueCount="1305">
  <si>
    <t xml:space="preserve"> </t>
  </si>
  <si>
    <t xml:space="preserve">Week Ending</t>
  </si>
  <si>
    <t xml:space="preserve">To. </t>
  </si>
  <si>
    <t xml:space="preserve"> RACHEL GAO, PHIL HARDIE and MALCOLM PUGH,  </t>
  </si>
  <si>
    <t xml:space="preserve">From. </t>
  </si>
  <si>
    <t xml:space="preserve">MALCOLM COHEN, SABINA BATHURST, GREG HUTCHENSON and CRISTINA CIMPOESU</t>
  </si>
  <si>
    <t xml:space="preserve">cc.</t>
  </si>
  <si>
    <t xml:space="preserve">PETER MORDEN, LAURA OWEN, PERRY LINCH, HOWARD ROSEN, TOM HURLEY, SHANIE HENDERSON, CARA DYETT, CHERYL MASON, JOSEPH MANNU, WILLIAM SPENCER, ELIZABETH TAYLOR, SEAN COLLINS, RUTH SHAVE, GRAEME NOOT,</t>
  </si>
  <si>
    <t xml:space="preserve">Ref.</t>
  </si>
  <si>
    <t xml:space="preserve">New Lettings Progress</t>
  </si>
  <si>
    <t xml:space="preserve">Sections</t>
  </si>
  <si>
    <t xml:space="preserve">No. Of Deals</t>
  </si>
  <si>
    <t xml:space="preserve">Total Rental Value/Year</t>
  </si>
  <si>
    <t xml:space="preserve">A</t>
  </si>
  <si>
    <t xml:space="preserve">(i) New deals in solicitors hands</t>
  </si>
  <si>
    <t xml:space="preserve">(ii) Deals in Solicitors’ Hands: Temporary Lettings</t>
  </si>
  <si>
    <t xml:space="preserve">(iii) Lease Renewals - Agreed Rental Uplift</t>
  </si>
  <si>
    <t xml:space="preserve">TOTAL (EXCLUDING DEAD DUCKS)</t>
  </si>
  <si>
    <t xml:space="preserve">B</t>
  </si>
  <si>
    <t xml:space="preserve">(i) Deals completed this week</t>
  </si>
  <si>
    <t xml:space="preserve">(ii) Total deals complete 1st Jan to date</t>
  </si>
  <si>
    <t xml:space="preserve">New Lets</t>
  </si>
  <si>
    <t xml:space="preserve">Temporary Lets</t>
  </si>
  <si>
    <t xml:space="preserve">                      Lease Renewals (Rental Uplift)</t>
  </si>
  <si>
    <t xml:space="preserve">Total</t>
  </si>
  <si>
    <t xml:space="preserve">(iii) Dead Ducks</t>
  </si>
  <si>
    <t xml:space="preserve">        Malcolm Cohen</t>
  </si>
  <si>
    <t xml:space="preserve">  </t>
  </si>
  <si>
    <t xml:space="preserve">LETTING PROGRESS</t>
  </si>
  <si>
    <t xml:space="preserve">Week Ending:</t>
  </si>
  <si>
    <t xml:space="preserve">No.</t>
  </si>
  <si>
    <t xml:space="preserve">Address</t>
  </si>
  <si>
    <t xml:space="preserve">Floor</t>
  </si>
  <si>
    <t xml:space="preserve">Type of Letting</t>
  </si>
  <si>
    <t xml:space="preserve">Area to be Demised sq ft</t>
  </si>
  <si>
    <t xml:space="preserve">Date Solicitors Instructed</t>
  </si>
  <si>
    <t xml:space="preserve">Name of Tenant</t>
  </si>
  <si>
    <t xml:space="preserve">Lease Terms</t>
  </si>
  <si>
    <t xml:space="preserve">New Rent </t>
  </si>
  <si>
    <t xml:space="preserve">Existing Rent</t>
  </si>
  <si>
    <t xml:space="preserve">Rental Uplift </t>
  </si>
  <si>
    <t xml:space="preserve">Average psf (NEW)</t>
  </si>
  <si>
    <t xml:space="preserve">Average psf (OLD) </t>
  </si>
  <si>
    <t xml:space="preserve">ERV psf</t>
  </si>
  <si>
    <t xml:space="preserve">Solicitors for Tenant</t>
  </si>
  <si>
    <t xml:space="preserve">Solicitor</t>
  </si>
  <si>
    <t xml:space="preserve">Completed</t>
  </si>
  <si>
    <t xml:space="preserve">Action</t>
  </si>
  <si>
    <t xml:space="preserve">Surveyor</t>
  </si>
  <si>
    <t xml:space="preserve"> 9 Little Portland St</t>
  </si>
  <si>
    <t xml:space="preserve">Ground and Basement</t>
  </si>
  <si>
    <t xml:space="preserve">LR</t>
  </si>
  <si>
    <t xml:space="preserve">Order Line Limited</t>
  </si>
  <si>
    <t xml:space="preserve">4 years </t>
  </si>
  <si>
    <t xml:space="preserve">Tenant acting on their behalf. </t>
  </si>
  <si>
    <t xml:space="preserve">SH </t>
  </si>
  <si>
    <t xml:space="preserve">No</t>
  </si>
  <si>
    <t xml:space="preserve">Tenant lease renewal is on hold while the landlord prepares a retail strategy with KLM.  Existing tenants may no longer meet the requirements under the new strategy.  26.09.25 </t>
  </si>
  <si>
    <t xml:space="preserve">CD</t>
  </si>
  <si>
    <t xml:space="preserve">56 Great Titchfield Street</t>
  </si>
  <si>
    <t xml:space="preserve">Whole</t>
  </si>
  <si>
    <t xml:space="preserve">Morplan Ltd</t>
  </si>
  <si>
    <t xml:space="preserve">5 years from 01/02.2025 with 4 weeks rent free period</t>
  </si>
  <si>
    <t xml:space="preserve">Glovers Solicitors</t>
  </si>
  <si>
    <t xml:space="preserve">SH</t>
  </si>
  <si>
    <t xml:space="preserve">Tenant's AML checks have ceen ompleted.  The tenant is based in France and is now awaiting confirmation that they have completed the Statutory Declaration for the 1st-3rd Floor, 58 Great Titchfield Street, before proceeding with the lease of the protected tenancies.  29/10/25b</t>
  </si>
  <si>
    <t xml:space="preserve">58 Great Titchfield Street</t>
  </si>
  <si>
    <t xml:space="preserve">Tenant's AML checks have completed.  Tenant is based in France and now awaiting confirmation that tenant has completed the Statutory Declaration on the 1st-3rd Floor 58 Great Titchfield Street, before completing the lease of the protected tenancies.  29/10/25</t>
  </si>
  <si>
    <t xml:space="preserve">Floors, 58 Great Titchfield Street</t>
  </si>
  <si>
    <t xml:space="preserve">1st 2nd &amp; 3rd</t>
  </si>
  <si>
    <t xml:space="preserve">5 year from 01/02.25 with 4 weeks rent free period</t>
  </si>
  <si>
    <t xml:space="preserve">Tenant's AML checks have completed.  Tenant is based in France and is now awaiting confirmation that the tenant has completed the Statutory Declaration in France.  29/10/25</t>
  </si>
  <si>
    <t xml:space="preserve">4 Winsley Street</t>
  </si>
  <si>
    <t xml:space="preserve">VNK Limited </t>
  </si>
  <si>
    <t xml:space="preserve">10-year renewal from 28 Sep 2027, Rent £499,600, Rent Review 5th Year.  </t>
  </si>
  <si>
    <t xml:space="preserve">Memery Crystal</t>
  </si>
  <si>
    <t xml:space="preserve">Wedlake Bell</t>
  </si>
  <si>
    <t xml:space="preserve">Draft documents in the agreed-upon format to reflect the existing lease. Target completion for Jan 2026. AML Passed. JM is happy with the Licence to Alter docs. Awaiting bank consent.  09/05/2025. Breach of planning application. Awaiting resolution from the tenant. The lease will be completed once the breach is rectified on 13/06/2025. The tenant has agreed to rectify the breach, and completion is expected in Q4.</t>
  </si>
  <si>
    <t xml:space="preserve">JM</t>
  </si>
  <si>
    <t xml:space="preserve">36-38 Mortimer Street, Radiant House</t>
  </si>
  <si>
    <t xml:space="preserve">2nd</t>
  </si>
  <si>
    <t xml:space="preserve">NL</t>
  </si>
  <si>
    <t xml:space="preserve">Arya Douge Ltd</t>
  </si>
  <si>
    <t xml:space="preserve">5 years with t/b 3rd year</t>
  </si>
  <si>
    <t xml:space="preserve">TBC</t>
  </si>
  <si>
    <t xml:space="preserve">Draft Documents in final form. Lease plans are being amended. Works are close to completion. 03/10/2025</t>
  </si>
  <si>
    <t xml:space="preserve">WS / ET</t>
  </si>
  <si>
    <t xml:space="preserve">Circus House</t>
  </si>
  <si>
    <t xml:space="preserve">2nd &amp; 3rd </t>
  </si>
  <si>
    <t xml:space="preserve">New Era Cap Company</t>
  </si>
  <si>
    <t xml:space="preserve">10 years with t/b 5th year</t>
  </si>
  <si>
    <t xml:space="preserve">Yes</t>
  </si>
  <si>
    <t xml:space="preserve">Stephenson Harwood has answered all the queries raised by the tenant's solicitors and has returned all documents to them. 30/10/2025 - ET has instructed Hot Water Works, which will deliver an electrified and degassed floor, allowing EPC B to be achieved. These are likely to be completed just after the lease does, but a side letter will be required, and Stephen Laud will deal with this. Completion is expected by either Friday, 31 October, or early next week. </t>
  </si>
  <si>
    <t xml:space="preserve">ET</t>
  </si>
  <si>
    <t xml:space="preserve">Circus House, 21 Great Titchfield Street</t>
  </si>
  <si>
    <t xml:space="preserve">Ground Floor, (West)</t>
  </si>
  <si>
    <t xml:space="preserve">Lege Aetis Ltd</t>
  </si>
  <si>
    <t xml:space="preserve">15 years with t/b 10th yr on 6 months notice</t>
  </si>
  <si>
    <t xml:space="preserve">SA Law</t>
  </si>
  <si>
    <t xml:space="preserve">Tenant's solicitors to get back to Stephenson Harwood with their comments on the legal documents shortly. 10/10/2025: 30/10/2025 Lege Atris team undertaking surveys and investigations into how drainage provision can be delivered for use as dentists surgery. </t>
  </si>
  <si>
    <t xml:space="preserve">158 Oxford Street</t>
  </si>
  <si>
    <t xml:space="preserve">Ground Floor</t>
  </si>
  <si>
    <t xml:space="preserve">VF Northern Europe (T/A Timberland)</t>
  </si>
  <si>
    <t xml:space="preserve">10 Years Leae. TOB Year 5. 3m RF. £615 Zone A (Gross) / £600 Zone A (Net)</t>
  </si>
  <si>
    <t xml:space="preserve">SH to circulate first draft to to tenant. Lease to commence on 19 January 2026.</t>
  </si>
  <si>
    <t xml:space="preserve">Golderbrock House</t>
  </si>
  <si>
    <t xml:space="preserve">1st Floor (Rear)</t>
  </si>
  <si>
    <t xml:space="preserve">NMHL Ltd (T/A Natalino)</t>
  </si>
  <si>
    <t xml:space="preserve">5 year lease T/o break end of yr 2.</t>
  </si>
  <si>
    <t xml:space="preserve">Draft documents with the other side. Tenant pack sent to SH.  03/10/2025</t>
  </si>
  <si>
    <t xml:space="preserve">WS</t>
  </si>
  <si>
    <t xml:space="preserve">85 Mortimer Street</t>
  </si>
  <si>
    <t xml:space="preserve">1st-3rd floors</t>
  </si>
  <si>
    <t xml:space="preserve">Sindhu Immigration Services</t>
  </si>
  <si>
    <t xml:space="preserve">5 years with a mutail break at the end of the 3rd year</t>
  </si>
  <si>
    <t xml:space="preserve">Fee Quote accepted, tenant pack being put together. ARES Works is now underway. 10/10/2025 Stephenson Harwood requested further details from Langham, and Elizabeth Taylor provided them over the course of the week. 30/10/2025 - each side's solicitors dealing.</t>
  </si>
  <si>
    <t xml:space="preserve">53 Great Portland Street</t>
  </si>
  <si>
    <t xml:space="preserve">Kiosk</t>
  </si>
  <si>
    <t xml:space="preserve">Mr Yogesh Brahmbhatt</t>
  </si>
  <si>
    <t xml:space="preserve">5 Years With break at end of 3rd &amp;4th Year</t>
  </si>
  <si>
    <t xml:space="preserve">Markand &amp; Co Solicitors LLP</t>
  </si>
  <si>
    <t xml:space="preserve">Draft documents still with tenant to review. SH have chased. 15/10/2025</t>
  </si>
  <si>
    <t xml:space="preserve">15/16 Margaret Street</t>
  </si>
  <si>
    <t xml:space="preserve">3rd floor</t>
  </si>
  <si>
    <t xml:space="preserve">Termgrid Limited</t>
  </si>
  <si>
    <t xml:space="preserve">5 years with tenant break 3rd year</t>
  </si>
  <si>
    <t xml:space="preserve">NO</t>
  </si>
  <si>
    <t xml:space="preserve">Stephenson Harwood instructed.  Pack being put together. 29/10/2025</t>
  </si>
  <si>
    <t xml:space="preserve">B </t>
  </si>
  <si>
    <t xml:space="preserve">Dead Ducks</t>
  </si>
  <si>
    <t xml:space="preserve">No. of 'dead ducks' this week:</t>
  </si>
  <si>
    <t xml:space="preserve">No. </t>
  </si>
  <si>
    <t xml:space="preserve">Company</t>
  </si>
  <si>
    <t xml:space="preserve">Rent</t>
  </si>
  <si>
    <t xml:space="preserve">Rent psf</t>
  </si>
  <si>
    <t xml:space="preserve">Reason</t>
  </si>
  <si>
    <t xml:space="preserve">END</t>
  </si>
  <si>
    <t xml:space="preserve">15/16 Margaret Street
Basement 2,161sq.ft</t>
  </si>
  <si>
    <t xml:space="preserve">Canis (marylebone)Ltd</t>
  </si>
  <si>
    <t xml:space="preserve">5 Years With M/B year 3 </t>
  </si>
  <si>
    <t xml:space="preserve">It was felt this was not the right operator with the refurbishedunits above </t>
  </si>
  <si>
    <t xml:space="preserve">TH</t>
  </si>
  <si>
    <t xml:space="preserve">67 Wells street, Welbeck House</t>
  </si>
  <si>
    <t xml:space="preserve">World Chess</t>
  </si>
  <si>
    <t xml:space="preserve">5 years T/O break at end of 3yr</t>
  </si>
  <si>
    <t xml:space="preserve">Shifting focus to online operations due to uncertain </t>
  </si>
  <si>
    <t xml:space="preserve">YS</t>
  </si>
  <si>
    <t xml:space="preserve">Great Titchfield House, 14-18 Great Titchfield Street</t>
  </si>
  <si>
    <t xml:space="preserve">True Green Capital</t>
  </si>
  <si>
    <t xml:space="preserve">5 yr lease</t>
  </si>
  <si>
    <t xml:space="preserve">Tenant looking t ostay put during economic uncertantiy. </t>
  </si>
  <si>
    <t xml:space="preserve">2nd Floor, 14-18 Great Titchfield Street, </t>
  </si>
  <si>
    <t xml:space="preserve">Infront Sports &amp; Media UK Ltd</t>
  </si>
  <si>
    <t xml:space="preserve">3 year lease</t>
  </si>
  <si>
    <t xml:space="preserve">Tenant has found alternative accomadation in a different area. </t>
  </si>
  <si>
    <t xml:space="preserve">47-50 Margaret Street</t>
  </si>
  <si>
    <t xml:space="preserve">77 Diamonds </t>
  </si>
  <si>
    <t xml:space="preserve">Tenant believed that buildin common parts were too much of security threat depsite proposed improvements </t>
  </si>
  <si>
    <t xml:space="preserve">47-50 Margaret Street
4th Floor East</t>
  </si>
  <si>
    <t xml:space="preserve">Dolor Medical Supplies</t>
  </si>
  <si>
    <t xml:space="preserve">5years with mutual break in year 3</t>
  </si>
  <si>
    <t xml:space="preserve">Isses relating to plannign change of use delayed deal too long</t>
  </si>
  <si>
    <t xml:space="preserve">Viewing Schedule</t>
  </si>
  <si>
    <t xml:space="preserve">Date</t>
  </si>
  <si>
    <t xml:space="preserve">Address </t>
  </si>
  <si>
    <t xml:space="preserve">Floor/Suite</t>
  </si>
  <si>
    <t xml:space="preserve">Potential Tenant</t>
  </si>
  <si>
    <t xml:space="preserve">Agent/Broker</t>
  </si>
  <si>
    <t xml:space="preserve">Proposed Terms</t>
  </si>
  <si>
    <t xml:space="preserve">Remarks</t>
  </si>
  <si>
    <t xml:space="preserve">Agent</t>
  </si>
  <si>
    <t xml:space="preserve">Moray House </t>
  </si>
  <si>
    <t xml:space="preserve">1st floor (2 suites)</t>
  </si>
  <si>
    <t xml:space="preserve">Media Tech agony</t>
  </si>
  <si>
    <t xml:space="preserve">LEM</t>
  </si>
  <si>
    <t xml:space="preserve">NYD</t>
  </si>
  <si>
    <t xml:space="preserve">1st inspection with London director. 2nd inspection to be arranged for US director to inspect.</t>
  </si>
  <si>
    <t xml:space="preserve">MAC</t>
  </si>
  <si>
    <t xml:space="preserve">75/77 Margaret Street</t>
  </si>
  <si>
    <t xml:space="preserve">entire 2nd floor Front &amp; rear)</t>
  </si>
  <si>
    <t xml:space="preserve">Media Tech agency</t>
  </si>
  <si>
    <t xml:space="preserve">30 Market Place</t>
  </si>
  <si>
    <t xml:space="preserve">Tech company </t>
  </si>
  <si>
    <t xml:space="preserve">ECP</t>
  </si>
  <si>
    <t xml:space="preserve">1st inspection. Waiting for update report from our agent.</t>
  </si>
  <si>
    <t xml:space="preserve">RIB</t>
  </si>
  <si>
    <t xml:space="preserve">See letting progress</t>
  </si>
  <si>
    <t xml:space="preserve">Inspection by their design team</t>
  </si>
  <si>
    <t xml:space="preserve">9 Little Portland House</t>
  </si>
  <si>
    <t xml:space="preserve">Ground floor &amp; Basement</t>
  </si>
  <si>
    <t xml:space="preserve">Fabrique (Bakery)</t>
  </si>
  <si>
    <t xml:space="preserve">KLM</t>
  </si>
  <si>
    <t xml:space="preserve">1st Inspection. Awaiting feedback.</t>
  </si>
  <si>
    <t xml:space="preserve">22-23 Eastcastle Street </t>
  </si>
  <si>
    <t xml:space="preserve">3rd Floor (East)</t>
  </si>
  <si>
    <t xml:space="preserve">Media 15</t>
  </si>
  <si>
    <t xml:space="preserve">N/A</t>
  </si>
  <si>
    <t xml:space="preserve">Liked unit but didn't like the metal wall as couldn't understand what it was for and don't want to wait for works to be done.</t>
  </si>
  <si>
    <t xml:space="preserve">SB</t>
  </si>
  <si>
    <t xml:space="preserve">3rd Floor (West)</t>
  </si>
  <si>
    <t xml:space="preserve">Didn't like the unit as no kitchenette and they didn't want the hassle of having to put one in.</t>
  </si>
  <si>
    <t xml:space="preserve">51-53 Margaret Street</t>
  </si>
  <si>
    <t xml:space="preserve">1st Floor (West)</t>
  </si>
  <si>
    <t xml:space="preserve">They liked the unit a lot, but I didn't like that it had no fridge or blinds (which I mentioned we could supply if needed).</t>
  </si>
  <si>
    <t xml:space="preserve">32-36 Great Portland Street</t>
  </si>
  <si>
    <t xml:space="preserve">1st Floor</t>
  </si>
  <si>
    <t xml:space="preserve">Orphalan UK</t>
  </si>
  <si>
    <t xml:space="preserve">1st Inspection. Like unit but has no meeting rooms and they don't want to put them in.</t>
  </si>
  <si>
    <t xml:space="preserve">3rd East</t>
  </si>
  <si>
    <t xml:space="preserve">Wal G</t>
  </si>
  <si>
    <t xml:space="preserve">LDG</t>
  </si>
  <si>
    <t xml:space="preserve">£63 psf /5 yr lease</t>
  </si>
  <si>
    <t xml:space="preserve">Several inspections. Offer made and we are running cash flows between this offer and another offer made by Binocular Productions.</t>
  </si>
  <si>
    <t xml:space="preserve">1st Inspection. Really liked this unit due to it's glass partioned meeting rooms but the unit is about to go under offer to someone else.</t>
  </si>
  <si>
    <t xml:space="preserve">19-21 Great Portland Street</t>
  </si>
  <si>
    <t xml:space="preserve">3rd Floor</t>
  </si>
  <si>
    <t xml:space="preserve">1st Inspection. Liked unit and the meeting rooms. Will look at plan and come back to us.</t>
  </si>
  <si>
    <t xml:space="preserve">51/53 Eastcastle Street</t>
  </si>
  <si>
    <t xml:space="preserve">Passyunk Avenue</t>
  </si>
  <si>
    <t xml:space="preserve">OVH</t>
  </si>
  <si>
    <t xml:space="preserve">1st inspection. They appeared to like the site and felt that it would work well as a competitive socialising venue.</t>
  </si>
  <si>
    <t xml:space="preserve">TGR1.618 Limited</t>
  </si>
  <si>
    <t xml:space="preserve">1st inspection. Did not like the configuration.</t>
  </si>
  <si>
    <t xml:space="preserve">1st inspection. Liked the configuration and has requested further info.</t>
  </si>
  <si>
    <t xml:space="preserve">23-25 Eastcastle Street</t>
  </si>
  <si>
    <t xml:space="preserve">2nd &amp; 3rd floors</t>
  </si>
  <si>
    <t xml:space="preserve">Unknown</t>
  </si>
  <si>
    <t xml:space="preserve">Bluebook</t>
  </si>
  <si>
    <t xml:space="preserve">1st Inspection. Awaiting feedback</t>
  </si>
  <si>
    <t xml:space="preserve">BB</t>
  </si>
  <si>
    <t xml:space="preserve">3rd &amp; 4th Floors</t>
  </si>
  <si>
    <t xml:space="preserve">Lonic</t>
  </si>
  <si>
    <t xml:space="preserve">51 Great Portland Street</t>
  </si>
  <si>
    <t xml:space="preserve">CLYX</t>
  </si>
  <si>
    <t xml:space="preserve">1st Inspection. Awaiting feedback although clearly liked this one the best due to having a lift. Will need to look at finances.</t>
  </si>
  <si>
    <t xml:space="preserve">39 Great Portland Street</t>
  </si>
  <si>
    <t xml:space="preserve">SCRT</t>
  </si>
  <si>
    <t xml:space="preserve">41 Great Portland Street</t>
  </si>
  <si>
    <t xml:space="preserve">Whole Building</t>
  </si>
  <si>
    <t xml:space="preserve">1st viewing. We have blown them out the 47/50 Margaret Street =3rd floor deal to go with another party. Looking at alternative options</t>
  </si>
  <si>
    <t xml:space="preserve">32/36 Great Portland Street</t>
  </si>
  <si>
    <t xml:space="preserve">1st floor</t>
  </si>
  <si>
    <t xml:space="preserve">See above comment.</t>
  </si>
  <si>
    <t xml:space="preserve">Great Titchfield House</t>
  </si>
  <si>
    <t xml:space="preserve">2n &amp; 4th floors</t>
  </si>
  <si>
    <t xml:space="preserve">23/25 Eastcastle Street</t>
  </si>
  <si>
    <t xml:space="preserve">6/10 Great Portland Street</t>
  </si>
  <si>
    <t xml:space="preserve">4th floor</t>
  </si>
  <si>
    <t xml:space="preserve">Media co</t>
  </si>
  <si>
    <t xml:space="preserve">1st viewing. Looking at several options in the West End</t>
  </si>
  <si>
    <t xml:space="preserve">Portland House</t>
  </si>
  <si>
    <t xml:space="preserve">2nd flooor West</t>
  </si>
  <si>
    <t xml:space="preserve">2nd viewing. Looking at several options in the West End</t>
  </si>
  <si>
    <t xml:space="preserve">20 Margaret Street</t>
  </si>
  <si>
    <t xml:space="preserve">1st, 2nd &amp; 4th Floors</t>
  </si>
  <si>
    <t xml:space="preserve">Media.Work</t>
  </si>
  <si>
    <t xml:space="preserve">15-16 Margaret Street</t>
  </si>
  <si>
    <t xml:space="preserve">4th &amp; 5th Floors</t>
  </si>
  <si>
    <t xml:space="preserve">4th Floor</t>
  </si>
  <si>
    <t xml:space="preserve">42-48 Great Portland Street</t>
  </si>
  <si>
    <t xml:space="preserve">5th Floor</t>
  </si>
  <si>
    <t xml:space="preserve">Princess House</t>
  </si>
  <si>
    <t xml:space="preserve">1st, 2nd &amp; 3rd floors</t>
  </si>
  <si>
    <t xml:space="preserve">Convene</t>
  </si>
  <si>
    <t xml:space="preserve">2nd inspection. Very interested in taking 2 floors. Board meeting on Wednesday to discuss the next steps.</t>
  </si>
  <si>
    <t xml:space="preserve">The Graphical Tree</t>
  </si>
  <si>
    <t xml:space="preserve">1st Inspection. Knows unit is under offer but wanted to see it anyway.</t>
  </si>
  <si>
    <t xml:space="preserve">Welbeck House</t>
  </si>
  <si>
    <t xml:space="preserve">Ground &amp; Basement Floor</t>
  </si>
  <si>
    <t xml:space="preserve">1st Inspection, not keen as floor plan wouldn't work </t>
  </si>
  <si>
    <t xml:space="preserve">Agent led -TBC</t>
  </si>
  <si>
    <t xml:space="preserve">Workplace</t>
  </si>
  <si>
    <t xml:space="preserve">1st Inspection, not keen as didn't like layout.</t>
  </si>
  <si>
    <t xml:space="preserve">1st Inspection, awaiting feedback from our agent</t>
  </si>
  <si>
    <t xml:space="preserve">6-10 Great Portland St</t>
  </si>
  <si>
    <t xml:space="preserve">4th Floor  </t>
  </si>
  <si>
    <t xml:space="preserve">Ortus Energy</t>
  </si>
  <si>
    <t xml:space="preserve">1st Inspection, liked unit but felt it was slightly too small</t>
  </si>
  <si>
    <t xml:space="preserve">30 Market Place </t>
  </si>
  <si>
    <t xml:space="preserve">New ERA</t>
  </si>
  <si>
    <t xml:space="preserve">Edward Charles</t>
  </si>
  <si>
    <t xml:space="preserve">1st inspection. Looking at a fitted option.</t>
  </si>
  <si>
    <t xml:space="preserve">Duo Lingo</t>
  </si>
  <si>
    <t xml:space="preserve">1st inspection. Positive inspection with their agent and will want to carry out another inspection. Tenant represented by Savills.</t>
  </si>
  <si>
    <t xml:space="preserve">22-25 Eastcastle Street</t>
  </si>
  <si>
    <t xml:space="preserve">2nd Floor</t>
  </si>
  <si>
    <t xml:space="preserve">Ian Scott</t>
  </si>
  <si>
    <t xml:space="preserve">1st Inspection. Waiting for the feedback from our agent.</t>
  </si>
  <si>
    <t xml:space="preserve">19-21 Great Portland Streeet</t>
  </si>
  <si>
    <t xml:space="preserve">23-25 Eastcastle St</t>
  </si>
  <si>
    <t xml:space="preserve">6th Floor</t>
  </si>
  <si>
    <t xml:space="preserve">Scott Free</t>
  </si>
  <si>
    <t xml:space="preserve">1st Inspection, liked unit but wants to instruct an agent on their behalf to negotiatie</t>
  </si>
  <si>
    <t xml:space="preserve">Brave Corp</t>
  </si>
  <si>
    <t xml:space="preserve">1st inspection. Very interested in leasing all the vacant space. Another inspection is being arranged next week for their design team. Initial layout plans prepared.</t>
  </si>
  <si>
    <t xml:space="preserve">3rd floor </t>
  </si>
  <si>
    <t xml:space="preserve">1st inspection. Waiting for the feedback from our agent.</t>
  </si>
  <si>
    <t xml:space="preserve">17-18 Margaret Street</t>
  </si>
  <si>
    <t xml:space="preserve">4th Floor (West</t>
  </si>
  <si>
    <t xml:space="preserve">2nd Inspection, likes the unit but wants a kitchenette. May consider taking this unit and rear unit.</t>
  </si>
  <si>
    <t xml:space="preserve">65 Margaret St</t>
  </si>
  <si>
    <t xml:space="preserve">Daniela Schlingmann</t>
  </si>
  <si>
    <t xml:space="preserve">1st Inspection, liked unit but first one she has seen and will get back to us.</t>
  </si>
  <si>
    <t xml:space="preserve">Savills (Workthere)</t>
  </si>
  <si>
    <t xml:space="preserve">DY</t>
  </si>
  <si>
    <t xml:space="preserve">32-36 Great Portland St</t>
  </si>
  <si>
    <t xml:space="preserve">1st Inspection, liked unit but will wait to see it once works all done.</t>
  </si>
  <si>
    <t xml:space="preserve">2nd &amp; 3rd Floor</t>
  </si>
  <si>
    <t xml:space="preserve">Sportwear fashion company</t>
  </si>
  <si>
    <t xml:space="preserve">1st inspection with their agent, Making Moves. Very interested and have requested further info.</t>
  </si>
  <si>
    <t xml:space="preserve">3rd - suite 320</t>
  </si>
  <si>
    <t xml:space="preserve">Crypto company</t>
  </si>
  <si>
    <t xml:space="preserve">2nd inspection with the board. Awaiting feedback.</t>
  </si>
  <si>
    <t xml:space="preserve">Mappin House</t>
  </si>
  <si>
    <t xml:space="preserve">Financial Services company</t>
  </si>
  <si>
    <t xml:space="preserve">1st inspection and awaiting agents feedback.</t>
  </si>
  <si>
    <t xml:space="preserve">Media Company</t>
  </si>
  <si>
    <t xml:space="preserve">Savills</t>
  </si>
  <si>
    <t xml:space="preserve">1st inspection. Did not give much away as they are looking at other properties in central West End</t>
  </si>
  <si>
    <t xml:space="preserve">KN</t>
  </si>
  <si>
    <t xml:space="preserve">Knight Frank</t>
  </si>
  <si>
    <t xml:space="preserve">1st Inspection and have chased our agent for feedback on the viewing.</t>
  </si>
  <si>
    <t xml:space="preserve">Cord Technoligies </t>
  </si>
  <si>
    <t xml:space="preserve">1st inspection and have arranged for a 2nd veiwing</t>
  </si>
  <si>
    <t xml:space="preserve">1st &amp; 3rd floors</t>
  </si>
  <si>
    <t xml:space="preserve">Accountants </t>
  </si>
  <si>
    <t xml:space="preserve">1st inspection and like the 1st floor. They are looking at other properties in the area with their agent </t>
  </si>
  <si>
    <t xml:space="preserve">Audley House- Margaret Street</t>
  </si>
  <si>
    <t xml:space="preserve">Post Production Company</t>
  </si>
  <si>
    <t xml:space="preserve">Looked from the outside. Plans provided at their request Not suitable due to DDA issue.</t>
  </si>
  <si>
    <t xml:space="preserve">Kenilworth House</t>
  </si>
  <si>
    <t xml:space="preserve">Not suitable due to narrow entrance hall and DDA issue. Looking for 10,000 sq ft</t>
  </si>
  <si>
    <t xml:space="preserve">Welbeck House </t>
  </si>
  <si>
    <t xml:space="preserve">Ground Floor &amp; Basement </t>
  </si>
  <si>
    <t xml:space="preserve">Synergy </t>
  </si>
  <si>
    <t xml:space="preserve">1st inspection</t>
  </si>
  <si>
    <t xml:space="preserve">19/21 Gt Portland Street</t>
  </si>
  <si>
    <t xml:space="preserve">47/50 Margaret Street</t>
  </si>
  <si>
    <t xml:space="preserve">2nd inspection. Really like the space. Looking to expand within the Langham Estate</t>
  </si>
  <si>
    <t xml:space="preserve">63/64 Margaret Street</t>
  </si>
  <si>
    <t xml:space="preserve">3rd floor East &amp; West</t>
  </si>
  <si>
    <t xml:space="preserve">Faros</t>
  </si>
  <si>
    <t xml:space="preserve">£60 psf/5 yr lease</t>
  </si>
  <si>
    <t xml:space="preserve">in negs on the East unit.</t>
  </si>
  <si>
    <t xml:space="preserve">2nd Floor (West)</t>
  </si>
  <si>
    <t xml:space="preserve">Agent Led - TBC</t>
  </si>
  <si>
    <t xml:space="preserve">1st viewing, awaiting further feedback</t>
  </si>
  <si>
    <t xml:space="preserve">1st &amp; 3rd Floors</t>
  </si>
  <si>
    <t xml:space="preserve">Golderbrock House </t>
  </si>
  <si>
    <t xml:space="preserve">21 Little Portland Street</t>
  </si>
  <si>
    <t xml:space="preserve">2nd viewing via RIB, awaiting further feedback</t>
  </si>
  <si>
    <t xml:space="preserve">Portland House, 4 Great Portland Street</t>
  </si>
  <si>
    <t xml:space="preserve">1st &amp; 2nd Floor</t>
  </si>
  <si>
    <t xml:space="preserve">Techspace</t>
  </si>
  <si>
    <t xml:space="preserve">Savills </t>
  </si>
  <si>
    <t xml:space="preserve">£67.50 psf/15 yr lease</t>
  </si>
  <si>
    <t xml:space="preserve">Inspection with mainboard. On going dscussions.</t>
  </si>
  <si>
    <t xml:space="preserve">Windsor House, 40-41 Great Castle Street </t>
  </si>
  <si>
    <t xml:space="preserve">Holy Greens</t>
  </si>
  <si>
    <t xml:space="preserve">1st viewing.</t>
  </si>
  <si>
    <t xml:space="preserve">Pizza business</t>
  </si>
  <si>
    <t xml:space="preserve">1st viewing and awaiting feedback.</t>
  </si>
  <si>
    <t xml:space="preserve">50 Eastcastle Street</t>
  </si>
  <si>
    <t xml:space="preserve">Entire 1st floor</t>
  </si>
  <si>
    <t xml:space="preserve">FinTech business</t>
  </si>
  <si>
    <t xml:space="preserve">4th &amp; 5th floor</t>
  </si>
  <si>
    <t xml:space="preserve">Amer Sports</t>
  </si>
  <si>
    <t xml:space="preserve">1st inspection. Was looking at a several locations in Central London. Appered to like the 4th floor due to it beeing bigger.</t>
  </si>
  <si>
    <t xml:space="preserve">MAC/DY/SB</t>
  </si>
  <si>
    <t xml:space="preserve">15/16 Margaret Street </t>
  </si>
  <si>
    <t xml:space="preserve">Property Company</t>
  </si>
  <si>
    <t xml:space="preserve">Was of interest and has asked for further info </t>
  </si>
  <si>
    <t xml:space="preserve">2nd &amp; 4th floors</t>
  </si>
  <si>
    <t xml:space="preserve">6/10 Gt Portland Street</t>
  </si>
  <si>
    <t xml:space="preserve">2nd Floor West</t>
  </si>
  <si>
    <t xml:space="preserve">Too bland. Configuration not right for their use.</t>
  </si>
  <si>
    <t xml:space="preserve">23-25 Eastcastle Street </t>
  </si>
  <si>
    <t xml:space="preserve">2md &amp; 3rd floor West</t>
  </si>
  <si>
    <t xml:space="preserve">65 Margaret Street </t>
  </si>
  <si>
    <t xml:space="preserve">2nd Floor  </t>
  </si>
  <si>
    <t xml:space="preserve">1st viewing and liked it but wants to be in for July -awaiting confirmation A/C can be added and rads removed in time.</t>
  </si>
  <si>
    <t xml:space="preserve">Good size but not as keen on building as common parts looking dated and unit not as nice as 65 MS.</t>
  </si>
  <si>
    <t xml:space="preserve">2nd &amp; 3rd Floors</t>
  </si>
  <si>
    <t xml:space="preserve">Windsor House</t>
  </si>
  <si>
    <t xml:space="preserve">Ground Floor &amp; Basement</t>
  </si>
  <si>
    <t xml:space="preserve">Focaccia Mia</t>
  </si>
  <si>
    <t xml:space="preserve">1st inspection. Have not received feedback from our agent</t>
  </si>
  <si>
    <t xml:space="preserve">Amma &amp; Atta</t>
  </si>
  <si>
    <t xml:space="preserve">£120,000&gt;£135,000 pa 10 year lease, 12 months R/F</t>
  </si>
  <si>
    <t xml:space="preserve">meeting on site to discuss their brand offering and financials </t>
  </si>
  <si>
    <t xml:space="preserve">Crypto business </t>
  </si>
  <si>
    <t xml:space="preserve">Making Moves</t>
  </si>
  <si>
    <t xml:space="preserve">Interested in a a furnished deal. All in budget of £1.2m (£150 psf). In discussions. </t>
  </si>
  <si>
    <t xml:space="preserve">Sushi Dog</t>
  </si>
  <si>
    <t xml:space="preserve">£87,500 pa / 10 yr lease /9 months R/F</t>
  </si>
  <si>
    <t xml:space="preserve">in discussion. However, I have asked KLM to provide their marketing thoughts for this site.</t>
  </si>
  <si>
    <t xml:space="preserve">F &amp; B</t>
  </si>
  <si>
    <t xml:space="preserve">1st inspection. </t>
  </si>
  <si>
    <t xml:space="preserve">65 Margaret Street</t>
  </si>
  <si>
    <t xml:space="preserve">2nd floor</t>
  </si>
  <si>
    <t xml:space="preserve">1st inspection. Too small.</t>
  </si>
  <si>
    <t xml:space="preserve">2nd &amp; 3rd floors East</t>
  </si>
  <si>
    <t xml:space="preserve">1st inspection. Liked both units.</t>
  </si>
  <si>
    <t xml:space="preserve">Windsor House, 40-41 Great Castle Street</t>
  </si>
  <si>
    <t xml:space="preserve">1st inspection, awaiting further feedback</t>
  </si>
  <si>
    <t xml:space="preserve">51/53 Margaret Street</t>
  </si>
  <si>
    <t xml:space="preserve">Several suites</t>
  </si>
  <si>
    <t xml:space="preserve">1st inspection. Liked the 1st &amp; 2nd floors.</t>
  </si>
  <si>
    <t xml:space="preserve">Wants to take the 3rd floor. Terms are being prepared for their considertion. This will be for their accounts dept.</t>
  </si>
  <si>
    <t xml:space="preserve">Italian Concept</t>
  </si>
  <si>
    <t xml:space="preserve">Inspection with agent (Salter Rex) and client. Not suitable.</t>
  </si>
  <si>
    <t xml:space="preserve">Bakery offering</t>
  </si>
  <si>
    <t xml:space="preserve">1st inspection with their UK representatives. They are reporting to their client who joined via a zoom call inspection . Awaiting to get their response.</t>
  </si>
  <si>
    <t xml:space="preserve">63-64 Margaret Street</t>
  </si>
  <si>
    <t xml:space="preserve">2nd, 3rd &amp; 4th Floor (East)</t>
  </si>
  <si>
    <t xml:space="preserve">Timmy Chan (Aesthetics)</t>
  </si>
  <si>
    <t xml:space="preserve">1st inspection, positive feedback but 1st viewing so exploring the market</t>
  </si>
  <si>
    <t xml:space="preserve">DY/SB</t>
  </si>
  <si>
    <t xml:space="preserve">Encore Search</t>
  </si>
  <si>
    <t xml:space="preserve">Co-terminus with existing lease</t>
  </si>
  <si>
    <t xml:space="preserve">Additional space for existing tenants, awaiting decision from board</t>
  </si>
  <si>
    <t xml:space="preserve">Taste of Lahore </t>
  </si>
  <si>
    <t xml:space="preserve">1st Viewing, positive feedback but feel the ground floor may be too small, discussing internally</t>
  </si>
  <si>
    <t xml:space="preserve">Ground Floor </t>
  </si>
  <si>
    <t xml:space="preserve">Lege Artis Ltd</t>
  </si>
  <si>
    <t xml:space="preserve">Hanway Commercial</t>
  </si>
  <si>
    <t xml:space="preserve">15 years with t/b yr 10</t>
  </si>
  <si>
    <t xml:space="preserve">3rd Viewing (fitout inspection), initial offer too low, awaiting their improved bid.</t>
  </si>
  <si>
    <t xml:space="preserve">Sanderson Weatherall</t>
  </si>
  <si>
    <t xml:space="preserve">1st viewing, awaiting further feedback </t>
  </si>
  <si>
    <t xml:space="preserve">Hefty Films</t>
  </si>
  <si>
    <t xml:space="preserve">2nd viewing, awaiting further instruction </t>
  </si>
  <si>
    <t xml:space="preserve">3rd Floor </t>
  </si>
  <si>
    <t xml:space="preserve">Lemon Pepper </t>
  </si>
  <si>
    <t xml:space="preserve">2nd viewing, awaiting further feedback </t>
  </si>
  <si>
    <t xml:space="preserve">1st, 3rd, 4th &amp; 5th Floors</t>
  </si>
  <si>
    <t xml:space="preserve">2nd Floor (East)</t>
  </si>
  <si>
    <t xml:space="preserve">Fitzrovia IT</t>
  </si>
  <si>
    <t xml:space="preserve">7 yrs with t/b 5th yr</t>
  </si>
  <si>
    <t xml:space="preserve">Fitout inspection</t>
  </si>
  <si>
    <t xml:space="preserve">Welbeck House, 66-67 Wells Street</t>
  </si>
  <si>
    <t xml:space="preserve">Ground, Bse &amp; Mezz</t>
  </si>
  <si>
    <t xml:space="preserve">76 Harley Street (Denist)</t>
  </si>
  <si>
    <t xml:space="preserve">1st inspection, space requires too much work to be considered</t>
  </si>
  <si>
    <t xml:space="preserve">1st inspection, client likes space and says it works well for use</t>
  </si>
  <si>
    <t xml:space="preserve">Wiindsor House, 40-41 Great Castle Street</t>
  </si>
  <si>
    <t xml:space="preserve">NYD </t>
  </si>
  <si>
    <t xml:space="preserve">1st inspection, liked space but needs to discuss internally</t>
  </si>
  <si>
    <t xml:space="preserve">1st Inspection, awaiting feedback</t>
  </si>
  <si>
    <t xml:space="preserve">Ground &amp; Basment</t>
  </si>
  <si>
    <t xml:space="preserve">Luigia</t>
  </si>
  <si>
    <t xml:space="preserve">One Voice</t>
  </si>
  <si>
    <t xml:space="preserve">1st Inspection, would like to see plans for extraction/ventilation but  no other feedback given.</t>
  </si>
  <si>
    <t xml:space="preserve">2nd Inpsection. Follow up meeting with their board directors. Aawaiting reveised offer.</t>
  </si>
  <si>
    <t xml:space="preserve">MC</t>
  </si>
  <si>
    <t xml:space="preserve">Highlight House</t>
  </si>
  <si>
    <t xml:space="preserve">Upper floors</t>
  </si>
  <si>
    <t xml:space="preserve">£400,000 15 year lease</t>
  </si>
  <si>
    <t xml:space="preserve">Pre app meeting with Westminster planning officer . Hotel use will be consider only if we can show that we have marketed the floors for 12 months. This may delay matters by 10 months.</t>
  </si>
  <si>
    <t xml:space="preserve">Michael Ritschel</t>
  </si>
  <si>
    <t xml:space="preserve">Hubble</t>
  </si>
  <si>
    <t xml:space="preserve">1st Inspection, liked 2nd floor and asked for details. Will get back to us after viewing all properties.</t>
  </si>
  <si>
    <t xml:space="preserve">New Era Cap Co</t>
  </si>
  <si>
    <t xml:space="preserve">Terms Agreed</t>
  </si>
  <si>
    <t xml:space="preserve">See deal section. Inspection by design team</t>
  </si>
  <si>
    <t xml:space="preserve">1st &amp; 2nd Floors</t>
  </si>
  <si>
    <t xml:space="preserve">Inspection with board directors. Very keen on the space but nervous about the quality of the landlords Cat A works. We should here early next week if it’s an opportunity that they can move forward with.</t>
  </si>
  <si>
    <t xml:space="preserve">23-25 Eastcastlle Street</t>
  </si>
  <si>
    <t xml:space="preserve">Lawyers</t>
  </si>
  <si>
    <t xml:space="preserve">1st inspection. Looking at many other opportunities in the area. Seemed to like the space and our in the area. Agent would not say who they were.</t>
  </si>
  <si>
    <t xml:space="preserve">19 Margaret Street</t>
  </si>
  <si>
    <t xml:space="preserve">1st &amp; 5th Floor</t>
  </si>
  <si>
    <t xml:space="preserve">42 Great Portland Street</t>
  </si>
  <si>
    <t xml:space="preserve">2-4th Floors</t>
  </si>
  <si>
    <t xml:space="preserve">Lewis Ellis</t>
  </si>
  <si>
    <t xml:space="preserve">2nd Inspection, narrowing their favourites down</t>
  </si>
  <si>
    <t xml:space="preserve">Radiant House</t>
  </si>
  <si>
    <t xml:space="preserve">Natlino</t>
  </si>
  <si>
    <t xml:space="preserve">Unknown/Professional</t>
  </si>
  <si>
    <t xml:space="preserve">Professional services firm looking for a single floor around St James's, Soho and Covent Garden of 7-9,500 sq ft. Stay v go situation. </t>
  </si>
  <si>
    <t xml:space="preserve">New Era Cap</t>
  </si>
  <si>
    <t xml:space="preserve">Discounted - UO elsewhere </t>
  </si>
  <si>
    <t xml:space="preserve">Duo lingo</t>
  </si>
  <si>
    <t xml:space="preserve">Alee Smalley - Savills</t>
  </si>
  <si>
    <t xml:space="preserve">Discounted - gone to managed space</t>
  </si>
  <si>
    <t xml:space="preserve">5th floor</t>
  </si>
  <si>
    <t xml:space="preserve">Revolution</t>
  </si>
  <si>
    <t xml:space="preserve">Freddie Worth/Vail Williams</t>
  </si>
  <si>
    <t xml:space="preserve">2 x Viewings, Currently in the Forge, Landsec space, Waiting on feedback from agent</t>
  </si>
  <si>
    <t xml:space="preserve">6th floor</t>
  </si>
  <si>
    <t xml:space="preserve">Undisclosed</t>
  </si>
  <si>
    <t xml:space="preserve">Johnny Bray</t>
  </si>
  <si>
    <t xml:space="preserve">Positive viewing although likely to be too small as they want to accommodate 50 staff</t>
  </si>
  <si>
    <t xml:space="preserve">7th floor</t>
  </si>
  <si>
    <t xml:space="preserve">Beth Wem/Kontor</t>
  </si>
  <si>
    <t xml:space="preserve">The building is not of high enough spec. Looking at Cat A space, as they have an architect onboarded to work with</t>
  </si>
  <si>
    <t xml:space="preserve">8th floor</t>
  </si>
  <si>
    <t xml:space="preserve">Archie Keogh - DWD</t>
  </si>
  <si>
    <t xml:space="preserve">Looking for 4-5k close to transport links - 
Trying to encourage an inspection</t>
  </si>
  <si>
    <t xml:space="preserve">9th floor</t>
  </si>
  <si>
    <t xml:space="preserve">Emma Bruce - KF</t>
  </si>
  <si>
    <t xml:space="preserve">4-5k West End general - have shortlisted on
 Kato to view</t>
  </si>
  <si>
    <t xml:space="preserve">10th floor</t>
  </si>
  <si>
    <t xml:space="preserve">Stuart Fricker - SW</t>
  </si>
  <si>
    <t xml:space="preserve">4-6k media co not fitted</t>
  </si>
  <si>
    <t xml:space="preserve">11th floor</t>
  </si>
  <si>
    <t xml:space="preserve">Jack McGinley - Scale</t>
  </si>
  <si>
    <t xml:space="preserve">3-5k Must be fitted. Encouraging a viewing</t>
  </si>
  <si>
    <t xml:space="preserve">Appley Properties Ltd</t>
  </si>
  <si>
    <t xml:space="preserve">Looking to move before the end of the year.  Undertaking initial round of viewings</t>
  </si>
  <si>
    <t xml:space="preserve">4th / 5th Floor</t>
  </si>
  <si>
    <t xml:space="preserve">4th Floor East</t>
  </si>
  <si>
    <t xml:space="preserve">4th Floor </t>
  </si>
  <si>
    <t xml:space="preserve">2nd, 3rd &amp; 4th Floors</t>
  </si>
  <si>
    <t xml:space="preserve">3rd Inspection. Wanted to show another colleague and have asked for a lot of details regarding fit out specifications.</t>
  </si>
  <si>
    <t xml:space="preserve">50 Great Portland Street</t>
  </si>
  <si>
    <t xml:space="preserve">Kanjo</t>
  </si>
  <si>
    <t xml:space="preserve">1st Inspection. Liked this unit but the works won't be completed in time. </t>
  </si>
  <si>
    <t xml:space="preserve">3rd Floor West</t>
  </si>
  <si>
    <t xml:space="preserve">3rd &amp; 5th Floor</t>
  </si>
  <si>
    <t xml:space="preserve">Nilam Holmes</t>
  </si>
  <si>
    <t xml:space="preserve">3rd Inspection. Wanted to see 5th floor and compare to 3rd Floor. Will get back to us.</t>
  </si>
  <si>
    <t xml:space="preserve">Andy</t>
  </si>
  <si>
    <t xml:space="preserve">Workplace+</t>
  </si>
  <si>
    <t xml:space="preserve">1st Inspection, liked the unit but believes it may be too small. Will liase with  Workplace+ to get them to see bigger units.</t>
  </si>
  <si>
    <t xml:space="preserve">1-3rd Floor</t>
  </si>
  <si>
    <t xml:space="preserve">DMR Film</t>
  </si>
  <si>
    <t xml:space="preserve">1st Inspection, interested in a short term let only.</t>
  </si>
  <si>
    <t xml:space="preserve">51 Great Portland Street </t>
  </si>
  <si>
    <t xml:space="preserve">Tommy Graham / Art Gallery </t>
  </si>
  <si>
    <t xml:space="preserve">HOTs agreed - waiting for Langham to send out draft lease</t>
  </si>
  <si>
    <t xml:space="preserve">63/64 Margaret Street </t>
  </si>
  <si>
    <t xml:space="preserve">4th Floor (East)</t>
  </si>
  <si>
    <t xml:space="preserve">Mukil Menon / Logistic Centre</t>
  </si>
  <si>
    <t xml:space="preserve">They liked the space however after consideration they would prefer a ground floor presence </t>
  </si>
  <si>
    <t xml:space="preserve">Andrea Puccio / Art Gallery</t>
  </si>
  <si>
    <t xml:space="preserve">Unit was too small and would prefer a lift if upper floors</t>
  </si>
  <si>
    <t xml:space="preserve">51-53 Margaret Street </t>
  </si>
  <si>
    <t xml:space="preserve">4th Floor (West)</t>
  </si>
  <si>
    <t xml:space="preserve">Craig Whitehead / Contractors </t>
  </si>
  <si>
    <t xml:space="preserve">Unit was out of price range and prefered another option viewed</t>
  </si>
  <si>
    <t xml:space="preserve">15-16 Margaret Street </t>
  </si>
  <si>
    <t xml:space="preserve">Whole </t>
  </si>
  <si>
    <t xml:space="preserve">Film Post Production Co</t>
  </si>
  <si>
    <t xml:space="preserve">Floor arrangement floor by floor was not feasible following further review, focus is now on self contained space</t>
  </si>
  <si>
    <t xml:space="preserve">21 Little Portland Street </t>
  </si>
  <si>
    <t xml:space="preserve">1st Floor </t>
  </si>
  <si>
    <t xml:space="preserve">Azime Hunt </t>
  </si>
  <si>
    <t xml:space="preserve">Agent representing a number of turkish clinics. Unit was disregarded due their prefernce of Mayfair of Fitzrovia</t>
  </si>
  <si>
    <t xml:space="preserve">4th &amp; 5th Floor</t>
  </si>
  <si>
    <t xml:space="preserve">Scott Free - Film production Co</t>
  </si>
  <si>
    <t xml:space="preserve">Inspected both floors, suggesting the location and configuration works well. Decision makers are currently away on AL. MM due to catchup next week on their return</t>
  </si>
  <si>
    <t xml:space="preserve">15-16 MS &amp; 21 LPS</t>
  </si>
  <si>
    <t xml:space="preserve">3rd</t>
  </si>
  <si>
    <t xml:space="preserve">Golf Traveller</t>
  </si>
  <si>
    <t xml:space="preserve">Ideally they want a managed space but they are lookign at tradtional and liek the look of 15-16 MS (3rd)</t>
  </si>
  <si>
    <t xml:space="preserve">1st at LPS &amp; 3rd at 15-16</t>
  </si>
  <si>
    <t xml:space="preserve">Pictorum</t>
  </si>
  <si>
    <t xml:space="preserve">Small family office (advisory in art &amp; Private Investment). They like the look of 21 LPS &amp; 3rd Floor 15-16 MS. chased for viewing times. </t>
  </si>
  <si>
    <t xml:space="preserve">Levi RE - EV Charging Co</t>
  </si>
  <si>
    <t xml:space="preserve">Details being considered by the agents client - they're looking for a 1 year break date. Viewings expected next week</t>
  </si>
  <si>
    <t xml:space="preserve">All</t>
  </si>
  <si>
    <t xml:space="preserve">Auriga</t>
  </si>
  <si>
    <t xml:space="preserve">Tech co. looking for new office space. No floor of particular ibetrest but hopefully out vieiwng all available next week.</t>
  </si>
  <si>
    <t xml:space="preserve">4th or 5th </t>
  </si>
  <si>
    <t xml:space="preserve">https://eckuity.com/about-us/</t>
  </si>
  <si>
    <t xml:space="preserve">Eckuity Capital is a proactive investor in healthcare, and they work with their portfolio companies to create value across multiple aspects of company growth. They have enquired into 15-16 Margaret Street and I hope to view with them next week. </t>
  </si>
  <si>
    <t xml:space="preserve">63-64 Margaret Street </t>
  </si>
  <si>
    <t xml:space="preserve">Production Co</t>
  </si>
  <si>
    <t xml:space="preserve">Looking for circa 800-1000 Sq. Ft in Fitzrovia. Currently building a shortlist of options to potentially view in September once thier directors have returned from overseas. </t>
  </si>
  <si>
    <t xml:space="preserve">Unknown
Professional</t>
  </si>
  <si>
    <t xml:space="preserve">Currently based on Lower Regent St and want to ideally stay near Piccadilly. Search seems to be very slow moving at the moment.
Professional services firm looking for a single floor around St James's, Soho and Covent Garden of 7-9,500 sq ft. Stay v go situation. Will also consider short term options. </t>
  </si>
  <si>
    <t xml:space="preserve">https://www.wb19.co.uk/</t>
  </si>
  <si>
    <r>
      <rPr>
        <sz val="12"/>
        <color theme="4" tint="-0.5"/>
        <rFont val="Ariel"/>
        <family val="0"/>
        <charset val="1"/>
      </rPr>
      <t xml:space="preserve">Letting and property management company looking for c. 1,000 – 1,500 sqft. JC is speaking with them, they like the 1</t>
    </r>
    <r>
      <rPr>
        <vertAlign val="superscript"/>
        <sz val="12"/>
        <color theme="4" tint="-0.5"/>
        <rFont val="Ariel"/>
        <family val="0"/>
        <charset val="1"/>
      </rPr>
      <t xml:space="preserve">st</t>
    </r>
    <r>
      <rPr>
        <sz val="12"/>
        <color theme="4" tint="-0.5"/>
        <rFont val="Ariel"/>
        <family val="0"/>
        <charset val="1"/>
      </rPr>
      <t xml:space="preserve"> floor space. Looking to book them in next week.</t>
    </r>
  </si>
  <si>
    <t xml:space="preserve">https://screenscene.ie/</t>
  </si>
  <si>
    <t xml:space="preserve">Scene ‘Irelands leading post production company’. Viewed with JC, looking for a London office space. They would need to install another meeting room but feedback was positive. JC has also sent info on the other two options Will mentioned. They are reviewing these.</t>
  </si>
  <si>
    <t xml:space="preserve">https://app.termgrid.com/</t>
  </si>
  <si>
    <t xml:space="preserve">2nd Viewing with an agent led requirement. The look and feel of the space is a great attraction for them and the meeting room is a bonus. The layout however of the space is proving to be fairly awakard to accomodate the desk space required. </t>
  </si>
  <si>
    <t xml:space="preserve">Financial Tech</t>
  </si>
  <si>
    <t xml:space="preserve">Tech investment bank Looking for 600-1000 sq ft in Fitzrovia with a meeting room. Both 3rd, 4th and 5th floors are being considered for viewings</t>
  </si>
  <si>
    <t xml:space="preserve">1st Inspection, awaiting feedback.</t>
  </si>
  <si>
    <t xml:space="preserve">53 Eastcastle Street</t>
  </si>
  <si>
    <t xml:space="preserve">Ground &amp; Basement</t>
  </si>
  <si>
    <t xml:space="preserve">Italian Restuarant</t>
  </si>
  <si>
    <t xml:space="preserve">23-25 Eastcastle Steet</t>
  </si>
  <si>
    <t xml:space="preserve">Public Pictures</t>
  </si>
  <si>
    <t xml:space="preserve">1st Inspection, but loved all the light and the unit -said it was the best they had seen to date but they would want glass in windows replaced.</t>
  </si>
  <si>
    <t xml:space="preserve">1st Inspection,  Liked unit but didn't like that it didn't have a meeting room</t>
  </si>
  <si>
    <t xml:space="preserve">Ascot Lloyds</t>
  </si>
  <si>
    <t xml:space="preserve">Carter Jonas</t>
  </si>
  <si>
    <t xml:space="preserve">1st Inspection, meeting rooms not in line with their current branding but think they could make it work.</t>
  </si>
  <si>
    <t xml:space="preserve">1st Inspection, Liked the unit but work might not be done in time.</t>
  </si>
  <si>
    <t xml:space="preserve">Liked the space but couldn't get the requested info in time so decided to proceed on something else</t>
  </si>
  <si>
    <t xml:space="preserve">Technology</t>
  </si>
  <si>
    <t xml:space="preserve">Tech co. Preferred 19-21 GPS but they don't need to give notice until August so won't be moving until next year. They were basically on a fact finding tour looking at trad, managed and serviced.</t>
  </si>
  <si>
    <t xml:space="preserve">Lemon Pepper Holdings / Restaurants</t>
  </si>
  <si>
    <t xml:space="preserve">UO on a self-contained building of 5,500 sq.ft. with window frontage. Too Small</t>
  </si>
  <si>
    <t xml:space="preserve">UO on a self-contained building of 5,500 sq.ft. with window frontage. Too corporated and preferred something more industrial and fitted with audio suites.</t>
  </si>
  <si>
    <t xml:space="preserve">The Production Lens / Film &amp; Media</t>
  </si>
  <si>
    <t xml:space="preserve">Liked the space but made an unrealistic offer for a 12 month term</t>
  </si>
  <si>
    <t xml:space="preserve">Creative &amp; Media</t>
  </si>
  <si>
    <t xml:space="preserve">Second Viewd. Whilst they liked the space, the focus is on smaller premises due to day-to-day use of the premises.</t>
  </si>
  <si>
    <t xml:space="preserve">Aries Global / Software Company</t>
  </si>
  <si>
    <t xml:space="preserve">Did not feel the quality met their requirements.</t>
  </si>
  <si>
    <t xml:space="preserve">Originally liked how bright the space was and was confident they could fit 20-22 people in the space. Asked about a managed solution which we're providing quotes for. Agent has subsequently not been able to follow up with his client.</t>
  </si>
  <si>
    <t xml:space="preserve">Banking &amp; Finance</t>
  </si>
  <si>
    <t xml:space="preserve">Layout doesn't work for them, they have clients coming in often and don't want them to walk past the whole team to get to meeting rooms. They also felt the main working space was too tight for them</t>
  </si>
  <si>
    <t xml:space="preserve">Visit seemed positive, preferred layout of the 3rd floor but decision maker is away for summer. Considering and will revert once the director is back in September. Second Viewing booked in</t>
  </si>
  <si>
    <t xml:space="preserve">Undisclosed Prop Co.</t>
  </si>
  <si>
    <t xml:space="preserve">Felt the quality of the fit-out did not meet their aspirations and were not fans of the suspended ceiling. Was complimentary of the level of natural light, even on a grey day.</t>
  </si>
  <si>
    <t xml:space="preserve">Nonamebargames</t>
  </si>
  <si>
    <t xml:space="preserve">OneVoice</t>
  </si>
  <si>
    <t xml:space="preserve">1st Inpection. Will look at plans but believes it may be too small as ideally looking for 10,000sqft on one floor.</t>
  </si>
  <si>
    <t xml:space="preserve">Consultancy Firm</t>
  </si>
  <si>
    <t xml:space="preserve">Neutral viewing. Currently has 3,000 - 3,500 sq.ft. and isn't looking to downsize but they  don't seem to have the budget for larger so they are focussing on the third floor. I have sent them 47-50 Margaret Street too to also consider. Will want unfurnished</t>
  </si>
  <si>
    <t xml:space="preserve">4-5k. Cat A or Fully Fitted. Occupation Q4 2025. Viewing 28/08. Positive feedback - need 3 x private offices.</t>
  </si>
  <si>
    <t xml:space="preserve">Ascot Lloyd</t>
  </si>
  <si>
    <t xml:space="preserve">2nd Inspection. Brought space planners with them so  hopeful they will proceed.</t>
  </si>
  <si>
    <t xml:space="preserve">51 Margaret Street</t>
  </si>
  <si>
    <t xml:space="preserve">2nd Floor </t>
  </si>
  <si>
    <t xml:space="preserve">David Wej / Menswear</t>
  </si>
  <si>
    <t xml:space="preserve">1st Inspection. Liked size but needs to be on ground or first floor to due deliveries of clothing.</t>
  </si>
  <si>
    <t xml:space="preserve">1st Inspection. Liked unit and have sent him details along with some other cheaper options.</t>
  </si>
  <si>
    <t xml:space="preserve">55 Eastcastle Street</t>
  </si>
  <si>
    <t xml:space="preserve">Ayodele Ayeni / Dentist</t>
  </si>
  <si>
    <t xml:space="preserve">1st Inspection. Size would work but preferred location of 9 Little Portland Street -which they were going to view later and will get back to me</t>
  </si>
  <si>
    <t xml:space="preserve">9 Little Portland Street</t>
  </si>
  <si>
    <t xml:space="preserve">David Wej</t>
  </si>
  <si>
    <t xml:space="preserve">2nd Inspection, likes unit but doesn't have to move until January so will wait if any ground floor units become available. </t>
  </si>
  <si>
    <t xml:space="preserve">6-10 Great Portland Street</t>
  </si>
  <si>
    <t xml:space="preserve">Dmitri Savchenko</t>
  </si>
  <si>
    <t xml:space="preserve">1st Inspection. </t>
  </si>
  <si>
    <t xml:space="preserve">3 year term, wants rolling break on anniversary of the lease</t>
  </si>
  <si>
    <t xml:space="preserve">2nd Inspection, likes the unit but wants windows replaced and rolling break clause as they are new. </t>
  </si>
  <si>
    <t xml:space="preserve">1st Inspection. Awaiting agent feedback</t>
  </si>
  <si>
    <t xml:space="preserve">1st to 5th Floors</t>
  </si>
  <si>
    <t xml:space="preserve">Day One Strategy</t>
  </si>
  <si>
    <t xml:space="preserve">1st &amp; 5th Floors</t>
  </si>
  <si>
    <t xml:space="preserve">2nd Inspection. Awaiting agent feedback</t>
  </si>
  <si>
    <t xml:space="preserve">51-53 Eastcastle Street</t>
  </si>
  <si>
    <t xml:space="preserve">L'Osteria</t>
  </si>
  <si>
    <t xml:space="preserve">1st Inspection. Director of the company was also one of the founding directors of Vapiano. Looking at several other sites.</t>
  </si>
  <si>
    <t xml:space="preserve">Nyo </t>
  </si>
  <si>
    <t xml:space="preserve">Tally</t>
  </si>
  <si>
    <t xml:space="preserve">2nd Inspection. Narrowing it down and awaiting feedback from agent.</t>
  </si>
  <si>
    <t xml:space="preserve">Toby Ross</t>
  </si>
  <si>
    <t xml:space="preserve">1st Inspection. Will have a chat with partner and get back to us.</t>
  </si>
  <si>
    <t xml:space="preserve">2nd-4th floors</t>
  </si>
  <si>
    <t xml:space="preserve">Pretty Little Thing/Debenhams </t>
  </si>
  <si>
    <t xml:space="preserve">James Hardwicke</t>
  </si>
  <si>
    <t xml:space="preserve">1st inspection and looking at several option on the estate. Seeking circa 3000-4000 sq ft </t>
  </si>
  <si>
    <t xml:space="preserve">2nd West Floors</t>
  </si>
  <si>
    <t xml:space="preserve">1st, 3rd &amp; 4thfloors</t>
  </si>
  <si>
    <t xml:space="preserve">Moray House</t>
  </si>
  <si>
    <t xml:space="preserve">part 1st floor</t>
  </si>
  <si>
    <t xml:space="preserve">1st inspection and looking at several option on the estate. Seeking circa 3000-4000 sq ft. This is the floor that is of most interest</t>
  </si>
  <si>
    <t xml:space="preserve">Tempo Performance</t>
  </si>
  <si>
    <t xml:space="preserve">1st Inspection. Keen but will chat with partner and get back to us.</t>
  </si>
  <si>
    <t xml:space="preserve">Hosiptality Management Company</t>
  </si>
  <si>
    <t xml:space="preserve">Matta.London</t>
  </si>
  <si>
    <t xml:space="preserve">1st inspection. Liked all the properties shown and has asked for additional information. (Sent)</t>
  </si>
  <si>
    <t xml:space="preserve">2nd inspection. Plans requested showing how we could connect the 2 suites to create 4,000 sq ft suite</t>
  </si>
  <si>
    <t xml:space="preserve">1st floor West</t>
  </si>
  <si>
    <t xml:space="preserve">Oreno Ramen Limited</t>
  </si>
  <si>
    <t xml:space="preserve">Interested in the suite. Reviewing the figures.</t>
  </si>
  <si>
    <t xml:space="preserve">1st rear</t>
  </si>
  <si>
    <t xml:space="preserve">Terms Agreed </t>
  </si>
  <si>
    <t xml:space="preserve">See letting progress section</t>
  </si>
  <si>
    <t xml:space="preserve">1 Rebal</t>
  </si>
  <si>
    <t xml:space="preserve">£375,000 pa/ 15 year lease</t>
  </si>
  <si>
    <t xml:space="preserve">Design team inspection. Outline terms agreed subject to agreement of rent free. Should be confirmed next week.</t>
  </si>
  <si>
    <t xml:space="preserve">Not high enough standard for them. Also mentioned they felt the layout of 47-50 Margaret Street was restricted. </t>
  </si>
  <si>
    <t xml:space="preserve">4-5k. Cat A or Fully Fitted. Occupation Q4 2025. Went on 2nd viewing tour of c.3,000 sq ft. Reviewing options.</t>
  </si>
  <si>
    <t xml:space="preserve">19-21 Great Portland Street </t>
  </si>
  <si>
    <t xml:space="preserve">Viewed both floors -felt both were not  high enough standard for them.</t>
  </si>
  <si>
    <t xml:space="preserve">Discussions ongoing on acquiring 3rd floor. Agent has reported that they are still trying to assign their lease on Wigmore St before acquiring additional space </t>
  </si>
  <si>
    <t xml:space="preserve">GF &amp; B</t>
  </si>
  <si>
    <t xml:space="preserve">Scape Goat Gallery</t>
  </si>
  <si>
    <t xml:space="preserve">Viewed 04.09. South African gallery looking to open first London premises. Positive viewing. Floorplans with them to review. Expecting offer</t>
  </si>
  <si>
    <t xml:space="preserve">Medical Co.</t>
  </si>
  <si>
    <t xml:space="preserve">Second viewing, the decision maker preferred the second-floor office but is mulling over options. They understand there is an offer on the second floor and will choose the third floor as well. </t>
  </si>
  <si>
    <t xml:space="preserve">Interested in the third floor. Would want some adaptions to the fit-out. I have suggested they make an offer on this basis.</t>
  </si>
  <si>
    <t xml:space="preserve">General</t>
  </si>
  <si>
    <t xml:space="preserve">N.A</t>
  </si>
  <si>
    <t xml:space="preserve">Face Gym</t>
  </si>
  <si>
    <t xml:space="preserve">Space</t>
  </si>
  <si>
    <t xml:space="preserve">Requirement for c.800 - 1,200 sq.ft Current preference for Marylebone over Fitzrovia but have talked them through estate strategy and vision. Agent walked them around Fitzrovia 12.09 and will come back with feedback. </t>
  </si>
  <si>
    <t xml:space="preserve">Beyond</t>
  </si>
  <si>
    <t xml:space="preserve">Viewing 15.09. New pilates concept</t>
  </si>
  <si>
    <t xml:space="preserve">Tech Company</t>
  </si>
  <si>
    <t xml:space="preserve">1st inspection with their retained agent Noble Harris. Proposed party had already seen 14 other properties had another 7 properties to see the next day. Awaiting feedack.</t>
  </si>
  <si>
    <t xml:space="preserve">19/21 Great Portland Street</t>
  </si>
  <si>
    <t xml:space="preserve">NK</t>
  </si>
  <si>
    <t xml:space="preserve">1st inspection and waiting for feedback from our agent</t>
  </si>
  <si>
    <t xml:space="preserve">2nd floor W</t>
  </si>
  <si>
    <t xml:space="preserve">Medical Company</t>
  </si>
  <si>
    <t xml:space="preserve">1st inspection. Very interested and has been short listed</t>
  </si>
  <si>
    <t xml:space="preserve">51-53 Margareet Street</t>
  </si>
  <si>
    <t xml:space="preserve">Cameron Ameri -Art Gallery</t>
  </si>
  <si>
    <t xml:space="preserve">1st Inspection. Looking to relocate his gallery to West End. Liked unit but would need kitchenette and strip lighting removed and replaced with spot lights.</t>
  </si>
  <si>
    <t xml:space="preserve">1st Inspection. Liked this space a lot, but the unit needs a lot of work and is bigger/costlier than 51-53 MS.</t>
  </si>
  <si>
    <t xml:space="preserve">Inspection by design team</t>
  </si>
  <si>
    <t xml:space="preserve">entire 1st floor</t>
  </si>
  <si>
    <t xml:space="preserve">1st inspection. Awaiting feedback from our agent</t>
  </si>
  <si>
    <t xml:space="preserve">all vacant units</t>
  </si>
  <si>
    <t xml:space="preserve">Runway East</t>
  </si>
  <si>
    <t xml:space="preserve">Wanted to inspect to see the floors post strip out works. They are interested and are now considering a deal without landlord capex</t>
  </si>
  <si>
    <t xml:space="preserve">Ground &amp; basement</t>
  </si>
  <si>
    <t xml:space="preserve">Jenki</t>
  </si>
  <si>
    <t xml:space="preserve">1st inspection. Awaiting feedback from our agent.</t>
  </si>
  <si>
    <t xml:space="preserve">Gate VR - Virtual Reality/Gaming Co.</t>
  </si>
  <si>
    <t xml:space="preserve">1st Inspection. Waiting to hear feedback from agent.</t>
  </si>
  <si>
    <t xml:space="preserve">Winkworths Commercial Property</t>
  </si>
  <si>
    <t xml:space="preserve">1st Inspection. Wasn't happy with fhe looring, wooden doors &amp; older kitchenette. Thinks common areas could do with some improvement.</t>
  </si>
  <si>
    <t xml:space="preserve">1st Inspection. Liked this unit a lot and can see potential but has no kitchenette. Thinks common areas need improvement.</t>
  </si>
  <si>
    <t xml:space="preserve">1st Inspection. Liked the unit, thought the common parts were terrible and couldn't bring clients to. </t>
  </si>
  <si>
    <t xml:space="preserve">Horatio </t>
  </si>
  <si>
    <t xml:space="preserve">1st Inspection. Liked the unit but only need the unit for a few months and will see if it works.</t>
  </si>
  <si>
    <t xml:space="preserve">32 Great Portland Street</t>
  </si>
  <si>
    <t xml:space="preserve">Sequoia Investment Management</t>
  </si>
  <si>
    <t xml:space="preserve">Viewed and the on floor feedback was positive but the building has been discounted as they are now solely focusing on options with manned receptions. </t>
  </si>
  <si>
    <t xml:space="preserve">3rd &amp; 4th Floor</t>
  </si>
  <si>
    <t xml:space="preserve">Undisclosed
Service industry</t>
  </si>
  <si>
    <t xml:space="preserve">Viewed 32 GPS along with multiple options and have been out viewing since and they have another tour lined up. We have not been formally discounted. Monitor for feedback. Their lease ends in March but they want to find something by Christmas.</t>
  </si>
  <si>
    <t xml:space="preserve">Peratera /Tech</t>
  </si>
  <si>
    <t xml:space="preserve">LEM </t>
  </si>
  <si>
    <t xml:space="preserve">1st Inspection. Didn't like 2nd floor due to condensers at the back and didn't like 3rd or 4th floor as no meeting room.</t>
  </si>
  <si>
    <t xml:space="preserve">Peratera /Tech </t>
  </si>
  <si>
    <t xml:space="preserve">Requested rolling break after first year.</t>
  </si>
  <si>
    <t xml:space="preserve">2nd Inspection. Liked unit and thought it was a good size but wanted to know how much of a reduction we were prepared to give and cannot commit to longer than one year.</t>
  </si>
  <si>
    <t xml:space="preserve">1st inspection and we are waiting our agents feedback.</t>
  </si>
  <si>
    <t xml:space="preserve">Face Gtm</t>
  </si>
  <si>
    <t xml:space="preserve">1st inspection. They want to arrange another inspection (to be confirmed)</t>
  </si>
  <si>
    <t xml:space="preserve">1st - 3rd floors</t>
  </si>
  <si>
    <t xml:space="preserve">Design Agency</t>
  </si>
  <si>
    <t xml:space="preserve">1st inspection with their retained agent Kinney &amp; Green. Property configuration not right for them.</t>
  </si>
  <si>
    <t xml:space="preserve">Horatio</t>
  </si>
  <si>
    <t xml:space="preserve">Openning offer submitted. Negs ongoing.</t>
  </si>
  <si>
    <t xml:space="preserve">1st inspection. Preferance is for Great Portland Street.</t>
  </si>
  <si>
    <t xml:space="preserve">Golderbroch House</t>
  </si>
  <si>
    <t xml:space="preserve">Post production</t>
  </si>
  <si>
    <t xml:space="preserve">1st inspection. An intro from Final Cut. May be suitable and will be considering it further over the weekend.</t>
  </si>
  <si>
    <t xml:space="preserve">In discussions -low offer submitted.</t>
  </si>
  <si>
    <t xml:space="preserve">3rd Inspection. Awaiting feedback and an improved offer.</t>
  </si>
  <si>
    <t xml:space="preserve">3rd &amp; 4th floors</t>
  </si>
  <si>
    <t xml:space="preserve">Johniie Burns</t>
  </si>
  <si>
    <t xml:space="preserve">1st inspection. Oscar &amp; BAFTA winner looking to lease one of the floors. Outline figures have been sent. Will be a week before they can confirm that they can move progress.</t>
  </si>
  <si>
    <t xml:space="preserve">Grd &amp; Base</t>
  </si>
  <si>
    <t xml:space="preserve">Cottio Coffee</t>
  </si>
  <si>
    <t xml:space="preserve">1st inspection. Requested further info requested. They are a chinese coffee business with 17,000 units in 28 countries.Awaiting an offer on one site TBC.</t>
  </si>
  <si>
    <t xml:space="preserve">2nd inspection. Requested further info requested. They are a chinese coffee business with 17,000 units in 28 countries.Awaiting an offer on one site TBC.</t>
  </si>
  <si>
    <t xml:space="preserve">3rd inspection. Requested further info requested. They are a chinese coffee business with 17,000 units in 28 countries.Awaiting an offer on one site TBC.</t>
  </si>
  <si>
    <t xml:space="preserve">Fin tech business</t>
  </si>
  <si>
    <t xml:space="preserve">2nd imspection. They will require the floor to be furnished if this is something that they wish to take forward. They are looking at other furnished options in the market via their agent JLL</t>
  </si>
  <si>
    <t xml:space="preserve">Denistry</t>
  </si>
  <si>
    <t xml:space="preserve">1st inspection. Opening offer received at £90,000 pa. In Negs. We want to know more about this business and they have been advised that we are looking for an elevated retail use.</t>
  </si>
  <si>
    <t xml:space="preserve">3rd-5th floors</t>
  </si>
  <si>
    <t xml:space="preserve">1st inspection. Waiting for their feedback report.</t>
  </si>
  <si>
    <t xml:space="preserve">Mappin House </t>
  </si>
  <si>
    <t xml:space="preserve">Wanted to see again as they are keen to lease the entire building. Will now consider a non landlord capex contribution deal</t>
  </si>
  <si>
    <t xml:space="preserve">3 floors</t>
  </si>
  <si>
    <t xml:space="preserve">Considering but now keen to reconsider Mappin House. Additional detaiils sent oon both properties </t>
  </si>
  <si>
    <t xml:space="preserve">Design agency</t>
  </si>
  <si>
    <t xml:space="preserve">1st veiwing and seeking feedback from agent</t>
  </si>
  <si>
    <t xml:space="preserve">whole</t>
  </si>
  <si>
    <t xml:space="preserve">1st viewing and awaiting feedback</t>
  </si>
  <si>
    <t xml:space="preserve">3-36 Great Portland House</t>
  </si>
  <si>
    <t xml:space="preserve">Binocular Productions</t>
  </si>
  <si>
    <t xml:space="preserve">1st Inspection. Liked unit but needs additional meeting room.</t>
  </si>
  <si>
    <t xml:space="preserve">42 Great Portland House</t>
  </si>
  <si>
    <t xml:space="preserve">1st Inspection. Really liked space would need additional meeting room.</t>
  </si>
  <si>
    <t xml:space="preserve">1st Inspection. Liked unit but would want additional space from 34 and meeting room.</t>
  </si>
  <si>
    <t xml:space="preserve">6-10 Great Portland House</t>
  </si>
  <si>
    <t xml:space="preserve">1st Inspection. Liked unit and location but would need additional meeting rooms.</t>
  </si>
  <si>
    <t xml:space="preserve">160 Oxford Street</t>
  </si>
  <si>
    <t xml:space="preserve">shop</t>
  </si>
  <si>
    <t xml:space="preserve">Dynamic Accessories Limited t/a New Era</t>
  </si>
  <si>
    <t xml:space="preserve">£475,000/6 months R/F, 10 yr lease</t>
  </si>
  <si>
    <t xml:space="preserve">in negs.</t>
  </si>
  <si>
    <t xml:space="preserve">1st Inspection. Was viewing various options in the area. Awaiting feedback.</t>
  </si>
  <si>
    <t xml:space="preserve">Restaurant Investment Company</t>
  </si>
  <si>
    <t xml:space="preserve">1st inspection and looking at several other properties in the area. The person who inspected will report back to directors.</t>
  </si>
  <si>
    <t xml:space="preserve">Film Production Co.</t>
  </si>
  <si>
    <t xml:space="preserve">1st Inspection. Liked space but will need to determine if the layout will work for them.</t>
  </si>
  <si>
    <t xml:space="preserve">Ovis / Coffee Co. </t>
  </si>
  <si>
    <t xml:space="preserve">Studio Boum</t>
  </si>
  <si>
    <t xml:space="preserve">They are very keen to take this unit as an expansion space and showcase their work with high-end fashion clients. They will look to collaborate with DLX (they already work with Kith) and also develop a café with Monocle Magazine or Café Nuances. If done right, this could be a very exciting opportunity for the estate.</t>
  </si>
  <si>
    <t xml:space="preserve">2nd inspection. Looking at taking this site for a 3 month pop up before commiting to the area long term.</t>
  </si>
  <si>
    <t xml:space="preserve">Recruitment company</t>
  </si>
  <si>
    <t xml:space="preserve">3rd inspection. This is very encouraging and we are hoping to receive an offer.</t>
  </si>
  <si>
    <t xml:space="preserve">TMT</t>
  </si>
  <si>
    <t xml:space="preserve">1st inspection with their retained agent Workplace Company. Looging for circa 20,000 sq ft. Same agent that is reppresenting New Era!</t>
  </si>
  <si>
    <t xml:space="preserve">Hope 93</t>
  </si>
  <si>
    <t xml:space="preserve">1st inspection,</t>
  </si>
  <si>
    <t xml:space="preserve">42/48 Great Portland Street</t>
  </si>
  <si>
    <t xml:space="preserve">4th &amp; 5th floors</t>
  </si>
  <si>
    <t xml:space="preserve">Inkxspace</t>
  </si>
  <si>
    <t xml:space="preserve">Very interested in leasing the 5th floor. In negs on  potential deal.</t>
  </si>
  <si>
    <t xml:space="preserve">Board game manufacture </t>
  </si>
  <si>
    <t xml:space="preserve">1st inspection. Looking at a retail and café opportunity to showcase their products.</t>
  </si>
  <si>
    <t xml:space="preserve">War Games &amp; Drinks Operator</t>
  </si>
  <si>
    <t xml:space="preserve">Belcor</t>
  </si>
  <si>
    <t xml:space="preserve">Nepenthes</t>
  </si>
  <si>
    <t xml:space="preserve">Metspace</t>
  </si>
  <si>
    <t xml:space="preserve">2nd, 3rd Floor</t>
  </si>
  <si>
    <t xml:space="preserve">75-77 Margaret Street</t>
  </si>
  <si>
    <t xml:space="preserve">2nd &amp; 4rd Floor</t>
  </si>
  <si>
    <t xml:space="preserve">Grd Floor</t>
  </si>
  <si>
    <t xml:space="preserve">Junior</t>
  </si>
  <si>
    <t xml:space="preserve">2nd &amp; 4th Floor</t>
  </si>
  <si>
    <t xml:space="preserve">B-Side</t>
  </si>
  <si>
    <t xml:space="preserve">2nd, 4th &amp; 5th floors</t>
  </si>
  <si>
    <t xml:space="preserve">1 &amp; 2nd Floors</t>
  </si>
  <si>
    <t xml:space="preserve">Kith</t>
  </si>
  <si>
    <t xml:space="preserve">Halem Street Hotel</t>
  </si>
  <si>
    <t xml:space="preserve">1st to 3rd Floors</t>
  </si>
  <si>
    <t xml:space="preserve">Libere Hospitality Group</t>
  </si>
  <si>
    <t xml:space="preserve">Forte</t>
  </si>
  <si>
    <t xml:space="preserve">2nd-4th Floors</t>
  </si>
  <si>
    <t xml:space="preserve">Unknown / Production Co.</t>
  </si>
  <si>
    <t xml:space="preserve">Andrew Rosen</t>
  </si>
  <si>
    <t xml:space="preserve">Matcha Drink Co.</t>
  </si>
  <si>
    <t xml:space="preserve">James Lightstone</t>
  </si>
  <si>
    <t xml:space="preserve">Grnd &amp; Base</t>
  </si>
  <si>
    <t xml:space="preserve">PYO</t>
  </si>
  <si>
    <t xml:space="preserve">2nd Inspection. Awaiting feedback.</t>
  </si>
  <si>
    <t xml:space="preserve">41 Great Portland House</t>
  </si>
  <si>
    <t xml:space="preserve">Base-4th Floors</t>
  </si>
  <si>
    <t xml:space="preserve">Yuan /Cocktail and Fusion Bar/restaurant</t>
  </si>
  <si>
    <t xml:space="preserve">Newmark</t>
  </si>
  <si>
    <t xml:space="preserve">3rd Inspection. Awaiting feedback.</t>
  </si>
  <si>
    <t xml:space="preserve">KJ One West</t>
  </si>
  <si>
    <t xml:space="preserve">Dr Ayodele / Dentist</t>
  </si>
  <si>
    <t xml:space="preserve">Workspace+</t>
  </si>
  <si>
    <t xml:space="preserve">Whole building</t>
  </si>
  <si>
    <t xml:space="preserve">SU Groups</t>
  </si>
  <si>
    <t xml:space="preserve">Post-Production</t>
  </si>
  <si>
    <t xml:space="preserve">1st Inspection. Keen but feels rent is too high, will get back to me.</t>
  </si>
  <si>
    <t xml:space="preserve">RM / Bookshop</t>
  </si>
  <si>
    <t xml:space="preserve">1st Inspection. Prefers 41 GPS</t>
  </si>
  <si>
    <t xml:space="preserve">Embassy</t>
  </si>
  <si>
    <t xml:space="preserve">1st Inspection. Positive feedback, second viewing scheduled.</t>
  </si>
  <si>
    <t xml:space="preserve">Racoon</t>
  </si>
  <si>
    <t xml:space="preserve">1st viewing with a client that they would like to move in as part of a long term contract/post production deal that they are hoping to land.</t>
  </si>
  <si>
    <t xml:space="preserve">Fashion company</t>
  </si>
  <si>
    <t xml:space="preserve">1st viewing. They are looking at several options in the area and fringe city.</t>
  </si>
  <si>
    <t xml:space="preserve">3rd floor East</t>
  </si>
  <si>
    <t xml:space="preserve">1st Viewing and have arranged to inspect again.</t>
  </si>
  <si>
    <t xml:space="preserve">40-41 Great Castle Street</t>
  </si>
  <si>
    <t xml:space="preserve">Paul Smith</t>
  </si>
  <si>
    <t xml:space="preserve">1st Inspection. Awaiting Feedback</t>
  </si>
  <si>
    <t xml:space="preserve">KSH Management</t>
  </si>
  <si>
    <t xml:space="preserve">2nd Inspection. Likes unit and discussing with the board and will come back shortly.</t>
  </si>
  <si>
    <t xml:space="preserve">Finance  Company</t>
  </si>
  <si>
    <t xml:space="preserve">1st inspection. Looking at several options</t>
  </si>
  <si>
    <t xml:space="preserve">1st &amp; 2nd floors</t>
  </si>
  <si>
    <t xml:space="preserve">2nd inspection. Looking at several options</t>
  </si>
  <si>
    <t xml:space="preserve">2nd &amp; 4th floor</t>
  </si>
  <si>
    <t xml:space="preserve">Fin Tech Co</t>
  </si>
  <si>
    <t xml:space="preserve">2nd inspection. Liked the 2nd floor over the 4th floor. However, they are looking at several options. Awaiting their agents feedback.</t>
  </si>
  <si>
    <t xml:space="preserve">Software co</t>
  </si>
  <si>
    <t xml:space="preserve">2nd inspection. Awaiting our agents feedback.</t>
  </si>
  <si>
    <t xml:space="preserve">Fund Managers</t>
  </si>
  <si>
    <t xml:space="preserve">1st Inspection. Viewing went well but will wait for further details.</t>
  </si>
  <si>
    <t xml:space="preserve">1st Inspection. Awaiting feedback but preferred 32 GPS.</t>
  </si>
  <si>
    <t xml:space="preserve">1st Inspection. Liked unit and the all the meeting room space.</t>
  </si>
  <si>
    <t xml:space="preserve">1st Inspection.</t>
  </si>
  <si>
    <t xml:space="preserve">2nd, 4th &amp; 5th Floors</t>
  </si>
  <si>
    <t xml:space="preserve">2nd Inspection.Brought the team back to view, really like space.</t>
  </si>
  <si>
    <t xml:space="preserve">2nd Inspection. Brought the team back and like space but no meeting rooms.</t>
  </si>
  <si>
    <t xml:space="preserve">2nd inspection and have requested floor plans to space plan the suite.</t>
  </si>
  <si>
    <t xml:space="preserve">Clints Footwear</t>
  </si>
  <si>
    <t xml:space="preserve">1st inspection. Really liked the unit and also looked at 39 Gt Portland Street. Was excited to learn that Kith was moving in around the corner. They will come back to me next week.</t>
  </si>
  <si>
    <t xml:space="preserve">3rd, 4th &amp; 5th</t>
  </si>
  <si>
    <t xml:space="preserve">JC -Viewed multiple times with JC. Unfortunatley they dicsounted to another option which already has multiple small partitions for editing suites</t>
  </si>
  <si>
    <t xml:space="preserve">4th &amp; 5th </t>
  </si>
  <si>
    <t xml:space="preserve">Appointment only gallery - Optima Contemporary</t>
  </si>
  <si>
    <t xml:space="preserve">MM - A gallery viewed looking for private showing areas and office - Layout and size was not best suited</t>
  </si>
  <si>
    <t xml:space="preserve">https://www.blackandwhitecomms.com/</t>
  </si>
  <si>
    <t xml:space="preserve">JC - PR company looking for new office in Fitzrovia. They have shortlisted the 3rd but couldnt move quick enough to compete with Ben's interest. Looking at the idea of taking both the 4th &amp; 5th but they ideally want to be on one floor </t>
  </si>
  <si>
    <t xml:space="preserve">BK - HOTs currently with tenant's agent for review. </t>
  </si>
  <si>
    <t xml:space="preserve">Amy Giunta / Gallary</t>
  </si>
  <si>
    <t xml:space="preserve">5th Floor West</t>
  </si>
  <si>
    <t xml:space="preserve">Awaiting for offer for the whole building.</t>
  </si>
  <si>
    <t xml:space="preserve">£87.50 psf</t>
  </si>
  <si>
    <t xml:space="preserve">Heads of Terms circuleted. Waiting for their response.</t>
  </si>
  <si>
    <t xml:space="preserve">2nd </t>
  </si>
  <si>
    <t xml:space="preserve">Encora Resourses plc</t>
  </si>
  <si>
    <t xml:space="preserve">Inspection with tD&amp;B contractor looking at space planning the floor for tenant</t>
  </si>
  <si>
    <t xml:space="preserve">IS</t>
  </si>
  <si>
    <t xml:space="preserve">3rd Floor East</t>
  </si>
  <si>
    <t xml:space="preserve">Lito Real Estate</t>
  </si>
  <si>
    <t xml:space="preserve">Ground &amp; base</t>
  </si>
  <si>
    <t xml:space="preserve">Black Sheep</t>
  </si>
  <si>
    <t xml:space="preserve">Whole Build</t>
  </si>
  <si>
    <t xml:space="preserve">Tassen / Book Shop</t>
  </si>
  <si>
    <t xml:space="preserve">15 years, £115k 18 months R/F</t>
  </si>
  <si>
    <t xml:space="preserve">3rd Inspection. Offer made, waiting on further details regarding dilapidations.</t>
  </si>
  <si>
    <t xml:space="preserve">2nd ffloor</t>
  </si>
  <si>
    <t xml:space="preserve">3rd floor- currently planning.</t>
  </si>
  <si>
    <t xml:space="preserve">1st, 3rd &amp; 4th </t>
  </si>
  <si>
    <t xml:space="preserve">1st inspection. Reporting to board.</t>
  </si>
  <si>
    <t xml:space="preserve">1st , 3rd &amp; 4th</t>
  </si>
  <si>
    <t xml:space="preserve">JL Property</t>
  </si>
  <si>
    <t xml:space="preserve">2nd Inspection. Awaiting Feedback</t>
  </si>
  <si>
    <t xml:space="preserve">2nd inspection. Awaiting Feedback</t>
  </si>
  <si>
    <t xml:space="preserve">WP</t>
  </si>
  <si>
    <t xml:space="preserve">2nd inspection with director. They are looking at several Langham propoerties. Currently based in Kent House, Market Place and looking to downsize</t>
  </si>
  <si>
    <t xml:space="preserve">2nd floor West</t>
  </si>
  <si>
    <t xml:space="preserve">1st inspection.</t>
  </si>
  <si>
    <t xml:space="preserve">2nd inspection.</t>
  </si>
  <si>
    <t xml:space="preserve">ground &amp; base</t>
  </si>
  <si>
    <t xml:space="preserve">Café operator</t>
  </si>
  <si>
    <t xml:space="preserve">1st inspecion. Awaiting feedback.</t>
  </si>
  <si>
    <t xml:space="preserve">Arya / Mediterrean Restaurant</t>
  </si>
  <si>
    <t xml:space="preserve">Total Number of Deals</t>
  </si>
  <si>
    <t xml:space="preserve">Actual</t>
  </si>
  <si>
    <t xml:space="preserve">Running</t>
  </si>
  <si>
    <t xml:space="preserve">Permanent Lets</t>
  </si>
  <si>
    <t xml:space="preserve">Lease Renewals (Rental Uplift)</t>
  </si>
  <si>
    <t xml:space="preserve">Completed Deals </t>
  </si>
  <si>
    <t xml:space="preserve">New Lettings </t>
  </si>
  <si>
    <t xml:space="preserve">New Rent</t>
  </si>
  <si>
    <t xml:space="preserve">1st floor East         1,050 sq ft</t>
  </si>
  <si>
    <t xml:space="preserve">Peter Alexander UK Limited</t>
  </si>
  <si>
    <t xml:space="preserve">5 years with a t/b 3rd year</t>
  </si>
  <si>
    <t xml:space="preserve">COMPLETED</t>
  </si>
  <si>
    <t xml:space="preserve">5th Floor                        750 sq ft</t>
  </si>
  <si>
    <t xml:space="preserve">Moods beauty Limited</t>
  </si>
  <si>
    <t xml:space="preserve">2 years</t>
  </si>
  <si>
    <t xml:space="preserve">Withers LLP</t>
  </si>
  <si>
    <t xml:space="preserve">Moray House, 23-35 Great Titchfield Street</t>
  </si>
  <si>
    <t xml:space="preserve">6th floor Flat                        2 bed</t>
  </si>
  <si>
    <t xml:space="preserve">Mr Marc Versteegh &amp; William Alex Mikael Antell</t>
  </si>
  <si>
    <t xml:space="preserve">1 year</t>
  </si>
  <si>
    <t xml:space="preserve">NA</t>
  </si>
  <si>
    <t xml:space="preserve">CM</t>
  </si>
  <si>
    <t xml:space="preserve">1st Floor West          688 sq ft</t>
  </si>
  <si>
    <t xml:space="preserve">Staybrook Capital Limited</t>
  </si>
  <si>
    <t xml:space="preserve">3 years t/b 2nd year</t>
  </si>
  <si>
    <t xml:space="preserve">Ground floor and Basement , East,             5,667 sq ft</t>
  </si>
  <si>
    <t xml:space="preserve">Future Maxx Limited </t>
  </si>
  <si>
    <t xml:space="preserve">15 years with a landord break at the end of the 8th year for redevolpement</t>
  </si>
  <si>
    <t xml:space="preserve">Fladgates</t>
  </si>
  <si>
    <t xml:space="preserve">Draft lease being prepared Rent agreed is yr1 £300,000 
yr2 £300,000; yr3 £305,000
yr4 £310,000; yr5 £320,000</t>
  </si>
  <si>
    <t xml:space="preserve">3-4 Bywell Place</t>
  </si>
  <si>
    <t xml:space="preserve">Ground Floor and Basement                                                  1,167 sq ft    </t>
  </si>
  <si>
    <t xml:space="preserve">Solo60 Ltd</t>
  </si>
  <si>
    <t xml:space="preserve">5 years with landlord break (conditional on noise complaints)</t>
  </si>
  <si>
    <t xml:space="preserve">Ground Floor (A &amp; B) 1,452 sq ft</t>
  </si>
  <si>
    <t xml:space="preserve">Media lab Group Limited</t>
  </si>
  <si>
    <t xml:space="preserve">For a term to expiring 15/03/28</t>
  </si>
  <si>
    <t xml:space="preserve">3rd Floor (west)
504  sq ft</t>
  </si>
  <si>
    <t xml:space="preserve">Reishi Clinic Ltd</t>
  </si>
  <si>
    <t xml:space="preserve">5 year lease
t/b 2nd yr</t>
  </si>
  <si>
    <t xml:space="preserve">Completed - Not completed.</t>
  </si>
  <si>
    <t xml:space="preserve">146-148 Oxford Street</t>
  </si>
  <si>
    <t xml:space="preserve">Ground Floor and Basement              3,348 sq ft</t>
  </si>
  <si>
    <t xml:space="preserve">Holland &amp; Barrett Retail Limited</t>
  </si>
  <si>
    <t xml:space="preserve">10 years with t/b 6th year</t>
  </si>
  <si>
    <t xml:space="preserve">In House</t>
  </si>
  <si>
    <t xml:space="preserve">Exchanged</t>
  </si>
  <si>
    <t xml:space="preserve">Completion 08/11/2024</t>
  </si>
  <si>
    <t xml:space="preserve">27-28 Eastcastle Street</t>
  </si>
  <si>
    <t xml:space="preserve">3rd Floor                        665 sq ft</t>
  </si>
  <si>
    <t xml:space="preserve">Principle Estate Management Limited</t>
  </si>
  <si>
    <t xml:space="preserve">5 year lease with a t/b 2 years &amp; 6 months</t>
  </si>
  <si>
    <t xml:space="preserve">YES</t>
  </si>
  <si>
    <t xml:space="preserve">Completed. </t>
  </si>
  <si>
    <t xml:space="preserve">2nd Floor (East)                    1,124 sq ft</t>
  </si>
  <si>
    <t xml:space="preserve">Cord Technologies Ltd</t>
  </si>
  <si>
    <t xml:space="preserve">Co-terminus with current lease on 1st Floor West (Expiring 08/06/26 </t>
  </si>
  <si>
    <t xml:space="preserve">Stephenson's LLP</t>
  </si>
  <si>
    <t xml:space="preserve">Golderbrock House, 15/19 Great Titchfield Street</t>
  </si>
  <si>
    <t xml:space="preserve">1st Floor Front                    1,335 sq ft</t>
  </si>
  <si>
    <t xml:space="preserve">Space Workplace Limited</t>
  </si>
  <si>
    <t xml:space="preserve">5 years with a tb 3rd year</t>
  </si>
  <si>
    <t xml:space="preserve">BPE</t>
  </si>
  <si>
    <t xml:space="preserve">Completed 29/11/2024</t>
  </si>
  <si>
    <t xml:space="preserve">5th Floor (West)           1,528 sq ft</t>
  </si>
  <si>
    <t xml:space="preserve">Rios Design Studio Limited</t>
  </si>
  <si>
    <t xml:space="preserve">5 year lease with a t/b 3rd year</t>
  </si>
  <si>
    <t xml:space="preserve">Completed 26/11/2024</t>
  </si>
  <si>
    <t xml:space="preserve">Flat 1, 2 Little Portland Street </t>
  </si>
  <si>
    <t xml:space="preserve">1st Floor (1 bed / 420 sq ft)</t>
  </si>
  <si>
    <t xml:space="preserve">n/a</t>
  </si>
  <si>
    <t xml:space="preserve">Miss Julia Tressler </t>
  </si>
  <si>
    <t xml:space="preserve">1 Year </t>
  </si>
  <si>
    <t xml:space="preserve">Completed. 12/12/2024</t>
  </si>
  <si>
    <t xml:space="preserve">20 Great Portland street </t>
  </si>
  <si>
    <t xml:space="preserve">2 Margaret Court 265sq.ft</t>
  </si>
  <si>
    <t xml:space="preserve">Express Alteration and Tailoring Limited</t>
  </si>
  <si>
    <t xml:space="preserve">5 year lease </t>
  </si>
  <si>
    <t xml:space="preserve">Solicitors instructed. Tenant made additional requests for lease documents.  12/12/2024</t>
  </si>
  <si>
    <t xml:space="preserve">4th Floor, (East) 1,957sq.ft</t>
  </si>
  <si>
    <t xml:space="preserve">Racoon Media Services Ltd</t>
  </si>
  <si>
    <t xml:space="preserve">5 years lease with a break option in year 3 on </t>
  </si>
  <si>
    <t xml:space="preserve">SMB London</t>
  </si>
  <si>
    <t xml:space="preserve">4th Floor, (West) 1,548sq.ft</t>
  </si>
  <si>
    <t xml:space="preserve">5 years lease with a break option in year 3 on 6 months notice. Rent free period of 3 months &amp; 16 days</t>
  </si>
  <si>
    <t xml:space="preserve">6th Floor, (West) 1,253sq.ft</t>
  </si>
  <si>
    <t xml:space="preserve">Directors Cut Films West Ltd</t>
  </si>
  <si>
    <t xml:space="preserve">5 year lease with a break option in year 3 on 6 months &amp; 16 days.</t>
  </si>
  <si>
    <t xml:space="preserve">Ronald Fletcher Baker</t>
  </si>
  <si>
    <t xml:space="preserve">5th Floor - 995sq.ft</t>
  </si>
  <si>
    <t xml:space="preserve">4th Floor (West) 390sq.ft</t>
  </si>
  <si>
    <t xml:space="preserve">Sen Yoga Ltd</t>
  </si>
  <si>
    <t xml:space="preserve">5 years with t/b year 3</t>
  </si>
  <si>
    <t xml:space="preserve">Lisa's Law LLP</t>
  </si>
  <si>
    <t xml:space="preserve">Ground Floor Centre 1,949sq.ft</t>
  </si>
  <si>
    <t xml:space="preserve">H Illume Limited T/A LAPO</t>
  </si>
  <si>
    <t xml:space="preserve">10 years</t>
  </si>
  <si>
    <t xml:space="preserve">Compled</t>
  </si>
  <si>
    <t xml:space="preserve">Store Room A, 50 Eastcastle Street</t>
  </si>
  <si>
    <t xml:space="preserve">Basement 454 sq ft </t>
  </si>
  <si>
    <t xml:space="preserve">Hope 93 Ltd </t>
  </si>
  <si>
    <t xml:space="preserve">4 Years 7 Months / TB on 28/08/27 / RR on 28/08/27</t>
  </si>
  <si>
    <t xml:space="preserve">Completed 28th  27/01</t>
  </si>
  <si>
    <t xml:space="preserve">2nd Floor  
325sq.ft</t>
  </si>
  <si>
    <t xml:space="preserve">Learn Lab Language School Ltd</t>
  </si>
  <si>
    <t xml:space="preserve">2 years with t/b yr 1 (Inclusive deal)</t>
  </si>
  <si>
    <t xml:space="preserve">Completed 11/02/2025</t>
  </si>
  <si>
    <t xml:space="preserve">50 Eastcastle Street </t>
  </si>
  <si>
    <t xml:space="preserve">Suite 398 
416sq.ft</t>
  </si>
  <si>
    <t xml:space="preserve">Pixi Beauty</t>
  </si>
  <si>
    <t xml:space="preserve">Co terminus with lease at 395 13/11/2027</t>
  </si>
  <si>
    <t xml:space="preserve">Inhouse </t>
  </si>
  <si>
    <t xml:space="preserve">Awaiting for completion documents from Pixi. Internal Red Tape and time difference is the given reason for the delay. 24/01/2025</t>
  </si>
  <si>
    <t xml:space="preserve">Basement, Ground &amp; Mezz                       4,958 sq ft</t>
  </si>
  <si>
    <t xml:space="preserve">PrettyLittleThing.com Limited</t>
  </si>
  <si>
    <t xml:space="preserve">Pannone Corporate LLP</t>
  </si>
  <si>
    <t xml:space="preserve">Completed 11/02/2025.14.02.25</t>
  </si>
  <si>
    <t xml:space="preserve">93 Mortimer Street / 43 Gt Portland Street</t>
  </si>
  <si>
    <t xml:space="preserve">Whole Building                                 10,112 sq ft</t>
  </si>
  <si>
    <t xml:space="preserve">Kamel Lazaar Foundation</t>
  </si>
  <si>
    <t xml:space="preserve">15 years with t/b 6th &amp; 10th years</t>
  </si>
  <si>
    <t xml:space="preserve">Completed 20/02/2025</t>
  </si>
  <si>
    <t xml:space="preserve">Ground Floor Rear    325 sq ft</t>
  </si>
  <si>
    <t xml:space="preserve">Arlettie </t>
  </si>
  <si>
    <t xml:space="preserve">3 years</t>
  </si>
  <si>
    <t xml:space="preserve">Due to complete 20/21 Feb. 20/02/25</t>
  </si>
  <si>
    <t xml:space="preserve">Princess House, 50 Eastcastle Street</t>
  </si>
  <si>
    <t xml:space="preserve">Suite 375 
797 sq.ft</t>
  </si>
  <si>
    <t xml:space="preserve">Jewells Retail Limited</t>
  </si>
  <si>
    <t xml:space="preserve">A term to expire on 07/03/26</t>
  </si>
  <si>
    <t xml:space="preserve">Inhouse</t>
  </si>
  <si>
    <t xml:space="preserve">Wallace</t>
  </si>
  <si>
    <t xml:space="preserve">all inclusive deal completed 25/02/2025</t>
  </si>
  <si>
    <t xml:space="preserve">Suite 380
480 sq.ft </t>
  </si>
  <si>
    <t xml:space="preserve">Ground Floor and Basement                                                  6,092  sq ft    </t>
  </si>
  <si>
    <t xml:space="preserve">Sisters Grimm Limited</t>
  </si>
  <si>
    <t xml:space="preserve">Completed. 28.02.25</t>
  </si>
  <si>
    <t xml:space="preserve">22 Eastcastle Street</t>
  </si>
  <si>
    <t xml:space="preserve">Ground Floor 
2,333 sq ft</t>
  </si>
  <si>
    <t xml:space="preserve">Top Bridal Ltd</t>
  </si>
  <si>
    <t xml:space="preserve">5 year Lease t/b 3rd year</t>
  </si>
  <si>
    <t xml:space="preserve">Completion  20.03.25</t>
  </si>
  <si>
    <t xml:space="preserve">5th Floor                           350 sq ft</t>
  </si>
  <si>
    <t xml:space="preserve">Mercury Creations Limited </t>
  </si>
  <si>
    <t xml:space="preserve">COMPLETED </t>
  </si>
  <si>
    <t xml:space="preserve">1 Great Titchfield street</t>
  </si>
  <si>
    <t xml:space="preserve">Whole Building       1,425 sq ft</t>
  </si>
  <si>
    <t xml:space="preserve">Tikkas</t>
  </si>
  <si>
    <t xml:space="preserve">Optima Law Solicitors</t>
  </si>
  <si>
    <t xml:space="preserve">Engrossments all signed. Awaiting completion money - 28/03/2025</t>
  </si>
  <si>
    <t xml:space="preserve">4th Floor
1,330 sq.ft.</t>
  </si>
  <si>
    <t xml:space="preserve">Autonomous UK Ltd</t>
  </si>
  <si>
    <t xml:space="preserve">5 year lease with t/b year 3</t>
  </si>
  <si>
    <t xml:space="preserve">Clarke Wilmott</t>
  </si>
  <si>
    <t xml:space="preserve">Completed 15/04/2025</t>
  </si>
  <si>
    <t xml:space="preserve">Priness House, 50 Eastcastle Street</t>
  </si>
  <si>
    <t xml:space="preserve">Suite 350, 3rd Floor       489 sq ft</t>
  </si>
  <si>
    <t xml:space="preserve">Jewells Retail Ltd</t>
  </si>
  <si>
    <t xml:space="preserve">A term to expire on 07/03/2026</t>
  </si>
  <si>
    <t xml:space="preserve">Completed 23/04/2025</t>
  </si>
  <si>
    <t xml:space="preserve">4th Floor 
4,250 sq.ft</t>
  </si>
  <si>
    <t xml:space="preserve">10 year lease
T/0 Break 5yr</t>
  </si>
  <si>
    <t xml:space="preserve">Murrell Associates</t>
  </si>
  <si>
    <t xml:space="preserve">Completed 09/05/2025</t>
  </si>
  <si>
    <t xml:space="preserve">142-144 Oxford Street</t>
  </si>
  <si>
    <t xml:space="preserve">Basement, Ground &amp; 1st Floor  
5,200 sq ft</t>
  </si>
  <si>
    <t xml:space="preserve">02 (Telefonica)</t>
  </si>
  <si>
    <t xml:space="preserve">10 year lease with t/b 5th year</t>
  </si>
  <si>
    <t xml:space="preserve">Shoosmiths </t>
  </si>
  <si>
    <t xml:space="preserve">2nd Floor (East)
3,300 sq.ft</t>
  </si>
  <si>
    <t xml:space="preserve">InPost UK Ltd</t>
  </si>
  <si>
    <t xml:space="preserve">A Term to expire on 25/01/2029</t>
  </si>
  <si>
    <t xml:space="preserve">Kenilworth House, 79-80 Margaret Street</t>
  </si>
  <si>
    <t xml:space="preserve">Basement (East)           1,519 sq ft</t>
  </si>
  <si>
    <t xml:space="preserve">12 month short form lease</t>
  </si>
  <si>
    <t xml:space="preserve">In solicitors hands.  Final draft lease issued and being reviewed. Tenant is on a licence to occupy in the interim. 23.05.2025. Still awaiting tenant signed docs expected on 16/06/25 to report completion next week 13/06/25</t>
  </si>
  <si>
    <t xml:space="preserve">Ground (East)
1,525 sq.ft.</t>
  </si>
  <si>
    <t xml:space="preserve">Lualdi UK </t>
  </si>
  <si>
    <t xml:space="preserve">5 year Lease </t>
  </si>
  <si>
    <t xml:space="preserve">Final iteration of lease docs out for final approval. Co-terminus surrender and new lease to start 16th June. Tenant in Gilmoora temporarily to facilitate 50 ECS development. 09.05.2025. Engrossments have been circulated. Now targeting completion W/C 16th. 13/06/2025. Delayed again completion set for 01/08/25 tenant is waiting for materials for fit out to arrive from italy. Nowat gilmoora house in the interim 20/06/2025.</t>
  </si>
  <si>
    <t xml:space="preserve">Fred Bakery Limited</t>
  </si>
  <si>
    <t xml:space="preserve">15 years with mutual break in 10th year</t>
  </si>
  <si>
    <t xml:space="preserve">Finance Law </t>
  </si>
  <si>
    <t xml:space="preserve">Completed.. 11.07.25</t>
  </si>
  <si>
    <t xml:space="preserve">Fitzrovia IT Ltd</t>
  </si>
  <si>
    <t xml:space="preserve">7 years With T/o Break end of 5yr</t>
  </si>
  <si>
    <t xml:space="preserve">Spencer West</t>
  </si>
  <si>
    <t xml:space="preserve">Olga Mantsiou</t>
  </si>
  <si>
    <t xml:space="preserve">Completed </t>
  </si>
  <si>
    <t xml:space="preserve">Basement</t>
  </si>
  <si>
    <t xml:space="preserve">The Ludorum Club</t>
  </si>
  <si>
    <t xml:space="preserve">yes</t>
  </si>
  <si>
    <t xml:space="preserve">completed </t>
  </si>
  <si>
    <t xml:space="preserve">Pale Horse Gallery Ltd</t>
  </si>
  <si>
    <t xml:space="preserve">3 year Lease  </t>
  </si>
  <si>
    <t xml:space="preserve">Completed 05/09/2025</t>
  </si>
  <si>
    <t xml:space="preserve">1st</t>
  </si>
  <si>
    <t xml:space="preserve">Ltde Limited</t>
  </si>
  <si>
    <t xml:space="preserve">Lease documents close to final form. Side letter for Landlord works being drafted on common part works. 05/09/2025</t>
  </si>
  <si>
    <t xml:space="preserve">3/4A Little Portland Street</t>
  </si>
  <si>
    <t xml:space="preserve">Part 2nd</t>
  </si>
  <si>
    <t xml:space="preserve">5 years with t/b 15/03/28</t>
  </si>
  <si>
    <t xml:space="preserve">Lanyon Bowdler</t>
  </si>
  <si>
    <t xml:space="preserve">Lease completed.  09/10/25</t>
  </si>
  <si>
    <t xml:space="preserve">Whispering Smith Ltd</t>
  </si>
  <si>
    <t xml:space="preserve">Completed 21/10/2025</t>
  </si>
  <si>
    <t xml:space="preserve">Doctor Care Anywhere</t>
  </si>
  <si>
    <t xml:space="preserve">3 year term</t>
  </si>
  <si>
    <t xml:space="preserve">Lease completed 29th October 2025.</t>
  </si>
  <si>
    <t xml:space="preserve">67-81 Mortimer Street</t>
  </si>
  <si>
    <t xml:space="preserve">3rd ( E)</t>
  </si>
  <si>
    <t xml:space="preserve">Feel Films Limited </t>
  </si>
  <si>
    <t xml:space="preserve">5 years  with t/b 3rd year</t>
  </si>
  <si>
    <t xml:space="preserve">tbc</t>
  </si>
  <si>
    <t xml:space="preserve">Engrossments issued for signing. 15/10/2025</t>
  </si>
  <si>
    <t xml:space="preserve">3rd ( W)</t>
  </si>
  <si>
    <t xml:space="preserve">2nd ( E)</t>
  </si>
  <si>
    <t xml:space="preserve">Renewals</t>
  </si>
  <si>
    <t xml:space="preserve">Basement (rear) Golderbrock House</t>
  </si>
  <si>
    <t xml:space="preserve">Soho Sonic Ltd</t>
  </si>
  <si>
    <t xml:space="preserve">5 year lease from 27/05/24</t>
  </si>
  <si>
    <t xml:space="preserve">3rd Floor, 26 Eastcastle Street, London, W1</t>
  </si>
  <si>
    <t xml:space="preserve">Alistair Park</t>
  </si>
  <si>
    <t xml:space="preserve">5 years from 06/09/24</t>
  </si>
  <si>
    <t xml:space="preserve">Completed.</t>
  </si>
  <si>
    <t xml:space="preserve">2nd Floor (West/North) 17/18 Margaret Street</t>
  </si>
  <si>
    <t xml:space="preserve">Smiggle UK Limited</t>
  </si>
  <si>
    <t xml:space="preserve">5 year lease from 26/05/24</t>
  </si>
  <si>
    <t xml:space="preserve">Ground floor (west) 17/18 Maragret Street</t>
  </si>
  <si>
    <t xml:space="preserve">Yamaha Music Europe GmbH</t>
  </si>
  <si>
    <t xml:space="preserve">5 year lease with T/B 20/08/24</t>
  </si>
  <si>
    <t xml:space="preserve">67-81 Mortimer Street (2nd floor West)</t>
  </si>
  <si>
    <t xml:space="preserve">Tappei Education Division</t>
  </si>
  <si>
    <t xml:space="preserve">Tenant break anytime after 29/06/2025 subject to 3 months notice</t>
  </si>
  <si>
    <t xml:space="preserve">Penthouse, 39 Great Portland Street</t>
  </si>
  <si>
    <t xml:space="preserve">Ciss &amp; Moser </t>
  </si>
  <si>
    <t xml:space="preserve">1 year, no break </t>
  </si>
  <si>
    <t xml:space="preserve">Gilmoora House, 57-61 Mortimer Street (Part Gnd - 5th Floors)</t>
  </si>
  <si>
    <t xml:space="preserve">Gilmoora House Limited </t>
  </si>
  <si>
    <t xml:space="preserve">5 years, no break</t>
  </si>
  <si>
    <t xml:space="preserve">156-162 Oxford Street</t>
  </si>
  <si>
    <t xml:space="preserve">Dune Group Ltd</t>
  </si>
  <si>
    <t xml:space="preserve">10 years from 22/02/2025</t>
  </si>
  <si>
    <t xml:space="preserve">2nd Floor (Front), 
25 Margaret Street</t>
  </si>
  <si>
    <t xml:space="preserve">Tara Harrison </t>
  </si>
  <si>
    <t xml:space="preserve">5 Years from 
06/12/24</t>
  </si>
  <si>
    <t xml:space="preserve">1st Floor, 50 Great Portland Street</t>
  </si>
  <si>
    <t xml:space="preserve">Fresh Film Productions Ltd</t>
  </si>
  <si>
    <t xml:space="preserve">5 Years from 13/10/24</t>
  </si>
  <si>
    <t xml:space="preserve">Kiosk </t>
  </si>
  <si>
    <t xml:space="preserve">The Prudential Assurance Company</t>
  </si>
  <si>
    <t xml:space="preserve">1  Year</t>
  </si>
  <si>
    <t xml:space="preserve">Basement, 25 Margaret Street</t>
  </si>
  <si>
    <t xml:space="preserve">Mr Kram Ddin Saraj (trading as K Tailoring)</t>
  </si>
  <si>
    <t xml:space="preserve">5 years no break. </t>
  </si>
  <si>
    <t xml:space="preserve">4th Floor, (East), 52/53 Margaret Street</t>
  </si>
  <si>
    <t xml:space="preserve">MDB SARL</t>
  </si>
  <si>
    <t xml:space="preserve">2 years from 18/11/24</t>
  </si>
  <si>
    <t xml:space="preserve">20 Margaret Street (ground and Basement)</t>
  </si>
  <si>
    <t xml:space="preserve">Outform EMEA Ltd</t>
  </si>
  <si>
    <t xml:space="preserve">5 years, breaks in 2nd &amp; 3rd year</t>
  </si>
  <si>
    <t xml:space="preserve">Lease Completed 12/12/2024.</t>
  </si>
  <si>
    <t xml:space="preserve">16/20 Hallam Street, London W1</t>
  </si>
  <si>
    <t xml:space="preserve">Astor Court Hotel</t>
  </si>
  <si>
    <t xml:space="preserve">10 year lease from 25/12/2024  rent review in  5th year at a ccommencing rent of £600,000 pax </t>
  </si>
  <si>
    <t xml:space="preserve">Lease Completed 13/12/2024.</t>
  </si>
  <si>
    <t xml:space="preserve">Ground floor/basement Radiant House 36-38 Mortimer Street</t>
  </si>
  <si>
    <t xml:space="preserve">Europride Ltd</t>
  </si>
  <si>
    <t xml:space="preserve">3 year lease with T/B 17/02/26</t>
  </si>
  <si>
    <t xml:space="preserve">Completed (20/12/24)</t>
  </si>
  <si>
    <t xml:space="preserve">Ground Floor, (West), Portland House, 4 Great Portland Street, London, W1</t>
  </si>
  <si>
    <t xml:space="preserve">Costa Limited</t>
  </si>
  <si>
    <t xml:space="preserve">15 years from 12.01.25 with a mutual break option in year 10.  Rent review to be 5 yearly.</t>
  </si>
  <si>
    <t xml:space="preserve">completed on 20/12/24.</t>
  </si>
  <si>
    <t xml:space="preserve">142-144 Oxford Street </t>
  </si>
  <si>
    <t xml:space="preserve">Cool Britannia Retail Ltd</t>
  </si>
  <si>
    <t xml:space="preserve">1 Year with 1 month rolling mutual break option from day 1. </t>
  </si>
  <si>
    <t xml:space="preserve">Unrepresented </t>
  </si>
  <si>
    <t xml:space="preserve">Completed 06/01/2025</t>
  </si>
  <si>
    <t xml:space="preserve">Mappin House, 4 Winsley Street, W1</t>
  </si>
  <si>
    <t xml:space="preserve">2nd ,3rd ,4th </t>
  </si>
  <si>
    <t xml:space="preserve">London Mappin House Center</t>
  </si>
  <si>
    <t xml:space="preserve">Lease renewal on the same terms as the existing lease(s) for a term of 3 years at a Headline Rent of £1,648,856 per annum.
As per the existing lease a personal side deed will be annexed to the lease documenting a rental concession for the Guaranteed Rent to be set a 60% of a Headline Rent equating to £989,313 per annum.  </t>
  </si>
  <si>
    <t xml:space="preserve">Field Fisher</t>
  </si>
  <si>
    <t xml:space="preserve">Wallace </t>
  </si>
  <si>
    <t xml:space="preserve">Completed 14/01/2025</t>
  </si>
  <si>
    <t xml:space="preserve">Ground / Basement, 26 Eastcastle street</t>
  </si>
  <si>
    <t xml:space="preserve">Hela Brands Ltd</t>
  </si>
  <si>
    <t xml:space="preserve">3yr lease from 23/12/2024 T/O break after 12 month</t>
  </si>
  <si>
    <t xml:space="preserve">Documents signed by both parties.  Awaiting completion monies. 07.02.25</t>
  </si>
  <si>
    <t xml:space="preserve">Completed. 07.02.25</t>
  </si>
  <si>
    <t xml:space="preserve">Julco House, 26-28 Great Portland Street</t>
  </si>
  <si>
    <t xml:space="preserve">5th</t>
  </si>
  <si>
    <t xml:space="preserve">Oakvale Capital</t>
  </si>
  <si>
    <t xml:space="preserve">5 years, T/O break 3rd year</t>
  </si>
  <si>
    <t xml:space="preserve">Engrossments returened to SH in readiness for completion. Complete 014.02.25</t>
  </si>
  <si>
    <t xml:space="preserve">50 Great Portland Street </t>
  </si>
  <si>
    <t xml:space="preserve">James Boatman</t>
  </si>
  <si>
    <t xml:space="preserve">3 Year lease renewal, rental uplift to £17,500. No rent free  </t>
  </si>
  <si>
    <t xml:space="preserve">COMPLETED 08/04/2025</t>
  </si>
  <si>
    <t xml:space="preserve">20 Great Portland Street</t>
  </si>
  <si>
    <t xml:space="preserve">1st Rear</t>
  </si>
  <si>
    <t xml:space="preserve">Face2Face Counselling Services Limited</t>
  </si>
  <si>
    <t xml:space="preserve">5 year lease with tenant break in year 3,  subject to 6 months notice </t>
  </si>
  <si>
    <t xml:space="preserve">Completed 16/04/2025</t>
  </si>
  <si>
    <t xml:space="preserve"> 20 Great Portland Street</t>
  </si>
  <si>
    <t xml:space="preserve">2nd Rear </t>
  </si>
  <si>
    <t xml:space="preserve">Psychotherapy UK Training Ltd</t>
  </si>
  <si>
    <t xml:space="preserve">3rd Rear</t>
  </si>
  <si>
    <t xml:space="preserve">One Therapy Limited</t>
  </si>
  <si>
    <t xml:space="preserve"> 76 Great Portland Street </t>
  </si>
  <si>
    <t xml:space="preserve">O-Chaa Thai Ltd</t>
  </si>
  <si>
    <t xml:space="preserve">Agree to surrender existing lease and grant a new 10 Year lease from 17/02/25, to coincide with the Ground &amp; Basement (Rear), 76 GPS. 
No rent free. </t>
  </si>
  <si>
    <t xml:space="preserve">Ellicotts LLP</t>
  </si>
  <si>
    <t xml:space="preserve">Completed 01/05/2025</t>
  </si>
  <si>
    <t xml:space="preserve">10 Year renewal from 17/02/25. No Rent Free. </t>
  </si>
  <si>
    <t xml:space="preserve">68 Wells Street</t>
  </si>
  <si>
    <t xml:space="preserve">Voltage TV Productions Ltd </t>
  </si>
  <si>
    <t xml:space="preserve">3 Year renewal. No rent free. </t>
  </si>
  <si>
    <t xml:space="preserve">Completed 30/04/2025</t>
  </si>
  <si>
    <t xml:space="preserve">71/77 Mortimer Street </t>
  </si>
  <si>
    <t xml:space="preserve">Folia ltd.</t>
  </si>
  <si>
    <t xml:space="preserve">Licence to occupy granted in the interim from 8th January 2025 for both units on all inclusive sum.
71 Mortimer Street - £55,000  works yet to start
77 Mortimer Street - £55,000</t>
  </si>
  <si>
    <t xml:space="preserve">Leases completed 9/05/2025 
Side letter in place for 71 Mortimer while works continue  </t>
  </si>
  <si>
    <t xml:space="preserve">Top Floor Flat, 25 Margaret Street </t>
  </si>
  <si>
    <t xml:space="preserve">Flat</t>
  </si>
  <si>
    <t xml:space="preserve">Mr Ole &amp; Miss Ledo </t>
  </si>
  <si>
    <t xml:space="preserve">12 Month term, no break </t>
  </si>
  <si>
    <t xml:space="preserve">17/18 Margaret Street
</t>
  </si>
  <si>
    <t xml:space="preserve">The London Child &amp; Family Therapy Centre</t>
  </si>
  <si>
    <t xml:space="preserve">5 years from 19/03/25</t>
  </si>
  <si>
    <t xml:space="preserve">£57.55</t>
  </si>
  <si>
    <t xml:space="preserve">Not represented</t>
  </si>
  <si>
    <t xml:space="preserve">53 Great portland street
</t>
  </si>
  <si>
    <t xml:space="preserve">10yr Lease T.o Break 5yr</t>
  </si>
  <si>
    <t xml:space="preserve">OpenStudio Architects Ltd</t>
  </si>
  <si>
    <t xml:space="preserve">3 Year lease renewal, rental uplift to £17,922 and two months rent free</t>
  </si>
  <si>
    <t xml:space="preserve">Engrossments have been circulated in readiness for completion 11/07/25</t>
  </si>
  <si>
    <t xml:space="preserve">30 Market Place
</t>
  </si>
  <si>
    <t xml:space="preserve">Joint London</t>
  </si>
  <si>
    <t xml:space="preserve">5yr lease T.o break 3yr</t>
  </si>
  <si>
    <t xml:space="preserve">Completed 27th August 2025</t>
  </si>
  <si>
    <t xml:space="preserve">Top Floor Flat, Moray House </t>
  </si>
  <si>
    <t xml:space="preserve">Top Floor Flat</t>
  </si>
  <si>
    <t xml:space="preserve">Mark Versteegh &amp; William Antell </t>
  </si>
  <si>
    <t xml:space="preserve">1 year lease from 11.09.25, no break. </t>
  </si>
  <si>
    <t xml:space="preserve">Yes </t>
  </si>
  <si>
    <t xml:space="preserve">Mezzanine</t>
  </si>
  <si>
    <t xml:space="preserve">Perry Ellis Europe Ltd.</t>
  </si>
  <si>
    <t xml:space="preserve">Short Term Lease Extension for a period of 6 months at a rent of £505,000.</t>
  </si>
  <si>
    <t xml:space="preserve">Awaiting Tenants Signature to complete lease. 13/06/2025. Tenant has expressed intrest in the third floor and JM is putting proposal together for next week. </t>
  </si>
  <si>
    <t xml:space="preserve">156 Oxford Street</t>
  </si>
  <si>
    <t xml:space="preserve">Ground</t>
  </si>
  <si>
    <t xml:space="preserve">Hawes &amp; Curtis Ltd</t>
  </si>
  <si>
    <t xml:space="preserve">10 year term with Tenant only break at end of year 5.   6 months rent free as 3 months pure rent free and 6 months half rent.</t>
  </si>
  <si>
    <t xml:space="preserve">Documents in agreed form ready for circulation. AML Passed expected completion end of month 25/04/2025. Lease and Rent Depoist now agreed. The tenant is on a TAW at £475,000 in the interim. Wording of side letter agreed, targeting completion next week 06/06/25. Tenant now disputing if Listed Building Consent is required. Furhter delay JM to advise board on openly marketing the property to pressure the tenant to complete. A tenancy at will is in place and LEM is raising billing at the annual amount of £475,000 13/06/25. JM has is requesting an explanation from H&amp;C on hold up to explain to client. 20/06/25</t>
  </si>
  <si>
    <t xml:space="preserve">32-26 Great Portland Street
</t>
  </si>
  <si>
    <t xml:space="preserve">AdMaxim</t>
  </si>
  <si>
    <t xml:space="preserve">Engrossments in circulation in readiness for complettion.  29/08/25 </t>
  </si>
  <si>
    <t xml:space="preserve">Windsor House, 40/41 Great Castle Street</t>
  </si>
  <si>
    <t xml:space="preserve">16.07.25</t>
  </si>
  <si>
    <t xml:space="preserve">Arava S.R.L</t>
  </si>
  <si>
    <t xml:space="preserve">3 year lease effective from 12th  September 2025 with a Tenant's break option at the end of 18th Months.</t>
  </si>
  <si>
    <t xml:space="preserve">Ufficio.legal@aravfashion.it. Solicitor is based in Italy</t>
  </si>
  <si>
    <t xml:space="preserve">Completed. 12.09.25.</t>
  </si>
  <si>
    <t xml:space="preserve">142 - 144 Oxford Street</t>
  </si>
  <si>
    <t xml:space="preserve">Lease Renewal for a term of one year from 24 October 2025. Tenant Break option with 3 months notices. Tenant Option to Renew on 24 October 2026 Subject to 3 Months Notice</t>
  </si>
  <si>
    <t xml:space="preserve">Hogan Lovell</t>
  </si>
  <si>
    <t xml:space="preserve">Edwards Cheshire Company Ltd</t>
  </si>
  <si>
    <t xml:space="preserve">10 Years Lease. Mutual Break and Rent Review in Year 5. Financial settlement agreed on outstanding arears of £104,645 to be repaid over 12 months. </t>
  </si>
  <si>
    <t xml:space="preserve">In solicitors hands.  First draft lease issued and being reviewed by otherside. 13/06/2025. Completion Funds to be transferred with engrossment due by COB next week. 04/09/2025</t>
  </si>
  <si>
    <t xml:space="preserve">Ground &amp; Basement </t>
  </si>
  <si>
    <t xml:space="preserve">Fads Boutique Limited </t>
  </si>
  <si>
    <t xml:space="preserve">6 Months, Landlord rolling 1 months break</t>
  </si>
  <si>
    <t xml:space="preserve">Engrossments issued. </t>
  </si>
  <si>
    <t xml:space="preserve">Temporary Lettings</t>
  </si>
  <si>
    <t xml:space="preserve">1st Floor (Rear) 66 Wells Street, Welbeck House</t>
  </si>
  <si>
    <t xml:space="preserve">Bradshaw &amp; Bradshaw</t>
  </si>
  <si>
    <t xml:space="preserve">1 month</t>
  </si>
  <si>
    <t xml:space="preserve">All inclusive deal for £1,677  20/12/2024</t>
  </si>
  <si>
    <t xml:space="preserve">Licence to occupy up to 24/1/2025 </t>
  </si>
  <si>
    <t xml:space="preserve">Moray House, 23-25 Great Titchfield Street, 2nd Floor, suites 1,2,3 &amp; 4</t>
  </si>
  <si>
    <t xml:space="preserve">EveryMatrix</t>
  </si>
  <si>
    <t xml:space="preserve">12 month extension  All inclusive rent with 6 month break with 3 months notice Tenant right to break March 2025</t>
  </si>
  <si>
    <t xml:space="preserve">Short term lease agreed </t>
  </si>
  <si>
    <t xml:space="preserve">6th Floor, (East)</t>
  </si>
  <si>
    <t xml:space="preserve">STL</t>
  </si>
  <si>
    <t xml:space="preserve">ARAVA s.r.l</t>
  </si>
  <si>
    <t xml:space="preserve">Licence to Occupy for 5 days from 16.09.25 to 20.09.25. All inclusive rent: Licence fee £184.93 x 5 = £924.65, S/c £34.91 x 5 days= £174.55 &amp; Insurance £5.02 x 5= £25.10. Total Licence fee = £1,124.30 pus VAT. All inclusive rent based on a daily rate of £224.86 per day. Net rent £145/day.</t>
  </si>
  <si>
    <t xml:space="preserve">Licence to Occupy  for the period from 16.09.25 to 20.09.25 prepared by LEM. 19.09.25.</t>
  </si>
</sst>
</file>

<file path=xl/styles.xml><?xml version="1.0" encoding="utf-8"?>
<styleSheet xmlns="http://schemas.openxmlformats.org/spreadsheetml/2006/main">
  <numFmts count="22">
    <numFmt numFmtId="164" formatCode="General"/>
    <numFmt numFmtId="165" formatCode="_-* #,##0.00_-;\-* #,##0.00_-;_-* \-??_-;_-@_-"/>
    <numFmt numFmtId="166" formatCode="_-\£* #,##0.00_-;&quot;-£&quot;* #,##0.00_-;_-\£* \-??_-;_-@_-"/>
    <numFmt numFmtId="167" formatCode="_-\£* #,##0_-;&quot;-£&quot;* #,##0_-;_-\£* \-_-;_-@_-"/>
    <numFmt numFmtId="168" formatCode="[$-F800]dddd&quot;, &quot;mmmm\ dd&quot;, &quot;yyyy"/>
    <numFmt numFmtId="169" formatCode="dd/mm/yyyy;@"/>
    <numFmt numFmtId="170" formatCode="_-\£* #,##0_-;&quot;-£&quot;* #,##0_-;_-\£* \-??_-;_-@_-"/>
    <numFmt numFmtId="171" formatCode="\£#,##0"/>
    <numFmt numFmtId="172" formatCode="0"/>
    <numFmt numFmtId="173" formatCode="_(* #,##0.00_);_(* \(#,##0.00\);_(* \-??_);_(@_)"/>
    <numFmt numFmtId="174" formatCode="_(* #,##0_);_(* \(#,##0\);_(* \-??_);_(@_)"/>
    <numFmt numFmtId="175" formatCode="dd/mm/yyyy"/>
    <numFmt numFmtId="176" formatCode="\£#,##0;[RED]&quot;-£&quot;#,##0"/>
    <numFmt numFmtId="177" formatCode="\£#,##0.00;[RED]&quot;-£&quot;#,##0.00"/>
    <numFmt numFmtId="178" formatCode="\£#,##0.00"/>
    <numFmt numFmtId="179" formatCode="#,##0"/>
    <numFmt numFmtId="180" formatCode="\£#,##0.0"/>
    <numFmt numFmtId="181" formatCode="_-[$£-809]* #,##0.00_-;\-[$£-809]* #,##0.00_-;_-[$£-809]* \-??_-;_-@_-"/>
    <numFmt numFmtId="182" formatCode="0.00"/>
    <numFmt numFmtId="183" formatCode="\£#,##0.00_);[RED]&quot;(£&quot;#,##0.00\)"/>
    <numFmt numFmtId="184" formatCode="\£#,##0.0;[RED]&quot;-£&quot;#,##0.0"/>
    <numFmt numFmtId="185" formatCode="\£#,##0_);[RED]&quot;(£&quot;#,##0\)"/>
  </numFmts>
  <fonts count="47">
    <font>
      <sz val="12"/>
      <color theme="1"/>
      <name val="Aptos Narrow"/>
      <family val="2"/>
      <charset val="1"/>
    </font>
    <font>
      <sz val="10"/>
      <name val="Arial"/>
      <family val="0"/>
    </font>
    <font>
      <sz val="10"/>
      <name val="Arial"/>
      <family val="0"/>
    </font>
    <font>
      <sz val="10"/>
      <name val="Arial"/>
      <family val="0"/>
    </font>
    <font>
      <sz val="10"/>
      <color theme="1"/>
      <name val="Arial"/>
      <family val="2"/>
      <charset val="1"/>
    </font>
    <font>
      <b val="true"/>
      <sz val="10"/>
      <color theme="1"/>
      <name val="Arial"/>
      <family val="2"/>
      <charset val="1"/>
    </font>
    <font>
      <sz val="10"/>
      <name val="Arial"/>
      <family val="2"/>
      <charset val="1"/>
    </font>
    <font>
      <b val="true"/>
      <sz val="10"/>
      <color theme="0"/>
      <name val="Arial"/>
      <family val="2"/>
      <charset val="1"/>
    </font>
    <font>
      <b val="true"/>
      <sz val="8"/>
      <color rgb="FFA73F2C"/>
      <name val="Arial"/>
      <family val="2"/>
    </font>
    <font>
      <sz val="8"/>
      <color theme="1"/>
      <name val="Arial"/>
      <family val="2"/>
    </font>
    <font>
      <sz val="8"/>
      <color theme="1" tint="0.35"/>
      <name val="Arial"/>
      <family val="2"/>
    </font>
    <font>
      <u val="single"/>
      <sz val="8"/>
      <color theme="1" tint="0.35"/>
      <name val="Arial"/>
      <family val="2"/>
    </font>
    <font>
      <sz val="11"/>
      <color theme="1"/>
      <name val="Aptos Narrow"/>
      <family val="0"/>
    </font>
    <font>
      <b val="true"/>
      <sz val="12"/>
      <color theme="1"/>
      <name val="Aptos Narrow"/>
      <family val="0"/>
    </font>
    <font>
      <sz val="10"/>
      <color theme="1"/>
      <name val="Aptos Narrow"/>
      <family val="2"/>
      <charset val="1"/>
    </font>
    <font>
      <sz val="10"/>
      <color rgb="FF000000"/>
      <name val="Arial"/>
      <family val="2"/>
      <charset val="1"/>
    </font>
    <font>
      <sz val="10"/>
      <color theme="1"/>
      <name val="Calibri"/>
      <family val="2"/>
      <charset val="1"/>
    </font>
    <font>
      <sz val="10"/>
      <color rgb="FF000001"/>
      <name val="Arial"/>
      <family val="2"/>
      <charset val="1"/>
    </font>
    <font>
      <sz val="10"/>
      <name val="Arial"/>
      <family val="2"/>
    </font>
    <font>
      <sz val="9"/>
      <color rgb="FF000000"/>
      <name val="Tahoma"/>
      <family val="2"/>
      <charset val="1"/>
    </font>
    <font>
      <sz val="16"/>
      <color theme="1"/>
      <name val="Arial"/>
      <family val="2"/>
      <charset val="1"/>
    </font>
    <font>
      <sz val="12"/>
      <color theme="1"/>
      <name val="Arial"/>
      <family val="2"/>
      <charset val="1"/>
    </font>
    <font>
      <b val="true"/>
      <sz val="16"/>
      <color theme="1"/>
      <name val="Arial"/>
      <family val="2"/>
      <charset val="1"/>
    </font>
    <font>
      <b val="true"/>
      <sz val="16"/>
      <color theme="1"/>
      <name val="Aptos Narrow"/>
      <family val="2"/>
      <charset val="1"/>
    </font>
    <font>
      <b val="true"/>
      <sz val="11"/>
      <color theme="0"/>
      <name val="Arial"/>
      <family val="2"/>
      <charset val="1"/>
    </font>
    <font>
      <sz val="9"/>
      <color rgb="FF000000"/>
      <name val="Arial"/>
      <family val="2"/>
      <charset val="1"/>
    </font>
    <font>
      <sz val="9"/>
      <color theme="1"/>
      <name val="Arial"/>
      <family val="2"/>
      <charset val="1"/>
    </font>
    <font>
      <sz val="11"/>
      <color theme="1"/>
      <name val="Calibri"/>
      <family val="2"/>
      <charset val="1"/>
    </font>
    <font>
      <b val="true"/>
      <sz val="12"/>
      <color theme="1"/>
      <name val="Aptos Narrow"/>
      <family val="2"/>
      <charset val="1"/>
    </font>
    <font>
      <sz val="11"/>
      <color rgb="FF000000"/>
      <name val="Calibri"/>
      <family val="2"/>
      <charset val="1"/>
    </font>
    <font>
      <sz val="12"/>
      <color theme="1"/>
      <name val="Ariel"/>
      <family val="0"/>
      <charset val="1"/>
    </font>
    <font>
      <b val="true"/>
      <sz val="12"/>
      <color rgb="FF000000"/>
      <name val="Ariel"/>
      <family val="0"/>
      <charset val="1"/>
    </font>
    <font>
      <sz val="12"/>
      <color rgb="FF000000"/>
      <name val="Ariel"/>
      <family val="0"/>
      <charset val="1"/>
    </font>
    <font>
      <sz val="12"/>
      <color theme="3" tint="0.4999"/>
      <name val="Ariel"/>
      <family val="0"/>
      <charset val="1"/>
    </font>
    <font>
      <sz val="12"/>
      <color theme="4" tint="-0.5"/>
      <name val="Ariel"/>
      <family val="0"/>
      <charset val="1"/>
    </font>
    <font>
      <vertAlign val="superscript"/>
      <sz val="12"/>
      <color theme="4" tint="-0.5"/>
      <name val="Ariel"/>
      <family val="0"/>
      <charset val="1"/>
    </font>
    <font>
      <sz val="12"/>
      <color theme="8"/>
      <name val="Ariel"/>
      <family val="0"/>
      <charset val="1"/>
    </font>
    <font>
      <sz val="12"/>
      <color theme="5" tint="-0.5"/>
      <name val="Ariel"/>
      <family val="0"/>
      <charset val="1"/>
    </font>
    <font>
      <sz val="12"/>
      <color theme="6" tint="-0.5"/>
      <name val="Ariel"/>
      <family val="0"/>
      <charset val="1"/>
    </font>
    <font>
      <sz val="12"/>
      <color theme="7" tint="-0.25"/>
      <name val="Ariel"/>
      <family val="0"/>
      <charset val="1"/>
    </font>
    <font>
      <sz val="12"/>
      <color theme="6" tint="-0.25"/>
      <name val="Ariel"/>
      <family val="0"/>
      <charset val="1"/>
    </font>
    <font>
      <b val="true"/>
      <u val="single"/>
      <sz val="10"/>
      <color theme="1"/>
      <name val="Arial"/>
      <family val="2"/>
      <charset val="1"/>
    </font>
    <font>
      <sz val="10"/>
      <color rgb="FF333333"/>
      <name val="Arial"/>
      <family val="2"/>
      <charset val="1"/>
    </font>
    <font>
      <sz val="11"/>
      <name val="Aptos Narrow"/>
      <family val="2"/>
      <charset val="1"/>
    </font>
    <font>
      <sz val="9"/>
      <color rgb="FFFF0000"/>
      <name val="Arial"/>
      <family val="2"/>
      <charset val="1"/>
    </font>
    <font>
      <sz val="9"/>
      <color rgb="FF000001"/>
      <name val="Arial"/>
      <family val="2"/>
      <charset val="1"/>
    </font>
    <font>
      <sz val="9"/>
      <name val="Arial"/>
      <family val="2"/>
      <charset val="1"/>
    </font>
  </fonts>
  <fills count="12">
    <fill>
      <patternFill patternType="none"/>
    </fill>
    <fill>
      <patternFill patternType="gray125"/>
    </fill>
    <fill>
      <patternFill patternType="solid">
        <fgColor theme="0"/>
        <bgColor rgb="FFF8F8F8"/>
      </patternFill>
    </fill>
    <fill>
      <patternFill patternType="solid">
        <fgColor rgb="FFA73F2C"/>
        <bgColor rgb="FF9C6500"/>
      </patternFill>
    </fill>
    <fill>
      <patternFill patternType="solid">
        <fgColor theme="0" tint="-0.25"/>
        <bgColor rgb="FFC0C0C0"/>
      </patternFill>
    </fill>
    <fill>
      <patternFill patternType="solid">
        <fgColor rgb="FFC0C0C0"/>
        <bgColor rgb="FFBFBFBF"/>
      </patternFill>
    </fill>
    <fill>
      <patternFill patternType="solid">
        <fgColor rgb="FFFFFF00"/>
        <bgColor rgb="FFFFFF00"/>
      </patternFill>
    </fill>
    <fill>
      <patternFill patternType="solid">
        <fgColor rgb="FFFF0000"/>
        <bgColor rgb="FF9C0006"/>
      </patternFill>
    </fill>
    <fill>
      <patternFill patternType="solid">
        <fgColor theme="5" tint="-0.25"/>
        <bgColor rgb="FF7F7F7F"/>
      </patternFill>
    </fill>
    <fill>
      <patternFill patternType="solid">
        <fgColor theme="4" tint="0.5999"/>
        <bgColor rgb="FFF8F8F8"/>
      </patternFill>
    </fill>
    <fill>
      <patternFill patternType="solid">
        <fgColor theme="4" tint="0.7999"/>
        <bgColor rgb="FFFFFFFF"/>
      </patternFill>
    </fill>
    <fill>
      <patternFill patternType="solid">
        <fgColor theme="1"/>
        <bgColor rgb="FF000001"/>
      </patternFill>
    </fill>
  </fills>
  <borders count="23">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style="thin"/>
      <top/>
      <bottom/>
      <diagonal/>
    </border>
    <border diagonalUp="false" diagonalDown="false">
      <left/>
      <right/>
      <top style="thin"/>
      <bottom/>
      <diagonal/>
    </border>
    <border diagonalUp="false" diagonalDown="false">
      <left style="thin"/>
      <right/>
      <top/>
      <bottom style="thin"/>
      <diagonal/>
    </border>
    <border diagonalUp="false" diagonalDown="false">
      <left style="thin"/>
      <right/>
      <top style="thin"/>
      <bottom/>
      <diagonal/>
    </border>
    <border diagonalUp="false" diagonalDown="false">
      <left style="thin"/>
      <right style="thin"/>
      <top style="thin">
        <color theme="0"/>
      </top>
      <bottom style="thin"/>
      <diagonal/>
    </border>
    <border diagonalUp="false" diagonalDown="false">
      <left style="thin"/>
      <right style="thin">
        <color theme="0"/>
      </right>
      <top style="thin">
        <color theme="0"/>
      </top>
      <bottom style="thin"/>
      <diagonal/>
    </border>
    <border diagonalUp="false" diagonalDown="false">
      <left style="thin">
        <color theme="0"/>
      </left>
      <right style="thin"/>
      <top style="thin">
        <color theme="0"/>
      </top>
      <bottom style="thin"/>
      <diagonal/>
    </border>
    <border diagonalUp="false" diagonalDown="false">
      <left style="thin"/>
      <right style="thin">
        <color theme="0"/>
      </right>
      <top style="thin"/>
      <bottom style="thin"/>
      <diagonal/>
    </border>
    <border diagonalUp="false" diagonalDown="false">
      <left style="thin">
        <color theme="0"/>
      </left>
      <right style="thin"/>
      <top style="thin"/>
      <bottom style="thin"/>
      <diagonal/>
    </border>
    <border diagonalUp="false" diagonalDown="false">
      <left style="thin">
        <color theme="0"/>
      </left>
      <right style="thin">
        <color theme="0"/>
      </right>
      <top style="thin">
        <color theme="0"/>
      </top>
      <bottom style="thin">
        <color theme="0"/>
      </bottom>
      <diagonal/>
    </border>
    <border diagonalUp="false" diagonalDown="false">
      <left style="thin"/>
      <right style="thin"/>
      <top style="thin"/>
      <bottom style="thin">
        <color theme="0"/>
      </bottom>
      <diagonal/>
    </border>
    <border diagonalUp="false" diagonalDown="false">
      <left/>
      <right style="thin"/>
      <top style="thin"/>
      <bottom/>
      <diagonal/>
    </border>
    <border diagonalUp="false" diagonalDown="false">
      <left/>
      <right style="thin"/>
      <top/>
      <bottom style="thin"/>
      <diagonal/>
    </border>
  </borders>
  <cellStyleXfs count="25">
    <xf numFmtId="164" fontId="0" fillId="2"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3" fontId="0" fillId="2"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2"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5" fontId="0" fillId="2" borderId="0" applyFont="true" applyBorder="false" applyAlignment="true" applyProtection="false">
      <alignment horizontal="general" vertical="bottom" textRotation="0" wrapText="false" indent="0" shrinkToFit="false"/>
    </xf>
    <xf numFmtId="166" fontId="0" fillId="2" borderId="0" applyFont="true" applyBorder="false" applyAlignment="true" applyProtection="false">
      <alignment horizontal="general" vertical="bottom" textRotation="0" wrapText="false" indent="0" shrinkToFit="false"/>
    </xf>
    <xf numFmtId="166" fontId="0" fillId="2" borderId="0" applyFont="true" applyBorder="false" applyAlignment="true" applyProtection="false">
      <alignment horizontal="general" vertical="bottom" textRotation="0" wrapText="false" indent="0" shrinkToFit="false"/>
    </xf>
    <xf numFmtId="167" fontId="0" fillId="2" borderId="0" applyFont="true" applyBorder="false" applyAlignment="true" applyProtection="false">
      <alignment horizontal="general" vertical="bottom" textRotation="0" wrapText="false" indent="0" shrinkToFit="false"/>
    </xf>
    <xf numFmtId="167" fontId="0" fillId="2" borderId="0" applyFont="true" applyBorder="false" applyAlignment="true" applyProtection="false">
      <alignment horizontal="general" vertical="bottom" textRotation="0" wrapText="false" indent="0" shrinkToFit="false"/>
    </xf>
  </cellStyleXfs>
  <cellXfs count="660">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8" fontId="4" fillId="2" borderId="0" xfId="0" applyFont="true" applyBorder="false" applyAlignment="false" applyProtection="true">
      <alignment horizontal="general" vertical="bottom" textRotation="0" wrapText="false" indent="0" shrinkToFit="false"/>
      <protection locked="fals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9" fontId="4"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left" vertical="top" textRotation="0" wrapText="fals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3" borderId="2"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70" fontId="4" fillId="2" borderId="1" xfId="0" applyFont="true" applyBorder="true" applyAlignment="true" applyProtection="false">
      <alignment horizontal="left"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70" fontId="5" fillId="2" borderId="4" xfId="0" applyFont="true" applyBorder="true" applyAlignment="true" applyProtection="false">
      <alignment horizontal="general" vertical="center" textRotation="0" wrapText="false" indent="0" shrinkToFit="false"/>
      <protection locked="true" hidden="false"/>
    </xf>
    <xf numFmtId="164" fontId="5" fillId="2" borderId="5" xfId="0" applyFont="true" applyBorder="true" applyAlignment="true" applyProtection="false">
      <alignment horizontal="right" vertical="center" textRotation="0" wrapText="false" indent="0" shrinkToFit="false"/>
      <protection locked="true" hidden="false"/>
    </xf>
    <xf numFmtId="164" fontId="5" fillId="2" borderId="2" xfId="0" applyFont="true" applyBorder="true" applyAlignment="true" applyProtection="false">
      <alignment horizontal="right" vertical="center" textRotation="0" wrapText="false" indent="0" shrinkToFit="false"/>
      <protection locked="true" hidden="false"/>
    </xf>
    <xf numFmtId="164" fontId="5" fillId="2" borderId="6" xfId="0" applyFont="true" applyBorder="true" applyAlignment="true" applyProtection="false">
      <alignment horizontal="righ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71" fontId="4" fillId="0" borderId="1"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5" fillId="2" borderId="7" xfId="0" applyFont="true" applyBorder="true" applyAlignment="true" applyProtection="false">
      <alignment horizontal="center" vertical="center" textRotation="0" wrapText="false" indent="0" shrinkToFit="false"/>
      <protection locked="true" hidden="false"/>
    </xf>
    <xf numFmtId="170" fontId="5"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0" fontId="5" fillId="2" borderId="7" xfId="0" applyFont="true" applyBorder="true" applyAlignment="true" applyProtection="false">
      <alignment horizontal="left" vertical="center"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left" vertical="center" textRotation="0" wrapText="false" indent="0" shrinkToFit="false"/>
      <protection locked="true" hidden="false"/>
    </xf>
    <xf numFmtId="172" fontId="4" fillId="2" borderId="1" xfId="0" applyFont="true" applyBorder="true" applyAlignment="true" applyProtection="false">
      <alignment horizontal="center" vertical="center" textRotation="0" wrapText="false" indent="0" shrinkToFit="false"/>
      <protection locked="true" hidden="false"/>
    </xf>
    <xf numFmtId="170" fontId="4" fillId="2" borderId="1" xfId="0" applyFont="true" applyBorder="true" applyAlignment="true" applyProtection="true">
      <alignment horizontal="general" vertical="center" textRotation="0" wrapText="false" indent="0" shrinkToFit="false"/>
      <protection locked="false" hidden="false"/>
    </xf>
    <xf numFmtId="164" fontId="4" fillId="2" borderId="1" xfId="0" applyFont="true" applyBorder="tru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70" fontId="4" fillId="0" borderId="1"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false" applyProtection="true">
      <alignment horizontal="general" vertical="bottom" textRotation="0" wrapText="false" indent="0" shrinkToFit="false"/>
      <protection locked="false" hidden="false"/>
    </xf>
    <xf numFmtId="164" fontId="4" fillId="2" borderId="0" xfId="0" applyFont="true" applyBorder="false" applyAlignment="true" applyProtection="true">
      <alignment horizontal="center" vertical="bottom" textRotation="0" wrapText="false" indent="0" shrinkToFit="false"/>
      <protection locked="false" hidden="false"/>
    </xf>
    <xf numFmtId="174" fontId="4" fillId="2" borderId="0" xfId="15" applyFont="true" applyBorder="true" applyAlignment="true" applyProtection="true">
      <alignment horizontal="center" vertical="center" textRotation="0" wrapText="true" indent="0" shrinkToFit="false"/>
      <protection locked="false" hidden="false"/>
    </xf>
    <xf numFmtId="164" fontId="14" fillId="2" borderId="0" xfId="0" applyFont="true" applyBorder="false" applyAlignment="false" applyProtection="true">
      <alignment horizontal="general" vertical="bottom" textRotation="0" wrapText="false" indent="0" shrinkToFit="false"/>
      <protection locked="false" hidden="false"/>
    </xf>
    <xf numFmtId="164" fontId="5" fillId="2" borderId="0" xfId="0" applyFont="true" applyBorder="false" applyAlignment="true" applyProtection="true">
      <alignment horizontal="center" vertical="bottom" textRotation="0" wrapText="false" indent="0" shrinkToFit="false"/>
      <protection locked="false" hidden="false"/>
    </xf>
    <xf numFmtId="168" fontId="4" fillId="2" borderId="0" xfId="0" applyFont="true" applyBorder="false" applyAlignment="true" applyProtection="true">
      <alignment horizontal="left" vertical="bottom" textRotation="0" wrapText="false" indent="0" shrinkToFit="false"/>
      <protection locked="false" hidden="false"/>
    </xf>
    <xf numFmtId="164" fontId="4" fillId="4" borderId="1" xfId="0" applyFont="true" applyBorder="true" applyAlignment="true" applyProtection="true">
      <alignment horizontal="center" vertical="top" textRotation="0" wrapText="false" indent="0" shrinkToFit="false"/>
      <protection locked="false" hidden="false"/>
    </xf>
    <xf numFmtId="164" fontId="4" fillId="5" borderId="1" xfId="0" applyFont="true" applyBorder="true" applyAlignment="true" applyProtection="true">
      <alignment horizontal="center" vertical="top" textRotation="0" wrapText="true" indent="0" shrinkToFit="false"/>
      <protection locked="false" hidden="false"/>
    </xf>
    <xf numFmtId="174" fontId="4" fillId="5" borderId="1" xfId="15" applyFont="true" applyBorder="true" applyAlignment="true" applyProtection="true">
      <alignment horizontal="center" vertical="center" textRotation="0" wrapText="true" indent="0" shrinkToFit="false"/>
      <protection locked="false" hidden="false"/>
    </xf>
    <xf numFmtId="164" fontId="4" fillId="5" borderId="1" xfId="0" applyFont="true" applyBorder="true" applyAlignment="true" applyProtection="true">
      <alignment horizontal="center" vertical="center" textRotation="0" wrapText="true" indent="0" shrinkToFit="false"/>
      <protection locked="false" hidden="false"/>
    </xf>
    <xf numFmtId="164" fontId="6" fillId="2" borderId="1" xfId="0" applyFont="true" applyBorder="true" applyAlignment="true" applyProtection="true">
      <alignment horizontal="center" vertical="center" textRotation="0" wrapText="false" indent="0" shrinkToFit="false"/>
      <protection locked="false" hidden="false"/>
    </xf>
    <xf numFmtId="164" fontId="4" fillId="2" borderId="1" xfId="0" applyFont="true" applyBorder="true" applyAlignment="true" applyProtection="true">
      <alignment horizontal="left" vertical="center" textRotation="0" wrapText="true" indent="0" shrinkToFit="false"/>
      <protection locked="false" hidden="false"/>
    </xf>
    <xf numFmtId="164" fontId="4" fillId="2" borderId="1" xfId="0" applyFont="true" applyBorder="true" applyAlignment="true" applyProtection="true">
      <alignment horizontal="center" vertical="center" textRotation="0" wrapText="true" indent="0" shrinkToFit="false"/>
      <protection locked="false" hidden="false"/>
    </xf>
    <xf numFmtId="164" fontId="15" fillId="0" borderId="1" xfId="0" applyFont="true" applyBorder="true" applyAlignment="true" applyProtection="true">
      <alignment horizontal="center" vertical="center" textRotation="0" wrapText="true" indent="0" shrinkToFit="false"/>
      <protection locked="false" hidden="false"/>
    </xf>
    <xf numFmtId="174" fontId="4" fillId="2" borderId="1" xfId="15" applyFont="true" applyBorder="true" applyAlignment="true" applyProtection="true">
      <alignment horizontal="center" vertical="center" textRotation="0" wrapText="true" indent="0" shrinkToFit="false"/>
      <protection locked="false" hidden="false"/>
    </xf>
    <xf numFmtId="175" fontId="4" fillId="2" borderId="1" xfId="0" applyFont="true" applyBorder="true" applyAlignment="true" applyProtection="true">
      <alignment horizontal="center" vertical="center" textRotation="0" wrapText="false" indent="0" shrinkToFit="false"/>
      <protection locked="false" hidden="false"/>
    </xf>
    <xf numFmtId="164" fontId="6" fillId="2" borderId="1" xfId="0" applyFont="true" applyBorder="true" applyAlignment="true" applyProtection="true">
      <alignment horizontal="center" vertical="center" textRotation="0" wrapText="true" indent="0" shrinkToFit="false"/>
      <protection locked="false" hidden="false"/>
    </xf>
    <xf numFmtId="164" fontId="16" fillId="2" borderId="1" xfId="0" applyFont="true" applyBorder="true" applyAlignment="true" applyProtection="true">
      <alignment horizontal="general" vertical="center" textRotation="0" wrapText="true" indent="0" shrinkToFit="false"/>
      <protection locked="false" hidden="false"/>
    </xf>
    <xf numFmtId="176" fontId="4" fillId="2" borderId="1" xfId="0" applyFont="true" applyBorder="true" applyAlignment="true" applyProtection="true">
      <alignment horizontal="general" vertical="center" textRotation="0" wrapText="true" indent="0" shrinkToFit="false"/>
      <protection locked="false" hidden="false"/>
    </xf>
    <xf numFmtId="170" fontId="4" fillId="2" borderId="1" xfId="17" applyFont="true" applyBorder="true" applyAlignment="true" applyProtection="true">
      <alignment horizontal="general" vertical="center" textRotation="0" wrapText="true" indent="0" shrinkToFit="false"/>
      <protection locked="false" hidden="false"/>
    </xf>
    <xf numFmtId="171" fontId="15" fillId="0" borderId="1" xfId="0" applyFont="true" applyBorder="true" applyAlignment="true" applyProtection="false">
      <alignment horizontal="general" vertical="center" textRotation="0" wrapText="true" indent="0" shrinkToFit="false"/>
      <protection locked="true" hidden="false"/>
    </xf>
    <xf numFmtId="177" fontId="15" fillId="0" borderId="1" xfId="0" applyFont="true" applyBorder="true" applyAlignment="true" applyProtection="false">
      <alignment horizontal="general" vertical="center" textRotation="0" wrapText="true" indent="0" shrinkToFit="false"/>
      <protection locked="true" hidden="false"/>
    </xf>
    <xf numFmtId="178" fontId="4" fillId="2"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false" hidden="false"/>
    </xf>
    <xf numFmtId="164" fontId="4" fillId="2" borderId="1" xfId="0" applyFont="true" applyBorder="true" applyAlignment="true" applyProtection="true">
      <alignment horizontal="general" vertical="center" textRotation="0" wrapText="true" indent="0" shrinkToFit="false"/>
      <protection locked="false" hidden="false"/>
    </xf>
    <xf numFmtId="164" fontId="15" fillId="0" borderId="1" xfId="0" applyFont="true" applyBorder="true" applyAlignment="true" applyProtection="true">
      <alignment horizontal="center" vertical="bottom" textRotation="0" wrapText="true" indent="0" shrinkToFit="false"/>
      <protection locked="false" hidden="false"/>
    </xf>
    <xf numFmtId="164" fontId="15" fillId="2" borderId="1" xfId="0" applyFont="true" applyBorder="true" applyAlignment="true" applyProtection="true">
      <alignment horizontal="center" vertical="bottom" textRotation="0" wrapText="true" indent="0" shrinkToFit="false"/>
      <protection locked="false" hidden="false"/>
    </xf>
    <xf numFmtId="174" fontId="4" fillId="2" borderId="1" xfId="15" applyFont="true" applyBorder="tru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false" hidden="false"/>
    </xf>
    <xf numFmtId="164" fontId="15" fillId="2" borderId="1" xfId="0" applyFont="true" applyBorder="true" applyAlignment="true" applyProtection="true">
      <alignment horizontal="left" vertical="center" textRotation="0" wrapText="true" indent="0" shrinkToFit="false"/>
      <protection locked="false" hidden="false"/>
    </xf>
    <xf numFmtId="164" fontId="15" fillId="2" borderId="1" xfId="0" applyFont="true" applyBorder="true" applyAlignment="true" applyProtection="true">
      <alignment horizontal="center" vertical="center" textRotation="0" wrapText="true" indent="0" shrinkToFit="false"/>
      <protection locked="false" hidden="false"/>
    </xf>
    <xf numFmtId="174" fontId="15" fillId="2" borderId="1" xfId="15" applyFont="true" applyBorder="true" applyAlignment="true" applyProtection="true">
      <alignment horizontal="center" vertical="center" textRotation="0" wrapText="true" indent="0" shrinkToFit="false"/>
      <protection locked="false" hidden="false"/>
    </xf>
    <xf numFmtId="175" fontId="15" fillId="2" borderId="1" xfId="0" applyFont="true" applyBorder="true" applyAlignment="true" applyProtection="true">
      <alignment horizontal="center" vertical="center" textRotation="0" wrapText="false" indent="0" shrinkToFit="false"/>
      <protection locked="false" hidden="false"/>
    </xf>
    <xf numFmtId="176" fontId="15" fillId="2" borderId="1" xfId="0" applyFont="true" applyBorder="true" applyAlignment="true" applyProtection="true">
      <alignment horizontal="general" vertical="center" textRotation="0" wrapText="true" indent="0" shrinkToFit="false"/>
      <protection locked="false" hidden="false"/>
    </xf>
    <xf numFmtId="171" fontId="4" fillId="2" borderId="1" xfId="0" applyFont="true" applyBorder="true" applyAlignment="true" applyProtection="true">
      <alignment horizontal="general" vertical="center" textRotation="0" wrapText="false" indent="0" shrinkToFit="false"/>
      <protection locked="false" hidden="false"/>
    </xf>
    <xf numFmtId="164" fontId="17" fillId="2" borderId="1" xfId="0" applyFont="true" applyBorder="true" applyAlignment="true" applyProtection="true">
      <alignment horizontal="center" vertical="center" textRotation="0" wrapText="true" indent="0" shrinkToFit="false"/>
      <protection locked="false" hidden="false"/>
    </xf>
    <xf numFmtId="164" fontId="15" fillId="2" borderId="1" xfId="0" applyFont="true" applyBorder="true" applyAlignment="true" applyProtection="true">
      <alignment horizontal="center" vertical="center" textRotation="0" wrapText="false" indent="0" shrinkToFit="false"/>
      <protection locked="false" hidden="false"/>
    </xf>
    <xf numFmtId="164" fontId="15" fillId="2" borderId="1" xfId="0" applyFont="true" applyBorder="true" applyAlignment="true" applyProtection="true">
      <alignment horizontal="left" vertical="top" textRotation="0" wrapText="true" indent="0" shrinkToFit="false"/>
      <protection locked="false" hidden="false"/>
    </xf>
    <xf numFmtId="164" fontId="6" fillId="6" borderId="1" xfId="0" applyFont="true" applyBorder="true" applyAlignment="true" applyProtection="true">
      <alignment horizontal="center" vertical="center" textRotation="0" wrapText="false" indent="0" shrinkToFit="false"/>
      <protection locked="false" hidden="false"/>
    </xf>
    <xf numFmtId="164" fontId="15" fillId="6" borderId="1" xfId="0" applyFont="true" applyBorder="true" applyAlignment="true" applyProtection="true">
      <alignment horizontal="left" vertical="center" textRotation="0" wrapText="true" indent="0" shrinkToFit="false"/>
      <protection locked="false" hidden="false"/>
    </xf>
    <xf numFmtId="164" fontId="15" fillId="6" borderId="1" xfId="0" applyFont="true" applyBorder="true" applyAlignment="true" applyProtection="true">
      <alignment horizontal="center" vertical="center" textRotation="0" wrapText="true" indent="0" shrinkToFit="false"/>
      <protection locked="false" hidden="false"/>
    </xf>
    <xf numFmtId="164" fontId="4" fillId="6" borderId="1" xfId="0" applyFont="true" applyBorder="true" applyAlignment="true" applyProtection="true">
      <alignment horizontal="center" vertical="center" textRotation="0" wrapText="false" indent="0" shrinkToFit="false"/>
      <protection locked="false" hidden="false"/>
    </xf>
    <xf numFmtId="174" fontId="15" fillId="6" borderId="1" xfId="15" applyFont="true" applyBorder="true" applyAlignment="true" applyProtection="true">
      <alignment horizontal="center" vertical="center" textRotation="0" wrapText="true" indent="0" shrinkToFit="false"/>
      <protection locked="false" hidden="false"/>
    </xf>
    <xf numFmtId="175" fontId="15" fillId="6" borderId="1" xfId="0" applyFont="true" applyBorder="true" applyAlignment="true" applyProtection="true">
      <alignment horizontal="center" vertical="center" textRotation="0" wrapText="false" indent="0" shrinkToFit="false"/>
      <protection locked="false" hidden="false"/>
    </xf>
    <xf numFmtId="164" fontId="4" fillId="6" borderId="1" xfId="0" applyFont="true" applyBorder="true" applyAlignment="true" applyProtection="true">
      <alignment horizontal="center" vertical="center" textRotation="0" wrapText="true" indent="0" shrinkToFit="false"/>
      <protection locked="false" hidden="false"/>
    </xf>
    <xf numFmtId="176" fontId="15" fillId="6" borderId="1" xfId="0" applyFont="true" applyBorder="true" applyAlignment="true" applyProtection="true">
      <alignment horizontal="general" vertical="center" textRotation="0" wrapText="true" indent="0" shrinkToFit="false"/>
      <protection locked="false" hidden="false"/>
    </xf>
    <xf numFmtId="171" fontId="4" fillId="6" borderId="1" xfId="0" applyFont="true" applyBorder="true" applyAlignment="true" applyProtection="true">
      <alignment horizontal="general" vertical="center" textRotation="0" wrapText="false" indent="0" shrinkToFit="false"/>
      <protection locked="false" hidden="false"/>
    </xf>
    <xf numFmtId="171" fontId="15" fillId="6" borderId="1" xfId="0" applyFont="true" applyBorder="true" applyAlignment="true" applyProtection="false">
      <alignment horizontal="general" vertical="center" textRotation="0" wrapText="true" indent="0" shrinkToFit="false"/>
      <protection locked="true" hidden="false"/>
    </xf>
    <xf numFmtId="177" fontId="15" fillId="6" borderId="1" xfId="0" applyFont="true" applyBorder="true" applyAlignment="true" applyProtection="false">
      <alignment horizontal="general" vertical="center" textRotation="0" wrapText="true" indent="0" shrinkToFit="false"/>
      <protection locked="true" hidden="false"/>
    </xf>
    <xf numFmtId="178" fontId="4" fillId="6" borderId="1" xfId="0" applyFont="true" applyBorder="true" applyAlignment="true" applyProtection="false">
      <alignment horizontal="general" vertical="center" textRotation="0" wrapText="true" indent="0" shrinkToFit="false"/>
      <protection locked="true" hidden="false"/>
    </xf>
    <xf numFmtId="164" fontId="17" fillId="6" borderId="1" xfId="0" applyFont="true" applyBorder="true" applyAlignment="true" applyProtection="true">
      <alignment horizontal="center" vertical="center" textRotation="0" wrapText="true" indent="0" shrinkToFit="false"/>
      <protection locked="false" hidden="false"/>
    </xf>
    <xf numFmtId="164" fontId="15" fillId="6" borderId="1" xfId="0" applyFont="true" applyBorder="true" applyAlignment="true" applyProtection="true">
      <alignment horizontal="center" vertical="center" textRotation="0" wrapText="false" indent="0" shrinkToFit="false"/>
      <protection locked="false" hidden="false"/>
    </xf>
    <xf numFmtId="164" fontId="15" fillId="6" borderId="1" xfId="0" applyFont="true" applyBorder="true" applyAlignment="true" applyProtection="true">
      <alignment horizontal="left" vertical="top" textRotation="0" wrapText="true" indent="0" shrinkToFit="false"/>
      <protection locked="false" hidden="false"/>
    </xf>
    <xf numFmtId="171" fontId="15" fillId="2" borderId="1" xfId="0" applyFont="true" applyBorder="true" applyAlignment="true" applyProtection="true">
      <alignment horizontal="general" vertical="center" textRotation="0" wrapText="true" indent="0" shrinkToFit="false"/>
      <protection locked="false" hidden="false"/>
    </xf>
    <xf numFmtId="164" fontId="6" fillId="2" borderId="8" xfId="0" applyFont="true" applyBorder="true" applyAlignment="true" applyProtection="true">
      <alignment horizontal="center" vertical="center" textRotation="0" wrapText="false" indent="0" shrinkToFit="false"/>
      <protection locked="false" hidden="false"/>
    </xf>
    <xf numFmtId="179" fontId="4" fillId="2" borderId="1" xfId="0" applyFont="true" applyBorder="true" applyAlignment="true" applyProtection="true">
      <alignment horizontal="right" vertical="center" textRotation="0" wrapText="true" indent="0" shrinkToFit="false"/>
      <protection locked="false" hidden="false"/>
    </xf>
    <xf numFmtId="175" fontId="15" fillId="2" borderId="1" xfId="0" applyFont="true" applyBorder="true" applyAlignment="true" applyProtection="true">
      <alignment horizontal="center" vertical="center" textRotation="0" wrapText="true" indent="0" shrinkToFit="false"/>
      <protection locked="false" hidden="false"/>
    </xf>
    <xf numFmtId="176" fontId="15" fillId="2" borderId="1" xfId="0" applyFont="true" applyBorder="true" applyAlignment="true" applyProtection="true">
      <alignment horizontal="center" vertical="center" textRotation="0" wrapText="true" indent="0" shrinkToFit="false"/>
      <protection locked="false" hidden="false"/>
    </xf>
    <xf numFmtId="180" fontId="15" fillId="2" borderId="1" xfId="17" applyFont="true" applyBorder="true" applyAlignment="true" applyProtection="true">
      <alignment horizontal="left" vertical="center" textRotation="0" wrapText="true" indent="0" shrinkToFit="false"/>
      <protection locked="false" hidden="false"/>
    </xf>
    <xf numFmtId="171" fontId="15" fillId="2" borderId="1" xfId="0" applyFont="true" applyBorder="true" applyAlignment="true" applyProtection="true">
      <alignment horizontal="right" vertical="center" textRotation="0" wrapText="true" indent="0" shrinkToFit="false"/>
      <protection locked="false" hidden="false"/>
    </xf>
    <xf numFmtId="176" fontId="15" fillId="2" borderId="4" xfId="0" applyFont="true" applyBorder="true" applyAlignment="true" applyProtection="true">
      <alignment horizontal="right" vertical="center" textRotation="0" wrapText="true" indent="0" shrinkToFit="false"/>
      <protection locked="false" hidden="false"/>
    </xf>
    <xf numFmtId="164" fontId="15" fillId="2" borderId="5" xfId="0" applyFont="true" applyBorder="true" applyAlignment="true" applyProtection="true">
      <alignment horizontal="center" vertical="center" textRotation="0" wrapText="true" indent="0" shrinkToFit="false"/>
      <protection locked="false" hidden="false"/>
    </xf>
    <xf numFmtId="171" fontId="15" fillId="2" borderId="1" xfId="17" applyFont="true" applyBorder="true" applyAlignment="true" applyProtection="true">
      <alignment horizontal="general" vertical="center" textRotation="0" wrapText="true" indent="0" shrinkToFit="false"/>
      <protection locked="false" hidden="false"/>
    </xf>
    <xf numFmtId="164" fontId="4" fillId="2" borderId="1" xfId="0" applyFont="true" applyBorder="true" applyAlignment="fals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center" vertical="bottom" textRotation="0" wrapText="false" indent="0" shrinkToFit="false"/>
      <protection locked="false" hidden="false"/>
    </xf>
    <xf numFmtId="175" fontId="4" fillId="2" borderId="1" xfId="0" applyFont="true" applyBorder="true" applyAlignment="true" applyProtection="true">
      <alignment horizontal="center" vertical="bottom" textRotation="0" wrapText="false" indent="0" shrinkToFit="false"/>
      <protection locked="false" hidden="false"/>
    </xf>
    <xf numFmtId="164" fontId="4" fillId="2" borderId="1" xfId="0" applyFont="true" applyBorder="true" applyAlignment="true" applyProtection="true">
      <alignment horizontal="general" vertical="center" textRotation="0" wrapText="false" indent="0" shrinkToFit="false"/>
      <protection locked="false" hidden="false"/>
    </xf>
    <xf numFmtId="171" fontId="4" fillId="2" borderId="1" xfId="0" applyFont="true" applyBorder="true" applyAlignment="true" applyProtection="true">
      <alignment horizontal="right" vertical="center" textRotation="0" wrapText="false" indent="0" shrinkToFit="false"/>
      <protection locked="false" hidden="false"/>
    </xf>
    <xf numFmtId="171" fontId="15" fillId="0" borderId="1" xfId="0" applyFont="true" applyBorder="true" applyAlignment="true" applyProtection="false">
      <alignment horizontal="right" vertical="center" textRotation="0" wrapText="true" indent="0" shrinkToFit="false"/>
      <protection locked="true" hidden="false"/>
    </xf>
    <xf numFmtId="177" fontId="15" fillId="0" borderId="1" xfId="0" applyFont="true" applyBorder="true" applyAlignment="true" applyProtection="false">
      <alignment horizontal="right" vertical="center" textRotation="0" wrapText="tru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false" hidden="false"/>
    </xf>
    <xf numFmtId="171" fontId="4" fillId="2" borderId="0" xfId="0" applyFont="true" applyBorder="false" applyAlignment="true" applyProtection="true">
      <alignment horizontal="center" vertical="bottom" textRotation="0" wrapText="false" indent="0" shrinkToFit="false"/>
      <protection locked="false" hidden="false"/>
    </xf>
    <xf numFmtId="178" fontId="4" fillId="2" borderId="0" xfId="0" applyFont="true" applyBorder="false" applyAlignment="true" applyProtection="true">
      <alignment horizontal="center" vertical="bottom" textRotation="0" wrapText="false" indent="0" shrinkToFit="false"/>
      <protection locked="fals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true" applyAlignment="true" applyProtection="false">
      <alignment horizontal="center"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center" vertical="bottom" textRotation="0" wrapText="false" indent="0" shrinkToFit="false"/>
      <protection locked="true" hidden="false"/>
    </xf>
    <xf numFmtId="164" fontId="21" fillId="2"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center" textRotation="0" wrapText="false" indent="0" shrinkToFit="false"/>
      <protection locked="true" hidden="false"/>
    </xf>
    <xf numFmtId="175" fontId="21" fillId="2" borderId="0" xfId="0" applyFont="true" applyBorder="false" applyAlignment="true" applyProtection="false">
      <alignment horizontal="general"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center" vertical="top"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25" fillId="2" borderId="1"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76" fontId="25" fillId="0" borderId="1" xfId="0" applyFont="true" applyBorder="true" applyAlignment="true" applyProtection="false">
      <alignment horizontal="center" vertical="center" textRotation="0" wrapText="true" indent="0" shrinkToFit="false"/>
      <protection locked="true" hidden="false"/>
    </xf>
    <xf numFmtId="180" fontId="25" fillId="0" borderId="1" xfId="17" applyFont="true" applyBorder="true" applyAlignment="true" applyProtection="true">
      <alignment horizontal="center" vertical="center" textRotation="0" wrapText="true" indent="0" shrinkToFit="false"/>
      <protection locked="true" hidden="false"/>
    </xf>
    <xf numFmtId="164" fontId="27" fillId="0" borderId="10" xfId="0" applyFont="true" applyBorder="true" applyAlignment="true" applyProtection="false">
      <alignment horizontal="general"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26" fillId="2" borderId="0" xfId="0" applyFont="true" applyBorder="fals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79" fontId="26" fillId="2" borderId="1" xfId="0" applyFont="true" applyBorder="true" applyAlignment="true" applyProtection="false">
      <alignment horizontal="center" vertical="center" textRotation="0" wrapText="false" indent="0" shrinkToFit="false"/>
      <protection locked="true" hidden="false"/>
    </xf>
    <xf numFmtId="171" fontId="6" fillId="2" borderId="1" xfId="0" applyFont="true" applyBorder="true" applyAlignment="true" applyProtection="false">
      <alignment horizontal="left" vertical="center" textRotation="0" wrapText="true" indent="0" shrinkToFit="false"/>
      <protection locked="true" hidden="false"/>
    </xf>
    <xf numFmtId="178" fontId="6" fillId="2" borderId="1" xfId="0" applyFont="true" applyBorder="true" applyAlignment="true" applyProtection="false">
      <alignment horizontal="left" vertical="center" textRotation="0" wrapText="true" indent="0" shrinkToFit="false"/>
      <protection locked="true" hidden="false"/>
    </xf>
    <xf numFmtId="164" fontId="26" fillId="2" borderId="7"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78" fontId="6" fillId="2" borderId="1"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top" textRotation="0" wrapText="false" indent="0" shrinkToFit="false"/>
      <protection locked="true" hidden="false"/>
    </xf>
    <xf numFmtId="181" fontId="4" fillId="2" borderId="0" xfId="0" applyFont="true" applyBorder="false" applyAlignment="true" applyProtection="false">
      <alignment horizontal="general" vertical="center" textRotation="0" wrapText="false" indent="0" shrinkToFit="false"/>
      <protection locked="true" hidden="false"/>
    </xf>
    <xf numFmtId="164" fontId="14" fillId="0" borderId="1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center" vertical="top"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81" fontId="14" fillId="2" borderId="0" xfId="0" applyFont="true" applyBorder="false" applyAlignment="true" applyProtection="false">
      <alignment horizontal="general" vertical="center" textRotation="0" wrapText="false" indent="0" shrinkToFit="false"/>
      <protection locked="true" hidden="false"/>
    </xf>
    <xf numFmtId="164" fontId="28" fillId="2" borderId="11" xfId="0" applyFont="true" applyBorder="true" applyAlignment="true" applyProtection="false">
      <alignment horizontal="center" vertical="bottom" textRotation="0" wrapText="false" indent="0" shrinkToFit="false"/>
      <protection locked="true" hidden="false"/>
    </xf>
    <xf numFmtId="164" fontId="0" fillId="2" borderId="10" xfId="0" applyFont="false" applyBorder="true" applyAlignment="false" applyProtection="false">
      <alignment horizontal="general" vertical="bottom" textRotation="0" wrapText="false" indent="0" shrinkToFit="false"/>
      <protection locked="true" hidden="false"/>
    </xf>
    <xf numFmtId="164" fontId="27" fillId="2" borderId="0" xfId="0" applyFont="true" applyBorder="false" applyAlignment="true" applyProtection="false">
      <alignment horizontal="center" vertical="bottom" textRotation="0" wrapText="true" indent="0" shrinkToFit="false"/>
      <protection locked="true" hidden="false"/>
    </xf>
    <xf numFmtId="164" fontId="27" fillId="2" borderId="5" xfId="0" applyFont="true" applyBorder="true" applyAlignment="true" applyProtection="false">
      <alignment horizontal="left" vertical="bottom" textRotation="0" wrapText="true" indent="0" shrinkToFit="false"/>
      <protection locked="true" hidden="false"/>
    </xf>
    <xf numFmtId="164" fontId="27" fillId="2" borderId="5" xfId="0" applyFont="true" applyBorder="true" applyAlignment="true" applyProtection="false">
      <alignment horizontal="general" vertical="bottom" textRotation="0" wrapText="true" indent="0" shrinkToFit="false"/>
      <protection locked="true" hidden="false"/>
    </xf>
    <xf numFmtId="176" fontId="27" fillId="2" borderId="1" xfId="0" applyFont="true" applyBorder="true" applyAlignment="true" applyProtection="false">
      <alignment horizontal="center" vertical="bottom" textRotation="0" wrapText="true" indent="0" shrinkToFit="false"/>
      <protection locked="true" hidden="false"/>
    </xf>
    <xf numFmtId="176" fontId="27" fillId="2" borderId="0" xfId="0" applyFont="true" applyBorder="false" applyAlignment="true" applyProtection="false">
      <alignment horizontal="center" vertical="bottom" textRotation="0" wrapText="false" indent="0" shrinkToFit="false"/>
      <protection locked="true" hidden="false"/>
    </xf>
    <xf numFmtId="176" fontId="27" fillId="2" borderId="5" xfId="0" applyFont="true" applyBorder="true" applyAlignment="true" applyProtection="false">
      <alignment horizontal="general" vertical="bottom" textRotation="0" wrapText="true" indent="0" shrinkToFit="false"/>
      <protection locked="true" hidden="false"/>
    </xf>
    <xf numFmtId="176" fontId="27" fillId="2" borderId="1" xfId="0" applyFont="true" applyBorder="true" applyAlignment="true" applyProtection="false">
      <alignment horizontal="center" vertical="center" textRotation="0" wrapText="false" indent="0" shrinkToFit="false"/>
      <protection locked="true" hidden="false"/>
    </xf>
    <xf numFmtId="176" fontId="0" fillId="2" borderId="0" xfId="0" applyFont="false" applyBorder="false" applyAlignment="true" applyProtection="false">
      <alignment horizontal="general" vertical="center" textRotation="0" wrapText="false" indent="0" shrinkToFit="false"/>
      <protection locked="true" hidden="false"/>
    </xf>
    <xf numFmtId="164" fontId="29" fillId="2" borderId="1" xfId="0" applyFont="true" applyBorder="true" applyAlignment="true" applyProtection="false">
      <alignment horizontal="center" vertical="center" textRotation="0" wrapText="true" indent="0" shrinkToFit="false"/>
      <protection locked="true" hidden="false"/>
    </xf>
    <xf numFmtId="164" fontId="27" fillId="2" borderId="1" xfId="0" applyFont="true" applyBorder="true" applyAlignment="true" applyProtection="false">
      <alignment horizontal="left" vertical="center" textRotation="0" wrapText="true" indent="0" shrinkToFit="false"/>
      <protection locked="true" hidden="false"/>
    </xf>
    <xf numFmtId="164" fontId="29" fillId="2" borderId="1" xfId="0" applyFont="true" applyBorder="true" applyAlignment="true" applyProtection="false">
      <alignment horizontal="general" vertical="center" textRotation="0" wrapText="true" indent="0" shrinkToFit="false"/>
      <protection locked="true" hidden="false"/>
    </xf>
    <xf numFmtId="176" fontId="29" fillId="2" borderId="1" xfId="0" applyFont="true" applyBorder="true" applyAlignment="true" applyProtection="false">
      <alignment horizontal="center" vertical="center" textRotation="0" wrapText="true" indent="0" shrinkToFit="false"/>
      <protection locked="true" hidden="false"/>
    </xf>
    <xf numFmtId="171" fontId="29" fillId="2" borderId="1" xfId="0" applyFont="true" applyBorder="true" applyAlignment="true" applyProtection="false">
      <alignment horizontal="center" vertical="center" textRotation="0" wrapText="true" indent="0" shrinkToFit="false"/>
      <protection locked="true" hidden="false"/>
    </xf>
    <xf numFmtId="164" fontId="27" fillId="2" borderId="1" xfId="0" applyFont="true" applyBorder="true" applyAlignment="true" applyProtection="false">
      <alignment horizontal="general" vertical="center" textRotation="0" wrapText="true" indent="0" shrinkToFit="false"/>
      <protection locked="true" hidden="false"/>
    </xf>
    <xf numFmtId="164" fontId="27" fillId="2" borderId="1" xfId="0" applyFont="true" applyBorder="true" applyAlignment="true" applyProtection="false">
      <alignment horizontal="center" vertical="center" textRotation="0" wrapText="fals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29" fillId="2" borderId="1" xfId="0" applyFont="true" applyBorder="true" applyAlignment="true" applyProtection="false">
      <alignment horizontal="left" vertical="center" textRotation="0" wrapText="true" indent="0" shrinkToFit="false"/>
      <protection locked="true" hidden="false"/>
    </xf>
    <xf numFmtId="171" fontId="27" fillId="2" borderId="0" xfId="0" applyFont="true" applyBorder="false" applyAlignment="true" applyProtection="false">
      <alignment horizontal="center" vertical="center" textRotation="0" wrapText="true" indent="0" shrinkToFit="false"/>
      <protection locked="true" hidden="false"/>
    </xf>
    <xf numFmtId="171" fontId="27" fillId="2" borderId="1" xfId="0" applyFont="true" applyBorder="true" applyAlignment="true" applyProtection="false">
      <alignment horizontal="center" vertical="center" textRotation="0" wrapText="true" indent="0" shrinkToFit="false"/>
      <protection locked="true" hidden="false"/>
    </xf>
    <xf numFmtId="164" fontId="29" fillId="2" borderId="1" xfId="0" applyFont="true" applyBorder="true" applyAlignment="true" applyProtection="false">
      <alignment horizontal="center" vertical="bottom" textRotation="0" wrapText="true" indent="0" shrinkToFit="false"/>
      <protection locked="true" hidden="false"/>
    </xf>
    <xf numFmtId="164" fontId="27" fillId="2" borderId="1" xfId="0" applyFont="true" applyBorder="true" applyAlignment="true" applyProtection="false">
      <alignment horizontal="left" vertical="bottom" textRotation="0" wrapText="true" indent="0" shrinkToFit="false"/>
      <protection locked="true" hidden="false"/>
    </xf>
    <xf numFmtId="171" fontId="29" fillId="2" borderId="1" xfId="0" applyFont="true" applyBorder="true" applyAlignment="true" applyProtection="false">
      <alignment horizontal="center" vertical="bottom" textRotation="0" wrapText="true" indent="0" shrinkToFit="false"/>
      <protection locked="true" hidden="false"/>
    </xf>
    <xf numFmtId="178" fontId="27" fillId="2" borderId="1" xfId="0" applyFont="true" applyBorder="true" applyAlignment="true" applyProtection="false">
      <alignment horizontal="center" vertical="bottom" textRotation="0" wrapText="true" indent="0" shrinkToFit="false"/>
      <protection locked="true" hidden="false"/>
    </xf>
    <xf numFmtId="164" fontId="26" fillId="2" borderId="1" xfId="0" applyFont="true" applyBorder="true" applyAlignment="true" applyProtection="false">
      <alignment horizontal="center" vertical="center" textRotation="0" wrapText="true" indent="0" shrinkToFit="false"/>
      <protection locked="true" hidden="false"/>
    </xf>
    <xf numFmtId="176" fontId="25" fillId="2" borderId="1" xfId="0" applyFont="true" applyBorder="true" applyAlignment="true" applyProtection="false">
      <alignment horizontal="center" vertical="center" textRotation="0" wrapText="true" indent="0" shrinkToFit="false"/>
      <protection locked="true" hidden="false"/>
    </xf>
    <xf numFmtId="180" fontId="25" fillId="2" borderId="1" xfId="17" applyFont="true" applyBorder="true" applyAlignment="true" applyProtection="true">
      <alignment horizontal="center" vertical="center" textRotation="0" wrapText="true" indent="0" shrinkToFit="false"/>
      <protection locked="true" hidden="false"/>
    </xf>
    <xf numFmtId="164" fontId="30" fillId="2" borderId="0" xfId="0" applyFont="true" applyBorder="false" applyAlignment="fals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left" vertical="bottom" textRotation="0" wrapText="false" indent="0" shrinkToFit="false"/>
      <protection locked="true" hidden="false"/>
    </xf>
    <xf numFmtId="164" fontId="30" fillId="2" borderId="0" xfId="0" applyFont="true" applyBorder="false" applyAlignment="true" applyProtection="false">
      <alignment horizontal="center" vertical="bottom" textRotation="0" wrapText="false" indent="0" shrinkToFit="false"/>
      <protection locked="true" hidden="false"/>
    </xf>
    <xf numFmtId="164" fontId="30" fillId="8" borderId="0" xfId="0" applyFont="true" applyBorder="false" applyAlignment="false" applyProtection="false">
      <alignment horizontal="general" vertical="bottom" textRotation="0" wrapText="false" indent="0" shrinkToFit="false"/>
      <protection locked="true" hidden="false"/>
    </xf>
    <xf numFmtId="164" fontId="30" fillId="8" borderId="0" xfId="0" applyFont="true" applyBorder="false" applyAlignment="true" applyProtection="false">
      <alignment horizontal="left" vertical="bottom" textRotation="0" wrapText="false" indent="0" shrinkToFit="false"/>
      <protection locked="true" hidden="false"/>
    </xf>
    <xf numFmtId="164" fontId="31" fillId="8" borderId="0" xfId="0" applyFont="true" applyBorder="true" applyAlignment="true" applyProtection="false">
      <alignment horizontal="center" vertical="center" textRotation="0" wrapText="false" indent="0" shrinkToFit="false"/>
      <protection locked="true" hidden="false"/>
    </xf>
    <xf numFmtId="164" fontId="31" fillId="2" borderId="0" xfId="0" applyFont="true" applyBorder="false" applyAlignment="true" applyProtection="false">
      <alignment horizontal="center" vertical="center" textRotation="0" wrapText="false" indent="0" shrinkToFit="false"/>
      <protection locked="true" hidden="false"/>
    </xf>
    <xf numFmtId="164" fontId="31" fillId="2" borderId="0" xfId="0" applyFont="true" applyBorder="false" applyAlignment="true" applyProtection="false">
      <alignment horizontal="left" vertical="center" textRotation="0" wrapText="false" indent="0" shrinkToFit="false"/>
      <protection locked="true" hidden="false"/>
    </xf>
    <xf numFmtId="168" fontId="32" fillId="2" borderId="0" xfId="0" applyFont="true" applyBorder="false" applyAlignment="true" applyProtection="true">
      <alignment horizontal="left" vertical="bottom" textRotation="0" wrapText="false" indent="0" shrinkToFit="false"/>
      <protection locked="false" hidden="false"/>
    </xf>
    <xf numFmtId="164" fontId="31" fillId="2" borderId="0" xfId="0" applyFont="true" applyBorder="false" applyAlignment="true" applyProtection="false">
      <alignment horizontal="center" vertical="bottom" textRotation="0" wrapText="false" indent="0" shrinkToFit="false"/>
      <protection locked="true" hidden="false"/>
    </xf>
    <xf numFmtId="168" fontId="30" fillId="2" borderId="0" xfId="0" applyFont="true" applyBorder="false" applyAlignment="true" applyProtection="false">
      <alignment horizontal="left" vertical="bottom" textRotation="0" wrapText="false" indent="0" shrinkToFit="false"/>
      <protection locked="true" hidden="false"/>
    </xf>
    <xf numFmtId="164" fontId="31" fillId="4" borderId="1" xfId="0" applyFont="true" applyBorder="true" applyAlignment="false" applyProtection="false">
      <alignment horizontal="general" vertical="bottom" textRotation="0" wrapText="false" indent="0" shrinkToFit="false"/>
      <protection locked="true" hidden="false"/>
    </xf>
    <xf numFmtId="164" fontId="32" fillId="4" borderId="1" xfId="0" applyFont="true" applyBorder="true" applyAlignment="true" applyProtection="false">
      <alignment horizontal="left" vertical="bottom" textRotation="0" wrapText="false" indent="0" shrinkToFit="false"/>
      <protection locked="true" hidden="false"/>
    </xf>
    <xf numFmtId="164" fontId="32" fillId="4" borderId="1" xfId="0" applyFont="true" applyBorder="true" applyAlignment="false" applyProtection="false">
      <alignment horizontal="general" vertical="bottom" textRotation="0" wrapText="false" indent="0" shrinkToFit="false"/>
      <protection locked="true" hidden="false"/>
    </xf>
    <xf numFmtId="164" fontId="32" fillId="4" borderId="1" xfId="0" applyFont="true" applyBorder="true" applyAlignment="true" applyProtection="false">
      <alignment horizontal="center" vertical="bottom" textRotation="0" wrapText="false" indent="0" shrinkToFit="false"/>
      <protection locked="true" hidden="false"/>
    </xf>
    <xf numFmtId="164" fontId="32" fillId="2" borderId="1" xfId="0" applyFont="true" applyBorder="true" applyAlignment="true" applyProtection="false">
      <alignment horizontal="center" vertical="bottom" textRotation="0" wrapText="false" indent="0" shrinkToFit="false"/>
      <protection locked="true" hidden="false"/>
    </xf>
    <xf numFmtId="175" fontId="30" fillId="9" borderId="1" xfId="0" applyFont="true" applyBorder="true" applyAlignment="true" applyProtection="false">
      <alignment horizontal="left" vertical="bottom" textRotation="0" wrapText="false" indent="0" shrinkToFit="false"/>
      <protection locked="true" hidden="false"/>
    </xf>
    <xf numFmtId="175" fontId="30" fillId="9" borderId="1" xfId="0" applyFont="true" applyBorder="true" applyAlignment="true" applyProtection="false">
      <alignment horizontal="left" vertical="top" textRotation="0" wrapText="false" indent="0" shrinkToFit="false"/>
      <protection locked="true" hidden="false"/>
    </xf>
    <xf numFmtId="164" fontId="30" fillId="2" borderId="1" xfId="0" applyFont="true" applyBorder="true" applyAlignment="true" applyProtection="false">
      <alignment horizontal="left" vertical="top" textRotation="0" wrapText="false" indent="0" shrinkToFit="false"/>
      <protection locked="true" hidden="false"/>
    </xf>
    <xf numFmtId="164" fontId="30" fillId="2" borderId="1" xfId="0" applyFont="true" applyBorder="true" applyAlignment="true" applyProtection="false">
      <alignment horizontal="left" vertical="bottom" textRotation="0" wrapText="false" indent="0" shrinkToFit="false"/>
      <protection locked="true" hidden="false"/>
    </xf>
    <xf numFmtId="164" fontId="30" fillId="2" borderId="1" xfId="0" applyFont="true" applyBorder="true" applyAlignment="true" applyProtection="false">
      <alignment horizontal="center" vertical="bottom" textRotation="0" wrapText="false" indent="0" shrinkToFit="false"/>
      <protection locked="true" hidden="false"/>
    </xf>
    <xf numFmtId="175" fontId="30" fillId="10" borderId="1" xfId="0" applyFont="true" applyBorder="true" applyAlignment="true" applyProtection="false">
      <alignment horizontal="left" vertical="bottom" textRotation="0" wrapText="false" indent="0" shrinkToFit="false"/>
      <protection locked="true" hidden="false"/>
    </xf>
    <xf numFmtId="164" fontId="30" fillId="2" borderId="1" xfId="0" applyFont="true" applyBorder="true" applyAlignment="true" applyProtection="false">
      <alignment horizontal="general" vertical="top" textRotation="0" wrapText="false" indent="0" shrinkToFit="false"/>
      <protection locked="true" hidden="false"/>
    </xf>
    <xf numFmtId="164" fontId="30" fillId="2" borderId="1" xfId="0" applyFont="true" applyBorder="true" applyAlignment="false" applyProtection="false">
      <alignment horizontal="general" vertical="bottom" textRotation="0" wrapText="false" indent="0" shrinkToFit="false"/>
      <protection locked="true" hidden="false"/>
    </xf>
    <xf numFmtId="164" fontId="32" fillId="2" borderId="8" xfId="0" applyFont="true" applyBorder="true" applyAlignment="true" applyProtection="false">
      <alignment horizontal="center" vertical="center" textRotation="0" wrapText="false" indent="0" shrinkToFit="false"/>
      <protection locked="true" hidden="false"/>
    </xf>
    <xf numFmtId="164" fontId="30" fillId="2" borderId="8" xfId="0" applyFont="true" applyBorder="true" applyAlignment="true" applyProtection="false">
      <alignment horizontal="left" vertical="top" textRotation="0" wrapText="false" indent="0" shrinkToFit="false"/>
      <protection locked="true" hidden="false"/>
    </xf>
    <xf numFmtId="164" fontId="30" fillId="2" borderId="4" xfId="0" applyFont="true" applyBorder="true" applyAlignment="true" applyProtection="false">
      <alignment horizontal="general" vertical="top" textRotation="0" wrapText="false" indent="0" shrinkToFit="false"/>
      <protection locked="true" hidden="false"/>
    </xf>
    <xf numFmtId="164" fontId="30" fillId="2" borderId="4" xfId="0" applyFont="true" applyBorder="true" applyAlignment="true" applyProtection="false">
      <alignment horizontal="left" vertical="bottom" textRotation="0" wrapText="false" indent="0" shrinkToFit="false"/>
      <protection locked="true" hidden="false"/>
    </xf>
    <xf numFmtId="175" fontId="30" fillId="9" borderId="4" xfId="0" applyFont="true" applyBorder="true" applyAlignment="true" applyProtection="false">
      <alignment horizontal="left" vertical="bottom" textRotation="0" wrapText="false" indent="0" shrinkToFit="false"/>
      <protection locked="true" hidden="false"/>
    </xf>
    <xf numFmtId="164" fontId="30" fillId="2" borderId="12" xfId="0" applyFont="true" applyBorder="true" applyAlignment="true" applyProtection="false">
      <alignment horizontal="left" vertical="top" textRotation="0" wrapText="false" indent="0" shrinkToFit="false"/>
      <protection locked="true" hidden="false"/>
    </xf>
    <xf numFmtId="164" fontId="30" fillId="2" borderId="4" xfId="0" applyFont="true" applyBorder="true" applyAlignment="true" applyProtection="false">
      <alignment horizontal="left" vertical="top" textRotation="0" wrapText="false" indent="0" shrinkToFit="false"/>
      <protection locked="true" hidden="false"/>
    </xf>
    <xf numFmtId="164" fontId="30" fillId="2" borderId="5" xfId="0" applyFont="true" applyBorder="true" applyAlignment="true" applyProtection="false">
      <alignment horizontal="left" vertical="top" textRotation="0" wrapText="false" indent="0" shrinkToFit="false"/>
      <protection locked="true" hidden="false"/>
    </xf>
    <xf numFmtId="164" fontId="30" fillId="2" borderId="5" xfId="0" applyFont="true" applyBorder="true" applyAlignment="true" applyProtection="false">
      <alignment horizontal="center" vertical="bottom" textRotation="0" wrapText="false" indent="0" shrinkToFit="false"/>
      <protection locked="true" hidden="false"/>
    </xf>
    <xf numFmtId="175" fontId="30" fillId="2" borderId="1" xfId="0" applyFont="true" applyBorder="true" applyAlignment="true" applyProtection="false">
      <alignment horizontal="left" vertical="bottom" textRotation="0" wrapText="false" indent="0" shrinkToFit="false"/>
      <protection locked="true" hidden="false"/>
    </xf>
    <xf numFmtId="164" fontId="30" fillId="2" borderId="1" xfId="0" applyFont="true" applyBorder="true" applyAlignment="true" applyProtection="false">
      <alignment horizontal="left" vertical="bottom" textRotation="0" wrapText="true" indent="0" shrinkToFit="false"/>
      <protection locked="true" hidden="false"/>
    </xf>
    <xf numFmtId="175" fontId="30" fillId="9" borderId="1" xfId="0" applyFont="true" applyBorder="true" applyAlignment="true" applyProtection="false">
      <alignment horizontal="general" vertical="top" textRotation="0" wrapText="false" indent="0" shrinkToFit="false"/>
      <protection locked="true" hidden="false"/>
    </xf>
    <xf numFmtId="164" fontId="30" fillId="2" borderId="2" xfId="0" applyFont="true" applyBorder="true" applyAlignment="true" applyProtection="false">
      <alignment horizontal="center" vertical="bottom" textRotation="0" wrapText="false" indent="0" shrinkToFit="false"/>
      <protection locked="true" hidden="false"/>
    </xf>
    <xf numFmtId="175" fontId="30" fillId="10" borderId="4" xfId="0" applyFont="true" applyBorder="true" applyAlignment="true" applyProtection="false">
      <alignment horizontal="left" vertical="bottom" textRotation="0" wrapText="false" indent="0" shrinkToFit="false"/>
      <protection locked="true" hidden="false"/>
    </xf>
    <xf numFmtId="175" fontId="30" fillId="10" borderId="1" xfId="0" applyFont="true" applyBorder="true" applyAlignment="true" applyProtection="false">
      <alignment horizontal="left" vertical="top" textRotation="0" wrapText="false" indent="0" shrinkToFit="false"/>
      <protection locked="true" hidden="false"/>
    </xf>
    <xf numFmtId="164" fontId="30" fillId="2" borderId="4" xfId="0" applyFont="true" applyBorder="true" applyAlignment="false" applyProtection="false">
      <alignment horizontal="general" vertical="bottom" textRotation="0" wrapText="false" indent="0" shrinkToFit="false"/>
      <protection locked="true" hidden="false"/>
    </xf>
    <xf numFmtId="164" fontId="30" fillId="2" borderId="6" xfId="0" applyFont="true" applyBorder="true" applyAlignment="true" applyProtection="false">
      <alignment horizontal="left" vertical="bottom" textRotation="0" wrapText="false" indent="0" shrinkToFit="false"/>
      <protection locked="true" hidden="false"/>
    </xf>
    <xf numFmtId="164" fontId="30" fillId="2" borderId="5" xfId="0" applyFont="true" applyBorder="true" applyAlignment="true" applyProtection="false">
      <alignment horizontal="general" vertical="top" textRotation="0" wrapText="false" indent="0" shrinkToFit="false"/>
      <protection locked="true" hidden="false"/>
    </xf>
    <xf numFmtId="164" fontId="30" fillId="2" borderId="4" xfId="0" applyFont="true" applyBorder="true" applyAlignment="true" applyProtection="false">
      <alignment horizontal="center" vertical="bottom" textRotation="0" wrapText="false" indent="0" shrinkToFit="false"/>
      <protection locked="true" hidden="false"/>
    </xf>
    <xf numFmtId="164" fontId="30" fillId="2" borderId="8" xfId="0" applyFont="true" applyBorder="true" applyAlignment="true" applyProtection="false">
      <alignment horizontal="general" vertical="top" textRotation="0" wrapText="false" indent="0" shrinkToFit="false"/>
      <protection locked="true" hidden="false"/>
    </xf>
    <xf numFmtId="164" fontId="30" fillId="2" borderId="8" xfId="0" applyFont="true" applyBorder="true" applyAlignment="true" applyProtection="false">
      <alignment horizontal="left" vertical="bottom" textRotation="0" wrapText="false" indent="0" shrinkToFit="false"/>
      <protection locked="true" hidden="false"/>
    </xf>
    <xf numFmtId="164" fontId="30" fillId="2" borderId="0" xfId="0" applyFont="true" applyBorder="true" applyAlignment="false" applyProtection="false">
      <alignment horizontal="general" vertical="bottom" textRotation="0" wrapText="false" indent="0" shrinkToFit="false"/>
      <protection locked="true" hidden="false"/>
    </xf>
    <xf numFmtId="164" fontId="30" fillId="2" borderId="13" xfId="0" applyFont="true" applyBorder="true" applyAlignment="true" applyProtection="false">
      <alignment horizontal="center" vertical="bottom" textRotation="0" wrapText="false" indent="0" shrinkToFit="false"/>
      <protection locked="true" hidden="false"/>
    </xf>
    <xf numFmtId="164" fontId="33" fillId="2" borderId="0" xfId="0" applyFont="true" applyBorder="false" applyAlignment="false" applyProtection="false">
      <alignment horizontal="general" vertical="bottom" textRotation="0" wrapText="false" indent="0" shrinkToFit="false"/>
      <protection locked="true" hidden="false"/>
    </xf>
    <xf numFmtId="164" fontId="33" fillId="2" borderId="0" xfId="0" applyFont="true" applyBorder="false" applyAlignment="true" applyProtection="false">
      <alignment horizontal="left" vertical="bottom" textRotation="0" wrapText="false" indent="0" shrinkToFit="false"/>
      <protection locked="true" hidden="false"/>
    </xf>
    <xf numFmtId="164" fontId="33" fillId="2" borderId="0" xfId="0" applyFont="true" applyBorder="false" applyAlignment="true" applyProtection="false">
      <alignment horizontal="center" vertical="bottom" textRotation="0" wrapText="false" indent="0" shrinkToFit="false"/>
      <protection locked="true" hidden="false"/>
    </xf>
    <xf numFmtId="164" fontId="34" fillId="2" borderId="0" xfId="0" applyFont="true" applyBorder="false" applyAlignment="true" applyProtection="false">
      <alignment horizontal="left" vertical="bottom" textRotation="0" wrapText="false" indent="0" shrinkToFit="false"/>
      <protection locked="true" hidden="false"/>
    </xf>
    <xf numFmtId="164" fontId="34" fillId="2" borderId="1" xfId="0" applyFont="true" applyBorder="true" applyAlignment="true" applyProtection="false">
      <alignment horizontal="left" vertical="center" textRotation="0" wrapText="false" indent="0" shrinkToFit="false"/>
      <protection locked="true" hidden="false"/>
    </xf>
    <xf numFmtId="164" fontId="34" fillId="2" borderId="1" xfId="0" applyFont="true" applyBorder="true" applyAlignment="true" applyProtection="false">
      <alignment horizontal="center" vertical="bottom" textRotation="0" wrapText="false" indent="0" shrinkToFit="false"/>
      <protection locked="true" hidden="false"/>
    </xf>
    <xf numFmtId="164" fontId="34" fillId="2" borderId="1" xfId="0" applyFont="true" applyBorder="true" applyAlignment="true" applyProtection="false">
      <alignment horizontal="left" vertical="center" textRotation="0" wrapText="true" indent="0" shrinkToFit="false"/>
      <protection locked="true" hidden="false"/>
    </xf>
    <xf numFmtId="164" fontId="34" fillId="2" borderId="1" xfId="0" applyFont="true" applyBorder="true" applyAlignment="true" applyProtection="false">
      <alignment horizontal="left" vertical="bottom" textRotation="0" wrapText="false" indent="0" shrinkToFit="false"/>
      <protection locked="true" hidden="false"/>
    </xf>
    <xf numFmtId="164" fontId="34" fillId="2" borderId="1" xfId="0" applyFont="true" applyBorder="true" applyAlignment="true" applyProtection="false">
      <alignment horizontal="general" vertical="top" textRotation="0" wrapText="false" indent="0" shrinkToFit="false"/>
      <protection locked="true" hidden="false"/>
    </xf>
    <xf numFmtId="164" fontId="34" fillId="2" borderId="1" xfId="0" applyFont="true" applyBorder="true" applyAlignment="false" applyProtection="false">
      <alignment horizontal="general" vertical="bottom" textRotation="0" wrapText="false" indent="0" shrinkToFit="false"/>
      <protection locked="true" hidden="false"/>
    </xf>
    <xf numFmtId="164" fontId="34" fillId="2" borderId="1" xfId="0" applyFont="true" applyBorder="true" applyAlignment="true" applyProtection="false">
      <alignment horizontal="general" vertical="center" textRotation="0" wrapText="false" indent="0" shrinkToFit="false"/>
      <protection locked="true" hidden="false"/>
    </xf>
    <xf numFmtId="164" fontId="34" fillId="9" borderId="14" xfId="0" applyFont="true" applyBorder="true" applyAlignment="true" applyProtection="false">
      <alignment horizontal="general" vertical="top" textRotation="0" wrapText="false" indent="0" shrinkToFit="false"/>
      <protection locked="true" hidden="false"/>
    </xf>
    <xf numFmtId="164" fontId="34" fillId="9" borderId="14" xfId="0" applyFont="true" applyBorder="true" applyAlignment="true" applyProtection="false">
      <alignment horizontal="left" vertical="bottom" textRotation="0" wrapText="false" indent="0" shrinkToFit="false"/>
      <protection locked="true" hidden="false"/>
    </xf>
    <xf numFmtId="164" fontId="34" fillId="9" borderId="15" xfId="0" applyFont="true" applyBorder="true" applyAlignment="true" applyProtection="false">
      <alignment horizontal="left" vertical="top" textRotation="0" wrapText="false" indent="0" shrinkToFit="false"/>
      <protection locked="true" hidden="false"/>
    </xf>
    <xf numFmtId="164" fontId="34" fillId="9" borderId="1" xfId="0" applyFont="true" applyBorder="true" applyAlignment="false" applyProtection="false">
      <alignment horizontal="general" vertical="bottom" textRotation="0" wrapText="false" indent="0" shrinkToFit="false"/>
      <protection locked="true" hidden="false"/>
    </xf>
    <xf numFmtId="164" fontId="34" fillId="9" borderId="16" xfId="0" applyFont="true" applyBorder="true" applyAlignment="true" applyProtection="false">
      <alignment horizontal="center" vertical="bottom" textRotation="0" wrapText="false" indent="0" shrinkToFit="false"/>
      <protection locked="true" hidden="false"/>
    </xf>
    <xf numFmtId="164" fontId="34" fillId="10" borderId="1" xfId="0" applyFont="true" applyBorder="true" applyAlignment="true" applyProtection="false">
      <alignment horizontal="general" vertical="top" textRotation="0" wrapText="false" indent="0" shrinkToFit="false"/>
      <protection locked="true" hidden="false"/>
    </xf>
    <xf numFmtId="164" fontId="34" fillId="10" borderId="1" xfId="0" applyFont="true" applyBorder="true" applyAlignment="true" applyProtection="false">
      <alignment horizontal="left" vertical="bottom" textRotation="0" wrapText="false" indent="0" shrinkToFit="false"/>
      <protection locked="true" hidden="false"/>
    </xf>
    <xf numFmtId="164" fontId="34" fillId="10" borderId="17" xfId="0" applyFont="true" applyBorder="true" applyAlignment="true" applyProtection="false">
      <alignment horizontal="left" vertical="top" textRotation="0" wrapText="false" indent="0" shrinkToFit="false"/>
      <protection locked="true" hidden="false"/>
    </xf>
    <xf numFmtId="164" fontId="34" fillId="10" borderId="1" xfId="0" applyFont="true" applyBorder="true" applyAlignment="false" applyProtection="false">
      <alignment horizontal="general" vertical="bottom" textRotation="0" wrapText="false" indent="0" shrinkToFit="false"/>
      <protection locked="true" hidden="false"/>
    </xf>
    <xf numFmtId="164" fontId="34" fillId="10" borderId="18" xfId="0" applyFont="true" applyBorder="true" applyAlignment="true" applyProtection="false">
      <alignment horizontal="center" vertical="bottom" textRotation="0" wrapText="false" indent="0" shrinkToFit="false"/>
      <protection locked="true" hidden="false"/>
    </xf>
    <xf numFmtId="164" fontId="34" fillId="9" borderId="1" xfId="0" applyFont="true" applyBorder="true" applyAlignment="true" applyProtection="false">
      <alignment horizontal="general" vertical="top" textRotation="0" wrapText="false" indent="0" shrinkToFit="false"/>
      <protection locked="true" hidden="false"/>
    </xf>
    <xf numFmtId="164" fontId="34" fillId="9" borderId="1" xfId="0" applyFont="true" applyBorder="true" applyAlignment="true" applyProtection="false">
      <alignment horizontal="left" vertical="bottom" textRotation="0" wrapText="false" indent="0" shrinkToFit="false"/>
      <protection locked="true" hidden="false"/>
    </xf>
    <xf numFmtId="164" fontId="34" fillId="9" borderId="17" xfId="0" applyFont="true" applyBorder="true" applyAlignment="true" applyProtection="false">
      <alignment horizontal="left" vertical="top" textRotation="0" wrapText="false" indent="0" shrinkToFit="false"/>
      <protection locked="true" hidden="false"/>
    </xf>
    <xf numFmtId="164" fontId="34" fillId="9" borderId="18" xfId="0" applyFont="true" applyBorder="true" applyAlignment="true" applyProtection="false">
      <alignment horizontal="center" vertical="bottom" textRotation="0" wrapText="false" indent="0" shrinkToFit="false"/>
      <protection locked="true" hidden="false"/>
    </xf>
    <xf numFmtId="164" fontId="34" fillId="10" borderId="1" xfId="0" applyFont="true" applyBorder="true" applyAlignment="true" applyProtection="false">
      <alignment horizontal="left" vertical="top" textRotation="0" wrapText="false" indent="0" shrinkToFit="false"/>
      <protection locked="true" hidden="false"/>
    </xf>
    <xf numFmtId="164" fontId="34" fillId="10" borderId="17" xfId="0" applyFont="true" applyBorder="true" applyAlignment="true" applyProtection="false">
      <alignment horizontal="left" vertical="top" textRotation="0" wrapText="true" indent="0" shrinkToFit="false"/>
      <protection locked="true" hidden="false"/>
    </xf>
    <xf numFmtId="164" fontId="34" fillId="10" borderId="1" xfId="0" applyFont="true" applyBorder="true" applyAlignment="true" applyProtection="false">
      <alignment horizontal="general" vertical="bottom" textRotation="0" wrapText="true" indent="0" shrinkToFit="false"/>
      <protection locked="true" hidden="false"/>
    </xf>
    <xf numFmtId="164" fontId="34" fillId="9" borderId="1" xfId="0" applyFont="true" applyBorder="true" applyAlignment="true" applyProtection="false">
      <alignment horizontal="left" vertical="top" textRotation="0" wrapText="false" indent="0" shrinkToFit="false"/>
      <protection locked="true" hidden="false"/>
    </xf>
    <xf numFmtId="164" fontId="34" fillId="9" borderId="1" xfId="0" applyFont="true" applyBorder="true" applyAlignment="true" applyProtection="false">
      <alignment horizontal="general" vertical="bottom" textRotation="0" wrapText="true" indent="0" shrinkToFit="false"/>
      <protection locked="true" hidden="false"/>
    </xf>
    <xf numFmtId="164" fontId="34" fillId="9" borderId="14" xfId="0" applyFont="true" applyBorder="true" applyAlignment="true" applyProtection="false">
      <alignment horizontal="left" vertical="top" textRotation="0" wrapText="false" indent="0" shrinkToFit="false"/>
      <protection locked="true" hidden="false"/>
    </xf>
    <xf numFmtId="164" fontId="34" fillId="9" borderId="14" xfId="0" applyFont="true" applyBorder="true" applyAlignment="true" applyProtection="false">
      <alignment horizontal="center" vertical="bottom" textRotation="0" wrapText="false" indent="0" shrinkToFit="false"/>
      <protection locked="true" hidden="false"/>
    </xf>
    <xf numFmtId="164" fontId="34" fillId="10" borderId="14" xfId="0" applyFont="true" applyBorder="true" applyAlignment="true" applyProtection="false">
      <alignment horizontal="left" vertical="bottom" textRotation="0" wrapText="false" indent="0" shrinkToFit="false"/>
      <protection locked="true" hidden="false"/>
    </xf>
    <xf numFmtId="164" fontId="34" fillId="10" borderId="14" xfId="0" applyFont="true" applyBorder="true" applyAlignment="true" applyProtection="false">
      <alignment horizontal="left" vertical="top" textRotation="0" wrapText="false" indent="0" shrinkToFit="false"/>
      <protection locked="true" hidden="false"/>
    </xf>
    <xf numFmtId="164" fontId="34" fillId="10" borderId="14" xfId="0" applyFont="true" applyBorder="true" applyAlignment="false" applyProtection="false">
      <alignment horizontal="general" vertical="bottom" textRotation="0" wrapText="false" indent="0" shrinkToFit="false"/>
      <protection locked="true" hidden="false"/>
    </xf>
    <xf numFmtId="164" fontId="34" fillId="10" borderId="14" xfId="0" applyFont="true" applyBorder="true" applyAlignment="true" applyProtection="false">
      <alignment horizontal="center" vertical="bottom" textRotation="0" wrapText="false" indent="0" shrinkToFit="false"/>
      <protection locked="true" hidden="false"/>
    </xf>
    <xf numFmtId="164" fontId="34" fillId="10" borderId="1" xfId="0" applyFont="true" applyBorder="true" applyAlignment="true" applyProtection="false">
      <alignment horizontal="center" vertical="bottom" textRotation="0" wrapText="false" indent="0" shrinkToFit="false"/>
      <protection locked="true" hidden="false"/>
    </xf>
    <xf numFmtId="164" fontId="34" fillId="9" borderId="1" xfId="0" applyFont="true" applyBorder="true" applyAlignment="true" applyProtection="false">
      <alignment horizontal="center" vertical="bottom" textRotation="0" wrapText="false" indent="0" shrinkToFit="false"/>
      <protection locked="true" hidden="false"/>
    </xf>
    <xf numFmtId="175" fontId="34" fillId="9" borderId="1" xfId="0" applyFont="true" applyBorder="true" applyAlignment="true" applyProtection="false">
      <alignment horizontal="left" vertical="bottom" textRotation="0" wrapText="false" indent="0" shrinkToFit="false"/>
      <protection locked="true" hidden="false"/>
    </xf>
    <xf numFmtId="164" fontId="34" fillId="9" borderId="1" xfId="0" applyFont="true" applyBorder="true" applyAlignment="true" applyProtection="false">
      <alignment horizontal="left" vertical="bottom" textRotation="0" wrapText="true" indent="0" shrinkToFit="false"/>
      <protection locked="true" hidden="false"/>
    </xf>
    <xf numFmtId="175" fontId="34" fillId="10" borderId="1" xfId="0" applyFont="true" applyBorder="true" applyAlignment="true" applyProtection="false">
      <alignment horizontal="left" vertical="bottom" textRotation="0" wrapText="false" indent="0" shrinkToFit="false"/>
      <protection locked="true" hidden="false"/>
    </xf>
    <xf numFmtId="164" fontId="34" fillId="10" borderId="1" xfId="0" applyFont="true" applyBorder="true" applyAlignment="true" applyProtection="false">
      <alignment horizontal="left" vertical="bottom" textRotation="0" wrapText="true" indent="0" shrinkToFit="false"/>
      <protection locked="true" hidden="false"/>
    </xf>
    <xf numFmtId="175" fontId="36" fillId="10" borderId="1" xfId="0" applyFont="true" applyBorder="true" applyAlignment="true" applyProtection="false">
      <alignment horizontal="left" vertical="bottom" textRotation="0" wrapText="false" indent="0" shrinkToFit="false"/>
      <protection locked="true" hidden="false"/>
    </xf>
    <xf numFmtId="164" fontId="36" fillId="10" borderId="1" xfId="0" applyFont="true" applyBorder="true" applyAlignment="false" applyProtection="false">
      <alignment horizontal="general" vertical="bottom" textRotation="0" wrapText="false" indent="0" shrinkToFit="false"/>
      <protection locked="true" hidden="false"/>
    </xf>
    <xf numFmtId="164" fontId="36" fillId="10" borderId="1" xfId="0" applyFont="true" applyBorder="true" applyAlignment="true" applyProtection="false">
      <alignment horizontal="left" vertical="bottom" textRotation="0" wrapText="false" indent="0" shrinkToFit="false"/>
      <protection locked="true" hidden="false"/>
    </xf>
    <xf numFmtId="164" fontId="36" fillId="10" borderId="1" xfId="0" applyFont="true" applyBorder="true" applyAlignment="true" applyProtection="false">
      <alignment horizontal="left" vertical="bottom" textRotation="0" wrapText="true" indent="0" shrinkToFit="false"/>
      <protection locked="true" hidden="false"/>
    </xf>
    <xf numFmtId="164" fontId="36" fillId="10" borderId="1" xfId="0" applyFont="true" applyBorder="true" applyAlignment="true" applyProtection="false">
      <alignment horizontal="general" vertical="bottom" textRotation="0" wrapText="true" indent="0" shrinkToFit="false"/>
      <protection locked="true" hidden="false"/>
    </xf>
    <xf numFmtId="164" fontId="36" fillId="10" borderId="1" xfId="0" applyFont="true" applyBorder="true" applyAlignment="true" applyProtection="false">
      <alignment horizontal="center" vertical="bottom" textRotation="0" wrapText="false" indent="0" shrinkToFit="false"/>
      <protection locked="true" hidden="false"/>
    </xf>
    <xf numFmtId="175" fontId="36" fillId="9" borderId="1" xfId="0" applyFont="true" applyBorder="true" applyAlignment="true" applyProtection="false">
      <alignment horizontal="left" vertical="bottom" textRotation="0" wrapText="false" indent="0" shrinkToFit="false"/>
      <protection locked="true" hidden="false"/>
    </xf>
    <xf numFmtId="164" fontId="36" fillId="9" borderId="1" xfId="0" applyFont="true" applyBorder="true" applyAlignment="true" applyProtection="false">
      <alignment horizontal="left" vertical="bottom" textRotation="0" wrapText="tru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true" applyProtection="false">
      <alignment horizontal="left" vertical="bottom" textRotation="0" wrapText="false" indent="0" shrinkToFit="false"/>
      <protection locked="true" hidden="false"/>
    </xf>
    <xf numFmtId="164" fontId="36" fillId="9" borderId="1" xfId="0" applyFont="true" applyBorder="true" applyAlignment="true" applyProtection="false">
      <alignment horizontal="general" vertical="bottom" textRotation="0" wrapText="true" indent="0" shrinkToFit="false"/>
      <protection locked="true" hidden="false"/>
    </xf>
    <xf numFmtId="164" fontId="36" fillId="10" borderId="1" xfId="0" applyFont="true" applyBorder="true" applyAlignment="true" applyProtection="false">
      <alignment horizontal="left" vertical="top" textRotation="0" wrapText="false" indent="0" shrinkToFit="false"/>
      <protection locked="true" hidden="false"/>
    </xf>
    <xf numFmtId="164" fontId="36" fillId="10" borderId="19" xfId="0" applyFont="true" applyBorder="true" applyAlignment="false" applyProtection="false">
      <alignment horizontal="general" vertical="bottom" textRotation="0" wrapText="false" indent="0" shrinkToFit="false"/>
      <protection locked="true" hidden="false"/>
    </xf>
    <xf numFmtId="164" fontId="36" fillId="9" borderId="18" xfId="0" applyFont="true" applyBorder="true" applyAlignment="false" applyProtection="false">
      <alignment horizontal="general" vertical="bottom" textRotation="0" wrapText="false" indent="0" shrinkToFit="false"/>
      <protection locked="true" hidden="false"/>
    </xf>
    <xf numFmtId="164" fontId="34" fillId="10" borderId="19" xfId="0" applyFont="true" applyBorder="true" applyAlignment="false" applyProtection="false">
      <alignment horizontal="general" vertical="bottom" textRotation="0" wrapText="false" indent="0" shrinkToFit="false"/>
      <protection locked="true" hidden="false"/>
    </xf>
    <xf numFmtId="164" fontId="34" fillId="9" borderId="18" xfId="0" applyFont="true" applyBorder="true" applyAlignment="false" applyProtection="false">
      <alignment horizontal="general" vertical="bottom" textRotation="0" wrapText="false" indent="0" shrinkToFit="false"/>
      <protection locked="true" hidden="false"/>
    </xf>
    <xf numFmtId="175" fontId="37" fillId="9" borderId="1" xfId="0" applyFont="true" applyBorder="true" applyAlignment="true" applyProtection="false">
      <alignment horizontal="left" vertical="bottom" textRotation="0" wrapText="false" indent="0" shrinkToFit="false"/>
      <protection locked="true" hidden="false"/>
    </xf>
    <xf numFmtId="164" fontId="37" fillId="10" borderId="1" xfId="0" applyFont="true" applyBorder="true" applyAlignment="false" applyProtection="false">
      <alignment horizontal="general" vertical="bottom" textRotation="0" wrapText="false" indent="0" shrinkToFit="false"/>
      <protection locked="true" hidden="false"/>
    </xf>
    <xf numFmtId="164" fontId="37" fillId="9" borderId="1" xfId="0" applyFont="true" applyBorder="true" applyAlignment="false" applyProtection="false">
      <alignment horizontal="general" vertical="bottom" textRotation="0" wrapText="false" indent="0" shrinkToFit="false"/>
      <protection locked="true" hidden="false"/>
    </xf>
    <xf numFmtId="164" fontId="37" fillId="9" borderId="1" xfId="0" applyFont="true" applyBorder="true" applyAlignment="true" applyProtection="false">
      <alignment horizontal="left" vertical="bottom" textRotation="0" wrapText="false" indent="0" shrinkToFit="false"/>
      <protection locked="true" hidden="false"/>
    </xf>
    <xf numFmtId="164" fontId="37" fillId="9" borderId="1" xfId="0" applyFont="true" applyBorder="true" applyAlignment="true" applyProtection="false">
      <alignment horizontal="left" vertical="bottom" textRotation="0" wrapText="true" indent="0" shrinkToFit="false"/>
      <protection locked="true" hidden="false"/>
    </xf>
    <xf numFmtId="164" fontId="37" fillId="10" borderId="1" xfId="0" applyFont="true" applyBorder="true" applyAlignment="true" applyProtection="false">
      <alignment horizontal="general" vertical="bottom" textRotation="0" wrapText="true" indent="0" shrinkToFit="false"/>
      <protection locked="true" hidden="false"/>
    </xf>
    <xf numFmtId="164" fontId="37" fillId="9" borderId="1" xfId="0" applyFont="true" applyBorder="true" applyAlignment="true" applyProtection="false">
      <alignment horizontal="center" vertical="bottom" textRotation="0" wrapText="false" indent="0" shrinkToFit="false"/>
      <protection locked="true" hidden="false"/>
    </xf>
    <xf numFmtId="175" fontId="37" fillId="10" borderId="1" xfId="0" applyFont="true" applyBorder="true" applyAlignment="true" applyProtection="false">
      <alignment horizontal="left" vertical="bottom" textRotation="0" wrapText="false" indent="0" shrinkToFit="false"/>
      <protection locked="true" hidden="false"/>
    </xf>
    <xf numFmtId="164" fontId="37" fillId="10" borderId="1" xfId="0" applyFont="true" applyBorder="true" applyAlignment="true" applyProtection="false">
      <alignment horizontal="left" vertical="bottom" textRotation="0" wrapText="false" indent="0" shrinkToFit="false"/>
      <protection locked="true" hidden="false"/>
    </xf>
    <xf numFmtId="164" fontId="37" fillId="10" borderId="1" xfId="0" applyFont="true" applyBorder="true" applyAlignment="true" applyProtection="false">
      <alignment horizontal="left" vertical="bottom" textRotation="0" wrapText="true" indent="0" shrinkToFit="false"/>
      <protection locked="true" hidden="false"/>
    </xf>
    <xf numFmtId="164" fontId="37" fillId="10" borderId="1" xfId="0" applyFont="true" applyBorder="true" applyAlignment="true" applyProtection="false">
      <alignment horizontal="center" vertical="bottom" textRotation="0" wrapText="false" indent="0" shrinkToFit="false"/>
      <protection locked="true" hidden="false"/>
    </xf>
    <xf numFmtId="164" fontId="37" fillId="9" borderId="1" xfId="0" applyFont="true" applyBorder="true" applyAlignment="true" applyProtection="false">
      <alignment horizontal="general" vertical="top" textRotation="0" wrapText="false" indent="0" shrinkToFit="false"/>
      <protection locked="true" hidden="false"/>
    </xf>
    <xf numFmtId="164" fontId="37" fillId="9" borderId="1" xfId="0" applyFont="true" applyBorder="true" applyAlignment="true" applyProtection="false">
      <alignment horizontal="left" vertical="top" textRotation="0" wrapText="false" indent="0" shrinkToFit="false"/>
      <protection locked="true" hidden="false"/>
    </xf>
    <xf numFmtId="164" fontId="37" fillId="10" borderId="1" xfId="0" applyFont="true" applyBorder="true" applyAlignment="true" applyProtection="false">
      <alignment horizontal="general" vertical="top" textRotation="0" wrapText="false" indent="0" shrinkToFit="false"/>
      <protection locked="true" hidden="false"/>
    </xf>
    <xf numFmtId="164" fontId="37" fillId="10" borderId="1" xfId="0" applyFont="true" applyBorder="true" applyAlignment="true" applyProtection="false">
      <alignment horizontal="left" vertical="top" textRotation="0" wrapText="false" indent="0" shrinkToFit="false"/>
      <protection locked="true" hidden="false"/>
    </xf>
    <xf numFmtId="175" fontId="37" fillId="10" borderId="14" xfId="0" applyFont="true" applyBorder="true" applyAlignment="true" applyProtection="false">
      <alignment horizontal="left" vertical="bottom" textRotation="0" wrapText="false" indent="0" shrinkToFit="false"/>
      <protection locked="true" hidden="false"/>
    </xf>
    <xf numFmtId="164" fontId="37" fillId="10" borderId="14" xfId="0" applyFont="true" applyBorder="true" applyAlignment="true" applyProtection="false">
      <alignment horizontal="general" vertical="top" textRotation="0" wrapText="false" indent="0" shrinkToFit="false"/>
      <protection locked="true" hidden="false"/>
    </xf>
    <xf numFmtId="164" fontId="37" fillId="10" borderId="14" xfId="0" applyFont="true" applyBorder="true" applyAlignment="true" applyProtection="false">
      <alignment horizontal="left" vertical="bottom" textRotation="0" wrapText="false" indent="0" shrinkToFit="false"/>
      <protection locked="true" hidden="false"/>
    </xf>
    <xf numFmtId="164" fontId="37" fillId="10" borderId="15" xfId="0" applyFont="true" applyBorder="true" applyAlignment="true" applyProtection="false">
      <alignment horizontal="left" vertical="top" textRotation="0" wrapText="false" indent="0" shrinkToFit="false"/>
      <protection locked="true" hidden="false"/>
    </xf>
    <xf numFmtId="164" fontId="37" fillId="10" borderId="16" xfId="0" applyFont="true" applyBorder="true" applyAlignment="true" applyProtection="false">
      <alignment horizontal="center" vertical="bottom" textRotation="0" wrapText="false" indent="0" shrinkToFit="false"/>
      <protection locked="true" hidden="false"/>
    </xf>
    <xf numFmtId="164" fontId="37" fillId="9" borderId="17" xfId="0" applyFont="true" applyBorder="true" applyAlignment="true" applyProtection="false">
      <alignment horizontal="left" vertical="top" textRotation="0" wrapText="false" indent="0" shrinkToFit="false"/>
      <protection locked="true" hidden="false"/>
    </xf>
    <xf numFmtId="164" fontId="37" fillId="9" borderId="18" xfId="0" applyFont="true" applyBorder="true" applyAlignment="true" applyProtection="false">
      <alignment horizontal="center" vertical="bottom" textRotation="0" wrapText="false" indent="0" shrinkToFit="false"/>
      <protection locked="true" hidden="false"/>
    </xf>
    <xf numFmtId="164" fontId="37" fillId="10" borderId="17" xfId="0" applyFont="true" applyBorder="true" applyAlignment="true" applyProtection="false">
      <alignment horizontal="left" vertical="top" textRotation="0" wrapText="false" indent="0" shrinkToFit="false"/>
      <protection locked="true" hidden="false"/>
    </xf>
    <xf numFmtId="164" fontId="37" fillId="10" borderId="18" xfId="0" applyFont="true" applyBorder="true" applyAlignment="true" applyProtection="false">
      <alignment horizontal="center" vertical="bottom" textRotation="0" wrapText="false" indent="0" shrinkToFit="false"/>
      <protection locked="true" hidden="false"/>
    </xf>
    <xf numFmtId="164" fontId="37" fillId="9" borderId="17" xfId="0" applyFont="true" applyBorder="true" applyAlignment="true" applyProtection="false">
      <alignment horizontal="left" vertical="bottom" textRotation="0" wrapText="true" indent="0" shrinkToFit="false"/>
      <protection locked="true" hidden="false"/>
    </xf>
    <xf numFmtId="164" fontId="37" fillId="9" borderId="1" xfId="0" applyFont="true" applyBorder="true" applyAlignment="true" applyProtection="false">
      <alignment horizontal="general" vertical="bottom" textRotation="0" wrapText="true" indent="0" shrinkToFit="false"/>
      <protection locked="true" hidden="false"/>
    </xf>
    <xf numFmtId="164" fontId="37" fillId="10" borderId="17" xfId="0" applyFont="true" applyBorder="true" applyAlignment="true" applyProtection="false">
      <alignment horizontal="left" vertical="bottom" textRotation="0" wrapText="true" indent="0" shrinkToFit="false"/>
      <protection locked="true" hidden="false"/>
    </xf>
    <xf numFmtId="175" fontId="38" fillId="9" borderId="1" xfId="0" applyFont="true" applyBorder="true" applyAlignment="true" applyProtection="false">
      <alignment horizontal="left" vertical="bottom" textRotation="0" wrapText="false" indent="0" shrinkToFit="false"/>
      <protection locked="true" hidden="false"/>
    </xf>
    <xf numFmtId="164" fontId="38" fillId="10" borderId="1" xfId="0" applyFont="true" applyBorder="true" applyAlignment="false" applyProtection="false">
      <alignment horizontal="general" vertical="bottom" textRotation="0" wrapText="false" indent="0" shrinkToFit="false"/>
      <protection locked="true" hidden="false"/>
    </xf>
    <xf numFmtId="164" fontId="38" fillId="9" borderId="1" xfId="0" applyFont="true" applyBorder="true" applyAlignment="false" applyProtection="false">
      <alignment horizontal="general" vertical="bottom" textRotation="0" wrapText="false" indent="0" shrinkToFit="false"/>
      <protection locked="true" hidden="false"/>
    </xf>
    <xf numFmtId="164" fontId="38" fillId="9" borderId="1" xfId="0" applyFont="true" applyBorder="true" applyAlignment="true" applyProtection="false">
      <alignment horizontal="left" vertical="bottom" textRotation="0" wrapText="false" indent="0" shrinkToFit="false"/>
      <protection locked="true" hidden="false"/>
    </xf>
    <xf numFmtId="164" fontId="38" fillId="9" borderId="1" xfId="0" applyFont="true" applyBorder="true" applyAlignment="true" applyProtection="false">
      <alignment horizontal="left" vertical="bottom" textRotation="0" wrapText="true" indent="0" shrinkToFit="false"/>
      <protection locked="true" hidden="false"/>
    </xf>
    <xf numFmtId="164" fontId="38" fillId="10" borderId="1" xfId="0" applyFont="true" applyBorder="true" applyAlignment="true" applyProtection="false">
      <alignment horizontal="general" vertical="bottom" textRotation="0" wrapText="true" indent="0" shrinkToFit="false"/>
      <protection locked="true" hidden="false"/>
    </xf>
    <xf numFmtId="164" fontId="38" fillId="9" borderId="1" xfId="0" applyFont="true" applyBorder="true" applyAlignment="true" applyProtection="false">
      <alignment horizontal="center" vertical="bottom" textRotation="0" wrapText="false" indent="0" shrinkToFit="false"/>
      <protection locked="true" hidden="false"/>
    </xf>
    <xf numFmtId="175" fontId="38" fillId="10" borderId="1" xfId="0" applyFont="true" applyBorder="true" applyAlignment="true" applyProtection="false">
      <alignment horizontal="left" vertical="bottom" textRotation="0" wrapText="false" indent="0" shrinkToFit="false"/>
      <protection locked="true" hidden="false"/>
    </xf>
    <xf numFmtId="164" fontId="38" fillId="10" borderId="1" xfId="0" applyFont="true" applyBorder="true" applyAlignment="true" applyProtection="false">
      <alignment horizontal="left" vertical="bottom" textRotation="0" wrapText="false" indent="0" shrinkToFit="false"/>
      <protection locked="true" hidden="false"/>
    </xf>
    <xf numFmtId="164" fontId="38" fillId="10" borderId="1" xfId="0" applyFont="true" applyBorder="true" applyAlignment="true" applyProtection="false">
      <alignment horizontal="left" vertical="bottom" textRotation="0" wrapText="true" indent="0" shrinkToFit="false"/>
      <protection locked="true" hidden="false"/>
    </xf>
    <xf numFmtId="164" fontId="38" fillId="10" borderId="1" xfId="0" applyFont="true" applyBorder="true" applyAlignment="true" applyProtection="false">
      <alignment horizontal="center" vertical="bottom" textRotation="0" wrapText="true" indent="0" shrinkToFit="false"/>
      <protection locked="true" hidden="false"/>
    </xf>
    <xf numFmtId="164" fontId="38" fillId="10" borderId="1" xfId="0" applyFont="true" applyBorder="true" applyAlignment="true" applyProtection="false">
      <alignment horizontal="center" vertical="bottom" textRotation="0" wrapText="false" indent="0" shrinkToFit="false"/>
      <protection locked="true" hidden="false"/>
    </xf>
    <xf numFmtId="176" fontId="38" fillId="10" borderId="1" xfId="0" applyFont="true" applyBorder="true" applyAlignment="true" applyProtection="false">
      <alignment horizontal="left" vertical="bottom" textRotation="0" wrapText="true" indent="0" shrinkToFit="false"/>
      <protection locked="true" hidden="false"/>
    </xf>
    <xf numFmtId="164" fontId="38" fillId="9" borderId="1" xfId="0" applyFont="true" applyBorder="true" applyAlignment="true" applyProtection="false">
      <alignment horizontal="general" vertical="bottom" textRotation="0" wrapText="true" indent="0" shrinkToFit="false"/>
      <protection locked="true" hidden="false"/>
    </xf>
    <xf numFmtId="164" fontId="38" fillId="10" borderId="1" xfId="0" applyFont="true" applyBorder="true" applyAlignment="true" applyProtection="false">
      <alignment horizontal="general" vertical="top" textRotation="0" wrapText="false" indent="0" shrinkToFit="false"/>
      <protection locked="true" hidden="false"/>
    </xf>
    <xf numFmtId="164" fontId="38" fillId="10" borderId="1" xfId="0" applyFont="true" applyBorder="true" applyAlignment="true" applyProtection="false">
      <alignment horizontal="left" vertical="top" textRotation="0" wrapText="false" indent="0" shrinkToFit="false"/>
      <protection locked="true" hidden="false"/>
    </xf>
    <xf numFmtId="175" fontId="39" fillId="10" borderId="1" xfId="0" applyFont="true" applyBorder="true" applyAlignment="true" applyProtection="false">
      <alignment horizontal="left" vertical="bottom" textRotation="0" wrapText="false" indent="0" shrinkToFit="false"/>
      <protection locked="true" hidden="false"/>
    </xf>
    <xf numFmtId="164" fontId="39" fillId="9" borderId="1" xfId="0" applyFont="true" applyBorder="true" applyAlignment="true" applyProtection="false">
      <alignment horizontal="left" vertical="bottom" textRotation="0" wrapText="false" indent="0" shrinkToFit="false"/>
      <protection locked="true" hidden="false"/>
    </xf>
    <xf numFmtId="164" fontId="39" fillId="9" borderId="1" xfId="0" applyFont="true" applyBorder="true" applyAlignment="false" applyProtection="false">
      <alignment horizontal="general" vertical="bottom" textRotation="0" wrapText="false" indent="0" shrinkToFit="false"/>
      <protection locked="true" hidden="false"/>
    </xf>
    <xf numFmtId="164" fontId="39" fillId="9" borderId="1" xfId="0" applyFont="true" applyBorder="true" applyAlignment="true" applyProtection="false">
      <alignment horizontal="left" vertical="bottom" textRotation="0" wrapText="true" indent="0" shrinkToFit="false"/>
      <protection locked="true" hidden="false"/>
    </xf>
    <xf numFmtId="164" fontId="39" fillId="9" borderId="1" xfId="0" applyFont="true" applyBorder="true" applyAlignment="true" applyProtection="false">
      <alignment horizontal="general" vertical="bottom" textRotation="0" wrapText="true" indent="0" shrinkToFit="false"/>
      <protection locked="true" hidden="false"/>
    </xf>
    <xf numFmtId="164" fontId="39" fillId="9" borderId="1" xfId="0" applyFont="true" applyBorder="true" applyAlignment="true" applyProtection="false">
      <alignment horizontal="center" vertical="bottom" textRotation="0" wrapText="false" indent="0" shrinkToFit="false"/>
      <protection locked="true" hidden="false"/>
    </xf>
    <xf numFmtId="164" fontId="39" fillId="10" borderId="1" xfId="0" applyFont="true" applyBorder="true" applyAlignment="false" applyProtection="false">
      <alignment horizontal="general" vertical="bottom" textRotation="0" wrapText="false" indent="0" shrinkToFit="false"/>
      <protection locked="true" hidden="false"/>
    </xf>
    <xf numFmtId="164" fontId="39" fillId="10" borderId="1" xfId="0" applyFont="true" applyBorder="true" applyAlignment="true" applyProtection="false">
      <alignment horizontal="left" vertical="bottom" textRotation="0" wrapText="false" indent="0" shrinkToFit="false"/>
      <protection locked="true" hidden="false"/>
    </xf>
    <xf numFmtId="164" fontId="39" fillId="10" borderId="1" xfId="0" applyFont="true" applyBorder="true" applyAlignment="true" applyProtection="false">
      <alignment horizontal="left" vertical="bottom" textRotation="0" wrapText="true" indent="0" shrinkToFit="false"/>
      <protection locked="true" hidden="false"/>
    </xf>
    <xf numFmtId="164" fontId="39" fillId="10" borderId="1" xfId="0" applyFont="true" applyBorder="true" applyAlignment="true" applyProtection="false">
      <alignment horizontal="general" vertical="bottom" textRotation="0" wrapText="true" indent="0" shrinkToFit="false"/>
      <protection locked="true" hidden="false"/>
    </xf>
    <xf numFmtId="164" fontId="39" fillId="10" borderId="1" xfId="0" applyFont="true" applyBorder="true" applyAlignment="true" applyProtection="false">
      <alignment horizontal="center" vertical="bottom" textRotation="0" wrapText="false" indent="0" shrinkToFit="false"/>
      <protection locked="true" hidden="false"/>
    </xf>
    <xf numFmtId="175" fontId="39" fillId="9" borderId="1" xfId="0" applyFont="true" applyBorder="true" applyAlignment="true" applyProtection="false">
      <alignment horizontal="left" vertical="bottom" textRotation="0" wrapText="false" indent="0" shrinkToFit="false"/>
      <protection locked="true" hidden="false"/>
    </xf>
    <xf numFmtId="176" fontId="39" fillId="9" borderId="1" xfId="0" applyFont="true" applyBorder="true" applyAlignment="true" applyProtection="false">
      <alignment horizontal="left" vertical="bottom" textRotation="0" wrapText="true" indent="0" shrinkToFit="false"/>
      <protection locked="true" hidden="false"/>
    </xf>
    <xf numFmtId="164" fontId="39" fillId="10" borderId="1" xfId="0" applyFont="true" applyBorder="true" applyAlignment="true" applyProtection="false">
      <alignment horizontal="general" vertical="top" textRotation="0" wrapText="false" indent="0" shrinkToFit="false"/>
      <protection locked="true" hidden="false"/>
    </xf>
    <xf numFmtId="164" fontId="39" fillId="10" borderId="1" xfId="0" applyFont="true" applyBorder="true" applyAlignment="true" applyProtection="false">
      <alignment horizontal="left" vertical="top" textRotation="0" wrapText="false" indent="0" shrinkToFit="false"/>
      <protection locked="true" hidden="false"/>
    </xf>
    <xf numFmtId="164" fontId="39" fillId="9" borderId="1" xfId="0" applyFont="true" applyBorder="true" applyAlignment="true" applyProtection="false">
      <alignment horizontal="left" vertical="top" textRotation="0" wrapText="false" indent="0" shrinkToFit="false"/>
      <protection locked="true" hidden="false"/>
    </xf>
    <xf numFmtId="164" fontId="39" fillId="9" borderId="1" xfId="0" applyFont="true" applyBorder="true" applyAlignment="true" applyProtection="false">
      <alignment horizontal="general" vertical="top" textRotation="0" wrapText="false" indent="0" shrinkToFit="false"/>
      <protection locked="true" hidden="false"/>
    </xf>
    <xf numFmtId="175" fontId="39" fillId="9" borderId="14" xfId="0" applyFont="true" applyBorder="true" applyAlignment="true" applyProtection="false">
      <alignment horizontal="left" vertical="bottom" textRotation="0" wrapText="false" indent="0" shrinkToFit="false"/>
      <protection locked="true" hidden="false"/>
    </xf>
    <xf numFmtId="164" fontId="39" fillId="9" borderId="14" xfId="0" applyFont="true" applyBorder="true" applyAlignment="true" applyProtection="false">
      <alignment horizontal="general" vertical="top" textRotation="0" wrapText="false" indent="0" shrinkToFit="false"/>
      <protection locked="true" hidden="false"/>
    </xf>
    <xf numFmtId="164" fontId="39" fillId="9" borderId="19" xfId="0" applyFont="true" applyBorder="true" applyAlignment="true" applyProtection="false">
      <alignment horizontal="general" vertical="top" textRotation="0" wrapText="false" indent="0" shrinkToFit="false"/>
      <protection locked="true" hidden="false"/>
    </xf>
    <xf numFmtId="164" fontId="39" fillId="9" borderId="14" xfId="0" applyFont="true" applyBorder="true" applyAlignment="true" applyProtection="false">
      <alignment horizontal="left" vertical="bottom" textRotation="0" wrapText="false" indent="0" shrinkToFit="false"/>
      <protection locked="true" hidden="false"/>
    </xf>
    <xf numFmtId="164" fontId="39" fillId="9" borderId="14" xfId="0" applyFont="true" applyBorder="true" applyAlignment="true" applyProtection="false">
      <alignment horizontal="left" vertical="top" textRotation="0" wrapText="false" indent="0" shrinkToFit="false"/>
      <protection locked="true" hidden="false"/>
    </xf>
    <xf numFmtId="164" fontId="39" fillId="9" borderId="14" xfId="0" applyFont="true" applyBorder="true" applyAlignment="true" applyProtection="false">
      <alignment horizontal="center" vertical="top" textRotation="0" wrapText="false" indent="0" shrinkToFit="false"/>
      <protection locked="true" hidden="false"/>
    </xf>
    <xf numFmtId="164" fontId="39" fillId="10" borderId="17" xfId="0" applyFont="true" applyBorder="true" applyAlignment="true" applyProtection="false">
      <alignment horizontal="general" vertical="top" textRotation="0" wrapText="false" indent="0" shrinkToFit="false"/>
      <protection locked="true" hidden="false"/>
    </xf>
    <xf numFmtId="164" fontId="39" fillId="10" borderId="18" xfId="0" applyFont="true" applyBorder="true" applyAlignment="true" applyProtection="false">
      <alignment horizontal="general" vertical="top" textRotation="0" wrapText="false" indent="0" shrinkToFit="false"/>
      <protection locked="true" hidden="false"/>
    </xf>
    <xf numFmtId="164" fontId="39" fillId="10" borderId="14" xfId="0" applyFont="true" applyBorder="true" applyAlignment="true" applyProtection="false">
      <alignment horizontal="center" vertical="top" textRotation="0" wrapText="false" indent="0" shrinkToFit="false"/>
      <protection locked="true" hidden="false"/>
    </xf>
    <xf numFmtId="175" fontId="39" fillId="9" borderId="1" xfId="0" applyFont="true" applyBorder="true" applyAlignment="true" applyProtection="false">
      <alignment horizontal="left" vertical="top" textRotation="0" wrapText="false" indent="0" shrinkToFit="false"/>
      <protection locked="true" hidden="false"/>
    </xf>
    <xf numFmtId="164" fontId="39" fillId="10" borderId="1" xfId="0" applyFont="true" applyBorder="true" applyAlignment="true" applyProtection="false">
      <alignment horizontal="left" vertical="top" textRotation="0" wrapText="true" indent="0" shrinkToFit="false"/>
      <protection locked="true" hidden="false"/>
    </xf>
    <xf numFmtId="164" fontId="39" fillId="9" borderId="1" xfId="0" applyFont="true" applyBorder="true" applyAlignment="true" applyProtection="false">
      <alignment horizontal="center" vertical="top" textRotation="0" wrapText="false" indent="0" shrinkToFit="false"/>
      <protection locked="true" hidden="false"/>
    </xf>
    <xf numFmtId="164" fontId="39" fillId="10" borderId="1" xfId="0" applyFont="true" applyBorder="true" applyAlignment="true" applyProtection="false">
      <alignment horizontal="center" vertical="top" textRotation="0" wrapText="false" indent="0" shrinkToFit="false"/>
      <protection locked="true" hidden="false"/>
    </xf>
    <xf numFmtId="175" fontId="39" fillId="10" borderId="14" xfId="0" applyFont="true" applyBorder="true" applyAlignment="true" applyProtection="false">
      <alignment horizontal="left" vertical="bottom" textRotation="0" wrapText="false" indent="0" shrinkToFit="false"/>
      <protection locked="true" hidden="false"/>
    </xf>
    <xf numFmtId="164" fontId="39" fillId="10" borderId="14" xfId="0" applyFont="true" applyBorder="true" applyAlignment="true" applyProtection="false">
      <alignment horizontal="general" vertical="top" textRotation="0" wrapText="false" indent="0" shrinkToFit="false"/>
      <protection locked="true" hidden="false"/>
    </xf>
    <xf numFmtId="164" fontId="39" fillId="10" borderId="14" xfId="0" applyFont="true" applyBorder="true" applyAlignment="true" applyProtection="false">
      <alignment horizontal="left" vertical="bottom" textRotation="0" wrapText="false" indent="0" shrinkToFit="false"/>
      <protection locked="true" hidden="false"/>
    </xf>
    <xf numFmtId="164" fontId="39" fillId="10" borderId="15" xfId="0" applyFont="true" applyBorder="true" applyAlignment="true" applyProtection="false">
      <alignment horizontal="left" vertical="top" textRotation="0" wrapText="false" indent="0" shrinkToFit="false"/>
      <protection locked="true" hidden="false"/>
    </xf>
    <xf numFmtId="175" fontId="40" fillId="9" borderId="1" xfId="0" applyFont="true" applyBorder="true" applyAlignment="true" applyProtection="false">
      <alignment horizontal="left" vertical="bottom" textRotation="0" wrapText="false" indent="0" shrinkToFit="false"/>
      <protection locked="true" hidden="false"/>
    </xf>
    <xf numFmtId="164" fontId="40" fillId="9" borderId="1" xfId="0" applyFont="true" applyBorder="true" applyAlignment="true" applyProtection="false">
      <alignment horizontal="general" vertical="top" textRotation="0" wrapText="false" indent="0" shrinkToFit="false"/>
      <protection locked="true" hidden="false"/>
    </xf>
    <xf numFmtId="164" fontId="40" fillId="9" borderId="1" xfId="0" applyFont="true" applyBorder="true" applyAlignment="true" applyProtection="false">
      <alignment horizontal="left" vertical="bottom" textRotation="0" wrapText="false" indent="0" shrinkToFit="false"/>
      <protection locked="true" hidden="false"/>
    </xf>
    <xf numFmtId="164" fontId="40" fillId="9" borderId="17" xfId="0" applyFont="true" applyBorder="true" applyAlignment="true" applyProtection="false">
      <alignment horizontal="left" vertical="top" textRotation="0" wrapText="false" indent="0" shrinkToFit="false"/>
      <protection locked="true" hidden="false"/>
    </xf>
    <xf numFmtId="164" fontId="40" fillId="9" borderId="1" xfId="0" applyFont="true" applyBorder="true" applyAlignment="false" applyProtection="false">
      <alignment horizontal="general" vertical="bottom" textRotation="0" wrapText="false" indent="0" shrinkToFit="false"/>
      <protection locked="true" hidden="false"/>
    </xf>
    <xf numFmtId="164" fontId="40" fillId="9" borderId="18" xfId="0" applyFont="true" applyBorder="true" applyAlignment="true" applyProtection="false">
      <alignment horizontal="center" vertical="bottom" textRotation="0" wrapText="false" indent="0" shrinkToFit="false"/>
      <protection locked="true" hidden="false"/>
    </xf>
    <xf numFmtId="175" fontId="40" fillId="10" borderId="1" xfId="0" applyFont="true" applyBorder="true" applyAlignment="true" applyProtection="false">
      <alignment horizontal="left" vertical="bottom" textRotation="0" wrapText="false" indent="0" shrinkToFit="false"/>
      <protection locked="true" hidden="false"/>
    </xf>
    <xf numFmtId="164" fontId="40" fillId="10" borderId="1" xfId="0" applyFont="true" applyBorder="true" applyAlignment="true" applyProtection="false">
      <alignment horizontal="general" vertical="top" textRotation="0" wrapText="false" indent="0" shrinkToFit="false"/>
      <protection locked="true" hidden="false"/>
    </xf>
    <xf numFmtId="164" fontId="40" fillId="10" borderId="1" xfId="0" applyFont="true" applyBorder="true" applyAlignment="true" applyProtection="false">
      <alignment horizontal="left" vertical="bottom" textRotation="0" wrapText="false" indent="0" shrinkToFit="false"/>
      <protection locked="true" hidden="false"/>
    </xf>
    <xf numFmtId="164" fontId="40" fillId="10" borderId="17" xfId="0" applyFont="true" applyBorder="true" applyAlignment="true" applyProtection="false">
      <alignment horizontal="left" vertical="top" textRotation="0" wrapText="false" indent="0" shrinkToFit="false"/>
      <protection locked="true" hidden="false"/>
    </xf>
    <xf numFmtId="164" fontId="40" fillId="10" borderId="1" xfId="0" applyFont="true" applyBorder="true" applyAlignment="false" applyProtection="false">
      <alignment horizontal="general" vertical="bottom" textRotation="0" wrapText="false" indent="0" shrinkToFit="false"/>
      <protection locked="true" hidden="false"/>
    </xf>
    <xf numFmtId="164" fontId="40" fillId="10" borderId="18" xfId="0" applyFont="true" applyBorder="true" applyAlignment="true" applyProtection="false">
      <alignment horizontal="center" vertical="bottom" textRotation="0" wrapText="false" indent="0" shrinkToFit="false"/>
      <protection locked="true" hidden="false"/>
    </xf>
    <xf numFmtId="164" fontId="40" fillId="9" borderId="17" xfId="0" applyFont="true" applyBorder="true" applyAlignment="true" applyProtection="false">
      <alignment horizontal="left" vertical="bottom" textRotation="0" wrapText="true" indent="0" shrinkToFit="false"/>
      <protection locked="true" hidden="false"/>
    </xf>
    <xf numFmtId="164" fontId="40" fillId="10" borderId="17" xfId="0" applyFont="true" applyBorder="true" applyAlignment="true" applyProtection="false">
      <alignment horizontal="left" vertical="bottom" textRotation="0" wrapText="true" indent="0" shrinkToFit="false"/>
      <protection locked="true" hidden="false"/>
    </xf>
    <xf numFmtId="175" fontId="40" fillId="10" borderId="14" xfId="0" applyFont="true" applyBorder="true" applyAlignment="true" applyProtection="false">
      <alignment horizontal="left" vertical="bottom" textRotation="0" wrapText="false" indent="0" shrinkToFit="false"/>
      <protection locked="true" hidden="false"/>
    </xf>
    <xf numFmtId="164" fontId="40" fillId="10" borderId="14" xfId="0" applyFont="true" applyBorder="true" applyAlignment="true" applyProtection="false">
      <alignment horizontal="general" vertical="top" textRotation="0" wrapText="false" indent="0" shrinkToFit="false"/>
      <protection locked="true" hidden="false"/>
    </xf>
    <xf numFmtId="164" fontId="40" fillId="10" borderId="19" xfId="0" applyFont="true" applyBorder="true" applyAlignment="true" applyProtection="false">
      <alignment horizontal="left" vertical="bottom" textRotation="0" wrapText="false" indent="0" shrinkToFit="false"/>
      <protection locked="true" hidden="false"/>
    </xf>
    <xf numFmtId="164" fontId="40" fillId="10" borderId="14" xfId="0" applyFont="true" applyBorder="true" applyAlignment="true" applyProtection="false">
      <alignment horizontal="left" vertical="bottom" textRotation="0" wrapText="false" indent="0" shrinkToFit="false"/>
      <protection locked="true" hidden="false"/>
    </xf>
    <xf numFmtId="164" fontId="40" fillId="10" borderId="14" xfId="0" applyFont="true" applyBorder="true" applyAlignment="true" applyProtection="false">
      <alignment horizontal="left" vertical="top" textRotation="0" wrapText="false" indent="0" shrinkToFit="false"/>
      <protection locked="true" hidden="false"/>
    </xf>
    <xf numFmtId="164" fontId="40" fillId="10" borderId="14" xfId="0" applyFont="true" applyBorder="true" applyAlignment="false" applyProtection="false">
      <alignment horizontal="general" vertical="bottom" textRotation="0" wrapText="false" indent="0" shrinkToFit="false"/>
      <protection locked="true" hidden="false"/>
    </xf>
    <xf numFmtId="164" fontId="40" fillId="9" borderId="1" xfId="0" applyFont="true" applyBorder="true" applyAlignment="true" applyProtection="false">
      <alignment horizontal="left" vertical="top" textRotation="0" wrapText="false" indent="0" shrinkToFit="false"/>
      <protection locked="true" hidden="false"/>
    </xf>
    <xf numFmtId="164" fontId="40" fillId="10" borderId="1" xfId="0" applyFont="true" applyBorder="true" applyAlignment="true" applyProtection="false">
      <alignment horizontal="left" vertical="top" textRotation="0" wrapText="false" indent="0" shrinkToFit="false"/>
      <protection locked="true" hidden="false"/>
    </xf>
    <xf numFmtId="164" fontId="40" fillId="9" borderId="18" xfId="0" applyFont="true" applyBorder="true" applyAlignment="true" applyProtection="false">
      <alignment horizontal="left" vertical="bottom" textRotation="0" wrapText="false" indent="0" shrinkToFit="false"/>
      <protection locked="true" hidden="false"/>
    </xf>
    <xf numFmtId="164" fontId="40" fillId="9" borderId="17" xfId="0" applyFont="true" applyBorder="true" applyAlignment="true" applyProtection="false">
      <alignment horizontal="general" vertical="top" textRotation="0" wrapText="false" indent="0" shrinkToFit="false"/>
      <protection locked="true" hidden="false"/>
    </xf>
    <xf numFmtId="164" fontId="40" fillId="9" borderId="14" xfId="0" applyFont="true" applyBorder="true" applyAlignment="true" applyProtection="false">
      <alignment horizontal="center" vertical="bottom" textRotation="0" wrapText="false" indent="0" shrinkToFit="false"/>
      <protection locked="true" hidden="false"/>
    </xf>
    <xf numFmtId="164" fontId="40" fillId="10" borderId="14" xfId="0" applyFont="true" applyBorder="true" applyAlignment="true" applyProtection="false">
      <alignment horizontal="center" vertical="bottom" textRotation="0" wrapText="false" indent="0" shrinkToFit="false"/>
      <protection locked="true" hidden="false"/>
    </xf>
    <xf numFmtId="164" fontId="39" fillId="9" borderId="15" xfId="0" applyFont="true" applyBorder="true" applyAlignment="true" applyProtection="false">
      <alignment horizontal="left" vertical="top" textRotation="0" wrapText="false" indent="0" shrinkToFit="false"/>
      <protection locked="true" hidden="false"/>
    </xf>
    <xf numFmtId="164" fontId="39" fillId="9" borderId="16" xfId="0" applyFont="true" applyBorder="true" applyAlignment="true" applyProtection="false">
      <alignment horizontal="center" vertical="bottom" textRotation="0" wrapText="false" indent="0" shrinkToFit="false"/>
      <protection locked="true" hidden="false"/>
    </xf>
    <xf numFmtId="164" fontId="39" fillId="10" borderId="18" xfId="0" applyFont="true" applyBorder="true" applyAlignment="true" applyProtection="false">
      <alignment horizontal="center" vertical="bottom" textRotation="0" wrapText="false" indent="0" shrinkToFit="false"/>
      <protection locked="true" hidden="false"/>
    </xf>
    <xf numFmtId="164" fontId="39" fillId="9" borderId="17" xfId="0" applyFont="true" applyBorder="true" applyAlignment="true" applyProtection="false">
      <alignment horizontal="left" vertical="top" textRotation="0" wrapText="false" indent="0" shrinkToFit="false"/>
      <protection locked="true" hidden="false"/>
    </xf>
    <xf numFmtId="164" fontId="39" fillId="9" borderId="18" xfId="0" applyFont="true" applyBorder="true" applyAlignment="true" applyProtection="false">
      <alignment horizontal="center" vertical="bottom" textRotation="0" wrapText="false" indent="0" shrinkToFit="false"/>
      <protection locked="true" hidden="false"/>
    </xf>
    <xf numFmtId="164" fontId="39" fillId="10" borderId="17" xfId="0" applyFont="true" applyBorder="true" applyAlignment="true" applyProtection="false">
      <alignment horizontal="left" vertical="top" textRotation="0" wrapText="false" indent="0" shrinkToFit="false"/>
      <protection locked="true" hidden="false"/>
    </xf>
    <xf numFmtId="175" fontId="39" fillId="9" borderId="1" xfId="0" applyFont="true" applyBorder="true" applyAlignment="true" applyProtection="false">
      <alignment horizontal="general" vertical="top" textRotation="0" wrapText="false" indent="0" shrinkToFit="false"/>
      <protection locked="true" hidden="false"/>
    </xf>
    <xf numFmtId="175" fontId="39" fillId="10" borderId="1" xfId="0" applyFont="true" applyBorder="true" applyAlignment="true" applyProtection="false">
      <alignment horizontal="left" vertical="top" textRotation="0" wrapText="false" indent="0" shrinkToFit="false"/>
      <protection locked="true" hidden="false"/>
    </xf>
    <xf numFmtId="175" fontId="40" fillId="0" borderId="1" xfId="0" applyFont="true" applyBorder="true" applyAlignment="true" applyProtection="false">
      <alignment horizontal="left" vertical="bottom" textRotation="0" wrapText="false" indent="0" shrinkToFit="false"/>
      <protection locked="true" hidden="false"/>
    </xf>
    <xf numFmtId="175" fontId="40" fillId="0" borderId="1" xfId="0" applyFont="true" applyBorder="true" applyAlignment="true" applyProtection="false">
      <alignment horizontal="left" vertical="top" textRotation="0" wrapText="false" indent="0" shrinkToFit="false"/>
      <protection locked="true" hidden="false"/>
    </xf>
    <xf numFmtId="164" fontId="40" fillId="0" borderId="1" xfId="0" applyFont="true" applyBorder="true" applyAlignment="true" applyProtection="false">
      <alignment horizontal="left" vertical="top" textRotation="0" wrapText="false" indent="0" shrinkToFit="false"/>
      <protection locked="true" hidden="false"/>
    </xf>
    <xf numFmtId="164" fontId="40" fillId="0" borderId="1" xfId="0" applyFont="true" applyBorder="true" applyAlignment="true" applyProtection="false">
      <alignment horizontal="left"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64" fontId="40" fillId="0" borderId="1" xfId="0" applyFont="true" applyBorder="true" applyAlignment="true" applyProtection="false">
      <alignment horizontal="general" vertical="top" textRotation="0" wrapText="false" indent="0" shrinkToFit="false"/>
      <protection locked="true" hidden="false"/>
    </xf>
    <xf numFmtId="175" fontId="40" fillId="0" borderId="20" xfId="0" applyFont="true" applyBorder="true" applyAlignment="true" applyProtection="false">
      <alignment horizontal="left" vertical="top" textRotation="0" wrapText="false" indent="0" shrinkToFit="false"/>
      <protection locked="true" hidden="false"/>
    </xf>
    <xf numFmtId="164" fontId="40" fillId="0" borderId="20" xfId="0" applyFont="true" applyBorder="true" applyAlignment="true" applyProtection="false">
      <alignment horizontal="left" vertical="top"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4" fontId="40" fillId="0" borderId="18" xfId="0" applyFont="true" applyBorder="true" applyAlignment="true" applyProtection="false">
      <alignment horizontal="center" vertical="bottom" textRotation="0" wrapText="false" indent="0" shrinkToFit="false"/>
      <protection locked="true" hidden="false"/>
    </xf>
    <xf numFmtId="164" fontId="40" fillId="0" borderId="14" xfId="0" applyFont="true" applyBorder="true" applyAlignment="true" applyProtection="false">
      <alignment horizontal="general" vertical="top" textRotation="0" wrapText="false" indent="0" shrinkToFit="false"/>
      <protection locked="true" hidden="false"/>
    </xf>
    <xf numFmtId="164" fontId="40" fillId="0" borderId="14" xfId="0" applyFont="true" applyBorder="true" applyAlignment="true" applyProtection="false">
      <alignment horizontal="left" vertical="bottom" textRotation="0" wrapText="false" indent="0" shrinkToFit="false"/>
      <protection locked="true" hidden="false"/>
    </xf>
    <xf numFmtId="164" fontId="40" fillId="0" borderId="15" xfId="0" applyFont="true" applyBorder="true" applyAlignment="true" applyProtection="false">
      <alignment horizontal="left" vertical="top" textRotation="0" wrapText="false" indent="0" shrinkToFit="false"/>
      <protection locked="true" hidden="false"/>
    </xf>
    <xf numFmtId="164" fontId="40" fillId="0" borderId="14" xfId="0" applyFont="true" applyBorder="true" applyAlignment="false" applyProtection="false">
      <alignment horizontal="general" vertical="bottom" textRotation="0" wrapText="false" indent="0" shrinkToFit="false"/>
      <protection locked="true" hidden="false"/>
    </xf>
    <xf numFmtId="164" fontId="40" fillId="0" borderId="17" xfId="0" applyFont="true" applyBorder="true" applyAlignment="true" applyProtection="false">
      <alignment horizontal="left" vertical="top" textRotation="0" wrapText="false" indent="0" shrinkToFit="false"/>
      <protection locked="true" hidden="false"/>
    </xf>
    <xf numFmtId="175" fontId="40" fillId="0" borderId="1" xfId="0" applyFont="true" applyBorder="true" applyAlignment="true" applyProtection="false">
      <alignment horizontal="general" vertical="top" textRotation="0" wrapText="false" indent="0" shrinkToFit="false"/>
      <protection locked="true" hidden="false"/>
    </xf>
    <xf numFmtId="175" fontId="40" fillId="0" borderId="14" xfId="0" applyFont="true" applyBorder="true" applyAlignment="true" applyProtection="false">
      <alignment horizontal="left" vertical="bottom" textRotation="0" wrapText="false" indent="0" shrinkToFit="false"/>
      <protection locked="true" hidden="false"/>
    </xf>
    <xf numFmtId="164" fontId="40" fillId="0" borderId="1" xfId="0" applyFont="true" applyBorder="true" applyAlignment="true" applyProtection="false">
      <alignment horizontal="general" vertical="bottom" textRotation="0" wrapText="true" indent="0" shrinkToFit="false"/>
      <protection locked="true" hidden="false"/>
    </xf>
    <xf numFmtId="164" fontId="40" fillId="0" borderId="19" xfId="0" applyFont="true" applyBorder="true" applyAlignment="true" applyProtection="false">
      <alignment horizontal="left" vertical="bottom" textRotation="0" wrapText="false" indent="0" shrinkToFit="false"/>
      <protection locked="true" hidden="false"/>
    </xf>
    <xf numFmtId="164" fontId="40" fillId="0" borderId="14" xfId="0" applyFont="true" applyBorder="true" applyAlignment="true" applyProtection="false">
      <alignment horizontal="left" vertical="top" textRotation="0" wrapText="false" indent="0" shrinkToFit="false"/>
      <protection locked="true" hidden="false"/>
    </xf>
    <xf numFmtId="175"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2" borderId="9" xfId="0" applyFont="tru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false" applyProtection="false">
      <alignment horizontal="general" vertical="bottom" textRotation="0" wrapText="false" indent="0" shrinkToFit="false"/>
      <protection locked="true" hidden="false"/>
    </xf>
    <xf numFmtId="164" fontId="4" fillId="2" borderId="11" xfId="0" applyFont="true" applyBorder="true" applyAlignment="false" applyProtection="false">
      <alignment horizontal="general" vertical="bottom" textRotation="0" wrapText="false" indent="0" shrinkToFit="false"/>
      <protection locked="true" hidden="false"/>
    </xf>
    <xf numFmtId="164" fontId="4" fillId="2" borderId="21" xfId="0" applyFont="true" applyBorder="true" applyAlignment="false" applyProtection="false">
      <alignment horizontal="general" vertical="bottom" textRotation="0" wrapText="false" indent="0" shrinkToFit="false"/>
      <protection locked="true" hidden="false"/>
    </xf>
    <xf numFmtId="175" fontId="4" fillId="0" borderId="1" xfId="0" applyFont="true" applyBorder="true" applyAlignment="true" applyProtection="false">
      <alignment horizontal="center" vertical="top" textRotation="0" wrapText="false" indent="0" shrinkToFit="false"/>
      <protection locked="true" hidden="false"/>
    </xf>
    <xf numFmtId="172" fontId="4" fillId="2"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72" fontId="7" fillId="3" borderId="1"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left" vertical="bottom" textRotation="0" wrapText="false" indent="0" shrinkToFit="false"/>
      <protection locked="true" hidden="false"/>
    </xf>
    <xf numFmtId="171" fontId="4" fillId="2" borderId="1" xfId="0" applyFont="true" applyBorder="true" applyAlignment="true" applyProtection="false">
      <alignment horizontal="center" vertical="bottom" textRotation="0" wrapText="false" indent="0" shrinkToFit="false"/>
      <protection locked="true" hidden="false"/>
    </xf>
    <xf numFmtId="171" fontId="4" fillId="2" borderId="0" xfId="0" applyFont="true" applyBorder="false" applyAlignment="false" applyProtection="false">
      <alignment horizontal="general" vertical="bottom" textRotation="0" wrapText="false" indent="0" shrinkToFit="false"/>
      <protection locked="true" hidden="false"/>
    </xf>
    <xf numFmtId="171" fontId="4" fillId="2" borderId="4" xfId="0" applyFont="true" applyBorder="true" applyAlignment="false" applyProtection="false">
      <alignment horizontal="general" vertical="bottom" textRotation="0" wrapText="false" indent="0" shrinkToFit="false"/>
      <protection locked="true" hidden="false"/>
    </xf>
    <xf numFmtId="178" fontId="4" fillId="2" borderId="4" xfId="0" applyFont="true" applyBorder="true" applyAlignment="false" applyProtection="false">
      <alignment horizontal="general" vertical="bottom" textRotation="0" wrapText="false" indent="0" shrinkToFit="false"/>
      <protection locked="true" hidden="false"/>
    </xf>
    <xf numFmtId="171" fontId="4" fillId="2" borderId="1" xfId="0" applyFont="true" applyBorder="true" applyAlignment="false" applyProtection="false">
      <alignment horizontal="general" vertical="bottom" textRotation="0" wrapText="false" indent="0" shrinkToFit="false"/>
      <protection locked="true" hidden="false"/>
    </xf>
    <xf numFmtId="178" fontId="4" fillId="2"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true" applyProtection="false">
      <alignment horizontal="center" vertical="top" textRotation="0" wrapText="false" indent="0" shrinkToFit="false"/>
      <protection locked="true" hidden="false"/>
    </xf>
    <xf numFmtId="164" fontId="41" fillId="2" borderId="0" xfId="0" applyFont="true" applyBorder="false" applyAlignment="false" applyProtection="false">
      <alignment horizontal="general" vertical="bottom" textRotation="0" wrapText="false" indent="0" shrinkToFit="false"/>
      <protection locked="true" hidden="false"/>
    </xf>
    <xf numFmtId="164" fontId="42"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28" fillId="2" borderId="0" xfId="0" applyFont="true" applyBorder="false" applyAlignment="false" applyProtection="false">
      <alignment horizontal="general" vertical="bottom" textRotation="0" wrapText="false" indent="0" shrinkToFit="false"/>
      <protection locked="true" hidden="false"/>
    </xf>
    <xf numFmtId="164" fontId="43" fillId="2" borderId="0" xfId="0" applyFont="true" applyBorder="fals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top" textRotation="0" wrapText="true" indent="0" shrinkToFit="false"/>
      <protection locked="true" hidden="false"/>
    </xf>
    <xf numFmtId="179" fontId="4" fillId="5" borderId="1" xfId="0" applyFont="true" applyBorder="true" applyAlignment="true" applyProtection="false">
      <alignment horizontal="center" vertical="top" textRotation="0" wrapText="true" indent="0" shrinkToFit="false"/>
      <protection locked="true" hidden="false"/>
    </xf>
    <xf numFmtId="182" fontId="4" fillId="5" borderId="1" xfId="0" applyFont="true" applyBorder="true" applyAlignment="true" applyProtection="false">
      <alignment horizontal="center"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true" applyProtection="false">
      <alignment horizontal="center" vertical="top" textRotation="0" wrapText="false" indent="0" shrinkToFit="false"/>
      <protection locked="true" hidden="false"/>
    </xf>
    <xf numFmtId="164" fontId="25" fillId="6" borderId="1" xfId="0" applyFont="true" applyBorder="true" applyAlignment="true" applyProtection="false">
      <alignment horizontal="left" vertical="top" textRotation="0" wrapText="true" indent="0" shrinkToFit="false"/>
      <protection locked="true" hidden="false"/>
    </xf>
    <xf numFmtId="175" fontId="25" fillId="6" borderId="1" xfId="0" applyFont="true" applyBorder="true" applyAlignment="true" applyProtection="false">
      <alignment horizontal="left" vertical="top" textRotation="0" wrapText="false" indent="0" shrinkToFit="false"/>
      <protection locked="true" hidden="false"/>
    </xf>
    <xf numFmtId="164" fontId="25" fillId="6" borderId="1" xfId="0" applyFont="true" applyBorder="true" applyAlignment="true" applyProtection="false">
      <alignment horizontal="general" vertical="center" textRotation="0" wrapText="true" indent="0" shrinkToFit="false"/>
      <protection locked="true" hidden="false"/>
    </xf>
    <xf numFmtId="164" fontId="25" fillId="6" borderId="4" xfId="0" applyFont="true" applyBorder="true" applyAlignment="true" applyProtection="false">
      <alignment horizontal="general" vertical="top" textRotation="0" wrapText="true" indent="0" shrinkToFit="false"/>
      <protection locked="true" hidden="false"/>
    </xf>
    <xf numFmtId="176" fontId="25" fillId="6" borderId="1" xfId="0" applyFont="true" applyBorder="true" applyAlignment="true" applyProtection="false">
      <alignment horizontal="left" vertical="top" textRotation="0" wrapText="true" indent="0" shrinkToFit="false"/>
      <protection locked="true" hidden="false"/>
    </xf>
    <xf numFmtId="176" fontId="25" fillId="6" borderId="1" xfId="0" applyFont="true" applyBorder="true" applyAlignment="true" applyProtection="false">
      <alignment horizontal="center" vertical="top" textRotation="0" wrapText="true" indent="0" shrinkToFit="false"/>
      <protection locked="true" hidden="false"/>
    </xf>
    <xf numFmtId="171" fontId="25" fillId="6" borderId="1" xfId="0" applyFont="true" applyBorder="true" applyAlignment="true" applyProtection="false">
      <alignment horizontal="right" vertical="bottom" textRotation="0" wrapText="true" indent="0" shrinkToFit="false"/>
      <protection locked="true" hidden="false"/>
    </xf>
    <xf numFmtId="178" fontId="25" fillId="6" borderId="1" xfId="0" applyFont="true" applyBorder="true" applyAlignment="true" applyProtection="false">
      <alignment horizontal="left" vertical="top" textRotation="0" wrapText="true" indent="0" shrinkToFit="false"/>
      <protection locked="true" hidden="false"/>
    </xf>
    <xf numFmtId="164" fontId="25" fillId="6" borderId="1" xfId="0" applyFont="true" applyBorder="true" applyAlignment="true" applyProtection="false">
      <alignment horizontal="left" vertical="top" textRotation="0" wrapText="false" indent="0" shrinkToFit="false"/>
      <protection locked="true" hidden="false"/>
    </xf>
    <xf numFmtId="164" fontId="25" fillId="6" borderId="1" xfId="0" applyFont="true" applyBorder="true" applyAlignment="true" applyProtection="false">
      <alignment horizontal="center" vertical="top" textRotation="0" wrapText="true" indent="0" shrinkToFit="false"/>
      <protection locked="true" hidden="false"/>
    </xf>
    <xf numFmtId="175" fontId="26" fillId="6" borderId="1" xfId="0" applyFont="true" applyBorder="true" applyAlignment="true" applyProtection="false">
      <alignment horizontal="left" vertical="top" textRotation="0" wrapText="true" indent="0" shrinkToFit="false"/>
      <protection locked="true" hidden="false"/>
    </xf>
    <xf numFmtId="164" fontId="25" fillId="6" borderId="1" xfId="0" applyFont="true" applyBorder="true" applyAlignment="true" applyProtection="false">
      <alignment horizontal="left" vertical="center" textRotation="0" wrapText="true" indent="0" shrinkToFit="false"/>
      <protection locked="true" hidden="false"/>
    </xf>
    <xf numFmtId="164" fontId="25" fillId="6" borderId="1" xfId="0" applyFont="true" applyBorder="true" applyAlignment="true" applyProtection="false">
      <alignment horizontal="general" vertical="top" textRotation="0" wrapText="true" indent="0" shrinkToFit="false"/>
      <protection locked="true" hidden="false"/>
    </xf>
    <xf numFmtId="171" fontId="44" fillId="6" borderId="1" xfId="0" applyFont="true" applyBorder="true" applyAlignment="true" applyProtection="false">
      <alignment horizontal="right" vertical="bottom" textRotation="0" wrapText="true" indent="0" shrinkToFit="false"/>
      <protection locked="true" hidden="false"/>
    </xf>
    <xf numFmtId="177" fontId="25" fillId="6" borderId="1" xfId="0" applyFont="true" applyBorder="true" applyAlignment="true" applyProtection="false">
      <alignment horizontal="left" vertical="top" textRotation="0" wrapText="true" indent="0" shrinkToFit="false"/>
      <protection locked="true" hidden="false"/>
    </xf>
    <xf numFmtId="175" fontId="25" fillId="6" borderId="1" xfId="0" applyFont="true" applyBorder="true" applyAlignment="true" applyProtection="false">
      <alignment horizontal="left" vertical="center" textRotation="0" wrapText="false" indent="0" shrinkToFit="false"/>
      <protection locked="true" hidden="false"/>
    </xf>
    <xf numFmtId="176" fontId="25" fillId="6" borderId="1" xfId="0" applyFont="true" applyBorder="true" applyAlignment="true" applyProtection="false">
      <alignment horizontal="left" vertical="center" textRotation="0" wrapText="true" indent="0" shrinkToFit="false"/>
      <protection locked="true" hidden="false"/>
    </xf>
    <xf numFmtId="171" fontId="25" fillId="6" borderId="1" xfId="0" applyFont="true" applyBorder="true" applyAlignment="true" applyProtection="false">
      <alignment horizontal="center" vertical="center" textRotation="0" wrapText="true" indent="0" shrinkToFit="false"/>
      <protection locked="true" hidden="false"/>
    </xf>
    <xf numFmtId="171" fontId="25" fillId="6" borderId="1" xfId="0" applyFont="true" applyBorder="true" applyAlignment="true" applyProtection="false">
      <alignment horizontal="left" vertical="center" textRotation="0" wrapText="true" indent="0" shrinkToFit="false"/>
      <protection locked="true" hidden="false"/>
    </xf>
    <xf numFmtId="175" fontId="25" fillId="6"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true" applyProtection="false">
      <alignment horizontal="center" vertical="top" textRotation="0" wrapText="false" indent="0" shrinkToFit="false"/>
      <protection locked="true" hidden="false"/>
    </xf>
    <xf numFmtId="179" fontId="26" fillId="6"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general" vertical="center" textRotation="0" wrapText="true" indent="0" shrinkToFit="false"/>
      <protection locked="true" hidden="false"/>
    </xf>
    <xf numFmtId="164" fontId="25" fillId="6"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true" applyProtection="false">
      <alignment horizontal="center" vertical="center" textRotation="0" wrapText="false" indent="0" shrinkToFit="false"/>
      <protection locked="true" hidden="false"/>
    </xf>
    <xf numFmtId="171" fontId="25" fillId="6" borderId="1" xfId="17" applyFont="true" applyBorder="true" applyAlignment="true" applyProtection="true">
      <alignment horizontal="center" vertical="center" textRotation="0" wrapText="true" indent="0" shrinkToFit="false"/>
      <protection locked="true" hidden="false"/>
    </xf>
    <xf numFmtId="164" fontId="26" fillId="6" borderId="1" xfId="0" applyFont="true" applyBorder="true" applyAlignment="true" applyProtection="false">
      <alignment horizontal="left" vertical="top" textRotation="0" wrapText="true" indent="0" shrinkToFit="false"/>
      <protection locked="true" hidden="false"/>
    </xf>
    <xf numFmtId="164" fontId="25" fillId="6" borderId="0" xfId="0" applyFont="true" applyBorder="false" applyAlignment="true" applyProtection="false">
      <alignment horizontal="center" vertical="center" textRotation="0" wrapText="true" indent="0" shrinkToFit="false"/>
      <protection locked="true" hidden="false"/>
    </xf>
    <xf numFmtId="176" fontId="25" fillId="6" borderId="1" xfId="0" applyFont="true" applyBorder="true" applyAlignment="true" applyProtection="false">
      <alignment horizontal="center" vertical="center" textRotation="0" wrapText="true" indent="0" shrinkToFit="false"/>
      <protection locked="true" hidden="false"/>
    </xf>
    <xf numFmtId="164" fontId="26" fillId="6" borderId="8" xfId="0" applyFont="true" applyBorder="true" applyAlignment="true" applyProtection="false">
      <alignment horizontal="center" vertical="top" textRotation="0" wrapText="false" indent="0" shrinkToFit="false"/>
      <protection locked="true" hidden="false"/>
    </xf>
    <xf numFmtId="164" fontId="25" fillId="6" borderId="8" xfId="0" applyFont="true" applyBorder="true" applyAlignment="true" applyProtection="false">
      <alignment horizontal="left" vertical="center" textRotation="0" wrapText="true" indent="0" shrinkToFit="false"/>
      <protection locked="true" hidden="false"/>
    </xf>
    <xf numFmtId="175" fontId="25" fillId="6" borderId="8" xfId="0" applyFont="true" applyBorder="true" applyAlignment="true" applyProtection="false">
      <alignment horizontal="center" vertical="center" textRotation="0" wrapText="false" indent="0" shrinkToFit="false"/>
      <protection locked="true" hidden="false"/>
    </xf>
    <xf numFmtId="164" fontId="25" fillId="6" borderId="8" xfId="0" applyFont="true" applyBorder="true" applyAlignment="true" applyProtection="false">
      <alignment horizontal="center" vertical="center" textRotation="0" wrapText="true" indent="0" shrinkToFit="false"/>
      <protection locked="true" hidden="false"/>
    </xf>
    <xf numFmtId="164" fontId="25" fillId="6" borderId="8" xfId="0" applyFont="true" applyBorder="true" applyAlignment="true" applyProtection="false">
      <alignment horizontal="general" vertical="center" textRotation="0" wrapText="true" indent="0" shrinkToFit="false"/>
      <protection locked="true" hidden="false"/>
    </xf>
    <xf numFmtId="176" fontId="25" fillId="6" borderId="8" xfId="0" applyFont="true" applyBorder="true" applyAlignment="true" applyProtection="false">
      <alignment horizontal="center" vertical="center" textRotation="0" wrapText="true" indent="0" shrinkToFit="false"/>
      <protection locked="true" hidden="false"/>
    </xf>
    <xf numFmtId="171" fontId="25" fillId="6" borderId="8" xfId="0" applyFont="true" applyBorder="true" applyAlignment="true" applyProtection="false">
      <alignment horizontal="center" vertical="center" textRotation="0" wrapText="true" indent="0" shrinkToFit="false"/>
      <protection locked="true" hidden="false"/>
    </xf>
    <xf numFmtId="164" fontId="25" fillId="6" borderId="8" xfId="0" applyFont="true" applyBorder="true" applyAlignment="true" applyProtection="false">
      <alignment horizontal="center" vertical="center" textRotation="0" wrapText="false" indent="0" shrinkToFit="false"/>
      <protection locked="true" hidden="false"/>
    </xf>
    <xf numFmtId="175" fontId="26" fillId="6" borderId="8" xfId="0" applyFont="true" applyBorder="true" applyAlignment="true" applyProtection="false">
      <alignment horizontal="left" vertical="top" textRotation="0" wrapText="true" indent="0" shrinkToFit="false"/>
      <protection locked="true" hidden="false"/>
    </xf>
    <xf numFmtId="164" fontId="26" fillId="6" borderId="1" xfId="0" applyFont="true" applyBorder="true" applyAlignment="true" applyProtection="false">
      <alignment horizontal="center" vertical="center" textRotation="0" wrapText="true" indent="0" shrinkToFit="false"/>
      <protection locked="true" hidden="false"/>
    </xf>
    <xf numFmtId="175"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75" fontId="26" fillId="6" borderId="1" xfId="0" applyFont="true" applyBorder="true" applyAlignment="true" applyProtection="false">
      <alignment horizontal="right" vertical="bottom" textRotation="0" wrapText="false" indent="0" shrinkToFit="false"/>
      <protection locked="true" hidden="false"/>
    </xf>
    <xf numFmtId="175" fontId="26" fillId="6" borderId="1" xfId="0" applyFont="true" applyBorder="true" applyAlignment="true" applyProtection="false">
      <alignment horizontal="right" vertical="top" textRotation="0" wrapText="true" indent="0" shrinkToFit="false"/>
      <protection locked="true" hidden="false"/>
    </xf>
    <xf numFmtId="164" fontId="26" fillId="6" borderId="1" xfId="0" applyFont="true" applyBorder="true" applyAlignment="true" applyProtection="false">
      <alignment horizontal="center" vertical="bottom" textRotation="0" wrapText="true" indent="0" shrinkToFit="false"/>
      <protection locked="true" hidden="false"/>
    </xf>
    <xf numFmtId="164" fontId="45" fillId="6" borderId="1" xfId="0" applyFont="true" applyBorder="true" applyAlignment="true" applyProtection="false">
      <alignment horizontal="center" vertical="center" textRotation="0" wrapText="true" indent="0" shrinkToFit="false"/>
      <protection locked="true" hidden="false"/>
    </xf>
    <xf numFmtId="164" fontId="45" fillId="6" borderId="1" xfId="0" applyFont="true" applyBorder="true" applyAlignment="true" applyProtection="false">
      <alignment horizontal="general" vertical="center" textRotation="0" wrapText="true" indent="0" shrinkToFit="false"/>
      <protection locked="true" hidden="false"/>
    </xf>
    <xf numFmtId="171" fontId="25" fillId="6" borderId="1" xfId="24" applyFont="true" applyBorder="true" applyAlignment="true" applyProtection="true">
      <alignment horizontal="center" vertical="center" textRotation="0" wrapText="true" indent="0" shrinkToFit="false"/>
      <protection locked="true" hidden="false"/>
    </xf>
    <xf numFmtId="180" fontId="25" fillId="6" borderId="1" xfId="17" applyFont="true" applyBorder="true" applyAlignment="true" applyProtection="true">
      <alignment horizontal="center" vertical="center" textRotation="0" wrapText="true" indent="0" shrinkToFit="false"/>
      <protection locked="true" hidden="false"/>
    </xf>
    <xf numFmtId="176" fontId="26" fillId="6" borderId="1" xfId="0" applyFont="true" applyBorder="true" applyAlignment="true" applyProtection="false">
      <alignment horizontal="center" vertical="center" textRotation="0" wrapText="true" indent="0" shrinkToFit="false"/>
      <protection locked="true" hidden="false"/>
    </xf>
    <xf numFmtId="164" fontId="25" fillId="6" borderId="5" xfId="0" applyFont="true" applyBorder="true" applyAlignment="true" applyProtection="false">
      <alignment horizontal="center" vertical="center" textRotation="0" wrapText="true" indent="0" shrinkToFit="false"/>
      <protection locked="true" hidden="false"/>
    </xf>
    <xf numFmtId="175" fontId="26" fillId="6" borderId="6" xfId="0" applyFont="true" applyBorder="true" applyAlignment="true" applyProtection="false">
      <alignment horizontal="right" vertical="bottom" textRotation="0" wrapText="false" indent="0" shrinkToFit="false"/>
      <protection locked="true" hidden="false"/>
    </xf>
    <xf numFmtId="164" fontId="15" fillId="6" borderId="5" xfId="0" applyFont="true" applyBorder="true" applyAlignment="true" applyProtection="false">
      <alignment horizontal="left" vertical="center" textRotation="0" wrapText="true" indent="0" shrinkToFit="false"/>
      <protection locked="true" hidden="false"/>
    </xf>
    <xf numFmtId="164" fontId="25" fillId="6" borderId="1" xfId="0" applyFont="true" applyBorder="true" applyAlignment="true" applyProtection="false">
      <alignment horizontal="center" vertical="bottom" textRotation="0" wrapText="true" indent="0" shrinkToFit="false"/>
      <protection locked="true" hidden="false"/>
    </xf>
    <xf numFmtId="164" fontId="21" fillId="6" borderId="6" xfId="0" applyFont="true" applyBorder="true" applyAlignment="true" applyProtection="false">
      <alignment horizontal="center" vertical="center" textRotation="0" wrapText="false" indent="0" shrinkToFit="false"/>
      <protection locked="true" hidden="false"/>
    </xf>
    <xf numFmtId="174" fontId="25" fillId="6" borderId="6" xfId="15" applyFont="true" applyBorder="true" applyAlignment="true" applyProtection="true">
      <alignment horizontal="right" vertical="center" textRotation="0" wrapText="true" indent="0" shrinkToFit="false"/>
      <protection locked="true" hidden="false"/>
    </xf>
    <xf numFmtId="175" fontId="15" fillId="6" borderId="1" xfId="0" applyFont="true" applyBorder="true" applyAlignment="true" applyProtection="false">
      <alignment horizontal="center" vertical="center" textRotation="0" wrapText="fals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76" fontId="15" fillId="6" borderId="5"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false" applyProtection="false">
      <alignment horizontal="general" vertical="bottom" textRotation="0" wrapText="false" indent="0" shrinkToFit="false"/>
      <protection locked="true" hidden="false"/>
    </xf>
    <xf numFmtId="171" fontId="26" fillId="6" borderId="1" xfId="0" applyFont="true" applyBorder="true" applyAlignment="true" applyProtection="false">
      <alignment horizontal="right" vertical="center" textRotation="0" wrapText="false" indent="0" shrinkToFit="false"/>
      <protection locked="true" hidden="false"/>
    </xf>
    <xf numFmtId="178" fontId="15" fillId="6" borderId="6" xfId="17" applyFont="true" applyBorder="true" applyAlignment="true" applyProtection="true">
      <alignment horizontal="center" vertical="center" textRotation="0" wrapText="true" indent="0" shrinkToFit="false"/>
      <protection locked="true" hidden="false"/>
    </xf>
    <xf numFmtId="171" fontId="15" fillId="6" borderId="1" xfId="0" applyFont="true" applyBorder="true" applyAlignment="true" applyProtection="false">
      <alignment horizontal="center" vertical="center" textRotation="0" wrapText="true" indent="0" shrinkToFit="false"/>
      <protection locked="true" hidden="false"/>
    </xf>
    <xf numFmtId="178" fontId="15" fillId="6"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74" fontId="26" fillId="6" borderId="1" xfId="15" applyFont="true" applyBorder="true" applyAlignment="true" applyProtection="true">
      <alignment horizontal="center" vertical="center" textRotation="0" wrapText="true" indent="0" shrinkToFit="false"/>
      <protection locked="true" hidden="false"/>
    </xf>
    <xf numFmtId="175" fontId="26" fillId="6"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general" vertical="center" textRotation="0" wrapText="true" indent="0" shrinkToFit="false"/>
      <protection locked="true" hidden="false"/>
    </xf>
    <xf numFmtId="176" fontId="26" fillId="6" borderId="1" xfId="0" applyFont="true" applyBorder="true" applyAlignment="true" applyProtection="false">
      <alignment horizontal="general" vertical="center" textRotation="0" wrapText="true" indent="0" shrinkToFit="false"/>
      <protection locked="true" hidden="false"/>
    </xf>
    <xf numFmtId="171" fontId="25" fillId="6" borderId="1" xfId="0" applyFont="true" applyBorder="true" applyAlignment="true" applyProtection="false">
      <alignment horizontal="general" vertical="center" textRotation="0" wrapText="true" indent="0" shrinkToFit="false"/>
      <protection locked="true" hidden="false"/>
    </xf>
    <xf numFmtId="177" fontId="25" fillId="6" borderId="1" xfId="0" applyFont="true" applyBorder="true" applyAlignment="true" applyProtection="false">
      <alignment horizontal="general" vertical="center" textRotation="0" wrapText="true" indent="0" shrinkToFit="false"/>
      <protection locked="true" hidden="false"/>
    </xf>
    <xf numFmtId="178" fontId="26" fillId="6" borderId="1" xfId="0" applyFont="true" applyBorder="true" applyAlignment="true" applyProtection="false">
      <alignment horizontal="general" vertical="center" textRotation="0" wrapText="true" indent="0" shrinkToFit="false"/>
      <protection locked="true" hidden="false"/>
    </xf>
    <xf numFmtId="164" fontId="26" fillId="6" borderId="1" xfId="0" applyFont="true" applyBorder="true" applyAlignment="true" applyProtection="false">
      <alignment horizontal="center" vertical="center" textRotation="0" wrapText="false" indent="0" shrinkToFit="false"/>
      <protection locked="true" hidden="false"/>
    </xf>
    <xf numFmtId="164" fontId="4" fillId="6" borderId="1" xfId="0" applyFont="true" applyBorder="true" applyAlignment="true" applyProtection="false">
      <alignment horizontal="center" vertical="center" textRotation="0" wrapText="false" indent="0" shrinkToFit="false"/>
      <protection locked="true" hidden="false"/>
    </xf>
    <xf numFmtId="174" fontId="15" fillId="6" borderId="1" xfId="15" applyFont="true" applyBorder="true" applyAlignment="true" applyProtection="true">
      <alignment horizontal="center" vertical="center" textRotation="0" wrapText="true" indent="0" shrinkToFit="false"/>
      <protection locked="true" hidden="false"/>
    </xf>
    <xf numFmtId="176" fontId="15" fillId="6" borderId="1" xfId="0" applyFont="true" applyBorder="true" applyAlignment="true" applyProtection="false">
      <alignment horizontal="general" vertical="center" textRotation="0" wrapText="true" indent="0" shrinkToFit="false"/>
      <protection locked="true" hidden="false"/>
    </xf>
    <xf numFmtId="171" fontId="4" fillId="6" borderId="1" xfId="0" applyFont="true" applyBorder="true" applyAlignment="true" applyProtection="false">
      <alignment horizontal="general" vertical="center" textRotation="0" wrapText="false" indent="0" shrinkToFit="false"/>
      <protection locked="true" hidden="false"/>
    </xf>
    <xf numFmtId="178" fontId="15" fillId="6" borderId="1" xfId="0" applyFont="true" applyBorder="true" applyAlignment="true" applyProtection="false">
      <alignment horizontal="general" vertical="center"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74" fontId="4" fillId="6" borderId="1" xfId="15" applyFont="true" applyBorder="true" applyAlignment="true" applyProtection="true">
      <alignment horizontal="center" vertical="center" textRotation="0" wrapText="true" indent="0" shrinkToFit="false"/>
      <protection locked="true" hidden="false"/>
    </xf>
    <xf numFmtId="179" fontId="4" fillId="6" borderId="1" xfId="0" applyFont="true" applyBorder="true" applyAlignment="true" applyProtection="false">
      <alignment horizontal="right" vertical="center" textRotation="0" wrapText="true" indent="0" shrinkToFit="false"/>
      <protection locked="true" hidden="false"/>
    </xf>
    <xf numFmtId="175" fontId="15" fillId="6" borderId="1" xfId="0" applyFont="true" applyBorder="true" applyAlignment="true" applyProtection="false">
      <alignment horizontal="center" vertical="center" textRotation="0" wrapText="true" indent="0" shrinkToFit="false"/>
      <protection locked="true" hidden="false"/>
    </xf>
    <xf numFmtId="176" fontId="15" fillId="6" borderId="1" xfId="0" applyFont="true" applyBorder="true" applyAlignment="true" applyProtection="false">
      <alignment horizontal="center" vertical="center" textRotation="0" wrapText="true" indent="0" shrinkToFit="false"/>
      <protection locked="true" hidden="false"/>
    </xf>
    <xf numFmtId="180" fontId="15" fillId="6" borderId="1" xfId="17" applyFont="true" applyBorder="true" applyAlignment="true" applyProtection="true">
      <alignment horizontal="left" vertical="center" textRotation="0" wrapText="true" indent="0" shrinkToFit="false"/>
      <protection locked="true" hidden="false"/>
    </xf>
    <xf numFmtId="171" fontId="15" fillId="6" borderId="1" xfId="0" applyFont="true" applyBorder="true" applyAlignment="true" applyProtection="false">
      <alignment horizontal="right" vertical="center" textRotation="0" wrapText="true" indent="0" shrinkToFit="false"/>
      <protection locked="true" hidden="false"/>
    </xf>
    <xf numFmtId="176" fontId="15" fillId="6" borderId="4" xfId="0" applyFont="true" applyBorder="true" applyAlignment="true" applyProtection="false">
      <alignment horizontal="right" vertical="center" textRotation="0" wrapText="true" indent="0" shrinkToFit="false"/>
      <protection locked="true" hidden="false"/>
    </xf>
    <xf numFmtId="164" fontId="15" fillId="6" borderId="5"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false" indent="0" shrinkToFit="false"/>
      <protection locked="true" hidden="false"/>
    </xf>
    <xf numFmtId="164" fontId="15" fillId="6" borderId="0" xfId="0" applyFont="true" applyBorder="true" applyAlignment="true" applyProtection="false">
      <alignment horizontal="left" vertical="center" textRotation="0" wrapText="tru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4" fillId="6" borderId="0" xfId="0" applyFont="true" applyBorder="true" applyAlignment="true" applyProtection="false">
      <alignment horizontal="center" vertical="center" textRotation="0" wrapText="false" indent="0" shrinkToFit="false"/>
      <protection locked="true" hidden="false"/>
    </xf>
    <xf numFmtId="174" fontId="15" fillId="6" borderId="0" xfId="15" applyFont="true" applyBorder="true" applyAlignment="true" applyProtection="true">
      <alignment horizontal="center" vertical="center" textRotation="0" wrapText="true" indent="0" shrinkToFit="false"/>
      <protection locked="true" hidden="false"/>
    </xf>
    <xf numFmtId="175" fontId="15" fillId="6" borderId="0" xfId="0" applyFont="true" applyBorder="tru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center" vertical="center" textRotation="0" wrapText="true" indent="0" shrinkToFit="false"/>
      <protection locked="true" hidden="false"/>
    </xf>
    <xf numFmtId="176" fontId="15" fillId="6" borderId="0" xfId="0" applyFont="true" applyBorder="true" applyAlignment="true" applyProtection="false">
      <alignment horizontal="general" vertical="center" textRotation="0" wrapText="true" indent="0" shrinkToFit="false"/>
      <protection locked="true" hidden="false"/>
    </xf>
    <xf numFmtId="171" fontId="4" fillId="6" borderId="0" xfId="0" applyFont="true" applyBorder="true" applyAlignment="true" applyProtection="false">
      <alignment horizontal="general" vertical="center" textRotation="0" wrapText="false" indent="0" shrinkToFit="false"/>
      <protection locked="true" hidden="false"/>
    </xf>
    <xf numFmtId="171" fontId="15" fillId="6" borderId="0" xfId="0" applyFont="true" applyBorder="true" applyAlignment="true" applyProtection="false">
      <alignment horizontal="general" vertical="center" textRotation="0" wrapText="true" indent="0" shrinkToFit="false"/>
      <protection locked="true" hidden="false"/>
    </xf>
    <xf numFmtId="177" fontId="15" fillId="6" borderId="0" xfId="0" applyFont="true" applyBorder="true" applyAlignment="true" applyProtection="false">
      <alignment horizontal="general" vertical="center" textRotation="0" wrapText="true" indent="0" shrinkToFit="false"/>
      <protection locked="true" hidden="false"/>
    </xf>
    <xf numFmtId="178" fontId="4" fillId="6" borderId="0" xfId="0" applyFont="true" applyBorder="true" applyAlignment="true" applyProtection="false">
      <alignment horizontal="general" vertical="center" textRotation="0" wrapText="true" indent="0" shrinkToFit="false"/>
      <protection locked="true" hidden="false"/>
    </xf>
    <xf numFmtId="164" fontId="17" fillId="6" borderId="0" xfId="0" applyFont="true" applyBorder="true" applyAlignment="true" applyProtection="false">
      <alignment horizontal="center" vertical="center" textRotation="0" wrapText="true" indent="0" shrinkToFit="false"/>
      <protection locked="true" hidden="false"/>
    </xf>
    <xf numFmtId="164" fontId="15" fillId="6" borderId="0" xfId="0" applyFont="true" applyBorder="true" applyAlignment="true" applyProtection="false">
      <alignment horizontal="center" vertical="center" textRotation="0" wrapText="false" indent="0" shrinkToFit="false"/>
      <protection locked="true" hidden="false"/>
    </xf>
    <xf numFmtId="164" fontId="15" fillId="6" borderId="0" xfId="0" applyFont="true" applyBorder="true" applyAlignment="true" applyProtection="false">
      <alignment horizontal="left" vertical="top" textRotation="0" wrapText="true" indent="0" shrinkToFit="false"/>
      <protection locked="true" hidden="false"/>
    </xf>
    <xf numFmtId="175" fontId="0" fillId="6" borderId="0" xfId="0" applyFont="false" applyBorder="true" applyAlignment="false" applyProtection="false">
      <alignment horizontal="general" vertical="bottom" textRotation="0" wrapText="false" indent="0" shrinkToFit="false"/>
      <protection locked="true" hidden="false"/>
    </xf>
    <xf numFmtId="164" fontId="46" fillId="6" borderId="1" xfId="0" applyFont="true" applyBorder="true" applyAlignment="true" applyProtection="false">
      <alignment horizontal="center" vertical="center" textRotation="0" wrapText="false" indent="0" shrinkToFit="false"/>
      <protection locked="true" hidden="false"/>
    </xf>
    <xf numFmtId="179" fontId="26" fillId="6" borderId="1" xfId="0" applyFont="true" applyBorder="true" applyAlignment="true" applyProtection="false">
      <alignment horizontal="center" vertical="top" textRotation="0" wrapText="false" indent="0" shrinkToFit="false"/>
      <protection locked="true" hidden="false"/>
    </xf>
    <xf numFmtId="175" fontId="25" fillId="6" borderId="1" xfId="0" applyFont="true" applyBorder="true" applyAlignment="true" applyProtection="false">
      <alignment horizontal="center" vertical="top" textRotation="0" wrapText="false" indent="0" shrinkToFit="false"/>
      <protection locked="true" hidden="false"/>
    </xf>
    <xf numFmtId="164" fontId="26" fillId="6" borderId="1" xfId="0" applyFont="true" applyBorder="true" applyAlignment="true" applyProtection="false">
      <alignment horizontal="center" vertical="top" textRotation="0" wrapText="true" indent="0" shrinkToFit="false"/>
      <protection locked="true" hidden="false"/>
    </xf>
    <xf numFmtId="164" fontId="26" fillId="6" borderId="1" xfId="0" applyFont="true" applyBorder="true" applyAlignment="true" applyProtection="false">
      <alignment horizontal="general" vertical="top" textRotation="0" wrapText="true" indent="0" shrinkToFit="false"/>
      <protection locked="true" hidden="false"/>
    </xf>
    <xf numFmtId="171" fontId="25" fillId="6" borderId="1" xfId="0" applyFont="true" applyBorder="true" applyAlignment="true" applyProtection="false">
      <alignment horizontal="left" vertical="top" textRotation="0" wrapText="true" indent="0" shrinkToFit="false"/>
      <protection locked="true" hidden="false"/>
    </xf>
    <xf numFmtId="177" fontId="25" fillId="6" borderId="1" xfId="0" applyFont="true" applyBorder="true" applyAlignment="true" applyProtection="false">
      <alignment horizontal="center" vertical="center" textRotation="0" wrapText="true" indent="0" shrinkToFit="false"/>
      <protection locked="true" hidden="false"/>
    </xf>
    <xf numFmtId="183" fontId="25" fillId="6" borderId="1" xfId="0" applyFont="true" applyBorder="true" applyAlignment="true" applyProtection="false">
      <alignment horizontal="left" vertical="top" textRotation="0" wrapText="true" indent="0" shrinkToFit="false"/>
      <protection locked="true" hidden="false"/>
    </xf>
    <xf numFmtId="175" fontId="25" fillId="2" borderId="1" xfId="0" applyFont="true" applyBorder="true" applyAlignment="true" applyProtection="false">
      <alignment horizontal="left" vertical="top" textRotation="0" wrapText="true" indent="0" shrinkToFit="false"/>
      <protection locked="true" hidden="false"/>
    </xf>
    <xf numFmtId="179" fontId="26" fillId="6" borderId="1" xfId="0" applyFont="true" applyBorder="true" applyAlignment="true" applyProtection="false">
      <alignment horizontal="center" vertical="center" textRotation="0" wrapText="false" indent="0" shrinkToFit="false"/>
      <protection locked="true" hidden="false"/>
    </xf>
    <xf numFmtId="183" fontId="25" fillId="6"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true" applyProtection="false">
      <alignment horizontal="left" vertical="bottom" textRotation="0" wrapText="true" indent="0" shrinkToFit="false"/>
      <protection locked="true" hidden="false"/>
    </xf>
    <xf numFmtId="179" fontId="26" fillId="6" borderId="1" xfId="0" applyFont="true" applyBorder="true" applyAlignment="true" applyProtection="false">
      <alignment horizontal="center" vertical="bottom" textRotation="0" wrapText="false" indent="0" shrinkToFit="false"/>
      <protection locked="true" hidden="false"/>
    </xf>
    <xf numFmtId="175" fontId="25" fillId="6" borderId="1" xfId="0" applyFont="true" applyBorder="true" applyAlignment="true" applyProtection="false">
      <alignment horizontal="center" vertical="bottom" textRotation="0" wrapText="false" indent="0" shrinkToFit="false"/>
      <protection locked="true" hidden="false"/>
    </xf>
    <xf numFmtId="171" fontId="25" fillId="6" borderId="1" xfId="0" applyFont="true" applyBorder="true" applyAlignment="true" applyProtection="false">
      <alignment horizontal="center" vertical="bottom" textRotation="0" wrapText="true" indent="0" shrinkToFit="false"/>
      <protection locked="true" hidden="false"/>
    </xf>
    <xf numFmtId="176" fontId="25" fillId="6" borderId="1" xfId="0" applyFont="true" applyBorder="true" applyAlignment="true" applyProtection="false">
      <alignment horizontal="center" vertical="bottom" textRotation="0" wrapText="true" indent="0" shrinkToFit="false"/>
      <protection locked="true" hidden="false"/>
    </xf>
    <xf numFmtId="177" fontId="25" fillId="6" borderId="1" xfId="0" applyFont="true" applyBorder="true" applyAlignment="true" applyProtection="false">
      <alignment horizontal="center" vertical="bottom" textRotation="0" wrapText="true" indent="0" shrinkToFit="false"/>
      <protection locked="true" hidden="false"/>
    </xf>
    <xf numFmtId="183" fontId="25" fillId="6" borderId="1" xfId="0" applyFont="true" applyBorder="true" applyAlignment="true" applyProtection="false">
      <alignment horizontal="center" vertical="bottom" textRotation="0" wrapText="true" indent="0" shrinkToFit="false"/>
      <protection locked="true" hidden="false"/>
    </xf>
    <xf numFmtId="164" fontId="46" fillId="6" borderId="1" xfId="0" applyFont="true" applyBorder="true" applyAlignment="true" applyProtection="false">
      <alignment horizontal="center" vertical="bottom" textRotation="0" wrapText="false" indent="0" shrinkToFit="false"/>
      <protection locked="true" hidden="false"/>
    </xf>
    <xf numFmtId="175" fontId="0" fillId="2" borderId="1" xfId="0" applyFont="false" applyBorder="true" applyAlignment="false" applyProtection="false">
      <alignment horizontal="general" vertical="bottom" textRotation="0" wrapText="false" indent="0" shrinkToFit="false"/>
      <protection locked="true" hidden="false"/>
    </xf>
    <xf numFmtId="164" fontId="26" fillId="6" borderId="1" xfId="0" applyFont="true" applyBorder="true" applyAlignment="true" applyProtection="false">
      <alignment horizontal="left" vertical="bottom" textRotation="0" wrapText="true" indent="0" shrinkToFit="false"/>
      <protection locked="true" hidden="false"/>
    </xf>
    <xf numFmtId="164" fontId="26" fillId="6" borderId="1" xfId="0" applyFont="true" applyBorder="true" applyAlignment="true" applyProtection="false">
      <alignment horizontal="center" vertical="bottom" textRotation="0" wrapText="false" indent="0" shrinkToFit="false"/>
      <protection locked="true" hidden="false"/>
    </xf>
    <xf numFmtId="175" fontId="26" fillId="6" borderId="1" xfId="0" applyFont="true" applyBorder="true" applyAlignment="true" applyProtection="false">
      <alignment horizontal="center" vertical="bottom" textRotation="0" wrapText="false" indent="0" shrinkToFit="false"/>
      <protection locked="true" hidden="false"/>
    </xf>
    <xf numFmtId="176" fontId="26" fillId="6" borderId="1" xfId="0" applyFont="true" applyBorder="true" applyAlignment="true" applyProtection="false">
      <alignment horizontal="center" vertical="bottom" textRotation="0" wrapText="false" indent="0" shrinkToFit="false"/>
      <protection locked="true" hidden="false"/>
    </xf>
    <xf numFmtId="177" fontId="26" fillId="6" borderId="1" xfId="0" applyFont="true" applyBorder="true" applyAlignment="true" applyProtection="false">
      <alignment horizontal="center" vertical="bottom" textRotation="0" wrapText="false" indent="0" shrinkToFit="false"/>
      <protection locked="true" hidden="false"/>
    </xf>
    <xf numFmtId="175" fontId="0" fillId="2" borderId="5" xfId="0" applyFont="false" applyBorder="true" applyAlignment="false" applyProtection="false">
      <alignment horizontal="general" vertical="bottom" textRotation="0" wrapText="false" indent="0" shrinkToFit="false"/>
      <protection locked="true" hidden="false"/>
    </xf>
    <xf numFmtId="175" fontId="0" fillId="2" borderId="12" xfId="0" applyFont="false" applyBorder="true" applyAlignment="false" applyProtection="false">
      <alignment horizontal="general" vertical="bottom" textRotation="0" wrapText="false" indent="0" shrinkToFit="false"/>
      <protection locked="true" hidden="false"/>
    </xf>
    <xf numFmtId="175" fontId="0" fillId="2"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center" vertical="center" textRotation="0" wrapText="true" indent="0" shrinkToFit="false"/>
      <protection locked="true" hidden="false"/>
    </xf>
    <xf numFmtId="164" fontId="0" fillId="7" borderId="10" xfId="0" applyFont="false" applyBorder="true" applyAlignment="true" applyProtection="false">
      <alignment horizontal="center" vertical="center" textRotation="0" wrapText="false" indent="0" shrinkToFit="false"/>
      <protection locked="true" hidden="false"/>
    </xf>
    <xf numFmtId="179" fontId="46" fillId="6" borderId="1" xfId="0" applyFont="true" applyBorder="true" applyAlignment="true" applyProtection="false">
      <alignment horizontal="center" vertical="center" textRotation="0" wrapText="true" indent="0" shrinkToFit="false"/>
      <protection locked="true" hidden="false"/>
    </xf>
    <xf numFmtId="179" fontId="46" fillId="6" borderId="1" xfId="0" applyFont="true" applyBorder="true" applyAlignment="true" applyProtection="false">
      <alignment horizontal="center" vertical="center" textRotation="0" wrapText="false" indent="0" shrinkToFit="false"/>
      <protection locked="true" hidden="false"/>
    </xf>
    <xf numFmtId="177" fontId="26" fillId="6" borderId="1" xfId="0" applyFont="true" applyBorder="true" applyAlignment="true" applyProtection="false">
      <alignment horizontal="center" vertical="center" textRotation="0" wrapText="true" indent="0" shrinkToFit="false"/>
      <protection locked="true" hidden="false"/>
    </xf>
    <xf numFmtId="164" fontId="26" fillId="6" borderId="5" xfId="0" applyFont="true" applyBorder="true" applyAlignment="true" applyProtection="false">
      <alignment horizontal="center" vertical="center" textRotation="0" wrapText="true" indent="0" shrinkToFit="false"/>
      <protection locked="true" hidden="false"/>
    </xf>
    <xf numFmtId="175" fontId="0" fillId="6" borderId="4" xfId="0" applyFont="false" applyBorder="true" applyAlignment="false" applyProtection="false">
      <alignment horizontal="general" vertical="bottom" textRotation="0" wrapText="false" indent="0" shrinkToFit="false"/>
      <protection locked="true" hidden="false"/>
    </xf>
    <xf numFmtId="175" fontId="0" fillId="6" borderId="1" xfId="0" applyFont="false" applyBorder="true" applyAlignment="true" applyProtection="false">
      <alignment horizontal="general" vertical="center" textRotation="0" wrapText="false" indent="0" shrinkToFit="false"/>
      <protection locked="true" hidden="false"/>
    </xf>
    <xf numFmtId="164" fontId="25" fillId="6" borderId="5" xfId="0" applyFont="true" applyBorder="true" applyAlignment="true" applyProtection="false">
      <alignment horizontal="center" vertical="bottom" textRotation="0" wrapText="true" indent="0" shrinkToFit="false"/>
      <protection locked="true" hidden="false"/>
    </xf>
    <xf numFmtId="184" fontId="25" fillId="6" borderId="1" xfId="0" applyFont="true" applyBorder="true" applyAlignment="true" applyProtection="false">
      <alignment horizontal="center" vertical="bottom"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26" fillId="6" borderId="9" xfId="0" applyFont="true" applyBorder="true" applyAlignment="true" applyProtection="false">
      <alignment horizontal="center" vertical="center" textRotation="0" wrapText="tru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xf numFmtId="164" fontId="26" fillId="6" borderId="1" xfId="0" applyFont="true" applyBorder="true" applyAlignment="true" applyProtection="false">
      <alignment horizontal="left" vertical="center" textRotation="0" wrapText="false" indent="0" shrinkToFit="false"/>
      <protection locked="true" hidden="false"/>
    </xf>
    <xf numFmtId="176" fontId="26" fillId="6" borderId="1" xfId="0" applyFont="true" applyBorder="true" applyAlignment="true" applyProtection="false">
      <alignment horizontal="center" vertical="center" textRotation="0" wrapText="false" indent="0" shrinkToFit="false"/>
      <protection locked="true" hidden="false"/>
    </xf>
    <xf numFmtId="177" fontId="26" fillId="6" borderId="1" xfId="0" applyFont="true" applyBorder="true" applyAlignment="true" applyProtection="false">
      <alignment horizontal="center" vertical="center" textRotation="0" wrapText="false" indent="0" shrinkToFit="false"/>
      <protection locked="true" hidden="false"/>
    </xf>
    <xf numFmtId="164" fontId="26" fillId="6" borderId="5" xfId="0" applyFont="true" applyBorder="true" applyAlignment="true" applyProtection="false">
      <alignment horizontal="center" vertical="center" textRotation="0" wrapText="false" indent="0" shrinkToFit="false"/>
      <protection locked="true" hidden="false"/>
    </xf>
    <xf numFmtId="164" fontId="26" fillId="6" borderId="1" xfId="15" applyFont="true" applyBorder="true" applyAlignment="true" applyProtection="true">
      <alignment horizontal="center" vertical="center" textRotation="0" wrapText="true" indent="0" shrinkToFit="false"/>
      <protection locked="true" hidden="false"/>
    </xf>
    <xf numFmtId="176" fontId="26" fillId="6" borderId="1" xfId="0" applyFont="true" applyBorder="true" applyAlignment="true" applyProtection="false">
      <alignment horizontal="general" vertical="center" textRotation="0" wrapText="false" indent="0" shrinkToFit="false"/>
      <protection locked="true" hidden="false"/>
    </xf>
    <xf numFmtId="179" fontId="26" fillId="6" borderId="1" xfId="0" applyFont="true" applyBorder="true" applyAlignment="true" applyProtection="false">
      <alignment horizontal="general" vertical="center" textRotation="0" wrapText="false" indent="0" shrinkToFit="false"/>
      <protection locked="true" hidden="false"/>
    </xf>
    <xf numFmtId="178" fontId="26" fillId="6" borderId="1" xfId="0" applyFont="true" applyBorder="true" applyAlignment="true" applyProtection="false">
      <alignment horizontal="general" vertical="center" textRotation="0" wrapText="false" indent="0" shrinkToFit="false"/>
      <protection locked="true" hidden="false"/>
    </xf>
    <xf numFmtId="164" fontId="4" fillId="6" borderId="1" xfId="0" applyFont="true" applyBorder="true" applyAlignment="true" applyProtection="false">
      <alignment horizontal="left" vertical="center" textRotation="0" wrapText="true" indent="0" shrinkToFit="false"/>
      <protection locked="true" hidden="false"/>
    </xf>
    <xf numFmtId="175" fontId="4" fillId="6" borderId="1" xfId="0" applyFont="true" applyBorder="true" applyAlignment="true" applyProtection="false">
      <alignment horizontal="center" vertical="center" textRotation="0" wrapText="false" indent="0" shrinkToFit="false"/>
      <protection locked="true" hidden="false"/>
    </xf>
    <xf numFmtId="164" fontId="4" fillId="6" borderId="1" xfId="0" applyFont="true" applyBorder="true" applyAlignment="true" applyProtection="false">
      <alignment horizontal="left" vertical="center" textRotation="0" wrapText="false" indent="0" shrinkToFit="false"/>
      <protection locked="true" hidden="false"/>
    </xf>
    <xf numFmtId="176" fontId="4" fillId="6" borderId="1" xfId="0" applyFont="true" applyBorder="true" applyAlignment="true" applyProtection="false">
      <alignment horizontal="general" vertical="center" textRotation="0" wrapText="false" indent="0" shrinkToFit="false"/>
      <protection locked="true" hidden="false"/>
    </xf>
    <xf numFmtId="179" fontId="4" fillId="6" borderId="1" xfId="0" applyFont="true" applyBorder="true" applyAlignment="true" applyProtection="false">
      <alignment horizontal="general" vertical="center" textRotation="0" wrapText="false" indent="0" shrinkToFit="false"/>
      <protection locked="true" hidden="false"/>
    </xf>
    <xf numFmtId="178" fontId="4" fillId="6" borderId="1" xfId="0" applyFont="true" applyBorder="true" applyAlignment="true" applyProtection="false">
      <alignment horizontal="general" vertical="center" textRotation="0" wrapText="false" indent="0" shrinkToFit="false"/>
      <protection locked="true" hidden="false"/>
    </xf>
    <xf numFmtId="164" fontId="4" fillId="6"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76" fontId="4" fillId="6" borderId="1" xfId="0" applyFont="true" applyBorder="true" applyAlignment="true" applyProtection="false">
      <alignment horizontal="general" vertical="center" textRotation="0" wrapText="true" indent="0" shrinkToFit="false"/>
      <protection locked="true" hidden="false"/>
    </xf>
    <xf numFmtId="170" fontId="4" fillId="6" borderId="1" xfId="17" applyFont="true" applyBorder="true" applyAlignment="true" applyProtection="true">
      <alignment horizontal="general" vertical="center" textRotation="0" wrapText="true" indent="0" shrinkToFit="false"/>
      <protection locked="true" hidden="false"/>
    </xf>
    <xf numFmtId="164" fontId="4" fillId="11" borderId="1" xfId="0" applyFont="true" applyBorder="true" applyAlignment="true" applyProtection="false">
      <alignment horizontal="center" vertical="center" textRotation="0" wrapText="false" indent="0" shrinkToFit="false"/>
      <protection locked="true" hidden="false"/>
    </xf>
    <xf numFmtId="180" fontId="15" fillId="6" borderId="1" xfId="17" applyFont="true" applyBorder="true" applyAlignment="true" applyProtection="true">
      <alignment horizontal="center" vertical="center" textRotation="0" wrapText="true" indent="0" shrinkToFit="false"/>
      <protection locked="true" hidden="false"/>
    </xf>
    <xf numFmtId="176" fontId="15" fillId="6" borderId="1" xfId="0" applyFont="true" applyBorder="true" applyAlignment="true" applyProtection="false">
      <alignment horizontal="right" vertical="center" textRotation="0" wrapText="false" indent="0" shrinkToFit="false"/>
      <protection locked="true" hidden="false"/>
    </xf>
    <xf numFmtId="176" fontId="15" fillId="6" borderId="1" xfId="0" applyFont="true" applyBorder="true" applyAlignment="true" applyProtection="false">
      <alignment horizontal="right" vertical="top" textRotation="0" wrapText="true" indent="0" shrinkToFit="false"/>
      <protection locked="true" hidden="false"/>
    </xf>
    <xf numFmtId="179" fontId="4" fillId="6" borderId="1" xfId="0" applyFont="true" applyBorder="true" applyAlignment="true" applyProtection="false">
      <alignment horizontal="general" vertical="center" textRotation="0" wrapText="true" indent="0" shrinkToFit="false"/>
      <protection locked="true" hidden="false"/>
    </xf>
    <xf numFmtId="176" fontId="15" fillId="6" borderId="4" xfId="0" applyFont="true" applyBorder="true" applyAlignment="true" applyProtection="false">
      <alignment horizontal="general" vertical="center" textRotation="0" wrapText="true" indent="0" shrinkToFit="false"/>
      <protection locked="true" hidden="false"/>
    </xf>
    <xf numFmtId="176" fontId="17" fillId="6" borderId="12" xfId="0" applyFont="true" applyBorder="true" applyAlignment="true" applyProtection="false">
      <alignment horizontal="general" vertical="center" textRotation="0" wrapText="true" indent="0" shrinkToFit="false"/>
      <protection locked="true" hidden="false"/>
    </xf>
    <xf numFmtId="176" fontId="15" fillId="6" borderId="1" xfId="0" applyFont="true" applyBorder="tru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center" vertical="center" textRotation="0" wrapText="false" indent="0" shrinkToFit="false"/>
      <protection locked="true" hidden="false"/>
    </xf>
    <xf numFmtId="171" fontId="15" fillId="6" borderId="1" xfId="17" applyFont="true" applyBorder="true" applyAlignment="true" applyProtection="true">
      <alignment horizontal="general" vertical="center" textRotation="0" wrapText="true" indent="0" shrinkToFit="false"/>
      <protection locked="true" hidden="false"/>
    </xf>
    <xf numFmtId="180" fontId="15" fillId="6" borderId="1" xfId="17" applyFont="true" applyBorder="true" applyAlignment="true" applyProtection="true">
      <alignment horizontal="general" vertical="center" textRotation="0" wrapText="true" indent="0" shrinkToFit="false"/>
      <protection locked="true" hidden="false"/>
    </xf>
    <xf numFmtId="164" fontId="4" fillId="6" borderId="1" xfId="0" applyFont="true" applyBorder="true" applyAlignment="true" applyProtection="false">
      <alignment horizontal="general" vertical="center" textRotation="0" wrapText="false" indent="0" shrinkToFit="false"/>
      <protection locked="true" hidden="false"/>
    </xf>
    <xf numFmtId="185" fontId="26" fillId="6" borderId="1" xfId="0" applyFont="true" applyBorder="true" applyAlignment="true" applyProtection="false">
      <alignment horizontal="left" vertical="center" textRotation="0" wrapText="true" indent="0" shrinkToFit="false"/>
      <protection locked="true" hidden="false"/>
    </xf>
    <xf numFmtId="174" fontId="4" fillId="6" borderId="1" xfId="15" applyFont="true" applyBorder="true" applyAlignment="true" applyProtection="true">
      <alignment horizontal="left" vertical="center" textRotation="0" wrapText="true" indent="0" shrinkToFit="false"/>
      <protection locked="true" hidden="false"/>
    </xf>
    <xf numFmtId="176" fontId="4" fillId="6" borderId="1" xfId="0" applyFont="true" applyBorder="true" applyAlignment="true" applyProtection="false">
      <alignment horizontal="left" vertical="center" textRotation="0" wrapText="true" indent="0" shrinkToFit="false"/>
      <protection locked="true" hidden="false"/>
    </xf>
    <xf numFmtId="176" fontId="4" fillId="6" borderId="1" xfId="0" applyFont="true" applyBorder="true" applyAlignment="true" applyProtection="false">
      <alignment horizontal="center" vertical="center" textRotation="0" wrapText="true" indent="0" shrinkToFit="false"/>
      <protection locked="true" hidden="false"/>
    </xf>
    <xf numFmtId="164" fontId="15" fillId="6" borderId="22" xfId="0" applyFont="true" applyBorder="true" applyAlignment="true" applyProtection="false">
      <alignment horizontal="left" vertical="center" textRotation="0" wrapText="true" indent="0" shrinkToFit="false"/>
      <protection locked="true" hidden="false"/>
    </xf>
    <xf numFmtId="164" fontId="15" fillId="6" borderId="4" xfId="0" applyFont="true" applyBorder="true" applyAlignment="true" applyProtection="false">
      <alignment horizontal="center" vertical="center" textRotation="0" wrapText="true" indent="0" shrinkToFit="false"/>
      <protection locked="true" hidden="false"/>
    </xf>
    <xf numFmtId="175" fontId="15" fillId="6" borderId="4" xfId="0" applyFont="true" applyBorder="true" applyAlignment="true" applyProtection="false">
      <alignment horizontal="center" vertical="center" textRotation="0" wrapText="false" indent="0" shrinkToFit="false"/>
      <protection locked="true" hidden="false"/>
    </xf>
    <xf numFmtId="179" fontId="4" fillId="6" borderId="4" xfId="0" applyFont="true" applyBorder="true" applyAlignment="true" applyProtection="false">
      <alignment horizontal="general" vertical="center" textRotation="0" wrapText="true" indent="0" shrinkToFit="false"/>
      <protection locked="true" hidden="false"/>
    </xf>
    <xf numFmtId="175" fontId="15" fillId="6" borderId="4" xfId="0" applyFont="true" applyBorder="true" applyAlignment="true" applyProtection="false">
      <alignment horizontal="center" vertical="center" textRotation="0" wrapText="true" indent="0" shrinkToFit="false"/>
      <protection locked="true" hidden="false"/>
    </xf>
    <xf numFmtId="176" fontId="15" fillId="6" borderId="4" xfId="0" applyFont="true" applyBorder="true" applyAlignment="true" applyProtection="false">
      <alignment horizontal="center" vertical="center" textRotation="0" wrapText="true" indent="0" shrinkToFit="false"/>
      <protection locked="true" hidden="false"/>
    </xf>
    <xf numFmtId="180" fontId="15" fillId="6" borderId="4" xfId="17" applyFont="true" applyBorder="true" applyAlignment="true" applyProtection="true">
      <alignment horizontal="general" vertical="center" textRotation="0" wrapText="true" indent="0" shrinkToFit="false"/>
      <protection locked="true" hidden="false"/>
    </xf>
    <xf numFmtId="171" fontId="15" fillId="6" borderId="4" xfId="0" applyFont="true" applyBorder="true" applyAlignment="true" applyProtection="false">
      <alignment horizontal="right" vertical="center" textRotation="0" wrapText="true" indent="0" shrinkToFit="false"/>
      <protection locked="true" hidden="false"/>
    </xf>
    <xf numFmtId="177" fontId="15" fillId="6" borderId="4" xfId="0" applyFont="true" applyBorder="true" applyAlignment="true" applyProtection="false">
      <alignment horizontal="general"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urrency 2" xfId="21"/>
    <cellStyle name="Currency 3" xfId="22"/>
    <cellStyle name="Currency [0] 2" xfId="23"/>
    <cellStyle name="Excel Built-in Currency [0]" xfId="24"/>
  </cellStyles>
  <dxfs count="62">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ill>
        <patternFill patternType="solid">
          <fgColor rgb="FFBFBFBF"/>
          <bgColor rgb="FF000000"/>
        </patternFill>
      </fill>
    </dxf>
    <dxf>
      <fill>
        <patternFill patternType="solid">
          <fgColor rgb="FFFFFF00"/>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C0C0C0"/>
          <bgColor rgb="FF000000"/>
        </patternFill>
      </fill>
    </dxf>
    <dxf>
      <fill>
        <patternFill patternType="solid">
          <fgColor rgb="FF000001"/>
          <bgColor rgb="FF000000"/>
        </patternFill>
      </fill>
    </dxf>
    <dxf>
      <fill>
        <patternFill>
          <bgColor rgb="FFFFFF00"/>
        </patternFill>
      </fill>
    </dxf>
    <dxf>
      <font>
        <color rgb="FF9C6500"/>
      </font>
      <fill>
        <patternFill>
          <bgColor rgb="FFFFFF00"/>
        </patternFill>
      </fill>
    </dxf>
    <dxf>
      <font>
        <color rgb="FF9C0006"/>
      </font>
      <fill>
        <patternFill>
          <bgColor rgb="FFFFC7CE"/>
        </patternFill>
      </fill>
    </dxf>
    <dxf>
      <font>
        <color rgb="FF9C6500"/>
      </font>
      <fill>
        <patternFill>
          <bgColor rgb="FFFFFF00"/>
        </patternFill>
      </fill>
    </dxf>
    <dxf>
      <fill>
        <patternFill patternType="solid">
          <fgColor rgb="FFF1F1F1"/>
          <bgColor rgb="FF000000"/>
        </patternFill>
      </fill>
    </dxf>
    <dxf>
      <fill>
        <patternFill patternType="solid">
          <fgColor rgb="FFF8F8F8"/>
          <bgColor rgb="FF0000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6500"/>
      </font>
      <fill>
        <patternFill>
          <bgColor rgb="FFFFFF00"/>
        </patternFill>
      </fill>
    </dxf>
    <dxf>
      <font>
        <color rgb="FF9C0006"/>
      </font>
      <fill>
        <patternFill>
          <bgColor rgb="FFFFC7CE"/>
        </patternFill>
      </fill>
    </dxf>
    <dxf>
      <font>
        <color rgb="FF9C6500"/>
      </font>
      <fill>
        <patternFill>
          <bgColor rgb="FFFFFF00"/>
        </patternFill>
      </fill>
    </dxf>
    <dxf>
      <font>
        <color rgb="FF9C6500"/>
      </font>
      <fill>
        <patternFill>
          <bgColor rgb="FFFFFF00"/>
        </patternFill>
      </fill>
    </dxf>
    <dxf>
      <fill>
        <patternFill>
          <bgColor rgb="FFFFFF00"/>
        </patternFill>
      </fill>
    </dxf>
    <dxf>
      <font>
        <color rgb="FF9C0006"/>
      </font>
      <fill>
        <patternFill>
          <bgColor rgb="FFFFC7CE"/>
        </patternFill>
      </fill>
    </dxf>
    <dxf>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
      <font>
        <color rgb="FF9C6500"/>
      </font>
      <fill>
        <patternFill>
          <bgColor rgb="FFFFFF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0C0C0"/>
      <rgbColor rgb="FF7F7F7F"/>
      <rgbColor rgb="FF9999FF"/>
      <rgbColor rgb="FF5F5F5F"/>
      <rgbColor rgb="FFF8F8F8"/>
      <rgbColor rgb="FFF1F1F1"/>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F6F6F"/>
      <rgbColor rgb="FF868686"/>
      <rgbColor rgb="FF003366"/>
      <rgbColor rgb="FF717171"/>
      <rgbColor rgb="FF000001"/>
      <rgbColor rgb="FF4B4B4B"/>
      <rgbColor rgb="FFA73F2C"/>
      <rgbColor rgb="FF606060"/>
      <rgbColor rgb="FF59595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43</xdr:row>
      <xdr:rowOff>41760</xdr:rowOff>
    </xdr:from>
    <xdr:to>
      <xdr:col>9</xdr:col>
      <xdr:colOff>79200</xdr:colOff>
      <xdr:row>47</xdr:row>
      <xdr:rowOff>10800</xdr:rowOff>
    </xdr:to>
    <xdr:sp>
      <xdr:nvSpPr>
        <xdr:cNvPr id="0" name="TextBox 1"/>
        <xdr:cNvSpPr/>
      </xdr:nvSpPr>
      <xdr:spPr>
        <a:xfrm>
          <a:off x="0" y="9888840"/>
          <a:ext cx="5038560" cy="65484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gn="ctr">
            <a:lnSpc>
              <a:spcPct val="100000"/>
            </a:lnSpc>
          </a:pPr>
          <a:r>
            <a:rPr b="1" lang="en-GB" sz="800" strike="noStrike" u="none">
              <a:solidFill>
                <a:srgbClr val="a73f2c"/>
              </a:solidFill>
              <a:effectLst/>
              <a:uFillTx/>
              <a:latin typeface="Arial"/>
            </a:rPr>
            <a:t>Langham Estate Management Limited</a:t>
          </a:r>
          <a:endParaRPr b="0" lang="en-GB" sz="800" strike="noStrike" u="none">
            <a:effectLst/>
            <a:uFillTx/>
            <a:latin typeface="Times New Roman"/>
          </a:endParaRPr>
        </a:p>
        <a:p>
          <a:pPr algn="ctr">
            <a:lnSpc>
              <a:spcPct val="100000"/>
            </a:lnSpc>
          </a:pPr>
          <a:r>
            <a:rPr b="0" lang="en-GB" sz="800" strike="noStrike" u="none">
              <a:solidFill>
                <a:schemeClr val="dk1"/>
              </a:solidFill>
              <a:effectLst/>
              <a:uFillTx/>
              <a:latin typeface="Arial"/>
            </a:rPr>
            <a:t>London House, 9a Margaret Street, London W1W 8RJ</a:t>
          </a:r>
          <a:endParaRPr b="0" lang="en-GB" sz="800" strike="noStrike" u="none">
            <a:effectLst/>
            <a:uFillTx/>
            <a:latin typeface="Times New Roman"/>
          </a:endParaRPr>
        </a:p>
        <a:p>
          <a:pPr algn="ctr">
            <a:lnSpc>
              <a:spcPct val="100000"/>
            </a:lnSpc>
          </a:pPr>
          <a:r>
            <a:rPr b="0" lang="en-GB" sz="800" strike="noStrike" u="none">
              <a:solidFill>
                <a:schemeClr val="dk1">
                  <a:lumMod val="65000"/>
                  <a:lumOff val="35000"/>
                </a:schemeClr>
              </a:solidFill>
              <a:effectLst/>
              <a:uFillTx/>
              <a:latin typeface="Arial"/>
            </a:rPr>
            <a:t>Clt</a:t>
          </a:r>
          <a:r>
            <a:rPr b="0" lang="en-GB" sz="800" strike="noStrike" u="none">
              <a:solidFill>
                <a:schemeClr val="dk1"/>
              </a:solidFill>
              <a:effectLst/>
              <a:uFillTx/>
              <a:latin typeface="Arial"/>
            </a:rPr>
            <a:t>. 020 7580 5656  </a:t>
          </a:r>
          <a:r>
            <a:rPr b="0" lang="en-GB" sz="800" strike="noStrike" u="none">
              <a:solidFill>
                <a:schemeClr val="dk1">
                  <a:lumMod val="65000"/>
                  <a:lumOff val="35000"/>
                </a:schemeClr>
              </a:solidFill>
              <a:effectLst/>
              <a:uFillTx/>
              <a:latin typeface="Arial"/>
            </a:rPr>
            <a:t>f. </a:t>
          </a:r>
          <a:r>
            <a:rPr b="0" lang="en-GB" sz="800" strike="noStrike" u="none">
              <a:solidFill>
                <a:schemeClr val="dk1"/>
              </a:solidFill>
              <a:effectLst/>
              <a:uFillTx/>
              <a:latin typeface="Arial"/>
            </a:rPr>
            <a:t>020 7636 6760</a:t>
          </a:r>
          <a:endParaRPr b="0" lang="en-GB" sz="800" strike="noStrike" u="none">
            <a:effectLst/>
            <a:uFillTx/>
            <a:latin typeface="Times New Roman"/>
          </a:endParaRPr>
        </a:p>
        <a:p>
          <a:pPr algn="ctr">
            <a:lnSpc>
              <a:spcPct val="100000"/>
            </a:lnSpc>
          </a:pPr>
          <a:r>
            <a:rPr b="0" lang="en-GB" sz="800" strike="noStrike" u="none">
              <a:solidFill>
                <a:schemeClr val="dk1"/>
              </a:solidFill>
              <a:effectLst/>
              <a:uFillTx/>
              <a:latin typeface="Arial"/>
            </a:rPr>
            <a:t>e. </a:t>
          </a:r>
          <a:r>
            <a:rPr b="0" lang="en-GB" sz="800" strike="noStrike" u="sng">
              <a:solidFill>
                <a:schemeClr val="dk1">
                  <a:lumMod val="65000"/>
                  <a:lumOff val="35000"/>
                </a:schemeClr>
              </a:solidFill>
              <a:effectLst/>
              <a:uFillTx/>
              <a:latin typeface="Arial"/>
            </a:rPr>
            <a:t>e1nq@langhamestate.com</a:t>
          </a:r>
          <a:r>
            <a:rPr b="0" lang="en-GB" sz="800" strike="noStrike" u="none">
              <a:solidFill>
                <a:schemeClr val="dk1">
                  <a:lumMod val="65000"/>
                  <a:lumOff val="35000"/>
                </a:schemeClr>
              </a:solidFill>
              <a:effectLst/>
              <a:uFillTx/>
              <a:latin typeface="Arial"/>
            </a:rPr>
            <a:t>  </a:t>
          </a:r>
          <a:r>
            <a:rPr b="0" lang="en-GB" sz="800" strike="noStrike" u="sng">
              <a:solidFill>
                <a:schemeClr val="dk1">
                  <a:lumMod val="65000"/>
                  <a:lumOff val="35000"/>
                </a:schemeClr>
              </a:solidFill>
              <a:effectLst/>
              <a:uFillTx/>
              <a:latin typeface="Arial"/>
            </a:rPr>
            <a:t>www.langhamestate.com</a:t>
          </a:r>
          <a:endParaRPr b="0" lang="en-GB" sz="800" strike="noStrike" u="none">
            <a:effectLst/>
            <a:uFillTx/>
            <a:latin typeface="Times New Roman"/>
          </a:endParaRPr>
        </a:p>
        <a:p>
          <a:pPr>
            <a:lnSpc>
              <a:spcPct val="100000"/>
            </a:lnSpc>
          </a:pPr>
          <a:endParaRPr b="0" lang="en-GB" sz="1100" strike="noStrike" u="none">
            <a:effectLst/>
            <a:uFillTx/>
            <a:latin typeface="Times New Roman"/>
          </a:endParaRPr>
        </a:p>
      </xdr:txBody>
    </xdr:sp>
    <xdr:clientData/>
  </xdr:twoCellAnchor>
  <xdr:twoCellAnchor editAs="twoCell">
    <xdr:from>
      <xdr:col>0</xdr:col>
      <xdr:colOff>222480</xdr:colOff>
      <xdr:row>32</xdr:row>
      <xdr:rowOff>61560</xdr:rowOff>
    </xdr:from>
    <xdr:to>
      <xdr:col>9</xdr:col>
      <xdr:colOff>69480</xdr:colOff>
      <xdr:row>39</xdr:row>
      <xdr:rowOff>1315800</xdr:rowOff>
    </xdr:to>
    <xdr:sp>
      <xdr:nvSpPr>
        <xdr:cNvPr id="1" name="TextBox 4"/>
        <xdr:cNvSpPr/>
      </xdr:nvSpPr>
      <xdr:spPr>
        <a:xfrm>
          <a:off x="222480" y="6660360"/>
          <a:ext cx="4806360" cy="2140200"/>
        </a:xfrm>
        <a:prstGeom prst="rect">
          <a:avLst/>
        </a:prstGeom>
        <a:solidFill>
          <a:srgbClr val="ffffff"/>
        </a:solidFill>
        <a:ln w="9525">
          <a:noFill/>
        </a:ln>
      </xdr:spPr>
      <xdr:style>
        <a:lnRef idx="0"/>
        <a:fillRef idx="0"/>
        <a:effectRef idx="0"/>
        <a:fontRef idx="minor"/>
      </xdr:style>
      <xdr:txBody>
        <a:bodyPr horzOverflow="clip" vertOverflow="clip" lIns="90000" rIns="90000" tIns="45000" bIns="45000" anchor="t">
          <a:noAutofit/>
        </a:bodyPr>
        <a:p>
          <a:pPr>
            <a:lnSpc>
              <a:spcPct val="100000"/>
            </a:lnSpc>
          </a:pPr>
          <a:endParaRPr b="0" lang="en-GB" sz="1200" strike="noStrike" u="none">
            <a:effectLst/>
            <a:uFillTx/>
            <a:latin typeface="Times New Roman"/>
          </a:endParaRPr>
        </a:p>
        <a:p>
          <a:pPr>
            <a:lnSpc>
              <a:spcPct val="100000"/>
            </a:lnSpc>
          </a:pPr>
          <a:endParaRPr b="0" lang="en-GB" sz="1200" strike="noStrike" u="none">
            <a:effectLst/>
            <a:uFillTx/>
            <a:latin typeface="Times New Roman"/>
          </a:endParaRPr>
        </a:p>
        <a:p>
          <a:pPr>
            <a:lnSpc>
              <a:spcPct val="100000"/>
            </a:lnSpc>
          </a:pPr>
          <a:r>
            <a:rPr b="1" lang="en-GB" sz="1200" strike="noStrike" u="none">
              <a:solidFill>
                <a:schemeClr val="dk1"/>
              </a:solidFill>
              <a:effectLst/>
              <a:uFillTx/>
              <a:latin typeface="Aptos Narrow"/>
            </a:rPr>
            <a:t>Weekly Leasing Update</a:t>
          </a:r>
          <a:endParaRPr b="0" lang="en-GB" sz="1200" strike="noStrike" u="none">
            <a:effectLst/>
            <a:uFillTx/>
            <a:latin typeface="Times New Roman"/>
          </a:endParaRPr>
        </a:p>
        <a:p>
          <a:pPr>
            <a:lnSpc>
              <a:spcPct val="100000"/>
            </a:lnSpc>
          </a:pPr>
          <a:endParaRPr b="0" lang="en-GB" sz="1200" strike="noStrike" u="none">
            <a:effectLst/>
            <a:uFillTx/>
            <a:latin typeface="Times New Roman"/>
          </a:endParaRPr>
        </a:p>
        <a:p>
          <a:pPr>
            <a:lnSpc>
              <a:spcPct val="100000"/>
            </a:lnSpc>
          </a:pPr>
          <a:r>
            <a:rPr b="0" lang="en-GB" sz="1100" strike="noStrike" u="none">
              <a:solidFill>
                <a:schemeClr val="dk1"/>
              </a:solidFill>
              <a:effectLst/>
              <a:uFillTx/>
              <a:latin typeface="Aptos Narrow"/>
            </a:rPr>
            <a:t>1 New letting  completed:</a:t>
          </a:r>
          <a:endParaRPr b="0" lang="en-GB" sz="1100" strike="noStrike" u="none">
            <a:effectLst/>
            <a:uFillTx/>
            <a:latin typeface="Times New Roman"/>
          </a:endParaRPr>
        </a:p>
        <a:p>
          <a:pPr>
            <a:lnSpc>
              <a:spcPct val="100000"/>
            </a:lnSpc>
          </a:pPr>
          <a:endParaRPr b="0" lang="en-GB" sz="1100" strike="noStrike" u="none">
            <a:effectLst/>
            <a:uFillTx/>
            <a:latin typeface="Times New Roman"/>
          </a:endParaRPr>
        </a:p>
        <a:p>
          <a:pPr>
            <a:lnSpc>
              <a:spcPct val="100000"/>
            </a:lnSpc>
          </a:pPr>
          <a:r>
            <a:rPr b="0" lang="en-GB" sz="1100" strike="noStrike" u="none">
              <a:solidFill>
                <a:schemeClr val="dk1"/>
              </a:solidFill>
              <a:effectLst/>
              <a:uFillTx/>
              <a:latin typeface="Aptos Narrow"/>
            </a:rPr>
            <a:t>Circus House 2nd &amp; 3rd Floors (4,653 sq ft) to New Era Cap Company</a:t>
          </a:r>
          <a:endParaRPr b="0" lang="en-GB" sz="1100" strike="noStrike" u="none">
            <a:effectLst/>
            <a:uFillTx/>
            <a:latin typeface="Times New Roman"/>
          </a:endParaRPr>
        </a:p>
      </xdr:txBody>
    </xdr:sp>
    <xdr:clientData/>
  </xdr:twoCellAnchor>
  <xdr:twoCellAnchor editAs="oneCell">
    <xdr:from>
      <xdr:col>1</xdr:col>
      <xdr:colOff>16200</xdr:colOff>
      <xdr:row>39</xdr:row>
      <xdr:rowOff>1420920</xdr:rowOff>
    </xdr:from>
    <xdr:to>
      <xdr:col>2</xdr:col>
      <xdr:colOff>136800</xdr:colOff>
      <xdr:row>40</xdr:row>
      <xdr:rowOff>132120</xdr:rowOff>
    </xdr:to>
    <xdr:pic>
      <xdr:nvPicPr>
        <xdr:cNvPr id="2" name="Picture 8" descr=""/>
        <xdr:cNvPicPr/>
      </xdr:nvPicPr>
      <xdr:blipFill>
        <a:blip r:embed="rId1"/>
        <a:srcRect l="5539" t="11378" r="5128" b="16939"/>
        <a:stretch/>
      </xdr:blipFill>
      <xdr:spPr>
        <a:xfrm>
          <a:off x="239760" y="8905680"/>
          <a:ext cx="553680" cy="244800"/>
        </a:xfrm>
        <a:prstGeom prst="rect">
          <a:avLst/>
        </a:prstGeom>
        <a:noFill/>
        <a:ln w="0">
          <a:noFill/>
        </a:ln>
      </xdr:spPr>
    </xdr:pic>
    <xdr:clientData/>
  </xdr:twoCellAnchor>
  <xdr:twoCellAnchor editAs="oneCell">
    <xdr:from>
      <xdr:col>4</xdr:col>
      <xdr:colOff>209520</xdr:colOff>
      <xdr:row>0</xdr:row>
      <xdr:rowOff>28440</xdr:rowOff>
    </xdr:from>
    <xdr:to>
      <xdr:col>5</xdr:col>
      <xdr:colOff>37800</xdr:colOff>
      <xdr:row>3</xdr:row>
      <xdr:rowOff>318960</xdr:rowOff>
    </xdr:to>
    <xdr:pic>
      <xdr:nvPicPr>
        <xdr:cNvPr id="3" name="Picture 9" descr=""/>
        <xdr:cNvPicPr/>
      </xdr:nvPicPr>
      <xdr:blipFill>
        <a:blip r:embed="rId2"/>
        <a:stretch/>
      </xdr:blipFill>
      <xdr:spPr>
        <a:xfrm>
          <a:off x="2095560" y="28440"/>
          <a:ext cx="547560" cy="814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B4:I70" headerRowCount="1" totalsRowCount="0" totalsRowShown="0">
  <autoFilter ref="B4:I70"/>
  <tableColumns count="8">
    <tableColumn id="1" name="Date"/>
    <tableColumn id="2" name="Address "/>
    <tableColumn id="3" name="Floor/Suite"/>
    <tableColumn id="4" name="Potential Tenant"/>
    <tableColumn id="5" name="Agent/Broker"/>
    <tableColumn id="6" name="Proposed Terms"/>
    <tableColumn id="7" name="Remarks"/>
    <tableColumn id="8" name="Agent"/>
  </tableColumns>
</table>
</file>

<file path=xl/theme/theme1.xml><?xml version="1.0" encoding="utf-8"?>
<a:theme xmlns:a="http://schemas.openxmlformats.org/drawingml/2006/main" xmlns:r="http://schemas.openxmlformats.org/officeDocument/2006/relationships" name="Office Theme">
  <a:themeElements>
    <a:clrScheme name="Grayscale">
      <a:dk1>
        <a:srgbClr val="000000"/>
      </a:dk1>
      <a:lt1>
        <a:srgbClr val="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s://eckuity.com/about-us/" TargetMode="External"/><Relationship Id="rId2" Type="http://schemas.openxmlformats.org/officeDocument/2006/relationships/hyperlink" Target="https://www.wb19.co.uk/" TargetMode="External"/><Relationship Id="rId3" Type="http://schemas.openxmlformats.org/officeDocument/2006/relationships/hyperlink" Target="https://screenscene.ie/" TargetMode="External"/><Relationship Id="rId4" Type="http://schemas.openxmlformats.org/officeDocument/2006/relationships/hyperlink" Target="https://app.termgrid.com/" TargetMode="External"/><Relationship Id="rId5"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mailto:Ufficio.legal@aravfashion.it.%20Solicitor%20is%20based%20in%20Italy" TargetMode="Externa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7"/>
  <sheetViews>
    <sheetView showFormulas="false" showGridLines="false" showRowColHeaders="true" showZeros="true" rightToLeft="false" tabSelected="false" showOutlineSymbols="true" defaultGridColor="true" view="pageBreakPreview" topLeftCell="A8" colorId="64" zoomScale="100" zoomScaleNormal="100" zoomScalePageLayoutView="100" workbookViewId="0">
      <selection pane="topLeft" activeCell="C26" activeCellId="0" sqref="C26"/>
    </sheetView>
  </sheetViews>
  <sheetFormatPr defaultColWidth="11.00390625" defaultRowHeight="12.75" customHeight="true" zeroHeight="false" outlineLevelRow="0" outlineLevelCol="0"/>
  <cols>
    <col collapsed="false" customWidth="true" hidden="false" outlineLevel="0" max="1" min="1" style="1" width="4"/>
    <col collapsed="false" customWidth="true" hidden="false" outlineLevel="0" max="2" min="2" style="1" width="7.75"/>
    <col collapsed="false" customWidth="false" hidden="false" outlineLevel="0" max="4" min="3" style="1" width="11"/>
    <col collapsed="false" customWidth="true" hidden="false" outlineLevel="0" max="5" min="5" style="1" width="12.87"/>
    <col collapsed="false" customWidth="true" hidden="false" outlineLevel="0" max="6" min="6" style="1" width="11.75"/>
    <col collapsed="false" customWidth="false" hidden="false" outlineLevel="0" max="7" min="7" style="1" width="11"/>
    <col collapsed="false" customWidth="true" hidden="false" outlineLevel="0" max="8" min="8" style="1" width="15.38"/>
    <col collapsed="false" customWidth="true" hidden="false" outlineLevel="0" max="9" min="9" style="1" width="4"/>
    <col collapsed="false" customWidth="true" hidden="false" outlineLevel="0" max="10" min="10" style="1" width="18"/>
    <col collapsed="false" customWidth="false" hidden="false" outlineLevel="0" max="13" min="11" style="1" width="11"/>
    <col collapsed="false" customWidth="true" hidden="false" outlineLevel="0" max="14" min="14" style="1" width="15.13"/>
    <col collapsed="false" customWidth="false" hidden="false" outlineLevel="0" max="15" min="15" style="1" width="11"/>
    <col collapsed="false" customWidth="true" hidden="false" outlineLevel="0" max="16" min="16" style="1" width="19.37"/>
    <col collapsed="false" customWidth="false" hidden="false" outlineLevel="0" max="16384" min="17" style="1" width="11"/>
  </cols>
  <sheetData>
    <row r="1" customFormat="false" ht="15.75" hidden="false" customHeight="true" outlineLevel="0" collapsed="false">
      <c r="D1" s="2" t="s">
        <v>0</v>
      </c>
      <c r="E1" s="2"/>
      <c r="F1" s="2"/>
      <c r="G1" s="2"/>
    </row>
    <row r="2" customFormat="false" ht="12.75" hidden="false" customHeight="false" outlineLevel="0" collapsed="false">
      <c r="D2" s="2"/>
      <c r="E2" s="2"/>
      <c r="F2" s="2"/>
      <c r="G2" s="2"/>
      <c r="I2" s="3"/>
    </row>
    <row r="3" customFormat="false" ht="12.75" hidden="false" customHeight="false" outlineLevel="0" collapsed="false">
      <c r="D3" s="2"/>
      <c r="E3" s="2"/>
      <c r="F3" s="2"/>
      <c r="G3" s="2"/>
    </row>
    <row r="4" customFormat="false" ht="26.25" hidden="false" customHeight="true" outlineLevel="0" collapsed="false">
      <c r="D4" s="2"/>
      <c r="E4" s="4"/>
      <c r="F4" s="4"/>
    </row>
    <row r="5" customFormat="false" ht="12.75" hidden="false" customHeight="false" outlineLevel="0" collapsed="false">
      <c r="D5" s="5"/>
      <c r="E5" s="5"/>
      <c r="F5" s="5"/>
      <c r="G5" s="1" t="s">
        <v>1</v>
      </c>
      <c r="H5" s="6" t="n">
        <f aca="true">TODAY()</f>
        <v>45993</v>
      </c>
    </row>
    <row r="6" customFormat="false" ht="12.75" hidden="false" customHeight="false" outlineLevel="0" collapsed="false">
      <c r="C6" s="7"/>
      <c r="D6" s="5"/>
      <c r="E6" s="5"/>
      <c r="F6" s="5"/>
      <c r="G6" s="8"/>
      <c r="H6" s="7"/>
      <c r="I6" s="7"/>
      <c r="J6" s="7"/>
    </row>
    <row r="7" customFormat="false" ht="12.75" hidden="false" customHeight="false" outlineLevel="0" collapsed="false">
      <c r="C7" s="7"/>
      <c r="D7" s="7"/>
      <c r="E7" s="7"/>
      <c r="F7" s="7"/>
      <c r="G7" s="7"/>
      <c r="H7" s="9"/>
      <c r="I7" s="7"/>
      <c r="J7" s="7"/>
    </row>
    <row r="8" customFormat="false" ht="24" hidden="false" customHeight="true" outlineLevel="0" collapsed="false">
      <c r="B8" s="10" t="s">
        <v>2</v>
      </c>
      <c r="C8" s="11" t="s">
        <v>3</v>
      </c>
      <c r="D8" s="11"/>
      <c r="E8" s="11"/>
      <c r="F8" s="11"/>
      <c r="G8" s="11"/>
      <c r="H8" s="11"/>
      <c r="I8" s="11"/>
      <c r="J8" s="7"/>
    </row>
    <row r="9" customFormat="false" ht="35.25" hidden="false" customHeight="true" outlineLevel="0" collapsed="false">
      <c r="B9" s="10" t="s">
        <v>4</v>
      </c>
      <c r="C9" s="11" t="s">
        <v>5</v>
      </c>
      <c r="D9" s="11"/>
      <c r="E9" s="11"/>
      <c r="F9" s="11"/>
      <c r="G9" s="11"/>
      <c r="H9" s="11"/>
      <c r="I9" s="12"/>
      <c r="J9" s="7"/>
    </row>
    <row r="10" customFormat="false" ht="48" hidden="false" customHeight="true" outlineLevel="0" collapsed="false">
      <c r="B10" s="10" t="s">
        <v>6</v>
      </c>
      <c r="C10" s="11" t="s">
        <v>7</v>
      </c>
      <c r="D10" s="11"/>
      <c r="E10" s="11"/>
      <c r="F10" s="11"/>
      <c r="G10" s="11"/>
      <c r="H10" s="11"/>
      <c r="J10" s="7"/>
    </row>
    <row r="11" customFormat="false" ht="6.75" hidden="false" customHeight="true" outlineLevel="0" collapsed="false">
      <c r="B11" s="13"/>
      <c r="C11" s="7"/>
      <c r="D11" s="7"/>
      <c r="E11" s="7"/>
      <c r="F11" s="7"/>
      <c r="G11" s="7"/>
      <c r="H11" s="7"/>
      <c r="I11" s="7"/>
      <c r="J11" s="7"/>
    </row>
    <row r="12" customFormat="false" ht="12.75" hidden="false" customHeight="false" outlineLevel="0" collapsed="false">
      <c r="B12" s="10" t="s">
        <v>8</v>
      </c>
      <c r="C12" s="14" t="s">
        <v>9</v>
      </c>
      <c r="D12" s="7"/>
      <c r="E12" s="7"/>
      <c r="F12" s="7"/>
      <c r="G12" s="7"/>
      <c r="H12" s="7"/>
      <c r="I12" s="7"/>
      <c r="J12" s="7"/>
      <c r="L12" s="1" t="s">
        <v>0</v>
      </c>
    </row>
    <row r="13" customFormat="false" ht="21" hidden="false" customHeight="true" outlineLevel="0" collapsed="false">
      <c r="C13" s="7"/>
      <c r="D13" s="7"/>
      <c r="E13" s="7"/>
      <c r="F13" s="7"/>
      <c r="G13" s="7"/>
      <c r="H13" s="7"/>
      <c r="I13" s="7"/>
      <c r="J13" s="7"/>
    </row>
    <row r="14" customFormat="false" ht="23.85" hidden="false" customHeight="false" outlineLevel="0" collapsed="false">
      <c r="B14" s="15" t="s">
        <v>10</v>
      </c>
      <c r="C14" s="16"/>
      <c r="D14" s="16"/>
      <c r="E14" s="16"/>
      <c r="F14" s="16"/>
      <c r="G14" s="17" t="s">
        <v>11</v>
      </c>
      <c r="H14" s="17" t="s">
        <v>12</v>
      </c>
      <c r="I14" s="18"/>
      <c r="J14" s="7"/>
    </row>
    <row r="15" customFormat="false" ht="12.75" hidden="false" customHeight="false" outlineLevel="0" collapsed="false">
      <c r="B15" s="19"/>
      <c r="C15" s="20"/>
      <c r="D15" s="20"/>
      <c r="E15" s="20"/>
      <c r="F15" s="20"/>
      <c r="G15" s="21"/>
      <c r="H15" s="21"/>
      <c r="I15" s="18"/>
      <c r="J15" s="7"/>
    </row>
    <row r="16" customFormat="false" ht="13.5" hidden="false" customHeight="true" outlineLevel="0" collapsed="false">
      <c r="B16" s="22" t="s">
        <v>13</v>
      </c>
      <c r="C16" s="23" t="s">
        <v>14</v>
      </c>
      <c r="D16" s="23"/>
      <c r="E16" s="23"/>
      <c r="F16" s="23"/>
      <c r="G16" s="24" t="n">
        <f aca="false">COUNTIFS('Letting Progress'!$D5:$D72, "NL", 'Letting Progress'!$Q5:$Q72, "No")</f>
        <v>6</v>
      </c>
      <c r="H16" s="25" t="n">
        <f aca="false">SUMIFS('Letting Progress'!$I5:$I72, 'Letting Progress'!$Q5:$Q72, "no", 'Letting Progress'!$D5:$D72, "NL")</f>
        <v>385381</v>
      </c>
      <c r="I16" s="18"/>
      <c r="J16" s="7"/>
    </row>
    <row r="17" customFormat="false" ht="13.5" hidden="false" customHeight="true" outlineLevel="0" collapsed="false">
      <c r="B17" s="26"/>
      <c r="C17" s="23"/>
      <c r="D17" s="23"/>
      <c r="E17" s="23"/>
      <c r="F17" s="23"/>
      <c r="G17" s="26"/>
      <c r="H17" s="25"/>
      <c r="I17" s="18"/>
      <c r="J17" s="7"/>
    </row>
    <row r="18" customFormat="false" ht="13.5" hidden="false" customHeight="true" outlineLevel="0" collapsed="false">
      <c r="B18" s="26"/>
      <c r="C18" s="23" t="s">
        <v>15</v>
      </c>
      <c r="D18" s="23"/>
      <c r="E18" s="23"/>
      <c r="F18" s="23"/>
      <c r="G18" s="24" t="n">
        <f aca="false">COUNTIFS('Letting Progress'!$D5:$D72, "TL", 'Letting Progress'!$Q5:$Q72, "No")</f>
        <v>0</v>
      </c>
      <c r="H18" s="25" t="n">
        <f aca="false">SUMIFS('Letting Progress'!$I5:$I72, 'Letting Progress'!$Q5:$Q72, "no", 'Letting Progress'!$D5:$D72, "TL")</f>
        <v>0</v>
      </c>
      <c r="I18" s="18"/>
      <c r="J18" s="7"/>
    </row>
    <row r="19" customFormat="false" ht="13.5" hidden="false" customHeight="true" outlineLevel="0" collapsed="false">
      <c r="B19" s="26"/>
      <c r="C19" s="23"/>
      <c r="D19" s="23"/>
      <c r="E19" s="23"/>
      <c r="F19" s="23"/>
      <c r="G19" s="26"/>
      <c r="H19" s="25"/>
      <c r="I19" s="18"/>
      <c r="J19" s="7"/>
    </row>
    <row r="20" customFormat="false" ht="13.5" hidden="false" customHeight="true" outlineLevel="0" collapsed="false">
      <c r="B20" s="26"/>
      <c r="C20" s="23" t="s">
        <v>16</v>
      </c>
      <c r="D20" s="23"/>
      <c r="E20" s="23"/>
      <c r="F20" s="23"/>
      <c r="G20" s="24" t="n">
        <f aca="false">COUNTIFS('Letting Progress'!$D5:$D72, "LR", 'Letting Progress'!$Q5:$Q72, "No")</f>
        <v>6</v>
      </c>
      <c r="H20" s="25" t="n">
        <f aca="false">SUMIFS('Letting Progress'!$K5:$K72, 'Letting Progress'!$Q5:$Q72, "no", 'Letting Progress'!$D5:$D72, "LR")</f>
        <v>117492</v>
      </c>
      <c r="I20" s="18"/>
      <c r="J20" s="7"/>
    </row>
    <row r="21" customFormat="false" ht="13.5" hidden="false" customHeight="true" outlineLevel="0" collapsed="false">
      <c r="B21" s="26"/>
      <c r="C21" s="27" t="s">
        <v>17</v>
      </c>
      <c r="D21" s="27"/>
      <c r="E21" s="27"/>
      <c r="F21" s="27"/>
      <c r="G21" s="28" t="n">
        <f aca="false">SUM(G16:G20)</f>
        <v>12</v>
      </c>
      <c r="H21" s="29" t="n">
        <f aca="false">SUM(H16:H20)</f>
        <v>502873</v>
      </c>
      <c r="I21" s="18"/>
      <c r="J21" s="7"/>
    </row>
    <row r="22" customFormat="false" ht="13.5" hidden="false" customHeight="true" outlineLevel="0" collapsed="false">
      <c r="B22" s="26"/>
      <c r="C22" s="30"/>
      <c r="D22" s="31"/>
      <c r="E22" s="31"/>
      <c r="F22" s="32"/>
      <c r="G22" s="28"/>
      <c r="H22" s="29"/>
      <c r="I22" s="18"/>
      <c r="J22" s="7"/>
    </row>
    <row r="23" customFormat="false" ht="13.5" hidden="false" customHeight="true" outlineLevel="0" collapsed="false">
      <c r="B23" s="26" t="s">
        <v>18</v>
      </c>
      <c r="C23" s="33" t="s">
        <v>19</v>
      </c>
      <c r="D23" s="33"/>
      <c r="E23" s="33"/>
      <c r="F23" s="33"/>
      <c r="G23" s="26" t="n">
        <f aca="false">SUM(COUNTIF('Letting Progress'!$Q$5:$Q$14,"Yes"))</f>
        <v>1</v>
      </c>
      <c r="H23" s="34" t="n">
        <f aca="false">SUM(SUMIF('Letting Progress'!$Q$5:$Q$34,"Yes",'Letting Progress'!$K$5:$K$34))</f>
        <v>335016</v>
      </c>
    </row>
    <row r="24" customFormat="false" ht="13.5" hidden="false" customHeight="true" outlineLevel="0" collapsed="false">
      <c r="B24" s="26"/>
      <c r="C24" s="35"/>
      <c r="D24" s="35"/>
      <c r="E24" s="35"/>
      <c r="F24" s="35"/>
      <c r="G24" s="36"/>
      <c r="H24" s="37"/>
    </row>
    <row r="25" s="39" customFormat="true" ht="13.5" hidden="false" customHeight="true" outlineLevel="0" collapsed="false">
      <c r="A25" s="1"/>
      <c r="B25" s="26"/>
      <c r="C25" s="23" t="s">
        <v>20</v>
      </c>
      <c r="D25" s="23"/>
      <c r="E25" s="23"/>
      <c r="F25" s="23"/>
      <c r="G25" s="38"/>
      <c r="H25" s="37"/>
      <c r="I25" s="1"/>
    </row>
    <row r="26" s="39" customFormat="true" ht="13.5" hidden="false" customHeight="true" outlineLevel="0" collapsed="false">
      <c r="A26" s="1"/>
      <c r="B26" s="26"/>
      <c r="C26" s="35"/>
      <c r="D26" s="35"/>
      <c r="E26" s="35"/>
      <c r="F26" s="35"/>
      <c r="G26" s="36"/>
      <c r="H26" s="40"/>
      <c r="I26" s="41"/>
    </row>
    <row r="27" s="39" customFormat="true" ht="13.5" hidden="false" customHeight="true" outlineLevel="0" collapsed="false">
      <c r="A27" s="1"/>
      <c r="B27" s="26"/>
      <c r="C27" s="42"/>
      <c r="D27" s="23" t="s">
        <v>21</v>
      </c>
      <c r="E27" s="23"/>
      <c r="F27" s="23"/>
      <c r="G27" s="43" t="n">
        <f aca="false">MAX(Income!$5:$5)</f>
        <v>41</v>
      </c>
      <c r="H27" s="44" t="n">
        <f aca="false">Income!AX14</f>
        <v>5510541</v>
      </c>
      <c r="I27" s="41"/>
    </row>
    <row r="28" s="39" customFormat="true" ht="13.5" hidden="false" customHeight="true" outlineLevel="0" collapsed="false">
      <c r="A28" s="1"/>
      <c r="B28" s="26"/>
      <c r="C28" s="23"/>
      <c r="D28" s="23" t="s">
        <v>22</v>
      </c>
      <c r="E28" s="23"/>
      <c r="F28" s="23"/>
      <c r="G28" s="43" t="n">
        <f aca="false">MAX(Income!$6:$6)</f>
        <v>3</v>
      </c>
      <c r="H28" s="44" t="n">
        <f aca="false">Income!AX15</f>
        <v>48300</v>
      </c>
      <c r="I28" s="41"/>
    </row>
    <row r="29" s="39" customFormat="true" ht="13.5" hidden="false" customHeight="true" outlineLevel="0" collapsed="false">
      <c r="A29" s="1"/>
      <c r="B29" s="26"/>
      <c r="C29" s="45" t="s">
        <v>23</v>
      </c>
      <c r="D29" s="45"/>
      <c r="E29" s="45"/>
      <c r="F29" s="45"/>
      <c r="G29" s="43" t="n">
        <f aca="false">MAX(Income!$7:$7)</f>
        <v>24</v>
      </c>
      <c r="H29" s="44" t="n">
        <f aca="false">Income!AX16</f>
        <v>487239.5</v>
      </c>
      <c r="I29" s="41"/>
    </row>
    <row r="30" s="39" customFormat="true" ht="13.5" hidden="false" customHeight="true" outlineLevel="0" collapsed="false">
      <c r="A30" s="1"/>
      <c r="B30" s="26"/>
      <c r="F30" s="46" t="s">
        <v>24</v>
      </c>
      <c r="G30" s="47" t="n">
        <f aca="false">SUM(G27:G29)</f>
        <v>68</v>
      </c>
      <c r="H30" s="29" t="n">
        <f aca="false">SUM(H27:H29)</f>
        <v>6046080.5</v>
      </c>
      <c r="I30" s="41"/>
    </row>
    <row r="31" s="39" customFormat="true" ht="13.5" hidden="false" customHeight="true" outlineLevel="0" collapsed="false">
      <c r="A31" s="1"/>
      <c r="B31" s="26"/>
      <c r="C31" s="30"/>
      <c r="D31" s="31"/>
      <c r="E31" s="31"/>
      <c r="F31" s="31"/>
      <c r="G31" s="47"/>
      <c r="H31" s="29"/>
      <c r="I31" s="41"/>
    </row>
    <row r="32" s="39" customFormat="true" ht="13.5" hidden="false" customHeight="true" outlineLevel="0" collapsed="false">
      <c r="A32" s="1"/>
      <c r="B32" s="26"/>
      <c r="C32" s="48" t="s">
        <v>25</v>
      </c>
      <c r="D32" s="49"/>
      <c r="E32" s="49"/>
      <c r="F32" s="49"/>
      <c r="G32" s="50" t="n">
        <f aca="false">'Dead Ducks'!$E7</f>
        <v>0</v>
      </c>
      <c r="H32" s="51" t="n">
        <f aca="false">SUM('Dead Ducks'!$F10:$F12)</f>
        <v>0</v>
      </c>
      <c r="I32" s="41"/>
    </row>
    <row r="33" customFormat="false" ht="13.5" hidden="false" customHeight="true" outlineLevel="0" collapsed="false"/>
    <row r="34" customFormat="false" ht="12.75" hidden="false" customHeight="true" outlineLevel="0" collapsed="false"/>
    <row r="35" customFormat="false" ht="3" hidden="false" customHeight="true" outlineLevel="0" collapsed="false"/>
    <row r="36" customFormat="false" ht="3" hidden="false" customHeight="true" outlineLevel="0" collapsed="false"/>
    <row r="38" customFormat="false" ht="12.75" hidden="false" customHeight="true" outlineLevel="0" collapsed="false">
      <c r="C38" s="7"/>
    </row>
    <row r="39" customFormat="false" ht="12" hidden="false" customHeight="true" outlineLevel="0" collapsed="false">
      <c r="C39" s="7"/>
    </row>
    <row r="40" customFormat="false" ht="120.75" hidden="false" customHeight="true" outlineLevel="0" collapsed="false"/>
    <row r="41" customFormat="false" ht="20.25" hidden="false" customHeight="true" outlineLevel="0" collapsed="false">
      <c r="A41" s="1" t="s">
        <v>26</v>
      </c>
      <c r="D41" s="52"/>
      <c r="E41" s="7"/>
    </row>
    <row r="42" customFormat="false" ht="32.25" hidden="false" customHeight="true" outlineLevel="0" collapsed="false"/>
    <row r="44" customFormat="false" ht="12.75" hidden="false" customHeight="false" outlineLevel="0" collapsed="false">
      <c r="I44" s="1" t="s">
        <v>27</v>
      </c>
    </row>
    <row r="47" customFormat="false" ht="15.75" hidden="false" customHeight="true" outlineLevel="0" collapsed="false"/>
  </sheetData>
  <mergeCells count="14">
    <mergeCell ref="D5:F6"/>
    <mergeCell ref="C8:I8"/>
    <mergeCell ref="C9:H9"/>
    <mergeCell ref="C10:H10"/>
    <mergeCell ref="C15:F15"/>
    <mergeCell ref="C16:F16"/>
    <mergeCell ref="C18:F18"/>
    <mergeCell ref="C20:F20"/>
    <mergeCell ref="C21:F21"/>
    <mergeCell ref="C23:F23"/>
    <mergeCell ref="C25:F25"/>
    <mergeCell ref="D27:F27"/>
    <mergeCell ref="D28:F28"/>
    <mergeCell ref="C29:F29"/>
  </mergeCells>
  <conditionalFormatting sqref="H16:H20">
    <cfRule type="cellIs" priority="2" operator="equal" aboveAverage="0" equalAverage="0" bottom="0" percent="0" rank="0" text="" dxfId="0">
      <formula>"Yes"</formula>
    </cfRule>
    <cfRule type="expression" priority="3" aboveAverage="0" equalAverage="0" bottom="0" percent="0" rank="0" text="" dxfId="1">
      <formula>"Completed"</formula>
    </cfRule>
  </conditionalFormatting>
  <conditionalFormatting sqref="H24:H26">
    <cfRule type="cellIs" priority="4" operator="equal" aboveAverage="0" equalAverage="0" bottom="0" percent="0" rank="0" text="" dxfId="2">
      <formula>"Yes"</formula>
    </cfRule>
    <cfRule type="expression" priority="5" aboveAverage="0" equalAverage="0" bottom="0" percent="0" rank="0" text="" dxfId="3">
      <formula>"Completed"</formula>
    </cfRule>
  </conditionalFormatting>
  <printOptions headings="false" gridLines="false" gridLinesSet="true" horizontalCentered="true" verticalCentered="true"/>
  <pageMargins left="0.708333333333333" right="0.708333333333333" top="0.35416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0"/>
  <sheetViews>
    <sheetView showFormulas="false" showGridLines="true" showRowColHeaders="true" showZeros="true" rightToLeft="false" tabSelected="true" showOutlineSymbols="true" defaultGridColor="true" view="pageBreakPreview" topLeftCell="A1" colorId="64" zoomScale="75" zoomScaleNormal="80" zoomScalePageLayoutView="75" workbookViewId="0">
      <pane xSplit="7" ySplit="4" topLeftCell="I8" activePane="bottomRight" state="frozen"/>
      <selection pane="topLeft" activeCell="A1" activeCellId="0" sqref="A1"/>
      <selection pane="topRight" activeCell="I1" activeCellId="0" sqref="I1"/>
      <selection pane="bottomLeft" activeCell="A8" activeCellId="0" sqref="A8"/>
      <selection pane="bottomRight" activeCell="C26" activeCellId="0" sqref="C26"/>
    </sheetView>
  </sheetViews>
  <sheetFormatPr defaultColWidth="9.00390625" defaultRowHeight="13.5" customHeight="true" zeroHeight="false" outlineLevelRow="0" outlineLevelCol="0"/>
  <cols>
    <col collapsed="false" customWidth="true" hidden="false" outlineLevel="0" max="1" min="1" style="53" width="13.63"/>
    <col collapsed="false" customWidth="true" hidden="false" outlineLevel="0" max="2" min="2" style="53" width="23.75"/>
    <col collapsed="false" customWidth="true" hidden="false" outlineLevel="0" max="3" min="3" style="54" width="19"/>
    <col collapsed="false" customWidth="true" hidden="false" outlineLevel="0" max="4" min="4" style="53" width="10.87"/>
    <col collapsed="false" customWidth="true" hidden="false" outlineLevel="0" max="5" min="5" style="55" width="14.13"/>
    <col collapsed="false" customWidth="true" hidden="false" outlineLevel="0" max="6" min="6" style="53" width="12.12"/>
    <col collapsed="false" customWidth="true" hidden="false" outlineLevel="0" max="7" min="7" style="54" width="26.38"/>
    <col collapsed="false" customWidth="true" hidden="false" outlineLevel="0" max="8" min="8" style="53" width="35.12"/>
    <col collapsed="false" customWidth="true" hidden="false" outlineLevel="0" max="9" min="9" style="54" width="12.12"/>
    <col collapsed="false" customWidth="true" hidden="false" outlineLevel="0" max="10" min="10" style="54" width="10.75"/>
    <col collapsed="false" customWidth="true" hidden="false" outlineLevel="0" max="11" min="11" style="54" width="12.5"/>
    <col collapsed="false" customWidth="true" hidden="false" outlineLevel="0" max="12" min="12" style="54" width="12.75"/>
    <col collapsed="false" customWidth="true" hidden="false" outlineLevel="0" max="14" min="13" style="54" width="13.12"/>
    <col collapsed="false" customWidth="true" hidden="false" outlineLevel="0" max="15" min="15" style="53" width="28.75"/>
    <col collapsed="false" customWidth="true" hidden="false" outlineLevel="0" max="16" min="16" style="53" width="11.13"/>
    <col collapsed="false" customWidth="true" hidden="false" outlineLevel="0" max="17" min="17" style="53" width="13.63"/>
    <col collapsed="false" customWidth="true" hidden="false" outlineLevel="0" max="18" min="18" style="53" width="48.63"/>
    <col collapsed="false" customWidth="false" hidden="false" outlineLevel="0" max="19" min="19" style="56" width="9"/>
    <col collapsed="false" customWidth="false" hidden="false" outlineLevel="0" max="16384" min="20" style="53" width="9"/>
  </cols>
  <sheetData>
    <row r="1" customFormat="false" ht="26.25" hidden="false" customHeight="true" outlineLevel="0" collapsed="false">
      <c r="G1" s="57"/>
      <c r="J1" s="57" t="s">
        <v>28</v>
      </c>
      <c r="K1" s="57"/>
    </row>
    <row r="2" customFormat="false" ht="13.5" hidden="false" customHeight="false" outlineLevel="0" collapsed="false">
      <c r="N2" s="54" t="s">
        <v>29</v>
      </c>
      <c r="O2" s="58" t="n">
        <f aca="true">TODAY()</f>
        <v>45993</v>
      </c>
    </row>
    <row r="3" customFormat="false" ht="15.75" hidden="false" customHeight="true" outlineLevel="0" collapsed="false"/>
    <row r="4" customFormat="false" ht="45" hidden="false" customHeight="true" outlineLevel="0" collapsed="false">
      <c r="A4" s="59" t="s">
        <v>30</v>
      </c>
      <c r="B4" s="60" t="s">
        <v>31</v>
      </c>
      <c r="C4" s="60" t="s">
        <v>32</v>
      </c>
      <c r="D4" s="60" t="s">
        <v>33</v>
      </c>
      <c r="E4" s="61" t="s">
        <v>34</v>
      </c>
      <c r="F4" s="60" t="s">
        <v>35</v>
      </c>
      <c r="G4" s="60" t="s">
        <v>36</v>
      </c>
      <c r="H4" s="60" t="s">
        <v>37</v>
      </c>
      <c r="I4" s="60" t="s">
        <v>38</v>
      </c>
      <c r="J4" s="60" t="s">
        <v>39</v>
      </c>
      <c r="K4" s="60" t="s">
        <v>40</v>
      </c>
      <c r="L4" s="60" t="s">
        <v>41</v>
      </c>
      <c r="M4" s="60" t="s">
        <v>42</v>
      </c>
      <c r="N4" s="62" t="s">
        <v>43</v>
      </c>
      <c r="O4" s="60" t="s">
        <v>44</v>
      </c>
      <c r="P4" s="60" t="s">
        <v>45</v>
      </c>
      <c r="Q4" s="60" t="s">
        <v>46</v>
      </c>
      <c r="R4" s="60" t="s">
        <v>47</v>
      </c>
      <c r="S4" s="60" t="s">
        <v>48</v>
      </c>
    </row>
    <row r="5" customFormat="false" ht="46.25" hidden="false" customHeight="false" outlineLevel="0" collapsed="false">
      <c r="A5" s="63" t="n">
        <f aca="false" t="array" ref="A5:A18">_xlfn.SEQUENCE(COUNTIF(B:B,"?*"))</f>
        <v>1</v>
      </c>
      <c r="B5" s="64" t="s">
        <v>49</v>
      </c>
      <c r="C5" s="65" t="s">
        <v>50</v>
      </c>
      <c r="D5" s="66" t="s">
        <v>51</v>
      </c>
      <c r="E5" s="67" t="n">
        <v>747</v>
      </c>
      <c r="F5" s="68" t="n">
        <v>45327</v>
      </c>
      <c r="G5" s="69" t="s">
        <v>52</v>
      </c>
      <c r="H5" s="70" t="s">
        <v>53</v>
      </c>
      <c r="I5" s="71" t="n">
        <v>45000</v>
      </c>
      <c r="J5" s="72" t="n">
        <v>45000</v>
      </c>
      <c r="K5" s="73" t="n">
        <f aca="false">I5-J5</f>
        <v>0</v>
      </c>
      <c r="L5" s="74" t="n">
        <f aca="false">I5/E5</f>
        <v>60.2409638554217</v>
      </c>
      <c r="M5" s="74" t="n">
        <f aca="false">J5/E5</f>
        <v>60.2409638554217</v>
      </c>
      <c r="N5" s="75" t="n">
        <f aca="false">I5/E5</f>
        <v>60.2409638554217</v>
      </c>
      <c r="O5" s="76" t="s">
        <v>54</v>
      </c>
      <c r="P5" s="76" t="s">
        <v>55</v>
      </c>
      <c r="Q5" s="76" t="s">
        <v>56</v>
      </c>
      <c r="R5" s="77" t="s">
        <v>57</v>
      </c>
      <c r="S5" s="78" t="s">
        <v>58</v>
      </c>
    </row>
    <row r="6" customFormat="false" ht="79.85" hidden="false" customHeight="false" outlineLevel="0" collapsed="false">
      <c r="A6" s="63" t="n">
        <v>2</v>
      </c>
      <c r="B6" s="64" t="s">
        <v>59</v>
      </c>
      <c r="C6" s="65" t="s">
        <v>60</v>
      </c>
      <c r="D6" s="66" t="s">
        <v>51</v>
      </c>
      <c r="E6" s="67" t="n">
        <v>2692</v>
      </c>
      <c r="F6" s="68" t="n">
        <v>45665</v>
      </c>
      <c r="G6" s="69" t="s">
        <v>61</v>
      </c>
      <c r="H6" s="70" t="s">
        <v>62</v>
      </c>
      <c r="I6" s="71" t="n">
        <v>97996</v>
      </c>
      <c r="J6" s="72" t="n">
        <v>104500</v>
      </c>
      <c r="K6" s="73" t="n">
        <f aca="false">I6-J6</f>
        <v>-6504</v>
      </c>
      <c r="L6" s="74" t="n">
        <f aca="false">I6/E6</f>
        <v>36.4026745913819</v>
      </c>
      <c r="M6" s="74" t="n">
        <f aca="false">J6/E6</f>
        <v>38.8187221396731</v>
      </c>
      <c r="N6" s="75" t="n">
        <f aca="false">I6/E6</f>
        <v>36.4026745913819</v>
      </c>
      <c r="O6" s="76" t="s">
        <v>63</v>
      </c>
      <c r="P6" s="76" t="s">
        <v>64</v>
      </c>
      <c r="Q6" s="76" t="s">
        <v>56</v>
      </c>
      <c r="R6" s="77" t="s">
        <v>65</v>
      </c>
      <c r="S6" s="79" t="s">
        <v>58</v>
      </c>
    </row>
    <row r="7" customFormat="false" ht="92.25" hidden="false" customHeight="true" outlineLevel="0" collapsed="false">
      <c r="A7" s="63" t="n">
        <v>3</v>
      </c>
      <c r="B7" s="64" t="s">
        <v>66</v>
      </c>
      <c r="C7" s="65" t="s">
        <v>50</v>
      </c>
      <c r="D7" s="66" t="s">
        <v>51</v>
      </c>
      <c r="E7" s="80" t="n">
        <v>1172</v>
      </c>
      <c r="F7" s="68" t="n">
        <v>45665</v>
      </c>
      <c r="G7" s="69" t="s">
        <v>61</v>
      </c>
      <c r="H7" s="70" t="s">
        <v>62</v>
      </c>
      <c r="I7" s="71" t="n">
        <v>43393.5</v>
      </c>
      <c r="J7" s="72" t="n">
        <v>41000</v>
      </c>
      <c r="K7" s="73" t="n">
        <f aca="false">I7-J7</f>
        <v>2393.5</v>
      </c>
      <c r="L7" s="74" t="n">
        <f aca="false">I7/E7</f>
        <v>37.0251706484642</v>
      </c>
      <c r="M7" s="74" t="n">
        <f aca="false">J7/E7</f>
        <v>34.9829351535836</v>
      </c>
      <c r="N7" s="75" t="n">
        <f aca="false">I7/E7</f>
        <v>37.0251706484642</v>
      </c>
      <c r="O7" s="76" t="s">
        <v>63</v>
      </c>
      <c r="P7" s="76" t="s">
        <v>64</v>
      </c>
      <c r="Q7" s="76" t="s">
        <v>56</v>
      </c>
      <c r="R7" s="77" t="s">
        <v>67</v>
      </c>
      <c r="S7" s="79" t="s">
        <v>58</v>
      </c>
    </row>
    <row r="8" customFormat="false" ht="46.25" hidden="false" customHeight="false" outlineLevel="0" collapsed="false">
      <c r="A8" s="63" t="n">
        <v>4</v>
      </c>
      <c r="B8" s="64" t="s">
        <v>68</v>
      </c>
      <c r="C8" s="65" t="s">
        <v>69</v>
      </c>
      <c r="D8" s="66" t="s">
        <v>51</v>
      </c>
      <c r="E8" s="67" t="n">
        <v>1159</v>
      </c>
      <c r="F8" s="68" t="n">
        <v>45665</v>
      </c>
      <c r="G8" s="69" t="s">
        <v>61</v>
      </c>
      <c r="H8" s="70" t="s">
        <v>70</v>
      </c>
      <c r="I8" s="71" t="n">
        <v>58610.5</v>
      </c>
      <c r="J8" s="72" t="n">
        <v>61575</v>
      </c>
      <c r="K8" s="73" t="n">
        <f aca="false">I8-J8</f>
        <v>-2964.5</v>
      </c>
      <c r="L8" s="74" t="n">
        <f aca="false">I8/E8</f>
        <v>50.56988783434</v>
      </c>
      <c r="M8" s="74" t="n">
        <f aca="false">J8/E8</f>
        <v>53.1276962899051</v>
      </c>
      <c r="N8" s="75" t="n">
        <f aca="false">I8/E8</f>
        <v>50.56988783434</v>
      </c>
      <c r="O8" s="76" t="s">
        <v>63</v>
      </c>
      <c r="P8" s="76" t="s">
        <v>64</v>
      </c>
      <c r="Q8" s="76" t="s">
        <v>56</v>
      </c>
      <c r="R8" s="77" t="s">
        <v>71</v>
      </c>
      <c r="S8" s="79" t="s">
        <v>58</v>
      </c>
    </row>
    <row r="9" s="81" customFormat="true" ht="102.2" hidden="false" customHeight="false" outlineLevel="0" collapsed="false">
      <c r="A9" s="63" t="n">
        <v>5</v>
      </c>
      <c r="B9" s="64" t="s">
        <v>72</v>
      </c>
      <c r="C9" s="65" t="s">
        <v>50</v>
      </c>
      <c r="D9" s="66" t="s">
        <v>51</v>
      </c>
      <c r="E9" s="67" t="n">
        <v>7079</v>
      </c>
      <c r="F9" s="68" t="n">
        <v>45642</v>
      </c>
      <c r="G9" s="69" t="s">
        <v>73</v>
      </c>
      <c r="H9" s="70" t="s">
        <v>74</v>
      </c>
      <c r="I9" s="71" t="n">
        <v>499600</v>
      </c>
      <c r="J9" s="72" t="n">
        <v>425033</v>
      </c>
      <c r="K9" s="73" t="n">
        <f aca="false">I9-J9</f>
        <v>74567</v>
      </c>
      <c r="L9" s="74" t="n">
        <f aca="false">I9/E9</f>
        <v>70.5749399632717</v>
      </c>
      <c r="M9" s="74" t="n">
        <f aca="false">J9/E9</f>
        <v>60.04139002684</v>
      </c>
      <c r="N9" s="75" t="n">
        <f aca="false">I9/E9</f>
        <v>70.5749399632717</v>
      </c>
      <c r="O9" s="76" t="s">
        <v>75</v>
      </c>
      <c r="P9" s="76" t="s">
        <v>76</v>
      </c>
      <c r="Q9" s="76" t="s">
        <v>56</v>
      </c>
      <c r="R9" s="77" t="s">
        <v>77</v>
      </c>
      <c r="S9" s="65" t="s">
        <v>78</v>
      </c>
    </row>
    <row r="10" customFormat="false" ht="42.75" hidden="false" customHeight="true" outlineLevel="0" collapsed="false">
      <c r="A10" s="63" t="n">
        <v>6</v>
      </c>
      <c r="B10" s="82" t="s">
        <v>79</v>
      </c>
      <c r="C10" s="83" t="s">
        <v>80</v>
      </c>
      <c r="D10" s="76" t="s">
        <v>81</v>
      </c>
      <c r="E10" s="84" t="n">
        <v>1255</v>
      </c>
      <c r="F10" s="85" t="n">
        <v>45846</v>
      </c>
      <c r="G10" s="65" t="s">
        <v>82</v>
      </c>
      <c r="H10" s="82" t="s">
        <v>83</v>
      </c>
      <c r="I10" s="86" t="n">
        <v>74000</v>
      </c>
      <c r="J10" s="87" t="n">
        <v>0</v>
      </c>
      <c r="K10" s="73" t="n">
        <f aca="false">I10-J10</f>
        <v>74000</v>
      </c>
      <c r="L10" s="74" t="n">
        <f aca="false">I10/E10</f>
        <v>58.9641434262948</v>
      </c>
      <c r="M10" s="74" t="n">
        <f aca="false">J10/E10</f>
        <v>0</v>
      </c>
      <c r="N10" s="75" t="n">
        <f aca="false">I10/E10</f>
        <v>58.9641434262948</v>
      </c>
      <c r="O10" s="88" t="s">
        <v>84</v>
      </c>
      <c r="P10" s="89" t="s">
        <v>64</v>
      </c>
      <c r="Q10" s="89" t="s">
        <v>56</v>
      </c>
      <c r="R10" s="90" t="s">
        <v>85</v>
      </c>
      <c r="S10" s="83" t="s">
        <v>86</v>
      </c>
    </row>
    <row r="11" customFormat="false" ht="124.6" hidden="false" customHeight="false" outlineLevel="0" collapsed="false">
      <c r="A11" s="91" t="n">
        <v>7</v>
      </c>
      <c r="B11" s="92" t="s">
        <v>87</v>
      </c>
      <c r="C11" s="93" t="s">
        <v>88</v>
      </c>
      <c r="D11" s="94" t="s">
        <v>81</v>
      </c>
      <c r="E11" s="95" t="n">
        <v>4653</v>
      </c>
      <c r="F11" s="96" t="n">
        <v>45877</v>
      </c>
      <c r="G11" s="97" t="s">
        <v>89</v>
      </c>
      <c r="H11" s="92" t="s">
        <v>90</v>
      </c>
      <c r="I11" s="98" t="n">
        <v>335016</v>
      </c>
      <c r="J11" s="99" t="n">
        <v>0</v>
      </c>
      <c r="K11" s="100" t="n">
        <f aca="false">I11-J11</f>
        <v>335016</v>
      </c>
      <c r="L11" s="101" t="n">
        <f aca="false">I11/E11</f>
        <v>72</v>
      </c>
      <c r="M11" s="101" t="n">
        <f aca="false">J11/E11</f>
        <v>0</v>
      </c>
      <c r="N11" s="102" t="n">
        <f aca="false">I11/E11</f>
        <v>72</v>
      </c>
      <c r="O11" s="103" t="s">
        <v>84</v>
      </c>
      <c r="P11" s="104" t="s">
        <v>55</v>
      </c>
      <c r="Q11" s="104" t="s">
        <v>91</v>
      </c>
      <c r="R11" s="105" t="s">
        <v>92</v>
      </c>
      <c r="S11" s="93" t="s">
        <v>93</v>
      </c>
    </row>
    <row r="12" customFormat="false" ht="68.65" hidden="false" customHeight="false" outlineLevel="0" collapsed="false">
      <c r="A12" s="63" t="n">
        <v>8</v>
      </c>
      <c r="B12" s="82" t="s">
        <v>94</v>
      </c>
      <c r="C12" s="83" t="s">
        <v>95</v>
      </c>
      <c r="D12" s="76" t="s">
        <v>81</v>
      </c>
      <c r="E12" s="84" t="n">
        <v>1946</v>
      </c>
      <c r="F12" s="85" t="n">
        <v>45869</v>
      </c>
      <c r="G12" s="65" t="s">
        <v>96</v>
      </c>
      <c r="H12" s="82" t="s">
        <v>97</v>
      </c>
      <c r="I12" s="86" t="n">
        <v>118500</v>
      </c>
      <c r="J12" s="106" t="n">
        <v>0</v>
      </c>
      <c r="K12" s="73" t="n">
        <f aca="false">I12-J12</f>
        <v>118500</v>
      </c>
      <c r="L12" s="74" t="n">
        <f aca="false">I12/E12</f>
        <v>60.8941418293936</v>
      </c>
      <c r="M12" s="74" t="n">
        <f aca="false">J12/E12</f>
        <v>0</v>
      </c>
      <c r="N12" s="75" t="n">
        <f aca="false">I12/E12</f>
        <v>60.8941418293936</v>
      </c>
      <c r="O12" s="88" t="s">
        <v>98</v>
      </c>
      <c r="P12" s="83" t="s">
        <v>64</v>
      </c>
      <c r="Q12" s="89" t="s">
        <v>56</v>
      </c>
      <c r="R12" s="90" t="s">
        <v>99</v>
      </c>
      <c r="S12" s="83" t="s">
        <v>93</v>
      </c>
    </row>
    <row r="13" customFormat="false" ht="35.25" hidden="false" customHeight="true" outlineLevel="0" collapsed="false">
      <c r="A13" s="107" t="n">
        <v>9</v>
      </c>
      <c r="B13" s="82" t="s">
        <v>100</v>
      </c>
      <c r="C13" s="83" t="s">
        <v>101</v>
      </c>
      <c r="D13" s="85" t="s">
        <v>51</v>
      </c>
      <c r="E13" s="108" t="n">
        <v>1690</v>
      </c>
      <c r="F13" s="109" t="n">
        <v>45905</v>
      </c>
      <c r="G13" s="110" t="s">
        <v>102</v>
      </c>
      <c r="H13" s="111" t="s">
        <v>103</v>
      </c>
      <c r="I13" s="112" t="n">
        <v>550000</v>
      </c>
      <c r="J13" s="113" t="n">
        <v>500000</v>
      </c>
      <c r="K13" s="73" t="n">
        <f aca="false">I13-J13</f>
        <v>50000</v>
      </c>
      <c r="L13" s="74" t="n">
        <f aca="false">I13/E13</f>
        <v>325.443786982249</v>
      </c>
      <c r="M13" s="74" t="n">
        <f aca="false">J13/E13</f>
        <v>295.85798816568</v>
      </c>
      <c r="N13" s="75" t="n">
        <f aca="false">I13/E13</f>
        <v>325.443786982249</v>
      </c>
      <c r="O13" s="114" t="s">
        <v>84</v>
      </c>
      <c r="P13" s="83" t="s">
        <v>64</v>
      </c>
      <c r="Q13" s="89" t="s">
        <v>56</v>
      </c>
      <c r="R13" s="90" t="s">
        <v>104</v>
      </c>
      <c r="S13" s="89" t="s">
        <v>78</v>
      </c>
    </row>
    <row r="14" customFormat="false" ht="52.5" hidden="false" customHeight="true" outlineLevel="0" collapsed="false">
      <c r="A14" s="107" t="n">
        <v>10</v>
      </c>
      <c r="B14" s="82" t="s">
        <v>105</v>
      </c>
      <c r="C14" s="83" t="s">
        <v>106</v>
      </c>
      <c r="D14" s="85" t="s">
        <v>81</v>
      </c>
      <c r="E14" s="108" t="n">
        <v>533</v>
      </c>
      <c r="F14" s="109" t="n">
        <v>45904</v>
      </c>
      <c r="G14" s="110" t="s">
        <v>107</v>
      </c>
      <c r="H14" s="111" t="s">
        <v>108</v>
      </c>
      <c r="I14" s="112" t="n">
        <v>28889</v>
      </c>
      <c r="J14" s="113" t="n">
        <v>0</v>
      </c>
      <c r="K14" s="73" t="n">
        <f aca="false">I14-J14</f>
        <v>28889</v>
      </c>
      <c r="L14" s="74" t="n">
        <f aca="false">I14/E14</f>
        <v>54.2007504690432</v>
      </c>
      <c r="M14" s="74" t="n">
        <f aca="false">J14/E14</f>
        <v>0</v>
      </c>
      <c r="N14" s="75" t="n">
        <f aca="false">I14/E14</f>
        <v>54.2007504690432</v>
      </c>
      <c r="O14" s="114" t="s">
        <v>84</v>
      </c>
      <c r="P14" s="83" t="s">
        <v>64</v>
      </c>
      <c r="Q14" s="89" t="s">
        <v>56</v>
      </c>
      <c r="R14" s="90" t="s">
        <v>109</v>
      </c>
      <c r="S14" s="89" t="s">
        <v>110</v>
      </c>
    </row>
    <row r="15" customFormat="false" ht="54" hidden="false" customHeight="true" outlineLevel="0" collapsed="false">
      <c r="A15" s="107" t="n">
        <v>11</v>
      </c>
      <c r="B15" s="64" t="s">
        <v>111</v>
      </c>
      <c r="C15" s="83" t="s">
        <v>112</v>
      </c>
      <c r="D15" s="66" t="s">
        <v>81</v>
      </c>
      <c r="E15" s="84" t="n">
        <v>1248</v>
      </c>
      <c r="F15" s="85" t="n">
        <v>45918</v>
      </c>
      <c r="G15" s="76" t="s">
        <v>113</v>
      </c>
      <c r="H15" s="82" t="s">
        <v>114</v>
      </c>
      <c r="I15" s="86" t="n">
        <v>68640</v>
      </c>
      <c r="J15" s="115" t="n">
        <v>0</v>
      </c>
      <c r="K15" s="73" t="n">
        <f aca="false">I15-J15</f>
        <v>68640</v>
      </c>
      <c r="L15" s="74" t="n">
        <f aca="false">I15/E15</f>
        <v>55</v>
      </c>
      <c r="M15" s="74" t="n">
        <f aca="false">J15/E15</f>
        <v>0</v>
      </c>
      <c r="N15" s="75" t="n">
        <f aca="false">I15/E15</f>
        <v>55</v>
      </c>
      <c r="O15" s="89" t="s">
        <v>84</v>
      </c>
      <c r="P15" s="83" t="s">
        <v>64</v>
      </c>
      <c r="Q15" s="89" t="s">
        <v>56</v>
      </c>
      <c r="R15" s="90" t="s">
        <v>115</v>
      </c>
      <c r="S15" s="83" t="s">
        <v>86</v>
      </c>
    </row>
    <row r="16" customFormat="false" ht="36" hidden="false" customHeight="true" outlineLevel="0" collapsed="false">
      <c r="A16" s="107" t="n">
        <v>12</v>
      </c>
      <c r="B16" s="116" t="s">
        <v>116</v>
      </c>
      <c r="C16" s="117" t="s">
        <v>117</v>
      </c>
      <c r="D16" s="117" t="s">
        <v>81</v>
      </c>
      <c r="E16" s="116" t="n">
        <v>60</v>
      </c>
      <c r="F16" s="118" t="n">
        <v>45916</v>
      </c>
      <c r="G16" s="119" t="s">
        <v>118</v>
      </c>
      <c r="H16" s="116" t="s">
        <v>119</v>
      </c>
      <c r="I16" s="120" t="n">
        <v>13500</v>
      </c>
      <c r="J16" s="120" t="n">
        <v>0</v>
      </c>
      <c r="K16" s="121" t="n">
        <f aca="false">I16-J16</f>
        <v>13500</v>
      </c>
      <c r="L16" s="122" t="n">
        <f aca="false">I16/E16</f>
        <v>225</v>
      </c>
      <c r="M16" s="74" t="n">
        <f aca="false">J16/E16</f>
        <v>0</v>
      </c>
      <c r="N16" s="75" t="n">
        <f aca="false">J16/E16</f>
        <v>0</v>
      </c>
      <c r="O16" s="117" t="s">
        <v>120</v>
      </c>
      <c r="P16" s="117" t="s">
        <v>64</v>
      </c>
      <c r="Q16" s="117" t="s">
        <v>56</v>
      </c>
      <c r="R16" s="123" t="s">
        <v>121</v>
      </c>
      <c r="S16" s="117" t="s">
        <v>110</v>
      </c>
    </row>
    <row r="17" customFormat="false" ht="36" hidden="false" customHeight="true" outlineLevel="0" collapsed="false">
      <c r="A17" s="63" t="n">
        <v>13</v>
      </c>
      <c r="B17" s="64" t="s">
        <v>122</v>
      </c>
      <c r="C17" s="83" t="s">
        <v>123</v>
      </c>
      <c r="D17" s="66" t="s">
        <v>81</v>
      </c>
      <c r="E17" s="84" t="n">
        <v>1129</v>
      </c>
      <c r="F17" s="85" t="n">
        <v>45954</v>
      </c>
      <c r="G17" s="76" t="s">
        <v>124</v>
      </c>
      <c r="H17" s="82" t="s">
        <v>125</v>
      </c>
      <c r="I17" s="86" t="n">
        <v>81852</v>
      </c>
      <c r="J17" s="115" t="n">
        <v>0</v>
      </c>
      <c r="K17" s="73" t="n">
        <f aca="false">I17-J17</f>
        <v>81852</v>
      </c>
      <c r="L17" s="74" t="n">
        <f aca="false">I17/E17</f>
        <v>72.4995571302037</v>
      </c>
      <c r="M17" s="74" t="n">
        <f aca="false">J17/E17</f>
        <v>0</v>
      </c>
      <c r="N17" s="75" t="n">
        <v>66.5</v>
      </c>
      <c r="O17" s="89" t="s">
        <v>84</v>
      </c>
      <c r="P17" s="83" t="s">
        <v>64</v>
      </c>
      <c r="Q17" s="89" t="s">
        <v>126</v>
      </c>
      <c r="R17" s="90" t="s">
        <v>127</v>
      </c>
      <c r="S17" s="83" t="s">
        <v>110</v>
      </c>
    </row>
    <row r="18" customFormat="false" ht="36" hidden="false" customHeight="true" outlineLevel="0" collapsed="false">
      <c r="A18" s="63" t="n">
        <v>14</v>
      </c>
      <c r="B18" s="64"/>
      <c r="C18" s="83"/>
      <c r="D18" s="66"/>
      <c r="E18" s="84"/>
      <c r="F18" s="85"/>
      <c r="G18" s="76"/>
      <c r="H18" s="82"/>
      <c r="I18" s="86"/>
      <c r="J18" s="115"/>
      <c r="K18" s="73" t="n">
        <f aca="false">I18-J18</f>
        <v>0</v>
      </c>
      <c r="L18" s="74" t="e">
        <f aca="false">I18/E18</f>
        <v>#DIV/0!</v>
      </c>
      <c r="M18" s="74" t="e">
        <f aca="false">J18/E18</f>
        <v>#DIV/0!</v>
      </c>
      <c r="N18" s="75"/>
      <c r="O18" s="89"/>
      <c r="P18" s="83"/>
      <c r="Q18" s="89"/>
      <c r="R18" s="90"/>
      <c r="S18" s="83"/>
    </row>
    <row r="19" customFormat="false" ht="47.25" hidden="false" customHeight="true" outlineLevel="0" collapsed="false">
      <c r="A19" s="63"/>
      <c r="B19" s="64"/>
      <c r="C19" s="83"/>
      <c r="D19" s="66"/>
      <c r="E19" s="84"/>
      <c r="F19" s="85"/>
      <c r="G19" s="76"/>
      <c r="H19" s="82"/>
      <c r="I19" s="86"/>
      <c r="J19" s="115" t="n">
        <v>0</v>
      </c>
      <c r="K19" s="73" t="n">
        <f aca="false">I19-J19</f>
        <v>0</v>
      </c>
      <c r="L19" s="74" t="e">
        <f aca="false">I19/E19</f>
        <v>#DIV/0!</v>
      </c>
      <c r="M19" s="74" t="e">
        <f aca="false">J19/E19</f>
        <v>#DIV/0!</v>
      </c>
      <c r="N19" s="75"/>
      <c r="O19" s="89"/>
      <c r="P19" s="83"/>
      <c r="Q19" s="89"/>
      <c r="R19" s="90"/>
      <c r="S19" s="83"/>
    </row>
    <row r="20" customFormat="false" ht="13.5" hidden="false" customHeight="false" outlineLevel="0" collapsed="false">
      <c r="K20" s="124"/>
      <c r="N20" s="125"/>
    </row>
  </sheetData>
  <autoFilter ref="A4:S19"/>
  <conditionalFormatting sqref="Q10:Q15 O15 O17:O19 Q17:Q19">
    <cfRule type="containsText" priority="2" operator="containsText" aboveAverage="0" equalAverage="0" bottom="0" percent="0" rank="0" text="Yes" dxfId="11">
      <formula>NOT(ISERROR(SEARCH("Yes",O10)))</formula>
    </cfRule>
  </conditionalFormatting>
  <conditionalFormatting sqref="Q5:Q9">
    <cfRule type="cellIs" priority="3" operator="equal" aboveAverage="0" equalAverage="0" bottom="0" percent="0" rank="0" text="" dxfId="12">
      <formula>"Yes"</formula>
    </cfRule>
  </conditionalFormatting>
  <conditionalFormatting sqref="K1:K2 K4 K20:K1048576">
    <cfRule type="cellIs" priority="4" operator="lessThan" aboveAverage="0" equalAverage="0" bottom="0" percent="0" rank="0" text="" dxfId="13">
      <formula>0</formula>
    </cfRule>
  </conditionalFormatting>
  <conditionalFormatting sqref="J1:K2 H4:S4 A1:E4 G1:G4 N2 Q3:R3 F3:F4">
    <cfRule type="expression" priority="5" aboveAverage="0" equalAverage="0" bottom="0" percent="0" rank="0" text="" dxfId="14">
      <formula>"Completed"</formula>
    </cfRule>
  </conditionalFormatting>
  <printOptions headings="false" gridLines="false" gridLinesSet="true" horizontalCentered="false" verticalCentered="false"/>
  <pageMargins left="0.708333333333333" right="0.629861111111111" top="0.747916666666667" bottom="0.74791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30"/>
  <sheetViews>
    <sheetView showFormulas="false" showGridLines="true" showRowColHeaders="true" showZeros="true" rightToLeft="false" tabSelected="false" showOutlineSymbols="true" defaultGridColor="true" view="pageBreakPreview" topLeftCell="A6" colorId="64" zoomScale="120" zoomScaleNormal="100" zoomScalePageLayoutView="120" workbookViewId="0">
      <pane xSplit="1" ySplit="4" topLeftCell="B10" activePane="bottomRight" state="frozen"/>
      <selection pane="topLeft" activeCell="A6" activeCellId="0" sqref="A6"/>
      <selection pane="topRight" activeCell="B6" activeCellId="0" sqref="B6"/>
      <selection pane="bottomLeft" activeCell="A10" activeCellId="0" sqref="A10"/>
      <selection pane="bottomRight" activeCell="C26" activeCellId="0" sqref="C26"/>
    </sheetView>
  </sheetViews>
  <sheetFormatPr defaultColWidth="11.00390625" defaultRowHeight="15.75" customHeight="true" zeroHeight="false" outlineLevelRow="0" outlineLevelCol="0"/>
  <cols>
    <col collapsed="false" customWidth="true" hidden="false" outlineLevel="0" max="1" min="1" style="0" width="2.87"/>
    <col collapsed="false" customWidth="true" hidden="false" outlineLevel="0" max="2" min="2" style="0" width="4.37"/>
    <col collapsed="false" customWidth="true" hidden="false" outlineLevel="0" max="3" min="3" style="0" width="23.75"/>
    <col collapsed="false" customWidth="true" hidden="false" outlineLevel="0" max="4" min="4" style="0" width="16.75"/>
    <col collapsed="false" customWidth="true" hidden="false" outlineLevel="0" max="5" min="5" style="0" width="12.87"/>
    <col collapsed="false" customWidth="true" hidden="false" outlineLevel="0" max="6" min="6" style="0" width="15.5"/>
    <col collapsed="false" customWidth="true" hidden="false" outlineLevel="0" max="7" min="7" style="0" width="16.13"/>
    <col collapsed="false" customWidth="true" hidden="false" outlineLevel="0" max="8" min="8" style="0" width="25.5"/>
    <col collapsed="false" customWidth="true" hidden="false" outlineLevel="0" max="9" min="9" style="0" width="8.38"/>
    <col collapsed="false" customWidth="true" hidden="false" outlineLevel="0" max="10" min="10" style="0" width="18"/>
    <col collapsed="false" customWidth="true" hidden="false" outlineLevel="0" max="14" min="14" style="0" width="16.75"/>
    <col collapsed="false" customWidth="true" hidden="false" outlineLevel="0" max="16" min="16" style="0" width="19.37"/>
  </cols>
  <sheetData>
    <row r="1" customFormat="false" ht="19.7" hidden="false" customHeight="false" outlineLevel="0" collapsed="false">
      <c r="B1" s="126" t="s">
        <v>128</v>
      </c>
      <c r="C1" s="127"/>
      <c r="D1" s="127"/>
      <c r="E1" s="128" t="s">
        <v>28</v>
      </c>
      <c r="F1" s="128"/>
      <c r="G1" s="129"/>
      <c r="H1" s="130"/>
      <c r="I1" s="131"/>
      <c r="J1" s="132"/>
    </row>
    <row r="2" customFormat="false" ht="15.75" hidden="false" customHeight="false" outlineLevel="0" collapsed="false">
      <c r="B2" s="127"/>
      <c r="C2" s="127"/>
      <c r="D2" s="127"/>
      <c r="E2" s="133" t="s">
        <v>129</v>
      </c>
      <c r="F2" s="133"/>
      <c r="G2" s="127"/>
      <c r="H2" s="127"/>
      <c r="I2" s="134"/>
    </row>
    <row r="3" customFormat="false" ht="15.75" hidden="false" customHeight="false" outlineLevel="0" collapsed="false">
      <c r="B3" s="127"/>
      <c r="C3" s="127"/>
      <c r="D3" s="127"/>
      <c r="E3" s="135"/>
      <c r="F3" s="135"/>
      <c r="G3" s="127"/>
      <c r="H3" s="127"/>
      <c r="I3" s="136"/>
    </row>
    <row r="4" customFormat="false" ht="15.75" hidden="false" customHeight="false" outlineLevel="0" collapsed="false">
      <c r="B4" s="127"/>
      <c r="C4" s="127"/>
      <c r="D4" s="127"/>
      <c r="E4" s="127"/>
      <c r="F4" s="127"/>
      <c r="G4" s="0" t="s">
        <v>1</v>
      </c>
      <c r="H4" s="137" t="e">
        <f aca="false">summary!#ref!</f>
        <v>#NAME?</v>
      </c>
    </row>
    <row r="5" customFormat="false" ht="15.75" hidden="false" customHeight="false" outlineLevel="0" collapsed="false">
      <c r="B5" s="127"/>
      <c r="C5" s="127"/>
      <c r="D5" s="127"/>
      <c r="E5" s="127"/>
      <c r="F5" s="127"/>
      <c r="G5" s="127"/>
      <c r="H5" s="127"/>
    </row>
    <row r="6" customFormat="false" ht="15.75" hidden="false" customHeight="false" outlineLevel="0" collapsed="false">
      <c r="B6" s="127"/>
      <c r="C6" s="138"/>
      <c r="D6" s="138"/>
      <c r="E6" s="138"/>
      <c r="F6" s="138"/>
      <c r="G6" s="138"/>
      <c r="H6" s="138"/>
      <c r="I6" s="139"/>
      <c r="J6" s="139"/>
    </row>
    <row r="7" customFormat="false" ht="15.75" hidden="false" customHeight="false" outlineLevel="0" collapsed="false">
      <c r="B7" s="140" t="s">
        <v>130</v>
      </c>
      <c r="C7" s="141"/>
      <c r="D7" s="141"/>
      <c r="E7" s="141" t="n">
        <f aca="false">COUNT(F10:F12)</f>
        <v>0</v>
      </c>
      <c r="F7" s="138"/>
      <c r="G7" s="138"/>
      <c r="H7" s="138"/>
      <c r="I7" s="139"/>
      <c r="J7" s="139"/>
    </row>
    <row r="8" customFormat="false" ht="15.75" hidden="false" customHeight="false" outlineLevel="0" collapsed="false">
      <c r="B8" s="127"/>
      <c r="C8" s="138"/>
      <c r="D8" s="138"/>
      <c r="E8" s="138"/>
      <c r="F8" s="138"/>
      <c r="G8" s="138"/>
      <c r="H8" s="142"/>
      <c r="I8" s="143"/>
    </row>
    <row r="9" customFormat="false" ht="20.25" hidden="false" customHeight="true" outlineLevel="0" collapsed="false">
      <c r="B9" s="144" t="s">
        <v>131</v>
      </c>
      <c r="C9" s="145" t="s">
        <v>31</v>
      </c>
      <c r="D9" s="145" t="s">
        <v>132</v>
      </c>
      <c r="E9" s="145" t="s">
        <v>37</v>
      </c>
      <c r="F9" s="145" t="s">
        <v>133</v>
      </c>
      <c r="G9" s="145" t="s">
        <v>134</v>
      </c>
      <c r="H9" s="145" t="s">
        <v>135</v>
      </c>
      <c r="I9" s="146" t="s">
        <v>48</v>
      </c>
    </row>
    <row r="10" customFormat="false" ht="98.25" hidden="false" customHeight="true" outlineLevel="0" collapsed="false">
      <c r="B10" s="147" t="n">
        <v>1</v>
      </c>
      <c r="C10" s="148"/>
      <c r="D10" s="149"/>
      <c r="E10" s="150"/>
      <c r="F10" s="151"/>
      <c r="G10" s="152"/>
      <c r="H10" s="153"/>
      <c r="I10" s="154"/>
    </row>
    <row r="11" s="155" customFormat="true" ht="42" hidden="false" customHeight="true" outlineLevel="0" collapsed="false">
      <c r="B11" s="156" t="n">
        <v>2</v>
      </c>
      <c r="C11" s="157"/>
      <c r="D11" s="158"/>
      <c r="E11" s="157"/>
      <c r="F11" s="159"/>
      <c r="G11" s="160"/>
      <c r="H11" s="157"/>
      <c r="I11" s="161"/>
    </row>
    <row r="12" s="155" customFormat="true" ht="42" hidden="false" customHeight="true" outlineLevel="0" collapsed="false">
      <c r="B12" s="156" t="n">
        <v>3</v>
      </c>
      <c r="C12" s="162"/>
      <c r="D12" s="162"/>
      <c r="E12" s="162"/>
      <c r="F12" s="163"/>
      <c r="G12" s="163"/>
      <c r="H12" s="162"/>
      <c r="I12" s="149"/>
      <c r="J12" s="164"/>
    </row>
    <row r="13" customFormat="false" ht="57" hidden="false" customHeight="true" outlineLevel="0" collapsed="false">
      <c r="B13" s="165"/>
      <c r="C13" s="7"/>
      <c r="D13" s="7"/>
      <c r="E13" s="7"/>
      <c r="F13" s="166"/>
      <c r="G13" s="166"/>
      <c r="H13" s="166"/>
      <c r="I13" s="167"/>
      <c r="J13" s="168"/>
    </row>
    <row r="14" customFormat="false" ht="15.75" hidden="false" customHeight="false" outlineLevel="0" collapsed="false">
      <c r="B14" s="169"/>
      <c r="C14" s="170"/>
      <c r="D14" s="170"/>
      <c r="E14" s="170"/>
      <c r="F14" s="171"/>
      <c r="G14" s="171"/>
      <c r="H14" s="168"/>
      <c r="I14" s="168"/>
      <c r="J14" s="168"/>
    </row>
    <row r="15" customFormat="false" ht="15.75" hidden="false" customHeight="false" outlineLevel="0" collapsed="false">
      <c r="B15" s="172" t="s">
        <v>136</v>
      </c>
      <c r="C15" s="172"/>
      <c r="D15" s="172"/>
      <c r="E15" s="172"/>
      <c r="F15" s="172"/>
      <c r="G15" s="172"/>
      <c r="H15" s="172"/>
      <c r="I15" s="168"/>
      <c r="J15" s="168"/>
    </row>
    <row r="16" customFormat="false" ht="15.75" hidden="false" customHeight="false" outlineLevel="0" collapsed="false">
      <c r="C16" s="139"/>
      <c r="D16" s="139"/>
      <c r="E16" s="139"/>
      <c r="F16" s="139"/>
      <c r="G16" s="139"/>
      <c r="H16" s="139"/>
      <c r="I16" s="139"/>
      <c r="J16" s="139"/>
    </row>
    <row r="17" customFormat="false" ht="15.75" hidden="false" customHeight="false" outlineLevel="0" collapsed="false">
      <c r="C17" s="139"/>
      <c r="D17" s="139"/>
      <c r="E17" s="139"/>
      <c r="F17" s="139"/>
      <c r="G17" s="139"/>
      <c r="H17" s="139"/>
      <c r="I17" s="139"/>
      <c r="J17" s="139"/>
    </row>
    <row r="18" customFormat="false" ht="15.75" hidden="false" customHeight="false" outlineLevel="0" collapsed="false">
      <c r="C18" s="139"/>
      <c r="D18" s="139"/>
      <c r="E18" s="139"/>
      <c r="F18" s="139"/>
      <c r="G18" s="139"/>
      <c r="H18" s="139"/>
      <c r="I18" s="139"/>
      <c r="J18" s="139"/>
    </row>
    <row r="19" customFormat="false" ht="15.75" hidden="false" customHeight="false" outlineLevel="0" collapsed="false">
      <c r="C19" s="139"/>
      <c r="D19" s="139"/>
      <c r="E19" s="139"/>
      <c r="F19" s="139"/>
      <c r="G19" s="139"/>
      <c r="H19" s="139"/>
      <c r="I19" s="139"/>
      <c r="J19" s="139"/>
    </row>
    <row r="24" customFormat="false" ht="23.85" hidden="false" customHeight="false" outlineLevel="0" collapsed="false">
      <c r="C24" s="145" t="s">
        <v>31</v>
      </c>
      <c r="D24" s="145" t="s">
        <v>132</v>
      </c>
      <c r="E24" s="145" t="s">
        <v>37</v>
      </c>
      <c r="F24" s="145" t="s">
        <v>133</v>
      </c>
      <c r="G24" s="145" t="s">
        <v>134</v>
      </c>
      <c r="H24" s="145" t="s">
        <v>135</v>
      </c>
      <c r="I24" s="146" t="s">
        <v>48</v>
      </c>
      <c r="J24" s="139"/>
    </row>
    <row r="25" customFormat="false" ht="51" hidden="false" customHeight="true" outlineLevel="0" collapsed="false">
      <c r="B25" s="173"/>
      <c r="C25" s="174" t="s">
        <v>137</v>
      </c>
      <c r="D25" s="175" t="s">
        <v>138</v>
      </c>
      <c r="E25" s="176" t="s">
        <v>139</v>
      </c>
      <c r="F25" s="177" t="n">
        <v>55000</v>
      </c>
      <c r="G25" s="178" t="n">
        <v>25</v>
      </c>
      <c r="H25" s="179" t="s">
        <v>140</v>
      </c>
      <c r="I25" s="180" t="s">
        <v>141</v>
      </c>
      <c r="J25" s="181"/>
      <c r="K25" s="139"/>
    </row>
    <row r="26" customFormat="false" ht="54" hidden="false" customHeight="true" outlineLevel="0" collapsed="false">
      <c r="C26" s="182" t="s">
        <v>142</v>
      </c>
      <c r="D26" s="183" t="s">
        <v>143</v>
      </c>
      <c r="E26" s="184" t="s">
        <v>144</v>
      </c>
      <c r="F26" s="185" t="n">
        <v>150000</v>
      </c>
      <c r="G26" s="186" t="n">
        <v>45</v>
      </c>
      <c r="H26" s="187" t="s">
        <v>145</v>
      </c>
      <c r="I26" s="188" t="s">
        <v>146</v>
      </c>
      <c r="J26" s="139"/>
    </row>
    <row r="27" customFormat="false" ht="35.05" hidden="false" customHeight="false" outlineLevel="0" collapsed="false">
      <c r="C27" s="189" t="s">
        <v>147</v>
      </c>
      <c r="D27" s="183" t="s">
        <v>148</v>
      </c>
      <c r="E27" s="190" t="s">
        <v>149</v>
      </c>
      <c r="F27" s="191" t="n">
        <v>135456</v>
      </c>
      <c r="G27" s="192" t="n">
        <v>68</v>
      </c>
      <c r="H27" s="187" t="s">
        <v>150</v>
      </c>
      <c r="I27" s="188" t="s">
        <v>146</v>
      </c>
    </row>
    <row r="28" customFormat="false" ht="46.25" hidden="false" customHeight="false" outlineLevel="0" collapsed="false">
      <c r="C28" s="193" t="s">
        <v>151</v>
      </c>
      <c r="D28" s="194" t="s">
        <v>152</v>
      </c>
      <c r="E28" s="193" t="s">
        <v>153</v>
      </c>
      <c r="F28" s="195" t="n">
        <v>152250</v>
      </c>
      <c r="G28" s="196" t="n">
        <v>78.56</v>
      </c>
      <c r="H28" s="187" t="s">
        <v>154</v>
      </c>
      <c r="I28" s="188" t="s">
        <v>146</v>
      </c>
    </row>
    <row r="29" customFormat="false" ht="68.65" hidden="false" customHeight="false" outlineLevel="0" collapsed="false">
      <c r="C29" s="148" t="s">
        <v>155</v>
      </c>
      <c r="D29" s="197" t="s">
        <v>156</v>
      </c>
      <c r="E29" s="184" t="s">
        <v>144</v>
      </c>
      <c r="F29" s="198" t="n">
        <v>155496</v>
      </c>
      <c r="G29" s="199" t="n">
        <v>62</v>
      </c>
      <c r="H29" s="187" t="s">
        <v>157</v>
      </c>
      <c r="I29" s="188" t="s">
        <v>64</v>
      </c>
    </row>
    <row r="30" customFormat="false" ht="35.05" hidden="false" customHeight="false" outlineLevel="0" collapsed="false">
      <c r="C30" s="148" t="s">
        <v>158</v>
      </c>
      <c r="D30" s="197" t="s">
        <v>159</v>
      </c>
      <c r="E30" s="148" t="s">
        <v>160</v>
      </c>
      <c r="F30" s="198" t="n">
        <v>39387</v>
      </c>
      <c r="G30" s="199" t="n">
        <v>57</v>
      </c>
      <c r="H30" s="187" t="s">
        <v>161</v>
      </c>
      <c r="I30" s="188" t="s">
        <v>64</v>
      </c>
    </row>
  </sheetData>
  <mergeCells count="3">
    <mergeCell ref="E1:F1"/>
    <mergeCell ref="E2:F2"/>
    <mergeCell ref="B15:H15"/>
  </mergeCells>
  <printOptions headings="false" gridLines="false" gridLinesSet="true" horizontalCentered="false" verticalCentered="false"/>
  <pageMargins left="0.629861111111111" right="0.747916666666667" top="0.984027777777778" bottom="0.984027777777778"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45"/>
  <sheetViews>
    <sheetView showFormulas="false" showGridLines="true" showRowColHeaders="true" showZeros="true" rightToLeft="false" tabSelected="false" showOutlineSymbols="true" defaultGridColor="true" view="pageBreakPreview" topLeftCell="B1" colorId="64" zoomScale="80" zoomScaleNormal="70" zoomScalePageLayoutView="80" workbookViewId="0">
      <pane xSplit="0" ySplit="4" topLeftCell="A5" activePane="bottomLeft" state="frozen"/>
      <selection pane="topLeft" activeCell="B1" activeCellId="0" sqref="B1"/>
      <selection pane="bottomLeft" activeCell="F6" activeCellId="0" sqref="F6"/>
    </sheetView>
  </sheetViews>
  <sheetFormatPr defaultColWidth="8.87890625" defaultRowHeight="15" customHeight="true" zeroHeight="false" outlineLevelRow="0" outlineLevelCol="0"/>
  <cols>
    <col collapsed="false" customWidth="false" hidden="false" outlineLevel="0" max="1" min="1" style="200" width="8.88"/>
    <col collapsed="false" customWidth="true" hidden="false" outlineLevel="0" max="2" min="2" style="201" width="13.37"/>
    <col collapsed="false" customWidth="true" hidden="false" outlineLevel="0" max="3" min="3" style="200" width="25.87"/>
    <col collapsed="false" customWidth="true" hidden="false" outlineLevel="0" max="4" min="4" style="200" width="26.88"/>
    <col collapsed="false" customWidth="true" hidden="false" outlineLevel="0" max="5" min="5" style="201" width="34.87"/>
    <col collapsed="false" customWidth="true" hidden="false" outlineLevel="0" max="6" min="6" style="201" width="16.75"/>
    <col collapsed="false" customWidth="true" hidden="false" outlineLevel="0" max="7" min="7" style="201" width="20.25"/>
    <col collapsed="false" customWidth="true" hidden="false" outlineLevel="0" max="8" min="8" style="200" width="127.87"/>
    <col collapsed="false" customWidth="true" hidden="false" outlineLevel="0" max="9" min="9" style="202" width="18"/>
    <col collapsed="false" customWidth="false" hidden="false" outlineLevel="0" max="12" min="10" style="200" width="8.88"/>
    <col collapsed="false" customWidth="true" hidden="false" outlineLevel="0" max="13" min="13" style="200" width="17.12"/>
    <col collapsed="false" customWidth="false" hidden="false" outlineLevel="0" max="14" min="14" style="200" width="8.88"/>
    <col collapsed="false" customWidth="true" hidden="false" outlineLevel="0" max="15" min="15" style="200" width="19.37"/>
    <col collapsed="false" customWidth="false" hidden="false" outlineLevel="0" max="16384" min="16" style="200" width="8.88"/>
  </cols>
  <sheetData>
    <row r="1" customFormat="false" ht="44.25" hidden="false" customHeight="true" outlineLevel="0" collapsed="false">
      <c r="A1" s="203"/>
      <c r="B1" s="204"/>
      <c r="C1" s="205" t="s">
        <v>162</v>
      </c>
      <c r="D1" s="205"/>
      <c r="E1" s="205"/>
      <c r="F1" s="205"/>
      <c r="G1" s="205"/>
      <c r="H1" s="205"/>
      <c r="I1" s="205"/>
    </row>
    <row r="2" customFormat="false" ht="25.5" hidden="false" customHeight="true" outlineLevel="0" collapsed="false">
      <c r="C2" s="206"/>
      <c r="D2" s="206"/>
      <c r="E2" s="207"/>
      <c r="F2" s="201" t="s">
        <v>1</v>
      </c>
      <c r="G2" s="208" t="n">
        <f aca="true">TODAY()</f>
        <v>45993</v>
      </c>
      <c r="I2" s="209"/>
    </row>
    <row r="3" customFormat="false" ht="13.5" hidden="false" customHeight="true" outlineLevel="0" collapsed="false">
      <c r="C3" s="206"/>
      <c r="D3" s="206"/>
      <c r="E3" s="207"/>
      <c r="G3" s="210"/>
    </row>
    <row r="4" customFormat="false" ht="30" hidden="false" customHeight="true" outlineLevel="0" collapsed="false">
      <c r="A4" s="211" t="s">
        <v>30</v>
      </c>
      <c r="B4" s="212" t="s">
        <v>163</v>
      </c>
      <c r="C4" s="213" t="s">
        <v>164</v>
      </c>
      <c r="D4" s="213" t="s">
        <v>165</v>
      </c>
      <c r="E4" s="212" t="s">
        <v>166</v>
      </c>
      <c r="F4" s="212" t="s">
        <v>167</v>
      </c>
      <c r="G4" s="212" t="s">
        <v>168</v>
      </c>
      <c r="H4" s="213" t="s">
        <v>169</v>
      </c>
      <c r="I4" s="214" t="s">
        <v>170</v>
      </c>
    </row>
    <row r="5" customFormat="false" ht="15" hidden="false" customHeight="false" outlineLevel="0" collapsed="false">
      <c r="A5" s="215" t="n">
        <v>1</v>
      </c>
      <c r="B5" s="216" t="n">
        <v>45964</v>
      </c>
      <c r="C5" s="217" t="s">
        <v>171</v>
      </c>
      <c r="D5" s="218" t="s">
        <v>172</v>
      </c>
      <c r="E5" s="219" t="s">
        <v>173</v>
      </c>
      <c r="F5" s="216" t="s">
        <v>174</v>
      </c>
      <c r="G5" s="218" t="s">
        <v>175</v>
      </c>
      <c r="H5" s="218" t="s">
        <v>176</v>
      </c>
      <c r="I5" s="220" t="s">
        <v>177</v>
      </c>
    </row>
    <row r="6" customFormat="false" ht="15" hidden="false" customHeight="false" outlineLevel="0" collapsed="false">
      <c r="A6" s="215" t="n">
        <v>2</v>
      </c>
      <c r="B6" s="221" t="n">
        <v>45964</v>
      </c>
      <c r="C6" s="222" t="s">
        <v>178</v>
      </c>
      <c r="D6" s="218" t="s">
        <v>179</v>
      </c>
      <c r="E6" s="219" t="s">
        <v>180</v>
      </c>
      <c r="F6" s="216" t="s">
        <v>174</v>
      </c>
      <c r="G6" s="218" t="s">
        <v>175</v>
      </c>
      <c r="H6" s="218" t="s">
        <v>176</v>
      </c>
      <c r="I6" s="220" t="s">
        <v>177</v>
      </c>
    </row>
    <row r="7" customFormat="false" ht="15" hidden="false" customHeight="false" outlineLevel="0" collapsed="false">
      <c r="A7" s="215" t="n">
        <v>3</v>
      </c>
      <c r="B7" s="216" t="n">
        <v>45964</v>
      </c>
      <c r="C7" s="222" t="s">
        <v>181</v>
      </c>
      <c r="D7" s="222" t="s">
        <v>123</v>
      </c>
      <c r="E7" s="219" t="s">
        <v>182</v>
      </c>
      <c r="F7" s="219" t="s">
        <v>183</v>
      </c>
      <c r="G7" s="218" t="s">
        <v>175</v>
      </c>
      <c r="H7" s="223" t="s">
        <v>184</v>
      </c>
      <c r="I7" s="220" t="s">
        <v>177</v>
      </c>
    </row>
    <row r="8" customFormat="false" ht="15" hidden="false" customHeight="false" outlineLevel="0" collapsed="false">
      <c r="A8" s="215" t="n">
        <v>4</v>
      </c>
      <c r="B8" s="221" t="n">
        <v>45964</v>
      </c>
      <c r="C8" s="222" t="s">
        <v>122</v>
      </c>
      <c r="D8" s="222" t="s">
        <v>123</v>
      </c>
      <c r="E8" s="219" t="s">
        <v>124</v>
      </c>
      <c r="F8" s="219" t="s">
        <v>185</v>
      </c>
      <c r="G8" s="218" t="s">
        <v>186</v>
      </c>
      <c r="H8" s="223" t="s">
        <v>187</v>
      </c>
      <c r="I8" s="220" t="s">
        <v>177</v>
      </c>
    </row>
    <row r="9" customFormat="false" ht="15" hidden="false" customHeight="false" outlineLevel="0" collapsed="false">
      <c r="A9" s="215" t="n">
        <v>5</v>
      </c>
      <c r="B9" s="216" t="n">
        <v>45964</v>
      </c>
      <c r="C9" s="222" t="s">
        <v>188</v>
      </c>
      <c r="D9" s="222" t="s">
        <v>189</v>
      </c>
      <c r="E9" s="219" t="s">
        <v>190</v>
      </c>
      <c r="F9" s="219" t="s">
        <v>191</v>
      </c>
      <c r="G9" s="218" t="s">
        <v>175</v>
      </c>
      <c r="H9" s="223" t="s">
        <v>192</v>
      </c>
      <c r="I9" s="220" t="s">
        <v>191</v>
      </c>
    </row>
    <row r="10" customFormat="false" ht="15" hidden="false" customHeight="false" outlineLevel="0" collapsed="false">
      <c r="A10" s="224" t="n">
        <v>6</v>
      </c>
      <c r="B10" s="221" t="n">
        <v>45965</v>
      </c>
      <c r="C10" s="217" t="s">
        <v>193</v>
      </c>
      <c r="D10" s="218" t="s">
        <v>194</v>
      </c>
      <c r="E10" s="219" t="s">
        <v>195</v>
      </c>
      <c r="F10" s="221" t="s">
        <v>196</v>
      </c>
      <c r="G10" s="217" t="s">
        <v>175</v>
      </c>
      <c r="H10" s="218" t="s">
        <v>197</v>
      </c>
      <c r="I10" s="220" t="s">
        <v>198</v>
      </c>
    </row>
    <row r="11" customFormat="false" ht="15" hidden="false" customHeight="false" outlineLevel="0" collapsed="false">
      <c r="A11" s="215" t="n">
        <v>7</v>
      </c>
      <c r="B11" s="221" t="n">
        <v>45965</v>
      </c>
      <c r="C11" s="218" t="s">
        <v>155</v>
      </c>
      <c r="D11" s="218" t="s">
        <v>199</v>
      </c>
      <c r="E11" s="219" t="s">
        <v>195</v>
      </c>
      <c r="F11" s="221" t="s">
        <v>196</v>
      </c>
      <c r="G11" s="218" t="s">
        <v>175</v>
      </c>
      <c r="H11" s="218" t="s">
        <v>200</v>
      </c>
      <c r="I11" s="220" t="s">
        <v>198</v>
      </c>
    </row>
    <row r="12" customFormat="false" ht="15" hidden="false" customHeight="false" outlineLevel="0" collapsed="false">
      <c r="A12" s="215" t="n">
        <v>8</v>
      </c>
      <c r="B12" s="221" t="n">
        <v>45965</v>
      </c>
      <c r="C12" s="225" t="s">
        <v>201</v>
      </c>
      <c r="D12" s="218" t="s">
        <v>202</v>
      </c>
      <c r="E12" s="219" t="s">
        <v>195</v>
      </c>
      <c r="F12" s="216" t="s">
        <v>196</v>
      </c>
      <c r="G12" s="218" t="s">
        <v>175</v>
      </c>
      <c r="H12" s="218" t="s">
        <v>203</v>
      </c>
      <c r="I12" s="220" t="s">
        <v>198</v>
      </c>
    </row>
    <row r="13" customFormat="false" ht="15" hidden="false" customHeight="false" outlineLevel="0" collapsed="false">
      <c r="A13" s="215" t="n">
        <v>9</v>
      </c>
      <c r="B13" s="216" t="n">
        <v>45966</v>
      </c>
      <c r="C13" s="222" t="s">
        <v>204</v>
      </c>
      <c r="D13" s="222" t="s">
        <v>205</v>
      </c>
      <c r="E13" s="219" t="s">
        <v>206</v>
      </c>
      <c r="F13" s="219" t="s">
        <v>174</v>
      </c>
      <c r="G13" s="218" t="s">
        <v>175</v>
      </c>
      <c r="H13" s="223" t="s">
        <v>207</v>
      </c>
      <c r="I13" s="220" t="s">
        <v>198</v>
      </c>
    </row>
    <row r="14" customFormat="false" ht="15" hidden="false" customHeight="false" outlineLevel="0" collapsed="false">
      <c r="A14" s="215" t="n">
        <v>11</v>
      </c>
      <c r="B14" s="216" t="n">
        <v>45966</v>
      </c>
      <c r="C14" s="222" t="s">
        <v>155</v>
      </c>
      <c r="D14" s="226" t="s">
        <v>208</v>
      </c>
      <c r="E14" s="227" t="s">
        <v>209</v>
      </c>
      <c r="F14" s="228" t="s">
        <v>210</v>
      </c>
      <c r="G14" s="229" t="s">
        <v>211</v>
      </c>
      <c r="H14" s="230" t="s">
        <v>212</v>
      </c>
      <c r="I14" s="220" t="s">
        <v>177</v>
      </c>
    </row>
    <row r="15" customFormat="false" ht="15" hidden="false" customHeight="false" outlineLevel="0" collapsed="false">
      <c r="A15" s="224" t="n">
        <v>12</v>
      </c>
      <c r="B15" s="221" t="n">
        <v>45966</v>
      </c>
      <c r="C15" s="222" t="s">
        <v>155</v>
      </c>
      <c r="D15" s="222" t="s">
        <v>194</v>
      </c>
      <c r="E15" s="219" t="s">
        <v>206</v>
      </c>
      <c r="F15" s="219" t="s">
        <v>174</v>
      </c>
      <c r="G15" s="231" t="s">
        <v>175</v>
      </c>
      <c r="H15" s="223" t="s">
        <v>213</v>
      </c>
      <c r="I15" s="220" t="s">
        <v>198</v>
      </c>
    </row>
    <row r="16" customFormat="false" ht="15" hidden="false" customHeight="false" outlineLevel="0" collapsed="false">
      <c r="A16" s="224"/>
      <c r="B16" s="216" t="n">
        <v>45966</v>
      </c>
      <c r="C16" s="222" t="s">
        <v>214</v>
      </c>
      <c r="D16" s="222" t="s">
        <v>215</v>
      </c>
      <c r="E16" s="219" t="s">
        <v>206</v>
      </c>
      <c r="F16" s="219" t="s">
        <v>174</v>
      </c>
      <c r="G16" s="218" t="s">
        <v>175</v>
      </c>
      <c r="H16" s="223" t="s">
        <v>216</v>
      </c>
      <c r="I16" s="232" t="s">
        <v>198</v>
      </c>
    </row>
    <row r="17" customFormat="false" ht="29.85" hidden="false" customHeight="false" outlineLevel="0" collapsed="false">
      <c r="A17" s="224"/>
      <c r="B17" s="233" t="n">
        <v>45967</v>
      </c>
      <c r="C17" s="219" t="s">
        <v>217</v>
      </c>
      <c r="D17" s="234" t="s">
        <v>189</v>
      </c>
      <c r="E17" s="219" t="s">
        <v>218</v>
      </c>
      <c r="F17" s="219" t="s">
        <v>219</v>
      </c>
      <c r="G17" s="218" t="s">
        <v>175</v>
      </c>
      <c r="H17" s="219" t="s">
        <v>220</v>
      </c>
      <c r="I17" s="232" t="s">
        <v>177</v>
      </c>
    </row>
    <row r="18" customFormat="false" ht="15" hidden="false" customHeight="false" outlineLevel="0" collapsed="false">
      <c r="A18" s="215" t="n">
        <v>13</v>
      </c>
      <c r="B18" s="216" t="n">
        <v>45967</v>
      </c>
      <c r="C18" s="218" t="s">
        <v>171</v>
      </c>
      <c r="D18" s="218" t="s">
        <v>172</v>
      </c>
      <c r="E18" s="219" t="s">
        <v>221</v>
      </c>
      <c r="F18" s="216" t="s">
        <v>174</v>
      </c>
      <c r="G18" s="231" t="s">
        <v>175</v>
      </c>
      <c r="H18" s="218" t="s">
        <v>222</v>
      </c>
      <c r="I18" s="220" t="s">
        <v>177</v>
      </c>
    </row>
    <row r="19" customFormat="false" ht="15" hidden="false" customHeight="false" outlineLevel="0" collapsed="false">
      <c r="A19" s="215" t="n">
        <v>14</v>
      </c>
      <c r="B19" s="233" t="n">
        <v>45967</v>
      </c>
      <c r="C19" s="217" t="s">
        <v>178</v>
      </c>
      <c r="D19" s="218" t="s">
        <v>179</v>
      </c>
      <c r="E19" s="219" t="s">
        <v>221</v>
      </c>
      <c r="F19" s="216" t="s">
        <v>174</v>
      </c>
      <c r="G19" s="231" t="s">
        <v>175</v>
      </c>
      <c r="H19" s="218" t="s">
        <v>223</v>
      </c>
      <c r="I19" s="220" t="s">
        <v>177</v>
      </c>
    </row>
    <row r="20" customFormat="false" ht="15" hidden="false" customHeight="false" outlineLevel="0" collapsed="false">
      <c r="A20" s="215" t="n">
        <v>15</v>
      </c>
      <c r="B20" s="216" t="n">
        <v>45967</v>
      </c>
      <c r="C20" s="235" t="s">
        <v>224</v>
      </c>
      <c r="D20" s="222" t="s">
        <v>225</v>
      </c>
      <c r="E20" s="219" t="s">
        <v>226</v>
      </c>
      <c r="F20" s="216" t="s">
        <v>227</v>
      </c>
      <c r="G20" s="231" t="s">
        <v>175</v>
      </c>
      <c r="H20" s="218" t="s">
        <v>228</v>
      </c>
      <c r="I20" s="220" t="s">
        <v>229</v>
      </c>
    </row>
    <row r="21" customFormat="false" ht="15" hidden="false" customHeight="false" outlineLevel="0" collapsed="false">
      <c r="A21" s="215" t="n">
        <v>16</v>
      </c>
      <c r="B21" s="216" t="n">
        <v>45967</v>
      </c>
      <c r="C21" s="235" t="s">
        <v>204</v>
      </c>
      <c r="D21" s="222" t="s">
        <v>230</v>
      </c>
      <c r="E21" s="219" t="s">
        <v>231</v>
      </c>
      <c r="F21" s="216" t="s">
        <v>227</v>
      </c>
      <c r="G21" s="231" t="s">
        <v>175</v>
      </c>
      <c r="H21" s="218" t="s">
        <v>228</v>
      </c>
      <c r="I21" s="220" t="s">
        <v>229</v>
      </c>
    </row>
    <row r="22" customFormat="false" ht="15" hidden="false" customHeight="false" outlineLevel="0" collapsed="false">
      <c r="A22" s="215" t="n">
        <v>17</v>
      </c>
      <c r="B22" s="221" t="n">
        <v>45967</v>
      </c>
      <c r="C22" s="222" t="s">
        <v>232</v>
      </c>
      <c r="D22" s="222" t="s">
        <v>215</v>
      </c>
      <c r="E22" s="219" t="s">
        <v>233</v>
      </c>
      <c r="F22" s="219" t="s">
        <v>174</v>
      </c>
      <c r="G22" s="231" t="s">
        <v>175</v>
      </c>
      <c r="H22" s="223" t="s">
        <v>192</v>
      </c>
      <c r="I22" s="236" t="s">
        <v>198</v>
      </c>
    </row>
    <row r="23" customFormat="false" ht="15" hidden="false" customHeight="false" outlineLevel="0" collapsed="false">
      <c r="A23" s="224" t="n">
        <v>18</v>
      </c>
      <c r="B23" s="221" t="n">
        <v>45967</v>
      </c>
      <c r="C23" s="222" t="s">
        <v>116</v>
      </c>
      <c r="D23" s="222" t="s">
        <v>205</v>
      </c>
      <c r="E23" s="219" t="s">
        <v>233</v>
      </c>
      <c r="F23" s="219" t="s">
        <v>174</v>
      </c>
      <c r="G23" s="231" t="s">
        <v>175</v>
      </c>
      <c r="H23" s="223" t="s">
        <v>192</v>
      </c>
      <c r="I23" s="236" t="s">
        <v>198</v>
      </c>
    </row>
    <row r="24" customFormat="false" ht="15" hidden="false" customHeight="false" outlineLevel="0" collapsed="false">
      <c r="A24" s="215" t="n">
        <v>19</v>
      </c>
      <c r="B24" s="221" t="n">
        <v>45967</v>
      </c>
      <c r="C24" s="222" t="s">
        <v>116</v>
      </c>
      <c r="D24" s="222" t="s">
        <v>215</v>
      </c>
      <c r="E24" s="219" t="s">
        <v>233</v>
      </c>
      <c r="F24" s="219" t="s">
        <v>174</v>
      </c>
      <c r="G24" s="218" t="s">
        <v>175</v>
      </c>
      <c r="H24" s="223" t="s">
        <v>192</v>
      </c>
      <c r="I24" s="236" t="s">
        <v>198</v>
      </c>
    </row>
    <row r="25" customFormat="false" ht="15" hidden="false" customHeight="false" outlineLevel="0" collapsed="false">
      <c r="A25" s="215" t="n">
        <v>20</v>
      </c>
      <c r="B25" s="237" t="n">
        <v>45967</v>
      </c>
      <c r="C25" s="222" t="s">
        <v>155</v>
      </c>
      <c r="D25" s="222" t="s">
        <v>199</v>
      </c>
      <c r="E25" s="219" t="s">
        <v>233</v>
      </c>
      <c r="F25" s="219" t="s">
        <v>174</v>
      </c>
      <c r="G25" s="218" t="s">
        <v>175</v>
      </c>
      <c r="H25" s="223" t="s">
        <v>234</v>
      </c>
      <c r="I25" s="236" t="s">
        <v>198</v>
      </c>
    </row>
    <row r="26" customFormat="false" ht="15" hidden="false" customHeight="false" outlineLevel="0" collapsed="false">
      <c r="A26" s="215" t="n">
        <v>21</v>
      </c>
      <c r="B26" s="216" t="n">
        <v>45967</v>
      </c>
      <c r="C26" s="222" t="s">
        <v>235</v>
      </c>
      <c r="D26" s="222" t="s">
        <v>189</v>
      </c>
      <c r="E26" s="219" t="s">
        <v>236</v>
      </c>
      <c r="F26" s="219" t="s">
        <v>191</v>
      </c>
      <c r="G26" s="218" t="s">
        <v>175</v>
      </c>
      <c r="H26" s="223" t="s">
        <v>228</v>
      </c>
      <c r="I26" s="236" t="s">
        <v>191</v>
      </c>
    </row>
    <row r="27" customFormat="false" ht="15" hidden="false" customHeight="false" outlineLevel="0" collapsed="false">
      <c r="A27" s="215" t="n">
        <v>22</v>
      </c>
      <c r="B27" s="221" t="n">
        <v>45967</v>
      </c>
      <c r="C27" s="222" t="s">
        <v>237</v>
      </c>
      <c r="D27" s="222" t="s">
        <v>238</v>
      </c>
      <c r="E27" s="219" t="s">
        <v>236</v>
      </c>
      <c r="F27" s="219" t="s">
        <v>191</v>
      </c>
      <c r="G27" s="218" t="s">
        <v>175</v>
      </c>
      <c r="H27" s="223" t="s">
        <v>228</v>
      </c>
      <c r="I27" s="232" t="s">
        <v>191</v>
      </c>
    </row>
    <row r="28" customFormat="false" ht="15" hidden="false" customHeight="false" outlineLevel="0" collapsed="false">
      <c r="A28" s="215" t="n">
        <v>23</v>
      </c>
      <c r="B28" s="216" t="n">
        <v>45968</v>
      </c>
      <c r="C28" s="219" t="s">
        <v>178</v>
      </c>
      <c r="D28" s="219" t="s">
        <v>179</v>
      </c>
      <c r="E28" s="219" t="s">
        <v>209</v>
      </c>
      <c r="F28" s="219" t="s">
        <v>174</v>
      </c>
      <c r="G28" s="218" t="s">
        <v>175</v>
      </c>
      <c r="H28" s="218" t="s">
        <v>239</v>
      </c>
      <c r="I28" s="232" t="s">
        <v>177</v>
      </c>
    </row>
    <row r="29" customFormat="false" ht="15" hidden="false" customHeight="false" outlineLevel="0" collapsed="false">
      <c r="A29" s="224" t="n">
        <v>24</v>
      </c>
      <c r="B29" s="216" t="n">
        <v>45968</v>
      </c>
      <c r="C29" s="222" t="s">
        <v>240</v>
      </c>
      <c r="D29" s="218" t="s">
        <v>241</v>
      </c>
      <c r="E29" s="219" t="s">
        <v>209</v>
      </c>
      <c r="F29" s="219" t="s">
        <v>174</v>
      </c>
      <c r="G29" s="218" t="s">
        <v>175</v>
      </c>
      <c r="H29" s="218" t="s">
        <v>242</v>
      </c>
      <c r="I29" s="232" t="s">
        <v>177</v>
      </c>
    </row>
    <row r="30" customFormat="false" ht="15" hidden="false" customHeight="false" outlineLevel="0" collapsed="false">
      <c r="A30" s="215" t="n">
        <v>25</v>
      </c>
      <c r="B30" s="216" t="n">
        <v>45968</v>
      </c>
      <c r="C30" s="222" t="s">
        <v>243</v>
      </c>
      <c r="D30" s="222" t="s">
        <v>244</v>
      </c>
      <c r="E30" s="219" t="s">
        <v>209</v>
      </c>
      <c r="F30" s="219" t="s">
        <v>174</v>
      </c>
      <c r="G30" s="218" t="s">
        <v>175</v>
      </c>
      <c r="H30" s="218" t="s">
        <v>242</v>
      </c>
      <c r="I30" s="232" t="s">
        <v>177</v>
      </c>
    </row>
    <row r="31" customFormat="false" ht="15" hidden="false" customHeight="false" outlineLevel="0" collapsed="false">
      <c r="A31" s="215" t="n">
        <v>26</v>
      </c>
      <c r="B31" s="216" t="n">
        <v>45968</v>
      </c>
      <c r="C31" s="222" t="s">
        <v>245</v>
      </c>
      <c r="D31" s="222" t="s">
        <v>225</v>
      </c>
      <c r="E31" s="219" t="s">
        <v>209</v>
      </c>
      <c r="F31" s="219" t="s">
        <v>174</v>
      </c>
      <c r="G31" s="218" t="s">
        <v>175</v>
      </c>
      <c r="H31" s="218" t="s">
        <v>242</v>
      </c>
      <c r="I31" s="232" t="s">
        <v>177</v>
      </c>
    </row>
    <row r="32" customFormat="false" ht="15" hidden="false" customHeight="false" outlineLevel="0" collapsed="false">
      <c r="A32" s="215" t="n">
        <v>27</v>
      </c>
      <c r="B32" s="216" t="n">
        <v>45968</v>
      </c>
      <c r="C32" s="235" t="s">
        <v>246</v>
      </c>
      <c r="D32" s="222" t="s">
        <v>247</v>
      </c>
      <c r="E32" s="219" t="s">
        <v>248</v>
      </c>
      <c r="F32" s="219" t="s">
        <v>174</v>
      </c>
      <c r="G32" s="218" t="s">
        <v>175</v>
      </c>
      <c r="H32" s="223" t="s">
        <v>249</v>
      </c>
      <c r="I32" s="232" t="s">
        <v>177</v>
      </c>
    </row>
    <row r="33" customFormat="false" ht="15" hidden="false" customHeight="false" outlineLevel="0" collapsed="false">
      <c r="A33" s="215" t="n">
        <v>28</v>
      </c>
      <c r="B33" s="216" t="n">
        <v>45968</v>
      </c>
      <c r="C33" s="222" t="s">
        <v>250</v>
      </c>
      <c r="D33" s="222" t="s">
        <v>251</v>
      </c>
      <c r="E33" s="219" t="s">
        <v>248</v>
      </c>
      <c r="F33" s="219" t="s">
        <v>174</v>
      </c>
      <c r="G33" s="218" t="s">
        <v>175</v>
      </c>
      <c r="H33" s="223" t="s">
        <v>252</v>
      </c>
      <c r="I33" s="232" t="s">
        <v>177</v>
      </c>
    </row>
    <row r="34" customFormat="false" ht="15" hidden="false" customHeight="false" outlineLevel="0" collapsed="false">
      <c r="A34" s="215" t="n">
        <v>29</v>
      </c>
      <c r="B34" s="221" t="n">
        <v>45968</v>
      </c>
      <c r="C34" s="222" t="s">
        <v>253</v>
      </c>
      <c r="D34" s="222" t="s">
        <v>254</v>
      </c>
      <c r="E34" s="219" t="s">
        <v>255</v>
      </c>
      <c r="F34" s="219" t="s">
        <v>174</v>
      </c>
      <c r="G34" s="218" t="s">
        <v>175</v>
      </c>
      <c r="H34" s="223" t="s">
        <v>228</v>
      </c>
      <c r="I34" s="232" t="s">
        <v>198</v>
      </c>
    </row>
    <row r="35" customFormat="false" ht="15" hidden="false" customHeight="false" outlineLevel="0" collapsed="false">
      <c r="A35" s="224" t="n">
        <v>30</v>
      </c>
      <c r="B35" s="216" t="n">
        <v>45968</v>
      </c>
      <c r="C35" s="222" t="s">
        <v>256</v>
      </c>
      <c r="D35" s="222" t="s">
        <v>257</v>
      </c>
      <c r="E35" s="219" t="s">
        <v>255</v>
      </c>
      <c r="F35" s="219" t="s">
        <v>174</v>
      </c>
      <c r="G35" s="218" t="s">
        <v>175</v>
      </c>
      <c r="H35" s="223" t="s">
        <v>228</v>
      </c>
      <c r="I35" s="232" t="s">
        <v>198</v>
      </c>
    </row>
    <row r="36" customFormat="false" ht="15" hidden="false" customHeight="false" outlineLevel="0" collapsed="false">
      <c r="A36" s="215" t="n">
        <v>31</v>
      </c>
      <c r="B36" s="217" t="n">
        <v>45968</v>
      </c>
      <c r="C36" s="222" t="s">
        <v>155</v>
      </c>
      <c r="D36" s="222" t="s">
        <v>258</v>
      </c>
      <c r="E36" s="219" t="s">
        <v>255</v>
      </c>
      <c r="F36" s="219" t="s">
        <v>174</v>
      </c>
      <c r="G36" s="218" t="s">
        <v>175</v>
      </c>
      <c r="H36" s="223" t="s">
        <v>228</v>
      </c>
      <c r="I36" s="232" t="s">
        <v>198</v>
      </c>
    </row>
    <row r="37" customFormat="false" ht="15" hidden="false" customHeight="false" outlineLevel="0" collapsed="false">
      <c r="A37" s="215" t="n">
        <v>32</v>
      </c>
      <c r="B37" s="221" t="n">
        <v>45968</v>
      </c>
      <c r="C37" s="222" t="s">
        <v>259</v>
      </c>
      <c r="D37" s="222" t="s">
        <v>260</v>
      </c>
      <c r="E37" s="219" t="s">
        <v>255</v>
      </c>
      <c r="F37" s="219" t="s">
        <v>174</v>
      </c>
      <c r="G37" s="218" t="s">
        <v>175</v>
      </c>
      <c r="H37" s="223" t="s">
        <v>228</v>
      </c>
      <c r="I37" s="232" t="s">
        <v>198</v>
      </c>
    </row>
    <row r="38" customFormat="false" ht="15" hidden="false" customHeight="false" outlineLevel="0" collapsed="false">
      <c r="A38" s="215" t="n">
        <v>33</v>
      </c>
      <c r="B38" s="238"/>
      <c r="C38" s="222"/>
      <c r="D38" s="222"/>
      <c r="E38" s="218"/>
      <c r="F38" s="218"/>
      <c r="G38" s="218"/>
      <c r="H38" s="223"/>
      <c r="I38" s="236"/>
    </row>
    <row r="39" customFormat="false" ht="15" hidden="false" customHeight="false" outlineLevel="0" collapsed="false">
      <c r="A39" s="215" t="n">
        <v>34</v>
      </c>
      <c r="B39" s="221"/>
      <c r="C39" s="222"/>
      <c r="D39" s="222"/>
      <c r="E39" s="219"/>
      <c r="F39" s="219"/>
      <c r="G39" s="218"/>
      <c r="H39" s="223"/>
      <c r="I39" s="236"/>
    </row>
    <row r="40" customFormat="false" ht="15" hidden="false" customHeight="false" outlineLevel="0" collapsed="false">
      <c r="A40" s="215" t="n">
        <v>35</v>
      </c>
      <c r="B40" s="217"/>
      <c r="C40" s="226"/>
      <c r="D40" s="226"/>
      <c r="F40" s="227"/>
      <c r="G40" s="230"/>
      <c r="H40" s="239"/>
      <c r="I40" s="236"/>
    </row>
    <row r="41" customFormat="false" ht="15" hidden="false" customHeight="false" outlineLevel="0" collapsed="false">
      <c r="A41" s="224" t="n">
        <v>36</v>
      </c>
      <c r="B41" s="216"/>
      <c r="C41" s="222"/>
      <c r="D41" s="222"/>
      <c r="E41" s="222"/>
      <c r="F41" s="219"/>
      <c r="G41" s="231"/>
      <c r="H41" s="223"/>
      <c r="I41" s="236"/>
    </row>
    <row r="42" customFormat="false" ht="15" hidden="false" customHeight="false" outlineLevel="0" collapsed="false">
      <c r="A42" s="215" t="n">
        <v>37</v>
      </c>
      <c r="B42" s="216"/>
      <c r="C42" s="222"/>
      <c r="D42" s="222"/>
      <c r="E42" s="219"/>
      <c r="F42" s="219"/>
      <c r="G42" s="231"/>
      <c r="H42" s="223"/>
      <c r="I42" s="236"/>
    </row>
    <row r="43" customFormat="false" ht="15" hidden="false" customHeight="false" outlineLevel="0" collapsed="false">
      <c r="A43" s="215" t="n">
        <v>38</v>
      </c>
      <c r="B43" s="216"/>
      <c r="C43" s="222"/>
      <c r="D43" s="222"/>
      <c r="E43" s="219"/>
      <c r="F43" s="219"/>
      <c r="G43" s="231"/>
      <c r="H43" s="223"/>
      <c r="I43" s="236"/>
    </row>
    <row r="44" customFormat="false" ht="15" hidden="false" customHeight="false" outlineLevel="0" collapsed="false">
      <c r="A44" s="215" t="n">
        <v>39</v>
      </c>
      <c r="B44" s="216"/>
      <c r="C44" s="226"/>
      <c r="D44" s="226"/>
      <c r="F44" s="227"/>
      <c r="G44" s="230"/>
      <c r="H44" s="239"/>
      <c r="I44" s="236"/>
    </row>
    <row r="45" customFormat="false" ht="15" hidden="false" customHeight="false" outlineLevel="0" collapsed="false">
      <c r="A45" s="215" t="n">
        <v>40</v>
      </c>
      <c r="B45" s="216"/>
      <c r="C45" s="222"/>
      <c r="D45" s="222"/>
      <c r="E45" s="219"/>
      <c r="F45" s="219"/>
      <c r="G45" s="231"/>
      <c r="H45" s="223"/>
      <c r="I45" s="236"/>
    </row>
    <row r="46" customFormat="false" ht="15" hidden="false" customHeight="false" outlineLevel="0" collapsed="false">
      <c r="A46" s="215" t="n">
        <v>41</v>
      </c>
      <c r="B46" s="216"/>
      <c r="C46" s="222"/>
      <c r="D46" s="222"/>
      <c r="E46" s="222"/>
      <c r="F46" s="219"/>
      <c r="G46" s="231"/>
      <c r="H46" s="223"/>
      <c r="I46" s="236"/>
    </row>
    <row r="47" customFormat="false" ht="15" hidden="false" customHeight="false" outlineLevel="0" collapsed="false">
      <c r="A47" s="224" t="n">
        <v>42</v>
      </c>
      <c r="B47" s="216"/>
      <c r="C47" s="222"/>
      <c r="D47" s="222"/>
      <c r="E47" s="219"/>
      <c r="F47" s="219"/>
      <c r="G47" s="231"/>
      <c r="H47" s="223"/>
      <c r="I47" s="236"/>
    </row>
    <row r="48" customFormat="false" ht="15" hidden="false" customHeight="false" outlineLevel="0" collapsed="false">
      <c r="A48" s="215" t="n">
        <v>43</v>
      </c>
      <c r="B48" s="237"/>
      <c r="C48" s="222"/>
      <c r="D48" s="222"/>
      <c r="E48" s="219"/>
      <c r="F48" s="219"/>
      <c r="G48" s="231"/>
      <c r="H48" s="223"/>
      <c r="I48" s="236"/>
    </row>
    <row r="49" customFormat="false" ht="15" hidden="false" customHeight="false" outlineLevel="0" collapsed="false">
      <c r="A49" s="215" t="n">
        <v>44</v>
      </c>
      <c r="B49" s="221"/>
      <c r="C49" s="222"/>
      <c r="D49" s="222"/>
      <c r="E49" s="219"/>
      <c r="F49" s="240"/>
      <c r="G49" s="218"/>
      <c r="H49" s="223"/>
      <c r="I49" s="236"/>
    </row>
    <row r="50" customFormat="false" ht="15" hidden="false" customHeight="false" outlineLevel="0" collapsed="false">
      <c r="A50" s="215" t="n">
        <v>45</v>
      </c>
      <c r="B50" s="216"/>
      <c r="C50" s="222"/>
      <c r="D50" s="222"/>
      <c r="E50" s="219"/>
      <c r="F50" s="219"/>
      <c r="G50" s="218"/>
      <c r="H50" s="223"/>
      <c r="I50" s="236"/>
    </row>
    <row r="51" customFormat="false" ht="15" hidden="false" customHeight="false" outlineLevel="0" collapsed="false">
      <c r="A51" s="215" t="n">
        <v>46</v>
      </c>
      <c r="B51" s="221"/>
      <c r="C51" s="222"/>
      <c r="D51" s="222"/>
      <c r="E51" s="219"/>
      <c r="F51" s="222"/>
      <c r="G51" s="241"/>
      <c r="H51" s="223"/>
      <c r="I51" s="242"/>
    </row>
    <row r="52" customFormat="false" ht="15" hidden="false" customHeight="false" outlineLevel="0" collapsed="false">
      <c r="A52" s="215" t="n">
        <v>47</v>
      </c>
      <c r="B52" s="216"/>
      <c r="C52" s="222"/>
      <c r="D52" s="222"/>
      <c r="E52" s="222"/>
      <c r="F52" s="219"/>
      <c r="G52" s="218"/>
      <c r="H52" s="223"/>
      <c r="I52" s="242"/>
    </row>
    <row r="53" customFormat="false" ht="15" hidden="false" customHeight="false" outlineLevel="0" collapsed="false">
      <c r="A53" s="224" t="n">
        <v>48</v>
      </c>
      <c r="B53" s="221"/>
      <c r="C53" s="222"/>
      <c r="D53" s="222"/>
      <c r="E53" s="219"/>
      <c r="F53" s="219"/>
      <c r="G53" s="231"/>
      <c r="H53" s="223"/>
      <c r="I53" s="236"/>
    </row>
    <row r="54" customFormat="false" ht="15" hidden="false" customHeight="false" outlineLevel="0" collapsed="false">
      <c r="A54" s="215" t="n">
        <v>49</v>
      </c>
      <c r="B54" s="216"/>
      <c r="C54" s="222"/>
      <c r="D54" s="222"/>
      <c r="E54" s="219"/>
      <c r="F54" s="219"/>
      <c r="G54" s="231"/>
      <c r="H54" s="223"/>
      <c r="I54" s="236"/>
    </row>
    <row r="55" customFormat="false" ht="15" hidden="false" customHeight="false" outlineLevel="0" collapsed="false">
      <c r="A55" s="215" t="n">
        <v>50</v>
      </c>
      <c r="B55" s="221"/>
      <c r="C55" s="222"/>
      <c r="D55" s="222"/>
      <c r="E55" s="219"/>
      <c r="F55" s="219"/>
      <c r="G55" s="231"/>
      <c r="H55" s="223"/>
      <c r="I55" s="236"/>
    </row>
    <row r="56" customFormat="false" ht="15" hidden="false" customHeight="false" outlineLevel="0" collapsed="false">
      <c r="A56" s="215" t="n">
        <v>51</v>
      </c>
      <c r="B56" s="216"/>
      <c r="C56" s="222"/>
      <c r="D56" s="222"/>
      <c r="E56" s="219"/>
      <c r="F56" s="219"/>
      <c r="G56" s="231"/>
      <c r="H56" s="223"/>
      <c r="I56" s="236"/>
    </row>
    <row r="57" customFormat="false" ht="15" hidden="false" customHeight="false" outlineLevel="0" collapsed="false">
      <c r="A57" s="215" t="n">
        <v>52</v>
      </c>
      <c r="B57" s="221"/>
      <c r="C57" s="222"/>
      <c r="D57" s="222"/>
      <c r="E57" s="219"/>
      <c r="F57" s="219"/>
      <c r="G57" s="231"/>
      <c r="H57" s="223"/>
      <c r="I57" s="236"/>
    </row>
    <row r="58" customFormat="false" ht="15" hidden="false" customHeight="false" outlineLevel="0" collapsed="false">
      <c r="A58" s="215" t="n">
        <v>53</v>
      </c>
      <c r="B58" s="216"/>
      <c r="C58" s="222"/>
      <c r="D58" s="222"/>
      <c r="E58" s="219"/>
      <c r="F58" s="219"/>
      <c r="G58" s="231"/>
      <c r="H58" s="223"/>
      <c r="I58" s="236"/>
    </row>
    <row r="59" customFormat="false" ht="15" hidden="false" customHeight="false" outlineLevel="0" collapsed="false">
      <c r="A59" s="224" t="n">
        <v>54</v>
      </c>
      <c r="B59" s="221"/>
      <c r="C59" s="222"/>
      <c r="D59" s="222"/>
      <c r="E59" s="219"/>
      <c r="F59" s="219"/>
      <c r="G59" s="231"/>
      <c r="H59" s="223"/>
      <c r="I59" s="236"/>
    </row>
    <row r="60" customFormat="false" ht="15" hidden="false" customHeight="false" outlineLevel="0" collapsed="false">
      <c r="A60" s="215" t="n">
        <v>55</v>
      </c>
      <c r="B60" s="216"/>
      <c r="C60" s="222"/>
      <c r="D60" s="222"/>
      <c r="E60" s="219"/>
      <c r="F60" s="219"/>
      <c r="G60" s="231"/>
      <c r="H60" s="223"/>
      <c r="I60" s="236"/>
    </row>
    <row r="61" customFormat="false" ht="15" hidden="false" customHeight="false" outlineLevel="0" collapsed="false">
      <c r="A61" s="215" t="n">
        <v>56</v>
      </c>
      <c r="B61" s="221"/>
      <c r="C61" s="222"/>
      <c r="D61" s="222"/>
      <c r="E61" s="219"/>
      <c r="F61" s="219"/>
      <c r="G61" s="231"/>
      <c r="H61" s="223"/>
      <c r="I61" s="236"/>
    </row>
    <row r="62" customFormat="false" ht="15" hidden="false" customHeight="false" outlineLevel="0" collapsed="false">
      <c r="A62" s="215" t="n">
        <v>57</v>
      </c>
      <c r="B62" s="216"/>
      <c r="C62" s="222"/>
      <c r="D62" s="222"/>
      <c r="E62" s="219"/>
      <c r="F62" s="219"/>
      <c r="G62" s="231"/>
      <c r="H62" s="223"/>
      <c r="I62" s="236"/>
    </row>
    <row r="63" customFormat="false" ht="15" hidden="false" customHeight="false" outlineLevel="0" collapsed="false">
      <c r="A63" s="215" t="n">
        <v>58</v>
      </c>
      <c r="B63" s="221"/>
      <c r="C63" s="222"/>
      <c r="D63" s="222"/>
      <c r="E63" s="219"/>
      <c r="F63" s="219"/>
      <c r="G63" s="231"/>
      <c r="H63" s="223"/>
      <c r="I63" s="236"/>
    </row>
    <row r="64" customFormat="false" ht="15" hidden="false" customHeight="false" outlineLevel="0" collapsed="false">
      <c r="A64" s="215" t="n">
        <v>59</v>
      </c>
      <c r="B64" s="216"/>
      <c r="C64" s="222"/>
      <c r="D64" s="222"/>
      <c r="E64" s="219"/>
      <c r="F64" s="219"/>
      <c r="G64" s="231"/>
      <c r="H64" s="223"/>
      <c r="I64" s="236"/>
    </row>
    <row r="65" customFormat="false" ht="15" hidden="false" customHeight="false" outlineLevel="0" collapsed="false">
      <c r="A65" s="224" t="n">
        <v>60</v>
      </c>
      <c r="B65" s="221"/>
      <c r="C65" s="222"/>
      <c r="D65" s="222"/>
      <c r="E65" s="219"/>
      <c r="F65" s="219"/>
      <c r="G65" s="231"/>
      <c r="H65" s="223"/>
      <c r="I65" s="236"/>
    </row>
    <row r="66" customFormat="false" ht="15" hidden="false" customHeight="false" outlineLevel="0" collapsed="false">
      <c r="A66" s="215" t="n">
        <v>61</v>
      </c>
      <c r="B66" s="216"/>
      <c r="C66" s="222"/>
      <c r="D66" s="222"/>
      <c r="E66" s="219"/>
      <c r="F66" s="219"/>
      <c r="G66" s="231"/>
      <c r="H66" s="223"/>
      <c r="I66" s="236"/>
    </row>
    <row r="67" customFormat="false" ht="15" hidden="false" customHeight="false" outlineLevel="0" collapsed="false">
      <c r="A67" s="215" t="n">
        <v>62</v>
      </c>
      <c r="B67" s="221"/>
      <c r="C67" s="222"/>
      <c r="D67" s="222"/>
      <c r="E67" s="219"/>
      <c r="F67" s="219"/>
      <c r="G67" s="231"/>
      <c r="H67" s="223"/>
      <c r="I67" s="236"/>
    </row>
    <row r="68" customFormat="false" ht="15" hidden="false" customHeight="false" outlineLevel="0" collapsed="false">
      <c r="A68" s="215" t="n">
        <v>63</v>
      </c>
      <c r="B68" s="216"/>
      <c r="C68" s="222"/>
      <c r="D68" s="222"/>
      <c r="E68" s="219"/>
      <c r="F68" s="219"/>
      <c r="G68" s="231"/>
      <c r="H68" s="223"/>
      <c r="I68" s="236"/>
    </row>
    <row r="69" customFormat="false" ht="15" hidden="false" customHeight="false" outlineLevel="0" collapsed="false">
      <c r="A69" s="215" t="n">
        <v>64</v>
      </c>
      <c r="B69" s="221"/>
      <c r="C69" s="222"/>
      <c r="D69" s="222"/>
      <c r="E69" s="219"/>
      <c r="F69" s="219"/>
      <c r="G69" s="231"/>
      <c r="H69" s="223"/>
      <c r="I69" s="236"/>
    </row>
    <row r="70" customFormat="false" ht="28.5" hidden="false" customHeight="true" outlineLevel="0" collapsed="false">
      <c r="B70" s="216"/>
      <c r="C70" s="243"/>
      <c r="D70" s="243"/>
      <c r="E70" s="244"/>
      <c r="F70" s="244"/>
      <c r="G70" s="225"/>
      <c r="H70" s="245"/>
      <c r="I70" s="246"/>
    </row>
    <row r="71" customFormat="false" ht="24" hidden="false" customHeight="true" outlineLevel="0" collapsed="false"/>
    <row r="103" customFormat="false" ht="15" hidden="false" customHeight="false" outlineLevel="0" collapsed="false">
      <c r="C103" s="247"/>
      <c r="D103" s="247"/>
      <c r="E103" s="248"/>
      <c r="F103" s="248"/>
      <c r="G103" s="248"/>
      <c r="H103" s="247"/>
      <c r="I103" s="249"/>
    </row>
    <row r="104" customFormat="false" ht="15" hidden="false" customHeight="false" outlineLevel="0" collapsed="false">
      <c r="B104" s="250"/>
      <c r="C104" s="251" t="s">
        <v>261</v>
      </c>
      <c r="D104" s="251" t="s">
        <v>262</v>
      </c>
      <c r="E104" s="251" t="s">
        <v>263</v>
      </c>
      <c r="F104" s="251" t="s">
        <v>174</v>
      </c>
      <c r="G104" s="251" t="s">
        <v>175</v>
      </c>
      <c r="H104" s="251" t="s">
        <v>264</v>
      </c>
      <c r="I104" s="252" t="s">
        <v>177</v>
      </c>
    </row>
    <row r="105" customFormat="false" ht="15" hidden="false" customHeight="false" outlineLevel="0" collapsed="false">
      <c r="B105" s="250"/>
      <c r="C105" s="251" t="s">
        <v>87</v>
      </c>
      <c r="D105" s="251" t="s">
        <v>101</v>
      </c>
      <c r="E105" s="251" t="s">
        <v>265</v>
      </c>
      <c r="F105" s="251" t="s">
        <v>196</v>
      </c>
      <c r="G105" s="253" t="s">
        <v>175</v>
      </c>
      <c r="H105" s="251" t="s">
        <v>266</v>
      </c>
      <c r="I105" s="252" t="s">
        <v>198</v>
      </c>
    </row>
    <row r="106" customFormat="false" ht="15" hidden="false" customHeight="false" outlineLevel="0" collapsed="false">
      <c r="B106" s="250"/>
      <c r="C106" s="254" t="s">
        <v>267</v>
      </c>
      <c r="D106" s="254" t="s">
        <v>268</v>
      </c>
      <c r="E106" s="251" t="s">
        <v>265</v>
      </c>
      <c r="F106" s="251" t="s">
        <v>196</v>
      </c>
      <c r="G106" s="253" t="s">
        <v>175</v>
      </c>
      <c r="H106" s="251" t="s">
        <v>269</v>
      </c>
      <c r="I106" s="252" t="s">
        <v>198</v>
      </c>
    </row>
    <row r="107" customFormat="false" ht="15" hidden="false" customHeight="false" outlineLevel="0" collapsed="false">
      <c r="B107" s="250"/>
      <c r="C107" s="251" t="s">
        <v>256</v>
      </c>
      <c r="D107" s="251" t="s">
        <v>215</v>
      </c>
      <c r="E107" s="251" t="s">
        <v>270</v>
      </c>
      <c r="F107" s="251" t="s">
        <v>271</v>
      </c>
      <c r="G107" s="251" t="s">
        <v>175</v>
      </c>
      <c r="H107" s="251" t="s">
        <v>272</v>
      </c>
      <c r="I107" s="252" t="s">
        <v>198</v>
      </c>
    </row>
    <row r="108" customFormat="false" ht="15" hidden="false" customHeight="false" outlineLevel="0" collapsed="false">
      <c r="B108" s="250"/>
      <c r="C108" s="254" t="s">
        <v>155</v>
      </c>
      <c r="D108" s="254" t="s">
        <v>194</v>
      </c>
      <c r="E108" s="251" t="s">
        <v>270</v>
      </c>
      <c r="F108" s="251" t="s">
        <v>210</v>
      </c>
      <c r="G108" s="251" t="s">
        <v>175</v>
      </c>
      <c r="H108" s="251" t="s">
        <v>273</v>
      </c>
      <c r="I108" s="252" t="s">
        <v>198</v>
      </c>
    </row>
    <row r="109" customFormat="false" ht="15" hidden="false" customHeight="false" outlineLevel="0" collapsed="false">
      <c r="B109" s="250"/>
      <c r="C109" s="251" t="s">
        <v>274</v>
      </c>
      <c r="D109" s="255" t="s">
        <v>275</v>
      </c>
      <c r="E109" s="251" t="s">
        <v>276</v>
      </c>
      <c r="F109" s="251" t="s">
        <v>196</v>
      </c>
      <c r="G109" s="251" t="s">
        <v>175</v>
      </c>
      <c r="H109" s="251" t="s">
        <v>277</v>
      </c>
      <c r="I109" s="252" t="s">
        <v>198</v>
      </c>
    </row>
    <row r="110" customFormat="false" ht="15" hidden="false" customHeight="false" outlineLevel="0" collapsed="false">
      <c r="B110" s="250"/>
      <c r="C110" s="254" t="s">
        <v>278</v>
      </c>
      <c r="D110" s="254" t="s">
        <v>123</v>
      </c>
      <c r="E110" s="251" t="s">
        <v>279</v>
      </c>
      <c r="F110" s="251" t="s">
        <v>280</v>
      </c>
      <c r="G110" s="251" t="s">
        <v>175</v>
      </c>
      <c r="H110" s="253" t="s">
        <v>281</v>
      </c>
      <c r="I110" s="252" t="s">
        <v>177</v>
      </c>
    </row>
    <row r="111" customFormat="false" ht="29.85" hidden="false" customHeight="false" outlineLevel="0" collapsed="false">
      <c r="B111" s="250"/>
      <c r="C111" s="254" t="s">
        <v>278</v>
      </c>
      <c r="D111" s="254" t="s">
        <v>123</v>
      </c>
      <c r="E111" s="251" t="s">
        <v>282</v>
      </c>
      <c r="F111" s="251" t="s">
        <v>280</v>
      </c>
      <c r="G111" s="251" t="s">
        <v>175</v>
      </c>
      <c r="H111" s="253" t="s">
        <v>283</v>
      </c>
      <c r="I111" s="252" t="s">
        <v>177</v>
      </c>
    </row>
    <row r="112" customFormat="false" ht="15" hidden="false" customHeight="false" outlineLevel="0" collapsed="false">
      <c r="B112" s="250"/>
      <c r="C112" s="251" t="s">
        <v>284</v>
      </c>
      <c r="D112" s="251" t="s">
        <v>285</v>
      </c>
      <c r="E112" s="251" t="s">
        <v>84</v>
      </c>
      <c r="F112" s="251" t="s">
        <v>286</v>
      </c>
      <c r="G112" s="251" t="s">
        <v>175</v>
      </c>
      <c r="H112" s="251" t="s">
        <v>287</v>
      </c>
      <c r="I112" s="252" t="s">
        <v>198</v>
      </c>
    </row>
    <row r="113" customFormat="false" ht="15" hidden="false" customHeight="false" outlineLevel="0" collapsed="false">
      <c r="B113" s="250"/>
      <c r="C113" s="251" t="s">
        <v>288</v>
      </c>
      <c r="D113" s="251" t="s">
        <v>285</v>
      </c>
      <c r="E113" s="251" t="s">
        <v>270</v>
      </c>
      <c r="F113" s="251" t="s">
        <v>210</v>
      </c>
      <c r="G113" s="251" t="s">
        <v>175</v>
      </c>
      <c r="H113" s="251" t="s">
        <v>273</v>
      </c>
      <c r="I113" s="252" t="s">
        <v>198</v>
      </c>
    </row>
    <row r="114" customFormat="false" ht="15" hidden="false" customHeight="false" outlineLevel="0" collapsed="false">
      <c r="B114" s="250"/>
      <c r="C114" s="256" t="s">
        <v>289</v>
      </c>
      <c r="D114" s="256" t="s">
        <v>290</v>
      </c>
      <c r="E114" s="251" t="s">
        <v>291</v>
      </c>
      <c r="F114" s="251" t="s">
        <v>196</v>
      </c>
      <c r="G114" s="251" t="s">
        <v>175</v>
      </c>
      <c r="H114" s="251" t="s">
        <v>292</v>
      </c>
      <c r="I114" s="252" t="s">
        <v>198</v>
      </c>
    </row>
    <row r="115" customFormat="false" ht="29.85" hidden="false" customHeight="false" outlineLevel="0" collapsed="false">
      <c r="B115" s="250"/>
      <c r="C115" s="256" t="s">
        <v>261</v>
      </c>
      <c r="D115" s="251" t="s">
        <v>262</v>
      </c>
      <c r="E115" s="251" t="s">
        <v>293</v>
      </c>
      <c r="F115" s="251" t="s">
        <v>174</v>
      </c>
      <c r="G115" s="251" t="s">
        <v>175</v>
      </c>
      <c r="H115" s="253" t="s">
        <v>294</v>
      </c>
      <c r="I115" s="252" t="s">
        <v>177</v>
      </c>
    </row>
    <row r="116" customFormat="false" ht="15" hidden="false" customHeight="false" outlineLevel="0" collapsed="false">
      <c r="B116" s="250"/>
      <c r="C116" s="251" t="s">
        <v>278</v>
      </c>
      <c r="D116" s="251" t="s">
        <v>295</v>
      </c>
      <c r="E116" s="251" t="s">
        <v>84</v>
      </c>
      <c r="F116" s="251" t="s">
        <v>280</v>
      </c>
      <c r="G116" s="253" t="s">
        <v>175</v>
      </c>
      <c r="H116" s="251" t="s">
        <v>296</v>
      </c>
      <c r="I116" s="252" t="s">
        <v>177</v>
      </c>
    </row>
    <row r="117" customFormat="false" ht="15" hidden="false" customHeight="false" outlineLevel="0" collapsed="false">
      <c r="B117" s="250"/>
      <c r="C117" s="251" t="s">
        <v>297</v>
      </c>
      <c r="D117" s="251" t="s">
        <v>298</v>
      </c>
      <c r="E117" s="251" t="s">
        <v>270</v>
      </c>
      <c r="F117" s="251" t="s">
        <v>210</v>
      </c>
      <c r="G117" s="251" t="s">
        <v>175</v>
      </c>
      <c r="H117" s="251" t="s">
        <v>299</v>
      </c>
      <c r="I117" s="252" t="s">
        <v>198</v>
      </c>
    </row>
    <row r="118" customFormat="false" ht="15" hidden="false" customHeight="false" outlineLevel="0" collapsed="false">
      <c r="B118" s="250"/>
      <c r="C118" s="254" t="s">
        <v>300</v>
      </c>
      <c r="D118" s="254" t="s">
        <v>285</v>
      </c>
      <c r="E118" s="251" t="s">
        <v>301</v>
      </c>
      <c r="F118" s="251" t="s">
        <v>196</v>
      </c>
      <c r="G118" s="251" t="s">
        <v>175</v>
      </c>
      <c r="H118" s="251" t="s">
        <v>302</v>
      </c>
      <c r="I118" s="252" t="s">
        <v>198</v>
      </c>
    </row>
    <row r="119" customFormat="false" ht="15" hidden="false" customHeight="false" outlineLevel="0" collapsed="false">
      <c r="B119" s="250"/>
      <c r="C119" s="254" t="s">
        <v>288</v>
      </c>
      <c r="D119" s="254" t="s">
        <v>285</v>
      </c>
      <c r="E119" s="251" t="s">
        <v>270</v>
      </c>
      <c r="F119" s="251" t="s">
        <v>303</v>
      </c>
      <c r="G119" s="251" t="s">
        <v>175</v>
      </c>
      <c r="H119" s="253" t="s">
        <v>273</v>
      </c>
      <c r="I119" s="252" t="s">
        <v>304</v>
      </c>
    </row>
    <row r="120" customFormat="false" ht="15" hidden="false" customHeight="false" outlineLevel="0" collapsed="false">
      <c r="B120" s="250"/>
      <c r="C120" s="251" t="s">
        <v>305</v>
      </c>
      <c r="D120" s="251" t="s">
        <v>215</v>
      </c>
      <c r="E120" s="251" t="s">
        <v>276</v>
      </c>
      <c r="F120" s="251" t="s">
        <v>196</v>
      </c>
      <c r="G120" s="251" t="s">
        <v>175</v>
      </c>
      <c r="H120" s="251" t="s">
        <v>306</v>
      </c>
      <c r="I120" s="252" t="s">
        <v>198</v>
      </c>
    </row>
    <row r="121" customFormat="false" ht="15" hidden="false" customHeight="false" outlineLevel="0" collapsed="false">
      <c r="B121" s="250"/>
      <c r="C121" s="251" t="s">
        <v>87</v>
      </c>
      <c r="D121" s="251" t="s">
        <v>307</v>
      </c>
      <c r="E121" s="251" t="s">
        <v>308</v>
      </c>
      <c r="F121" s="251" t="s">
        <v>174</v>
      </c>
      <c r="G121" s="251" t="s">
        <v>175</v>
      </c>
      <c r="H121" s="251" t="s">
        <v>309</v>
      </c>
      <c r="I121" s="252" t="s">
        <v>177</v>
      </c>
    </row>
    <row r="122" customFormat="false" ht="15" hidden="false" customHeight="false" outlineLevel="0" collapsed="false">
      <c r="B122" s="250"/>
      <c r="C122" s="251" t="s">
        <v>261</v>
      </c>
      <c r="D122" s="251" t="s">
        <v>310</v>
      </c>
      <c r="E122" s="251" t="s">
        <v>311</v>
      </c>
      <c r="F122" s="251" t="s">
        <v>174</v>
      </c>
      <c r="G122" s="251" t="s">
        <v>175</v>
      </c>
      <c r="H122" s="251" t="s">
        <v>312</v>
      </c>
      <c r="I122" s="252" t="s">
        <v>177</v>
      </c>
    </row>
    <row r="123" customFormat="false" ht="15" hidden="false" customHeight="false" outlineLevel="0" collapsed="false">
      <c r="B123" s="250"/>
      <c r="C123" s="251" t="s">
        <v>313</v>
      </c>
      <c r="D123" s="251" t="s">
        <v>123</v>
      </c>
      <c r="E123" s="251" t="s">
        <v>311</v>
      </c>
      <c r="F123" s="251" t="s">
        <v>174</v>
      </c>
      <c r="G123" s="251" t="s">
        <v>175</v>
      </c>
      <c r="H123" s="251" t="s">
        <v>312</v>
      </c>
      <c r="I123" s="252" t="s">
        <v>177</v>
      </c>
    </row>
    <row r="124" customFormat="false" ht="15" hidden="false" customHeight="false" outlineLevel="0" collapsed="false">
      <c r="B124" s="250"/>
      <c r="C124" s="251" t="s">
        <v>181</v>
      </c>
      <c r="D124" s="255" t="s">
        <v>123</v>
      </c>
      <c r="E124" s="251" t="s">
        <v>314</v>
      </c>
      <c r="F124" s="251" t="s">
        <v>280</v>
      </c>
      <c r="G124" s="251" t="s">
        <v>175</v>
      </c>
      <c r="H124" s="251" t="s">
        <v>315</v>
      </c>
      <c r="I124" s="252" t="s">
        <v>177</v>
      </c>
    </row>
    <row r="125" customFormat="false" ht="15" hidden="false" customHeight="false" outlineLevel="0" collapsed="false">
      <c r="B125" s="250"/>
      <c r="C125" s="251" t="s">
        <v>261</v>
      </c>
      <c r="D125" s="251" t="s">
        <v>241</v>
      </c>
      <c r="E125" s="251" t="s">
        <v>316</v>
      </c>
      <c r="F125" s="251" t="s">
        <v>317</v>
      </c>
      <c r="G125" s="251" t="s">
        <v>175</v>
      </c>
      <c r="H125" s="251" t="s">
        <v>318</v>
      </c>
      <c r="I125" s="252" t="s">
        <v>177</v>
      </c>
    </row>
    <row r="126" customFormat="false" ht="15" hidden="false" customHeight="false" outlineLevel="0" collapsed="false">
      <c r="B126" s="250"/>
      <c r="C126" s="251" t="s">
        <v>313</v>
      </c>
      <c r="D126" s="251" t="s">
        <v>123</v>
      </c>
      <c r="E126" s="251" t="s">
        <v>319</v>
      </c>
      <c r="F126" s="251" t="s">
        <v>320</v>
      </c>
      <c r="G126" s="251" t="s">
        <v>175</v>
      </c>
      <c r="H126" s="251" t="s">
        <v>321</v>
      </c>
      <c r="I126" s="252" t="s">
        <v>177</v>
      </c>
    </row>
    <row r="127" customFormat="false" ht="15" hidden="false" customHeight="false" outlineLevel="0" collapsed="false">
      <c r="B127" s="250"/>
      <c r="C127" s="251" t="s">
        <v>87</v>
      </c>
      <c r="D127" s="251" t="s">
        <v>307</v>
      </c>
      <c r="E127" s="251" t="s">
        <v>322</v>
      </c>
      <c r="F127" s="251" t="s">
        <v>174</v>
      </c>
      <c r="G127" s="253" t="s">
        <v>175</v>
      </c>
      <c r="H127" s="251" t="s">
        <v>323</v>
      </c>
      <c r="I127" s="252" t="s">
        <v>177</v>
      </c>
    </row>
    <row r="128" customFormat="false" ht="15" hidden="false" customHeight="false" outlineLevel="0" collapsed="false">
      <c r="B128" s="250"/>
      <c r="C128" s="251" t="s">
        <v>122</v>
      </c>
      <c r="D128" s="251" t="s">
        <v>324</v>
      </c>
      <c r="E128" s="251" t="s">
        <v>325</v>
      </c>
      <c r="F128" s="251" t="s">
        <v>174</v>
      </c>
      <c r="G128" s="251" t="s">
        <v>175</v>
      </c>
      <c r="H128" s="251" t="s">
        <v>326</v>
      </c>
      <c r="I128" s="252" t="s">
        <v>177</v>
      </c>
    </row>
    <row r="129" customFormat="false" ht="15" hidden="false" customHeight="false" outlineLevel="0" collapsed="false">
      <c r="B129" s="250"/>
      <c r="C129" s="251" t="s">
        <v>327</v>
      </c>
      <c r="D129" s="251" t="s">
        <v>60</v>
      </c>
      <c r="E129" s="251" t="s">
        <v>328</v>
      </c>
      <c r="F129" s="251" t="s">
        <v>174</v>
      </c>
      <c r="G129" s="253" t="s">
        <v>175</v>
      </c>
      <c r="H129" s="251" t="s">
        <v>329</v>
      </c>
      <c r="I129" s="252" t="s">
        <v>177</v>
      </c>
    </row>
    <row r="130" customFormat="false" ht="15" hidden="false" customHeight="false" outlineLevel="0" collapsed="false">
      <c r="B130" s="250"/>
      <c r="C130" s="254" t="s">
        <v>330</v>
      </c>
      <c r="D130" s="254" t="s">
        <v>60</v>
      </c>
      <c r="E130" s="251" t="s">
        <v>328</v>
      </c>
      <c r="F130" s="251" t="s">
        <v>174</v>
      </c>
      <c r="G130" s="253" t="s">
        <v>175</v>
      </c>
      <c r="H130" s="251" t="s">
        <v>331</v>
      </c>
      <c r="I130" s="252" t="s">
        <v>177</v>
      </c>
    </row>
    <row r="131" customFormat="false" ht="15" hidden="false" customHeight="false" outlineLevel="0" collapsed="false">
      <c r="B131" s="250"/>
      <c r="C131" s="254" t="s">
        <v>332</v>
      </c>
      <c r="D131" s="254" t="s">
        <v>333</v>
      </c>
      <c r="E131" s="251" t="s">
        <v>334</v>
      </c>
      <c r="F131" s="251" t="s">
        <v>174</v>
      </c>
      <c r="G131" s="251" t="s">
        <v>175</v>
      </c>
      <c r="H131" s="253" t="s">
        <v>335</v>
      </c>
      <c r="I131" s="252" t="s">
        <v>177</v>
      </c>
    </row>
    <row r="132" customFormat="false" ht="15" hidden="false" customHeight="false" outlineLevel="0" collapsed="false">
      <c r="B132" s="250"/>
      <c r="C132" s="254" t="s">
        <v>336</v>
      </c>
      <c r="D132" s="254" t="s">
        <v>307</v>
      </c>
      <c r="E132" s="251" t="s">
        <v>334</v>
      </c>
      <c r="F132" s="251" t="s">
        <v>174</v>
      </c>
      <c r="G132" s="251" t="s">
        <v>175</v>
      </c>
      <c r="H132" s="253" t="s">
        <v>335</v>
      </c>
      <c r="I132" s="252" t="s">
        <v>177</v>
      </c>
    </row>
    <row r="133" customFormat="false" ht="15" hidden="false" customHeight="false" outlineLevel="0" collapsed="false">
      <c r="B133" s="250"/>
      <c r="C133" s="254" t="s">
        <v>337</v>
      </c>
      <c r="D133" s="254" t="s">
        <v>123</v>
      </c>
      <c r="E133" s="251" t="s">
        <v>334</v>
      </c>
      <c r="F133" s="251" t="s">
        <v>174</v>
      </c>
      <c r="G133" s="251" t="s">
        <v>175</v>
      </c>
      <c r="H133" s="253" t="s">
        <v>335</v>
      </c>
      <c r="I133" s="252" t="s">
        <v>177</v>
      </c>
    </row>
    <row r="134" customFormat="false" ht="15" hidden="false" customHeight="false" outlineLevel="0" collapsed="false">
      <c r="B134" s="250"/>
      <c r="C134" s="254" t="s">
        <v>87</v>
      </c>
      <c r="D134" s="254" t="s">
        <v>307</v>
      </c>
      <c r="E134" s="251" t="s">
        <v>322</v>
      </c>
      <c r="F134" s="251" t="s">
        <v>174</v>
      </c>
      <c r="G134" s="251" t="s">
        <v>175</v>
      </c>
      <c r="H134" s="253" t="s">
        <v>338</v>
      </c>
      <c r="I134" s="252" t="s">
        <v>177</v>
      </c>
    </row>
    <row r="135" customFormat="false" ht="15" hidden="false" customHeight="false" outlineLevel="0" collapsed="false">
      <c r="B135" s="250"/>
      <c r="C135" s="251" t="s">
        <v>339</v>
      </c>
      <c r="D135" s="251" t="s">
        <v>340</v>
      </c>
      <c r="E135" s="251" t="s">
        <v>341</v>
      </c>
      <c r="F135" s="251" t="s">
        <v>174</v>
      </c>
      <c r="G135" s="251" t="s">
        <v>342</v>
      </c>
      <c r="H135" s="251" t="s">
        <v>343</v>
      </c>
      <c r="I135" s="252" t="s">
        <v>177</v>
      </c>
    </row>
    <row r="136" customFormat="false" ht="15" hidden="false" customHeight="false" outlineLevel="0" collapsed="false">
      <c r="B136" s="250"/>
      <c r="C136" s="251" t="s">
        <v>201</v>
      </c>
      <c r="D136" s="251" t="s">
        <v>344</v>
      </c>
      <c r="E136" s="251" t="s">
        <v>345</v>
      </c>
      <c r="F136" s="251" t="s">
        <v>185</v>
      </c>
      <c r="G136" s="251" t="s">
        <v>175</v>
      </c>
      <c r="H136" s="251" t="s">
        <v>346</v>
      </c>
      <c r="I136" s="252" t="s">
        <v>304</v>
      </c>
    </row>
    <row r="137" customFormat="false" ht="15" hidden="false" customHeight="false" outlineLevel="0" collapsed="false">
      <c r="B137" s="250"/>
      <c r="C137" s="251" t="s">
        <v>256</v>
      </c>
      <c r="D137" s="251" t="s">
        <v>347</v>
      </c>
      <c r="E137" s="251" t="s">
        <v>345</v>
      </c>
      <c r="F137" s="251" t="s">
        <v>185</v>
      </c>
      <c r="G137" s="251" t="s">
        <v>175</v>
      </c>
      <c r="H137" s="251" t="s">
        <v>346</v>
      </c>
      <c r="I137" s="252" t="s">
        <v>304</v>
      </c>
    </row>
    <row r="138" customFormat="false" ht="15" hidden="false" customHeight="false" outlineLevel="0" collapsed="false">
      <c r="B138" s="250"/>
      <c r="C138" s="251" t="s">
        <v>348</v>
      </c>
      <c r="D138" s="251" t="s">
        <v>106</v>
      </c>
      <c r="E138" s="251" t="s">
        <v>345</v>
      </c>
      <c r="F138" s="251" t="s">
        <v>185</v>
      </c>
      <c r="G138" s="251" t="s">
        <v>175</v>
      </c>
      <c r="H138" s="251" t="s">
        <v>346</v>
      </c>
      <c r="I138" s="252" t="s">
        <v>304</v>
      </c>
    </row>
    <row r="139" customFormat="false" ht="15" hidden="false" customHeight="false" outlineLevel="0" collapsed="false">
      <c r="B139" s="250"/>
      <c r="C139" s="251" t="s">
        <v>349</v>
      </c>
      <c r="D139" s="251" t="s">
        <v>205</v>
      </c>
      <c r="E139" s="251" t="s">
        <v>345</v>
      </c>
      <c r="F139" s="251" t="s">
        <v>185</v>
      </c>
      <c r="G139" s="251" t="s">
        <v>175</v>
      </c>
      <c r="H139" s="251" t="s">
        <v>350</v>
      </c>
      <c r="I139" s="252" t="s">
        <v>304</v>
      </c>
    </row>
    <row r="140" customFormat="false" ht="15" hidden="false" customHeight="false" outlineLevel="0" collapsed="false">
      <c r="B140" s="250"/>
      <c r="C140" s="251" t="s">
        <v>351</v>
      </c>
      <c r="D140" s="251" t="s">
        <v>344</v>
      </c>
      <c r="E140" s="251" t="s">
        <v>345</v>
      </c>
      <c r="F140" s="251" t="s">
        <v>210</v>
      </c>
      <c r="G140" s="251" t="s">
        <v>175</v>
      </c>
      <c r="H140" s="251" t="s">
        <v>346</v>
      </c>
      <c r="I140" s="252" t="s">
        <v>304</v>
      </c>
    </row>
    <row r="141" customFormat="false" ht="29.85" hidden="false" customHeight="false" outlineLevel="0" collapsed="false">
      <c r="B141" s="250"/>
      <c r="C141" s="251" t="s">
        <v>261</v>
      </c>
      <c r="D141" s="251" t="s">
        <v>352</v>
      </c>
      <c r="E141" s="251" t="s">
        <v>353</v>
      </c>
      <c r="F141" s="251" t="s">
        <v>354</v>
      </c>
      <c r="G141" s="253" t="s">
        <v>355</v>
      </c>
      <c r="H141" s="251" t="s">
        <v>356</v>
      </c>
      <c r="I141" s="252" t="s">
        <v>177</v>
      </c>
    </row>
    <row r="142" customFormat="false" ht="15" hidden="false" customHeight="false" outlineLevel="0" collapsed="false">
      <c r="B142" s="250"/>
      <c r="C142" s="251" t="s">
        <v>357</v>
      </c>
      <c r="D142" s="251" t="s">
        <v>189</v>
      </c>
      <c r="E142" s="251" t="s">
        <v>358</v>
      </c>
      <c r="F142" s="251" t="s">
        <v>191</v>
      </c>
      <c r="G142" s="251" t="s">
        <v>175</v>
      </c>
      <c r="H142" s="251" t="s">
        <v>359</v>
      </c>
      <c r="I142" s="252" t="s">
        <v>177</v>
      </c>
    </row>
    <row r="143" customFormat="false" ht="15" hidden="false" customHeight="false" outlineLevel="0" collapsed="false">
      <c r="B143" s="250"/>
      <c r="C143" s="251" t="s">
        <v>357</v>
      </c>
      <c r="D143" s="251" t="s">
        <v>189</v>
      </c>
      <c r="E143" s="251" t="s">
        <v>360</v>
      </c>
      <c r="F143" s="251" t="s">
        <v>191</v>
      </c>
      <c r="G143" s="253" t="s">
        <v>175</v>
      </c>
      <c r="H143" s="251" t="s">
        <v>361</v>
      </c>
      <c r="I143" s="252" t="s">
        <v>177</v>
      </c>
    </row>
    <row r="144" customFormat="false" ht="15" hidden="false" customHeight="false" outlineLevel="0" collapsed="false">
      <c r="B144" s="250"/>
      <c r="C144" s="254" t="s">
        <v>362</v>
      </c>
      <c r="D144" s="254" t="s">
        <v>363</v>
      </c>
      <c r="E144" s="251" t="s">
        <v>364</v>
      </c>
      <c r="F144" s="251" t="s">
        <v>354</v>
      </c>
      <c r="G144" s="251" t="s">
        <v>175</v>
      </c>
      <c r="H144" s="251" t="s">
        <v>361</v>
      </c>
      <c r="I144" s="252" t="s">
        <v>177</v>
      </c>
    </row>
    <row r="145" customFormat="false" ht="29.85" hidden="false" customHeight="false" outlineLevel="0" collapsed="false">
      <c r="B145" s="250"/>
      <c r="C145" s="254" t="s">
        <v>122</v>
      </c>
      <c r="D145" s="254" t="s">
        <v>365</v>
      </c>
      <c r="E145" s="251" t="s">
        <v>366</v>
      </c>
      <c r="F145" s="251" t="s">
        <v>174</v>
      </c>
      <c r="G145" s="251" t="s">
        <v>175</v>
      </c>
      <c r="H145" s="253" t="s">
        <v>367</v>
      </c>
      <c r="I145" s="252" t="s">
        <v>368</v>
      </c>
    </row>
    <row r="146" customFormat="false" ht="15" hidden="false" customHeight="false" outlineLevel="0" collapsed="false">
      <c r="B146" s="250"/>
      <c r="C146" s="254" t="s">
        <v>369</v>
      </c>
      <c r="D146" s="254" t="s">
        <v>241</v>
      </c>
      <c r="E146" s="251" t="s">
        <v>370</v>
      </c>
      <c r="F146" s="251" t="s">
        <v>174</v>
      </c>
      <c r="G146" s="251" t="s">
        <v>175</v>
      </c>
      <c r="H146" s="253" t="s">
        <v>371</v>
      </c>
      <c r="I146" s="252" t="s">
        <v>368</v>
      </c>
    </row>
    <row r="147" customFormat="false" ht="15" hidden="false" customHeight="false" outlineLevel="0" collapsed="false">
      <c r="B147" s="250"/>
      <c r="C147" s="254" t="s">
        <v>243</v>
      </c>
      <c r="D147" s="254" t="s">
        <v>372</v>
      </c>
      <c r="E147" s="251" t="s">
        <v>370</v>
      </c>
      <c r="F147" s="251" t="s">
        <v>174</v>
      </c>
      <c r="G147" s="251" t="s">
        <v>175</v>
      </c>
      <c r="H147" s="253" t="s">
        <v>371</v>
      </c>
      <c r="I147" s="252" t="s">
        <v>368</v>
      </c>
    </row>
    <row r="148" customFormat="false" ht="15" hidden="false" customHeight="false" outlineLevel="0" collapsed="false">
      <c r="B148" s="250"/>
      <c r="C148" s="254" t="s">
        <v>373</v>
      </c>
      <c r="D148" s="254" t="s">
        <v>247</v>
      </c>
      <c r="E148" s="251" t="s">
        <v>370</v>
      </c>
      <c r="F148" s="251" t="s">
        <v>174</v>
      </c>
      <c r="G148" s="251" t="s">
        <v>175</v>
      </c>
      <c r="H148" s="253" t="s">
        <v>371</v>
      </c>
      <c r="I148" s="252" t="s">
        <v>368</v>
      </c>
    </row>
    <row r="149" customFormat="false" ht="15" hidden="false" customHeight="false" outlineLevel="0" collapsed="false">
      <c r="B149" s="250"/>
      <c r="C149" s="254" t="s">
        <v>351</v>
      </c>
      <c r="D149" s="254" t="s">
        <v>374</v>
      </c>
      <c r="E149" s="251" t="s">
        <v>370</v>
      </c>
      <c r="F149" s="251" t="s">
        <v>174</v>
      </c>
      <c r="G149" s="251" t="s">
        <v>175</v>
      </c>
      <c r="H149" s="253" t="s">
        <v>375</v>
      </c>
      <c r="I149" s="252" t="s">
        <v>368</v>
      </c>
    </row>
    <row r="150" customFormat="false" ht="15" hidden="false" customHeight="false" outlineLevel="0" collapsed="false">
      <c r="B150" s="250"/>
      <c r="C150" s="256" t="s">
        <v>376</v>
      </c>
      <c r="D150" s="251" t="s">
        <v>377</v>
      </c>
      <c r="E150" s="251" t="s">
        <v>370</v>
      </c>
      <c r="F150" s="251" t="s">
        <v>174</v>
      </c>
      <c r="G150" s="251" t="s">
        <v>175</v>
      </c>
      <c r="H150" s="253" t="s">
        <v>371</v>
      </c>
      <c r="I150" s="252" t="s">
        <v>368</v>
      </c>
    </row>
    <row r="151" customFormat="false" ht="29.85" hidden="false" customHeight="false" outlineLevel="0" collapsed="false">
      <c r="B151" s="250"/>
      <c r="C151" s="254" t="s">
        <v>378</v>
      </c>
      <c r="D151" s="254" t="s">
        <v>379</v>
      </c>
      <c r="E151" s="251" t="s">
        <v>370</v>
      </c>
      <c r="F151" s="251" t="s">
        <v>196</v>
      </c>
      <c r="G151" s="251" t="s">
        <v>175</v>
      </c>
      <c r="H151" s="253" t="s">
        <v>380</v>
      </c>
      <c r="I151" s="252" t="s">
        <v>198</v>
      </c>
    </row>
    <row r="152" customFormat="false" ht="29.85" hidden="false" customHeight="false" outlineLevel="0" collapsed="false">
      <c r="B152" s="250"/>
      <c r="C152" s="256" t="s">
        <v>232</v>
      </c>
      <c r="D152" s="257" t="s">
        <v>241</v>
      </c>
      <c r="E152" s="251" t="s">
        <v>370</v>
      </c>
      <c r="F152" s="251" t="s">
        <v>196</v>
      </c>
      <c r="G152" s="251" t="s">
        <v>175</v>
      </c>
      <c r="H152" s="253" t="s">
        <v>381</v>
      </c>
      <c r="I152" s="252" t="s">
        <v>198</v>
      </c>
    </row>
    <row r="153" customFormat="false" ht="15" hidden="false" customHeight="false" outlineLevel="0" collapsed="false">
      <c r="B153" s="250"/>
      <c r="C153" s="256" t="s">
        <v>214</v>
      </c>
      <c r="D153" s="256" t="s">
        <v>382</v>
      </c>
      <c r="E153" s="251" t="s">
        <v>345</v>
      </c>
      <c r="F153" s="251" t="s">
        <v>303</v>
      </c>
      <c r="G153" s="251" t="s">
        <v>175</v>
      </c>
      <c r="H153" s="251" t="s">
        <v>346</v>
      </c>
      <c r="I153" s="252" t="s">
        <v>304</v>
      </c>
    </row>
    <row r="154" customFormat="false" ht="15" hidden="false" customHeight="false" outlineLevel="0" collapsed="false">
      <c r="B154" s="250"/>
      <c r="C154" s="254" t="s">
        <v>297</v>
      </c>
      <c r="D154" s="254" t="s">
        <v>258</v>
      </c>
      <c r="E154" s="251" t="s">
        <v>345</v>
      </c>
      <c r="F154" s="251" t="s">
        <v>210</v>
      </c>
      <c r="G154" s="251" t="s">
        <v>175</v>
      </c>
      <c r="H154" s="253" t="s">
        <v>346</v>
      </c>
      <c r="I154" s="252" t="s">
        <v>304</v>
      </c>
    </row>
    <row r="155" customFormat="false" ht="15" hidden="false" customHeight="false" outlineLevel="0" collapsed="false">
      <c r="B155" s="250"/>
      <c r="C155" s="251" t="s">
        <v>383</v>
      </c>
      <c r="D155" s="251" t="s">
        <v>384</v>
      </c>
      <c r="E155" s="251" t="s">
        <v>385</v>
      </c>
      <c r="F155" s="251" t="s">
        <v>191</v>
      </c>
      <c r="G155" s="251" t="s">
        <v>175</v>
      </c>
      <c r="H155" s="251" t="s">
        <v>386</v>
      </c>
      <c r="I155" s="252" t="s">
        <v>177</v>
      </c>
    </row>
    <row r="156" customFormat="false" ht="72.35" hidden="false" customHeight="false" outlineLevel="0" collapsed="false">
      <c r="B156" s="250"/>
      <c r="C156" s="251" t="s">
        <v>383</v>
      </c>
      <c r="D156" s="251" t="s">
        <v>384</v>
      </c>
      <c r="E156" s="251" t="s">
        <v>387</v>
      </c>
      <c r="F156" s="251" t="s">
        <v>191</v>
      </c>
      <c r="G156" s="253" t="s">
        <v>388</v>
      </c>
      <c r="H156" s="251" t="s">
        <v>389</v>
      </c>
      <c r="I156" s="252" t="s">
        <v>177</v>
      </c>
    </row>
    <row r="157" customFormat="false" ht="15" hidden="false" customHeight="false" outlineLevel="0" collapsed="false">
      <c r="B157" s="250"/>
      <c r="C157" s="251" t="s">
        <v>171</v>
      </c>
      <c r="D157" s="251" t="s">
        <v>295</v>
      </c>
      <c r="E157" s="251" t="s">
        <v>390</v>
      </c>
      <c r="F157" s="251" t="s">
        <v>391</v>
      </c>
      <c r="G157" s="251" t="s">
        <v>175</v>
      </c>
      <c r="H157" s="251" t="s">
        <v>392</v>
      </c>
      <c r="I157" s="252" t="s">
        <v>177</v>
      </c>
    </row>
    <row r="158" customFormat="false" ht="44" hidden="false" customHeight="false" outlineLevel="0" collapsed="false">
      <c r="B158" s="250"/>
      <c r="C158" s="251" t="s">
        <v>235</v>
      </c>
      <c r="D158" s="251" t="s">
        <v>384</v>
      </c>
      <c r="E158" s="251" t="s">
        <v>393</v>
      </c>
      <c r="F158" s="251" t="s">
        <v>174</v>
      </c>
      <c r="G158" s="253" t="s">
        <v>394</v>
      </c>
      <c r="H158" s="251" t="s">
        <v>395</v>
      </c>
      <c r="I158" s="252" t="s">
        <v>177</v>
      </c>
    </row>
    <row r="159" customFormat="false" ht="15" hidden="false" customHeight="false" outlineLevel="0" collapsed="false">
      <c r="B159" s="250"/>
      <c r="C159" s="254" t="s">
        <v>383</v>
      </c>
      <c r="D159" s="254" t="s">
        <v>384</v>
      </c>
      <c r="E159" s="251" t="s">
        <v>396</v>
      </c>
      <c r="F159" s="251" t="s">
        <v>191</v>
      </c>
      <c r="G159" s="251" t="s">
        <v>175</v>
      </c>
      <c r="H159" s="251" t="s">
        <v>397</v>
      </c>
      <c r="I159" s="252" t="s">
        <v>177</v>
      </c>
    </row>
    <row r="160" customFormat="false" ht="15" hidden="false" customHeight="false" outlineLevel="0" collapsed="false">
      <c r="B160" s="250"/>
      <c r="C160" s="254" t="s">
        <v>398</v>
      </c>
      <c r="D160" s="254" t="s">
        <v>399</v>
      </c>
      <c r="E160" s="251" t="s">
        <v>341</v>
      </c>
      <c r="F160" s="251" t="s">
        <v>174</v>
      </c>
      <c r="G160" s="251" t="s">
        <v>175</v>
      </c>
      <c r="H160" s="253" t="s">
        <v>400</v>
      </c>
      <c r="I160" s="252" t="s">
        <v>177</v>
      </c>
    </row>
    <row r="161" customFormat="false" ht="15" hidden="false" customHeight="false" outlineLevel="0" collapsed="false">
      <c r="B161" s="250"/>
      <c r="C161" s="254" t="s">
        <v>339</v>
      </c>
      <c r="D161" s="254" t="s">
        <v>401</v>
      </c>
      <c r="E161" s="251" t="s">
        <v>341</v>
      </c>
      <c r="F161" s="251" t="s">
        <v>174</v>
      </c>
      <c r="G161" s="251" t="s">
        <v>175</v>
      </c>
      <c r="H161" s="253" t="s">
        <v>402</v>
      </c>
      <c r="I161" s="252" t="s">
        <v>177</v>
      </c>
    </row>
    <row r="162" customFormat="false" ht="15" hidden="false" customHeight="false" outlineLevel="0" collapsed="false">
      <c r="B162" s="250"/>
      <c r="C162" s="254" t="s">
        <v>403</v>
      </c>
      <c r="D162" s="254" t="s">
        <v>384</v>
      </c>
      <c r="E162" s="251" t="s">
        <v>345</v>
      </c>
      <c r="F162" s="251" t="s">
        <v>191</v>
      </c>
      <c r="G162" s="251" t="s">
        <v>175</v>
      </c>
      <c r="H162" s="253" t="s">
        <v>404</v>
      </c>
      <c r="I162" s="252" t="s">
        <v>304</v>
      </c>
    </row>
    <row r="163" customFormat="false" ht="15" hidden="false" customHeight="false" outlineLevel="0" collapsed="false">
      <c r="B163" s="250"/>
      <c r="C163" s="254" t="s">
        <v>405</v>
      </c>
      <c r="D163" s="254" t="s">
        <v>406</v>
      </c>
      <c r="E163" s="251" t="s">
        <v>341</v>
      </c>
      <c r="F163" s="251" t="s">
        <v>174</v>
      </c>
      <c r="G163" s="251" t="s">
        <v>175</v>
      </c>
      <c r="H163" s="253" t="s">
        <v>407</v>
      </c>
      <c r="I163" s="252" t="s">
        <v>177</v>
      </c>
    </row>
    <row r="164" customFormat="false" ht="29.85" hidden="false" customHeight="false" outlineLevel="0" collapsed="false">
      <c r="B164" s="250"/>
      <c r="C164" s="254" t="s">
        <v>339</v>
      </c>
      <c r="D164" s="254" t="s">
        <v>401</v>
      </c>
      <c r="E164" s="251" t="s">
        <v>341</v>
      </c>
      <c r="F164" s="251" t="s">
        <v>174</v>
      </c>
      <c r="G164" s="251" t="s">
        <v>175</v>
      </c>
      <c r="H164" s="253" t="s">
        <v>408</v>
      </c>
      <c r="I164" s="252" t="s">
        <v>177</v>
      </c>
    </row>
    <row r="165" customFormat="false" ht="15" hidden="false" customHeight="false" outlineLevel="0" collapsed="false">
      <c r="B165" s="250"/>
      <c r="C165" s="256" t="s">
        <v>383</v>
      </c>
      <c r="D165" s="251" t="s">
        <v>384</v>
      </c>
      <c r="E165" s="251" t="s">
        <v>409</v>
      </c>
      <c r="F165" s="251" t="s">
        <v>174</v>
      </c>
      <c r="G165" s="251" t="s">
        <v>175</v>
      </c>
      <c r="H165" s="251" t="s">
        <v>410</v>
      </c>
      <c r="I165" s="252" t="s">
        <v>177</v>
      </c>
    </row>
    <row r="166" customFormat="false" ht="29.85" hidden="false" customHeight="false" outlineLevel="0" collapsed="false">
      <c r="B166" s="250"/>
      <c r="C166" s="254" t="s">
        <v>383</v>
      </c>
      <c r="D166" s="254" t="s">
        <v>384</v>
      </c>
      <c r="E166" s="251" t="s">
        <v>411</v>
      </c>
      <c r="F166" s="251" t="s">
        <v>174</v>
      </c>
      <c r="G166" s="251" t="s">
        <v>175</v>
      </c>
      <c r="H166" s="253" t="s">
        <v>412</v>
      </c>
      <c r="I166" s="252" t="s">
        <v>177</v>
      </c>
    </row>
    <row r="167" customFormat="false" ht="15" hidden="false" customHeight="false" outlineLevel="0" collapsed="false">
      <c r="B167" s="250"/>
      <c r="C167" s="256" t="s">
        <v>413</v>
      </c>
      <c r="D167" s="257" t="s">
        <v>414</v>
      </c>
      <c r="E167" s="251" t="s">
        <v>415</v>
      </c>
      <c r="F167" s="251" t="s">
        <v>174</v>
      </c>
      <c r="G167" s="251" t="s">
        <v>175</v>
      </c>
      <c r="H167" s="253" t="s">
        <v>416</v>
      </c>
      <c r="I167" s="252" t="s">
        <v>417</v>
      </c>
    </row>
    <row r="168" customFormat="false" ht="15" hidden="false" customHeight="false" outlineLevel="0" collapsed="false">
      <c r="B168" s="250"/>
      <c r="C168" s="256" t="s">
        <v>284</v>
      </c>
      <c r="D168" s="256" t="s">
        <v>194</v>
      </c>
      <c r="E168" s="251" t="s">
        <v>418</v>
      </c>
      <c r="F168" s="251" t="s">
        <v>174</v>
      </c>
      <c r="G168" s="251" t="s">
        <v>419</v>
      </c>
      <c r="H168" s="251" t="s">
        <v>420</v>
      </c>
      <c r="I168" s="252" t="s">
        <v>417</v>
      </c>
    </row>
    <row r="169" customFormat="false" ht="29.85" hidden="false" customHeight="false" outlineLevel="0" collapsed="false">
      <c r="B169" s="250"/>
      <c r="C169" s="254" t="s">
        <v>403</v>
      </c>
      <c r="D169" s="254" t="s">
        <v>384</v>
      </c>
      <c r="E169" s="251" t="s">
        <v>421</v>
      </c>
      <c r="F169" s="251" t="s">
        <v>174</v>
      </c>
      <c r="G169" s="251" t="s">
        <v>175</v>
      </c>
      <c r="H169" s="253" t="s">
        <v>422</v>
      </c>
      <c r="I169" s="252" t="s">
        <v>417</v>
      </c>
    </row>
    <row r="170" customFormat="false" ht="15" hidden="false" customHeight="false" outlineLevel="0" collapsed="false">
      <c r="B170" s="250"/>
      <c r="C170" s="254" t="s">
        <v>94</v>
      </c>
      <c r="D170" s="254" t="s">
        <v>423</v>
      </c>
      <c r="E170" s="251" t="s">
        <v>424</v>
      </c>
      <c r="F170" s="251" t="s">
        <v>425</v>
      </c>
      <c r="G170" s="251" t="s">
        <v>426</v>
      </c>
      <c r="H170" s="251" t="s">
        <v>427</v>
      </c>
      <c r="I170" s="252" t="s">
        <v>304</v>
      </c>
    </row>
    <row r="171" customFormat="false" ht="15" hidden="false" customHeight="false" outlineLevel="0" collapsed="false">
      <c r="B171" s="250"/>
      <c r="C171" s="254" t="s">
        <v>147</v>
      </c>
      <c r="D171" s="254" t="s">
        <v>258</v>
      </c>
      <c r="E171" s="251" t="s">
        <v>345</v>
      </c>
      <c r="F171" s="251" t="s">
        <v>428</v>
      </c>
      <c r="G171" s="251" t="s">
        <v>175</v>
      </c>
      <c r="H171" s="251" t="s">
        <v>429</v>
      </c>
      <c r="I171" s="252" t="s">
        <v>304</v>
      </c>
    </row>
    <row r="172" customFormat="false" ht="15" hidden="false" customHeight="false" outlineLevel="0" collapsed="false">
      <c r="B172" s="250"/>
      <c r="C172" s="254" t="s">
        <v>214</v>
      </c>
      <c r="D172" s="254" t="s">
        <v>382</v>
      </c>
      <c r="E172" s="251" t="s">
        <v>430</v>
      </c>
      <c r="F172" s="251" t="s">
        <v>210</v>
      </c>
      <c r="G172" s="251" t="s">
        <v>175</v>
      </c>
      <c r="H172" s="253" t="s">
        <v>431</v>
      </c>
      <c r="I172" s="252" t="s">
        <v>304</v>
      </c>
    </row>
    <row r="173" customFormat="false" ht="15" hidden="false" customHeight="false" outlineLevel="0" collapsed="false">
      <c r="B173" s="250"/>
      <c r="C173" s="254" t="s">
        <v>155</v>
      </c>
      <c r="D173" s="254" t="s">
        <v>194</v>
      </c>
      <c r="E173" s="251" t="s">
        <v>430</v>
      </c>
      <c r="F173" s="251" t="s">
        <v>210</v>
      </c>
      <c r="G173" s="251" t="s">
        <v>175</v>
      </c>
      <c r="H173" s="251" t="s">
        <v>431</v>
      </c>
      <c r="I173" s="252" t="s">
        <v>304</v>
      </c>
    </row>
    <row r="174" customFormat="false" ht="15" hidden="false" customHeight="false" outlineLevel="0" collapsed="false">
      <c r="B174" s="250"/>
      <c r="C174" s="254" t="s">
        <v>214</v>
      </c>
      <c r="D174" s="254" t="s">
        <v>432</v>
      </c>
      <c r="E174" s="251" t="s">
        <v>433</v>
      </c>
      <c r="F174" s="251" t="s">
        <v>210</v>
      </c>
      <c r="G174" s="251" t="s">
        <v>175</v>
      </c>
      <c r="H174" s="253" t="s">
        <v>434</v>
      </c>
      <c r="I174" s="252" t="s">
        <v>304</v>
      </c>
    </row>
    <row r="175" customFormat="false" ht="15" hidden="false" customHeight="false" outlineLevel="0" collapsed="false">
      <c r="B175" s="250"/>
      <c r="C175" s="254" t="s">
        <v>214</v>
      </c>
      <c r="D175" s="254" t="s">
        <v>382</v>
      </c>
      <c r="E175" s="251" t="s">
        <v>345</v>
      </c>
      <c r="F175" s="251" t="s">
        <v>210</v>
      </c>
      <c r="G175" s="251" t="s">
        <v>175</v>
      </c>
      <c r="H175" s="253" t="s">
        <v>429</v>
      </c>
      <c r="I175" s="252" t="s">
        <v>304</v>
      </c>
    </row>
    <row r="176" customFormat="false" ht="15" hidden="false" customHeight="false" outlineLevel="0" collapsed="false">
      <c r="B176" s="250"/>
      <c r="C176" s="254" t="s">
        <v>256</v>
      </c>
      <c r="D176" s="254" t="s">
        <v>435</v>
      </c>
      <c r="E176" s="251" t="s">
        <v>345</v>
      </c>
      <c r="F176" s="251" t="s">
        <v>185</v>
      </c>
      <c r="G176" s="251" t="s">
        <v>175</v>
      </c>
      <c r="H176" s="251" t="s">
        <v>429</v>
      </c>
      <c r="I176" s="252" t="s">
        <v>304</v>
      </c>
    </row>
    <row r="177" customFormat="false" ht="15" hidden="false" customHeight="false" outlineLevel="0" collapsed="false">
      <c r="B177" s="250"/>
      <c r="C177" s="254" t="s">
        <v>155</v>
      </c>
      <c r="D177" s="254" t="s">
        <v>436</v>
      </c>
      <c r="E177" s="251" t="s">
        <v>437</v>
      </c>
      <c r="F177" s="251" t="s">
        <v>210</v>
      </c>
      <c r="G177" s="251" t="s">
        <v>438</v>
      </c>
      <c r="H177" s="251" t="s">
        <v>439</v>
      </c>
      <c r="I177" s="252" t="s">
        <v>304</v>
      </c>
    </row>
    <row r="178" customFormat="false" ht="15" hidden="false" customHeight="false" outlineLevel="0" collapsed="false">
      <c r="B178" s="250"/>
      <c r="C178" s="256" t="s">
        <v>440</v>
      </c>
      <c r="D178" s="256" t="s">
        <v>441</v>
      </c>
      <c r="E178" s="251" t="s">
        <v>442</v>
      </c>
      <c r="F178" s="251" t="s">
        <v>174</v>
      </c>
      <c r="G178" s="251" t="s">
        <v>175</v>
      </c>
      <c r="H178" s="253" t="s">
        <v>443</v>
      </c>
      <c r="I178" s="252" t="s">
        <v>304</v>
      </c>
    </row>
    <row r="179" customFormat="false" ht="15" hidden="false" customHeight="false" outlineLevel="0" collapsed="false">
      <c r="B179" s="250"/>
      <c r="C179" s="254" t="s">
        <v>94</v>
      </c>
      <c r="D179" s="254" t="s">
        <v>101</v>
      </c>
      <c r="E179" s="251" t="s">
        <v>442</v>
      </c>
      <c r="F179" s="251" t="s">
        <v>174</v>
      </c>
      <c r="G179" s="253" t="s">
        <v>175</v>
      </c>
      <c r="H179" s="253" t="s">
        <v>444</v>
      </c>
      <c r="I179" s="252" t="s">
        <v>304</v>
      </c>
    </row>
    <row r="180" customFormat="false" ht="15" hidden="false" customHeight="false" outlineLevel="0" collapsed="false">
      <c r="B180" s="250"/>
      <c r="C180" s="251" t="s">
        <v>445</v>
      </c>
      <c r="D180" s="251" t="s">
        <v>384</v>
      </c>
      <c r="E180" s="251" t="s">
        <v>442</v>
      </c>
      <c r="F180" s="251" t="s">
        <v>174</v>
      </c>
      <c r="G180" s="251" t="s">
        <v>446</v>
      </c>
      <c r="H180" s="251" t="s">
        <v>447</v>
      </c>
      <c r="I180" s="252" t="s">
        <v>304</v>
      </c>
    </row>
    <row r="181" customFormat="false" ht="15" hidden="false" customHeight="false" outlineLevel="0" collapsed="false">
      <c r="B181" s="250"/>
      <c r="C181" s="258" t="s">
        <v>214</v>
      </c>
      <c r="D181" s="258" t="s">
        <v>307</v>
      </c>
      <c r="E181" s="259" t="s">
        <v>226</v>
      </c>
      <c r="F181" s="259" t="s">
        <v>210</v>
      </c>
      <c r="G181" s="260" t="s">
        <v>175</v>
      </c>
      <c r="H181" s="261" t="s">
        <v>448</v>
      </c>
      <c r="I181" s="262" t="s">
        <v>198</v>
      </c>
    </row>
    <row r="182" customFormat="false" ht="15" hidden="false" customHeight="false" outlineLevel="0" collapsed="false">
      <c r="B182" s="250"/>
      <c r="C182" s="263" t="s">
        <v>224</v>
      </c>
      <c r="D182" s="263" t="s">
        <v>449</v>
      </c>
      <c r="E182" s="264" t="s">
        <v>450</v>
      </c>
      <c r="F182" s="264" t="s">
        <v>451</v>
      </c>
      <c r="G182" s="265" t="s">
        <v>175</v>
      </c>
      <c r="H182" s="266" t="s">
        <v>452</v>
      </c>
      <c r="I182" s="267" t="s">
        <v>198</v>
      </c>
    </row>
    <row r="183" customFormat="false" ht="15" hidden="false" customHeight="false" outlineLevel="0" collapsed="false">
      <c r="B183" s="250"/>
      <c r="C183" s="268" t="s">
        <v>383</v>
      </c>
      <c r="D183" s="268" t="s">
        <v>449</v>
      </c>
      <c r="E183" s="269" t="s">
        <v>358</v>
      </c>
      <c r="F183" s="269" t="s">
        <v>191</v>
      </c>
      <c r="G183" s="270" t="s">
        <v>175</v>
      </c>
      <c r="H183" s="261" t="s">
        <v>453</v>
      </c>
      <c r="I183" s="271" t="s">
        <v>454</v>
      </c>
    </row>
    <row r="184" customFormat="false" ht="44" hidden="false" customHeight="false" outlineLevel="0" collapsed="false">
      <c r="B184" s="250"/>
      <c r="C184" s="263" t="s">
        <v>455</v>
      </c>
      <c r="D184" s="263" t="s">
        <v>456</v>
      </c>
      <c r="E184" s="272" t="s">
        <v>341</v>
      </c>
      <c r="F184" s="272" t="s">
        <v>174</v>
      </c>
      <c r="G184" s="273" t="s">
        <v>457</v>
      </c>
      <c r="H184" s="274" t="s">
        <v>458</v>
      </c>
      <c r="I184" s="267" t="s">
        <v>454</v>
      </c>
    </row>
    <row r="185" customFormat="false" ht="15" hidden="false" customHeight="false" outlineLevel="0" collapsed="false">
      <c r="B185" s="250"/>
      <c r="C185" s="268" t="s">
        <v>214</v>
      </c>
      <c r="D185" s="268" t="s">
        <v>307</v>
      </c>
      <c r="E185" s="269" t="s">
        <v>459</v>
      </c>
      <c r="F185" s="269" t="s">
        <v>460</v>
      </c>
      <c r="G185" s="270" t="s">
        <v>175</v>
      </c>
      <c r="H185" s="261" t="s">
        <v>461</v>
      </c>
      <c r="I185" s="271" t="s">
        <v>198</v>
      </c>
    </row>
    <row r="186" customFormat="false" ht="15" hidden="false" customHeight="false" outlineLevel="0" collapsed="false">
      <c r="B186" s="250"/>
      <c r="C186" s="263" t="s">
        <v>155</v>
      </c>
      <c r="D186" s="263" t="s">
        <v>215</v>
      </c>
      <c r="E186" s="264" t="s">
        <v>226</v>
      </c>
      <c r="F186" s="264" t="s">
        <v>210</v>
      </c>
      <c r="G186" s="265" t="s">
        <v>175</v>
      </c>
      <c r="H186" s="266" t="s">
        <v>448</v>
      </c>
      <c r="I186" s="267" t="s">
        <v>198</v>
      </c>
    </row>
    <row r="187" customFormat="false" ht="15" hidden="false" customHeight="false" outlineLevel="0" collapsed="false">
      <c r="B187" s="250"/>
      <c r="C187" s="268" t="s">
        <v>87</v>
      </c>
      <c r="D187" s="268" t="s">
        <v>307</v>
      </c>
      <c r="E187" s="269" t="s">
        <v>462</v>
      </c>
      <c r="F187" s="269" t="s">
        <v>174</v>
      </c>
      <c r="G187" s="270" t="s">
        <v>463</v>
      </c>
      <c r="H187" s="261" t="s">
        <v>464</v>
      </c>
      <c r="I187" s="271" t="s">
        <v>454</v>
      </c>
    </row>
    <row r="188" customFormat="false" ht="44" hidden="false" customHeight="false" outlineLevel="0" collapsed="false">
      <c r="B188" s="250"/>
      <c r="C188" s="263" t="s">
        <v>261</v>
      </c>
      <c r="D188" s="263" t="s">
        <v>465</v>
      </c>
      <c r="E188" s="272" t="s">
        <v>263</v>
      </c>
      <c r="F188" s="272" t="s">
        <v>174</v>
      </c>
      <c r="G188" s="265" t="s">
        <v>175</v>
      </c>
      <c r="H188" s="274" t="s">
        <v>466</v>
      </c>
      <c r="I188" s="267" t="s">
        <v>454</v>
      </c>
    </row>
    <row r="189" customFormat="false" ht="29.85" hidden="false" customHeight="false" outlineLevel="0" collapsed="false">
      <c r="B189" s="250"/>
      <c r="C189" s="268" t="s">
        <v>467</v>
      </c>
      <c r="D189" s="268" t="s">
        <v>382</v>
      </c>
      <c r="E189" s="275" t="s">
        <v>468</v>
      </c>
      <c r="F189" s="275" t="s">
        <v>286</v>
      </c>
      <c r="G189" s="270" t="s">
        <v>175</v>
      </c>
      <c r="H189" s="276" t="s">
        <v>469</v>
      </c>
      <c r="I189" s="271" t="s">
        <v>454</v>
      </c>
    </row>
    <row r="190" customFormat="false" ht="15" hidden="false" customHeight="false" outlineLevel="0" collapsed="false">
      <c r="B190" s="250"/>
      <c r="C190" s="263" t="s">
        <v>250</v>
      </c>
      <c r="D190" s="263" t="s">
        <v>290</v>
      </c>
      <c r="E190" s="264" t="s">
        <v>226</v>
      </c>
      <c r="F190" s="264" t="s">
        <v>210</v>
      </c>
      <c r="G190" s="265" t="s">
        <v>175</v>
      </c>
      <c r="H190" s="266" t="s">
        <v>448</v>
      </c>
      <c r="I190" s="267" t="s">
        <v>198</v>
      </c>
    </row>
    <row r="191" customFormat="false" ht="15" hidden="false" customHeight="false" outlineLevel="0" collapsed="false">
      <c r="B191" s="250"/>
      <c r="C191" s="268" t="s">
        <v>470</v>
      </c>
      <c r="D191" s="268" t="s">
        <v>471</v>
      </c>
      <c r="E191" s="269" t="s">
        <v>226</v>
      </c>
      <c r="F191" s="269" t="s">
        <v>210</v>
      </c>
      <c r="G191" s="270" t="s">
        <v>175</v>
      </c>
      <c r="H191" s="261" t="s">
        <v>448</v>
      </c>
      <c r="I191" s="271" t="s">
        <v>198</v>
      </c>
    </row>
    <row r="192" customFormat="false" ht="15" hidden="false" customHeight="false" outlineLevel="0" collapsed="false">
      <c r="B192" s="250"/>
      <c r="C192" s="263" t="s">
        <v>253</v>
      </c>
      <c r="D192" s="263" t="s">
        <v>205</v>
      </c>
      <c r="E192" s="264" t="s">
        <v>226</v>
      </c>
      <c r="F192" s="264" t="s">
        <v>210</v>
      </c>
      <c r="G192" s="265" t="s">
        <v>175</v>
      </c>
      <c r="H192" s="266" t="s">
        <v>448</v>
      </c>
      <c r="I192" s="267" t="s">
        <v>198</v>
      </c>
    </row>
    <row r="193" customFormat="false" ht="15" hidden="false" customHeight="false" outlineLevel="0" collapsed="false">
      <c r="B193" s="250"/>
      <c r="C193" s="268" t="s">
        <v>472</v>
      </c>
      <c r="D193" s="268" t="s">
        <v>473</v>
      </c>
      <c r="E193" s="269" t="s">
        <v>474</v>
      </c>
      <c r="F193" s="269" t="s">
        <v>196</v>
      </c>
      <c r="G193" s="270" t="s">
        <v>175</v>
      </c>
      <c r="H193" s="261" t="s">
        <v>475</v>
      </c>
      <c r="I193" s="271" t="s">
        <v>198</v>
      </c>
    </row>
    <row r="194" customFormat="false" ht="15" hidden="false" customHeight="false" outlineLevel="0" collapsed="false">
      <c r="B194" s="250"/>
      <c r="C194" s="263" t="s">
        <v>476</v>
      </c>
      <c r="D194" s="263" t="s">
        <v>215</v>
      </c>
      <c r="E194" s="264" t="s">
        <v>474</v>
      </c>
      <c r="F194" s="264" t="s">
        <v>196</v>
      </c>
      <c r="G194" s="265" t="s">
        <v>175</v>
      </c>
      <c r="H194" s="266" t="s">
        <v>475</v>
      </c>
      <c r="I194" s="267" t="s">
        <v>198</v>
      </c>
    </row>
    <row r="195" customFormat="false" ht="15" hidden="false" customHeight="false" outlineLevel="0" collapsed="false">
      <c r="B195" s="250"/>
      <c r="C195" s="268" t="s">
        <v>105</v>
      </c>
      <c r="D195" s="268" t="s">
        <v>205</v>
      </c>
      <c r="E195" s="269" t="s">
        <v>477</v>
      </c>
      <c r="F195" s="269" t="s">
        <v>196</v>
      </c>
      <c r="G195" s="270" t="s">
        <v>175</v>
      </c>
      <c r="H195" s="261" t="s">
        <v>448</v>
      </c>
      <c r="I195" s="271" t="s">
        <v>198</v>
      </c>
    </row>
    <row r="196" customFormat="false" ht="15" hidden="false" customHeight="false" outlineLevel="0" collapsed="false">
      <c r="B196" s="250"/>
      <c r="C196" s="258" t="s">
        <v>313</v>
      </c>
      <c r="D196" s="258" t="s">
        <v>215</v>
      </c>
      <c r="E196" s="259" t="s">
        <v>478</v>
      </c>
      <c r="F196" s="259" t="s">
        <v>320</v>
      </c>
      <c r="G196" s="277" t="s">
        <v>175</v>
      </c>
      <c r="H196" s="261" t="s">
        <v>479</v>
      </c>
      <c r="I196" s="278" t="s">
        <v>177</v>
      </c>
    </row>
    <row r="197" customFormat="false" ht="15" hidden="false" customHeight="false" outlineLevel="0" collapsed="false">
      <c r="B197" s="250"/>
      <c r="C197" s="263" t="s">
        <v>181</v>
      </c>
      <c r="D197" s="263" t="s">
        <v>123</v>
      </c>
      <c r="E197" s="279" t="s">
        <v>480</v>
      </c>
      <c r="F197" s="279" t="s">
        <v>271</v>
      </c>
      <c r="G197" s="280" t="s">
        <v>175</v>
      </c>
      <c r="H197" s="281" t="s">
        <v>481</v>
      </c>
      <c r="I197" s="282" t="s">
        <v>177</v>
      </c>
    </row>
    <row r="198" customFormat="false" ht="15" hidden="false" customHeight="false" outlineLevel="0" collapsed="false">
      <c r="B198" s="250"/>
      <c r="C198" s="268" t="s">
        <v>181</v>
      </c>
      <c r="D198" s="268" t="s">
        <v>247</v>
      </c>
      <c r="E198" s="259" t="s">
        <v>482</v>
      </c>
      <c r="F198" s="259" t="s">
        <v>483</v>
      </c>
      <c r="G198" s="277" t="s">
        <v>175</v>
      </c>
      <c r="H198" s="261" t="s">
        <v>484</v>
      </c>
      <c r="I198" s="278" t="s">
        <v>177</v>
      </c>
    </row>
    <row r="199" customFormat="false" ht="15" hidden="false" customHeight="false" outlineLevel="0" collapsed="false">
      <c r="B199" s="250"/>
      <c r="C199" s="263" t="s">
        <v>181</v>
      </c>
      <c r="D199" s="263" t="s">
        <v>485</v>
      </c>
      <c r="E199" s="279" t="s">
        <v>486</v>
      </c>
      <c r="F199" s="279" t="s">
        <v>487</v>
      </c>
      <c r="G199" s="280" t="s">
        <v>175</v>
      </c>
      <c r="H199" s="266" t="s">
        <v>488</v>
      </c>
      <c r="I199" s="282" t="s">
        <v>177</v>
      </c>
    </row>
    <row r="200" customFormat="false" ht="15" hidden="false" customHeight="false" outlineLevel="0" collapsed="false">
      <c r="B200" s="250"/>
      <c r="C200" s="268" t="s">
        <v>181</v>
      </c>
      <c r="D200" s="268" t="s">
        <v>489</v>
      </c>
      <c r="E200" s="259" t="s">
        <v>490</v>
      </c>
      <c r="F200" s="259" t="s">
        <v>491</v>
      </c>
      <c r="G200" s="277" t="s">
        <v>175</v>
      </c>
      <c r="H200" s="261" t="s">
        <v>492</v>
      </c>
      <c r="I200" s="278" t="s">
        <v>177</v>
      </c>
    </row>
    <row r="201" customFormat="false" ht="29.85" hidden="false" customHeight="false" outlineLevel="0" collapsed="false">
      <c r="B201" s="250"/>
      <c r="C201" s="263" t="s">
        <v>181</v>
      </c>
      <c r="D201" s="263" t="s">
        <v>493</v>
      </c>
      <c r="E201" s="264" t="s">
        <v>490</v>
      </c>
      <c r="F201" s="264" t="s">
        <v>494</v>
      </c>
      <c r="G201" s="272" t="s">
        <v>175</v>
      </c>
      <c r="H201" s="274" t="s">
        <v>495</v>
      </c>
      <c r="I201" s="283" t="s">
        <v>177</v>
      </c>
    </row>
    <row r="202" customFormat="false" ht="29.85" hidden="false" customHeight="false" outlineLevel="0" collapsed="false">
      <c r="B202" s="250"/>
      <c r="C202" s="268" t="s">
        <v>181</v>
      </c>
      <c r="D202" s="268" t="s">
        <v>496</v>
      </c>
      <c r="E202" s="269" t="s">
        <v>490</v>
      </c>
      <c r="F202" s="269" t="s">
        <v>497</v>
      </c>
      <c r="G202" s="275" t="s">
        <v>175</v>
      </c>
      <c r="H202" s="276" t="s">
        <v>498</v>
      </c>
      <c r="I202" s="284" t="s">
        <v>177</v>
      </c>
    </row>
    <row r="203" customFormat="false" ht="15" hidden="false" customHeight="false" outlineLevel="0" collapsed="false">
      <c r="B203" s="250"/>
      <c r="C203" s="263" t="s">
        <v>181</v>
      </c>
      <c r="D203" s="263" t="s">
        <v>499</v>
      </c>
      <c r="E203" s="264" t="s">
        <v>490</v>
      </c>
      <c r="F203" s="264" t="s">
        <v>500</v>
      </c>
      <c r="G203" s="272" t="s">
        <v>175</v>
      </c>
      <c r="H203" s="266" t="s">
        <v>501</v>
      </c>
      <c r="I203" s="283" t="s">
        <v>177</v>
      </c>
    </row>
    <row r="204" customFormat="false" ht="15" hidden="false" customHeight="false" outlineLevel="0" collapsed="false">
      <c r="B204" s="250"/>
      <c r="C204" s="268" t="s">
        <v>181</v>
      </c>
      <c r="D204" s="268" t="s">
        <v>502</v>
      </c>
      <c r="E204" s="269" t="s">
        <v>490</v>
      </c>
      <c r="F204" s="269" t="s">
        <v>503</v>
      </c>
      <c r="G204" s="275" t="s">
        <v>175</v>
      </c>
      <c r="H204" s="261" t="s">
        <v>504</v>
      </c>
      <c r="I204" s="284" t="s">
        <v>177</v>
      </c>
    </row>
    <row r="205" customFormat="false" ht="15" hidden="false" customHeight="false" outlineLevel="0" collapsed="false">
      <c r="B205" s="250"/>
      <c r="C205" s="263" t="s">
        <v>181</v>
      </c>
      <c r="D205" s="263" t="s">
        <v>505</v>
      </c>
      <c r="E205" s="264" t="s">
        <v>490</v>
      </c>
      <c r="F205" s="264" t="s">
        <v>506</v>
      </c>
      <c r="G205" s="272" t="s">
        <v>175</v>
      </c>
      <c r="H205" s="266" t="s">
        <v>507</v>
      </c>
      <c r="I205" s="283" t="s">
        <v>177</v>
      </c>
    </row>
    <row r="206" customFormat="false" ht="15" hidden="false" customHeight="false" outlineLevel="0" collapsed="false">
      <c r="B206" s="250"/>
      <c r="C206" s="268" t="s">
        <v>284</v>
      </c>
      <c r="D206" s="268" t="s">
        <v>290</v>
      </c>
      <c r="E206" s="269" t="s">
        <v>508</v>
      </c>
      <c r="F206" s="269" t="s">
        <v>174</v>
      </c>
      <c r="G206" s="275" t="s">
        <v>175</v>
      </c>
      <c r="H206" s="261" t="s">
        <v>509</v>
      </c>
      <c r="I206" s="284" t="s">
        <v>110</v>
      </c>
    </row>
    <row r="207" customFormat="false" ht="15" hidden="false" customHeight="false" outlineLevel="0" collapsed="false">
      <c r="B207" s="250"/>
      <c r="C207" s="263" t="s">
        <v>122</v>
      </c>
      <c r="D207" s="263" t="s">
        <v>510</v>
      </c>
      <c r="E207" s="264" t="s">
        <v>508</v>
      </c>
      <c r="F207" s="264" t="s">
        <v>174</v>
      </c>
      <c r="G207" s="272" t="s">
        <v>175</v>
      </c>
      <c r="H207" s="266" t="s">
        <v>509</v>
      </c>
      <c r="I207" s="283" t="s">
        <v>110</v>
      </c>
    </row>
    <row r="208" customFormat="false" ht="15" hidden="false" customHeight="false" outlineLevel="0" collapsed="false">
      <c r="B208" s="250"/>
      <c r="C208" s="268" t="s">
        <v>339</v>
      </c>
      <c r="D208" s="268" t="s">
        <v>511</v>
      </c>
      <c r="E208" s="269" t="s">
        <v>508</v>
      </c>
      <c r="F208" s="269" t="s">
        <v>174</v>
      </c>
      <c r="G208" s="275" t="s">
        <v>175</v>
      </c>
      <c r="H208" s="261" t="s">
        <v>509</v>
      </c>
      <c r="I208" s="284" t="s">
        <v>110</v>
      </c>
    </row>
    <row r="209" customFormat="false" ht="15" hidden="false" customHeight="false" outlineLevel="0" collapsed="false">
      <c r="B209" s="250"/>
      <c r="C209" s="263" t="s">
        <v>155</v>
      </c>
      <c r="D209" s="263" t="s">
        <v>511</v>
      </c>
      <c r="E209" s="264" t="s">
        <v>508</v>
      </c>
      <c r="F209" s="264" t="s">
        <v>174</v>
      </c>
      <c r="G209" s="272" t="s">
        <v>175</v>
      </c>
      <c r="H209" s="266" t="s">
        <v>509</v>
      </c>
      <c r="I209" s="283" t="s">
        <v>110</v>
      </c>
    </row>
    <row r="210" customFormat="false" ht="15" hidden="false" customHeight="false" outlineLevel="0" collapsed="false">
      <c r="B210" s="250"/>
      <c r="C210" s="268" t="s">
        <v>259</v>
      </c>
      <c r="D210" s="268" t="s">
        <v>512</v>
      </c>
      <c r="E210" s="269" t="s">
        <v>508</v>
      </c>
      <c r="F210" s="269" t="s">
        <v>174</v>
      </c>
      <c r="G210" s="275" t="s">
        <v>175</v>
      </c>
      <c r="H210" s="261" t="s">
        <v>509</v>
      </c>
      <c r="I210" s="284" t="s">
        <v>110</v>
      </c>
    </row>
    <row r="211" customFormat="false" ht="15" hidden="false" customHeight="false" outlineLevel="0" collapsed="false">
      <c r="B211" s="250"/>
      <c r="C211" s="263" t="s">
        <v>259</v>
      </c>
      <c r="D211" s="263" t="s">
        <v>513</v>
      </c>
      <c r="E211" s="264" t="s">
        <v>474</v>
      </c>
      <c r="F211" s="264" t="s">
        <v>196</v>
      </c>
      <c r="G211" s="272" t="s">
        <v>175</v>
      </c>
      <c r="H211" s="266" t="s">
        <v>514</v>
      </c>
      <c r="I211" s="283" t="s">
        <v>198</v>
      </c>
    </row>
    <row r="212" customFormat="false" ht="15" hidden="false" customHeight="false" outlineLevel="0" collapsed="false">
      <c r="B212" s="250"/>
      <c r="C212" s="268" t="s">
        <v>214</v>
      </c>
      <c r="D212" s="268" t="s">
        <v>382</v>
      </c>
      <c r="E212" s="269" t="s">
        <v>226</v>
      </c>
      <c r="F212" s="269" t="s">
        <v>210</v>
      </c>
      <c r="G212" s="275" t="s">
        <v>175</v>
      </c>
      <c r="H212" s="261" t="s">
        <v>192</v>
      </c>
      <c r="I212" s="284" t="s">
        <v>198</v>
      </c>
    </row>
    <row r="213" customFormat="false" ht="15" hidden="false" customHeight="false" outlineLevel="0" collapsed="false">
      <c r="B213" s="250"/>
      <c r="C213" s="263" t="s">
        <v>515</v>
      </c>
      <c r="D213" s="263" t="s">
        <v>285</v>
      </c>
      <c r="E213" s="264" t="s">
        <v>516</v>
      </c>
      <c r="F213" s="264" t="s">
        <v>460</v>
      </c>
      <c r="G213" s="272" t="s">
        <v>175</v>
      </c>
      <c r="H213" s="266" t="s">
        <v>517</v>
      </c>
      <c r="I213" s="283" t="s">
        <v>198</v>
      </c>
    </row>
    <row r="214" customFormat="false" ht="15" hidden="false" customHeight="false" outlineLevel="0" collapsed="false">
      <c r="B214" s="250"/>
      <c r="C214" s="268" t="s">
        <v>155</v>
      </c>
      <c r="D214" s="268" t="s">
        <v>518</v>
      </c>
      <c r="E214" s="269" t="s">
        <v>516</v>
      </c>
      <c r="F214" s="269" t="s">
        <v>460</v>
      </c>
      <c r="G214" s="275" t="s">
        <v>175</v>
      </c>
      <c r="H214" s="261" t="s">
        <v>192</v>
      </c>
      <c r="I214" s="284" t="s">
        <v>198</v>
      </c>
    </row>
    <row r="215" customFormat="false" ht="15" hidden="false" customHeight="false" outlineLevel="0" collapsed="false">
      <c r="B215" s="250"/>
      <c r="C215" s="263" t="s">
        <v>413</v>
      </c>
      <c r="D215" s="263" t="s">
        <v>519</v>
      </c>
      <c r="E215" s="264" t="s">
        <v>520</v>
      </c>
      <c r="F215" s="264" t="s">
        <v>196</v>
      </c>
      <c r="G215" s="272" t="s">
        <v>175</v>
      </c>
      <c r="H215" s="266" t="s">
        <v>521</v>
      </c>
      <c r="I215" s="283" t="s">
        <v>198</v>
      </c>
    </row>
    <row r="216" customFormat="false" ht="15" hidden="false" customHeight="false" outlineLevel="0" collapsed="false">
      <c r="B216" s="250"/>
      <c r="C216" s="268" t="s">
        <v>256</v>
      </c>
      <c r="D216" s="268" t="s">
        <v>215</v>
      </c>
      <c r="E216" s="269" t="s">
        <v>522</v>
      </c>
      <c r="F216" s="269" t="s">
        <v>523</v>
      </c>
      <c r="G216" s="275" t="s">
        <v>175</v>
      </c>
      <c r="H216" s="261" t="s">
        <v>524</v>
      </c>
      <c r="I216" s="284" t="s">
        <v>198</v>
      </c>
    </row>
    <row r="217" customFormat="false" ht="15" hidden="false" customHeight="false" outlineLevel="0" collapsed="false">
      <c r="B217" s="250"/>
      <c r="C217" s="263" t="s">
        <v>111</v>
      </c>
      <c r="D217" s="263" t="s">
        <v>525</v>
      </c>
      <c r="E217" s="264" t="s">
        <v>526</v>
      </c>
      <c r="F217" s="264" t="s">
        <v>196</v>
      </c>
      <c r="G217" s="265" t="s">
        <v>175</v>
      </c>
      <c r="H217" s="266" t="s">
        <v>527</v>
      </c>
      <c r="I217" s="267" t="s">
        <v>198</v>
      </c>
    </row>
    <row r="218" customFormat="false" ht="15" hidden="false" customHeight="false" outlineLevel="0" collapsed="false">
      <c r="B218" s="285" t="n">
        <v>45762</v>
      </c>
      <c r="C218" s="261" t="s">
        <v>528</v>
      </c>
      <c r="D218" s="261" t="s">
        <v>205</v>
      </c>
      <c r="E218" s="269" t="s">
        <v>529</v>
      </c>
      <c r="F218" s="269" t="s">
        <v>185</v>
      </c>
      <c r="G218" s="286"/>
      <c r="H218" s="261" t="s">
        <v>530</v>
      </c>
      <c r="I218" s="284"/>
    </row>
    <row r="219" customFormat="false" ht="29.85" hidden="false" customHeight="false" outlineLevel="0" collapsed="false">
      <c r="B219" s="287" t="n">
        <v>45805</v>
      </c>
      <c r="C219" s="266" t="s">
        <v>531</v>
      </c>
      <c r="D219" s="266" t="s">
        <v>532</v>
      </c>
      <c r="E219" s="264" t="s">
        <v>533</v>
      </c>
      <c r="F219" s="264" t="s">
        <v>185</v>
      </c>
      <c r="G219" s="288" t="s">
        <v>175</v>
      </c>
      <c r="H219" s="274" t="s">
        <v>534</v>
      </c>
      <c r="I219" s="283"/>
    </row>
    <row r="220" customFormat="false" ht="15" hidden="false" customHeight="false" outlineLevel="0" collapsed="false">
      <c r="B220" s="285" t="n">
        <v>45810</v>
      </c>
      <c r="C220" s="261" t="s">
        <v>528</v>
      </c>
      <c r="D220" s="261" t="s">
        <v>205</v>
      </c>
      <c r="E220" s="269" t="s">
        <v>535</v>
      </c>
      <c r="F220" s="269" t="s">
        <v>185</v>
      </c>
      <c r="G220" s="286" t="s">
        <v>175</v>
      </c>
      <c r="H220" s="276" t="s">
        <v>536</v>
      </c>
      <c r="I220" s="284"/>
    </row>
    <row r="221" customFormat="false" ht="15" hidden="false" customHeight="false" outlineLevel="0" collapsed="false">
      <c r="B221" s="287" t="n">
        <v>45812</v>
      </c>
      <c r="C221" s="266" t="s">
        <v>537</v>
      </c>
      <c r="D221" s="266" t="s">
        <v>538</v>
      </c>
      <c r="E221" s="264" t="s">
        <v>539</v>
      </c>
      <c r="F221" s="264" t="s">
        <v>185</v>
      </c>
      <c r="G221" s="288" t="s">
        <v>175</v>
      </c>
      <c r="H221" s="274" t="s">
        <v>540</v>
      </c>
      <c r="I221" s="283"/>
    </row>
    <row r="222" customFormat="false" ht="29.85" hidden="false" customHeight="false" outlineLevel="0" collapsed="false">
      <c r="B222" s="285" t="n">
        <v>45827</v>
      </c>
      <c r="C222" s="261" t="s">
        <v>541</v>
      </c>
      <c r="D222" s="261" t="s">
        <v>542</v>
      </c>
      <c r="E222" s="269" t="s">
        <v>543</v>
      </c>
      <c r="F222" s="269" t="s">
        <v>185</v>
      </c>
      <c r="G222" s="286" t="s">
        <v>175</v>
      </c>
      <c r="H222" s="276" t="s">
        <v>544</v>
      </c>
      <c r="I222" s="284"/>
    </row>
    <row r="223" customFormat="false" ht="29.85" hidden="false" customHeight="false" outlineLevel="0" collapsed="false">
      <c r="B223" s="287" t="n">
        <v>45831</v>
      </c>
      <c r="C223" s="266" t="s">
        <v>545</v>
      </c>
      <c r="D223" s="266" t="s">
        <v>546</v>
      </c>
      <c r="E223" s="264" t="s">
        <v>547</v>
      </c>
      <c r="F223" s="264" t="s">
        <v>185</v>
      </c>
      <c r="G223" s="288" t="s">
        <v>175</v>
      </c>
      <c r="H223" s="274" t="s">
        <v>548</v>
      </c>
      <c r="I223" s="283"/>
    </row>
    <row r="224" customFormat="false" ht="29.85" hidden="false" customHeight="false" outlineLevel="0" collapsed="false">
      <c r="B224" s="285" t="n">
        <v>45849</v>
      </c>
      <c r="C224" s="261" t="s">
        <v>541</v>
      </c>
      <c r="D224" s="261" t="s">
        <v>549</v>
      </c>
      <c r="E224" s="286" t="s">
        <v>550</v>
      </c>
      <c r="F224" s="269" t="s">
        <v>185</v>
      </c>
      <c r="G224" s="286" t="s">
        <v>175</v>
      </c>
      <c r="H224" s="276" t="s">
        <v>551</v>
      </c>
      <c r="I224" s="284"/>
    </row>
    <row r="225" customFormat="false" ht="29.85" hidden="false" customHeight="false" outlineLevel="0" collapsed="false">
      <c r="B225" s="287" t="n">
        <v>45866</v>
      </c>
      <c r="C225" s="266" t="s">
        <v>552</v>
      </c>
      <c r="D225" s="266" t="s">
        <v>553</v>
      </c>
      <c r="E225" s="264" t="s">
        <v>554</v>
      </c>
      <c r="F225" s="264" t="s">
        <v>185</v>
      </c>
      <c r="G225" s="288" t="s">
        <v>175</v>
      </c>
      <c r="H225" s="274" t="s">
        <v>555</v>
      </c>
      <c r="I225" s="283"/>
    </row>
    <row r="226" customFormat="false" ht="29.85" hidden="false" customHeight="false" outlineLevel="0" collapsed="false">
      <c r="B226" s="285" t="n">
        <v>45867</v>
      </c>
      <c r="C226" s="261" t="s">
        <v>552</v>
      </c>
      <c r="D226" s="261" t="s">
        <v>556</v>
      </c>
      <c r="E226" s="269" t="s">
        <v>557</v>
      </c>
      <c r="F226" s="269" t="s">
        <v>185</v>
      </c>
      <c r="G226" s="286" t="s">
        <v>175</v>
      </c>
      <c r="H226" s="276" t="s">
        <v>558</v>
      </c>
      <c r="I226" s="284"/>
    </row>
    <row r="227" customFormat="false" ht="15" hidden="false" customHeight="false" outlineLevel="0" collapsed="false">
      <c r="B227" s="287" t="n">
        <v>45868</v>
      </c>
      <c r="C227" s="266" t="s">
        <v>541</v>
      </c>
      <c r="D227" s="266" t="s">
        <v>553</v>
      </c>
      <c r="E227" s="264" t="s">
        <v>559</v>
      </c>
      <c r="F227" s="264" t="s">
        <v>185</v>
      </c>
      <c r="G227" s="288" t="s">
        <v>175</v>
      </c>
      <c r="H227" s="266" t="s">
        <v>560</v>
      </c>
      <c r="I227" s="283"/>
    </row>
    <row r="228" customFormat="false" ht="29.85" hidden="false" customHeight="false" outlineLevel="0" collapsed="false">
      <c r="B228" s="285" t="n">
        <v>45868</v>
      </c>
      <c r="C228" s="261" t="s">
        <v>552</v>
      </c>
      <c r="D228" s="261" t="s">
        <v>561</v>
      </c>
      <c r="E228" s="269" t="s">
        <v>562</v>
      </c>
      <c r="F228" s="269" t="s">
        <v>185</v>
      </c>
      <c r="G228" s="286" t="s">
        <v>175</v>
      </c>
      <c r="H228" s="276" t="s">
        <v>563</v>
      </c>
      <c r="I228" s="284"/>
    </row>
    <row r="229" customFormat="false" ht="44" hidden="false" customHeight="false" outlineLevel="0" collapsed="false">
      <c r="B229" s="287" t="n">
        <v>45869</v>
      </c>
      <c r="C229" s="266" t="s">
        <v>369</v>
      </c>
      <c r="D229" s="266" t="s">
        <v>564</v>
      </c>
      <c r="E229" s="264" t="s">
        <v>565</v>
      </c>
      <c r="F229" s="264" t="s">
        <v>185</v>
      </c>
      <c r="G229" s="288" t="s">
        <v>175</v>
      </c>
      <c r="H229" s="274" t="s">
        <v>566</v>
      </c>
      <c r="I229" s="283"/>
    </row>
    <row r="230" customFormat="false" ht="29.85" hidden="false" customHeight="false" outlineLevel="0" collapsed="false">
      <c r="B230" s="285" t="n">
        <v>45874</v>
      </c>
      <c r="C230" s="261" t="s">
        <v>567</v>
      </c>
      <c r="D230" s="261" t="s">
        <v>532</v>
      </c>
      <c r="E230" s="269" t="s">
        <v>568</v>
      </c>
      <c r="F230" s="269" t="s">
        <v>185</v>
      </c>
      <c r="G230" s="286" t="s">
        <v>175</v>
      </c>
      <c r="H230" s="276" t="s">
        <v>569</v>
      </c>
      <c r="I230" s="284"/>
    </row>
    <row r="231" customFormat="false" ht="58.2" hidden="false" customHeight="false" outlineLevel="0" collapsed="false">
      <c r="B231" s="287" t="n">
        <v>45877</v>
      </c>
      <c r="C231" s="266" t="s">
        <v>313</v>
      </c>
      <c r="D231" s="266" t="s">
        <v>215</v>
      </c>
      <c r="E231" s="288" t="s">
        <v>570</v>
      </c>
      <c r="F231" s="264" t="s">
        <v>320</v>
      </c>
      <c r="G231" s="288" t="s">
        <v>175</v>
      </c>
      <c r="H231" s="274" t="s">
        <v>571</v>
      </c>
      <c r="I231" s="283"/>
    </row>
    <row r="232" customFormat="false" ht="29.85" hidden="false" customHeight="false" outlineLevel="0" collapsed="false">
      <c r="B232" s="285" t="n">
        <v>45882</v>
      </c>
      <c r="C232" s="261" t="s">
        <v>541</v>
      </c>
      <c r="D232" s="261" t="s">
        <v>549</v>
      </c>
      <c r="E232" s="269" t="s">
        <v>572</v>
      </c>
      <c r="F232" s="269" t="s">
        <v>185</v>
      </c>
      <c r="G232" s="286" t="s">
        <v>175</v>
      </c>
      <c r="H232" s="276" t="s">
        <v>573</v>
      </c>
      <c r="I232" s="284"/>
    </row>
    <row r="233" customFormat="false" ht="44" hidden="false" customHeight="false" outlineLevel="0" collapsed="false">
      <c r="B233" s="287" t="n">
        <v>45882</v>
      </c>
      <c r="C233" s="266" t="s">
        <v>541</v>
      </c>
      <c r="D233" s="266" t="s">
        <v>215</v>
      </c>
      <c r="E233" s="264" t="s">
        <v>574</v>
      </c>
      <c r="F233" s="264" t="s">
        <v>185</v>
      </c>
      <c r="G233" s="288" t="s">
        <v>175</v>
      </c>
      <c r="H233" s="274" t="s">
        <v>575</v>
      </c>
      <c r="I233" s="283"/>
    </row>
    <row r="234" customFormat="false" ht="44" hidden="false" customHeight="false" outlineLevel="0" collapsed="false">
      <c r="B234" s="285" t="n">
        <v>45883</v>
      </c>
      <c r="C234" s="261" t="s">
        <v>541</v>
      </c>
      <c r="D234" s="261" t="s">
        <v>553</v>
      </c>
      <c r="E234" s="269" t="s">
        <v>576</v>
      </c>
      <c r="F234" s="269" t="s">
        <v>185</v>
      </c>
      <c r="G234" s="286" t="s">
        <v>175</v>
      </c>
      <c r="H234" s="276" t="s">
        <v>577</v>
      </c>
      <c r="I234" s="284"/>
    </row>
    <row r="235" customFormat="false" ht="15" hidden="false" customHeight="false" outlineLevel="0" collapsed="false">
      <c r="B235" s="287" t="n">
        <v>45883</v>
      </c>
      <c r="C235" s="266" t="s">
        <v>541</v>
      </c>
      <c r="D235" s="266" t="s">
        <v>549</v>
      </c>
      <c r="E235" s="288" t="s">
        <v>578</v>
      </c>
      <c r="F235" s="264" t="s">
        <v>185</v>
      </c>
      <c r="G235" s="288" t="s">
        <v>175</v>
      </c>
      <c r="H235" s="266" t="s">
        <v>579</v>
      </c>
      <c r="I235" s="283"/>
    </row>
    <row r="236" customFormat="false" ht="15" hidden="false" customHeight="false" outlineLevel="0" collapsed="false">
      <c r="B236" s="285" t="n">
        <v>45889</v>
      </c>
      <c r="C236" s="261" t="s">
        <v>243</v>
      </c>
      <c r="D236" s="261" t="s">
        <v>258</v>
      </c>
      <c r="E236" s="286" t="s">
        <v>226</v>
      </c>
      <c r="F236" s="269" t="s">
        <v>523</v>
      </c>
      <c r="G236" s="286" t="s">
        <v>175</v>
      </c>
      <c r="H236" s="261" t="s">
        <v>580</v>
      </c>
      <c r="I236" s="284" t="s">
        <v>198</v>
      </c>
    </row>
    <row r="237" customFormat="false" ht="15" hidden="false" customHeight="false" outlineLevel="0" collapsed="false">
      <c r="B237" s="287" t="n">
        <v>45890</v>
      </c>
      <c r="C237" s="266" t="s">
        <v>581</v>
      </c>
      <c r="D237" s="266" t="s">
        <v>582</v>
      </c>
      <c r="E237" s="264" t="s">
        <v>583</v>
      </c>
      <c r="F237" s="264" t="s">
        <v>451</v>
      </c>
      <c r="G237" s="288" t="s">
        <v>175</v>
      </c>
      <c r="H237" s="274" t="s">
        <v>580</v>
      </c>
      <c r="I237" s="283" t="s">
        <v>198</v>
      </c>
    </row>
    <row r="238" customFormat="false" ht="29.85" hidden="false" customHeight="false" outlineLevel="0" collapsed="false">
      <c r="B238" s="285" t="n">
        <v>45890</v>
      </c>
      <c r="C238" s="261" t="s">
        <v>584</v>
      </c>
      <c r="D238" s="261" t="s">
        <v>290</v>
      </c>
      <c r="E238" s="269" t="s">
        <v>585</v>
      </c>
      <c r="F238" s="269" t="s">
        <v>196</v>
      </c>
      <c r="G238" s="286" t="s">
        <v>175</v>
      </c>
      <c r="H238" s="276" t="s">
        <v>586</v>
      </c>
      <c r="I238" s="284" t="s">
        <v>198</v>
      </c>
    </row>
    <row r="239" customFormat="false" ht="15" hidden="false" customHeight="false" outlineLevel="0" collapsed="false">
      <c r="B239" s="287" t="n">
        <v>45890</v>
      </c>
      <c r="C239" s="266" t="s">
        <v>541</v>
      </c>
      <c r="D239" s="266" t="s">
        <v>258</v>
      </c>
      <c r="E239" s="264" t="s">
        <v>585</v>
      </c>
      <c r="F239" s="264" t="s">
        <v>196</v>
      </c>
      <c r="G239" s="288" t="s">
        <v>175</v>
      </c>
      <c r="H239" s="274" t="s">
        <v>587</v>
      </c>
      <c r="I239" s="283" t="s">
        <v>198</v>
      </c>
    </row>
    <row r="240" customFormat="false" ht="29.85" hidden="false" customHeight="false" outlineLevel="0" collapsed="false">
      <c r="B240" s="285" t="n">
        <v>45890</v>
      </c>
      <c r="C240" s="261" t="s">
        <v>181</v>
      </c>
      <c r="D240" s="261" t="s">
        <v>215</v>
      </c>
      <c r="E240" s="269" t="s">
        <v>588</v>
      </c>
      <c r="F240" s="269" t="s">
        <v>589</v>
      </c>
      <c r="G240" s="286" t="s">
        <v>175</v>
      </c>
      <c r="H240" s="276" t="s">
        <v>590</v>
      </c>
      <c r="I240" s="284" t="s">
        <v>198</v>
      </c>
    </row>
    <row r="241" customFormat="false" ht="15" hidden="false" customHeight="false" outlineLevel="0" collapsed="false">
      <c r="B241" s="287" t="n">
        <v>46255</v>
      </c>
      <c r="C241" s="266" t="s">
        <v>214</v>
      </c>
      <c r="D241" s="266" t="s">
        <v>382</v>
      </c>
      <c r="E241" s="264" t="s">
        <v>226</v>
      </c>
      <c r="F241" s="264" t="s">
        <v>210</v>
      </c>
      <c r="G241" s="288" t="s">
        <v>175</v>
      </c>
      <c r="H241" s="266" t="s">
        <v>580</v>
      </c>
      <c r="I241" s="283" t="s">
        <v>198</v>
      </c>
    </row>
    <row r="242" customFormat="false" ht="15" hidden="false" customHeight="false" outlineLevel="0" collapsed="false">
      <c r="B242" s="285" t="n">
        <v>46255</v>
      </c>
      <c r="C242" s="261" t="s">
        <v>567</v>
      </c>
      <c r="D242" s="261" t="s">
        <v>215</v>
      </c>
      <c r="E242" s="269" t="s">
        <v>585</v>
      </c>
      <c r="F242" s="269" t="s">
        <v>196</v>
      </c>
      <c r="G242" s="286" t="s">
        <v>175</v>
      </c>
      <c r="H242" s="276" t="s">
        <v>591</v>
      </c>
      <c r="I242" s="284" t="s">
        <v>198</v>
      </c>
    </row>
    <row r="243" customFormat="false" ht="29.85" hidden="false" customHeight="false" outlineLevel="0" collapsed="false">
      <c r="B243" s="285" t="n">
        <v>45820</v>
      </c>
      <c r="C243" s="261" t="s">
        <v>214</v>
      </c>
      <c r="D243" s="261" t="s">
        <v>382</v>
      </c>
      <c r="E243" s="269" t="s">
        <v>370</v>
      </c>
      <c r="F243" s="286" t="s">
        <v>210</v>
      </c>
      <c r="G243" s="286" t="s">
        <v>175</v>
      </c>
      <c r="H243" s="274" t="s">
        <v>592</v>
      </c>
      <c r="I243" s="284"/>
    </row>
    <row r="244" customFormat="false" ht="44" hidden="false" customHeight="false" outlineLevel="0" collapsed="false">
      <c r="B244" s="287" t="n">
        <v>45820</v>
      </c>
      <c r="C244" s="266" t="s">
        <v>155</v>
      </c>
      <c r="D244" s="266" t="s">
        <v>215</v>
      </c>
      <c r="E244" s="264" t="s">
        <v>593</v>
      </c>
      <c r="F244" s="288" t="s">
        <v>210</v>
      </c>
      <c r="G244" s="288" t="s">
        <v>175</v>
      </c>
      <c r="H244" s="274" t="s">
        <v>594</v>
      </c>
      <c r="I244" s="283"/>
    </row>
    <row r="245" customFormat="false" ht="44" hidden="false" customHeight="false" outlineLevel="0" collapsed="false">
      <c r="B245" s="285" t="n">
        <v>45820</v>
      </c>
      <c r="C245" s="261" t="s">
        <v>214</v>
      </c>
      <c r="D245" s="261" t="s">
        <v>215</v>
      </c>
      <c r="E245" s="269" t="s">
        <v>593</v>
      </c>
      <c r="F245" s="286" t="s">
        <v>210</v>
      </c>
      <c r="G245" s="286" t="s">
        <v>175</v>
      </c>
      <c r="H245" s="274" t="s">
        <v>594</v>
      </c>
      <c r="I245" s="284"/>
    </row>
    <row r="246" customFormat="false" ht="15" hidden="false" customHeight="false" outlineLevel="0" collapsed="false">
      <c r="B246" s="287" t="n">
        <v>45827</v>
      </c>
      <c r="C246" s="266" t="s">
        <v>155</v>
      </c>
      <c r="D246" s="266" t="s">
        <v>215</v>
      </c>
      <c r="E246" s="264" t="s">
        <v>595</v>
      </c>
      <c r="F246" s="288" t="s">
        <v>210</v>
      </c>
      <c r="G246" s="288" t="s">
        <v>175</v>
      </c>
      <c r="H246" s="274" t="s">
        <v>596</v>
      </c>
      <c r="I246" s="283"/>
    </row>
    <row r="247" customFormat="false" ht="29.85" hidden="false" customHeight="false" outlineLevel="0" collapsed="false">
      <c r="B247" s="285" t="n">
        <v>45827</v>
      </c>
      <c r="C247" s="266" t="s">
        <v>214</v>
      </c>
      <c r="D247" s="261" t="s">
        <v>215</v>
      </c>
      <c r="E247" s="269" t="s">
        <v>595</v>
      </c>
      <c r="F247" s="286" t="s">
        <v>210</v>
      </c>
      <c r="G247" s="286" t="s">
        <v>175</v>
      </c>
      <c r="H247" s="274" t="s">
        <v>597</v>
      </c>
      <c r="I247" s="284"/>
    </row>
    <row r="248" customFormat="false" ht="15" hidden="false" customHeight="false" outlineLevel="0" collapsed="false">
      <c r="B248" s="287" t="n">
        <v>45847</v>
      </c>
      <c r="C248" s="266" t="s">
        <v>214</v>
      </c>
      <c r="D248" s="266" t="s">
        <v>382</v>
      </c>
      <c r="E248" s="264" t="s">
        <v>598</v>
      </c>
      <c r="F248" s="288" t="s">
        <v>210</v>
      </c>
      <c r="G248" s="288" t="s">
        <v>175</v>
      </c>
      <c r="H248" s="274" t="s">
        <v>599</v>
      </c>
      <c r="I248" s="283"/>
    </row>
    <row r="249" customFormat="false" ht="29.85" hidden="false" customHeight="false" outlineLevel="0" collapsed="false">
      <c r="B249" s="285" t="n">
        <v>45849</v>
      </c>
      <c r="C249" s="266" t="s">
        <v>155</v>
      </c>
      <c r="D249" s="266" t="s">
        <v>215</v>
      </c>
      <c r="E249" s="264" t="s">
        <v>600</v>
      </c>
      <c r="F249" s="286" t="s">
        <v>210</v>
      </c>
      <c r="G249" s="286" t="s">
        <v>175</v>
      </c>
      <c r="H249" s="274" t="s">
        <v>601</v>
      </c>
      <c r="I249" s="284"/>
    </row>
    <row r="250" customFormat="false" ht="15" hidden="false" customHeight="false" outlineLevel="0" collapsed="false">
      <c r="B250" s="287" t="n">
        <v>45859</v>
      </c>
      <c r="C250" s="266" t="s">
        <v>214</v>
      </c>
      <c r="D250" s="266" t="s">
        <v>382</v>
      </c>
      <c r="E250" s="264" t="s">
        <v>602</v>
      </c>
      <c r="F250" s="288" t="s">
        <v>210</v>
      </c>
      <c r="G250" s="288" t="s">
        <v>175</v>
      </c>
      <c r="H250" s="274" t="s">
        <v>603</v>
      </c>
      <c r="I250" s="283"/>
    </row>
    <row r="251" customFormat="false" ht="15" hidden="false" customHeight="false" outlineLevel="0" collapsed="false">
      <c r="B251" s="285" t="n">
        <v>45859</v>
      </c>
      <c r="C251" s="266" t="s">
        <v>155</v>
      </c>
      <c r="D251" s="261" t="s">
        <v>215</v>
      </c>
      <c r="E251" s="269" t="s">
        <v>602</v>
      </c>
      <c r="F251" s="286" t="s">
        <v>210</v>
      </c>
      <c r="G251" s="286" t="s">
        <v>175</v>
      </c>
      <c r="H251" s="274" t="s">
        <v>603</v>
      </c>
      <c r="I251" s="284"/>
    </row>
    <row r="252" customFormat="false" ht="44" hidden="false" customHeight="false" outlineLevel="0" collapsed="false">
      <c r="B252" s="289" t="n">
        <v>45860</v>
      </c>
      <c r="C252" s="290" t="s">
        <v>155</v>
      </c>
      <c r="D252" s="290" t="s">
        <v>215</v>
      </c>
      <c r="E252" s="291" t="s">
        <v>226</v>
      </c>
      <c r="F252" s="292" t="s">
        <v>210</v>
      </c>
      <c r="G252" s="292" t="s">
        <v>175</v>
      </c>
      <c r="H252" s="293" t="s">
        <v>604</v>
      </c>
      <c r="I252" s="294"/>
    </row>
    <row r="253" customFormat="false" ht="44" hidden="false" customHeight="false" outlineLevel="0" collapsed="false">
      <c r="B253" s="295" t="n">
        <v>45876</v>
      </c>
      <c r="C253" s="290" t="s">
        <v>155</v>
      </c>
      <c r="D253" s="290" t="s">
        <v>215</v>
      </c>
      <c r="E253" s="291" t="s">
        <v>605</v>
      </c>
      <c r="F253" s="296" t="s">
        <v>210</v>
      </c>
      <c r="G253" s="296" t="s">
        <v>175</v>
      </c>
      <c r="H253" s="293" t="s">
        <v>606</v>
      </c>
      <c r="I253" s="297"/>
    </row>
    <row r="254" customFormat="false" ht="44" hidden="false" customHeight="false" outlineLevel="0" collapsed="false">
      <c r="B254" s="289" t="n">
        <v>45881</v>
      </c>
      <c r="C254" s="290" t="s">
        <v>214</v>
      </c>
      <c r="D254" s="290" t="s">
        <v>382</v>
      </c>
      <c r="E254" s="291" t="s">
        <v>84</v>
      </c>
      <c r="F254" s="292" t="s">
        <v>210</v>
      </c>
      <c r="G254" s="292" t="s">
        <v>175</v>
      </c>
      <c r="H254" s="293" t="s">
        <v>607</v>
      </c>
      <c r="I254" s="294"/>
    </row>
    <row r="255" customFormat="false" ht="29.85" hidden="false" customHeight="false" outlineLevel="0" collapsed="false">
      <c r="B255" s="295" t="n">
        <v>45890</v>
      </c>
      <c r="C255" s="298" t="s">
        <v>214</v>
      </c>
      <c r="D255" s="298" t="s">
        <v>382</v>
      </c>
      <c r="E255" s="299" t="s">
        <v>608</v>
      </c>
      <c r="F255" s="296" t="s">
        <v>210</v>
      </c>
      <c r="G255" s="296" t="s">
        <v>175</v>
      </c>
      <c r="H255" s="300" t="s">
        <v>609</v>
      </c>
      <c r="I255" s="297"/>
    </row>
    <row r="256" customFormat="false" ht="29.85" hidden="false" customHeight="false" outlineLevel="0" collapsed="false">
      <c r="B256" s="289" t="n">
        <v>45895</v>
      </c>
      <c r="C256" s="290" t="s">
        <v>224</v>
      </c>
      <c r="D256" s="290" t="s">
        <v>582</v>
      </c>
      <c r="E256" s="291" t="s">
        <v>610</v>
      </c>
      <c r="F256" s="291" t="s">
        <v>611</v>
      </c>
      <c r="G256" s="292" t="s">
        <v>175</v>
      </c>
      <c r="H256" s="293" t="s">
        <v>612</v>
      </c>
      <c r="I256" s="294" t="s">
        <v>198</v>
      </c>
    </row>
    <row r="257" customFormat="false" ht="44" hidden="false" customHeight="false" outlineLevel="0" collapsed="false">
      <c r="B257" s="295" t="n">
        <v>45895</v>
      </c>
      <c r="C257" s="290" t="s">
        <v>214</v>
      </c>
      <c r="D257" s="298" t="s">
        <v>382</v>
      </c>
      <c r="E257" s="299" t="s">
        <v>613</v>
      </c>
      <c r="F257" s="296" t="s">
        <v>210</v>
      </c>
      <c r="G257" s="296" t="s">
        <v>175</v>
      </c>
      <c r="H257" s="300" t="s">
        <v>614</v>
      </c>
      <c r="I257" s="297"/>
    </row>
    <row r="258" customFormat="false" ht="15" hidden="false" customHeight="false" outlineLevel="0" collapsed="false">
      <c r="B258" s="289" t="n">
        <v>45897</v>
      </c>
      <c r="C258" s="290" t="s">
        <v>181</v>
      </c>
      <c r="D258" s="290" t="s">
        <v>215</v>
      </c>
      <c r="E258" s="291" t="s">
        <v>490</v>
      </c>
      <c r="F258" s="301" t="s">
        <v>280</v>
      </c>
      <c r="G258" s="292" t="s">
        <v>175</v>
      </c>
      <c r="H258" s="302" t="s">
        <v>615</v>
      </c>
      <c r="I258" s="294"/>
    </row>
    <row r="259" customFormat="false" ht="15" hidden="false" customHeight="false" outlineLevel="0" collapsed="false">
      <c r="B259" s="295" t="n">
        <v>45897</v>
      </c>
      <c r="C259" s="298" t="s">
        <v>181</v>
      </c>
      <c r="D259" s="298" t="s">
        <v>215</v>
      </c>
      <c r="E259" s="296" t="s">
        <v>616</v>
      </c>
      <c r="F259" s="299" t="s">
        <v>589</v>
      </c>
      <c r="G259" s="296" t="s">
        <v>175</v>
      </c>
      <c r="H259" s="303" t="s">
        <v>617</v>
      </c>
      <c r="I259" s="297" t="s">
        <v>198</v>
      </c>
    </row>
    <row r="260" customFormat="false" ht="29.85" hidden="false" customHeight="false" outlineLevel="0" collapsed="false">
      <c r="B260" s="289" t="n">
        <v>45897</v>
      </c>
      <c r="C260" s="290" t="s">
        <v>618</v>
      </c>
      <c r="D260" s="290" t="s">
        <v>619</v>
      </c>
      <c r="E260" s="291" t="s">
        <v>620</v>
      </c>
      <c r="F260" s="291" t="s">
        <v>196</v>
      </c>
      <c r="G260" s="292" t="s">
        <v>175</v>
      </c>
      <c r="H260" s="293" t="s">
        <v>621</v>
      </c>
      <c r="I260" s="294" t="s">
        <v>198</v>
      </c>
    </row>
    <row r="261" customFormat="false" ht="29.85" hidden="false" customHeight="false" outlineLevel="0" collapsed="false">
      <c r="B261" s="295" t="n">
        <v>45897</v>
      </c>
      <c r="C261" s="298" t="s">
        <v>253</v>
      </c>
      <c r="D261" s="298" t="s">
        <v>546</v>
      </c>
      <c r="E261" s="299" t="s">
        <v>620</v>
      </c>
      <c r="F261" s="299" t="s">
        <v>196</v>
      </c>
      <c r="G261" s="296" t="s">
        <v>175</v>
      </c>
      <c r="H261" s="300" t="s">
        <v>622</v>
      </c>
      <c r="I261" s="297" t="s">
        <v>198</v>
      </c>
    </row>
    <row r="262" customFormat="false" ht="15" hidden="false" customHeight="false" outlineLevel="0" collapsed="false">
      <c r="B262" s="287" t="n">
        <v>45898</v>
      </c>
      <c r="C262" s="266" t="s">
        <v>623</v>
      </c>
      <c r="D262" s="266" t="s">
        <v>582</v>
      </c>
      <c r="E262" s="288" t="s">
        <v>624</v>
      </c>
      <c r="F262" s="264" t="s">
        <v>196</v>
      </c>
      <c r="G262" s="288" t="s">
        <v>175</v>
      </c>
      <c r="H262" s="266" t="s">
        <v>625</v>
      </c>
      <c r="I262" s="283" t="s">
        <v>198</v>
      </c>
    </row>
    <row r="263" customFormat="false" ht="29.85" hidden="false" customHeight="false" outlineLevel="0" collapsed="false">
      <c r="B263" s="285" t="n">
        <v>45902</v>
      </c>
      <c r="C263" s="261" t="s">
        <v>626</v>
      </c>
      <c r="D263" s="261" t="s">
        <v>205</v>
      </c>
      <c r="E263" s="269" t="s">
        <v>627</v>
      </c>
      <c r="F263" s="286" t="s">
        <v>196</v>
      </c>
      <c r="G263" s="286" t="s">
        <v>175</v>
      </c>
      <c r="H263" s="274" t="s">
        <v>628</v>
      </c>
      <c r="I263" s="284" t="s">
        <v>198</v>
      </c>
    </row>
    <row r="264" customFormat="false" ht="15" hidden="false" customHeight="false" outlineLevel="0" collapsed="false">
      <c r="B264" s="287" t="n">
        <v>45903</v>
      </c>
      <c r="C264" s="266" t="s">
        <v>629</v>
      </c>
      <c r="D264" s="266" t="s">
        <v>258</v>
      </c>
      <c r="E264" s="264" t="s">
        <v>630</v>
      </c>
      <c r="F264" s="288" t="s">
        <v>196</v>
      </c>
      <c r="G264" s="288" t="s">
        <v>175</v>
      </c>
      <c r="H264" s="274" t="s">
        <v>631</v>
      </c>
      <c r="I264" s="283" t="s">
        <v>198</v>
      </c>
    </row>
    <row r="265" customFormat="false" ht="72.35" hidden="false" customHeight="false" outlineLevel="0" collapsed="false">
      <c r="B265" s="285" t="n">
        <v>45903</v>
      </c>
      <c r="C265" s="261" t="s">
        <v>224</v>
      </c>
      <c r="D265" s="261" t="s">
        <v>290</v>
      </c>
      <c r="E265" s="269" t="s">
        <v>585</v>
      </c>
      <c r="F265" s="286" t="s">
        <v>196</v>
      </c>
      <c r="G265" s="286" t="s">
        <v>632</v>
      </c>
      <c r="H265" s="274" t="s">
        <v>633</v>
      </c>
      <c r="I265" s="284" t="s">
        <v>198</v>
      </c>
    </row>
    <row r="266" customFormat="false" ht="15" hidden="false" customHeight="false" outlineLevel="0" collapsed="false">
      <c r="B266" s="287" t="n">
        <v>45903</v>
      </c>
      <c r="C266" s="266" t="s">
        <v>214</v>
      </c>
      <c r="D266" s="266" t="s">
        <v>307</v>
      </c>
      <c r="E266" s="264" t="s">
        <v>226</v>
      </c>
      <c r="F266" s="288" t="s">
        <v>210</v>
      </c>
      <c r="G266" s="288" t="s">
        <v>175</v>
      </c>
      <c r="H266" s="274" t="s">
        <v>634</v>
      </c>
      <c r="I266" s="283"/>
    </row>
    <row r="267" customFormat="false" ht="15" hidden="false" customHeight="false" outlineLevel="0" collapsed="false">
      <c r="B267" s="285" t="n">
        <v>45904</v>
      </c>
      <c r="C267" s="266" t="s">
        <v>256</v>
      </c>
      <c r="D267" s="261" t="s">
        <v>635</v>
      </c>
      <c r="E267" s="269" t="s">
        <v>636</v>
      </c>
      <c r="F267" s="286" t="s">
        <v>185</v>
      </c>
      <c r="G267" s="286" t="s">
        <v>175</v>
      </c>
      <c r="H267" s="274" t="s">
        <v>634</v>
      </c>
      <c r="I267" s="284"/>
    </row>
    <row r="268" customFormat="false" ht="15" hidden="false" customHeight="false" outlineLevel="0" collapsed="false">
      <c r="B268" s="287" t="n">
        <v>45904</v>
      </c>
      <c r="C268" s="266" t="s">
        <v>470</v>
      </c>
      <c r="D268" s="266" t="s">
        <v>637</v>
      </c>
      <c r="E268" s="264" t="s">
        <v>226</v>
      </c>
      <c r="F268" s="288" t="s">
        <v>210</v>
      </c>
      <c r="G268" s="288" t="s">
        <v>175</v>
      </c>
      <c r="H268" s="274" t="s">
        <v>638</v>
      </c>
      <c r="I268" s="283"/>
    </row>
    <row r="269" customFormat="false" ht="29.85" hidden="false" customHeight="false" outlineLevel="0" collapsed="false">
      <c r="B269" s="285" t="n">
        <v>45905</v>
      </c>
      <c r="C269" s="261" t="s">
        <v>639</v>
      </c>
      <c r="D269" s="261" t="s">
        <v>582</v>
      </c>
      <c r="E269" s="269" t="s">
        <v>640</v>
      </c>
      <c r="F269" s="286" t="s">
        <v>451</v>
      </c>
      <c r="G269" s="286" t="s">
        <v>175</v>
      </c>
      <c r="H269" s="274" t="s">
        <v>641</v>
      </c>
      <c r="I269" s="284" t="s">
        <v>177</v>
      </c>
    </row>
    <row r="270" customFormat="false" ht="15" hidden="false" customHeight="false" outlineLevel="0" collapsed="false">
      <c r="B270" s="287" t="n">
        <v>45909</v>
      </c>
      <c r="C270" s="266" t="s">
        <v>224</v>
      </c>
      <c r="D270" s="266" t="s">
        <v>215</v>
      </c>
      <c r="E270" s="264" t="s">
        <v>642</v>
      </c>
      <c r="F270" s="288" t="s">
        <v>643</v>
      </c>
      <c r="G270" s="288" t="s">
        <v>175</v>
      </c>
      <c r="H270" s="274" t="s">
        <v>644</v>
      </c>
      <c r="I270" s="283" t="s">
        <v>198</v>
      </c>
    </row>
    <row r="271" customFormat="false" ht="15" hidden="false" customHeight="false" outlineLevel="0" collapsed="false">
      <c r="B271" s="285" t="n">
        <v>45909</v>
      </c>
      <c r="C271" s="261" t="s">
        <v>623</v>
      </c>
      <c r="D271" s="261" t="s">
        <v>582</v>
      </c>
      <c r="E271" s="269" t="s">
        <v>645</v>
      </c>
      <c r="F271" s="286" t="s">
        <v>196</v>
      </c>
      <c r="G271" s="286" t="s">
        <v>175</v>
      </c>
      <c r="H271" s="274" t="s">
        <v>646</v>
      </c>
      <c r="I271" s="284" t="s">
        <v>198</v>
      </c>
    </row>
    <row r="272" customFormat="false" ht="29.85" hidden="false" customHeight="false" outlineLevel="0" collapsed="false">
      <c r="B272" s="287" t="n">
        <v>45909</v>
      </c>
      <c r="C272" s="266" t="s">
        <v>246</v>
      </c>
      <c r="D272" s="266" t="s">
        <v>647</v>
      </c>
      <c r="E272" s="264" t="s">
        <v>648</v>
      </c>
      <c r="F272" s="288" t="s">
        <v>649</v>
      </c>
      <c r="G272" s="288" t="s">
        <v>175</v>
      </c>
      <c r="H272" s="274" t="s">
        <v>650</v>
      </c>
      <c r="I272" s="283" t="s">
        <v>177</v>
      </c>
    </row>
    <row r="273" customFormat="false" ht="29.85" hidden="false" customHeight="false" outlineLevel="0" collapsed="false">
      <c r="B273" s="285" t="n">
        <v>45909</v>
      </c>
      <c r="C273" s="266" t="s">
        <v>250</v>
      </c>
      <c r="D273" s="261" t="s">
        <v>651</v>
      </c>
      <c r="E273" s="269" t="s">
        <v>648</v>
      </c>
      <c r="F273" s="286" t="s">
        <v>649</v>
      </c>
      <c r="G273" s="286" t="s">
        <v>175</v>
      </c>
      <c r="H273" s="274" t="s">
        <v>650</v>
      </c>
      <c r="I273" s="284" t="s">
        <v>177</v>
      </c>
    </row>
    <row r="274" customFormat="false" ht="29.85" hidden="false" customHeight="false" outlineLevel="0" collapsed="false">
      <c r="B274" s="287" t="n">
        <v>45909</v>
      </c>
      <c r="C274" s="266" t="s">
        <v>204</v>
      </c>
      <c r="D274" s="266" t="s">
        <v>652</v>
      </c>
      <c r="E274" s="264" t="s">
        <v>648</v>
      </c>
      <c r="F274" s="288" t="s">
        <v>649</v>
      </c>
      <c r="G274" s="288" t="s">
        <v>175</v>
      </c>
      <c r="H274" s="274" t="s">
        <v>650</v>
      </c>
      <c r="I274" s="283" t="s">
        <v>177</v>
      </c>
    </row>
    <row r="275" customFormat="false" ht="29.85" hidden="false" customHeight="false" outlineLevel="0" collapsed="false">
      <c r="B275" s="285" t="n">
        <v>45909</v>
      </c>
      <c r="C275" s="261" t="s">
        <v>653</v>
      </c>
      <c r="D275" s="261" t="s">
        <v>654</v>
      </c>
      <c r="E275" s="269" t="s">
        <v>648</v>
      </c>
      <c r="F275" s="286" t="s">
        <v>649</v>
      </c>
      <c r="G275" s="286" t="s">
        <v>175</v>
      </c>
      <c r="H275" s="274" t="s">
        <v>655</v>
      </c>
      <c r="I275" s="284" t="s">
        <v>177</v>
      </c>
    </row>
    <row r="276" customFormat="false" ht="29.85" hidden="false" customHeight="false" outlineLevel="0" collapsed="false">
      <c r="B276" s="287" t="n">
        <v>45909</v>
      </c>
      <c r="C276" s="266" t="s">
        <v>224</v>
      </c>
      <c r="D276" s="266" t="s">
        <v>225</v>
      </c>
      <c r="E276" s="264" t="s">
        <v>648</v>
      </c>
      <c r="F276" s="288" t="s">
        <v>649</v>
      </c>
      <c r="G276" s="288" t="s">
        <v>175</v>
      </c>
      <c r="H276" s="274" t="s">
        <v>650</v>
      </c>
      <c r="I276" s="283" t="s">
        <v>177</v>
      </c>
    </row>
    <row r="277" customFormat="false" ht="15" hidden="false" customHeight="false" outlineLevel="0" collapsed="false">
      <c r="B277" s="285" t="n">
        <v>45910</v>
      </c>
      <c r="C277" s="261" t="s">
        <v>639</v>
      </c>
      <c r="D277" s="261" t="s">
        <v>449</v>
      </c>
      <c r="E277" s="269" t="s">
        <v>656</v>
      </c>
      <c r="F277" s="286" t="s">
        <v>196</v>
      </c>
      <c r="G277" s="286" t="s">
        <v>175</v>
      </c>
      <c r="H277" s="274" t="s">
        <v>657</v>
      </c>
      <c r="I277" s="284" t="s">
        <v>198</v>
      </c>
    </row>
    <row r="278" customFormat="false" ht="29.85" hidden="false" customHeight="false" outlineLevel="0" collapsed="false">
      <c r="B278" s="287" t="n">
        <v>45910</v>
      </c>
      <c r="C278" s="266" t="s">
        <v>246</v>
      </c>
      <c r="D278" s="266" t="s">
        <v>647</v>
      </c>
      <c r="E278" s="264" t="s">
        <v>658</v>
      </c>
      <c r="F278" s="288" t="s">
        <v>659</v>
      </c>
      <c r="G278" s="288" t="s">
        <v>175</v>
      </c>
      <c r="H278" s="274" t="s">
        <v>660</v>
      </c>
      <c r="I278" s="283" t="s">
        <v>177</v>
      </c>
    </row>
    <row r="279" customFormat="false" ht="29.85" hidden="false" customHeight="false" outlineLevel="0" collapsed="false">
      <c r="B279" s="285" t="n">
        <v>45910</v>
      </c>
      <c r="C279" s="266" t="s">
        <v>250</v>
      </c>
      <c r="D279" s="261" t="s">
        <v>651</v>
      </c>
      <c r="E279" s="269" t="s">
        <v>658</v>
      </c>
      <c r="F279" s="286" t="s">
        <v>659</v>
      </c>
      <c r="G279" s="286" t="s">
        <v>175</v>
      </c>
      <c r="H279" s="274" t="s">
        <v>660</v>
      </c>
      <c r="I279" s="284" t="s">
        <v>177</v>
      </c>
    </row>
    <row r="280" customFormat="false" ht="29.85" hidden="false" customHeight="false" outlineLevel="0" collapsed="false">
      <c r="B280" s="287" t="n">
        <v>45910</v>
      </c>
      <c r="C280" s="266" t="s">
        <v>204</v>
      </c>
      <c r="D280" s="266" t="s">
        <v>652</v>
      </c>
      <c r="E280" s="264" t="s">
        <v>658</v>
      </c>
      <c r="F280" s="288" t="s">
        <v>659</v>
      </c>
      <c r="G280" s="288" t="s">
        <v>175</v>
      </c>
      <c r="H280" s="274" t="s">
        <v>660</v>
      </c>
      <c r="I280" s="283" t="s">
        <v>177</v>
      </c>
    </row>
    <row r="281" customFormat="false" ht="29.85" hidden="false" customHeight="false" outlineLevel="0" collapsed="false">
      <c r="B281" s="285" t="n">
        <v>45910</v>
      </c>
      <c r="C281" s="261" t="s">
        <v>243</v>
      </c>
      <c r="D281" s="261" t="s">
        <v>399</v>
      </c>
      <c r="E281" s="269" t="s">
        <v>658</v>
      </c>
      <c r="F281" s="286" t="s">
        <v>659</v>
      </c>
      <c r="G281" s="286" t="s">
        <v>175</v>
      </c>
      <c r="H281" s="274" t="s">
        <v>660</v>
      </c>
      <c r="I281" s="284" t="s">
        <v>177</v>
      </c>
    </row>
    <row r="282" customFormat="false" ht="29.85" hidden="false" customHeight="false" outlineLevel="0" collapsed="false">
      <c r="B282" s="287" t="n">
        <v>45910</v>
      </c>
      <c r="C282" s="266" t="s">
        <v>224</v>
      </c>
      <c r="D282" s="266" t="s">
        <v>225</v>
      </c>
      <c r="E282" s="264" t="s">
        <v>658</v>
      </c>
      <c r="F282" s="288" t="s">
        <v>659</v>
      </c>
      <c r="G282" s="288" t="s">
        <v>175</v>
      </c>
      <c r="H282" s="274" t="s">
        <v>660</v>
      </c>
      <c r="I282" s="283" t="s">
        <v>177</v>
      </c>
    </row>
    <row r="283" customFormat="false" ht="29.85" hidden="false" customHeight="false" outlineLevel="0" collapsed="false">
      <c r="B283" s="285" t="n">
        <v>45910</v>
      </c>
      <c r="C283" s="266" t="s">
        <v>653</v>
      </c>
      <c r="D283" s="261" t="s">
        <v>241</v>
      </c>
      <c r="E283" s="269" t="s">
        <v>648</v>
      </c>
      <c r="F283" s="286" t="s">
        <v>649</v>
      </c>
      <c r="G283" s="286" t="s">
        <v>175</v>
      </c>
      <c r="H283" s="276" t="s">
        <v>661</v>
      </c>
      <c r="I283" s="284" t="s">
        <v>177</v>
      </c>
    </row>
    <row r="284" customFormat="false" ht="15" hidden="false" customHeight="false" outlineLevel="0" collapsed="false">
      <c r="B284" s="287" t="n">
        <v>45911</v>
      </c>
      <c r="C284" s="266" t="s">
        <v>405</v>
      </c>
      <c r="D284" s="266" t="s">
        <v>662</v>
      </c>
      <c r="E284" s="264" t="s">
        <v>663</v>
      </c>
      <c r="F284" s="272" t="s">
        <v>174</v>
      </c>
      <c r="G284" s="288" t="s">
        <v>175</v>
      </c>
      <c r="H284" s="304" t="s">
        <v>664</v>
      </c>
      <c r="I284" s="283" t="s">
        <v>177</v>
      </c>
    </row>
    <row r="285" customFormat="false" ht="29.85" hidden="false" customHeight="false" outlineLevel="0" collapsed="false">
      <c r="B285" s="285" t="n">
        <v>45911</v>
      </c>
      <c r="C285" s="261" t="s">
        <v>105</v>
      </c>
      <c r="D285" s="261" t="s">
        <v>665</v>
      </c>
      <c r="E285" s="286" t="s">
        <v>107</v>
      </c>
      <c r="F285" s="269" t="s">
        <v>174</v>
      </c>
      <c r="G285" s="286" t="s">
        <v>666</v>
      </c>
      <c r="H285" s="305" t="s">
        <v>667</v>
      </c>
      <c r="I285" s="284" t="s">
        <v>198</v>
      </c>
    </row>
    <row r="286" customFormat="false" ht="29.85" hidden="false" customHeight="false" outlineLevel="0" collapsed="false">
      <c r="B286" s="287" t="n">
        <v>45912</v>
      </c>
      <c r="C286" s="266" t="s">
        <v>639</v>
      </c>
      <c r="D286" s="266" t="s">
        <v>582</v>
      </c>
      <c r="E286" s="264" t="s">
        <v>668</v>
      </c>
      <c r="F286" s="264" t="s">
        <v>451</v>
      </c>
      <c r="G286" s="288" t="s">
        <v>669</v>
      </c>
      <c r="H286" s="274" t="s">
        <v>670</v>
      </c>
      <c r="I286" s="283" t="s">
        <v>177</v>
      </c>
    </row>
    <row r="287" customFormat="false" ht="29.85" hidden="false" customHeight="false" outlineLevel="0" collapsed="false">
      <c r="B287" s="306" t="n">
        <v>45897</v>
      </c>
      <c r="C287" s="307" t="s">
        <v>155</v>
      </c>
      <c r="D287" s="308" t="s">
        <v>215</v>
      </c>
      <c r="E287" s="309" t="s">
        <v>226</v>
      </c>
      <c r="F287" s="310" t="s">
        <v>210</v>
      </c>
      <c r="G287" s="310" t="s">
        <v>175</v>
      </c>
      <c r="H287" s="311" t="s">
        <v>671</v>
      </c>
      <c r="I287" s="312"/>
    </row>
    <row r="288" customFormat="false" ht="29.85" hidden="false" customHeight="false" outlineLevel="0" collapsed="false">
      <c r="B288" s="313" t="n">
        <v>45897</v>
      </c>
      <c r="C288" s="307" t="s">
        <v>181</v>
      </c>
      <c r="D288" s="307" t="s">
        <v>553</v>
      </c>
      <c r="E288" s="314" t="s">
        <v>490</v>
      </c>
      <c r="F288" s="315" t="s">
        <v>280</v>
      </c>
      <c r="G288" s="315" t="s">
        <v>175</v>
      </c>
      <c r="H288" s="311" t="s">
        <v>672</v>
      </c>
      <c r="I288" s="316"/>
    </row>
    <row r="289" customFormat="false" ht="15" hidden="false" customHeight="false" outlineLevel="0" collapsed="false">
      <c r="B289" s="306" t="n">
        <v>45898</v>
      </c>
      <c r="C289" s="308" t="s">
        <v>673</v>
      </c>
      <c r="D289" s="308" t="s">
        <v>307</v>
      </c>
      <c r="E289" s="309" t="s">
        <v>226</v>
      </c>
      <c r="F289" s="310" t="s">
        <v>210</v>
      </c>
      <c r="G289" s="310" t="s">
        <v>175</v>
      </c>
      <c r="H289" s="311" t="s">
        <v>674</v>
      </c>
      <c r="I289" s="312"/>
    </row>
    <row r="290" customFormat="false" ht="29.85" hidden="false" customHeight="false" outlineLevel="0" collapsed="false">
      <c r="B290" s="313" t="n">
        <v>45901</v>
      </c>
      <c r="C290" s="307" t="s">
        <v>181</v>
      </c>
      <c r="D290" s="307" t="s">
        <v>553</v>
      </c>
      <c r="E290" s="314" t="s">
        <v>616</v>
      </c>
      <c r="F290" s="315" t="s">
        <v>280</v>
      </c>
      <c r="G290" s="315" t="s">
        <v>175</v>
      </c>
      <c r="H290" s="307" t="s">
        <v>675</v>
      </c>
      <c r="I290" s="316"/>
    </row>
    <row r="291" customFormat="false" ht="29.85" hidden="false" customHeight="false" outlineLevel="0" collapsed="false">
      <c r="B291" s="306" t="n">
        <v>45901</v>
      </c>
      <c r="C291" s="307" t="s">
        <v>623</v>
      </c>
      <c r="D291" s="308" t="s">
        <v>676</v>
      </c>
      <c r="E291" s="309" t="s">
        <v>677</v>
      </c>
      <c r="F291" s="310" t="s">
        <v>317</v>
      </c>
      <c r="G291" s="310" t="s">
        <v>175</v>
      </c>
      <c r="H291" s="311" t="s">
        <v>678</v>
      </c>
      <c r="I291" s="312"/>
    </row>
    <row r="292" customFormat="false" ht="44" hidden="false" customHeight="false" outlineLevel="0" collapsed="false">
      <c r="B292" s="313" t="n">
        <v>45903</v>
      </c>
      <c r="C292" s="307" t="s">
        <v>673</v>
      </c>
      <c r="D292" s="307" t="s">
        <v>285</v>
      </c>
      <c r="E292" s="314" t="s">
        <v>679</v>
      </c>
      <c r="F292" s="315" t="s">
        <v>210</v>
      </c>
      <c r="G292" s="315" t="s">
        <v>175</v>
      </c>
      <c r="H292" s="311" t="s">
        <v>680</v>
      </c>
      <c r="I292" s="316"/>
    </row>
    <row r="293" customFormat="false" ht="29.85" hidden="false" customHeight="false" outlineLevel="0" collapsed="false">
      <c r="B293" s="306" t="n">
        <v>45909</v>
      </c>
      <c r="C293" s="307" t="s">
        <v>673</v>
      </c>
      <c r="D293" s="308" t="s">
        <v>307</v>
      </c>
      <c r="E293" s="309" t="s">
        <v>605</v>
      </c>
      <c r="F293" s="310" t="s">
        <v>210</v>
      </c>
      <c r="G293" s="310" t="s">
        <v>175</v>
      </c>
      <c r="H293" s="311" t="s">
        <v>681</v>
      </c>
      <c r="I293" s="312"/>
    </row>
    <row r="294" customFormat="false" ht="44" hidden="false" customHeight="false" outlineLevel="0" collapsed="false">
      <c r="B294" s="313" t="n">
        <v>45912</v>
      </c>
      <c r="C294" s="307" t="s">
        <v>682</v>
      </c>
      <c r="D294" s="307" t="s">
        <v>683</v>
      </c>
      <c r="E294" s="314" t="s">
        <v>684</v>
      </c>
      <c r="F294" s="315" t="s">
        <v>685</v>
      </c>
      <c r="G294" s="315" t="s">
        <v>175</v>
      </c>
      <c r="H294" s="311" t="s">
        <v>686</v>
      </c>
      <c r="I294" s="316"/>
    </row>
    <row r="295" customFormat="false" ht="15" hidden="false" customHeight="false" outlineLevel="0" collapsed="false">
      <c r="B295" s="306" t="n">
        <v>45915</v>
      </c>
      <c r="C295" s="307" t="s">
        <v>623</v>
      </c>
      <c r="D295" s="308" t="s">
        <v>676</v>
      </c>
      <c r="E295" s="309" t="s">
        <v>687</v>
      </c>
      <c r="F295" s="310" t="s">
        <v>451</v>
      </c>
      <c r="G295" s="310" t="s">
        <v>175</v>
      </c>
      <c r="H295" s="311" t="s">
        <v>688</v>
      </c>
      <c r="I295" s="312"/>
    </row>
    <row r="296" customFormat="false" ht="29.85" hidden="false" customHeight="false" outlineLevel="0" collapsed="false">
      <c r="B296" s="313" t="n">
        <v>45915</v>
      </c>
      <c r="C296" s="314" t="s">
        <v>243</v>
      </c>
      <c r="D296" s="314" t="s">
        <v>399</v>
      </c>
      <c r="E296" s="314" t="s">
        <v>689</v>
      </c>
      <c r="F296" s="314" t="s">
        <v>174</v>
      </c>
      <c r="G296" s="314" t="s">
        <v>175</v>
      </c>
      <c r="H296" s="311" t="s">
        <v>690</v>
      </c>
      <c r="I296" s="316" t="s">
        <v>177</v>
      </c>
    </row>
    <row r="297" customFormat="false" ht="15" hidden="false" customHeight="false" outlineLevel="0" collapsed="false">
      <c r="B297" s="306" t="n">
        <v>45915</v>
      </c>
      <c r="C297" s="317" t="s">
        <v>691</v>
      </c>
      <c r="D297" s="317" t="s">
        <v>123</v>
      </c>
      <c r="E297" s="309" t="s">
        <v>692</v>
      </c>
      <c r="F297" s="309" t="s">
        <v>210</v>
      </c>
      <c r="G297" s="318" t="s">
        <v>175</v>
      </c>
      <c r="H297" s="308" t="s">
        <v>693</v>
      </c>
      <c r="I297" s="312"/>
    </row>
    <row r="298" customFormat="false" ht="15" hidden="false" customHeight="false" outlineLevel="0" collapsed="false">
      <c r="B298" s="313" t="n">
        <v>45915</v>
      </c>
      <c r="C298" s="319" t="s">
        <v>250</v>
      </c>
      <c r="D298" s="319" t="s">
        <v>694</v>
      </c>
      <c r="E298" s="314" t="s">
        <v>695</v>
      </c>
      <c r="F298" s="314" t="s">
        <v>210</v>
      </c>
      <c r="G298" s="320" t="s">
        <v>175</v>
      </c>
      <c r="H298" s="307" t="s">
        <v>696</v>
      </c>
      <c r="I298" s="316"/>
    </row>
    <row r="299" customFormat="false" ht="29.85" hidden="false" customHeight="false" outlineLevel="0" collapsed="false">
      <c r="B299" s="306" t="n">
        <v>45916</v>
      </c>
      <c r="C299" s="307" t="s">
        <v>697</v>
      </c>
      <c r="D299" s="308" t="s">
        <v>205</v>
      </c>
      <c r="E299" s="309" t="s">
        <v>698</v>
      </c>
      <c r="F299" s="310" t="s">
        <v>196</v>
      </c>
      <c r="G299" s="310" t="s">
        <v>175</v>
      </c>
      <c r="H299" s="311" t="s">
        <v>699</v>
      </c>
      <c r="I299" s="312" t="s">
        <v>198</v>
      </c>
    </row>
    <row r="300" customFormat="false" ht="15" hidden="false" customHeight="false" outlineLevel="0" collapsed="false">
      <c r="B300" s="313" t="n">
        <v>45916</v>
      </c>
      <c r="C300" s="307" t="s">
        <v>413</v>
      </c>
      <c r="D300" s="307" t="s">
        <v>260</v>
      </c>
      <c r="E300" s="314" t="s">
        <v>698</v>
      </c>
      <c r="F300" s="314" t="s">
        <v>196</v>
      </c>
      <c r="G300" s="315" t="s">
        <v>175</v>
      </c>
      <c r="H300" s="307" t="s">
        <v>700</v>
      </c>
      <c r="I300" s="316" t="s">
        <v>198</v>
      </c>
    </row>
    <row r="301" customFormat="false" ht="15" hidden="false" customHeight="false" outlineLevel="0" collapsed="false">
      <c r="B301" s="306" t="n">
        <v>45916</v>
      </c>
      <c r="C301" s="317" t="s">
        <v>87</v>
      </c>
      <c r="D301" s="317" t="s">
        <v>88</v>
      </c>
      <c r="E301" s="309" t="s">
        <v>480</v>
      </c>
      <c r="F301" s="309" t="s">
        <v>174</v>
      </c>
      <c r="G301" s="318" t="s">
        <v>186</v>
      </c>
      <c r="H301" s="308" t="s">
        <v>701</v>
      </c>
      <c r="I301" s="312" t="s">
        <v>177</v>
      </c>
    </row>
    <row r="302" customFormat="false" ht="15" hidden="false" customHeight="false" outlineLevel="0" collapsed="false">
      <c r="B302" s="321" t="n">
        <v>45916</v>
      </c>
      <c r="C302" s="319" t="s">
        <v>261</v>
      </c>
      <c r="D302" s="322" t="s">
        <v>702</v>
      </c>
      <c r="E302" s="323" t="s">
        <v>692</v>
      </c>
      <c r="F302" s="323" t="s">
        <v>317</v>
      </c>
      <c r="G302" s="324" t="s">
        <v>175</v>
      </c>
      <c r="H302" s="323" t="s">
        <v>703</v>
      </c>
      <c r="I302" s="325"/>
    </row>
    <row r="303" customFormat="false" ht="15" hidden="false" customHeight="false" outlineLevel="0" collapsed="false">
      <c r="B303" s="306" t="n">
        <v>45917</v>
      </c>
      <c r="C303" s="306" t="s">
        <v>261</v>
      </c>
      <c r="D303" s="317" t="s">
        <v>704</v>
      </c>
      <c r="E303" s="309" t="s">
        <v>705</v>
      </c>
      <c r="F303" s="309" t="s">
        <v>174</v>
      </c>
      <c r="G303" s="326" t="s">
        <v>175</v>
      </c>
      <c r="H303" s="308" t="s">
        <v>706</v>
      </c>
      <c r="I303" s="327" t="s">
        <v>177</v>
      </c>
    </row>
    <row r="304" customFormat="false" ht="15" hidden="false" customHeight="false" outlineLevel="0" collapsed="false">
      <c r="B304" s="313" t="n">
        <v>45917</v>
      </c>
      <c r="C304" s="319" t="s">
        <v>383</v>
      </c>
      <c r="D304" s="319" t="s">
        <v>707</v>
      </c>
      <c r="E304" s="314" t="s">
        <v>708</v>
      </c>
      <c r="F304" s="314" t="s">
        <v>191</v>
      </c>
      <c r="G304" s="328" t="s">
        <v>175</v>
      </c>
      <c r="H304" s="307" t="s">
        <v>709</v>
      </c>
      <c r="I304" s="329"/>
    </row>
    <row r="305" customFormat="false" ht="15" hidden="false" customHeight="false" outlineLevel="0" collapsed="false">
      <c r="B305" s="306" t="n">
        <v>45918</v>
      </c>
      <c r="C305" s="308" t="s">
        <v>639</v>
      </c>
      <c r="D305" s="308" t="s">
        <v>582</v>
      </c>
      <c r="E305" s="309" t="s">
        <v>710</v>
      </c>
      <c r="F305" s="309" t="s">
        <v>451</v>
      </c>
      <c r="G305" s="330" t="s">
        <v>175</v>
      </c>
      <c r="H305" s="331" t="s">
        <v>711</v>
      </c>
      <c r="I305" s="327" t="s">
        <v>198</v>
      </c>
    </row>
    <row r="306" customFormat="false" ht="15" hidden="false" customHeight="false" outlineLevel="0" collapsed="false">
      <c r="B306" s="313" t="n">
        <v>45919</v>
      </c>
      <c r="C306" s="307" t="s">
        <v>697</v>
      </c>
      <c r="D306" s="307" t="s">
        <v>205</v>
      </c>
      <c r="E306" s="314" t="s">
        <v>712</v>
      </c>
      <c r="F306" s="314" t="s">
        <v>196</v>
      </c>
      <c r="G306" s="332" t="s">
        <v>175</v>
      </c>
      <c r="H306" s="307" t="s">
        <v>713</v>
      </c>
      <c r="I306" s="329" t="s">
        <v>198</v>
      </c>
    </row>
    <row r="307" customFormat="false" ht="15" hidden="false" customHeight="false" outlineLevel="0" collapsed="false">
      <c r="B307" s="306" t="n">
        <v>45919</v>
      </c>
      <c r="C307" s="308" t="s">
        <v>697</v>
      </c>
      <c r="D307" s="308" t="s">
        <v>215</v>
      </c>
      <c r="E307" s="309" t="s">
        <v>712</v>
      </c>
      <c r="F307" s="309" t="s">
        <v>196</v>
      </c>
      <c r="G307" s="330" t="s">
        <v>175</v>
      </c>
      <c r="H307" s="308" t="s">
        <v>714</v>
      </c>
      <c r="I307" s="327" t="s">
        <v>198</v>
      </c>
    </row>
    <row r="308" customFormat="false" ht="15" hidden="false" customHeight="false" outlineLevel="0" collapsed="false">
      <c r="B308" s="306" t="n">
        <v>45919</v>
      </c>
      <c r="C308" s="319" t="s">
        <v>626</v>
      </c>
      <c r="D308" s="319" t="s">
        <v>205</v>
      </c>
      <c r="E308" s="314" t="s">
        <v>712</v>
      </c>
      <c r="F308" s="314" t="s">
        <v>196</v>
      </c>
      <c r="G308" s="328" t="s">
        <v>175</v>
      </c>
      <c r="H308" s="307" t="s">
        <v>715</v>
      </c>
      <c r="I308" s="329" t="s">
        <v>198</v>
      </c>
    </row>
    <row r="309" customFormat="false" ht="15" hidden="false" customHeight="false" outlineLevel="0" collapsed="false">
      <c r="B309" s="306" t="n">
        <v>45919</v>
      </c>
      <c r="C309" s="308" t="s">
        <v>623</v>
      </c>
      <c r="D309" s="317" t="s">
        <v>582</v>
      </c>
      <c r="E309" s="309" t="s">
        <v>716</v>
      </c>
      <c r="F309" s="309" t="s">
        <v>191</v>
      </c>
      <c r="G309" s="326" t="s">
        <v>175</v>
      </c>
      <c r="H309" s="308" t="s">
        <v>717</v>
      </c>
      <c r="I309" s="327" t="s">
        <v>198</v>
      </c>
    </row>
    <row r="310" customFormat="false" ht="29.85" hidden="false" customHeight="false" outlineLevel="0" collapsed="false">
      <c r="B310" s="333" t="n">
        <v>45881</v>
      </c>
      <c r="C310" s="334" t="s">
        <v>718</v>
      </c>
      <c r="D310" s="335" t="s">
        <v>205</v>
      </c>
      <c r="E310" s="336" t="s">
        <v>719</v>
      </c>
      <c r="F310" s="337" t="s">
        <v>227</v>
      </c>
      <c r="G310" s="337" t="s">
        <v>175</v>
      </c>
      <c r="H310" s="338" t="s">
        <v>720</v>
      </c>
      <c r="I310" s="339" t="s">
        <v>227</v>
      </c>
    </row>
    <row r="311" customFormat="false" ht="44" hidden="false" customHeight="false" outlineLevel="0" collapsed="false">
      <c r="B311" s="340" t="n">
        <v>45904</v>
      </c>
      <c r="C311" s="334" t="s">
        <v>718</v>
      </c>
      <c r="D311" s="334" t="s">
        <v>721</v>
      </c>
      <c r="E311" s="341" t="s">
        <v>722</v>
      </c>
      <c r="F311" s="342" t="s">
        <v>227</v>
      </c>
      <c r="G311" s="342" t="s">
        <v>175</v>
      </c>
      <c r="H311" s="338" t="s">
        <v>723</v>
      </c>
      <c r="I311" s="343" t="s">
        <v>227</v>
      </c>
    </row>
    <row r="312" customFormat="false" ht="29.85" hidden="false" customHeight="false" outlineLevel="0" collapsed="false">
      <c r="B312" s="333" t="n">
        <v>45922</v>
      </c>
      <c r="C312" s="334" t="s">
        <v>472</v>
      </c>
      <c r="D312" s="335" t="s">
        <v>513</v>
      </c>
      <c r="E312" s="336" t="s">
        <v>724</v>
      </c>
      <c r="F312" s="337" t="s">
        <v>725</v>
      </c>
      <c r="G312" s="337" t="s">
        <v>175</v>
      </c>
      <c r="H312" s="338" t="s">
        <v>726</v>
      </c>
      <c r="I312" s="339" t="s">
        <v>198</v>
      </c>
    </row>
    <row r="313" customFormat="false" ht="58.2" hidden="false" customHeight="false" outlineLevel="0" collapsed="false">
      <c r="B313" s="340" t="n">
        <v>45922</v>
      </c>
      <c r="C313" s="334" t="s">
        <v>629</v>
      </c>
      <c r="D313" s="334" t="s">
        <v>258</v>
      </c>
      <c r="E313" s="341" t="s">
        <v>727</v>
      </c>
      <c r="F313" s="342" t="s">
        <v>725</v>
      </c>
      <c r="G313" s="342" t="s">
        <v>728</v>
      </c>
      <c r="H313" s="338" t="s">
        <v>729</v>
      </c>
      <c r="I313" s="344" t="s">
        <v>198</v>
      </c>
    </row>
    <row r="314" customFormat="false" ht="15" hidden="false" customHeight="false" outlineLevel="0" collapsed="false">
      <c r="B314" s="333" t="n">
        <v>45924</v>
      </c>
      <c r="C314" s="334" t="s">
        <v>383</v>
      </c>
      <c r="D314" s="335" t="s">
        <v>582</v>
      </c>
      <c r="E314" s="336" t="s">
        <v>708</v>
      </c>
      <c r="F314" s="337" t="s">
        <v>191</v>
      </c>
      <c r="G314" s="337" t="s">
        <v>175</v>
      </c>
      <c r="H314" s="338" t="s">
        <v>730</v>
      </c>
      <c r="I314" s="339" t="s">
        <v>177</v>
      </c>
    </row>
    <row r="315" customFormat="false" ht="15" hidden="false" customHeight="false" outlineLevel="0" collapsed="false">
      <c r="B315" s="340" t="n">
        <v>45925</v>
      </c>
      <c r="C315" s="334" t="s">
        <v>235</v>
      </c>
      <c r="D315" s="334" t="s">
        <v>582</v>
      </c>
      <c r="E315" s="341" t="s">
        <v>731</v>
      </c>
      <c r="F315" s="342" t="s">
        <v>191</v>
      </c>
      <c r="G315" s="342" t="s">
        <v>175</v>
      </c>
      <c r="H315" s="338" t="s">
        <v>732</v>
      </c>
      <c r="I315" s="344" t="s">
        <v>191</v>
      </c>
    </row>
    <row r="316" customFormat="false" ht="29.85" hidden="false" customHeight="false" outlineLevel="0" collapsed="false">
      <c r="B316" s="333" t="n">
        <v>45925</v>
      </c>
      <c r="C316" s="334" t="s">
        <v>111</v>
      </c>
      <c r="D316" s="335" t="s">
        <v>733</v>
      </c>
      <c r="E316" s="336" t="s">
        <v>734</v>
      </c>
      <c r="F316" s="337" t="s">
        <v>725</v>
      </c>
      <c r="G316" s="337" t="s">
        <v>175</v>
      </c>
      <c r="H316" s="338" t="s">
        <v>735</v>
      </c>
      <c r="I316" s="339" t="s">
        <v>177</v>
      </c>
    </row>
    <row r="317" customFormat="false" ht="15" hidden="false" customHeight="false" outlineLevel="0" collapsed="false">
      <c r="B317" s="340" t="n">
        <v>45925</v>
      </c>
      <c r="C317" s="334" t="s">
        <v>237</v>
      </c>
      <c r="D317" s="334" t="s">
        <v>582</v>
      </c>
      <c r="E317" s="341" t="s">
        <v>736</v>
      </c>
      <c r="F317" s="342" t="s">
        <v>191</v>
      </c>
      <c r="G317" s="345" t="n">
        <v>65000</v>
      </c>
      <c r="H317" s="338" t="s">
        <v>737</v>
      </c>
      <c r="I317" s="344" t="s">
        <v>191</v>
      </c>
    </row>
    <row r="318" customFormat="false" ht="15" hidden="false" customHeight="false" outlineLevel="0" collapsed="false">
      <c r="B318" s="340" t="n">
        <v>45925</v>
      </c>
      <c r="C318" s="336" t="s">
        <v>623</v>
      </c>
      <c r="D318" s="335" t="s">
        <v>582</v>
      </c>
      <c r="E318" s="336" t="s">
        <v>736</v>
      </c>
      <c r="F318" s="337" t="s">
        <v>191</v>
      </c>
      <c r="G318" s="336" t="s">
        <v>175</v>
      </c>
      <c r="H318" s="346" t="s">
        <v>738</v>
      </c>
      <c r="I318" s="339" t="s">
        <v>191</v>
      </c>
    </row>
    <row r="319" customFormat="false" ht="15" hidden="false" customHeight="false" outlineLevel="0" collapsed="false">
      <c r="B319" s="333" t="n">
        <v>45925</v>
      </c>
      <c r="C319" s="347" t="s">
        <v>739</v>
      </c>
      <c r="D319" s="347" t="s">
        <v>225</v>
      </c>
      <c r="E319" s="341" t="s">
        <v>740</v>
      </c>
      <c r="F319" s="341" t="s">
        <v>725</v>
      </c>
      <c r="G319" s="348" t="s">
        <v>175</v>
      </c>
      <c r="H319" s="334" t="s">
        <v>741</v>
      </c>
      <c r="I319" s="344" t="s">
        <v>177</v>
      </c>
    </row>
    <row r="320" customFormat="false" ht="44" hidden="false" customHeight="false" outlineLevel="0" collapsed="false">
      <c r="B320" s="333" t="n">
        <v>45926</v>
      </c>
      <c r="C320" s="334" t="s">
        <v>259</v>
      </c>
      <c r="D320" s="335" t="s">
        <v>215</v>
      </c>
      <c r="E320" s="336" t="s">
        <v>474</v>
      </c>
      <c r="F320" s="337" t="s">
        <v>725</v>
      </c>
      <c r="G320" s="337" t="s">
        <v>742</v>
      </c>
      <c r="H320" s="338" t="s">
        <v>743</v>
      </c>
      <c r="I320" s="339" t="s">
        <v>198</v>
      </c>
    </row>
    <row r="321" customFormat="false" ht="29.85" hidden="false" customHeight="false" outlineLevel="0" collapsed="false">
      <c r="B321" s="349" t="n">
        <v>45929</v>
      </c>
      <c r="C321" s="350" t="s">
        <v>105</v>
      </c>
      <c r="D321" s="351" t="s">
        <v>744</v>
      </c>
      <c r="E321" s="350" t="s">
        <v>745</v>
      </c>
      <c r="F321" s="352" t="s">
        <v>174</v>
      </c>
      <c r="G321" s="350" t="s">
        <v>175</v>
      </c>
      <c r="H321" s="353" t="s">
        <v>746</v>
      </c>
      <c r="I321" s="354" t="s">
        <v>177</v>
      </c>
    </row>
    <row r="322" customFormat="false" ht="29.85" hidden="false" customHeight="false" outlineLevel="0" collapsed="false">
      <c r="B322" s="349" t="n">
        <v>45930</v>
      </c>
      <c r="C322" s="355" t="s">
        <v>235</v>
      </c>
      <c r="D322" s="355" t="s">
        <v>747</v>
      </c>
      <c r="E322" s="356" t="s">
        <v>748</v>
      </c>
      <c r="F322" s="357" t="s">
        <v>174</v>
      </c>
      <c r="G322" s="357" t="s">
        <v>175</v>
      </c>
      <c r="H322" s="358" t="s">
        <v>749</v>
      </c>
      <c r="I322" s="359" t="s">
        <v>177</v>
      </c>
    </row>
    <row r="323" customFormat="false" ht="29.85" hidden="false" customHeight="false" outlineLevel="0" collapsed="false">
      <c r="B323" s="360" t="n">
        <v>45930</v>
      </c>
      <c r="C323" s="355" t="s">
        <v>237</v>
      </c>
      <c r="D323" s="351" t="s">
        <v>60</v>
      </c>
      <c r="E323" s="350" t="s">
        <v>748</v>
      </c>
      <c r="F323" s="352" t="s">
        <v>174</v>
      </c>
      <c r="G323" s="352" t="s">
        <v>175</v>
      </c>
      <c r="H323" s="358" t="s">
        <v>750</v>
      </c>
      <c r="I323" s="354" t="s">
        <v>177</v>
      </c>
    </row>
    <row r="324" customFormat="false" ht="29.85" hidden="false" customHeight="false" outlineLevel="0" collapsed="false">
      <c r="B324" s="349" t="n">
        <v>45930</v>
      </c>
      <c r="C324" s="355" t="s">
        <v>623</v>
      </c>
      <c r="D324" s="355" t="s">
        <v>747</v>
      </c>
      <c r="E324" s="356" t="s">
        <v>748</v>
      </c>
      <c r="F324" s="357" t="s">
        <v>174</v>
      </c>
      <c r="G324" s="357" t="s">
        <v>175</v>
      </c>
      <c r="H324" s="358" t="s">
        <v>751</v>
      </c>
      <c r="I324" s="359" t="s">
        <v>177</v>
      </c>
    </row>
    <row r="325" customFormat="false" ht="44" hidden="false" customHeight="false" outlineLevel="0" collapsed="false">
      <c r="B325" s="360" t="n">
        <v>45930</v>
      </c>
      <c r="C325" s="351" t="s">
        <v>181</v>
      </c>
      <c r="D325" s="351" t="s">
        <v>295</v>
      </c>
      <c r="E325" s="350" t="s">
        <v>752</v>
      </c>
      <c r="F325" s="352" t="s">
        <v>183</v>
      </c>
      <c r="G325" s="352" t="s">
        <v>175</v>
      </c>
      <c r="H325" s="358" t="s">
        <v>753</v>
      </c>
      <c r="I325" s="354" t="s">
        <v>177</v>
      </c>
    </row>
    <row r="326" customFormat="false" ht="44" hidden="false" customHeight="false" outlineLevel="0" collapsed="false">
      <c r="B326" s="349" t="n">
        <v>45930</v>
      </c>
      <c r="C326" s="355" t="s">
        <v>235</v>
      </c>
      <c r="D326" s="355" t="s">
        <v>747</v>
      </c>
      <c r="E326" s="356" t="s">
        <v>754</v>
      </c>
      <c r="F326" s="357" t="s">
        <v>174</v>
      </c>
      <c r="G326" s="357" t="s">
        <v>175</v>
      </c>
      <c r="H326" s="358" t="s">
        <v>755</v>
      </c>
      <c r="I326" s="359" t="s">
        <v>177</v>
      </c>
    </row>
    <row r="327" customFormat="false" ht="15" hidden="false" customHeight="false" outlineLevel="0" collapsed="false">
      <c r="B327" s="360" t="n">
        <v>45930</v>
      </c>
      <c r="C327" s="355" t="s">
        <v>122</v>
      </c>
      <c r="D327" s="351" t="s">
        <v>756</v>
      </c>
      <c r="E327" s="350" t="s">
        <v>319</v>
      </c>
      <c r="F327" s="352" t="s">
        <v>185</v>
      </c>
      <c r="G327" s="361" t="s">
        <v>175</v>
      </c>
      <c r="H327" s="358" t="s">
        <v>757</v>
      </c>
      <c r="I327" s="354" t="s">
        <v>185</v>
      </c>
    </row>
    <row r="328" customFormat="false" ht="15" hidden="false" customHeight="false" outlineLevel="0" collapsed="false">
      <c r="B328" s="360" t="n">
        <v>45931</v>
      </c>
      <c r="C328" s="362" t="s">
        <v>758</v>
      </c>
      <c r="D328" s="362" t="s">
        <v>542</v>
      </c>
      <c r="E328" s="356" t="s">
        <v>705</v>
      </c>
      <c r="F328" s="356" t="s">
        <v>174</v>
      </c>
      <c r="G328" s="363" t="s">
        <v>175</v>
      </c>
      <c r="H328" s="355" t="s">
        <v>759</v>
      </c>
      <c r="I328" s="359" t="s">
        <v>177</v>
      </c>
    </row>
    <row r="329" customFormat="false" ht="29.85" hidden="false" customHeight="false" outlineLevel="0" collapsed="false">
      <c r="B329" s="360" t="n">
        <v>45931</v>
      </c>
      <c r="C329" s="355" t="s">
        <v>261</v>
      </c>
      <c r="D329" s="351" t="s">
        <v>760</v>
      </c>
      <c r="E329" s="350" t="s">
        <v>705</v>
      </c>
      <c r="F329" s="350" t="s">
        <v>174</v>
      </c>
      <c r="G329" s="364" t="s">
        <v>175</v>
      </c>
      <c r="H329" s="358" t="s">
        <v>761</v>
      </c>
      <c r="I329" s="354" t="s">
        <v>177</v>
      </c>
    </row>
    <row r="330" customFormat="false" ht="15" hidden="false" customHeight="false" outlineLevel="0" collapsed="false">
      <c r="B330" s="349" t="n">
        <v>45932</v>
      </c>
      <c r="C330" s="355" t="s">
        <v>253</v>
      </c>
      <c r="D330" s="355" t="s">
        <v>241</v>
      </c>
      <c r="E330" s="356" t="s">
        <v>762</v>
      </c>
      <c r="F330" s="357" t="s">
        <v>210</v>
      </c>
      <c r="G330" s="357" t="s">
        <v>175</v>
      </c>
      <c r="H330" s="358" t="s">
        <v>763</v>
      </c>
      <c r="I330" s="359" t="s">
        <v>210</v>
      </c>
    </row>
    <row r="331" customFormat="false" ht="15" hidden="false" customHeight="false" outlineLevel="0" collapsed="false">
      <c r="B331" s="360" t="n">
        <v>45933</v>
      </c>
      <c r="C331" s="355" t="s">
        <v>237</v>
      </c>
      <c r="D331" s="351" t="s">
        <v>764</v>
      </c>
      <c r="E331" s="350" t="s">
        <v>319</v>
      </c>
      <c r="F331" s="352" t="s">
        <v>191</v>
      </c>
      <c r="G331" s="352" t="s">
        <v>175</v>
      </c>
      <c r="H331" s="358" t="s">
        <v>765</v>
      </c>
      <c r="I331" s="354" t="s">
        <v>191</v>
      </c>
    </row>
    <row r="332" customFormat="false" ht="15" hidden="false" customHeight="false" outlineLevel="0" collapsed="false">
      <c r="B332" s="349" t="n">
        <v>45933</v>
      </c>
      <c r="C332" s="362" t="s">
        <v>766</v>
      </c>
      <c r="D332" s="362" t="s">
        <v>295</v>
      </c>
      <c r="E332" s="356" t="s">
        <v>767</v>
      </c>
      <c r="F332" s="356" t="s">
        <v>174</v>
      </c>
      <c r="G332" s="363" t="s">
        <v>175</v>
      </c>
      <c r="H332" s="355" t="s">
        <v>768</v>
      </c>
      <c r="I332" s="359" t="s">
        <v>198</v>
      </c>
    </row>
    <row r="333" customFormat="false" ht="15" hidden="false" customHeight="false" outlineLevel="0" collapsed="false">
      <c r="B333" s="360" t="n">
        <v>45933</v>
      </c>
      <c r="C333" s="355" t="s">
        <v>769</v>
      </c>
      <c r="D333" s="351" t="s">
        <v>307</v>
      </c>
      <c r="E333" s="350" t="s">
        <v>767</v>
      </c>
      <c r="F333" s="352" t="s">
        <v>174</v>
      </c>
      <c r="G333" s="352" t="s">
        <v>175</v>
      </c>
      <c r="H333" s="351" t="s">
        <v>770</v>
      </c>
      <c r="I333" s="354" t="s">
        <v>198</v>
      </c>
    </row>
    <row r="334" customFormat="false" ht="15" hidden="false" customHeight="false" outlineLevel="0" collapsed="false">
      <c r="B334" s="349" t="n">
        <v>45933</v>
      </c>
      <c r="C334" s="355" t="s">
        <v>476</v>
      </c>
      <c r="D334" s="355" t="s">
        <v>432</v>
      </c>
      <c r="E334" s="356" t="s">
        <v>767</v>
      </c>
      <c r="F334" s="357" t="s">
        <v>174</v>
      </c>
      <c r="G334" s="357" t="s">
        <v>175</v>
      </c>
      <c r="H334" s="355" t="s">
        <v>771</v>
      </c>
      <c r="I334" s="359" t="s">
        <v>198</v>
      </c>
    </row>
    <row r="335" customFormat="false" ht="15" hidden="false" customHeight="false" outlineLevel="0" collapsed="false">
      <c r="B335" s="360" t="n">
        <v>45933</v>
      </c>
      <c r="C335" s="365" t="s">
        <v>772</v>
      </c>
      <c r="D335" s="365" t="s">
        <v>258</v>
      </c>
      <c r="E335" s="350" t="s">
        <v>767</v>
      </c>
      <c r="F335" s="352" t="s">
        <v>174</v>
      </c>
      <c r="G335" s="352" t="s">
        <v>175</v>
      </c>
      <c r="H335" s="351" t="s">
        <v>773</v>
      </c>
      <c r="I335" s="354" t="s">
        <v>198</v>
      </c>
    </row>
    <row r="336" customFormat="false" ht="15" hidden="false" customHeight="false" outlineLevel="0" collapsed="false">
      <c r="B336" s="366" t="n">
        <v>45936</v>
      </c>
      <c r="C336" s="367" t="s">
        <v>774</v>
      </c>
      <c r="D336" s="367" t="s">
        <v>775</v>
      </c>
      <c r="E336" s="368" t="s">
        <v>776</v>
      </c>
      <c r="F336" s="369" t="s">
        <v>317</v>
      </c>
      <c r="G336" s="370" t="s">
        <v>777</v>
      </c>
      <c r="H336" s="370" t="s">
        <v>778</v>
      </c>
      <c r="I336" s="371" t="s">
        <v>177</v>
      </c>
    </row>
    <row r="337" customFormat="false" ht="15" hidden="false" customHeight="false" outlineLevel="0" collapsed="false">
      <c r="B337" s="360" t="n">
        <v>45936</v>
      </c>
      <c r="C337" s="362" t="s">
        <v>243</v>
      </c>
      <c r="D337" s="372" t="s">
        <v>258</v>
      </c>
      <c r="E337" s="362" t="s">
        <v>226</v>
      </c>
      <c r="F337" s="373" t="s">
        <v>523</v>
      </c>
      <c r="G337" s="362" t="s">
        <v>175</v>
      </c>
      <c r="H337" s="363" t="s">
        <v>779</v>
      </c>
      <c r="I337" s="374" t="s">
        <v>198</v>
      </c>
    </row>
    <row r="338" customFormat="false" ht="15" hidden="false" customHeight="false" outlineLevel="0" collapsed="false">
      <c r="B338" s="360" t="n">
        <v>45937</v>
      </c>
      <c r="C338" s="365" t="s">
        <v>122</v>
      </c>
      <c r="D338" s="365" t="s">
        <v>744</v>
      </c>
      <c r="E338" s="369" t="s">
        <v>780</v>
      </c>
      <c r="F338" s="350" t="s">
        <v>174</v>
      </c>
      <c r="G338" s="364" t="s">
        <v>175</v>
      </c>
      <c r="H338" s="364" t="s">
        <v>781</v>
      </c>
      <c r="I338" s="371" t="s">
        <v>177</v>
      </c>
    </row>
    <row r="339" customFormat="false" ht="15" hidden="false" customHeight="false" outlineLevel="0" collapsed="false">
      <c r="B339" s="360" t="n">
        <v>45937</v>
      </c>
      <c r="C339" s="362" t="s">
        <v>122</v>
      </c>
      <c r="D339" s="362" t="s">
        <v>744</v>
      </c>
      <c r="E339" s="356" t="s">
        <v>226</v>
      </c>
      <c r="F339" s="356" t="s">
        <v>523</v>
      </c>
      <c r="G339" s="363" t="s">
        <v>175</v>
      </c>
      <c r="H339" s="363" t="s">
        <v>192</v>
      </c>
      <c r="I339" s="374" t="s">
        <v>198</v>
      </c>
    </row>
    <row r="340" customFormat="false" ht="15" hidden="false" customHeight="false" outlineLevel="0" collapsed="false">
      <c r="B340" s="360" t="n">
        <v>45937</v>
      </c>
      <c r="C340" s="365" t="s">
        <v>105</v>
      </c>
      <c r="D340" s="365" t="s">
        <v>307</v>
      </c>
      <c r="E340" s="350" t="s">
        <v>782</v>
      </c>
      <c r="F340" s="350" t="s">
        <v>174</v>
      </c>
      <c r="G340" s="364" t="s">
        <v>175</v>
      </c>
      <c r="H340" s="364" t="s">
        <v>783</v>
      </c>
      <c r="I340" s="371" t="s">
        <v>198</v>
      </c>
    </row>
    <row r="341" customFormat="false" ht="15" hidden="false" customHeight="false" outlineLevel="0" collapsed="false">
      <c r="B341" s="360" t="n">
        <v>45937</v>
      </c>
      <c r="C341" s="362" t="s">
        <v>235</v>
      </c>
      <c r="D341" s="362" t="s">
        <v>747</v>
      </c>
      <c r="E341" s="356" t="s">
        <v>784</v>
      </c>
      <c r="F341" s="356" t="s">
        <v>191</v>
      </c>
      <c r="G341" s="363" t="s">
        <v>175</v>
      </c>
      <c r="H341" s="363" t="s">
        <v>192</v>
      </c>
      <c r="I341" s="374" t="s">
        <v>198</v>
      </c>
    </row>
    <row r="342" customFormat="false" ht="15" hidden="false" customHeight="false" outlineLevel="0" collapsed="false">
      <c r="B342" s="360" t="n">
        <v>45937</v>
      </c>
      <c r="C342" s="365" t="s">
        <v>155</v>
      </c>
      <c r="D342" s="365" t="s">
        <v>123</v>
      </c>
      <c r="E342" s="350" t="s">
        <v>226</v>
      </c>
      <c r="F342" s="350" t="s">
        <v>210</v>
      </c>
      <c r="G342" s="364" t="s">
        <v>175</v>
      </c>
      <c r="H342" s="364" t="s">
        <v>192</v>
      </c>
      <c r="I342" s="371" t="s">
        <v>198</v>
      </c>
    </row>
    <row r="343" customFormat="false" ht="58.2" hidden="false" customHeight="false" outlineLevel="0" collapsed="false">
      <c r="B343" s="375" t="n">
        <v>45938</v>
      </c>
      <c r="C343" s="362" t="s">
        <v>235</v>
      </c>
      <c r="D343" s="362" t="s">
        <v>747</v>
      </c>
      <c r="E343" s="363" t="s">
        <v>785</v>
      </c>
      <c r="F343" s="363" t="s">
        <v>174</v>
      </c>
      <c r="G343" s="363" t="s">
        <v>175</v>
      </c>
      <c r="H343" s="376" t="s">
        <v>786</v>
      </c>
      <c r="I343" s="374" t="s">
        <v>177</v>
      </c>
    </row>
    <row r="344" customFormat="false" ht="15" hidden="false" customHeight="false" outlineLevel="0" collapsed="false">
      <c r="B344" s="360" t="n">
        <v>45938</v>
      </c>
      <c r="C344" s="365" t="s">
        <v>623</v>
      </c>
      <c r="D344" s="365" t="s">
        <v>747</v>
      </c>
      <c r="E344" s="350" t="s">
        <v>716</v>
      </c>
      <c r="F344" s="350" t="s">
        <v>191</v>
      </c>
      <c r="G344" s="364" t="s">
        <v>175</v>
      </c>
      <c r="H344" s="364" t="s">
        <v>787</v>
      </c>
      <c r="I344" s="371" t="s">
        <v>177</v>
      </c>
    </row>
    <row r="345" customFormat="false" ht="15" hidden="false" customHeight="false" outlineLevel="0" collapsed="false">
      <c r="B345" s="360" t="n">
        <v>45939</v>
      </c>
      <c r="C345" s="362" t="s">
        <v>122</v>
      </c>
      <c r="D345" s="362" t="s">
        <v>123</v>
      </c>
      <c r="E345" s="356" t="s">
        <v>788</v>
      </c>
      <c r="F345" s="356" t="s">
        <v>185</v>
      </c>
      <c r="G345" s="363" t="s">
        <v>175</v>
      </c>
      <c r="H345" s="363" t="s">
        <v>789</v>
      </c>
      <c r="I345" s="374" t="s">
        <v>177</v>
      </c>
    </row>
    <row r="346" customFormat="false" ht="15" hidden="false" customHeight="false" outlineLevel="0" collapsed="false">
      <c r="B346" s="360" t="n">
        <v>45939</v>
      </c>
      <c r="C346" s="365" t="s">
        <v>362</v>
      </c>
      <c r="D346" s="365" t="s">
        <v>399</v>
      </c>
      <c r="E346" s="350" t="s">
        <v>790</v>
      </c>
      <c r="F346" s="350" t="s">
        <v>174</v>
      </c>
      <c r="G346" s="364" t="s">
        <v>175</v>
      </c>
      <c r="H346" s="364" t="s">
        <v>791</v>
      </c>
      <c r="I346" s="377" t="s">
        <v>177</v>
      </c>
    </row>
    <row r="347" customFormat="false" ht="15" hidden="false" customHeight="false" outlineLevel="0" collapsed="false">
      <c r="B347" s="360" t="n">
        <v>45939</v>
      </c>
      <c r="C347" s="362" t="s">
        <v>623</v>
      </c>
      <c r="D347" s="362" t="s">
        <v>747</v>
      </c>
      <c r="E347" s="356" t="s">
        <v>792</v>
      </c>
      <c r="F347" s="356" t="s">
        <v>174</v>
      </c>
      <c r="G347" s="363" t="s">
        <v>175</v>
      </c>
      <c r="H347" s="363" t="s">
        <v>793</v>
      </c>
      <c r="I347" s="378" t="s">
        <v>177</v>
      </c>
    </row>
    <row r="348" customFormat="false" ht="15" hidden="false" customHeight="false" outlineLevel="0" collapsed="false">
      <c r="B348" s="360" t="n">
        <v>45939</v>
      </c>
      <c r="C348" s="365" t="s">
        <v>794</v>
      </c>
      <c r="D348" s="365" t="s">
        <v>795</v>
      </c>
      <c r="E348" s="350" t="s">
        <v>796</v>
      </c>
      <c r="F348" s="350" t="s">
        <v>174</v>
      </c>
      <c r="G348" s="364" t="s">
        <v>175</v>
      </c>
      <c r="H348" s="364" t="s">
        <v>797</v>
      </c>
      <c r="I348" s="377" t="s">
        <v>177</v>
      </c>
    </row>
    <row r="349" customFormat="false" ht="15" hidden="false" customHeight="false" outlineLevel="0" collapsed="false">
      <c r="B349" s="360" t="n">
        <v>45939</v>
      </c>
      <c r="C349" s="362" t="s">
        <v>214</v>
      </c>
      <c r="D349" s="362" t="s">
        <v>123</v>
      </c>
      <c r="E349" s="356" t="s">
        <v>226</v>
      </c>
      <c r="F349" s="356" t="s">
        <v>210</v>
      </c>
      <c r="G349" s="363" t="s">
        <v>175</v>
      </c>
      <c r="H349" s="363" t="s">
        <v>192</v>
      </c>
      <c r="I349" s="378" t="s">
        <v>198</v>
      </c>
    </row>
    <row r="350" customFormat="false" ht="15" hidden="false" customHeight="false" outlineLevel="0" collapsed="false">
      <c r="B350" s="360" t="n">
        <v>45940</v>
      </c>
      <c r="C350" s="365" t="s">
        <v>623</v>
      </c>
      <c r="D350" s="365" t="s">
        <v>747</v>
      </c>
      <c r="E350" s="350" t="s">
        <v>798</v>
      </c>
      <c r="F350" s="350" t="s">
        <v>191</v>
      </c>
      <c r="G350" s="364" t="s">
        <v>175</v>
      </c>
      <c r="H350" s="364" t="s">
        <v>799</v>
      </c>
      <c r="I350" s="377" t="s">
        <v>177</v>
      </c>
    </row>
    <row r="351" customFormat="false" ht="15" hidden="false" customHeight="false" outlineLevel="0" collapsed="false">
      <c r="B351" s="379" t="n">
        <v>45940</v>
      </c>
      <c r="C351" s="362" t="s">
        <v>639</v>
      </c>
      <c r="D351" s="380" t="s">
        <v>747</v>
      </c>
      <c r="E351" s="381" t="s">
        <v>800</v>
      </c>
      <c r="F351" s="381" t="s">
        <v>801</v>
      </c>
      <c r="G351" s="382" t="s">
        <v>175</v>
      </c>
      <c r="H351" s="382" t="s">
        <v>192</v>
      </c>
      <c r="I351" s="374" t="s">
        <v>198</v>
      </c>
    </row>
    <row r="352" customFormat="false" ht="15" hidden="false" customHeight="false" outlineLevel="0" collapsed="false">
      <c r="B352" s="383" t="n">
        <v>45943</v>
      </c>
      <c r="C352" s="383" t="s">
        <v>235</v>
      </c>
      <c r="D352" s="384" t="s">
        <v>747</v>
      </c>
      <c r="E352" s="385" t="s">
        <v>802</v>
      </c>
      <c r="F352" s="385" t="s">
        <v>191</v>
      </c>
      <c r="G352" s="386" t="s">
        <v>175</v>
      </c>
      <c r="H352" s="387" t="s">
        <v>192</v>
      </c>
      <c r="I352" s="388" t="s">
        <v>198</v>
      </c>
    </row>
    <row r="353" customFormat="false" ht="15" hidden="false" customHeight="false" outlineLevel="0" collapsed="false">
      <c r="B353" s="389" t="n">
        <v>45943</v>
      </c>
      <c r="C353" s="390" t="s">
        <v>623</v>
      </c>
      <c r="D353" s="390" t="s">
        <v>747</v>
      </c>
      <c r="E353" s="391" t="s">
        <v>802</v>
      </c>
      <c r="F353" s="391" t="s">
        <v>191</v>
      </c>
      <c r="G353" s="392" t="s">
        <v>175</v>
      </c>
      <c r="H353" s="393" t="s">
        <v>192</v>
      </c>
      <c r="I353" s="394" t="s">
        <v>198</v>
      </c>
    </row>
    <row r="354" customFormat="false" ht="15" hidden="false" customHeight="false" outlineLevel="0" collapsed="false">
      <c r="B354" s="383" t="n">
        <v>45943</v>
      </c>
      <c r="C354" s="387" t="s">
        <v>250</v>
      </c>
      <c r="D354" s="387" t="s">
        <v>399</v>
      </c>
      <c r="E354" s="385" t="s">
        <v>803</v>
      </c>
      <c r="F354" s="385" t="s">
        <v>196</v>
      </c>
      <c r="G354" s="395" t="s">
        <v>175</v>
      </c>
      <c r="H354" s="387" t="s">
        <v>192</v>
      </c>
      <c r="I354" s="388" t="s">
        <v>198</v>
      </c>
    </row>
    <row r="355" customFormat="false" ht="15" hidden="false" customHeight="false" outlineLevel="0" collapsed="false">
      <c r="B355" s="383" t="n">
        <v>45943</v>
      </c>
      <c r="C355" s="393" t="s">
        <v>246</v>
      </c>
      <c r="D355" s="393" t="s">
        <v>258</v>
      </c>
      <c r="E355" s="391" t="s">
        <v>803</v>
      </c>
      <c r="F355" s="391" t="s">
        <v>196</v>
      </c>
      <c r="G355" s="396" t="s">
        <v>175</v>
      </c>
      <c r="H355" s="393" t="s">
        <v>192</v>
      </c>
      <c r="I355" s="394" t="s">
        <v>198</v>
      </c>
    </row>
    <row r="356" customFormat="false" ht="15" hidden="false" customHeight="false" outlineLevel="0" collapsed="false">
      <c r="B356" s="389" t="n">
        <v>45943</v>
      </c>
      <c r="C356" s="387" t="s">
        <v>224</v>
      </c>
      <c r="D356" s="387" t="s">
        <v>307</v>
      </c>
      <c r="E356" s="385" t="s">
        <v>803</v>
      </c>
      <c r="F356" s="385" t="s">
        <v>196</v>
      </c>
      <c r="G356" s="395" t="s">
        <v>175</v>
      </c>
      <c r="H356" s="387" t="s">
        <v>192</v>
      </c>
      <c r="I356" s="388" t="s">
        <v>198</v>
      </c>
    </row>
    <row r="357" customFormat="false" ht="15" hidden="false" customHeight="false" outlineLevel="0" collapsed="false">
      <c r="B357" s="389" t="n">
        <v>45943</v>
      </c>
      <c r="C357" s="390" t="s">
        <v>240</v>
      </c>
      <c r="D357" s="390" t="s">
        <v>205</v>
      </c>
      <c r="E357" s="391" t="s">
        <v>803</v>
      </c>
      <c r="F357" s="391" t="s">
        <v>196</v>
      </c>
      <c r="G357" s="396" t="s">
        <v>175</v>
      </c>
      <c r="H357" s="393" t="s">
        <v>192</v>
      </c>
      <c r="I357" s="394" t="s">
        <v>198</v>
      </c>
    </row>
    <row r="358" customFormat="false" ht="15" hidden="false" customHeight="false" outlineLevel="0" collapsed="false">
      <c r="B358" s="383" t="n">
        <v>45943</v>
      </c>
      <c r="C358" s="387" t="s">
        <v>259</v>
      </c>
      <c r="D358" s="384" t="s">
        <v>804</v>
      </c>
      <c r="E358" s="385" t="s">
        <v>803</v>
      </c>
      <c r="F358" s="385" t="s">
        <v>196</v>
      </c>
      <c r="G358" s="395" t="s">
        <v>175</v>
      </c>
      <c r="H358" s="387" t="s">
        <v>192</v>
      </c>
      <c r="I358" s="388" t="s">
        <v>198</v>
      </c>
    </row>
    <row r="359" customFormat="false" ht="15" hidden="false" customHeight="false" outlineLevel="0" collapsed="false">
      <c r="B359" s="389" t="n">
        <v>45943</v>
      </c>
      <c r="C359" s="390" t="s">
        <v>805</v>
      </c>
      <c r="D359" s="390" t="s">
        <v>806</v>
      </c>
      <c r="E359" s="391" t="s">
        <v>803</v>
      </c>
      <c r="F359" s="391" t="s">
        <v>196</v>
      </c>
      <c r="G359" s="396" t="s">
        <v>175</v>
      </c>
      <c r="H359" s="393" t="s">
        <v>192</v>
      </c>
      <c r="I359" s="394" t="s">
        <v>198</v>
      </c>
    </row>
    <row r="360" customFormat="false" ht="15" hidden="false" customHeight="false" outlineLevel="0" collapsed="false">
      <c r="B360" s="389" t="n">
        <v>45943</v>
      </c>
      <c r="C360" s="384" t="s">
        <v>253</v>
      </c>
      <c r="D360" s="384" t="s">
        <v>205</v>
      </c>
      <c r="E360" s="385" t="s">
        <v>226</v>
      </c>
      <c r="F360" s="385" t="s">
        <v>210</v>
      </c>
      <c r="G360" s="386" t="s">
        <v>175</v>
      </c>
      <c r="H360" s="387" t="s">
        <v>192</v>
      </c>
      <c r="I360" s="388"/>
    </row>
    <row r="361" customFormat="false" ht="15" hidden="false" customHeight="false" outlineLevel="0" collapsed="false">
      <c r="B361" s="389" t="n">
        <v>45943</v>
      </c>
      <c r="C361" s="390" t="s">
        <v>476</v>
      </c>
      <c r="D361" s="390" t="s">
        <v>807</v>
      </c>
      <c r="E361" s="391" t="s">
        <v>802</v>
      </c>
      <c r="F361" s="391" t="s">
        <v>191</v>
      </c>
      <c r="G361" s="392" t="s">
        <v>175</v>
      </c>
      <c r="H361" s="393" t="s">
        <v>192</v>
      </c>
      <c r="I361" s="394" t="s">
        <v>198</v>
      </c>
    </row>
    <row r="362" customFormat="false" ht="15" hidden="false" customHeight="false" outlineLevel="0" collapsed="false">
      <c r="B362" s="389" t="n">
        <v>45944</v>
      </c>
      <c r="C362" s="384" t="s">
        <v>256</v>
      </c>
      <c r="D362" s="384" t="s">
        <v>123</v>
      </c>
      <c r="E362" s="385" t="s">
        <v>808</v>
      </c>
      <c r="F362" s="385" t="s">
        <v>523</v>
      </c>
      <c r="G362" s="386" t="s">
        <v>175</v>
      </c>
      <c r="H362" s="387" t="s">
        <v>192</v>
      </c>
      <c r="I362" s="388" t="s">
        <v>198</v>
      </c>
    </row>
    <row r="363" customFormat="false" ht="15" hidden="false" customHeight="false" outlineLevel="0" collapsed="false">
      <c r="B363" s="383" t="n">
        <v>45944</v>
      </c>
      <c r="C363" s="390" t="s">
        <v>243</v>
      </c>
      <c r="D363" s="390" t="s">
        <v>809</v>
      </c>
      <c r="E363" s="391" t="s">
        <v>808</v>
      </c>
      <c r="F363" s="391" t="s">
        <v>523</v>
      </c>
      <c r="G363" s="392" t="s">
        <v>175</v>
      </c>
      <c r="H363" s="393" t="s">
        <v>192</v>
      </c>
      <c r="I363" s="394" t="s">
        <v>198</v>
      </c>
    </row>
    <row r="364" customFormat="false" ht="15" hidden="false" customHeight="false" outlineLevel="0" collapsed="false">
      <c r="B364" s="389" t="n">
        <v>45944</v>
      </c>
      <c r="C364" s="384" t="s">
        <v>204</v>
      </c>
      <c r="D364" s="384" t="s">
        <v>205</v>
      </c>
      <c r="E364" s="385" t="s">
        <v>810</v>
      </c>
      <c r="F364" s="385" t="s">
        <v>196</v>
      </c>
      <c r="G364" s="386" t="s">
        <v>175</v>
      </c>
      <c r="H364" s="387" t="s">
        <v>192</v>
      </c>
      <c r="I364" s="388" t="s">
        <v>198</v>
      </c>
    </row>
    <row r="365" customFormat="false" ht="15" hidden="false" customHeight="false" outlineLevel="0" collapsed="false">
      <c r="B365" s="389" t="n">
        <v>45944</v>
      </c>
      <c r="C365" s="393" t="s">
        <v>224</v>
      </c>
      <c r="D365" s="393" t="s">
        <v>307</v>
      </c>
      <c r="E365" s="391" t="s">
        <v>810</v>
      </c>
      <c r="F365" s="391" t="s">
        <v>196</v>
      </c>
      <c r="G365" s="392" t="s">
        <v>175</v>
      </c>
      <c r="H365" s="393" t="s">
        <v>192</v>
      </c>
      <c r="I365" s="394" t="s">
        <v>198</v>
      </c>
    </row>
    <row r="366" customFormat="false" ht="15" hidden="false" customHeight="false" outlineLevel="0" collapsed="false">
      <c r="B366" s="383" t="n">
        <v>45944</v>
      </c>
      <c r="C366" s="384" t="s">
        <v>691</v>
      </c>
      <c r="D366" s="384" t="s">
        <v>123</v>
      </c>
      <c r="E366" s="385" t="s">
        <v>810</v>
      </c>
      <c r="F366" s="385" t="s">
        <v>196</v>
      </c>
      <c r="G366" s="386" t="s">
        <v>175</v>
      </c>
      <c r="H366" s="387" t="s">
        <v>192</v>
      </c>
      <c r="I366" s="388" t="s">
        <v>198</v>
      </c>
    </row>
    <row r="367" customFormat="false" ht="15" hidden="false" customHeight="false" outlineLevel="0" collapsed="false">
      <c r="B367" s="389" t="n">
        <v>45944</v>
      </c>
      <c r="C367" s="390" t="s">
        <v>243</v>
      </c>
      <c r="D367" s="390" t="s">
        <v>809</v>
      </c>
      <c r="E367" s="391" t="s">
        <v>810</v>
      </c>
      <c r="F367" s="391" t="s">
        <v>196</v>
      </c>
      <c r="G367" s="392" t="s">
        <v>175</v>
      </c>
      <c r="H367" s="393" t="s">
        <v>192</v>
      </c>
      <c r="I367" s="394" t="s">
        <v>198</v>
      </c>
    </row>
    <row r="368" customFormat="false" ht="15" hidden="false" customHeight="false" outlineLevel="0" collapsed="false">
      <c r="B368" s="389" t="n">
        <v>45944</v>
      </c>
      <c r="C368" s="384" t="s">
        <v>155</v>
      </c>
      <c r="D368" s="384" t="s">
        <v>123</v>
      </c>
      <c r="E368" s="385" t="s">
        <v>810</v>
      </c>
      <c r="F368" s="385" t="s">
        <v>196</v>
      </c>
      <c r="G368" s="386" t="s">
        <v>175</v>
      </c>
      <c r="H368" s="387" t="s">
        <v>192</v>
      </c>
      <c r="I368" s="388" t="s">
        <v>198</v>
      </c>
    </row>
    <row r="369" customFormat="false" ht="15" hidden="false" customHeight="false" outlineLevel="0" collapsed="false">
      <c r="B369" s="397" t="n">
        <v>45944</v>
      </c>
      <c r="C369" s="398" t="s">
        <v>805</v>
      </c>
      <c r="D369" s="398" t="s">
        <v>811</v>
      </c>
      <c r="E369" s="399" t="s">
        <v>810</v>
      </c>
      <c r="F369" s="400" t="s">
        <v>196</v>
      </c>
      <c r="G369" s="401" t="s">
        <v>175</v>
      </c>
      <c r="H369" s="402" t="s">
        <v>192</v>
      </c>
      <c r="I369" s="394" t="s">
        <v>198</v>
      </c>
    </row>
    <row r="370" customFormat="false" ht="15" hidden="false" customHeight="false" outlineLevel="0" collapsed="false">
      <c r="B370" s="383" t="n">
        <v>45945</v>
      </c>
      <c r="C370" s="384" t="s">
        <v>626</v>
      </c>
      <c r="D370" s="384" t="s">
        <v>812</v>
      </c>
      <c r="E370" s="384" t="s">
        <v>813</v>
      </c>
      <c r="F370" s="385" t="s">
        <v>191</v>
      </c>
      <c r="G370" s="386" t="s">
        <v>175</v>
      </c>
      <c r="H370" s="403" t="s">
        <v>192</v>
      </c>
      <c r="I370" s="388" t="s">
        <v>198</v>
      </c>
    </row>
    <row r="371" customFormat="false" ht="15" hidden="false" customHeight="false" outlineLevel="0" collapsed="false">
      <c r="B371" s="389" t="n">
        <v>45945</v>
      </c>
      <c r="C371" s="390" t="s">
        <v>814</v>
      </c>
      <c r="D371" s="390" t="s">
        <v>815</v>
      </c>
      <c r="E371" s="391" t="s">
        <v>816</v>
      </c>
      <c r="F371" s="391" t="s">
        <v>817</v>
      </c>
      <c r="G371" s="392" t="s">
        <v>175</v>
      </c>
      <c r="H371" s="393" t="s">
        <v>192</v>
      </c>
      <c r="I371" s="394" t="s">
        <v>198</v>
      </c>
    </row>
    <row r="372" customFormat="false" ht="15" hidden="false" customHeight="false" outlineLevel="0" collapsed="false">
      <c r="B372" s="383" t="n">
        <v>45945</v>
      </c>
      <c r="C372" s="384" t="s">
        <v>246</v>
      </c>
      <c r="D372" s="384" t="s">
        <v>818</v>
      </c>
      <c r="E372" s="385" t="s">
        <v>819</v>
      </c>
      <c r="F372" s="385" t="s">
        <v>820</v>
      </c>
      <c r="G372" s="386" t="s">
        <v>175</v>
      </c>
      <c r="H372" s="387" t="s">
        <v>192</v>
      </c>
      <c r="I372" s="388" t="s">
        <v>198</v>
      </c>
    </row>
    <row r="373" customFormat="false" ht="15" hidden="false" customHeight="false" outlineLevel="0" collapsed="false">
      <c r="B373" s="389" t="n">
        <v>45945</v>
      </c>
      <c r="C373" s="398" t="s">
        <v>235</v>
      </c>
      <c r="D373" s="398" t="s">
        <v>747</v>
      </c>
      <c r="E373" s="399" t="s">
        <v>821</v>
      </c>
      <c r="F373" s="400" t="s">
        <v>822</v>
      </c>
      <c r="G373" s="401" t="s">
        <v>175</v>
      </c>
      <c r="H373" s="402" t="s">
        <v>192</v>
      </c>
      <c r="I373" s="394" t="s">
        <v>198</v>
      </c>
    </row>
    <row r="374" customFormat="false" ht="15" hidden="false" customHeight="false" outlineLevel="0" collapsed="false">
      <c r="B374" s="383" t="n">
        <v>45945</v>
      </c>
      <c r="C374" s="384" t="s">
        <v>383</v>
      </c>
      <c r="D374" s="384" t="s">
        <v>823</v>
      </c>
      <c r="E374" s="385" t="s">
        <v>824</v>
      </c>
      <c r="F374" s="385" t="s">
        <v>191</v>
      </c>
      <c r="G374" s="386" t="s">
        <v>175</v>
      </c>
      <c r="H374" s="387" t="s">
        <v>192</v>
      </c>
      <c r="I374" s="388"/>
    </row>
    <row r="375" customFormat="false" ht="15" hidden="false" customHeight="false" outlineLevel="0" collapsed="false">
      <c r="B375" s="383" t="n">
        <v>45946</v>
      </c>
      <c r="C375" s="390" t="s">
        <v>626</v>
      </c>
      <c r="D375" s="390" t="s">
        <v>812</v>
      </c>
      <c r="E375" s="390" t="s">
        <v>813</v>
      </c>
      <c r="F375" s="391" t="s">
        <v>191</v>
      </c>
      <c r="G375" s="392" t="s">
        <v>175</v>
      </c>
      <c r="H375" s="404" t="s">
        <v>825</v>
      </c>
      <c r="I375" s="394" t="s">
        <v>198</v>
      </c>
    </row>
    <row r="376" customFormat="false" ht="15" hidden="false" customHeight="false" outlineLevel="0" collapsed="false">
      <c r="B376" s="383" t="n">
        <v>45946</v>
      </c>
      <c r="C376" s="384" t="s">
        <v>826</v>
      </c>
      <c r="D376" s="384" t="s">
        <v>827</v>
      </c>
      <c r="E376" s="385" t="s">
        <v>802</v>
      </c>
      <c r="F376" s="385" t="s">
        <v>191</v>
      </c>
      <c r="G376" s="386" t="s">
        <v>175</v>
      </c>
      <c r="H376" s="387" t="s">
        <v>825</v>
      </c>
      <c r="I376" s="388" t="s">
        <v>198</v>
      </c>
    </row>
    <row r="377" customFormat="false" ht="15" hidden="false" customHeight="false" outlineLevel="0" collapsed="false">
      <c r="B377" s="389" t="n">
        <v>45946</v>
      </c>
      <c r="C377" s="390" t="s">
        <v>805</v>
      </c>
      <c r="D377" s="390" t="s">
        <v>811</v>
      </c>
      <c r="E377" s="391" t="s">
        <v>810</v>
      </c>
      <c r="F377" s="391" t="s">
        <v>196</v>
      </c>
      <c r="G377" s="392" t="s">
        <v>175</v>
      </c>
      <c r="H377" s="393" t="s">
        <v>825</v>
      </c>
      <c r="I377" s="394" t="s">
        <v>198</v>
      </c>
    </row>
    <row r="378" customFormat="false" ht="15" hidden="false" customHeight="false" outlineLevel="0" collapsed="false">
      <c r="B378" s="389" t="n">
        <v>45946</v>
      </c>
      <c r="C378" s="384" t="s">
        <v>383</v>
      </c>
      <c r="D378" s="384" t="s">
        <v>823</v>
      </c>
      <c r="E378" s="385" t="s">
        <v>828</v>
      </c>
      <c r="F378" s="405" t="s">
        <v>829</v>
      </c>
      <c r="G378" s="403" t="s">
        <v>175</v>
      </c>
      <c r="H378" s="387" t="s">
        <v>830</v>
      </c>
      <c r="I378" s="388" t="s">
        <v>198</v>
      </c>
    </row>
    <row r="379" customFormat="false" ht="15" hidden="false" customHeight="false" outlineLevel="0" collapsed="false">
      <c r="B379" s="383" t="n">
        <v>45946</v>
      </c>
      <c r="C379" s="390" t="s">
        <v>253</v>
      </c>
      <c r="D379" s="390" t="s">
        <v>205</v>
      </c>
      <c r="E379" s="391" t="s">
        <v>226</v>
      </c>
      <c r="F379" s="391" t="s">
        <v>210</v>
      </c>
      <c r="G379" s="404" t="s">
        <v>175</v>
      </c>
      <c r="H379" s="393" t="s">
        <v>192</v>
      </c>
      <c r="I379" s="394"/>
    </row>
    <row r="380" customFormat="false" ht="15" hidden="false" customHeight="false" outlineLevel="0" collapsed="false">
      <c r="B380" s="383" t="n">
        <v>45947</v>
      </c>
      <c r="C380" s="384" t="s">
        <v>826</v>
      </c>
      <c r="D380" s="384" t="s">
        <v>827</v>
      </c>
      <c r="E380" s="385" t="s">
        <v>831</v>
      </c>
      <c r="F380" s="384" t="s">
        <v>196</v>
      </c>
      <c r="G380" s="406" t="s">
        <v>175</v>
      </c>
      <c r="H380" s="387" t="s">
        <v>192</v>
      </c>
      <c r="I380" s="407" t="s">
        <v>198</v>
      </c>
    </row>
    <row r="381" customFormat="false" ht="15" hidden="false" customHeight="false" outlineLevel="0" collapsed="false">
      <c r="B381" s="383" t="n">
        <v>45947</v>
      </c>
      <c r="C381" s="390" t="s">
        <v>826</v>
      </c>
      <c r="D381" s="390" t="s">
        <v>827</v>
      </c>
      <c r="E381" s="390" t="s">
        <v>832</v>
      </c>
      <c r="F381" s="391" t="s">
        <v>196</v>
      </c>
      <c r="G381" s="404" t="s">
        <v>175</v>
      </c>
      <c r="H381" s="393" t="s">
        <v>192</v>
      </c>
      <c r="I381" s="408" t="s">
        <v>198</v>
      </c>
    </row>
    <row r="382" customFormat="false" ht="15" hidden="false" customHeight="false" outlineLevel="0" collapsed="false">
      <c r="B382" s="360" t="n">
        <v>45950</v>
      </c>
      <c r="C382" s="367" t="s">
        <v>243</v>
      </c>
      <c r="D382" s="367" t="s">
        <v>258</v>
      </c>
      <c r="E382" s="369" t="s">
        <v>226</v>
      </c>
      <c r="F382" s="369" t="s">
        <v>833</v>
      </c>
      <c r="G382" s="409" t="s">
        <v>175</v>
      </c>
      <c r="H382" s="351" t="s">
        <v>192</v>
      </c>
      <c r="I382" s="410" t="s">
        <v>198</v>
      </c>
    </row>
    <row r="383" customFormat="false" ht="15" hidden="false" customHeight="false" outlineLevel="0" collapsed="false">
      <c r="B383" s="360" t="n">
        <v>45950</v>
      </c>
      <c r="C383" s="380" t="s">
        <v>826</v>
      </c>
      <c r="D383" s="380" t="s">
        <v>834</v>
      </c>
      <c r="E383" s="381" t="s">
        <v>835</v>
      </c>
      <c r="F383" s="381" t="s">
        <v>174</v>
      </c>
      <c r="G383" s="382" t="s">
        <v>175</v>
      </c>
      <c r="H383" s="355" t="s">
        <v>192</v>
      </c>
      <c r="I383" s="411" t="s">
        <v>198</v>
      </c>
    </row>
    <row r="384" customFormat="false" ht="15" hidden="false" customHeight="false" outlineLevel="0" collapsed="false">
      <c r="B384" s="349" t="n">
        <v>45951</v>
      </c>
      <c r="C384" s="365" t="s">
        <v>772</v>
      </c>
      <c r="D384" s="365" t="s">
        <v>307</v>
      </c>
      <c r="E384" s="350" t="s">
        <v>836</v>
      </c>
      <c r="F384" s="350" t="s">
        <v>174</v>
      </c>
      <c r="G384" s="412" t="s">
        <v>175</v>
      </c>
      <c r="H384" s="351" t="s">
        <v>837</v>
      </c>
      <c r="I384" s="413" t="s">
        <v>198</v>
      </c>
    </row>
    <row r="385" customFormat="false" ht="15" hidden="false" customHeight="false" outlineLevel="0" collapsed="false">
      <c r="B385" s="349" t="n">
        <v>45951</v>
      </c>
      <c r="C385" s="362" t="s">
        <v>224</v>
      </c>
      <c r="D385" s="362" t="s">
        <v>307</v>
      </c>
      <c r="E385" s="356" t="s">
        <v>226</v>
      </c>
      <c r="F385" s="356" t="s">
        <v>286</v>
      </c>
      <c r="G385" s="414" t="s">
        <v>175</v>
      </c>
      <c r="H385" s="355" t="s">
        <v>192</v>
      </c>
      <c r="I385" s="411" t="s">
        <v>286</v>
      </c>
    </row>
    <row r="386" customFormat="false" ht="15" hidden="false" customHeight="false" outlineLevel="0" collapsed="false">
      <c r="B386" s="360" t="n">
        <v>45951</v>
      </c>
      <c r="C386" s="365" t="s">
        <v>826</v>
      </c>
      <c r="D386" s="365" t="s">
        <v>834</v>
      </c>
      <c r="E386" s="350" t="s">
        <v>838</v>
      </c>
      <c r="F386" s="350" t="s">
        <v>174</v>
      </c>
      <c r="G386" s="412" t="s">
        <v>175</v>
      </c>
      <c r="H386" s="351" t="s">
        <v>228</v>
      </c>
      <c r="I386" s="413" t="s">
        <v>198</v>
      </c>
    </row>
    <row r="387" customFormat="false" ht="15" hidden="false" customHeight="false" outlineLevel="0" collapsed="false">
      <c r="B387" s="349" t="n">
        <v>45951</v>
      </c>
      <c r="C387" s="362" t="s">
        <v>235</v>
      </c>
      <c r="D387" s="362" t="s">
        <v>823</v>
      </c>
      <c r="E387" s="356" t="s">
        <v>838</v>
      </c>
      <c r="F387" s="356" t="s">
        <v>174</v>
      </c>
      <c r="G387" s="414" t="s">
        <v>175</v>
      </c>
      <c r="H387" s="355" t="s">
        <v>839</v>
      </c>
      <c r="I387" s="411" t="s">
        <v>198</v>
      </c>
    </row>
    <row r="388" customFormat="false" ht="15" hidden="false" customHeight="false" outlineLevel="0" collapsed="false">
      <c r="B388" s="360" t="n">
        <v>45951</v>
      </c>
      <c r="C388" s="365" t="s">
        <v>155</v>
      </c>
      <c r="D388" s="365" t="s">
        <v>215</v>
      </c>
      <c r="E388" s="350" t="s">
        <v>840</v>
      </c>
      <c r="F388" s="350" t="s">
        <v>210</v>
      </c>
      <c r="G388" s="412" t="s">
        <v>175</v>
      </c>
      <c r="H388" s="351" t="s">
        <v>841</v>
      </c>
      <c r="I388" s="413" t="s">
        <v>210</v>
      </c>
    </row>
    <row r="389" customFormat="false" ht="15" hidden="false" customHeight="false" outlineLevel="0" collapsed="false">
      <c r="B389" s="360" t="n">
        <v>45951</v>
      </c>
      <c r="C389" s="362" t="s">
        <v>246</v>
      </c>
      <c r="D389" s="362" t="s">
        <v>307</v>
      </c>
      <c r="E389" s="356" t="s">
        <v>842</v>
      </c>
      <c r="F389" s="356" t="s">
        <v>174</v>
      </c>
      <c r="G389" s="414" t="s">
        <v>175</v>
      </c>
      <c r="H389" s="355" t="s">
        <v>843</v>
      </c>
      <c r="I389" s="411" t="s">
        <v>177</v>
      </c>
    </row>
    <row r="390" customFormat="false" ht="15" hidden="false" customHeight="false" outlineLevel="0" collapsed="false">
      <c r="B390" s="360" t="n">
        <v>45951</v>
      </c>
      <c r="C390" s="365" t="s">
        <v>245</v>
      </c>
      <c r="D390" s="365" t="s">
        <v>307</v>
      </c>
      <c r="E390" s="350" t="s">
        <v>844</v>
      </c>
      <c r="F390" s="350" t="s">
        <v>286</v>
      </c>
      <c r="G390" s="412" t="s">
        <v>175</v>
      </c>
      <c r="H390" s="351" t="s">
        <v>845</v>
      </c>
      <c r="I390" s="413" t="s">
        <v>286</v>
      </c>
    </row>
    <row r="391" customFormat="false" ht="15" hidden="false" customHeight="false" outlineLevel="0" collapsed="false">
      <c r="B391" s="360" t="n">
        <v>45951</v>
      </c>
      <c r="C391" s="362" t="s">
        <v>337</v>
      </c>
      <c r="D391" s="362" t="s">
        <v>846</v>
      </c>
      <c r="E391" s="356" t="s">
        <v>209</v>
      </c>
      <c r="F391" s="356" t="s">
        <v>210</v>
      </c>
      <c r="G391" s="414" t="s">
        <v>175</v>
      </c>
      <c r="H391" s="355" t="s">
        <v>847</v>
      </c>
      <c r="I391" s="411" t="s">
        <v>210</v>
      </c>
    </row>
    <row r="392" customFormat="false" ht="15" hidden="false" customHeight="false" outlineLevel="0" collapsed="false">
      <c r="B392" s="360" t="n">
        <v>45952</v>
      </c>
      <c r="C392" s="365" t="s">
        <v>848</v>
      </c>
      <c r="D392" s="365" t="s">
        <v>823</v>
      </c>
      <c r="E392" s="350" t="s">
        <v>226</v>
      </c>
      <c r="F392" s="350" t="s">
        <v>191</v>
      </c>
      <c r="G392" s="412" t="s">
        <v>175</v>
      </c>
      <c r="H392" s="351" t="s">
        <v>192</v>
      </c>
      <c r="I392" s="413" t="s">
        <v>191</v>
      </c>
    </row>
    <row r="393" customFormat="false" ht="15" hidden="false" customHeight="false" outlineLevel="0" collapsed="false">
      <c r="B393" s="360" t="n">
        <v>45952</v>
      </c>
      <c r="C393" s="362" t="s">
        <v>848</v>
      </c>
      <c r="D393" s="362" t="s">
        <v>823</v>
      </c>
      <c r="E393" s="356" t="s">
        <v>226</v>
      </c>
      <c r="F393" s="356" t="s">
        <v>191</v>
      </c>
      <c r="G393" s="414" t="s">
        <v>175</v>
      </c>
      <c r="H393" s="355" t="s">
        <v>192</v>
      </c>
      <c r="I393" s="411" t="s">
        <v>191</v>
      </c>
    </row>
    <row r="394" customFormat="false" ht="15" hidden="false" customHeight="false" outlineLevel="0" collapsed="false">
      <c r="B394" s="349" t="n">
        <v>45952</v>
      </c>
      <c r="C394" s="365" t="s">
        <v>259</v>
      </c>
      <c r="D394" s="365" t="s">
        <v>307</v>
      </c>
      <c r="E394" s="350" t="s">
        <v>849</v>
      </c>
      <c r="F394" s="350" t="s">
        <v>174</v>
      </c>
      <c r="G394" s="412" t="s">
        <v>175</v>
      </c>
      <c r="H394" s="351" t="s">
        <v>192</v>
      </c>
      <c r="I394" s="413" t="s">
        <v>198</v>
      </c>
    </row>
    <row r="395" customFormat="false" ht="15" hidden="false" customHeight="false" outlineLevel="0" collapsed="false">
      <c r="B395" s="349" t="n">
        <v>45952</v>
      </c>
      <c r="C395" s="362" t="s">
        <v>253</v>
      </c>
      <c r="D395" s="362" t="s">
        <v>205</v>
      </c>
      <c r="E395" s="356" t="s">
        <v>226</v>
      </c>
      <c r="F395" s="356" t="s">
        <v>210</v>
      </c>
      <c r="G395" s="414" t="s">
        <v>175</v>
      </c>
      <c r="H395" s="355" t="s">
        <v>192</v>
      </c>
      <c r="I395" s="411" t="s">
        <v>210</v>
      </c>
    </row>
    <row r="396" customFormat="false" ht="15" hidden="false" customHeight="false" outlineLevel="0" collapsed="false">
      <c r="B396" s="349" t="n">
        <v>45952</v>
      </c>
      <c r="C396" s="365" t="s">
        <v>250</v>
      </c>
      <c r="D396" s="365" t="s">
        <v>399</v>
      </c>
      <c r="E396" s="350" t="s">
        <v>226</v>
      </c>
      <c r="F396" s="350" t="s">
        <v>210</v>
      </c>
      <c r="G396" s="412" t="s">
        <v>175</v>
      </c>
      <c r="H396" s="351" t="s">
        <v>850</v>
      </c>
      <c r="I396" s="413" t="s">
        <v>210</v>
      </c>
    </row>
    <row r="397" customFormat="false" ht="15" hidden="false" customHeight="false" outlineLevel="0" collapsed="false">
      <c r="B397" s="360" t="n">
        <v>45952</v>
      </c>
      <c r="C397" s="362" t="s">
        <v>383</v>
      </c>
      <c r="D397" s="362" t="s">
        <v>823</v>
      </c>
      <c r="E397" s="356" t="s">
        <v>851</v>
      </c>
      <c r="F397" s="356" t="s">
        <v>191</v>
      </c>
      <c r="G397" s="363" t="s">
        <v>175</v>
      </c>
      <c r="H397" s="355" t="s">
        <v>850</v>
      </c>
      <c r="I397" s="411" t="s">
        <v>191</v>
      </c>
    </row>
    <row r="398" customFormat="false" ht="15" hidden="false" customHeight="false" outlineLevel="0" collapsed="false">
      <c r="B398" s="349" t="n">
        <v>45952</v>
      </c>
      <c r="C398" s="365" t="s">
        <v>826</v>
      </c>
      <c r="D398" s="365" t="s">
        <v>834</v>
      </c>
      <c r="E398" s="350" t="s">
        <v>838</v>
      </c>
      <c r="F398" s="350" t="s">
        <v>174</v>
      </c>
      <c r="G398" s="364" t="s">
        <v>175</v>
      </c>
      <c r="H398" s="351" t="s">
        <v>852</v>
      </c>
      <c r="I398" s="354" t="s">
        <v>198</v>
      </c>
    </row>
    <row r="399" customFormat="false" ht="15" hidden="false" customHeight="false" outlineLevel="0" collapsed="false">
      <c r="B399" s="379" t="n">
        <v>45952</v>
      </c>
      <c r="C399" s="362" t="s">
        <v>794</v>
      </c>
      <c r="D399" s="362" t="s">
        <v>485</v>
      </c>
      <c r="E399" s="356" t="s">
        <v>853</v>
      </c>
      <c r="F399" s="356" t="s">
        <v>174</v>
      </c>
      <c r="G399" s="363" t="s">
        <v>175</v>
      </c>
      <c r="H399" s="355" t="s">
        <v>854</v>
      </c>
      <c r="I399" s="359" t="s">
        <v>177</v>
      </c>
    </row>
    <row r="400" customFormat="false" ht="15" hidden="false" customHeight="false" outlineLevel="0" collapsed="false">
      <c r="B400" s="349" t="n">
        <v>45952</v>
      </c>
      <c r="C400" s="365" t="s">
        <v>253</v>
      </c>
      <c r="D400" s="365" t="s">
        <v>855</v>
      </c>
      <c r="E400" s="350" t="s">
        <v>853</v>
      </c>
      <c r="F400" s="350" t="s">
        <v>174</v>
      </c>
      <c r="G400" s="364" t="s">
        <v>175</v>
      </c>
      <c r="H400" s="351" t="s">
        <v>856</v>
      </c>
      <c r="I400" s="354" t="s">
        <v>177</v>
      </c>
    </row>
    <row r="401" customFormat="false" ht="15" hidden="false" customHeight="false" outlineLevel="0" collapsed="false">
      <c r="B401" s="360" t="n">
        <v>45953</v>
      </c>
      <c r="C401" s="362" t="s">
        <v>243</v>
      </c>
      <c r="D401" s="362" t="s">
        <v>857</v>
      </c>
      <c r="E401" s="356" t="s">
        <v>858</v>
      </c>
      <c r="F401" s="356" t="s">
        <v>174</v>
      </c>
      <c r="G401" s="363" t="s">
        <v>175</v>
      </c>
      <c r="H401" s="355" t="s">
        <v>859</v>
      </c>
      <c r="I401" s="359" t="s">
        <v>177</v>
      </c>
    </row>
    <row r="402" customFormat="false" ht="15" hidden="false" customHeight="false" outlineLevel="0" collapsed="false">
      <c r="B402" s="349" t="n">
        <v>45953</v>
      </c>
      <c r="C402" s="415" t="s">
        <v>224</v>
      </c>
      <c r="D402" s="365" t="s">
        <v>307</v>
      </c>
      <c r="E402" s="350" t="s">
        <v>860</v>
      </c>
      <c r="F402" s="350" t="s">
        <v>227</v>
      </c>
      <c r="G402" s="364" t="s">
        <v>175</v>
      </c>
      <c r="H402" s="351" t="s">
        <v>861</v>
      </c>
      <c r="I402" s="354" t="s">
        <v>227</v>
      </c>
    </row>
    <row r="403" customFormat="false" ht="15" hidden="false" customHeight="false" outlineLevel="0" collapsed="false">
      <c r="B403" s="349" t="n">
        <v>45953</v>
      </c>
      <c r="C403" s="362" t="s">
        <v>718</v>
      </c>
      <c r="D403" s="362" t="s">
        <v>721</v>
      </c>
      <c r="E403" s="356" t="s">
        <v>862</v>
      </c>
      <c r="F403" s="356" t="s">
        <v>227</v>
      </c>
      <c r="G403" s="363" t="s">
        <v>175</v>
      </c>
      <c r="H403" s="355" t="s">
        <v>863</v>
      </c>
      <c r="I403" s="359" t="s">
        <v>227</v>
      </c>
    </row>
    <row r="404" customFormat="false" ht="15" hidden="false" customHeight="false" outlineLevel="0" collapsed="false">
      <c r="B404" s="360" t="n">
        <v>45953</v>
      </c>
      <c r="C404" s="365" t="s">
        <v>259</v>
      </c>
      <c r="D404" s="365" t="s">
        <v>399</v>
      </c>
      <c r="E404" s="350" t="s">
        <v>862</v>
      </c>
      <c r="F404" s="350" t="s">
        <v>227</v>
      </c>
      <c r="G404" s="364" t="s">
        <v>175</v>
      </c>
      <c r="H404" s="351" t="s">
        <v>864</v>
      </c>
      <c r="I404" s="354" t="s">
        <v>227</v>
      </c>
    </row>
    <row r="405" customFormat="false" ht="15" hidden="false" customHeight="false" outlineLevel="0" collapsed="false">
      <c r="B405" s="360" t="n">
        <v>45953</v>
      </c>
      <c r="C405" s="362" t="s">
        <v>155</v>
      </c>
      <c r="D405" s="362" t="s">
        <v>215</v>
      </c>
      <c r="E405" s="356" t="s">
        <v>767</v>
      </c>
      <c r="F405" s="356" t="s">
        <v>174</v>
      </c>
      <c r="G405" s="363" t="s">
        <v>175</v>
      </c>
      <c r="H405" s="355" t="s">
        <v>865</v>
      </c>
      <c r="I405" s="359" t="s">
        <v>198</v>
      </c>
    </row>
    <row r="406" customFormat="false" ht="15" hidden="false" customHeight="false" outlineLevel="0" collapsed="false">
      <c r="B406" s="349" t="n">
        <v>45953</v>
      </c>
      <c r="C406" s="365" t="s">
        <v>250</v>
      </c>
      <c r="D406" s="365" t="s">
        <v>399</v>
      </c>
      <c r="E406" s="350" t="s">
        <v>767</v>
      </c>
      <c r="F406" s="350" t="s">
        <v>174</v>
      </c>
      <c r="G406" s="364" t="s">
        <v>175</v>
      </c>
      <c r="H406" s="351" t="s">
        <v>866</v>
      </c>
      <c r="I406" s="354" t="s">
        <v>198</v>
      </c>
    </row>
    <row r="407" customFormat="false" ht="15" hidden="false" customHeight="false" outlineLevel="0" collapsed="false">
      <c r="B407" s="349" t="n">
        <v>45953</v>
      </c>
      <c r="C407" s="362" t="s">
        <v>718</v>
      </c>
      <c r="D407" s="362" t="s">
        <v>205</v>
      </c>
      <c r="E407" s="356" t="s">
        <v>767</v>
      </c>
      <c r="F407" s="356" t="s">
        <v>174</v>
      </c>
      <c r="G407" s="363" t="s">
        <v>175</v>
      </c>
      <c r="H407" s="355" t="s">
        <v>866</v>
      </c>
      <c r="I407" s="359" t="s">
        <v>198</v>
      </c>
    </row>
    <row r="408" customFormat="false" ht="15" hidden="false" customHeight="false" outlineLevel="0" collapsed="false">
      <c r="B408" s="349" t="n">
        <v>45953</v>
      </c>
      <c r="C408" s="365" t="s">
        <v>805</v>
      </c>
      <c r="D408" s="365" t="s">
        <v>867</v>
      </c>
      <c r="E408" s="350" t="s">
        <v>767</v>
      </c>
      <c r="F408" s="350" t="s">
        <v>174</v>
      </c>
      <c r="G408" s="364" t="s">
        <v>175</v>
      </c>
      <c r="H408" s="351" t="s">
        <v>866</v>
      </c>
      <c r="I408" s="354" t="s">
        <v>198</v>
      </c>
    </row>
    <row r="409" customFormat="false" ht="15" hidden="false" customHeight="false" outlineLevel="0" collapsed="false">
      <c r="B409" s="349" t="n">
        <v>45953</v>
      </c>
      <c r="C409" s="362" t="s">
        <v>155</v>
      </c>
      <c r="D409" s="362" t="s">
        <v>215</v>
      </c>
      <c r="E409" s="356" t="s">
        <v>767</v>
      </c>
      <c r="F409" s="356" t="s">
        <v>174</v>
      </c>
      <c r="G409" s="363" t="s">
        <v>175</v>
      </c>
      <c r="H409" s="355" t="s">
        <v>868</v>
      </c>
      <c r="I409" s="359" t="s">
        <v>198</v>
      </c>
    </row>
    <row r="410" customFormat="false" ht="15" hidden="false" customHeight="false" outlineLevel="0" collapsed="false">
      <c r="B410" s="349" t="n">
        <v>45953</v>
      </c>
      <c r="C410" s="365" t="s">
        <v>718</v>
      </c>
      <c r="D410" s="365" t="s">
        <v>205</v>
      </c>
      <c r="E410" s="350" t="s">
        <v>767</v>
      </c>
      <c r="F410" s="350" t="s">
        <v>174</v>
      </c>
      <c r="G410" s="364" t="s">
        <v>175</v>
      </c>
      <c r="H410" s="351" t="s">
        <v>869</v>
      </c>
      <c r="I410" s="354" t="s">
        <v>198</v>
      </c>
    </row>
    <row r="411" customFormat="false" ht="15" hidden="false" customHeight="false" outlineLevel="0" collapsed="false">
      <c r="B411" s="360" t="n">
        <v>45953</v>
      </c>
      <c r="C411" s="362" t="s">
        <v>337</v>
      </c>
      <c r="D411" s="362" t="s">
        <v>846</v>
      </c>
      <c r="E411" s="356" t="s">
        <v>209</v>
      </c>
      <c r="F411" s="356" t="s">
        <v>210</v>
      </c>
      <c r="G411" s="363" t="s">
        <v>175</v>
      </c>
      <c r="H411" s="355" t="s">
        <v>870</v>
      </c>
      <c r="I411" s="359" t="s">
        <v>210</v>
      </c>
    </row>
    <row r="412" customFormat="false" ht="29.85" hidden="false" customHeight="false" outlineLevel="0" collapsed="false">
      <c r="B412" s="416" t="n">
        <v>45954</v>
      </c>
      <c r="C412" s="365" t="s">
        <v>623</v>
      </c>
      <c r="D412" s="365" t="s">
        <v>823</v>
      </c>
      <c r="E412" s="364" t="s">
        <v>871</v>
      </c>
      <c r="F412" s="364" t="s">
        <v>174</v>
      </c>
      <c r="G412" s="364" t="s">
        <v>175</v>
      </c>
      <c r="H412" s="353" t="s">
        <v>872</v>
      </c>
      <c r="I412" s="413" t="s">
        <v>177</v>
      </c>
    </row>
    <row r="413" customFormat="false" ht="15" hidden="false" customHeight="false" outlineLevel="0" collapsed="false">
      <c r="B413" s="417" t="n">
        <v>45903</v>
      </c>
      <c r="C413" s="418" t="s">
        <v>256</v>
      </c>
      <c r="D413" s="419" t="s">
        <v>873</v>
      </c>
      <c r="E413" s="420" t="s">
        <v>574</v>
      </c>
      <c r="F413" s="417" t="s">
        <v>185</v>
      </c>
      <c r="G413" s="418" t="s">
        <v>175</v>
      </c>
      <c r="H413" s="419" t="s">
        <v>874</v>
      </c>
      <c r="I413" s="421" t="s">
        <v>185</v>
      </c>
    </row>
    <row r="414" customFormat="false" ht="15" hidden="false" customHeight="false" outlineLevel="0" collapsed="false">
      <c r="B414" s="417" t="n">
        <v>45937</v>
      </c>
      <c r="C414" s="419" t="s">
        <v>256</v>
      </c>
      <c r="D414" s="419" t="s">
        <v>875</v>
      </c>
      <c r="E414" s="420" t="s">
        <v>876</v>
      </c>
      <c r="F414" s="417" t="s">
        <v>185</v>
      </c>
      <c r="G414" s="419" t="s">
        <v>175</v>
      </c>
      <c r="H414" s="419" t="s">
        <v>877</v>
      </c>
      <c r="I414" s="421" t="s">
        <v>185</v>
      </c>
    </row>
    <row r="415" customFormat="false" ht="15" hidden="false" customHeight="false" outlineLevel="0" collapsed="false">
      <c r="B415" s="417" t="n">
        <v>45943</v>
      </c>
      <c r="C415" s="419" t="s">
        <v>256</v>
      </c>
      <c r="D415" s="419" t="s">
        <v>873</v>
      </c>
      <c r="E415" s="420" t="s">
        <v>878</v>
      </c>
      <c r="F415" s="417" t="s">
        <v>185</v>
      </c>
      <c r="G415" s="419" t="s">
        <v>175</v>
      </c>
      <c r="H415" s="419" t="s">
        <v>879</v>
      </c>
      <c r="I415" s="421" t="s">
        <v>185</v>
      </c>
    </row>
    <row r="416" customFormat="false" ht="15" hidden="false" customHeight="false" outlineLevel="0" collapsed="false">
      <c r="B416" s="417" t="n">
        <v>45953</v>
      </c>
      <c r="C416" s="420" t="s">
        <v>256</v>
      </c>
      <c r="D416" s="420" t="s">
        <v>553</v>
      </c>
      <c r="E416" s="420" t="s">
        <v>576</v>
      </c>
      <c r="F416" s="420" t="s">
        <v>185</v>
      </c>
      <c r="G416" s="419" t="s">
        <v>175</v>
      </c>
      <c r="H416" s="420" t="s">
        <v>880</v>
      </c>
      <c r="I416" s="421" t="s">
        <v>185</v>
      </c>
    </row>
    <row r="417" customFormat="false" ht="15" hidden="false" customHeight="false" outlineLevel="0" collapsed="false">
      <c r="B417" s="417" t="n">
        <v>45957</v>
      </c>
      <c r="C417" s="419" t="s">
        <v>201</v>
      </c>
      <c r="D417" s="419" t="s">
        <v>205</v>
      </c>
      <c r="E417" s="420" t="s">
        <v>881</v>
      </c>
      <c r="F417" s="417" t="s">
        <v>196</v>
      </c>
      <c r="G417" s="419" t="s">
        <v>175</v>
      </c>
      <c r="H417" s="419" t="s">
        <v>850</v>
      </c>
      <c r="I417" s="421" t="s">
        <v>198</v>
      </c>
    </row>
    <row r="418" customFormat="false" ht="15" hidden="false" customHeight="false" outlineLevel="0" collapsed="false">
      <c r="B418" s="417" t="n">
        <v>45957</v>
      </c>
      <c r="C418" s="418" t="s">
        <v>155</v>
      </c>
      <c r="D418" s="419" t="s">
        <v>518</v>
      </c>
      <c r="E418" s="420" t="s">
        <v>881</v>
      </c>
      <c r="F418" s="417" t="s">
        <v>196</v>
      </c>
      <c r="G418" s="419" t="s">
        <v>175</v>
      </c>
      <c r="H418" s="419" t="s">
        <v>850</v>
      </c>
      <c r="I418" s="421" t="s">
        <v>198</v>
      </c>
    </row>
    <row r="419" customFormat="false" ht="15" hidden="false" customHeight="false" outlineLevel="0" collapsed="false">
      <c r="B419" s="417" t="n">
        <v>45957</v>
      </c>
      <c r="C419" s="422" t="s">
        <v>155</v>
      </c>
      <c r="D419" s="422" t="s">
        <v>511</v>
      </c>
      <c r="E419" s="420" t="s">
        <v>881</v>
      </c>
      <c r="F419" s="417" t="s">
        <v>196</v>
      </c>
      <c r="G419" s="419" t="s">
        <v>175</v>
      </c>
      <c r="H419" s="419" t="s">
        <v>850</v>
      </c>
      <c r="I419" s="421" t="s">
        <v>198</v>
      </c>
    </row>
    <row r="420" customFormat="false" ht="15" hidden="false" customHeight="false" outlineLevel="0" collapsed="false">
      <c r="B420" s="417" t="n">
        <v>45957</v>
      </c>
      <c r="C420" s="423" t="s">
        <v>413</v>
      </c>
      <c r="D420" s="424" t="s">
        <v>882</v>
      </c>
      <c r="E420" s="420" t="s">
        <v>881</v>
      </c>
      <c r="F420" s="417" t="s">
        <v>196</v>
      </c>
      <c r="G420" s="419" t="s">
        <v>175</v>
      </c>
      <c r="H420" s="419" t="s">
        <v>850</v>
      </c>
      <c r="I420" s="421" t="s">
        <v>198</v>
      </c>
    </row>
    <row r="421" customFormat="false" ht="15" hidden="false" customHeight="false" outlineLevel="0" collapsed="false">
      <c r="B421" s="417" t="n">
        <v>45957</v>
      </c>
      <c r="C421" s="422" t="s">
        <v>313</v>
      </c>
      <c r="D421" s="422" t="s">
        <v>60</v>
      </c>
      <c r="E421" s="420" t="s">
        <v>705</v>
      </c>
      <c r="F421" s="420" t="s">
        <v>174</v>
      </c>
      <c r="G421" s="419" t="s">
        <v>175</v>
      </c>
      <c r="H421" s="425" t="s">
        <v>883</v>
      </c>
      <c r="I421" s="426" t="s">
        <v>177</v>
      </c>
    </row>
    <row r="422" customFormat="false" ht="15" hidden="false" customHeight="false" outlineLevel="0" collapsed="false">
      <c r="B422" s="417" t="n">
        <v>45957</v>
      </c>
      <c r="C422" s="422" t="s">
        <v>278</v>
      </c>
      <c r="D422" s="427" t="s">
        <v>123</v>
      </c>
      <c r="E422" s="428" t="s">
        <v>616</v>
      </c>
      <c r="F422" s="428" t="s">
        <v>183</v>
      </c>
      <c r="G422" s="429" t="s">
        <v>884</v>
      </c>
      <c r="H422" s="430" t="s">
        <v>885</v>
      </c>
      <c r="I422" s="426" t="s">
        <v>177</v>
      </c>
    </row>
    <row r="423" customFormat="false" ht="15" hidden="false" customHeight="false" outlineLevel="0" collapsed="false">
      <c r="B423" s="417" t="n">
        <v>45957</v>
      </c>
      <c r="C423" s="422" t="s">
        <v>243</v>
      </c>
      <c r="D423" s="422" t="s">
        <v>886</v>
      </c>
      <c r="E423" s="420" t="s">
        <v>887</v>
      </c>
      <c r="F423" s="420" t="s">
        <v>174</v>
      </c>
      <c r="G423" s="431" t="s">
        <v>175</v>
      </c>
      <c r="H423" s="425" t="s">
        <v>888</v>
      </c>
      <c r="I423" s="426" t="s">
        <v>177</v>
      </c>
    </row>
    <row r="424" customFormat="false" ht="15" hidden="false" customHeight="false" outlineLevel="0" collapsed="false">
      <c r="B424" s="417" t="n">
        <v>45958</v>
      </c>
      <c r="C424" s="420" t="s">
        <v>284</v>
      </c>
      <c r="D424" s="420" t="s">
        <v>307</v>
      </c>
      <c r="E424" s="420" t="s">
        <v>226</v>
      </c>
      <c r="F424" s="420" t="s">
        <v>286</v>
      </c>
      <c r="G424" s="431" t="s">
        <v>175</v>
      </c>
      <c r="H424" s="419" t="s">
        <v>850</v>
      </c>
      <c r="I424" s="426" t="s">
        <v>889</v>
      </c>
    </row>
    <row r="425" customFormat="false" ht="15" hidden="false" customHeight="false" outlineLevel="0" collapsed="false">
      <c r="B425" s="417" t="n">
        <v>45958</v>
      </c>
      <c r="C425" s="422" t="s">
        <v>155</v>
      </c>
      <c r="D425" s="419" t="s">
        <v>890</v>
      </c>
      <c r="E425" s="420" t="s">
        <v>226</v>
      </c>
      <c r="F425" s="420" t="s">
        <v>286</v>
      </c>
      <c r="G425" s="431" t="s">
        <v>175</v>
      </c>
      <c r="H425" s="420" t="s">
        <v>850</v>
      </c>
      <c r="I425" s="426" t="s">
        <v>889</v>
      </c>
    </row>
    <row r="426" customFormat="false" ht="15" hidden="false" customHeight="false" outlineLevel="0" collapsed="false">
      <c r="B426" s="417" t="n">
        <v>45958</v>
      </c>
      <c r="C426" s="422" t="s">
        <v>155</v>
      </c>
      <c r="D426" s="422" t="s">
        <v>511</v>
      </c>
      <c r="E426" s="420" t="s">
        <v>891</v>
      </c>
      <c r="F426" s="420" t="s">
        <v>174</v>
      </c>
      <c r="G426" s="431" t="s">
        <v>175</v>
      </c>
      <c r="H426" s="425" t="s">
        <v>850</v>
      </c>
      <c r="I426" s="426" t="s">
        <v>198</v>
      </c>
    </row>
    <row r="427" customFormat="false" ht="15" hidden="false" customHeight="false" outlineLevel="0" collapsed="false">
      <c r="B427" s="417" t="n">
        <v>45958</v>
      </c>
      <c r="C427" s="432" t="s">
        <v>256</v>
      </c>
      <c r="D427" s="422" t="s">
        <v>549</v>
      </c>
      <c r="E427" s="420" t="s">
        <v>891</v>
      </c>
      <c r="F427" s="420" t="s">
        <v>174</v>
      </c>
      <c r="G427" s="431" t="s">
        <v>175</v>
      </c>
      <c r="H427" s="425" t="s">
        <v>850</v>
      </c>
      <c r="I427" s="426" t="s">
        <v>198</v>
      </c>
    </row>
    <row r="428" customFormat="false" ht="15" hidden="false" customHeight="false" outlineLevel="0" collapsed="false">
      <c r="B428" s="417" t="n">
        <v>45958</v>
      </c>
      <c r="C428" s="422" t="s">
        <v>259</v>
      </c>
      <c r="D428" s="422" t="s">
        <v>260</v>
      </c>
      <c r="E428" s="420" t="s">
        <v>891</v>
      </c>
      <c r="F428" s="420" t="s">
        <v>174</v>
      </c>
      <c r="G428" s="419" t="s">
        <v>175</v>
      </c>
      <c r="H428" s="425" t="s">
        <v>850</v>
      </c>
      <c r="I428" s="426" t="s">
        <v>198</v>
      </c>
    </row>
    <row r="429" customFormat="false" ht="15" hidden="false" customHeight="false" outlineLevel="0" collapsed="false">
      <c r="B429" s="417" t="n">
        <v>45958</v>
      </c>
      <c r="C429" s="422" t="s">
        <v>383</v>
      </c>
      <c r="D429" s="422" t="s">
        <v>892</v>
      </c>
      <c r="E429" s="420" t="s">
        <v>893</v>
      </c>
      <c r="F429" s="420" t="s">
        <v>174</v>
      </c>
      <c r="G429" s="419" t="s">
        <v>175</v>
      </c>
      <c r="H429" s="425" t="s">
        <v>850</v>
      </c>
      <c r="I429" s="426" t="s">
        <v>191</v>
      </c>
    </row>
    <row r="430" customFormat="false" ht="15" hidden="false" customHeight="false" outlineLevel="0" collapsed="false">
      <c r="B430" s="433" t="n">
        <v>45958</v>
      </c>
      <c r="C430" s="422" t="s">
        <v>237</v>
      </c>
      <c r="D430" s="422" t="s">
        <v>894</v>
      </c>
      <c r="E430" s="420" t="s">
        <v>895</v>
      </c>
      <c r="F430" s="420" t="s">
        <v>196</v>
      </c>
      <c r="G430" s="419" t="s">
        <v>896</v>
      </c>
      <c r="H430" s="425" t="s">
        <v>897</v>
      </c>
      <c r="I430" s="426" t="s">
        <v>198</v>
      </c>
    </row>
    <row r="431" customFormat="false" ht="15" hidden="false" customHeight="false" outlineLevel="0" collapsed="false">
      <c r="B431" s="417" t="n">
        <v>45959</v>
      </c>
      <c r="C431" s="422" t="s">
        <v>243</v>
      </c>
      <c r="D431" s="422" t="s">
        <v>898</v>
      </c>
      <c r="E431" s="420" t="s">
        <v>887</v>
      </c>
      <c r="F431" s="420" t="s">
        <v>174</v>
      </c>
      <c r="G431" s="419" t="s">
        <v>175</v>
      </c>
      <c r="H431" s="425" t="s">
        <v>899</v>
      </c>
      <c r="I431" s="426" t="s">
        <v>177</v>
      </c>
    </row>
    <row r="432" customFormat="false" ht="15" hidden="false" customHeight="false" outlineLevel="0" collapsed="false">
      <c r="B432" s="417" t="n">
        <v>45959</v>
      </c>
      <c r="C432" s="422" t="s">
        <v>240</v>
      </c>
      <c r="D432" s="422" t="s">
        <v>900</v>
      </c>
      <c r="E432" s="420" t="s">
        <v>887</v>
      </c>
      <c r="F432" s="420" t="s">
        <v>227</v>
      </c>
      <c r="G432" s="419" t="s">
        <v>175</v>
      </c>
      <c r="H432" s="425" t="s">
        <v>901</v>
      </c>
      <c r="I432" s="421" t="s">
        <v>177</v>
      </c>
    </row>
    <row r="433" customFormat="false" ht="15" hidden="false" customHeight="false" outlineLevel="0" collapsed="false">
      <c r="B433" s="417" t="n">
        <v>45959</v>
      </c>
      <c r="C433" s="422" t="s">
        <v>240</v>
      </c>
      <c r="D433" s="422" t="s">
        <v>215</v>
      </c>
      <c r="E433" s="420" t="s">
        <v>231</v>
      </c>
      <c r="F433" s="420" t="s">
        <v>227</v>
      </c>
      <c r="G433" s="419" t="s">
        <v>175</v>
      </c>
      <c r="H433" s="425" t="s">
        <v>850</v>
      </c>
      <c r="I433" s="421" t="s">
        <v>229</v>
      </c>
    </row>
    <row r="434" customFormat="false" ht="15" hidden="false" customHeight="false" outlineLevel="0" collapsed="false">
      <c r="B434" s="417" t="n">
        <v>45959</v>
      </c>
      <c r="C434" s="422" t="s">
        <v>259</v>
      </c>
      <c r="D434" s="422" t="s">
        <v>902</v>
      </c>
      <c r="E434" s="420" t="s">
        <v>231</v>
      </c>
      <c r="F434" s="420" t="s">
        <v>227</v>
      </c>
      <c r="G434" s="419" t="s">
        <v>175</v>
      </c>
      <c r="H434" s="425" t="s">
        <v>850</v>
      </c>
      <c r="I434" s="421" t="s">
        <v>229</v>
      </c>
    </row>
    <row r="435" customFormat="false" ht="15" hidden="false" customHeight="false" outlineLevel="0" collapsed="false">
      <c r="B435" s="417" t="n">
        <v>45959</v>
      </c>
      <c r="C435" s="422" t="s">
        <v>224</v>
      </c>
      <c r="D435" s="422" t="s">
        <v>307</v>
      </c>
      <c r="E435" s="420" t="s">
        <v>231</v>
      </c>
      <c r="F435" s="420" t="s">
        <v>227</v>
      </c>
      <c r="G435" s="419" t="s">
        <v>175</v>
      </c>
      <c r="H435" s="425" t="s">
        <v>850</v>
      </c>
      <c r="I435" s="421" t="s">
        <v>229</v>
      </c>
    </row>
    <row r="436" customFormat="false" ht="15" hidden="false" customHeight="false" outlineLevel="0" collapsed="false">
      <c r="B436" s="417" t="n">
        <v>45959</v>
      </c>
      <c r="C436" s="422" t="s">
        <v>235</v>
      </c>
      <c r="D436" s="422" t="s">
        <v>892</v>
      </c>
      <c r="E436" s="420" t="s">
        <v>821</v>
      </c>
      <c r="F436" s="420" t="s">
        <v>903</v>
      </c>
      <c r="G436" s="419" t="s">
        <v>175</v>
      </c>
      <c r="H436" s="425" t="s">
        <v>904</v>
      </c>
      <c r="I436" s="421" t="s">
        <v>198</v>
      </c>
    </row>
    <row r="437" customFormat="false" ht="15" hidden="false" customHeight="false" outlineLevel="0" collapsed="false">
      <c r="B437" s="417" t="n">
        <v>45959</v>
      </c>
      <c r="C437" s="422" t="s">
        <v>626</v>
      </c>
      <c r="D437" s="422" t="s">
        <v>892</v>
      </c>
      <c r="E437" s="420" t="s">
        <v>821</v>
      </c>
      <c r="F437" s="420" t="s">
        <v>903</v>
      </c>
      <c r="G437" s="419" t="s">
        <v>175</v>
      </c>
      <c r="H437" s="425" t="s">
        <v>905</v>
      </c>
      <c r="I437" s="421" t="s">
        <v>198</v>
      </c>
    </row>
    <row r="438" customFormat="false" ht="15" hidden="false" customHeight="false" outlineLevel="0" collapsed="false">
      <c r="B438" s="417" t="n">
        <v>45959</v>
      </c>
      <c r="C438" s="422" t="s">
        <v>243</v>
      </c>
      <c r="D438" s="422" t="s">
        <v>258</v>
      </c>
      <c r="E438" s="420" t="s">
        <v>226</v>
      </c>
      <c r="F438" s="420" t="s">
        <v>523</v>
      </c>
      <c r="G438" s="419" t="s">
        <v>175</v>
      </c>
      <c r="H438" s="425" t="s">
        <v>850</v>
      </c>
      <c r="I438" s="421" t="s">
        <v>906</v>
      </c>
    </row>
    <row r="439" customFormat="false" ht="29.85" hidden="false" customHeight="false" outlineLevel="0" collapsed="false">
      <c r="B439" s="418" t="n">
        <v>45960</v>
      </c>
      <c r="C439" s="422" t="s">
        <v>240</v>
      </c>
      <c r="D439" s="422" t="s">
        <v>900</v>
      </c>
      <c r="E439" s="419" t="s">
        <v>887</v>
      </c>
      <c r="F439" s="419" t="s">
        <v>227</v>
      </c>
      <c r="G439" s="419" t="s">
        <v>175</v>
      </c>
      <c r="H439" s="434" t="s">
        <v>907</v>
      </c>
      <c r="I439" s="421" t="s">
        <v>177</v>
      </c>
    </row>
    <row r="440" customFormat="false" ht="15" hidden="false" customHeight="false" outlineLevel="0" collapsed="false">
      <c r="B440" s="417" t="n">
        <v>45960</v>
      </c>
      <c r="C440" s="422" t="s">
        <v>250</v>
      </c>
      <c r="D440" s="422" t="s">
        <v>908</v>
      </c>
      <c r="E440" s="420" t="s">
        <v>887</v>
      </c>
      <c r="F440" s="420" t="s">
        <v>174</v>
      </c>
      <c r="G440" s="419" t="s">
        <v>446</v>
      </c>
      <c r="H440" s="425" t="s">
        <v>909</v>
      </c>
      <c r="I440" s="421" t="s">
        <v>177</v>
      </c>
    </row>
    <row r="441" customFormat="false" ht="15" hidden="false" customHeight="false" outlineLevel="0" collapsed="false">
      <c r="B441" s="417" t="n">
        <v>45960</v>
      </c>
      <c r="C441" s="422" t="s">
        <v>246</v>
      </c>
      <c r="D441" s="422" t="s">
        <v>511</v>
      </c>
      <c r="E441" s="420" t="s">
        <v>887</v>
      </c>
      <c r="F441" s="420" t="s">
        <v>174</v>
      </c>
      <c r="G441" s="419" t="s">
        <v>446</v>
      </c>
      <c r="H441" s="425" t="s">
        <v>910</v>
      </c>
      <c r="I441" s="421" t="s">
        <v>177</v>
      </c>
    </row>
    <row r="442" customFormat="false" ht="15" hidden="false" customHeight="false" outlineLevel="0" collapsed="false">
      <c r="B442" s="417" t="n">
        <v>45960</v>
      </c>
      <c r="C442" s="422" t="s">
        <v>235</v>
      </c>
      <c r="D442" s="422" t="s">
        <v>911</v>
      </c>
      <c r="E442" s="420" t="s">
        <v>912</v>
      </c>
      <c r="F442" s="420" t="s">
        <v>191</v>
      </c>
      <c r="G442" s="419" t="s">
        <v>175</v>
      </c>
      <c r="H442" s="425" t="s">
        <v>913</v>
      </c>
      <c r="I442" s="421" t="s">
        <v>177</v>
      </c>
    </row>
    <row r="443" customFormat="false" ht="15" hidden="false" customHeight="false" outlineLevel="0" collapsed="false">
      <c r="B443" s="418" t="n">
        <v>45960</v>
      </c>
      <c r="C443" s="422" t="s">
        <v>383</v>
      </c>
      <c r="D443" s="422" t="s">
        <v>892</v>
      </c>
      <c r="E443" s="419" t="s">
        <v>914</v>
      </c>
      <c r="F443" s="419" t="s">
        <v>191</v>
      </c>
      <c r="G443" s="419" t="s">
        <v>175</v>
      </c>
      <c r="H443" s="425" t="s">
        <v>850</v>
      </c>
      <c r="I443" s="426" t="s">
        <v>191</v>
      </c>
    </row>
    <row r="444" customFormat="false" ht="15" hidden="false" customHeight="false" outlineLevel="0" collapsed="false">
      <c r="B444" s="417" t="n">
        <v>45961</v>
      </c>
      <c r="C444" s="422" t="s">
        <v>284</v>
      </c>
      <c r="D444" s="422" t="s">
        <v>307</v>
      </c>
      <c r="E444" s="420" t="s">
        <v>226</v>
      </c>
      <c r="F444" s="420" t="s">
        <v>286</v>
      </c>
      <c r="G444" s="419" t="s">
        <v>175</v>
      </c>
      <c r="H444" s="425" t="s">
        <v>904</v>
      </c>
      <c r="I444" s="426" t="s">
        <v>889</v>
      </c>
    </row>
    <row r="445" customFormat="false" ht="15" hidden="false" customHeight="false" outlineLevel="0" collapsed="false">
      <c r="B445" s="418" t="n">
        <v>45961</v>
      </c>
      <c r="C445" s="427" t="s">
        <v>155</v>
      </c>
      <c r="D445" s="427" t="s">
        <v>890</v>
      </c>
      <c r="E445" s="435" t="s">
        <v>226</v>
      </c>
      <c r="F445" s="428" t="s">
        <v>286</v>
      </c>
      <c r="G445" s="436" t="s">
        <v>175</v>
      </c>
      <c r="H445" s="430" t="s">
        <v>904</v>
      </c>
      <c r="I445" s="426" t="s">
        <v>889</v>
      </c>
    </row>
  </sheetData>
  <mergeCells count="1">
    <mergeCell ref="C1:I1"/>
  </mergeCells>
  <hyperlinks>
    <hyperlink ref="E229" r:id="rId1" display="https://eckuity.com/about-us/"/>
    <hyperlink ref="E232" r:id="rId2" display="https://www.wb19.co.uk/"/>
    <hyperlink ref="E233" r:id="rId3" display="https://screenscene.ie/"/>
    <hyperlink ref="E234" r:id="rId4" display="https://app.termgrid.com/"/>
  </hyperlinks>
  <printOptions headings="false" gridLines="false" gridLinesSet="true" horizontalCentered="false" verticalCentered="false"/>
  <pageMargins left="0.984027777777778" right="0.984027777777778" top="0.984027777777778" bottom="0.984027777777778" header="0.511805555555556" footer="0.511811023622047"/>
  <pageSetup paperSize="9" scale="100" fitToWidth="1" fitToHeight="0" pageOrder="downThenOver" orientation="landscape" blackAndWhite="false" draft="false" cellComments="none" horizontalDpi="300" verticalDpi="300" copies="1"/>
  <headerFooter differentFirst="false" differentOddEven="false">
    <oddHeader>&amp;C&amp;"Arial,Bold"&amp;16Inspection Schedule</oddHeader>
    <oddFooter/>
  </headerFooter>
  <tableParts>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AX27"/>
  <sheetViews>
    <sheetView showFormulas="false" showGridLines="true" showRowColHeaders="true" showZeros="true" rightToLeft="false" tabSelected="false" showOutlineSymbols="true" defaultGridColor="true" view="pageBreakPreview" topLeftCell="A1" colorId="64" zoomScale="120" zoomScaleNormal="110" zoomScalePageLayoutView="120" workbookViewId="0">
      <pane xSplit="4" ySplit="0" topLeftCell="AX1" activePane="topRight" state="frozen"/>
      <selection pane="topLeft" activeCell="A1" activeCellId="0" sqref="A1"/>
      <selection pane="topRight" activeCell="AX6" activeCellId="0" sqref="AX6"/>
    </sheetView>
  </sheetViews>
  <sheetFormatPr defaultColWidth="9.00390625" defaultRowHeight="12.75" customHeight="true" zeroHeight="false" outlineLevelRow="0" outlineLevelCol="0"/>
  <cols>
    <col collapsed="false" customWidth="true" hidden="false" outlineLevel="0" max="1" min="1" style="1" width="1.87"/>
    <col collapsed="false" customWidth="true" hidden="false" outlineLevel="0" max="2" min="2" style="1" width="19.13"/>
    <col collapsed="false" customWidth="true" hidden="false" outlineLevel="0" max="3" min="3" style="1" width="2.75"/>
    <col collapsed="false" customWidth="true" hidden="false" outlineLevel="0" max="4" min="4" style="1" width="3.12"/>
    <col collapsed="false" customWidth="true" hidden="false" outlineLevel="0" max="5" min="5" style="1" width="0.12"/>
    <col collapsed="false" customWidth="true" hidden="true" outlineLevel="0" max="7" min="6" style="1" width="9.25"/>
    <col collapsed="false" customWidth="true" hidden="true" outlineLevel="0" max="8" min="8" style="1" width="9.88"/>
    <col collapsed="false" customWidth="true" hidden="true" outlineLevel="0" max="21" min="9" style="1" width="9.25"/>
    <col collapsed="false" customWidth="true" hidden="true" outlineLevel="0" max="22" min="22" style="1" width="11.62"/>
    <col collapsed="false" customWidth="true" hidden="true" outlineLevel="0" max="23" min="23" style="1" width="9.25"/>
    <col collapsed="false" customWidth="true" hidden="false" outlineLevel="0" max="36" min="24" style="1" width="9.25"/>
    <col collapsed="false" customWidth="false" hidden="false" outlineLevel="0" max="16384" min="37" style="1" width="9"/>
  </cols>
  <sheetData>
    <row r="2" customFormat="false" ht="12.75" hidden="false" customHeight="false" outlineLevel="0" collapsed="false">
      <c r="F2" s="437"/>
      <c r="G2" s="437"/>
    </row>
    <row r="3" customFormat="false" ht="12.75" hidden="false" customHeight="false" outlineLevel="0" collapsed="false">
      <c r="B3" s="438" t="s">
        <v>915</v>
      </c>
      <c r="F3" s="439" t="s">
        <v>916</v>
      </c>
      <c r="G3" s="439" t="s">
        <v>916</v>
      </c>
      <c r="H3" s="439" t="s">
        <v>916</v>
      </c>
      <c r="I3" s="439" t="s">
        <v>916</v>
      </c>
      <c r="J3" s="439" t="s">
        <v>916</v>
      </c>
      <c r="K3" s="439" t="s">
        <v>916</v>
      </c>
      <c r="L3" s="439" t="s">
        <v>916</v>
      </c>
      <c r="M3" s="439" t="s">
        <v>916</v>
      </c>
      <c r="N3" s="439" t="s">
        <v>916</v>
      </c>
      <c r="O3" s="439" t="s">
        <v>916</v>
      </c>
      <c r="P3" s="439" t="s">
        <v>916</v>
      </c>
      <c r="Q3" s="439" t="s">
        <v>916</v>
      </c>
      <c r="R3" s="439" t="s">
        <v>916</v>
      </c>
      <c r="S3" s="439" t="s">
        <v>916</v>
      </c>
      <c r="T3" s="439" t="s">
        <v>916</v>
      </c>
      <c r="U3" s="439" t="s">
        <v>916</v>
      </c>
      <c r="V3" s="439" t="s">
        <v>916</v>
      </c>
      <c r="W3" s="439" t="s">
        <v>916</v>
      </c>
      <c r="X3" s="439" t="s">
        <v>916</v>
      </c>
      <c r="Y3" s="439" t="s">
        <v>916</v>
      </c>
      <c r="Z3" s="439" t="s">
        <v>916</v>
      </c>
      <c r="AA3" s="1" t="s">
        <v>916</v>
      </c>
      <c r="AB3" s="1" t="s">
        <v>916</v>
      </c>
      <c r="AC3" s="1" t="s">
        <v>916</v>
      </c>
      <c r="AD3" s="1" t="s">
        <v>916</v>
      </c>
      <c r="AE3" s="1" t="s">
        <v>916</v>
      </c>
      <c r="AF3" s="1" t="s">
        <v>916</v>
      </c>
      <c r="AG3" s="1" t="s">
        <v>916</v>
      </c>
      <c r="AH3" s="1" t="s">
        <v>916</v>
      </c>
      <c r="AI3" s="1" t="s">
        <v>916</v>
      </c>
      <c r="AJ3" s="1" t="s">
        <v>916</v>
      </c>
      <c r="AK3" s="1" t="s">
        <v>916</v>
      </c>
      <c r="AL3" s="1" t="s">
        <v>916</v>
      </c>
      <c r="AM3" s="1" t="s">
        <v>916</v>
      </c>
      <c r="AN3" s="1" t="s">
        <v>916</v>
      </c>
      <c r="AO3" s="1" t="s">
        <v>916</v>
      </c>
      <c r="AP3" s="1" t="s">
        <v>916</v>
      </c>
      <c r="AQ3" s="1" t="s">
        <v>916</v>
      </c>
      <c r="AR3" s="1" t="s">
        <v>916</v>
      </c>
      <c r="AS3" s="1" t="s">
        <v>916</v>
      </c>
      <c r="AT3" s="1" t="s">
        <v>916</v>
      </c>
      <c r="AU3" s="1" t="s">
        <v>916</v>
      </c>
      <c r="AV3" s="1" t="s">
        <v>916</v>
      </c>
      <c r="AW3" s="1" t="s">
        <v>916</v>
      </c>
      <c r="AX3" s="1" t="s">
        <v>917</v>
      </c>
    </row>
    <row r="4" customFormat="false" ht="12.75" hidden="false" customHeight="false" outlineLevel="0" collapsed="false">
      <c r="B4" s="440"/>
      <c r="C4" s="441"/>
      <c r="D4" s="441"/>
      <c r="E4" s="442"/>
      <c r="F4" s="437" t="n">
        <v>45660</v>
      </c>
      <c r="G4" s="443" t="n">
        <f aca="false">F4+7</f>
        <v>45667</v>
      </c>
      <c r="H4" s="443" t="n">
        <f aca="false">G4+7</f>
        <v>45674</v>
      </c>
      <c r="I4" s="443" t="n">
        <f aca="false">H4+7</f>
        <v>45681</v>
      </c>
      <c r="J4" s="443" t="n">
        <f aca="false">I4+7</f>
        <v>45688</v>
      </c>
      <c r="K4" s="443" t="n">
        <f aca="false">J4+7</f>
        <v>45695</v>
      </c>
      <c r="L4" s="443" t="n">
        <f aca="false">K4+7</f>
        <v>45702</v>
      </c>
      <c r="M4" s="443" t="n">
        <f aca="false">L4+7</f>
        <v>45709</v>
      </c>
      <c r="N4" s="443" t="n">
        <f aca="false">M4+7</f>
        <v>45716</v>
      </c>
      <c r="O4" s="443" t="n">
        <f aca="false">N4+7</f>
        <v>45723</v>
      </c>
      <c r="P4" s="443" t="n">
        <f aca="false">O4+7</f>
        <v>45730</v>
      </c>
      <c r="Q4" s="443" t="n">
        <f aca="false">P4+7</f>
        <v>45737</v>
      </c>
      <c r="R4" s="443" t="n">
        <f aca="false">Q4+7</f>
        <v>45744</v>
      </c>
      <c r="S4" s="443" t="n">
        <f aca="false">R4+7</f>
        <v>45751</v>
      </c>
      <c r="T4" s="443" t="n">
        <f aca="false">S4+7</f>
        <v>45758</v>
      </c>
      <c r="U4" s="443" t="n">
        <f aca="false">T4+7</f>
        <v>45765</v>
      </c>
      <c r="V4" s="443" t="n">
        <f aca="false">U4+7</f>
        <v>45772</v>
      </c>
      <c r="W4" s="443" t="n">
        <f aca="false">V4+7</f>
        <v>45779</v>
      </c>
      <c r="X4" s="443" t="n">
        <f aca="false">W4+7</f>
        <v>45786</v>
      </c>
      <c r="Y4" s="443" t="n">
        <f aca="false">X4+7</f>
        <v>45793</v>
      </c>
      <c r="Z4" s="443" t="n">
        <f aca="false">Y4+7</f>
        <v>45800</v>
      </c>
      <c r="AA4" s="443" t="n">
        <f aca="false">Z4+7</f>
        <v>45807</v>
      </c>
      <c r="AB4" s="443" t="n">
        <f aca="false">AA4+7</f>
        <v>45814</v>
      </c>
      <c r="AC4" s="443" t="n">
        <f aca="false">AB4+7</f>
        <v>45821</v>
      </c>
      <c r="AD4" s="443" t="n">
        <f aca="false">AC4+7</f>
        <v>45828</v>
      </c>
      <c r="AE4" s="443" t="n">
        <f aca="false">AD4+7</f>
        <v>45835</v>
      </c>
      <c r="AF4" s="443" t="n">
        <f aca="false">AE4+7</f>
        <v>45842</v>
      </c>
      <c r="AG4" s="443" t="n">
        <f aca="false">AF4+7</f>
        <v>45849</v>
      </c>
      <c r="AH4" s="443" t="n">
        <f aca="false">AG4+7</f>
        <v>45856</v>
      </c>
      <c r="AI4" s="443" t="n">
        <f aca="false">AH4+7</f>
        <v>45863</v>
      </c>
      <c r="AJ4" s="443" t="n">
        <f aca="false">AI4+7</f>
        <v>45870</v>
      </c>
      <c r="AK4" s="443" t="n">
        <f aca="false">AJ4+7</f>
        <v>45877</v>
      </c>
      <c r="AL4" s="443" t="n">
        <v>45884</v>
      </c>
      <c r="AM4" s="443" t="n">
        <f aca="false">AL4+7</f>
        <v>45891</v>
      </c>
      <c r="AN4" s="443" t="n">
        <f aca="false">AM4+7</f>
        <v>45898</v>
      </c>
      <c r="AO4" s="443" t="n">
        <f aca="false">AN4+7</f>
        <v>45905</v>
      </c>
      <c r="AP4" s="443" t="n">
        <f aca="false">AO4+7</f>
        <v>45912</v>
      </c>
      <c r="AQ4" s="443" t="n">
        <f aca="false">AP4+7</f>
        <v>45919</v>
      </c>
      <c r="AR4" s="443" t="n">
        <f aca="false">AQ4+7</f>
        <v>45926</v>
      </c>
      <c r="AS4" s="443" t="n">
        <f aca="false">AR4+7</f>
        <v>45933</v>
      </c>
      <c r="AT4" s="443" t="n">
        <f aca="false">AS4+7</f>
        <v>45940</v>
      </c>
      <c r="AU4" s="443" t="n">
        <f aca="false">AT4+7</f>
        <v>45947</v>
      </c>
      <c r="AV4" s="443" t="n">
        <f aca="false">AU4+7</f>
        <v>45954</v>
      </c>
      <c r="AW4" s="443" t="n">
        <f aca="false">AV4+7</f>
        <v>45961</v>
      </c>
      <c r="AX4" s="443" t="n">
        <f aca="false">AW4+7</f>
        <v>45968</v>
      </c>
    </row>
    <row r="5" customFormat="false" ht="12.75" hidden="false" customHeight="false" outlineLevel="0" collapsed="false">
      <c r="B5" s="22" t="s">
        <v>918</v>
      </c>
      <c r="C5" s="22"/>
      <c r="D5" s="22"/>
      <c r="E5" s="22"/>
      <c r="F5" s="43" t="n">
        <v>0</v>
      </c>
      <c r="G5" s="43" t="n">
        <v>4</v>
      </c>
      <c r="H5" s="43" t="n">
        <v>4</v>
      </c>
      <c r="I5" s="43" t="n">
        <v>5</v>
      </c>
      <c r="J5" s="43" t="n">
        <v>7</v>
      </c>
      <c r="K5" s="43" t="n">
        <v>7</v>
      </c>
      <c r="L5" s="43" t="n">
        <v>10</v>
      </c>
      <c r="M5" s="43" t="n">
        <v>12</v>
      </c>
      <c r="N5" s="43" t="n">
        <v>15</v>
      </c>
      <c r="O5" s="43" t="n">
        <v>15</v>
      </c>
      <c r="P5" s="43" t="n">
        <v>15</v>
      </c>
      <c r="Q5" s="43" t="n">
        <v>16</v>
      </c>
      <c r="R5" s="43" t="n">
        <v>17</v>
      </c>
      <c r="S5" s="43" t="n">
        <v>18</v>
      </c>
      <c r="T5" s="43" t="n">
        <v>18</v>
      </c>
      <c r="U5" s="43" t="n">
        <v>19</v>
      </c>
      <c r="V5" s="43" t="n">
        <v>20</v>
      </c>
      <c r="W5" s="43" t="n">
        <v>20</v>
      </c>
      <c r="X5" s="43" t="n">
        <v>20</v>
      </c>
      <c r="Y5" s="43" t="n">
        <v>21</v>
      </c>
      <c r="Z5" s="43" t="n">
        <v>21</v>
      </c>
      <c r="AA5" s="43" t="n">
        <v>23</v>
      </c>
      <c r="AB5" s="43" t="n">
        <v>23</v>
      </c>
      <c r="AC5" s="43" t="n">
        <v>23</v>
      </c>
      <c r="AD5" s="43" t="n">
        <v>24</v>
      </c>
      <c r="AE5" s="43" t="n">
        <v>25</v>
      </c>
      <c r="AF5" s="43" t="n">
        <v>25</v>
      </c>
      <c r="AG5" s="43" t="n">
        <v>25</v>
      </c>
      <c r="AH5" s="43" t="n">
        <v>27</v>
      </c>
      <c r="AI5" s="43" t="n">
        <v>27</v>
      </c>
      <c r="AJ5" s="43" t="n">
        <v>27</v>
      </c>
      <c r="AK5" s="43" t="n">
        <v>27</v>
      </c>
      <c r="AL5" s="43" t="n">
        <v>29</v>
      </c>
      <c r="AM5" s="43" t="n">
        <v>31</v>
      </c>
      <c r="AN5" s="43" t="n">
        <v>31</v>
      </c>
      <c r="AO5" s="43" t="n">
        <v>32</v>
      </c>
      <c r="AP5" s="43" t="n">
        <v>32</v>
      </c>
      <c r="AQ5" s="43" t="n">
        <v>34</v>
      </c>
      <c r="AR5" s="43" t="n">
        <v>34</v>
      </c>
      <c r="AS5" s="43" t="n">
        <v>34</v>
      </c>
      <c r="AT5" s="43" t="n">
        <v>35</v>
      </c>
      <c r="AU5" s="43" t="n">
        <v>35</v>
      </c>
      <c r="AV5" s="43" t="n">
        <v>36</v>
      </c>
      <c r="AW5" s="43" t="n">
        <v>40</v>
      </c>
      <c r="AX5" s="43" t="n">
        <f aca="false">AW5 + COUNTIFS('Letting Progress'!$D5:$D72, "NL", 'Letting Progress'!$Q5:$Q72, "Yes")</f>
        <v>41</v>
      </c>
    </row>
    <row r="6" customFormat="false" ht="12.75" hidden="false" customHeight="false" outlineLevel="0" collapsed="false">
      <c r="B6" s="22" t="s">
        <v>22</v>
      </c>
      <c r="C6" s="22"/>
      <c r="D6" s="22"/>
      <c r="E6" s="22"/>
      <c r="F6" s="444" t="n">
        <v>0</v>
      </c>
      <c r="G6" s="444" t="n">
        <v>0</v>
      </c>
      <c r="H6" s="444" t="n">
        <v>0</v>
      </c>
      <c r="I6" s="444" t="n">
        <v>1</v>
      </c>
      <c r="J6" s="444" t="n">
        <v>2</v>
      </c>
      <c r="K6" s="444" t="n">
        <v>2</v>
      </c>
      <c r="L6" s="444" t="n">
        <v>2</v>
      </c>
      <c r="M6" s="444" t="n">
        <v>2</v>
      </c>
      <c r="N6" s="444" t="n">
        <v>2</v>
      </c>
      <c r="O6" s="444" t="n">
        <v>2</v>
      </c>
      <c r="P6" s="444" t="n">
        <v>2</v>
      </c>
      <c r="Q6" s="444" t="n">
        <v>2</v>
      </c>
      <c r="R6" s="444" t="n">
        <v>2</v>
      </c>
      <c r="S6" s="444" t="n">
        <v>2</v>
      </c>
      <c r="T6" s="444" t="n">
        <v>2</v>
      </c>
      <c r="U6" s="444" t="n">
        <v>2</v>
      </c>
      <c r="V6" s="444" t="n">
        <f aca="false">U6 + COUNTIFS('Letting Progress'!$D5:$D72, "TL", 'Letting Progress'!$Q5:$Q72, "Yes")</f>
        <v>2</v>
      </c>
      <c r="W6" s="444" t="n">
        <v>2</v>
      </c>
      <c r="X6" s="444" t="n">
        <v>2</v>
      </c>
      <c r="Y6" s="444" t="n">
        <v>2</v>
      </c>
      <c r="Z6" s="444" t="n">
        <v>2</v>
      </c>
      <c r="AA6" s="444" t="n">
        <v>2</v>
      </c>
      <c r="AB6" s="444" t="n">
        <v>2</v>
      </c>
      <c r="AC6" s="444" t="n">
        <v>2</v>
      </c>
      <c r="AD6" s="444" t="n">
        <v>2</v>
      </c>
      <c r="AE6" s="444" t="n">
        <v>2</v>
      </c>
      <c r="AF6" s="444" t="n">
        <v>2</v>
      </c>
      <c r="AG6" s="43" t="n">
        <v>2</v>
      </c>
      <c r="AH6" s="444" t="n">
        <v>2</v>
      </c>
      <c r="AI6" s="444" t="n">
        <v>2</v>
      </c>
      <c r="AJ6" s="444" t="n">
        <v>2</v>
      </c>
      <c r="AK6" s="43" t="n">
        <v>2</v>
      </c>
      <c r="AL6" s="43" t="n">
        <v>2</v>
      </c>
      <c r="AM6" s="43" t="n">
        <v>2</v>
      </c>
      <c r="AN6" s="43" t="n">
        <v>2</v>
      </c>
      <c r="AO6" s="43" t="n">
        <v>2</v>
      </c>
      <c r="AP6" s="43" t="n">
        <v>2</v>
      </c>
      <c r="AQ6" s="43" t="n">
        <v>3</v>
      </c>
      <c r="AR6" s="43" t="n">
        <v>3</v>
      </c>
      <c r="AS6" s="43" t="n">
        <v>3</v>
      </c>
      <c r="AT6" s="43" t="n">
        <v>3</v>
      </c>
      <c r="AU6" s="43" t="n">
        <v>3</v>
      </c>
      <c r="AV6" s="43" t="n">
        <v>3</v>
      </c>
      <c r="AW6" s="43" t="n">
        <v>3</v>
      </c>
      <c r="AX6" s="43" t="n">
        <f aca="false">AW6 + COUNTIFS('Letting Progress'!$D6:$D72, "STL", 'Letting Progress'!$Q6:$Q72, "Yes")</f>
        <v>3</v>
      </c>
    </row>
    <row r="7" customFormat="false" ht="12.75" hidden="false" customHeight="false" outlineLevel="0" collapsed="false">
      <c r="B7" s="22" t="s">
        <v>919</v>
      </c>
      <c r="C7" s="22"/>
      <c r="D7" s="22"/>
      <c r="E7" s="22"/>
      <c r="F7" s="43" t="n">
        <v>0</v>
      </c>
      <c r="G7" s="43" t="n">
        <v>1</v>
      </c>
      <c r="H7" s="43" t="n">
        <v>2</v>
      </c>
      <c r="I7" s="43" t="n">
        <v>2</v>
      </c>
      <c r="J7" s="43" t="n">
        <v>2</v>
      </c>
      <c r="K7" s="43" t="n">
        <v>3</v>
      </c>
      <c r="L7" s="43" t="n">
        <v>4</v>
      </c>
      <c r="M7" s="43" t="n">
        <v>4</v>
      </c>
      <c r="N7" s="43" t="n">
        <v>4</v>
      </c>
      <c r="O7" s="43" t="n">
        <v>4</v>
      </c>
      <c r="P7" s="43" t="n">
        <v>4</v>
      </c>
      <c r="Q7" s="43" t="n">
        <v>4</v>
      </c>
      <c r="R7" s="43" t="n">
        <v>4</v>
      </c>
      <c r="S7" s="43" t="n">
        <v>4</v>
      </c>
      <c r="T7" s="43" t="n">
        <v>5</v>
      </c>
      <c r="U7" s="43" t="n">
        <v>8</v>
      </c>
      <c r="V7" s="43" t="n">
        <v>8</v>
      </c>
      <c r="W7" s="43" t="n">
        <v>11</v>
      </c>
      <c r="X7" s="43" t="n">
        <v>11</v>
      </c>
      <c r="Y7" s="43" t="n">
        <v>12</v>
      </c>
      <c r="Z7" s="43" t="n">
        <v>14</v>
      </c>
      <c r="AA7" s="43" t="n">
        <v>14</v>
      </c>
      <c r="AB7" s="43" t="n">
        <v>14</v>
      </c>
      <c r="AC7" s="43" t="n">
        <v>14</v>
      </c>
      <c r="AD7" s="43" t="n">
        <v>14</v>
      </c>
      <c r="AE7" s="43" t="n">
        <v>14</v>
      </c>
      <c r="AF7" s="43" t="n">
        <v>14</v>
      </c>
      <c r="AG7" s="43" t="n">
        <v>14</v>
      </c>
      <c r="AH7" s="43" t="n">
        <v>15</v>
      </c>
      <c r="AI7" s="43" t="n">
        <v>17</v>
      </c>
      <c r="AJ7" s="43" t="n">
        <v>17</v>
      </c>
      <c r="AK7" s="43" t="n">
        <v>17</v>
      </c>
      <c r="AL7" s="43" t="n">
        <v>18</v>
      </c>
      <c r="AM7" s="43" t="n">
        <v>18</v>
      </c>
      <c r="AN7" s="43" t="n">
        <v>19</v>
      </c>
      <c r="AO7" s="43" t="n">
        <v>19</v>
      </c>
      <c r="AP7" s="43" t="n">
        <v>21</v>
      </c>
      <c r="AQ7" s="43" t="n">
        <v>23</v>
      </c>
      <c r="AR7" s="43" t="n">
        <v>23</v>
      </c>
      <c r="AS7" s="43" t="n">
        <v>24</v>
      </c>
      <c r="AT7" s="43" t="n">
        <v>24</v>
      </c>
      <c r="AU7" s="43" t="n">
        <v>24</v>
      </c>
      <c r="AV7" s="43" t="n">
        <v>24</v>
      </c>
      <c r="AW7" s="43" t="n">
        <v>24</v>
      </c>
      <c r="AX7" s="43" t="n">
        <f aca="false">AW7 + COUNTIFS('Letting Progress'!$D7:$D72, "LR", 'Letting Progress'!$Q7:$Q72, "Yes")</f>
        <v>24</v>
      </c>
    </row>
    <row r="8" customFormat="false" ht="12.75" hidden="false" customHeight="false" outlineLevel="0" collapsed="false">
      <c r="B8" s="445" t="s">
        <v>24</v>
      </c>
      <c r="C8" s="445"/>
      <c r="D8" s="445"/>
      <c r="E8" s="445"/>
      <c r="F8" s="446" t="n">
        <f aca="false">SUM(F5:F7)</f>
        <v>0</v>
      </c>
      <c r="G8" s="446" t="n">
        <f aca="false">SUM(G5:G7)</f>
        <v>5</v>
      </c>
      <c r="H8" s="446" t="n">
        <f aca="false">SUM(H5:H7)</f>
        <v>6</v>
      </c>
      <c r="I8" s="446" t="n">
        <f aca="false">SUM(I5:I7)</f>
        <v>8</v>
      </c>
      <c r="J8" s="446" t="n">
        <f aca="false">SUM(J5:J7)</f>
        <v>11</v>
      </c>
      <c r="K8" s="446" t="n">
        <f aca="false">SUM(K5:K7)</f>
        <v>12</v>
      </c>
      <c r="L8" s="446" t="n">
        <f aca="false">SUM(L5:L7)</f>
        <v>16</v>
      </c>
      <c r="M8" s="446" t="n">
        <f aca="false">SUM(M5:M7)</f>
        <v>18</v>
      </c>
      <c r="N8" s="446" t="n">
        <f aca="false">SUM(N5:N7)</f>
        <v>21</v>
      </c>
      <c r="O8" s="446" t="n">
        <f aca="false">SUM(O5:O7)</f>
        <v>21</v>
      </c>
      <c r="P8" s="446" t="n">
        <f aca="false">SUM(P5:P7)</f>
        <v>21</v>
      </c>
      <c r="Q8" s="446" t="n">
        <f aca="false">SUM(Q5:Q7)</f>
        <v>22</v>
      </c>
      <c r="R8" s="446" t="n">
        <f aca="false">SUM(R5:R7)</f>
        <v>23</v>
      </c>
      <c r="S8" s="446" t="n">
        <f aca="false">SUM(S5:S7)</f>
        <v>24</v>
      </c>
      <c r="T8" s="446" t="n">
        <f aca="false">SUM(T5:T7)</f>
        <v>25</v>
      </c>
      <c r="U8" s="446" t="n">
        <f aca="false">SUM(U5:U7)</f>
        <v>29</v>
      </c>
      <c r="V8" s="446" t="n">
        <f aca="false">SUM(V5:V7)</f>
        <v>30</v>
      </c>
      <c r="W8" s="446" t="n">
        <f aca="false">SUM(W5:W7)</f>
        <v>33</v>
      </c>
      <c r="X8" s="446" t="n">
        <f aca="false">SUM(X5:X7)</f>
        <v>33</v>
      </c>
      <c r="Y8" s="446" t="n">
        <f aca="false">SUM(Y5:Y7)</f>
        <v>35</v>
      </c>
      <c r="Z8" s="446" t="n">
        <f aca="false">SUM(Z5:Z7)</f>
        <v>37</v>
      </c>
      <c r="AA8" s="446" t="n">
        <f aca="false">SUM(AA5:AA7)</f>
        <v>39</v>
      </c>
      <c r="AB8" s="446" t="n">
        <f aca="false">SUM(AB5:AB7)</f>
        <v>39</v>
      </c>
      <c r="AC8" s="446" t="n">
        <f aca="false">SUM(AC5:AC7)</f>
        <v>39</v>
      </c>
      <c r="AD8" s="446" t="n">
        <f aca="false">SUM(AD5:AD7)</f>
        <v>40</v>
      </c>
      <c r="AE8" s="446" t="n">
        <f aca="false">SUM(AE5:AE7)</f>
        <v>41</v>
      </c>
      <c r="AF8" s="446" t="n">
        <f aca="false">SUM(AF5:AF7)</f>
        <v>41</v>
      </c>
      <c r="AG8" s="446" t="n">
        <f aca="false">SUM(AG5:AG7)</f>
        <v>41</v>
      </c>
      <c r="AH8" s="446" t="n">
        <f aca="false">SUM(AH5:AH7)</f>
        <v>44</v>
      </c>
      <c r="AI8" s="446" t="n">
        <f aca="false">SUM(AI5:AI7)</f>
        <v>46</v>
      </c>
      <c r="AJ8" s="446" t="n">
        <f aca="false">SUM(AJ5:AJ7)</f>
        <v>46</v>
      </c>
      <c r="AK8" s="446" t="n">
        <f aca="false">SUM(AK5:AK7)</f>
        <v>46</v>
      </c>
      <c r="AL8" s="446" t="n">
        <f aca="false">SUM(AL5:AL7)</f>
        <v>49</v>
      </c>
      <c r="AM8" s="446" t="n">
        <f aca="false">SUM(AM5:AM7)</f>
        <v>51</v>
      </c>
      <c r="AN8" s="446" t="n">
        <f aca="false">SUM(AN5:AN7)</f>
        <v>52</v>
      </c>
      <c r="AO8" s="446" t="n">
        <f aca="false">SUM(AO5:AO7)</f>
        <v>53</v>
      </c>
      <c r="AP8" s="446" t="n">
        <f aca="false">SUM(AP5:AP7)</f>
        <v>55</v>
      </c>
      <c r="AQ8" s="446" t="n">
        <f aca="false">SUM(AQ5:AQ7)</f>
        <v>60</v>
      </c>
      <c r="AR8" s="446" t="n">
        <f aca="false">SUM(AR5:AR7)</f>
        <v>60</v>
      </c>
      <c r="AS8" s="446" t="n">
        <f aca="false">SUM(AS5:AS7)</f>
        <v>61</v>
      </c>
      <c r="AT8" s="447" t="n">
        <f aca="false">SUM(AT5:AT7)</f>
        <v>62</v>
      </c>
      <c r="AU8" s="447" t="n">
        <f aca="false">SUM(AU5:AU7)</f>
        <v>62</v>
      </c>
      <c r="AV8" s="447" t="n">
        <f aca="false">SUM(AV5:AV7)</f>
        <v>63</v>
      </c>
      <c r="AW8" s="447" t="n">
        <f aca="false">SUM(AW5:AW7)</f>
        <v>67</v>
      </c>
      <c r="AX8" s="447" t="n">
        <f aca="false">SUM(AX5:AX7)</f>
        <v>68</v>
      </c>
    </row>
    <row r="11" customFormat="false" ht="12.75" hidden="false" customHeight="false" outlineLevel="0" collapsed="false">
      <c r="B11" s="448" t="s">
        <v>12</v>
      </c>
      <c r="C11" s="448"/>
      <c r="D11" s="448"/>
      <c r="E11" s="448"/>
      <c r="F11" s="439" t="s">
        <v>916</v>
      </c>
      <c r="G11" s="439" t="s">
        <v>916</v>
      </c>
      <c r="H11" s="439" t="s">
        <v>916</v>
      </c>
      <c r="I11" s="439" t="s">
        <v>916</v>
      </c>
      <c r="J11" s="439" t="s">
        <v>916</v>
      </c>
      <c r="K11" s="439" t="s">
        <v>916</v>
      </c>
      <c r="L11" s="439" t="s">
        <v>916</v>
      </c>
      <c r="M11" s="439" t="s">
        <v>916</v>
      </c>
      <c r="N11" s="439" t="s">
        <v>916</v>
      </c>
      <c r="O11" s="439" t="s">
        <v>916</v>
      </c>
      <c r="P11" s="439" t="s">
        <v>916</v>
      </c>
      <c r="Q11" s="439" t="s">
        <v>916</v>
      </c>
      <c r="R11" s="439" t="s">
        <v>916</v>
      </c>
      <c r="S11" s="439" t="s">
        <v>916</v>
      </c>
      <c r="T11" s="439" t="s">
        <v>916</v>
      </c>
      <c r="U11" s="439" t="s">
        <v>916</v>
      </c>
      <c r="V11" s="439" t="s">
        <v>916</v>
      </c>
      <c r="W11" s="439" t="s">
        <v>916</v>
      </c>
      <c r="X11" s="439" t="s">
        <v>916</v>
      </c>
      <c r="Y11" s="439" t="s">
        <v>916</v>
      </c>
      <c r="Z11" s="439" t="s">
        <v>916</v>
      </c>
      <c r="AA11" s="1" t="s">
        <v>916</v>
      </c>
      <c r="AB11" s="1" t="s">
        <v>916</v>
      </c>
      <c r="AC11" s="1" t="s">
        <v>916</v>
      </c>
      <c r="AD11" s="1" t="s">
        <v>916</v>
      </c>
      <c r="AE11" s="1" t="s">
        <v>916</v>
      </c>
      <c r="AF11" s="1" t="s">
        <v>916</v>
      </c>
      <c r="AG11" s="1" t="s">
        <v>916</v>
      </c>
      <c r="AH11" s="1" t="s">
        <v>916</v>
      </c>
      <c r="AI11" s="1" t="s">
        <v>916</v>
      </c>
      <c r="AJ11" s="1" t="s">
        <v>916</v>
      </c>
      <c r="AK11" s="1" t="s">
        <v>916</v>
      </c>
      <c r="AL11" s="1" t="s">
        <v>916</v>
      </c>
      <c r="AM11" s="1" t="s">
        <v>916</v>
      </c>
      <c r="AN11" s="1" t="s">
        <v>916</v>
      </c>
      <c r="AO11" s="1" t="s">
        <v>916</v>
      </c>
      <c r="AP11" s="1" t="s">
        <v>916</v>
      </c>
      <c r="AQ11" s="1" t="s">
        <v>916</v>
      </c>
      <c r="AR11" s="1" t="s">
        <v>916</v>
      </c>
      <c r="AS11" s="1" t="s">
        <v>916</v>
      </c>
      <c r="AT11" s="1" t="s">
        <v>916</v>
      </c>
      <c r="AU11" s="1" t="s">
        <v>916</v>
      </c>
      <c r="AV11" s="1" t="s">
        <v>916</v>
      </c>
      <c r="AW11" s="1" t="s">
        <v>916</v>
      </c>
      <c r="AX11" s="1" t="s">
        <v>917</v>
      </c>
    </row>
    <row r="12" customFormat="false" ht="12.75" hidden="false" customHeight="false" outlineLevel="0" collapsed="false">
      <c r="B12" s="440"/>
      <c r="C12" s="441"/>
      <c r="D12" s="441"/>
      <c r="E12" s="441"/>
      <c r="F12" s="437" t="n">
        <v>45660</v>
      </c>
      <c r="G12" s="443" t="n">
        <f aca="false">F12+7</f>
        <v>45667</v>
      </c>
      <c r="H12" s="443" t="n">
        <f aca="false">G12+7</f>
        <v>45674</v>
      </c>
      <c r="I12" s="443" t="n">
        <f aca="false">H12+7</f>
        <v>45681</v>
      </c>
      <c r="J12" s="443" t="n">
        <f aca="false">I12+7</f>
        <v>45688</v>
      </c>
      <c r="K12" s="443" t="n">
        <f aca="false">J12+7</f>
        <v>45695</v>
      </c>
      <c r="L12" s="443" t="n">
        <f aca="false">K12+7</f>
        <v>45702</v>
      </c>
      <c r="M12" s="443" t="n">
        <f aca="false">L12+7</f>
        <v>45709</v>
      </c>
      <c r="N12" s="443" t="n">
        <f aca="false">M12+7</f>
        <v>45716</v>
      </c>
      <c r="O12" s="443" t="n">
        <f aca="false">N12+7</f>
        <v>45723</v>
      </c>
      <c r="P12" s="443" t="n">
        <f aca="false">O12+7</f>
        <v>45730</v>
      </c>
      <c r="Q12" s="443" t="n">
        <f aca="false">P12+7</f>
        <v>45737</v>
      </c>
      <c r="R12" s="443" t="n">
        <f aca="false">Q12+7</f>
        <v>45744</v>
      </c>
      <c r="S12" s="443" t="n">
        <f aca="false">R12+7</f>
        <v>45751</v>
      </c>
      <c r="T12" s="443" t="n">
        <f aca="false">S12+7</f>
        <v>45758</v>
      </c>
      <c r="U12" s="443" t="n">
        <f aca="false">T12+7</f>
        <v>45765</v>
      </c>
      <c r="V12" s="443" t="n">
        <f aca="false">U12+7</f>
        <v>45772</v>
      </c>
      <c r="W12" s="443" t="n">
        <f aca="false">V12+7</f>
        <v>45779</v>
      </c>
      <c r="X12" s="443" t="n">
        <f aca="false">W12+7</f>
        <v>45786</v>
      </c>
      <c r="Y12" s="443" t="n">
        <f aca="false">X12+7</f>
        <v>45793</v>
      </c>
      <c r="Z12" s="443" t="n">
        <f aca="false">Y12+7</f>
        <v>45800</v>
      </c>
      <c r="AA12" s="443" t="n">
        <f aca="false">Z12+7</f>
        <v>45807</v>
      </c>
      <c r="AB12" s="443" t="n">
        <f aca="false">AA12+7</f>
        <v>45814</v>
      </c>
      <c r="AC12" s="443" t="n">
        <f aca="false">AB12+7</f>
        <v>45821</v>
      </c>
      <c r="AD12" s="443" t="n">
        <f aca="false">AC12+7</f>
        <v>45828</v>
      </c>
      <c r="AE12" s="443" t="n">
        <f aca="false">AD12+7</f>
        <v>45835</v>
      </c>
      <c r="AF12" s="443" t="n">
        <f aca="false">AE12+7</f>
        <v>45842</v>
      </c>
      <c r="AG12" s="443" t="n">
        <f aca="false">AF12+7</f>
        <v>45849</v>
      </c>
      <c r="AH12" s="443" t="n">
        <f aca="false">AG12+7</f>
        <v>45856</v>
      </c>
      <c r="AI12" s="443" t="n">
        <f aca="false">AH12+7</f>
        <v>45863</v>
      </c>
      <c r="AJ12" s="443" t="n">
        <f aca="false">AI12+7</f>
        <v>45870</v>
      </c>
      <c r="AK12" s="443" t="n">
        <f aca="false">AJ12+7</f>
        <v>45877</v>
      </c>
      <c r="AL12" s="443" t="n">
        <v>45884</v>
      </c>
      <c r="AM12" s="443" t="n">
        <f aca="false">AL12+7</f>
        <v>45891</v>
      </c>
      <c r="AN12" s="443" t="n">
        <f aca="false">AM12+7</f>
        <v>45898</v>
      </c>
      <c r="AO12" s="443" t="n">
        <f aca="false">AN12+7</f>
        <v>45905</v>
      </c>
      <c r="AP12" s="443" t="n">
        <f aca="false">AO12+7</f>
        <v>45912</v>
      </c>
      <c r="AQ12" s="443" t="n">
        <f aca="false">AP12+7</f>
        <v>45919</v>
      </c>
      <c r="AR12" s="443" t="n">
        <f aca="false">AQ12+7</f>
        <v>45926</v>
      </c>
      <c r="AS12" s="443" t="n">
        <f aca="false">AR12+7</f>
        <v>45933</v>
      </c>
      <c r="AT12" s="443" t="n">
        <f aca="false">AS12+7</f>
        <v>45940</v>
      </c>
      <c r="AU12" s="443" t="n">
        <f aca="false">AT12+7</f>
        <v>45947</v>
      </c>
      <c r="AV12" s="443" t="n">
        <f aca="false">AU12+7</f>
        <v>45954</v>
      </c>
      <c r="AW12" s="443" t="n">
        <f aca="false">AV12+7</f>
        <v>45961</v>
      </c>
      <c r="AX12" s="443" t="n">
        <f aca="false">AW12+7</f>
        <v>45968</v>
      </c>
    </row>
    <row r="13" customFormat="false" ht="12.75" hidden="true" customHeight="false" outlineLevel="0" collapsed="false">
      <c r="B13" s="440"/>
      <c r="C13" s="441"/>
      <c r="D13" s="441"/>
      <c r="E13" s="441"/>
    </row>
    <row r="14" customFormat="false" ht="12.75" hidden="false" customHeight="false" outlineLevel="0" collapsed="false">
      <c r="B14" s="22" t="s">
        <v>918</v>
      </c>
      <c r="C14" s="22"/>
      <c r="D14" s="22"/>
      <c r="E14" s="22"/>
      <c r="F14" s="449" t="n">
        <v>0</v>
      </c>
      <c r="G14" s="449" t="n">
        <v>332971</v>
      </c>
      <c r="H14" s="450" t="n">
        <v>332971</v>
      </c>
      <c r="I14" s="449" t="n">
        <v>332971</v>
      </c>
      <c r="J14" s="449" t="n">
        <v>592971</v>
      </c>
      <c r="K14" s="449" t="n">
        <v>592971</v>
      </c>
      <c r="L14" s="449" t="n">
        <v>1005040</v>
      </c>
      <c r="M14" s="449" t="n">
        <v>1725040</v>
      </c>
      <c r="N14" s="449" t="n">
        <v>2145480</v>
      </c>
      <c r="O14" s="449" t="n">
        <v>2145480</v>
      </c>
      <c r="P14" s="449" t="n">
        <v>2145480</v>
      </c>
      <c r="Q14" s="449" t="n">
        <v>2273480</v>
      </c>
      <c r="R14" s="449" t="n">
        <v>2273480</v>
      </c>
      <c r="S14" s="449" t="n">
        <v>2453480</v>
      </c>
      <c r="T14" s="449" t="n">
        <v>2453480</v>
      </c>
      <c r="U14" s="451" t="n">
        <v>2539930</v>
      </c>
      <c r="V14" s="452" t="n">
        <v>2568537</v>
      </c>
      <c r="W14" s="449" t="n">
        <v>2568537</v>
      </c>
      <c r="X14" s="449" t="n">
        <v>2568537</v>
      </c>
      <c r="Y14" s="449" t="n">
        <v>2929787</v>
      </c>
      <c r="Z14" s="449" t="n">
        <v>2929787</v>
      </c>
      <c r="AA14" s="449" t="n">
        <v>3865787</v>
      </c>
      <c r="AB14" s="449" t="n">
        <v>3865787</v>
      </c>
      <c r="AC14" s="449" t="n">
        <v>3865787</v>
      </c>
      <c r="AD14" s="449" t="n">
        <v>3920787</v>
      </c>
      <c r="AE14" s="449" t="n">
        <v>4011387</v>
      </c>
      <c r="AF14" s="449" t="n">
        <v>4011387</v>
      </c>
      <c r="AG14" s="449" t="n">
        <v>4011387</v>
      </c>
      <c r="AH14" s="449" t="n">
        <v>4295347</v>
      </c>
      <c r="AI14" s="449" t="n">
        <v>4295347</v>
      </c>
      <c r="AJ14" s="449" t="n">
        <v>4295347</v>
      </c>
      <c r="AK14" s="449" t="n">
        <v>4295347</v>
      </c>
      <c r="AL14" s="449" t="n">
        <v>4365347</v>
      </c>
      <c r="AM14" s="449" t="n">
        <v>4365347</v>
      </c>
      <c r="AN14" s="449" t="n">
        <v>4435347</v>
      </c>
      <c r="AO14" s="449" t="n">
        <v>4435347</v>
      </c>
      <c r="AP14" s="449" t="n">
        <v>4435347</v>
      </c>
      <c r="AQ14" s="449" t="n">
        <v>4519072</v>
      </c>
      <c r="AR14" s="449" t="n">
        <v>4519072</v>
      </c>
      <c r="AS14" s="449" t="n">
        <v>4519072</v>
      </c>
      <c r="AT14" s="449" t="n">
        <v>4625857</v>
      </c>
      <c r="AU14" s="449" t="n">
        <v>4625857</v>
      </c>
      <c r="AV14" s="449" t="n">
        <v>4735857</v>
      </c>
      <c r="AW14" s="449" t="n">
        <v>5175525</v>
      </c>
      <c r="AX14" s="449" t="n">
        <f aca="false">AW14 + SUMIFS('Letting Progress'!$K5:$K74,
               'Letting Progress'!$D5:$D74, "NL",
               'Letting Progress'!$Q5:$Q74, "Yes")</f>
        <v>5510541</v>
      </c>
    </row>
    <row r="15" customFormat="false" ht="12.75" hidden="false" customHeight="false" outlineLevel="0" collapsed="false">
      <c r="B15" s="22" t="s">
        <v>22</v>
      </c>
      <c r="C15" s="22"/>
      <c r="D15" s="22"/>
      <c r="E15" s="22"/>
      <c r="F15" s="449" t="n">
        <v>0</v>
      </c>
      <c r="G15" s="449" t="n">
        <v>0</v>
      </c>
      <c r="H15" s="449" t="n">
        <v>0</v>
      </c>
      <c r="I15" s="449" t="n">
        <v>0</v>
      </c>
      <c r="J15" s="449" t="n">
        <v>48300</v>
      </c>
      <c r="K15" s="449" t="n">
        <v>48300</v>
      </c>
      <c r="L15" s="449" t="n">
        <v>48300</v>
      </c>
      <c r="M15" s="449" t="n">
        <v>48300</v>
      </c>
      <c r="N15" s="449" t="n">
        <v>48300</v>
      </c>
      <c r="O15" s="449" t="n">
        <v>48300</v>
      </c>
      <c r="P15" s="449" t="n">
        <v>48300</v>
      </c>
      <c r="Q15" s="449" t="n">
        <v>48300</v>
      </c>
      <c r="R15" s="449" t="n">
        <v>48300</v>
      </c>
      <c r="S15" s="449" t="n">
        <v>48300</v>
      </c>
      <c r="T15" s="449" t="n">
        <v>48300</v>
      </c>
      <c r="U15" s="453" t="n">
        <v>48300</v>
      </c>
      <c r="V15" s="454" t="n">
        <v>48300</v>
      </c>
      <c r="W15" s="449" t="n">
        <v>48300</v>
      </c>
      <c r="X15" s="449" t="n">
        <v>48300</v>
      </c>
      <c r="Y15" s="449" t="n">
        <v>48300</v>
      </c>
      <c r="Z15" s="449" t="n">
        <v>48300</v>
      </c>
      <c r="AA15" s="449" t="n">
        <v>48300</v>
      </c>
      <c r="AB15" s="449" t="n">
        <v>48300</v>
      </c>
      <c r="AC15" s="449" t="n">
        <v>48300</v>
      </c>
      <c r="AD15" s="449" t="n">
        <v>48300</v>
      </c>
      <c r="AE15" s="449" t="n">
        <v>48300</v>
      </c>
      <c r="AF15" s="449" t="n">
        <v>48300</v>
      </c>
      <c r="AG15" s="449" t="n">
        <v>48300</v>
      </c>
      <c r="AH15" s="449" t="n">
        <v>48300</v>
      </c>
      <c r="AI15" s="449" t="n">
        <v>48300</v>
      </c>
      <c r="AJ15" s="449" t="n">
        <v>48300</v>
      </c>
      <c r="AK15" s="449" t="n">
        <v>48300</v>
      </c>
      <c r="AL15" s="449" t="n">
        <v>48300</v>
      </c>
      <c r="AM15" s="449" t="n">
        <v>48300</v>
      </c>
      <c r="AN15" s="449" t="n">
        <v>48300</v>
      </c>
      <c r="AO15" s="449" t="n">
        <v>48300</v>
      </c>
      <c r="AP15" s="449" t="n">
        <v>48300</v>
      </c>
      <c r="AQ15" s="449" t="n">
        <v>48300</v>
      </c>
      <c r="AR15" s="449" t="n">
        <v>48300</v>
      </c>
      <c r="AS15" s="449" t="n">
        <v>48300</v>
      </c>
      <c r="AT15" s="449" t="n">
        <v>48300</v>
      </c>
      <c r="AU15" s="449" t="n">
        <v>48300</v>
      </c>
      <c r="AV15" s="449" t="n">
        <v>48300</v>
      </c>
      <c r="AW15" s="449" t="n">
        <v>48300</v>
      </c>
      <c r="AX15" s="449" t="n">
        <f aca="false">AW15 + SUMIFS('Letting Progress'!$K5:$K72,
               'Letting Progress'!$D5:$D72, "TL",
               'Letting Progress'!$Q5:$Q72, "Yes")</f>
        <v>48300</v>
      </c>
    </row>
    <row r="16" customFormat="false" ht="12.75" hidden="false" customHeight="false" outlineLevel="0" collapsed="false">
      <c r="B16" s="22" t="s">
        <v>919</v>
      </c>
      <c r="C16" s="22"/>
      <c r="D16" s="22"/>
      <c r="E16" s="22"/>
      <c r="F16" s="449" t="n">
        <v>0</v>
      </c>
      <c r="G16" s="449" t="n">
        <v>130000</v>
      </c>
      <c r="H16" s="449" t="n">
        <v>130000</v>
      </c>
      <c r="I16" s="449" t="n">
        <f aca="false">H16+SUMIF('Letting Progress'!$Q5:$Q14, "Yes",'Letting Progress'!$K5:$K9)</f>
        <v>465016</v>
      </c>
      <c r="J16" s="449" t="n">
        <v>130000</v>
      </c>
      <c r="K16" s="449" t="n">
        <v>130000</v>
      </c>
      <c r="L16" s="449" t="n">
        <v>137848</v>
      </c>
      <c r="M16" s="449" t="n">
        <v>137848</v>
      </c>
      <c r="N16" s="449" t="n">
        <v>137848</v>
      </c>
      <c r="O16" s="449" t="n">
        <v>137848</v>
      </c>
      <c r="P16" s="449" t="n">
        <v>137848</v>
      </c>
      <c r="Q16" s="449" t="n">
        <v>137848</v>
      </c>
      <c r="R16" s="449" t="n">
        <v>137848</v>
      </c>
      <c r="S16" s="449" t="n">
        <v>137848</v>
      </c>
      <c r="T16" s="449" t="n">
        <v>138298</v>
      </c>
      <c r="U16" s="453" t="n">
        <v>139600</v>
      </c>
      <c r="V16" s="452" t="n">
        <v>139600</v>
      </c>
      <c r="W16" s="449" t="n">
        <v>153100</v>
      </c>
      <c r="X16" s="449" t="n">
        <v>153100</v>
      </c>
      <c r="Y16" s="449" t="n">
        <v>155100</v>
      </c>
      <c r="Z16" s="449" t="n">
        <v>156000</v>
      </c>
      <c r="AA16" s="449" t="n">
        <v>156000</v>
      </c>
      <c r="AB16" s="449" t="n">
        <v>156000</v>
      </c>
      <c r="AC16" s="449" t="n">
        <v>156000</v>
      </c>
      <c r="AD16" s="449" t="n">
        <v>156000</v>
      </c>
      <c r="AE16" s="449" t="n">
        <v>156000</v>
      </c>
      <c r="AF16" s="449" t="n">
        <v>156000</v>
      </c>
      <c r="AG16" s="449" t="n">
        <v>156000</v>
      </c>
      <c r="AH16" s="449" t="n">
        <v>376000</v>
      </c>
      <c r="AI16" s="449" t="n">
        <v>376000</v>
      </c>
      <c r="AJ16" s="449" t="n">
        <v>376000</v>
      </c>
      <c r="AK16" s="449" t="n">
        <v>390100</v>
      </c>
      <c r="AL16" s="449" t="n">
        <v>390100</v>
      </c>
      <c r="AM16" s="449" t="n">
        <v>390100</v>
      </c>
      <c r="AN16" s="449" t="n">
        <v>398560</v>
      </c>
      <c r="AO16" s="449" t="n">
        <v>454882</v>
      </c>
      <c r="AP16" s="449" t="n">
        <v>473402</v>
      </c>
      <c r="AQ16" s="449" t="n">
        <v>487239.5</v>
      </c>
      <c r="AR16" s="449" t="n">
        <v>487239.5</v>
      </c>
      <c r="AS16" s="449" t="n">
        <v>487239.5</v>
      </c>
      <c r="AT16" s="449" t="n">
        <v>487239.5</v>
      </c>
      <c r="AU16" s="449" t="n">
        <v>487239.5</v>
      </c>
      <c r="AV16" s="449" t="n">
        <v>487239.5</v>
      </c>
      <c r="AW16" s="449" t="n">
        <v>487239.5</v>
      </c>
      <c r="AX16" s="449" t="n">
        <f aca="false">AW16 + SUMIFS('Letting Progress'!$K5:$K77,
               'Letting Progress'!$D5:$D77, "LR",
               'Letting Progress'!$Q5:$Q77, "Yes")</f>
        <v>487239.5</v>
      </c>
    </row>
    <row r="17" customFormat="false" ht="12.75" hidden="false" customHeight="false" outlineLevel="0" collapsed="false">
      <c r="B17" s="445" t="s">
        <v>24</v>
      </c>
      <c r="C17" s="445"/>
      <c r="D17" s="445"/>
      <c r="E17" s="445"/>
      <c r="F17" s="455" t="n">
        <f aca="false">SUM(F14:F16)</f>
        <v>0</v>
      </c>
      <c r="G17" s="455" t="n">
        <f aca="false">SUM(G14:G16)</f>
        <v>462971</v>
      </c>
      <c r="H17" s="455" t="n">
        <f aca="false">SUM(H14:H16)</f>
        <v>462971</v>
      </c>
      <c r="I17" s="455" t="n">
        <f aca="false">SUM(I14:I16)</f>
        <v>797987</v>
      </c>
      <c r="J17" s="455" t="n">
        <f aca="false">SUM(J14:J16)</f>
        <v>771271</v>
      </c>
      <c r="K17" s="455" t="n">
        <f aca="false">SUM(K14:K16)</f>
        <v>771271</v>
      </c>
      <c r="L17" s="455" t="n">
        <f aca="false">SUM(L14:L16)</f>
        <v>1191188</v>
      </c>
      <c r="M17" s="455" t="n">
        <f aca="false">SUM(M14:M16)</f>
        <v>1911188</v>
      </c>
      <c r="N17" s="455" t="n">
        <f aca="false">SUM(N14:N16)</f>
        <v>2331628</v>
      </c>
      <c r="O17" s="455" t="n">
        <f aca="false">SUM(O14:O16)</f>
        <v>2331628</v>
      </c>
      <c r="P17" s="455" t="n">
        <f aca="false">SUM(P14:P16)</f>
        <v>2331628</v>
      </c>
      <c r="Q17" s="455" t="n">
        <f aca="false">SUM(Q14:Q16)</f>
        <v>2459628</v>
      </c>
      <c r="R17" s="455" t="n">
        <f aca="false">SUM(R14:R16)</f>
        <v>2459628</v>
      </c>
      <c r="S17" s="455" t="n">
        <f aca="false">SUM(S14:S16)</f>
        <v>2639628</v>
      </c>
      <c r="T17" s="455" t="n">
        <f aca="false">SUM(T14:T16)</f>
        <v>2640078</v>
      </c>
      <c r="U17" s="455" t="n">
        <f aca="false">SUM(U14:U16)</f>
        <v>2727830</v>
      </c>
      <c r="V17" s="455" t="n">
        <f aca="false">SUM(V14:V16)</f>
        <v>2756437</v>
      </c>
      <c r="W17" s="455" t="n">
        <f aca="false">SUM(W14:W16)</f>
        <v>2769937</v>
      </c>
      <c r="X17" s="455" t="n">
        <f aca="false">SUM(X14:X16)</f>
        <v>2769937</v>
      </c>
      <c r="Y17" s="455" t="n">
        <f aca="false">SUM(Y14:Y16)</f>
        <v>3133187</v>
      </c>
      <c r="Z17" s="455" t="n">
        <f aca="false">SUM(Z14:Z16)</f>
        <v>3134087</v>
      </c>
      <c r="AA17" s="455" t="n">
        <f aca="false">SUM(AA14:AA16)</f>
        <v>4070087</v>
      </c>
      <c r="AB17" s="455" t="n">
        <f aca="false">SUM(AB14:AB16)</f>
        <v>4070087</v>
      </c>
      <c r="AC17" s="455" t="n">
        <f aca="false">SUM(AC14:AC16)</f>
        <v>4070087</v>
      </c>
      <c r="AD17" s="455" t="n">
        <f aca="false">SUM(AD14:AD16)</f>
        <v>4125087</v>
      </c>
      <c r="AE17" s="455" t="n">
        <f aca="false">SUM(AE14:AE16)</f>
        <v>4215687</v>
      </c>
      <c r="AF17" s="455" t="n">
        <f aca="false">SUM(AF14:AF16)</f>
        <v>4215687</v>
      </c>
      <c r="AG17" s="455" t="n">
        <f aca="false">SUM(AG14:AG16)</f>
        <v>4215687</v>
      </c>
      <c r="AH17" s="455" t="n">
        <f aca="false">SUM(AH14:AH16)</f>
        <v>4719647</v>
      </c>
      <c r="AI17" s="455" t="n">
        <f aca="false">SUM(AI14:AI16)</f>
        <v>4719647</v>
      </c>
      <c r="AJ17" s="455" t="n">
        <f aca="false">SUM(AJ14:AJ16)</f>
        <v>4719647</v>
      </c>
      <c r="AK17" s="455" t="n">
        <f aca="false">SUM(AK14:AK16)</f>
        <v>4733747</v>
      </c>
      <c r="AL17" s="455" t="n">
        <f aca="false">SUM(AL14:AL16)</f>
        <v>4803747</v>
      </c>
      <c r="AM17" s="455" t="n">
        <f aca="false">SUM(AM14:AM16)</f>
        <v>4803747</v>
      </c>
      <c r="AN17" s="455" t="n">
        <f aca="false">SUM(AN14:AN16)</f>
        <v>4882207</v>
      </c>
      <c r="AO17" s="455" t="n">
        <f aca="false">SUM(AO14:AO16)</f>
        <v>4938529</v>
      </c>
      <c r="AP17" s="455" t="n">
        <f aca="false">SUM(AP14:AP16)</f>
        <v>4957049</v>
      </c>
      <c r="AQ17" s="455" t="n">
        <f aca="false">SUM(AQ14:AQ16)</f>
        <v>5054611.5</v>
      </c>
      <c r="AR17" s="455" t="n">
        <f aca="false">SUM(AR14:AR16)</f>
        <v>5054611.5</v>
      </c>
      <c r="AS17" s="455" t="n">
        <f aca="false">SUM(AS14:AS16)</f>
        <v>5054611.5</v>
      </c>
      <c r="AT17" s="455" t="n">
        <f aca="false">SUM(AT14:AT16)</f>
        <v>5161396.5</v>
      </c>
      <c r="AU17" s="455" t="n">
        <f aca="false">SUM(AU14:AU16)</f>
        <v>5161396.5</v>
      </c>
      <c r="AV17" s="455" t="n">
        <f aca="false">SUM(AV14:AV16)</f>
        <v>5271396.5</v>
      </c>
      <c r="AW17" s="455" t="n">
        <f aca="false">SUM(AW14:AW16)</f>
        <v>5711064.5</v>
      </c>
      <c r="AX17" s="455" t="n">
        <f aca="false">SUM(AX14:AX16)</f>
        <v>6046080.5</v>
      </c>
    </row>
    <row r="18" customFormat="false" ht="12.75" hidden="false" customHeight="false" outlineLevel="0" collapsed="false">
      <c r="A18" s="1" t="s">
        <v>0</v>
      </c>
    </row>
    <row r="19" customFormat="false" ht="12.75" hidden="false" customHeight="false" outlineLevel="0" collapsed="false">
      <c r="B19" s="456"/>
    </row>
    <row r="21" customFormat="false" ht="12.75" hidden="false" customHeight="false" outlineLevel="0" collapsed="false">
      <c r="D21" s="457"/>
    </row>
    <row r="22" customFormat="false" ht="12.75" hidden="false" customHeight="false" outlineLevel="0" collapsed="false">
      <c r="D22" s="457"/>
      <c r="J22" s="450"/>
    </row>
    <row r="26" customFormat="false" ht="15" hidden="false" customHeight="true" outlineLevel="0" collapsed="false"/>
    <row r="27" customFormat="false" ht="15" hidden="false" customHeight="true" outlineLevel="0" collapsed="false"/>
  </sheetData>
  <mergeCells count="9">
    <mergeCell ref="B5:E5"/>
    <mergeCell ref="B6:E6"/>
    <mergeCell ref="B7:E7"/>
    <mergeCell ref="B8:E8"/>
    <mergeCell ref="B11:E11"/>
    <mergeCell ref="B14:E14"/>
    <mergeCell ref="B15:E15"/>
    <mergeCell ref="B16:E16"/>
    <mergeCell ref="B17:E17"/>
  </mergeCells>
  <conditionalFormatting sqref="AH6:AJ6 F17:AX17">
    <cfRule type="cellIs" priority="2" operator="equal" aboveAverage="0" equalAverage="0" bottom="0" percent="0" rank="0" text="" dxfId="17">
      <formula>"Yes"</formula>
    </cfRule>
    <cfRule type="expression" priority="3" aboveAverage="0" equalAverage="0" bottom="0" percent="0" rank="0" text="" dxfId="18">
      <formula>"Completed"</formula>
    </cfRule>
  </conditionalFormatting>
  <conditionalFormatting sqref="AY5:XFD7 F6:AF6">
    <cfRule type="cellIs" priority="4" operator="equal" aboveAverage="0" equalAverage="0" bottom="0" percent="0" rank="0" text="" dxfId="19">
      <formula>"Yes"</formula>
    </cfRule>
    <cfRule type="expression" priority="5" aboveAverage="0" equalAverage="0" bottom="0" percent="0" rank="0" text="" dxfId="20">
      <formula>"Completed"</formula>
    </cfRule>
  </conditionalFormatting>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0" fitToHeight="1" pageOrder="downThenOver" orientation="landscape" blackAndWhite="false" draft="false" cellComments="none" horizontalDpi="300" verticalDpi="300" copies="1"/>
  <headerFooter differentFirst="false" differentOddEven="false">
    <oddHeader/>
    <oddFooter/>
  </headerFooter>
  <colBreaks count="2" manualBreakCount="2">
    <brk id="23" man="true" max="65535" min="0"/>
    <brk id="33" man="true" max="65535" min="0"/>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111"/>
  <sheetViews>
    <sheetView showFormulas="false" showGridLines="true" showRowColHeaders="true" showZeros="true" rightToLeft="false" tabSelected="false" showOutlineSymbols="true" defaultGridColor="true" view="pageBreakPreview" topLeftCell="A54" colorId="64" zoomScale="100" zoomScaleNormal="70" zoomScalePageLayoutView="100" workbookViewId="0">
      <selection pane="topLeft" activeCell="D83" activeCellId="0" sqref="D83"/>
    </sheetView>
  </sheetViews>
  <sheetFormatPr defaultColWidth="8.85546875" defaultRowHeight="15.75" customHeight="true" zeroHeight="false" outlineLevelRow="0" outlineLevelCol="0"/>
  <cols>
    <col collapsed="false" customWidth="true" hidden="false" outlineLevel="0" max="3" min="3" style="0" width="10.75"/>
    <col collapsed="false" customWidth="true" hidden="false" outlineLevel="0" max="7" min="7" style="0" width="10.37"/>
    <col collapsed="false" customWidth="true" hidden="false" outlineLevel="0" max="8" min="8" style="458" width="10.25"/>
    <col collapsed="false" customWidth="true" hidden="false" outlineLevel="0" max="9" min="9" style="0" width="20"/>
    <col collapsed="false" customWidth="true" hidden="false" outlineLevel="0" max="19" min="19" style="0" width="36.88"/>
    <col collapsed="false" customWidth="true" hidden="false" outlineLevel="0" max="21" min="21" style="0" width="11.62"/>
    <col collapsed="false" customWidth="true" hidden="false" outlineLevel="0" max="23" min="23" style="0" width="11.75"/>
  </cols>
  <sheetData>
    <row r="2" customFormat="false" ht="15.75" hidden="false" customHeight="false" outlineLevel="0" collapsed="false">
      <c r="B2" s="459" t="s">
        <v>920</v>
      </c>
    </row>
    <row r="3" customFormat="false" ht="15.75" hidden="false" customHeight="false" outlineLevel="0" collapsed="false">
      <c r="D3" s="460"/>
    </row>
    <row r="5" customFormat="false" ht="15.75" hidden="false" customHeight="false" outlineLevel="0" collapsed="false">
      <c r="B5" s="459" t="s">
        <v>921</v>
      </c>
    </row>
    <row r="6" customFormat="false" ht="46.25" hidden="false" customHeight="false" outlineLevel="0" collapsed="false">
      <c r="B6" s="461" t="s">
        <v>31</v>
      </c>
      <c r="C6" s="461" t="s">
        <v>31</v>
      </c>
      <c r="D6" s="461" t="s">
        <v>32</v>
      </c>
      <c r="E6" s="461" t="s">
        <v>33</v>
      </c>
      <c r="F6" s="462" t="s">
        <v>34</v>
      </c>
      <c r="G6" s="461" t="s">
        <v>35</v>
      </c>
      <c r="H6" s="461" t="s">
        <v>36</v>
      </c>
      <c r="I6" s="461" t="s">
        <v>37</v>
      </c>
      <c r="J6" s="461" t="s">
        <v>922</v>
      </c>
      <c r="K6" s="463" t="s">
        <v>39</v>
      </c>
      <c r="L6" s="461" t="s">
        <v>40</v>
      </c>
      <c r="M6" s="463" t="s">
        <v>41</v>
      </c>
      <c r="N6" s="463" t="s">
        <v>42</v>
      </c>
      <c r="O6" s="463" t="s">
        <v>43</v>
      </c>
      <c r="P6" s="461" t="s">
        <v>44</v>
      </c>
      <c r="Q6" s="461" t="s">
        <v>45</v>
      </c>
      <c r="R6" s="461" t="s">
        <v>46</v>
      </c>
      <c r="S6" s="461" t="s">
        <v>47</v>
      </c>
      <c r="T6" s="461" t="s">
        <v>48</v>
      </c>
      <c r="U6" s="464" t="s">
        <v>916</v>
      </c>
    </row>
    <row r="7" customFormat="false" ht="43.25" hidden="true" customHeight="false" outlineLevel="0" collapsed="false">
      <c r="B7" s="465" t="n">
        <v>1</v>
      </c>
      <c r="C7" s="466" t="s">
        <v>284</v>
      </c>
      <c r="D7" s="466" t="s">
        <v>923</v>
      </c>
      <c r="E7" s="466"/>
      <c r="F7" s="466"/>
      <c r="G7" s="467" t="n">
        <v>45499</v>
      </c>
      <c r="H7" s="468" t="s">
        <v>924</v>
      </c>
      <c r="I7" s="469" t="s">
        <v>925</v>
      </c>
      <c r="J7" s="470" t="n">
        <v>61425</v>
      </c>
      <c r="K7" s="471" t="n">
        <v>55700</v>
      </c>
      <c r="L7" s="472" t="n">
        <f aca="false">J7-K7</f>
        <v>5725</v>
      </c>
      <c r="M7" s="473" t="n">
        <v>58.5</v>
      </c>
      <c r="N7" s="473"/>
      <c r="O7" s="473"/>
      <c r="P7" s="466" t="s">
        <v>84</v>
      </c>
      <c r="Q7" s="474" t="s">
        <v>84</v>
      </c>
      <c r="R7" s="474" t="s">
        <v>91</v>
      </c>
      <c r="S7" s="466" t="s">
        <v>926</v>
      </c>
      <c r="T7" s="475" t="s">
        <v>64</v>
      </c>
      <c r="U7" s="476" t="n">
        <v>45555</v>
      </c>
    </row>
    <row r="8" customFormat="false" ht="53.7" hidden="true" customHeight="false" outlineLevel="0" collapsed="false">
      <c r="B8" s="465" t="n">
        <v>2</v>
      </c>
      <c r="C8" s="466" t="s">
        <v>253</v>
      </c>
      <c r="D8" s="466" t="s">
        <v>927</v>
      </c>
      <c r="E8" s="466"/>
      <c r="F8" s="466"/>
      <c r="G8" s="467" t="n">
        <v>45538</v>
      </c>
      <c r="H8" s="477" t="s">
        <v>928</v>
      </c>
      <c r="I8" s="478" t="s">
        <v>929</v>
      </c>
      <c r="J8" s="470" t="n">
        <v>41250</v>
      </c>
      <c r="K8" s="471" t="n">
        <v>39200</v>
      </c>
      <c r="L8" s="479" t="n">
        <f aca="false">J8-K8</f>
        <v>2050</v>
      </c>
      <c r="M8" s="470" t="n">
        <v>55</v>
      </c>
      <c r="N8" s="470"/>
      <c r="O8" s="470"/>
      <c r="P8" s="466" t="s">
        <v>930</v>
      </c>
      <c r="Q8" s="474" t="s">
        <v>55</v>
      </c>
      <c r="R8" s="474" t="s">
        <v>91</v>
      </c>
      <c r="S8" s="466" t="s">
        <v>926</v>
      </c>
      <c r="T8" s="475" t="s">
        <v>146</v>
      </c>
      <c r="U8" s="476" t="n">
        <v>45555</v>
      </c>
    </row>
    <row r="9" customFormat="false" ht="64.15" hidden="true" customHeight="false" outlineLevel="0" collapsed="false">
      <c r="B9" s="465" t="n">
        <v>3</v>
      </c>
      <c r="C9" s="466" t="s">
        <v>931</v>
      </c>
      <c r="D9" s="466" t="s">
        <v>932</v>
      </c>
      <c r="E9" s="466"/>
      <c r="F9" s="466"/>
      <c r="G9" s="467" t="n">
        <v>45541</v>
      </c>
      <c r="H9" s="477" t="s">
        <v>933</v>
      </c>
      <c r="I9" s="478" t="s">
        <v>934</v>
      </c>
      <c r="J9" s="470" t="n">
        <v>42000</v>
      </c>
      <c r="K9" s="471" t="n">
        <v>26496</v>
      </c>
      <c r="L9" s="471"/>
      <c r="M9" s="480" t="n">
        <v>72.41</v>
      </c>
      <c r="N9" s="480"/>
      <c r="O9" s="480"/>
      <c r="P9" s="466" t="s">
        <v>935</v>
      </c>
      <c r="Q9" s="474" t="s">
        <v>935</v>
      </c>
      <c r="R9" s="474" t="s">
        <v>91</v>
      </c>
      <c r="S9" s="466" t="s">
        <v>926</v>
      </c>
      <c r="T9" s="475" t="s">
        <v>936</v>
      </c>
      <c r="U9" s="476" t="n">
        <v>45548</v>
      </c>
    </row>
    <row r="10" customFormat="false" ht="43.25" hidden="true" customHeight="false" outlineLevel="0" collapsed="false">
      <c r="A10" s="127"/>
      <c r="B10" s="465" t="n">
        <v>4</v>
      </c>
      <c r="C10" s="477" t="s">
        <v>413</v>
      </c>
      <c r="D10" s="477" t="s">
        <v>937</v>
      </c>
      <c r="E10" s="477"/>
      <c r="F10" s="477"/>
      <c r="G10" s="481" t="n">
        <v>45510</v>
      </c>
      <c r="H10" s="477" t="s">
        <v>938</v>
      </c>
      <c r="I10" s="468" t="s">
        <v>939</v>
      </c>
      <c r="J10" s="482" t="n">
        <v>47250</v>
      </c>
      <c r="K10" s="483" t="n">
        <v>35000</v>
      </c>
      <c r="L10" s="483"/>
      <c r="M10" s="484" t="n">
        <v>68.67</v>
      </c>
      <c r="N10" s="484"/>
      <c r="O10" s="484"/>
      <c r="P10" s="466" t="s">
        <v>84</v>
      </c>
      <c r="Q10" s="474" t="s">
        <v>55</v>
      </c>
      <c r="R10" s="474" t="s">
        <v>91</v>
      </c>
      <c r="S10" s="466" t="s">
        <v>46</v>
      </c>
      <c r="T10" s="475" t="s">
        <v>936</v>
      </c>
      <c r="U10" s="476" t="n">
        <v>45562</v>
      </c>
      <c r="V10" s="127"/>
      <c r="W10" s="127"/>
      <c r="X10" s="127"/>
    </row>
    <row r="11" customFormat="false" ht="85.05" hidden="true" customHeight="false" outlineLevel="0" collapsed="false">
      <c r="B11" s="465" t="n">
        <v>5</v>
      </c>
      <c r="C11" s="477" t="s">
        <v>351</v>
      </c>
      <c r="D11" s="477" t="s">
        <v>940</v>
      </c>
      <c r="E11" s="477"/>
      <c r="F11" s="477"/>
      <c r="G11" s="485" t="n">
        <v>45464</v>
      </c>
      <c r="H11" s="477" t="s">
        <v>941</v>
      </c>
      <c r="I11" s="468" t="s">
        <v>942</v>
      </c>
      <c r="J11" s="482" t="n">
        <v>300000</v>
      </c>
      <c r="K11" s="483" t="n">
        <v>255000</v>
      </c>
      <c r="L11" s="483"/>
      <c r="M11" s="483" t="n">
        <v>53</v>
      </c>
      <c r="N11" s="483"/>
      <c r="O11" s="483"/>
      <c r="P11" s="475" t="s">
        <v>943</v>
      </c>
      <c r="Q11" s="486" t="s">
        <v>55</v>
      </c>
      <c r="R11" s="486" t="s">
        <v>91</v>
      </c>
      <c r="S11" s="466" t="s">
        <v>944</v>
      </c>
      <c r="T11" s="475" t="s">
        <v>64</v>
      </c>
      <c r="U11" s="476" t="n">
        <v>45569</v>
      </c>
    </row>
    <row r="12" customFormat="false" ht="105.95" hidden="true" customHeight="false" outlineLevel="0" collapsed="false">
      <c r="A12" s="127"/>
      <c r="B12" s="465" t="n">
        <v>6</v>
      </c>
      <c r="C12" s="468" t="s">
        <v>945</v>
      </c>
      <c r="D12" s="487" t="s">
        <v>946</v>
      </c>
      <c r="E12" s="487"/>
      <c r="F12" s="487"/>
      <c r="G12" s="485" t="n">
        <v>45274</v>
      </c>
      <c r="H12" s="488" t="s">
        <v>947</v>
      </c>
      <c r="I12" s="489" t="s">
        <v>948</v>
      </c>
      <c r="J12" s="484" t="n">
        <v>46800</v>
      </c>
      <c r="K12" s="483" t="n">
        <v>37700</v>
      </c>
      <c r="L12" s="483"/>
      <c r="M12" s="483" t="n">
        <v>40.48</v>
      </c>
      <c r="N12" s="483"/>
      <c r="O12" s="483"/>
      <c r="P12" s="475" t="s">
        <v>84</v>
      </c>
      <c r="Q12" s="486" t="s">
        <v>64</v>
      </c>
      <c r="R12" s="486" t="s">
        <v>91</v>
      </c>
      <c r="S12" s="466"/>
      <c r="T12" s="475" t="s">
        <v>141</v>
      </c>
      <c r="U12" s="476" t="n">
        <v>45575</v>
      </c>
      <c r="V12" s="127"/>
      <c r="W12" s="127"/>
      <c r="X12" s="127"/>
    </row>
    <row r="13" customFormat="false" ht="53.7" hidden="true" customHeight="false" outlineLevel="0" collapsed="false">
      <c r="B13" s="465" t="n">
        <v>7</v>
      </c>
      <c r="C13" s="477" t="s">
        <v>653</v>
      </c>
      <c r="D13" s="477" t="s">
        <v>949</v>
      </c>
      <c r="E13" s="477"/>
      <c r="F13" s="477"/>
      <c r="G13" s="485" t="n">
        <v>45499</v>
      </c>
      <c r="H13" s="477" t="s">
        <v>950</v>
      </c>
      <c r="I13" s="489" t="s">
        <v>951</v>
      </c>
      <c r="J13" s="482" t="n">
        <v>117500</v>
      </c>
      <c r="K13" s="483" t="n">
        <v>115000</v>
      </c>
      <c r="L13" s="483"/>
      <c r="M13" s="483" t="n">
        <v>68</v>
      </c>
      <c r="N13" s="483"/>
      <c r="O13" s="483"/>
      <c r="P13" s="490" t="s">
        <v>84</v>
      </c>
      <c r="Q13" s="491" t="s">
        <v>55</v>
      </c>
      <c r="R13" s="491" t="s">
        <v>91</v>
      </c>
      <c r="S13" s="477" t="s">
        <v>46</v>
      </c>
      <c r="T13" s="490" t="s">
        <v>141</v>
      </c>
      <c r="U13" s="476" t="n">
        <v>45590</v>
      </c>
    </row>
    <row r="14" customFormat="false" ht="53.7" hidden="true" customHeight="false" outlineLevel="0" collapsed="false">
      <c r="B14" s="465" t="n">
        <v>8</v>
      </c>
      <c r="C14" s="477" t="s">
        <v>201</v>
      </c>
      <c r="D14" s="477" t="s">
        <v>952</v>
      </c>
      <c r="E14" s="477"/>
      <c r="F14" s="477"/>
      <c r="G14" s="485" t="n">
        <v>45562</v>
      </c>
      <c r="H14" s="477" t="s">
        <v>953</v>
      </c>
      <c r="I14" s="468" t="s">
        <v>954</v>
      </c>
      <c r="J14" s="482" t="n">
        <v>28050</v>
      </c>
      <c r="K14" s="483" t="n">
        <v>26500</v>
      </c>
      <c r="L14" s="483"/>
      <c r="M14" s="492" t="n">
        <v>55</v>
      </c>
      <c r="N14" s="492"/>
      <c r="O14" s="492"/>
      <c r="P14" s="490" t="s">
        <v>84</v>
      </c>
      <c r="Q14" s="486" t="s">
        <v>64</v>
      </c>
      <c r="R14" s="491" t="s">
        <v>91</v>
      </c>
      <c r="S14" s="477" t="s">
        <v>955</v>
      </c>
      <c r="T14" s="490" t="s">
        <v>64</v>
      </c>
      <c r="U14" s="476" t="n">
        <v>45591</v>
      </c>
    </row>
    <row r="15" customFormat="false" ht="74.6" hidden="true" customHeight="false" outlineLevel="0" collapsed="false">
      <c r="B15" s="465" t="n">
        <v>9</v>
      </c>
      <c r="C15" s="477" t="s">
        <v>956</v>
      </c>
      <c r="D15" s="477" t="s">
        <v>957</v>
      </c>
      <c r="E15" s="477"/>
      <c r="F15" s="477"/>
      <c r="G15" s="485" t="n">
        <v>45303</v>
      </c>
      <c r="H15" s="490" t="s">
        <v>958</v>
      </c>
      <c r="I15" s="468" t="s">
        <v>959</v>
      </c>
      <c r="J15" s="482" t="n">
        <v>520000</v>
      </c>
      <c r="K15" s="483" t="n">
        <v>522500</v>
      </c>
      <c r="L15" s="483"/>
      <c r="M15" s="483" t="n">
        <v>160</v>
      </c>
      <c r="N15" s="483"/>
      <c r="O15" s="483"/>
      <c r="P15" s="490" t="s">
        <v>960</v>
      </c>
      <c r="Q15" s="491" t="s">
        <v>55</v>
      </c>
      <c r="R15" s="491" t="s">
        <v>91</v>
      </c>
      <c r="S15" s="477" t="s">
        <v>961</v>
      </c>
      <c r="T15" s="475" t="s">
        <v>78</v>
      </c>
      <c r="U15" s="493" t="s">
        <v>962</v>
      </c>
    </row>
    <row r="16" customFormat="false" ht="53.7" hidden="true" customHeight="false" outlineLevel="0" collapsed="false">
      <c r="B16" s="465" t="n">
        <v>10</v>
      </c>
      <c r="C16" s="477" t="s">
        <v>963</v>
      </c>
      <c r="D16" s="477" t="s">
        <v>964</v>
      </c>
      <c r="E16" s="477"/>
      <c r="F16" s="477"/>
      <c r="G16" s="485" t="n">
        <v>45534</v>
      </c>
      <c r="H16" s="490" t="s">
        <v>965</v>
      </c>
      <c r="I16" s="468" t="s">
        <v>966</v>
      </c>
      <c r="J16" s="482" t="n">
        <v>41875</v>
      </c>
      <c r="K16" s="483" t="n">
        <v>36600</v>
      </c>
      <c r="L16" s="483"/>
      <c r="M16" s="483" t="n">
        <v>62.5</v>
      </c>
      <c r="N16" s="483"/>
      <c r="O16" s="483"/>
      <c r="P16" s="490" t="s">
        <v>84</v>
      </c>
      <c r="Q16" s="491" t="s">
        <v>64</v>
      </c>
      <c r="R16" s="491" t="s">
        <v>967</v>
      </c>
      <c r="S16" s="477" t="s">
        <v>968</v>
      </c>
      <c r="T16" s="490" t="s">
        <v>64</v>
      </c>
      <c r="U16" s="476" t="n">
        <v>45618</v>
      </c>
    </row>
    <row r="17" customFormat="false" ht="64.15" hidden="true" customHeight="false" outlineLevel="0" collapsed="false">
      <c r="B17" s="465" t="n">
        <v>11</v>
      </c>
      <c r="C17" s="477" t="s">
        <v>224</v>
      </c>
      <c r="D17" s="477" t="s">
        <v>969</v>
      </c>
      <c r="E17" s="477"/>
      <c r="F17" s="477"/>
      <c r="G17" s="485" t="n">
        <v>45581</v>
      </c>
      <c r="H17" s="490" t="s">
        <v>970</v>
      </c>
      <c r="I17" s="477" t="s">
        <v>971</v>
      </c>
      <c r="J17" s="482" t="n">
        <v>71875</v>
      </c>
      <c r="K17" s="483" t="n">
        <v>60400</v>
      </c>
      <c r="L17" s="483"/>
      <c r="M17" s="492" t="n">
        <v>63.95</v>
      </c>
      <c r="N17" s="492"/>
      <c r="O17" s="492"/>
      <c r="P17" s="490" t="s">
        <v>972</v>
      </c>
      <c r="Q17" s="491" t="s">
        <v>64</v>
      </c>
      <c r="R17" s="491" t="s">
        <v>91</v>
      </c>
      <c r="S17" s="477" t="s">
        <v>46</v>
      </c>
      <c r="T17" s="490" t="s">
        <v>64</v>
      </c>
      <c r="U17" s="476" t="n">
        <v>45618</v>
      </c>
    </row>
    <row r="18" customFormat="false" ht="64.15" hidden="true" customHeight="false" outlineLevel="0" collapsed="false">
      <c r="B18" s="465" t="n">
        <v>12</v>
      </c>
      <c r="C18" s="477" t="s">
        <v>973</v>
      </c>
      <c r="D18" s="477" t="s">
        <v>974</v>
      </c>
      <c r="E18" s="477"/>
      <c r="F18" s="477"/>
      <c r="G18" s="485" t="n">
        <v>45427</v>
      </c>
      <c r="H18" s="494" t="s">
        <v>975</v>
      </c>
      <c r="I18" s="468" t="s">
        <v>976</v>
      </c>
      <c r="J18" s="495" t="n">
        <v>80400</v>
      </c>
      <c r="K18" s="483" t="n">
        <v>73700</v>
      </c>
      <c r="L18" s="483"/>
      <c r="M18" s="483" t="n">
        <v>60</v>
      </c>
      <c r="N18" s="483"/>
      <c r="O18" s="483"/>
      <c r="P18" s="490" t="s">
        <v>977</v>
      </c>
      <c r="Q18" s="491" t="s">
        <v>64</v>
      </c>
      <c r="R18" s="491" t="s">
        <v>91</v>
      </c>
      <c r="S18" s="477" t="s">
        <v>978</v>
      </c>
      <c r="T18" s="490" t="s">
        <v>141</v>
      </c>
      <c r="U18" s="476" t="n">
        <v>45624</v>
      </c>
    </row>
    <row r="19" customFormat="false" ht="64.15" hidden="true" customHeight="false" outlineLevel="0" collapsed="false">
      <c r="B19" s="496" t="n">
        <v>13</v>
      </c>
      <c r="C19" s="497" t="s">
        <v>351</v>
      </c>
      <c r="D19" s="497" t="s">
        <v>979</v>
      </c>
      <c r="E19" s="497"/>
      <c r="F19" s="497"/>
      <c r="G19" s="498" t="n">
        <v>45539</v>
      </c>
      <c r="H19" s="499" t="s">
        <v>980</v>
      </c>
      <c r="I19" s="500" t="s">
        <v>981</v>
      </c>
      <c r="J19" s="501" t="n">
        <v>108680</v>
      </c>
      <c r="K19" s="502" t="s">
        <v>196</v>
      </c>
      <c r="L19" s="502"/>
      <c r="M19" s="502" t="n">
        <v>71.5</v>
      </c>
      <c r="N19" s="502"/>
      <c r="O19" s="502"/>
      <c r="P19" s="499" t="s">
        <v>960</v>
      </c>
      <c r="Q19" s="503" t="s">
        <v>55</v>
      </c>
      <c r="R19" s="503" t="s">
        <v>967</v>
      </c>
      <c r="S19" s="497" t="s">
        <v>982</v>
      </c>
      <c r="T19" s="499" t="s">
        <v>64</v>
      </c>
      <c r="U19" s="504" t="n">
        <v>45621</v>
      </c>
    </row>
    <row r="20" customFormat="false" ht="43.25" hidden="true" customHeight="false" outlineLevel="0" collapsed="false">
      <c r="B20" s="465" t="n">
        <v>14</v>
      </c>
      <c r="C20" s="477" t="s">
        <v>983</v>
      </c>
      <c r="D20" s="477" t="s">
        <v>984</v>
      </c>
      <c r="E20" s="477"/>
      <c r="F20" s="477"/>
      <c r="G20" s="485" t="s">
        <v>985</v>
      </c>
      <c r="H20" s="505" t="s">
        <v>986</v>
      </c>
      <c r="I20" s="477" t="s">
        <v>987</v>
      </c>
      <c r="J20" s="495" t="n">
        <v>25200</v>
      </c>
      <c r="K20" s="483" t="n">
        <v>27000</v>
      </c>
      <c r="L20" s="483"/>
      <c r="M20" s="492" t="n">
        <v>58.65</v>
      </c>
      <c r="N20" s="492"/>
      <c r="O20" s="492"/>
      <c r="P20" s="490" t="s">
        <v>985</v>
      </c>
      <c r="Q20" s="491" t="s">
        <v>985</v>
      </c>
      <c r="R20" s="491" t="s">
        <v>91</v>
      </c>
      <c r="S20" s="490" t="s">
        <v>988</v>
      </c>
      <c r="T20" s="490" t="s">
        <v>936</v>
      </c>
      <c r="U20" s="506" t="n">
        <v>45639</v>
      </c>
    </row>
    <row r="21" customFormat="false" ht="53.7" hidden="true" customHeight="false" outlineLevel="0" collapsed="false">
      <c r="B21" s="465" t="n">
        <v>9</v>
      </c>
      <c r="C21" s="477" t="s">
        <v>989</v>
      </c>
      <c r="D21" s="477" t="s">
        <v>990</v>
      </c>
      <c r="E21" s="477"/>
      <c r="F21" s="477"/>
      <c r="G21" s="485" t="n">
        <v>45583</v>
      </c>
      <c r="H21" s="490" t="s">
        <v>991</v>
      </c>
      <c r="I21" s="477" t="s">
        <v>992</v>
      </c>
      <c r="J21" s="495" t="n">
        <v>18000</v>
      </c>
      <c r="K21" s="483" t="n">
        <v>11700</v>
      </c>
      <c r="L21" s="483"/>
      <c r="M21" s="492" t="n">
        <v>68</v>
      </c>
      <c r="N21" s="492"/>
      <c r="O21" s="492"/>
      <c r="P21" s="490" t="s">
        <v>84</v>
      </c>
      <c r="Q21" s="491" t="s">
        <v>64</v>
      </c>
      <c r="R21" s="491" t="s">
        <v>967</v>
      </c>
      <c r="S21" s="477" t="s">
        <v>993</v>
      </c>
      <c r="T21" s="490" t="s">
        <v>146</v>
      </c>
      <c r="U21" s="506" t="n">
        <v>45646</v>
      </c>
    </row>
    <row r="22" customFormat="false" ht="15.75" hidden="false" customHeight="false" outlineLevel="0" collapsed="false">
      <c r="B22" s="507" t="n">
        <v>2025</v>
      </c>
      <c r="C22" s="507" t="n">
        <v>2025</v>
      </c>
      <c r="D22" s="507" t="n">
        <v>2025</v>
      </c>
      <c r="E22" s="507"/>
      <c r="F22" s="507"/>
      <c r="G22" s="507" t="n">
        <v>2025</v>
      </c>
      <c r="H22" s="508" t="n">
        <v>2025</v>
      </c>
      <c r="I22" s="507" t="n">
        <v>2025</v>
      </c>
      <c r="J22" s="507" t="n">
        <v>2025</v>
      </c>
      <c r="K22" s="507" t="n">
        <v>2025</v>
      </c>
      <c r="L22" s="507"/>
      <c r="M22" s="507" t="n">
        <v>2025</v>
      </c>
      <c r="N22" s="507"/>
      <c r="O22" s="507"/>
      <c r="P22" s="507" t="n">
        <v>2025</v>
      </c>
      <c r="Q22" s="507" t="n">
        <v>2025</v>
      </c>
      <c r="R22" s="507" t="n">
        <v>2025</v>
      </c>
      <c r="S22" s="507" t="n">
        <v>2025</v>
      </c>
      <c r="T22" s="507" t="n">
        <v>2025</v>
      </c>
      <c r="U22" s="507" t="n">
        <v>2025</v>
      </c>
    </row>
    <row r="23" customFormat="false" ht="53.7" hidden="false" customHeight="false" outlineLevel="0" collapsed="false">
      <c r="B23" s="465" t="n">
        <v>1</v>
      </c>
      <c r="C23" s="477" t="s">
        <v>351</v>
      </c>
      <c r="D23" s="477" t="s">
        <v>994</v>
      </c>
      <c r="E23" s="477" t="s">
        <v>81</v>
      </c>
      <c r="F23" s="477"/>
      <c r="G23" s="485" t="n">
        <v>45540</v>
      </c>
      <c r="H23" s="490" t="s">
        <v>995</v>
      </c>
      <c r="I23" s="468" t="s">
        <v>996</v>
      </c>
      <c r="J23" s="495" t="n">
        <v>114253</v>
      </c>
      <c r="K23" s="483" t="n">
        <v>115800</v>
      </c>
      <c r="L23" s="483" t="n">
        <f aca="false">J23-K23</f>
        <v>-1547</v>
      </c>
      <c r="M23" s="492" t="n">
        <v>58.38</v>
      </c>
      <c r="N23" s="492"/>
      <c r="O23" s="492"/>
      <c r="P23" s="490" t="s">
        <v>997</v>
      </c>
      <c r="Q23" s="491" t="s">
        <v>64</v>
      </c>
      <c r="R23" s="491" t="s">
        <v>91</v>
      </c>
      <c r="S23" s="477" t="s">
        <v>46</v>
      </c>
      <c r="T23" s="490" t="s">
        <v>64</v>
      </c>
      <c r="U23" s="509" t="n">
        <v>45667</v>
      </c>
    </row>
    <row r="24" customFormat="false" ht="64.15" hidden="false" customHeight="false" outlineLevel="0" collapsed="false">
      <c r="B24" s="465" t="n">
        <v>2</v>
      </c>
      <c r="C24" s="477" t="s">
        <v>351</v>
      </c>
      <c r="D24" s="477" t="s">
        <v>998</v>
      </c>
      <c r="E24" s="477" t="s">
        <v>81</v>
      </c>
      <c r="F24" s="477"/>
      <c r="G24" s="485" t="n">
        <v>45540</v>
      </c>
      <c r="H24" s="490" t="s">
        <v>995</v>
      </c>
      <c r="I24" s="468" t="s">
        <v>999</v>
      </c>
      <c r="J24" s="495" t="n">
        <v>90090</v>
      </c>
      <c r="K24" s="483" t="n">
        <v>90100</v>
      </c>
      <c r="L24" s="483" t="n">
        <f aca="false">J24-K24</f>
        <v>-10</v>
      </c>
      <c r="M24" s="492" t="n">
        <v>58.19</v>
      </c>
      <c r="N24" s="492"/>
      <c r="O24" s="492"/>
      <c r="P24" s="490" t="s">
        <v>997</v>
      </c>
      <c r="Q24" s="491" t="s">
        <v>64</v>
      </c>
      <c r="R24" s="491" t="s">
        <v>91</v>
      </c>
      <c r="S24" s="477" t="s">
        <v>46</v>
      </c>
      <c r="T24" s="490" t="s">
        <v>64</v>
      </c>
      <c r="U24" s="509" t="n">
        <v>45667</v>
      </c>
    </row>
    <row r="25" customFormat="false" ht="53.7" hidden="false" customHeight="false" outlineLevel="0" collapsed="false">
      <c r="B25" s="465" t="n">
        <v>3</v>
      </c>
      <c r="C25" s="477" t="s">
        <v>351</v>
      </c>
      <c r="D25" s="477" t="s">
        <v>1000</v>
      </c>
      <c r="E25" s="477" t="s">
        <v>81</v>
      </c>
      <c r="F25" s="477"/>
      <c r="G25" s="485" t="n">
        <v>45540</v>
      </c>
      <c r="H25" s="490" t="s">
        <v>1001</v>
      </c>
      <c r="I25" s="468" t="s">
        <v>1002</v>
      </c>
      <c r="J25" s="495" t="n">
        <v>66700</v>
      </c>
      <c r="K25" s="483" t="n">
        <v>66.7</v>
      </c>
      <c r="L25" s="483" t="n">
        <f aca="false">J25-K25</f>
        <v>66633.3</v>
      </c>
      <c r="M25" s="492" t="n">
        <v>53.23</v>
      </c>
      <c r="N25" s="492"/>
      <c r="O25" s="492"/>
      <c r="P25" s="490" t="s">
        <v>1003</v>
      </c>
      <c r="Q25" s="491" t="s">
        <v>64</v>
      </c>
      <c r="R25" s="491" t="s">
        <v>91</v>
      </c>
      <c r="S25" s="477" t="s">
        <v>46</v>
      </c>
      <c r="T25" s="490" t="s">
        <v>64</v>
      </c>
      <c r="U25" s="509" t="n">
        <v>45667</v>
      </c>
    </row>
    <row r="26" customFormat="false" ht="43.25" hidden="false" customHeight="false" outlineLevel="0" collapsed="false">
      <c r="B26" s="465" t="n">
        <v>4</v>
      </c>
      <c r="C26" s="477" t="s">
        <v>629</v>
      </c>
      <c r="D26" s="477" t="s">
        <v>1004</v>
      </c>
      <c r="E26" s="477" t="s">
        <v>81</v>
      </c>
      <c r="F26" s="477"/>
      <c r="G26" s="485" t="n">
        <v>45540</v>
      </c>
      <c r="H26" s="490" t="s">
        <v>995</v>
      </c>
      <c r="I26" s="468" t="s">
        <v>1002</v>
      </c>
      <c r="J26" s="495" t="n">
        <v>61928</v>
      </c>
      <c r="K26" s="483" t="n">
        <v>61200</v>
      </c>
      <c r="L26" s="483" t="n">
        <f aca="false">J26-K26</f>
        <v>728</v>
      </c>
      <c r="M26" s="492" t="n">
        <v>62.24</v>
      </c>
      <c r="N26" s="492"/>
      <c r="O26" s="492"/>
      <c r="P26" s="490" t="s">
        <v>997</v>
      </c>
      <c r="Q26" s="491" t="s">
        <v>64</v>
      </c>
      <c r="R26" s="491" t="s">
        <v>91</v>
      </c>
      <c r="S26" s="477" t="s">
        <v>46</v>
      </c>
      <c r="T26" s="490" t="s">
        <v>64</v>
      </c>
      <c r="U26" s="509" t="n">
        <v>45667</v>
      </c>
    </row>
    <row r="27" customFormat="false" ht="43.25" hidden="false" customHeight="false" outlineLevel="0" collapsed="false">
      <c r="B27" s="465" t="n">
        <v>5</v>
      </c>
      <c r="C27" s="477" t="s">
        <v>155</v>
      </c>
      <c r="D27" s="477" t="s">
        <v>1005</v>
      </c>
      <c r="E27" s="477" t="s">
        <v>81</v>
      </c>
      <c r="F27" s="477"/>
      <c r="G27" s="485" t="n">
        <v>45593</v>
      </c>
      <c r="H27" s="505" t="s">
        <v>1006</v>
      </c>
      <c r="I27" s="477" t="s">
        <v>1007</v>
      </c>
      <c r="J27" s="495" t="n">
        <v>21060</v>
      </c>
      <c r="K27" s="483" t="n">
        <v>19500</v>
      </c>
      <c r="L27" s="483" t="n">
        <f aca="false">J27-K27</f>
        <v>1560</v>
      </c>
      <c r="M27" s="492" t="n">
        <v>54</v>
      </c>
      <c r="N27" s="492"/>
      <c r="O27" s="492"/>
      <c r="P27" s="490" t="s">
        <v>1008</v>
      </c>
      <c r="Q27" s="491" t="s">
        <v>64</v>
      </c>
      <c r="R27" s="491" t="s">
        <v>91</v>
      </c>
      <c r="S27" s="490" t="s">
        <v>46</v>
      </c>
      <c r="T27" s="490" t="s">
        <v>64</v>
      </c>
      <c r="U27" s="510" t="n">
        <v>45681</v>
      </c>
    </row>
    <row r="28" customFormat="false" ht="53.7" hidden="false" customHeight="false" outlineLevel="0" collapsed="false">
      <c r="B28" s="465" t="n">
        <v>6</v>
      </c>
      <c r="C28" s="477" t="s">
        <v>653</v>
      </c>
      <c r="D28" s="477" t="s">
        <v>1009</v>
      </c>
      <c r="E28" s="477" t="s">
        <v>81</v>
      </c>
      <c r="F28" s="477"/>
      <c r="G28" s="485" t="n">
        <v>45590</v>
      </c>
      <c r="H28" s="511" t="s">
        <v>1010</v>
      </c>
      <c r="I28" s="477" t="s">
        <v>1011</v>
      </c>
      <c r="J28" s="495" t="n">
        <v>118000</v>
      </c>
      <c r="K28" s="483" t="n">
        <v>91000</v>
      </c>
      <c r="L28" s="483" t="n">
        <f aca="false">J28-K28</f>
        <v>27000</v>
      </c>
      <c r="M28" s="492" t="n">
        <v>60.5</v>
      </c>
      <c r="N28" s="492"/>
      <c r="O28" s="492"/>
      <c r="P28" s="490" t="s">
        <v>84</v>
      </c>
      <c r="Q28" s="491" t="s">
        <v>64</v>
      </c>
      <c r="R28" s="491" t="s">
        <v>967</v>
      </c>
      <c r="S28" s="493" t="s">
        <v>1012</v>
      </c>
      <c r="T28" s="490" t="s">
        <v>141</v>
      </c>
      <c r="U28" s="510" t="n">
        <v>45687</v>
      </c>
    </row>
    <row r="29" customFormat="false" ht="53.7" hidden="false" customHeight="false" outlineLevel="0" collapsed="false">
      <c r="B29" s="465" t="n">
        <v>7</v>
      </c>
      <c r="C29" s="477" t="s">
        <v>1013</v>
      </c>
      <c r="D29" s="477" t="s">
        <v>1014</v>
      </c>
      <c r="E29" s="477" t="s">
        <v>81</v>
      </c>
      <c r="F29" s="477"/>
      <c r="G29" s="485" t="n">
        <v>45670</v>
      </c>
      <c r="H29" s="489" t="s">
        <v>1015</v>
      </c>
      <c r="I29" s="477" t="s">
        <v>1016</v>
      </c>
      <c r="J29" s="495" t="n">
        <v>12000</v>
      </c>
      <c r="K29" s="483" t="n">
        <v>10000</v>
      </c>
      <c r="L29" s="483" t="n">
        <f aca="false">J29-K29</f>
        <v>2000</v>
      </c>
      <c r="M29" s="492" t="n">
        <f aca="false">55000/2161</f>
        <v>25.451180009255</v>
      </c>
      <c r="N29" s="492"/>
      <c r="O29" s="492"/>
      <c r="P29" s="512" t="s">
        <v>64</v>
      </c>
      <c r="Q29" s="491" t="s">
        <v>64</v>
      </c>
      <c r="R29" s="491" t="s">
        <v>967</v>
      </c>
      <c r="S29" s="466" t="s">
        <v>1017</v>
      </c>
      <c r="T29" s="490" t="s">
        <v>78</v>
      </c>
      <c r="U29" s="510" t="n">
        <v>45684</v>
      </c>
    </row>
    <row r="30" customFormat="false" ht="43.25" hidden="false" customHeight="false" outlineLevel="0" collapsed="false">
      <c r="B30" s="465" t="n">
        <v>8</v>
      </c>
      <c r="C30" s="477" t="s">
        <v>232</v>
      </c>
      <c r="D30" s="477" t="s">
        <v>1018</v>
      </c>
      <c r="E30" s="477" t="s">
        <v>81</v>
      </c>
      <c r="F30" s="477"/>
      <c r="G30" s="485" t="n">
        <v>45593</v>
      </c>
      <c r="H30" s="505" t="s">
        <v>1019</v>
      </c>
      <c r="I30" s="477" t="s">
        <v>1020</v>
      </c>
      <c r="J30" s="495" t="n">
        <v>22069</v>
      </c>
      <c r="K30" s="483" t="n">
        <v>17100</v>
      </c>
      <c r="L30" s="483" t="n">
        <f aca="false">J30-K30</f>
        <v>4969</v>
      </c>
      <c r="M30" s="492" t="n">
        <v>56</v>
      </c>
      <c r="N30" s="492"/>
      <c r="O30" s="492"/>
      <c r="P30" s="490" t="s">
        <v>84</v>
      </c>
      <c r="Q30" s="491" t="s">
        <v>64</v>
      </c>
      <c r="R30" s="491" t="s">
        <v>967</v>
      </c>
      <c r="S30" s="477" t="s">
        <v>1021</v>
      </c>
      <c r="T30" s="490" t="s">
        <v>146</v>
      </c>
      <c r="U30" s="510" t="n">
        <v>45702</v>
      </c>
    </row>
    <row r="31" customFormat="false" ht="43.25" hidden="false" customHeight="false" outlineLevel="0" collapsed="false">
      <c r="B31" s="465" t="n">
        <v>9</v>
      </c>
      <c r="C31" s="477" t="s">
        <v>1022</v>
      </c>
      <c r="D31" s="477" t="s">
        <v>1023</v>
      </c>
      <c r="E31" s="477" t="s">
        <v>81</v>
      </c>
      <c r="F31" s="477"/>
      <c r="G31" s="485" t="n">
        <v>45635</v>
      </c>
      <c r="H31" s="505" t="s">
        <v>1024</v>
      </c>
      <c r="I31" s="477" t="s">
        <v>1025</v>
      </c>
      <c r="J31" s="495" t="n">
        <v>15000</v>
      </c>
      <c r="K31" s="483" t="n">
        <v>23900</v>
      </c>
      <c r="L31" s="483" t="n">
        <f aca="false">J31-K31</f>
        <v>-8900</v>
      </c>
      <c r="M31" s="492" t="n">
        <v>36</v>
      </c>
      <c r="N31" s="492"/>
      <c r="O31" s="492"/>
      <c r="P31" s="490" t="s">
        <v>1026</v>
      </c>
      <c r="Q31" s="491" t="s">
        <v>64</v>
      </c>
      <c r="R31" s="491" t="s">
        <v>967</v>
      </c>
      <c r="S31" s="466" t="s">
        <v>1027</v>
      </c>
      <c r="T31" s="490" t="s">
        <v>78</v>
      </c>
      <c r="U31" s="510" t="n">
        <v>45702</v>
      </c>
    </row>
    <row r="32" customFormat="false" ht="74.6" hidden="false" customHeight="false" outlineLevel="0" collapsed="false">
      <c r="B32" s="465" t="n">
        <v>10</v>
      </c>
      <c r="C32" s="477" t="s">
        <v>246</v>
      </c>
      <c r="D32" s="477" t="s">
        <v>1028</v>
      </c>
      <c r="E32" s="477" t="s">
        <v>81</v>
      </c>
      <c r="F32" s="477"/>
      <c r="G32" s="485" t="n">
        <v>45646</v>
      </c>
      <c r="H32" s="505" t="s">
        <v>1029</v>
      </c>
      <c r="I32" s="477" t="s">
        <v>1007</v>
      </c>
      <c r="J32" s="495" t="n">
        <v>375000</v>
      </c>
      <c r="K32" s="483" t="n">
        <v>337100</v>
      </c>
      <c r="L32" s="483" t="n">
        <f aca="false">J32-K32</f>
        <v>37900</v>
      </c>
      <c r="M32" s="492" t="n">
        <v>75.63</v>
      </c>
      <c r="N32" s="492"/>
      <c r="O32" s="492"/>
      <c r="P32" s="513" t="s">
        <v>1030</v>
      </c>
      <c r="Q32" s="491" t="s">
        <v>64</v>
      </c>
      <c r="R32" s="491" t="s">
        <v>967</v>
      </c>
      <c r="S32" s="477" t="s">
        <v>1031</v>
      </c>
      <c r="T32" s="490" t="s">
        <v>64</v>
      </c>
      <c r="U32" s="510" t="n">
        <v>45702</v>
      </c>
    </row>
    <row r="33" customFormat="false" ht="64.15" hidden="false" customHeight="false" outlineLevel="0" collapsed="false">
      <c r="B33" s="465" t="n">
        <v>11</v>
      </c>
      <c r="C33" s="477" t="s">
        <v>1032</v>
      </c>
      <c r="D33" s="477" t="s">
        <v>1033</v>
      </c>
      <c r="E33" s="477" t="s">
        <v>81</v>
      </c>
      <c r="F33" s="477"/>
      <c r="G33" s="485" t="n">
        <v>45464</v>
      </c>
      <c r="H33" s="490" t="s">
        <v>1034</v>
      </c>
      <c r="I33" s="468" t="s">
        <v>1035</v>
      </c>
      <c r="J33" s="495" t="n">
        <v>700000</v>
      </c>
      <c r="K33" s="514" t="n">
        <v>750000</v>
      </c>
      <c r="L33" s="483" t="n">
        <f aca="false">J33-K33</f>
        <v>-50000</v>
      </c>
      <c r="M33" s="483" t="n">
        <v>71</v>
      </c>
      <c r="N33" s="483"/>
      <c r="O33" s="483"/>
      <c r="P33" s="490" t="s">
        <v>84</v>
      </c>
      <c r="Q33" s="491" t="s">
        <v>64</v>
      </c>
      <c r="R33" s="491" t="s">
        <v>967</v>
      </c>
      <c r="S33" s="477" t="s">
        <v>1036</v>
      </c>
      <c r="T33" s="490" t="s">
        <v>146</v>
      </c>
      <c r="U33" s="510" t="n">
        <v>45709</v>
      </c>
    </row>
    <row r="34" customFormat="false" ht="64.15" hidden="false" customHeight="false" outlineLevel="0" collapsed="false">
      <c r="B34" s="465" t="n">
        <v>12</v>
      </c>
      <c r="C34" s="477" t="s">
        <v>973</v>
      </c>
      <c r="D34" s="477" t="s">
        <v>1037</v>
      </c>
      <c r="E34" s="477" t="s">
        <v>81</v>
      </c>
      <c r="F34" s="477"/>
      <c r="G34" s="485" t="n">
        <v>45625</v>
      </c>
      <c r="H34" s="505" t="s">
        <v>1038</v>
      </c>
      <c r="I34" s="477" t="s">
        <v>1039</v>
      </c>
      <c r="J34" s="495" t="n">
        <v>20000</v>
      </c>
      <c r="K34" s="483" t="n">
        <v>17073</v>
      </c>
      <c r="L34" s="483" t="n">
        <f aca="false">J34-K34</f>
        <v>2927</v>
      </c>
      <c r="M34" s="492" t="n">
        <v>61.54</v>
      </c>
      <c r="N34" s="492"/>
      <c r="O34" s="492"/>
      <c r="P34" s="490" t="s">
        <v>76</v>
      </c>
      <c r="Q34" s="491" t="s">
        <v>64</v>
      </c>
      <c r="R34" s="491" t="s">
        <v>967</v>
      </c>
      <c r="S34" s="466" t="s">
        <v>1040</v>
      </c>
      <c r="T34" s="490" t="s">
        <v>141</v>
      </c>
      <c r="U34" s="510" t="n">
        <v>45709</v>
      </c>
    </row>
    <row r="35" customFormat="false" ht="43.25" hidden="false" customHeight="false" outlineLevel="0" collapsed="false">
      <c r="B35" s="465" t="n">
        <v>13</v>
      </c>
      <c r="C35" s="477" t="s">
        <v>1041</v>
      </c>
      <c r="D35" s="477" t="s">
        <v>1042</v>
      </c>
      <c r="E35" s="477" t="s">
        <v>81</v>
      </c>
      <c r="F35" s="477"/>
      <c r="G35" s="485" t="n">
        <v>45678</v>
      </c>
      <c r="H35" s="489" t="s">
        <v>1043</v>
      </c>
      <c r="I35" s="477" t="s">
        <v>1044</v>
      </c>
      <c r="J35" s="495" t="n">
        <v>59583</v>
      </c>
      <c r="K35" s="483" t="n">
        <v>45800</v>
      </c>
      <c r="L35" s="483" t="n">
        <f aca="false">J35-K35</f>
        <v>13783</v>
      </c>
      <c r="M35" s="515" t="n">
        <v>58.5</v>
      </c>
      <c r="N35" s="515"/>
      <c r="O35" s="515"/>
      <c r="P35" s="512" t="s">
        <v>1045</v>
      </c>
      <c r="Q35" s="491" t="s">
        <v>1046</v>
      </c>
      <c r="R35" s="491" t="s">
        <v>91</v>
      </c>
      <c r="S35" s="466" t="s">
        <v>1047</v>
      </c>
      <c r="T35" s="490" t="s">
        <v>78</v>
      </c>
      <c r="U35" s="510" t="n">
        <v>45716</v>
      </c>
    </row>
    <row r="36" customFormat="false" ht="43.25" hidden="false" customHeight="false" outlineLevel="0" collapsed="false">
      <c r="B36" s="465" t="n">
        <v>14</v>
      </c>
      <c r="C36" s="477" t="s">
        <v>1041</v>
      </c>
      <c r="D36" s="477" t="s">
        <v>1048</v>
      </c>
      <c r="E36" s="477" t="s">
        <v>81</v>
      </c>
      <c r="F36" s="477"/>
      <c r="G36" s="485" t="n">
        <v>45678</v>
      </c>
      <c r="H36" s="489" t="s">
        <v>1043</v>
      </c>
      <c r="I36" s="477" t="s">
        <v>1044</v>
      </c>
      <c r="J36" s="495" t="n">
        <v>35857</v>
      </c>
      <c r="K36" s="483" t="n">
        <v>27600</v>
      </c>
      <c r="L36" s="483" t="n">
        <f aca="false">J36-K36</f>
        <v>8257</v>
      </c>
      <c r="M36" s="515" t="n">
        <v>58.5</v>
      </c>
      <c r="N36" s="515"/>
      <c r="O36" s="515"/>
      <c r="P36" s="512" t="s">
        <v>1045</v>
      </c>
      <c r="Q36" s="491" t="s">
        <v>1046</v>
      </c>
      <c r="R36" s="491" t="s">
        <v>91</v>
      </c>
      <c r="S36" s="466" t="s">
        <v>1047</v>
      </c>
      <c r="T36" s="490" t="s">
        <v>78</v>
      </c>
      <c r="U36" s="510" t="n">
        <v>45716</v>
      </c>
    </row>
    <row r="37" customFormat="false" ht="105.95" hidden="false" customHeight="false" outlineLevel="0" collapsed="false">
      <c r="B37" s="465" t="n">
        <v>15</v>
      </c>
      <c r="C37" s="477" t="s">
        <v>224</v>
      </c>
      <c r="D37" s="477" t="s">
        <v>1049</v>
      </c>
      <c r="E37" s="477" t="s">
        <v>81</v>
      </c>
      <c r="F37" s="477"/>
      <c r="G37" s="485" t="n">
        <v>45510</v>
      </c>
      <c r="H37" s="490" t="s">
        <v>1050</v>
      </c>
      <c r="I37" s="468" t="s">
        <v>925</v>
      </c>
      <c r="J37" s="495" t="n">
        <v>325000</v>
      </c>
      <c r="K37" s="483" t="n">
        <v>225000</v>
      </c>
      <c r="L37" s="483" t="n">
        <f aca="false">J37-K37</f>
        <v>100000</v>
      </c>
      <c r="M37" s="483" t="n">
        <v>56.32</v>
      </c>
      <c r="N37" s="483"/>
      <c r="O37" s="483"/>
      <c r="P37" s="490" t="s">
        <v>84</v>
      </c>
      <c r="Q37" s="491" t="s">
        <v>55</v>
      </c>
      <c r="R37" s="491" t="s">
        <v>91</v>
      </c>
      <c r="S37" s="477" t="s">
        <v>1051</v>
      </c>
      <c r="T37" s="490" t="s">
        <v>64</v>
      </c>
      <c r="U37" s="510" t="n">
        <v>45716</v>
      </c>
    </row>
    <row r="38" customFormat="false" ht="43.25" hidden="false" customHeight="false" outlineLevel="0" collapsed="false">
      <c r="B38" s="465" t="n">
        <v>16</v>
      </c>
      <c r="C38" s="477" t="s">
        <v>1052</v>
      </c>
      <c r="D38" s="477" t="s">
        <v>1053</v>
      </c>
      <c r="E38" s="477" t="s">
        <v>81</v>
      </c>
      <c r="F38" s="477"/>
      <c r="G38" s="485" t="n">
        <v>45553</v>
      </c>
      <c r="H38" s="490" t="s">
        <v>1054</v>
      </c>
      <c r="I38" s="477" t="s">
        <v>1055</v>
      </c>
      <c r="J38" s="495" t="n">
        <v>128000</v>
      </c>
      <c r="K38" s="483" t="n">
        <v>110000</v>
      </c>
      <c r="L38" s="483" t="n">
        <f aca="false">J38-K38</f>
        <v>18000</v>
      </c>
      <c r="M38" s="483" t="n">
        <f aca="false">J38/2333</f>
        <v>54.8649807115302</v>
      </c>
      <c r="N38" s="483"/>
      <c r="O38" s="483"/>
      <c r="P38" s="490" t="s">
        <v>84</v>
      </c>
      <c r="Q38" s="491" t="s">
        <v>64</v>
      </c>
      <c r="R38" s="491" t="s">
        <v>967</v>
      </c>
      <c r="S38" s="477" t="s">
        <v>1056</v>
      </c>
      <c r="T38" s="490" t="s">
        <v>64</v>
      </c>
      <c r="U38" s="510" t="n">
        <v>45736</v>
      </c>
    </row>
    <row r="39" customFormat="false" ht="53.7" hidden="false" customHeight="false" outlineLevel="0" collapsed="false">
      <c r="B39" s="465" t="n">
        <v>17</v>
      </c>
      <c r="C39" s="477" t="s">
        <v>398</v>
      </c>
      <c r="D39" s="477" t="s">
        <v>1057</v>
      </c>
      <c r="E39" s="477" t="s">
        <v>81</v>
      </c>
      <c r="F39" s="477"/>
      <c r="G39" s="485" t="n">
        <v>45674</v>
      </c>
      <c r="H39" s="505" t="s">
        <v>1058</v>
      </c>
      <c r="I39" s="477" t="s">
        <v>1007</v>
      </c>
      <c r="J39" s="495" t="n">
        <v>19950</v>
      </c>
      <c r="K39" s="483" t="n">
        <v>17500</v>
      </c>
      <c r="L39" s="483" t="n">
        <f aca="false">J39-K39</f>
        <v>2450</v>
      </c>
      <c r="M39" s="492" t="n">
        <v>57</v>
      </c>
      <c r="N39" s="492"/>
      <c r="O39" s="492"/>
      <c r="P39" s="512" t="s">
        <v>1045</v>
      </c>
      <c r="Q39" s="491" t="s">
        <v>64</v>
      </c>
      <c r="R39" s="491" t="s">
        <v>91</v>
      </c>
      <c r="S39" s="490" t="s">
        <v>1059</v>
      </c>
      <c r="T39" s="490" t="s">
        <v>936</v>
      </c>
      <c r="U39" s="509" t="n">
        <v>45744</v>
      </c>
    </row>
    <row r="40" customFormat="false" ht="43.25" hidden="false" customHeight="false" outlineLevel="0" collapsed="false">
      <c r="B40" s="465" t="n">
        <v>18</v>
      </c>
      <c r="C40" s="477" t="s">
        <v>1060</v>
      </c>
      <c r="D40" s="477" t="s">
        <v>1061</v>
      </c>
      <c r="E40" s="477" t="s">
        <v>81</v>
      </c>
      <c r="F40" s="477"/>
      <c r="G40" s="485" t="n">
        <v>45624</v>
      </c>
      <c r="H40" s="505" t="s">
        <v>1062</v>
      </c>
      <c r="I40" s="477" t="s">
        <v>1011</v>
      </c>
      <c r="J40" s="495" t="n">
        <v>90000</v>
      </c>
      <c r="K40" s="483" t="n">
        <v>90000</v>
      </c>
      <c r="L40" s="483" t="n">
        <f aca="false">J40-K40</f>
        <v>0</v>
      </c>
      <c r="M40" s="492" t="n">
        <v>63</v>
      </c>
      <c r="N40" s="492"/>
      <c r="O40" s="492"/>
      <c r="P40" s="490" t="s">
        <v>1063</v>
      </c>
      <c r="Q40" s="491" t="s">
        <v>64</v>
      </c>
      <c r="R40" s="491" t="s">
        <v>91</v>
      </c>
      <c r="S40" s="466" t="s">
        <v>1064</v>
      </c>
      <c r="T40" s="490" t="s">
        <v>146</v>
      </c>
      <c r="U40" s="509" t="n">
        <v>45749</v>
      </c>
    </row>
    <row r="41" customFormat="false" ht="64.15" hidden="false" customHeight="false" outlineLevel="0" collapsed="false">
      <c r="B41" s="465" t="n">
        <v>19</v>
      </c>
      <c r="C41" s="477" t="s">
        <v>973</v>
      </c>
      <c r="D41" s="477" t="s">
        <v>1065</v>
      </c>
      <c r="E41" s="477" t="s">
        <v>81</v>
      </c>
      <c r="F41" s="477"/>
      <c r="G41" s="485" t="n">
        <v>45700</v>
      </c>
      <c r="H41" s="505" t="s">
        <v>1066</v>
      </c>
      <c r="I41" s="477" t="s">
        <v>1067</v>
      </c>
      <c r="J41" s="495" t="n">
        <v>86450</v>
      </c>
      <c r="K41" s="483" t="n">
        <v>78200</v>
      </c>
      <c r="L41" s="483" t="n">
        <f aca="false">J41-K41</f>
        <v>8250</v>
      </c>
      <c r="M41" s="515" t="n">
        <v>65</v>
      </c>
      <c r="N41" s="515"/>
      <c r="O41" s="515"/>
      <c r="P41" s="512" t="s">
        <v>1068</v>
      </c>
      <c r="Q41" s="491" t="s">
        <v>64</v>
      </c>
      <c r="R41" s="491" t="s">
        <v>91</v>
      </c>
      <c r="S41" s="466" t="s">
        <v>1069</v>
      </c>
      <c r="T41" s="490" t="s">
        <v>141</v>
      </c>
      <c r="U41" s="509" t="n">
        <v>45762</v>
      </c>
    </row>
    <row r="42" customFormat="false" ht="53.7" hidden="false" customHeight="false" outlineLevel="0" collapsed="false">
      <c r="B42" s="465" t="n">
        <v>20</v>
      </c>
      <c r="C42" s="477" t="s">
        <v>1070</v>
      </c>
      <c r="D42" s="477" t="s">
        <v>1071</v>
      </c>
      <c r="E42" s="477" t="s">
        <v>81</v>
      </c>
      <c r="F42" s="477"/>
      <c r="G42" s="485" t="n">
        <v>45744</v>
      </c>
      <c r="H42" s="505" t="s">
        <v>1072</v>
      </c>
      <c r="I42" s="477" t="s">
        <v>1073</v>
      </c>
      <c r="J42" s="495" t="n">
        <v>28607</v>
      </c>
      <c r="K42" s="483" t="n">
        <v>28100</v>
      </c>
      <c r="L42" s="483" t="n">
        <f aca="false">J42-K42</f>
        <v>507</v>
      </c>
      <c r="M42" s="515" t="n">
        <v>58.5</v>
      </c>
      <c r="N42" s="515"/>
      <c r="O42" s="515"/>
      <c r="P42" s="512" t="s">
        <v>84</v>
      </c>
      <c r="Q42" s="491" t="s">
        <v>1046</v>
      </c>
      <c r="R42" s="491" t="s">
        <v>91</v>
      </c>
      <c r="S42" s="466" t="s">
        <v>1074</v>
      </c>
      <c r="T42" s="490" t="s">
        <v>78</v>
      </c>
      <c r="U42" s="509" t="n">
        <v>45770</v>
      </c>
    </row>
    <row r="43" customFormat="false" ht="43.25" hidden="false" customHeight="false" outlineLevel="0" collapsed="false">
      <c r="B43" s="465" t="n">
        <v>21</v>
      </c>
      <c r="C43" s="477" t="s">
        <v>181</v>
      </c>
      <c r="D43" s="477" t="s">
        <v>1075</v>
      </c>
      <c r="E43" s="477" t="s">
        <v>81</v>
      </c>
      <c r="F43" s="477"/>
      <c r="G43" s="485" t="n">
        <v>45733</v>
      </c>
      <c r="H43" s="505" t="s">
        <v>616</v>
      </c>
      <c r="I43" s="477" t="s">
        <v>1076</v>
      </c>
      <c r="J43" s="495" t="n">
        <v>361250</v>
      </c>
      <c r="K43" s="483" t="n">
        <v>358600</v>
      </c>
      <c r="L43" s="483" t="n">
        <f aca="false">J43-K43</f>
        <v>2650</v>
      </c>
      <c r="M43" s="515" t="n">
        <f aca="false">J43/4250</f>
        <v>85</v>
      </c>
      <c r="N43" s="515"/>
      <c r="O43" s="515"/>
      <c r="P43" s="512" t="s">
        <v>1077</v>
      </c>
      <c r="Q43" s="491" t="s">
        <v>64</v>
      </c>
      <c r="R43" s="491" t="s">
        <v>967</v>
      </c>
      <c r="S43" s="477" t="s">
        <v>1078</v>
      </c>
      <c r="T43" s="490" t="s">
        <v>146</v>
      </c>
      <c r="U43" s="509" t="n">
        <v>45791</v>
      </c>
    </row>
    <row r="44" customFormat="false" ht="74.6" hidden="false" customHeight="false" outlineLevel="0" collapsed="false">
      <c r="B44" s="465" t="n">
        <v>22</v>
      </c>
      <c r="C44" s="477" t="s">
        <v>1079</v>
      </c>
      <c r="D44" s="477" t="s">
        <v>1080</v>
      </c>
      <c r="E44" s="477" t="s">
        <v>81</v>
      </c>
      <c r="F44" s="477"/>
      <c r="G44" s="485" t="n">
        <v>45527</v>
      </c>
      <c r="H44" s="490" t="s">
        <v>1081</v>
      </c>
      <c r="I44" s="468" t="s">
        <v>1082</v>
      </c>
      <c r="J44" s="516" t="n">
        <v>705000</v>
      </c>
      <c r="K44" s="483" t="n">
        <v>616000</v>
      </c>
      <c r="L44" s="483" t="n">
        <f aca="false">J44-K44</f>
        <v>89000</v>
      </c>
      <c r="M44" s="483" t="n">
        <v>135</v>
      </c>
      <c r="N44" s="483"/>
      <c r="O44" s="483"/>
      <c r="P44" s="490" t="s">
        <v>1083</v>
      </c>
      <c r="Q44" s="491" t="s">
        <v>64</v>
      </c>
      <c r="R44" s="491" t="s">
        <v>967</v>
      </c>
      <c r="S44" s="477" t="s">
        <v>46</v>
      </c>
      <c r="T44" s="490" t="s">
        <v>78</v>
      </c>
      <c r="U44" s="509" t="n">
        <v>45807</v>
      </c>
    </row>
    <row r="45" customFormat="false" ht="64.15" hidden="false" customHeight="false" outlineLevel="0" collapsed="false">
      <c r="B45" s="465" t="n">
        <v>23</v>
      </c>
      <c r="C45" s="477" t="s">
        <v>931</v>
      </c>
      <c r="D45" s="477" t="s">
        <v>1084</v>
      </c>
      <c r="E45" s="477" t="s">
        <v>81</v>
      </c>
      <c r="F45" s="477"/>
      <c r="G45" s="485" t="n">
        <v>45709</v>
      </c>
      <c r="H45" s="505" t="s">
        <v>1085</v>
      </c>
      <c r="I45" s="477" t="s">
        <v>1086</v>
      </c>
      <c r="J45" s="495" t="n">
        <v>231000</v>
      </c>
      <c r="K45" s="483" t="n">
        <v>193000</v>
      </c>
      <c r="L45" s="483" t="n">
        <f aca="false">J45-K45</f>
        <v>38000</v>
      </c>
      <c r="M45" s="515" t="n">
        <v>70</v>
      </c>
      <c r="N45" s="515"/>
      <c r="O45" s="515"/>
      <c r="P45" s="512" t="s">
        <v>84</v>
      </c>
      <c r="Q45" s="491" t="s">
        <v>64</v>
      </c>
      <c r="R45" s="491" t="s">
        <v>967</v>
      </c>
      <c r="S45" s="466" t="s">
        <v>926</v>
      </c>
      <c r="T45" s="490" t="s">
        <v>141</v>
      </c>
      <c r="U45" s="509" t="n">
        <v>45807</v>
      </c>
    </row>
    <row r="46" customFormat="false" ht="73.5" hidden="false" customHeight="true" outlineLevel="0" collapsed="false">
      <c r="B46" s="465" t="n">
        <v>24</v>
      </c>
      <c r="C46" s="477" t="s">
        <v>1087</v>
      </c>
      <c r="D46" s="477" t="s">
        <v>1088</v>
      </c>
      <c r="E46" s="477" t="s">
        <v>81</v>
      </c>
      <c r="F46" s="477"/>
      <c r="G46" s="485" t="n">
        <v>45772</v>
      </c>
      <c r="H46" s="505" t="s">
        <v>1072</v>
      </c>
      <c r="I46" s="477" t="s">
        <v>1089</v>
      </c>
      <c r="J46" s="495" t="n">
        <v>55000</v>
      </c>
      <c r="K46" s="483" t="n">
        <v>53600</v>
      </c>
      <c r="L46" s="483" t="n">
        <f aca="false">J46-K46</f>
        <v>1400</v>
      </c>
      <c r="M46" s="515" t="n">
        <v>36.2</v>
      </c>
      <c r="N46" s="515"/>
      <c r="O46" s="515"/>
      <c r="P46" s="512" t="s">
        <v>960</v>
      </c>
      <c r="Q46" s="491" t="s">
        <v>64</v>
      </c>
      <c r="R46" s="491" t="s">
        <v>91</v>
      </c>
      <c r="S46" s="466" t="s">
        <v>1090</v>
      </c>
      <c r="T46" s="517" t="s">
        <v>78</v>
      </c>
      <c r="U46" s="509" t="n">
        <v>45834</v>
      </c>
    </row>
    <row r="47" customFormat="false" ht="90" hidden="false" customHeight="true" outlineLevel="0" collapsed="false">
      <c r="B47" s="465" t="n">
        <v>25</v>
      </c>
      <c r="C47" s="477" t="s">
        <v>1087</v>
      </c>
      <c r="D47" s="477" t="s">
        <v>1091</v>
      </c>
      <c r="E47" s="477" t="s">
        <v>81</v>
      </c>
      <c r="F47" s="477"/>
      <c r="G47" s="485" t="n">
        <v>45699</v>
      </c>
      <c r="H47" s="505" t="s">
        <v>1092</v>
      </c>
      <c r="I47" s="477" t="s">
        <v>1093</v>
      </c>
      <c r="J47" s="495" t="n">
        <v>90600</v>
      </c>
      <c r="K47" s="483" t="n">
        <v>90600</v>
      </c>
      <c r="L47" s="483" t="n">
        <f aca="false">J47-K47</f>
        <v>0</v>
      </c>
      <c r="M47" s="515" t="n">
        <v>59</v>
      </c>
      <c r="N47" s="515"/>
      <c r="O47" s="515"/>
      <c r="P47" s="512" t="s">
        <v>84</v>
      </c>
      <c r="Q47" s="491" t="s">
        <v>1046</v>
      </c>
      <c r="R47" s="491" t="s">
        <v>91</v>
      </c>
      <c r="S47" s="466" t="s">
        <v>1094</v>
      </c>
      <c r="T47" s="490" t="s">
        <v>78</v>
      </c>
      <c r="U47" s="518" t="n">
        <v>45835</v>
      </c>
    </row>
    <row r="48" customFormat="false" ht="43.25" hidden="false" customHeight="false" outlineLevel="0" collapsed="false">
      <c r="B48" s="465" t="n">
        <v>26</v>
      </c>
      <c r="C48" s="519" t="s">
        <v>405</v>
      </c>
      <c r="D48" s="520" t="s">
        <v>50</v>
      </c>
      <c r="E48" s="521" t="s">
        <v>81</v>
      </c>
      <c r="F48" s="522" t="n">
        <v>1922</v>
      </c>
      <c r="G48" s="523" t="n">
        <v>45702</v>
      </c>
      <c r="H48" s="524" t="s">
        <v>1095</v>
      </c>
      <c r="I48" s="525" t="s">
        <v>1096</v>
      </c>
      <c r="J48" s="526" t="n">
        <v>132000</v>
      </c>
      <c r="K48" s="527" t="n">
        <v>0</v>
      </c>
      <c r="L48" s="528" t="n">
        <f aca="false">J48-K48</f>
        <v>132000</v>
      </c>
      <c r="M48" s="529" t="n">
        <v>69</v>
      </c>
      <c r="N48" s="530" t="n">
        <v>126000</v>
      </c>
      <c r="O48" s="531" t="n">
        <f aca="false">100000/F48</f>
        <v>52.0291363163372</v>
      </c>
      <c r="P48" s="532" t="s">
        <v>1097</v>
      </c>
      <c r="Q48" s="533" t="s">
        <v>64</v>
      </c>
      <c r="R48" s="533" t="s">
        <v>91</v>
      </c>
      <c r="S48" s="519" t="s">
        <v>1098</v>
      </c>
      <c r="T48" s="534" t="s">
        <v>64</v>
      </c>
      <c r="U48" s="518" t="n">
        <v>45849</v>
      </c>
    </row>
    <row r="49" customFormat="false" ht="35.05" hidden="false" customHeight="false" outlineLevel="0" collapsed="false">
      <c r="B49" s="465" t="n">
        <v>27</v>
      </c>
      <c r="C49" s="519" t="s">
        <v>155</v>
      </c>
      <c r="D49" s="534" t="s">
        <v>80</v>
      </c>
      <c r="E49" s="521" t="s">
        <v>81</v>
      </c>
      <c r="F49" s="522" t="n">
        <v>2610</v>
      </c>
      <c r="G49" s="523" t="n">
        <v>45805</v>
      </c>
      <c r="H49" s="524" t="s">
        <v>1099</v>
      </c>
      <c r="I49" s="525" t="s">
        <v>1100</v>
      </c>
      <c r="J49" s="526" t="n">
        <v>151960</v>
      </c>
      <c r="K49" s="527" t="n">
        <v>0</v>
      </c>
      <c r="L49" s="528" t="n">
        <f aca="false">J49-K49</f>
        <v>151960</v>
      </c>
      <c r="M49" s="529" t="n">
        <v>58</v>
      </c>
      <c r="N49" s="530" t="n">
        <v>169700</v>
      </c>
      <c r="O49" s="531" t="n">
        <f aca="false">169700/F49</f>
        <v>65.0191570881226</v>
      </c>
      <c r="P49" s="532" t="s">
        <v>1101</v>
      </c>
      <c r="Q49" s="533" t="s">
        <v>64</v>
      </c>
      <c r="R49" s="533" t="s">
        <v>91</v>
      </c>
      <c r="S49" s="519" t="s">
        <v>1098</v>
      </c>
      <c r="T49" s="534" t="s">
        <v>64</v>
      </c>
      <c r="U49" s="518" t="n">
        <v>45849</v>
      </c>
    </row>
    <row r="50" customFormat="false" ht="32.8" hidden="false" customHeight="false" outlineLevel="0" collapsed="false">
      <c r="B50" s="465" t="n">
        <v>28</v>
      </c>
      <c r="C50" s="505" t="s">
        <v>398</v>
      </c>
      <c r="D50" s="505" t="s">
        <v>285</v>
      </c>
      <c r="E50" s="490" t="s">
        <v>81</v>
      </c>
      <c r="F50" s="535" t="n">
        <v>375</v>
      </c>
      <c r="G50" s="536" t="n">
        <v>45859</v>
      </c>
      <c r="H50" s="505" t="s">
        <v>1102</v>
      </c>
      <c r="I50" s="537" t="s">
        <v>153</v>
      </c>
      <c r="J50" s="538" t="n">
        <v>21000</v>
      </c>
      <c r="K50" s="538"/>
      <c r="L50" s="539"/>
      <c r="M50" s="540" t="n">
        <v>56</v>
      </c>
      <c r="N50" s="540"/>
      <c r="O50" s="541"/>
      <c r="P50" s="542" t="s">
        <v>985</v>
      </c>
      <c r="Q50" s="542" t="s">
        <v>64</v>
      </c>
      <c r="R50" s="542" t="s">
        <v>56</v>
      </c>
      <c r="S50" s="489" t="s">
        <v>1103</v>
      </c>
      <c r="T50" s="505" t="s">
        <v>936</v>
      </c>
      <c r="U50" s="506" t="n">
        <v>45891</v>
      </c>
    </row>
    <row r="51" customFormat="false" ht="35.05" hidden="false" customHeight="false" outlineLevel="0" collapsed="false">
      <c r="B51" s="465" t="n">
        <v>29</v>
      </c>
      <c r="C51" s="505" t="s">
        <v>122</v>
      </c>
      <c r="D51" s="534" t="s">
        <v>1104</v>
      </c>
      <c r="E51" s="543" t="s">
        <v>81</v>
      </c>
      <c r="F51" s="544" t="n">
        <v>2160</v>
      </c>
      <c r="G51" s="523" t="n">
        <v>45786</v>
      </c>
      <c r="H51" s="524" t="s">
        <v>1105</v>
      </c>
      <c r="I51" s="525" t="s">
        <v>90</v>
      </c>
      <c r="J51" s="545" t="n">
        <v>70000</v>
      </c>
      <c r="K51" s="546" t="n">
        <v>0</v>
      </c>
      <c r="L51" s="100" t="n">
        <f aca="false">J51-K51</f>
        <v>70000</v>
      </c>
      <c r="M51" s="101" t="n">
        <f aca="false">J51/F51</f>
        <v>32.4074074074074</v>
      </c>
      <c r="N51" s="100" t="n">
        <v>53800</v>
      </c>
      <c r="O51" s="547" t="n">
        <f aca="false">54000/F51</f>
        <v>25</v>
      </c>
      <c r="P51" s="532" t="s">
        <v>84</v>
      </c>
      <c r="Q51" s="533" t="s">
        <v>64</v>
      </c>
      <c r="R51" s="533" t="s">
        <v>1106</v>
      </c>
      <c r="S51" s="548" t="s">
        <v>1107</v>
      </c>
      <c r="T51" s="534" t="s">
        <v>110</v>
      </c>
      <c r="U51" s="506" t="n">
        <v>45887</v>
      </c>
    </row>
    <row r="52" customFormat="false" ht="46.25" hidden="false" customHeight="false" outlineLevel="0" collapsed="false">
      <c r="B52" s="465" t="n">
        <v>30</v>
      </c>
      <c r="C52" s="525" t="s">
        <v>232</v>
      </c>
      <c r="D52" s="534" t="s">
        <v>205</v>
      </c>
      <c r="E52" s="543" t="s">
        <v>81</v>
      </c>
      <c r="F52" s="544" t="n">
        <v>325</v>
      </c>
      <c r="G52" s="523" t="n">
        <v>45862</v>
      </c>
      <c r="H52" s="524" t="s">
        <v>1108</v>
      </c>
      <c r="I52" s="525" t="s">
        <v>1109</v>
      </c>
      <c r="J52" s="545" t="n">
        <v>17000</v>
      </c>
      <c r="K52" s="546" t="n">
        <v>0</v>
      </c>
      <c r="L52" s="100" t="n">
        <f aca="false">J52-K52</f>
        <v>17000</v>
      </c>
      <c r="M52" s="101" t="n">
        <f aca="false">J52/F52</f>
        <v>52.3076923076923</v>
      </c>
      <c r="N52" s="101" t="n">
        <f aca="false">K52/F52</f>
        <v>0</v>
      </c>
      <c r="O52" s="547" t="n">
        <v>52.3</v>
      </c>
      <c r="P52" s="532" t="s">
        <v>84</v>
      </c>
      <c r="Q52" s="533" t="s">
        <v>64</v>
      </c>
      <c r="R52" s="533" t="s">
        <v>967</v>
      </c>
      <c r="S52" s="548" t="s">
        <v>1110</v>
      </c>
      <c r="T52" s="534" t="s">
        <v>110</v>
      </c>
      <c r="U52" s="506" t="n">
        <v>45905</v>
      </c>
    </row>
    <row r="53" customFormat="false" ht="46.25" hidden="false" customHeight="false" outlineLevel="0" collapsed="false">
      <c r="B53" s="465" t="n">
        <v>31</v>
      </c>
      <c r="C53" s="525" t="s">
        <v>349</v>
      </c>
      <c r="D53" s="534" t="s">
        <v>1111</v>
      </c>
      <c r="E53" s="543" t="s">
        <v>81</v>
      </c>
      <c r="F53" s="544" t="n">
        <v>1282</v>
      </c>
      <c r="G53" s="523" t="n">
        <v>45841</v>
      </c>
      <c r="H53" s="524" t="s">
        <v>1112</v>
      </c>
      <c r="I53" s="525" t="s">
        <v>83</v>
      </c>
      <c r="J53" s="545" t="n">
        <v>83000</v>
      </c>
      <c r="K53" s="546" t="n">
        <v>0</v>
      </c>
      <c r="L53" s="100" t="n">
        <f aca="false">J53-K53</f>
        <v>83000</v>
      </c>
      <c r="M53" s="101" t="n">
        <f aca="false">J53/F53</f>
        <v>64.7425897035881</v>
      </c>
      <c r="N53" s="101" t="n">
        <f aca="false">K53/F53</f>
        <v>0</v>
      </c>
      <c r="O53" s="547" t="n">
        <f aca="false">70500/F53</f>
        <v>54.9921996879875</v>
      </c>
      <c r="P53" s="532" t="s">
        <v>84</v>
      </c>
      <c r="Q53" s="533" t="s">
        <v>64</v>
      </c>
      <c r="R53" s="533" t="s">
        <v>91</v>
      </c>
      <c r="S53" s="548" t="s">
        <v>1113</v>
      </c>
      <c r="T53" s="534" t="s">
        <v>110</v>
      </c>
      <c r="U53" s="506" t="n">
        <v>45919</v>
      </c>
    </row>
    <row r="54" customFormat="false" ht="46.25" hidden="false" customHeight="false" outlineLevel="0" collapsed="false">
      <c r="B54" s="549" t="n">
        <v>32</v>
      </c>
      <c r="C54" s="525" t="s">
        <v>1114</v>
      </c>
      <c r="D54" s="534" t="s">
        <v>1115</v>
      </c>
      <c r="E54" s="543" t="s">
        <v>81</v>
      </c>
      <c r="F54" s="544" t="n">
        <v>1659</v>
      </c>
      <c r="G54" s="523" t="n">
        <v>45842</v>
      </c>
      <c r="H54" s="524" t="s">
        <v>950</v>
      </c>
      <c r="I54" s="525" t="s">
        <v>1116</v>
      </c>
      <c r="J54" s="545" t="n">
        <v>106785</v>
      </c>
      <c r="K54" s="546" t="n">
        <v>0</v>
      </c>
      <c r="L54" s="100" t="n">
        <f aca="false">J54-K54</f>
        <v>106785</v>
      </c>
      <c r="M54" s="101" t="n">
        <f aca="false">J54/F54</f>
        <v>64.3670886075949</v>
      </c>
      <c r="N54" s="101" t="n">
        <f aca="false">K54/F54</f>
        <v>0</v>
      </c>
      <c r="O54" s="102" t="n">
        <f aca="false">J54/F54</f>
        <v>64.3670886075949</v>
      </c>
      <c r="P54" s="532" t="s">
        <v>1117</v>
      </c>
      <c r="Q54" s="533" t="s">
        <v>64</v>
      </c>
      <c r="R54" s="533" t="s">
        <v>91</v>
      </c>
      <c r="S54" s="548" t="s">
        <v>1118</v>
      </c>
      <c r="T54" s="534" t="s">
        <v>58</v>
      </c>
      <c r="U54" s="506" t="n">
        <v>45940</v>
      </c>
    </row>
    <row r="55" customFormat="false" ht="35.05" hidden="false" customHeight="false" outlineLevel="0" collapsed="false">
      <c r="B55" s="549"/>
      <c r="C55" s="525" t="s">
        <v>122</v>
      </c>
      <c r="D55" s="534" t="s">
        <v>1111</v>
      </c>
      <c r="E55" s="543" t="s">
        <v>81</v>
      </c>
      <c r="F55" s="550" t="n">
        <v>1606</v>
      </c>
      <c r="G55" s="523" t="n">
        <v>45845</v>
      </c>
      <c r="H55" s="524" t="s">
        <v>1119</v>
      </c>
      <c r="I55" s="525" t="s">
        <v>83</v>
      </c>
      <c r="J55" s="545" t="n">
        <v>110000</v>
      </c>
      <c r="K55" s="546" t="n">
        <v>0</v>
      </c>
      <c r="L55" s="100" t="n">
        <f aca="false">J55-K55</f>
        <v>110000</v>
      </c>
      <c r="M55" s="101" t="n">
        <f aca="false">J55/F55</f>
        <v>68.4931506849315</v>
      </c>
      <c r="N55" s="101" t="n">
        <f aca="false">K55/F55</f>
        <v>0</v>
      </c>
      <c r="O55" s="102" t="n">
        <f aca="false">J55/F55</f>
        <v>68.4931506849315</v>
      </c>
      <c r="P55" s="532" t="s">
        <v>84</v>
      </c>
      <c r="Q55" s="533" t="s">
        <v>64</v>
      </c>
      <c r="R55" s="533" t="s">
        <v>967</v>
      </c>
      <c r="S55" s="548" t="s">
        <v>1120</v>
      </c>
      <c r="T55" s="534" t="s">
        <v>110</v>
      </c>
      <c r="U55" s="506" t="n">
        <v>45954</v>
      </c>
    </row>
    <row r="56" customFormat="false" ht="46.25" hidden="false" customHeight="false" outlineLevel="0" collapsed="false">
      <c r="B56" s="549"/>
      <c r="C56" s="525" t="s">
        <v>214</v>
      </c>
      <c r="D56" s="534" t="s">
        <v>285</v>
      </c>
      <c r="E56" s="523" t="s">
        <v>81</v>
      </c>
      <c r="F56" s="551" t="n">
        <v>2847</v>
      </c>
      <c r="G56" s="552" t="n">
        <v>45889</v>
      </c>
      <c r="H56" s="553" t="s">
        <v>1121</v>
      </c>
      <c r="I56" s="554" t="s">
        <v>1122</v>
      </c>
      <c r="J56" s="555" t="n">
        <v>193596</v>
      </c>
      <c r="K56" s="556" t="n">
        <v>68</v>
      </c>
      <c r="L56" s="100" t="n">
        <f aca="false">J56-K56</f>
        <v>193528</v>
      </c>
      <c r="M56" s="101" t="n">
        <f aca="false">J56/F56</f>
        <v>68</v>
      </c>
      <c r="N56" s="101" t="n">
        <f aca="false">K56/F56</f>
        <v>0.0238847910080787</v>
      </c>
      <c r="O56" s="102" t="n">
        <f aca="false">J56/F56</f>
        <v>68</v>
      </c>
      <c r="P56" s="557" t="s">
        <v>84</v>
      </c>
      <c r="Q56" s="534" t="s">
        <v>64</v>
      </c>
      <c r="R56" s="533" t="s">
        <v>91</v>
      </c>
      <c r="S56" s="548" t="s">
        <v>1123</v>
      </c>
      <c r="T56" s="533" t="s">
        <v>58</v>
      </c>
      <c r="U56" s="506" t="n">
        <v>45961</v>
      </c>
    </row>
    <row r="57" customFormat="false" ht="35.05" hidden="false" customHeight="false" outlineLevel="0" collapsed="false">
      <c r="B57" s="549"/>
      <c r="C57" s="525" t="s">
        <v>1124</v>
      </c>
      <c r="D57" s="534" t="s">
        <v>1125</v>
      </c>
      <c r="E57" s="543" t="s">
        <v>81</v>
      </c>
      <c r="F57" s="544" t="n">
        <v>1371</v>
      </c>
      <c r="G57" s="523" t="n">
        <v>45806</v>
      </c>
      <c r="H57" s="524" t="s">
        <v>1126</v>
      </c>
      <c r="I57" s="525" t="s">
        <v>1127</v>
      </c>
      <c r="J57" s="545" t="n">
        <v>85002</v>
      </c>
      <c r="K57" s="546" t="n">
        <v>0</v>
      </c>
      <c r="L57" s="100" t="n">
        <f aca="false">J57-K57</f>
        <v>85002</v>
      </c>
      <c r="M57" s="101" t="n">
        <f aca="false">J57/F57</f>
        <v>62</v>
      </c>
      <c r="N57" s="101" t="n">
        <f aca="false">K57/F57</f>
        <v>0</v>
      </c>
      <c r="O57" s="102" t="n">
        <f aca="false">J57/F57</f>
        <v>62</v>
      </c>
      <c r="P57" s="532" t="s">
        <v>1128</v>
      </c>
      <c r="Q57" s="533" t="s">
        <v>64</v>
      </c>
      <c r="R57" s="533" t="s">
        <v>91</v>
      </c>
      <c r="S57" s="548" t="s">
        <v>1129</v>
      </c>
      <c r="T57" s="534" t="s">
        <v>86</v>
      </c>
      <c r="U57" s="506" t="n">
        <v>45961</v>
      </c>
    </row>
    <row r="58" customFormat="false" ht="35.05" hidden="false" customHeight="false" outlineLevel="0" collapsed="false">
      <c r="B58" s="549"/>
      <c r="C58" s="525" t="s">
        <v>1124</v>
      </c>
      <c r="D58" s="534" t="s">
        <v>1130</v>
      </c>
      <c r="E58" s="543" t="s">
        <v>81</v>
      </c>
      <c r="F58" s="544" t="n">
        <v>1204</v>
      </c>
      <c r="G58" s="523" t="n">
        <v>45806</v>
      </c>
      <c r="H58" s="524" t="s">
        <v>1126</v>
      </c>
      <c r="I58" s="525" t="s">
        <v>1127</v>
      </c>
      <c r="J58" s="545" t="n">
        <v>74648</v>
      </c>
      <c r="K58" s="546" t="n">
        <v>0</v>
      </c>
      <c r="L58" s="100" t="n">
        <f aca="false">J58-K58</f>
        <v>74648</v>
      </c>
      <c r="M58" s="101" t="n">
        <f aca="false">J58/F58</f>
        <v>62</v>
      </c>
      <c r="N58" s="101" t="n">
        <f aca="false">K58/F58</f>
        <v>0</v>
      </c>
      <c r="O58" s="102" t="n">
        <f aca="false">J58/F58</f>
        <v>62</v>
      </c>
      <c r="P58" s="532" t="s">
        <v>84</v>
      </c>
      <c r="Q58" s="533" t="s">
        <v>64</v>
      </c>
      <c r="R58" s="533" t="s">
        <v>91</v>
      </c>
      <c r="S58" s="548" t="s">
        <v>1129</v>
      </c>
      <c r="T58" s="534" t="s">
        <v>86</v>
      </c>
      <c r="U58" s="506" t="n">
        <v>45961</v>
      </c>
    </row>
    <row r="59" customFormat="false" ht="35.05" hidden="false" customHeight="false" outlineLevel="0" collapsed="false">
      <c r="B59" s="549"/>
      <c r="C59" s="525" t="s">
        <v>1124</v>
      </c>
      <c r="D59" s="534" t="s">
        <v>1131</v>
      </c>
      <c r="E59" s="543" t="s">
        <v>81</v>
      </c>
      <c r="F59" s="544" t="n">
        <v>1395</v>
      </c>
      <c r="G59" s="523" t="n">
        <v>45806</v>
      </c>
      <c r="H59" s="524" t="s">
        <v>1126</v>
      </c>
      <c r="I59" s="525" t="s">
        <v>1127</v>
      </c>
      <c r="J59" s="545" t="n">
        <v>86490</v>
      </c>
      <c r="K59" s="546" t="n">
        <v>0</v>
      </c>
      <c r="L59" s="100" t="n">
        <f aca="false">J59-K59</f>
        <v>86490</v>
      </c>
      <c r="M59" s="101" t="n">
        <f aca="false">J59/F59</f>
        <v>62</v>
      </c>
      <c r="N59" s="101" t="n">
        <f aca="false">K59/F59</f>
        <v>0</v>
      </c>
      <c r="O59" s="102" t="n">
        <f aca="false">J59/F59</f>
        <v>62</v>
      </c>
      <c r="P59" s="532" t="s">
        <v>84</v>
      </c>
      <c r="Q59" s="533" t="s">
        <v>64</v>
      </c>
      <c r="R59" s="533" t="s">
        <v>91</v>
      </c>
      <c r="S59" s="548" t="s">
        <v>1129</v>
      </c>
      <c r="T59" s="534" t="s">
        <v>86</v>
      </c>
      <c r="U59" s="506" t="n">
        <v>45961</v>
      </c>
    </row>
    <row r="60" customFormat="false" ht="15.75" hidden="false" customHeight="false" outlineLevel="0" collapsed="false">
      <c r="B60" s="558"/>
      <c r="C60" s="559"/>
      <c r="D60" s="560"/>
      <c r="E60" s="561"/>
      <c r="F60" s="562"/>
      <c r="G60" s="563"/>
      <c r="H60" s="564"/>
      <c r="I60" s="559"/>
      <c r="J60" s="565"/>
      <c r="K60" s="566"/>
      <c r="L60" s="567"/>
      <c r="M60" s="568"/>
      <c r="N60" s="568"/>
      <c r="O60" s="569"/>
      <c r="P60" s="570"/>
      <c r="Q60" s="571"/>
      <c r="R60" s="571"/>
      <c r="S60" s="572"/>
      <c r="T60" s="560"/>
      <c r="U60" s="573"/>
    </row>
    <row r="61" customFormat="false" ht="15.75" hidden="false" customHeight="false" outlineLevel="0" collapsed="false">
      <c r="B61" s="558"/>
      <c r="C61" s="559"/>
      <c r="D61" s="560"/>
      <c r="E61" s="561"/>
      <c r="F61" s="562"/>
      <c r="G61" s="563"/>
      <c r="H61" s="564"/>
      <c r="I61" s="559"/>
      <c r="J61" s="565"/>
      <c r="K61" s="566"/>
      <c r="L61" s="567"/>
      <c r="M61" s="568"/>
      <c r="N61" s="568"/>
      <c r="O61" s="569"/>
      <c r="P61" s="570"/>
      <c r="Q61" s="571"/>
      <c r="R61" s="571"/>
      <c r="S61" s="572"/>
      <c r="T61" s="560"/>
      <c r="U61" s="573"/>
    </row>
    <row r="62" customFormat="false" ht="15.75" hidden="false" customHeight="false" outlineLevel="0" collapsed="false">
      <c r="B62" s="459" t="s">
        <v>1132</v>
      </c>
    </row>
    <row r="63" customFormat="false" ht="46.25" hidden="false" customHeight="false" outlineLevel="0" collapsed="false">
      <c r="B63" s="461"/>
      <c r="C63" s="461" t="s">
        <v>31</v>
      </c>
      <c r="D63" s="462"/>
      <c r="E63" s="462"/>
      <c r="F63" s="462" t="s">
        <v>34</v>
      </c>
      <c r="G63" s="461" t="s">
        <v>35</v>
      </c>
      <c r="H63" s="461" t="s">
        <v>36</v>
      </c>
      <c r="I63" s="461" t="s">
        <v>37</v>
      </c>
      <c r="J63" s="461" t="s">
        <v>922</v>
      </c>
      <c r="K63" s="463" t="s">
        <v>39</v>
      </c>
      <c r="L63" s="461" t="s">
        <v>40</v>
      </c>
      <c r="M63" s="463" t="s">
        <v>41</v>
      </c>
      <c r="N63" s="463" t="s">
        <v>42</v>
      </c>
      <c r="O63" s="463" t="s">
        <v>43</v>
      </c>
      <c r="P63" s="461" t="s">
        <v>44</v>
      </c>
      <c r="Q63" s="461" t="s">
        <v>45</v>
      </c>
      <c r="R63" s="461" t="s">
        <v>46</v>
      </c>
      <c r="S63" s="461" t="s">
        <v>47</v>
      </c>
      <c r="T63" s="461" t="s">
        <v>48</v>
      </c>
      <c r="U63" s="464" t="s">
        <v>916</v>
      </c>
    </row>
    <row r="64" customFormat="false" ht="43.25" hidden="true" customHeight="false" outlineLevel="0" collapsed="false">
      <c r="B64" s="574" t="n">
        <v>1</v>
      </c>
      <c r="C64" s="478" t="s">
        <v>1133</v>
      </c>
      <c r="D64" s="575" t="n">
        <v>525</v>
      </c>
      <c r="E64" s="575"/>
      <c r="F64" s="575"/>
      <c r="G64" s="576" t="n">
        <v>45386</v>
      </c>
      <c r="H64" s="577" t="s">
        <v>1134</v>
      </c>
      <c r="I64" s="578" t="s">
        <v>1135</v>
      </c>
      <c r="J64" s="483" t="n">
        <v>16000</v>
      </c>
      <c r="K64" s="470" t="n">
        <f aca="false">J64-M64</f>
        <v>2000</v>
      </c>
      <c r="L64" s="470"/>
      <c r="M64" s="579" t="n">
        <v>14000</v>
      </c>
      <c r="N64" s="579"/>
      <c r="O64" s="579"/>
      <c r="P64" s="580" t="n">
        <f aca="false">M64/D64</f>
        <v>26.6666666666667</v>
      </c>
      <c r="Q64" s="581"/>
      <c r="R64" s="574" t="s">
        <v>91</v>
      </c>
      <c r="S64" s="466" t="s">
        <v>46</v>
      </c>
      <c r="T64" s="490" t="s">
        <v>141</v>
      </c>
      <c r="U64" s="582" t="n">
        <v>45541</v>
      </c>
    </row>
    <row r="65" customFormat="false" ht="64.15" hidden="true" customHeight="false" outlineLevel="0" collapsed="false">
      <c r="A65" s="127"/>
      <c r="B65" s="574" t="n">
        <v>2</v>
      </c>
      <c r="C65" s="468" t="s">
        <v>1136</v>
      </c>
      <c r="D65" s="583" t="n">
        <v>480</v>
      </c>
      <c r="E65" s="583"/>
      <c r="F65" s="583"/>
      <c r="G65" s="485" t="n">
        <v>45507</v>
      </c>
      <c r="H65" s="505" t="s">
        <v>1137</v>
      </c>
      <c r="I65" s="489" t="s">
        <v>1138</v>
      </c>
      <c r="J65" s="495" t="n">
        <v>26000</v>
      </c>
      <c r="K65" s="482" t="n">
        <f aca="false">J65-M65</f>
        <v>80</v>
      </c>
      <c r="L65" s="482"/>
      <c r="M65" s="482" t="n">
        <v>25920</v>
      </c>
      <c r="N65" s="482"/>
      <c r="O65" s="482"/>
      <c r="P65" s="580" t="n">
        <f aca="false">M65/D65</f>
        <v>54</v>
      </c>
      <c r="Q65" s="480"/>
      <c r="R65" s="574" t="s">
        <v>91</v>
      </c>
      <c r="S65" s="466" t="s">
        <v>1139</v>
      </c>
      <c r="T65" s="490" t="s">
        <v>64</v>
      </c>
      <c r="U65" s="582" t="n">
        <v>45562</v>
      </c>
      <c r="X65" s="127"/>
    </row>
    <row r="66" customFormat="false" ht="53.7" hidden="true" customHeight="false" outlineLevel="0" collapsed="false">
      <c r="B66" s="574" t="n">
        <v>3</v>
      </c>
      <c r="C66" s="477" t="s">
        <v>1140</v>
      </c>
      <c r="D66" s="583" t="n">
        <v>1220</v>
      </c>
      <c r="E66" s="583"/>
      <c r="F66" s="583"/>
      <c r="G66" s="485" t="n">
        <v>45416</v>
      </c>
      <c r="H66" s="505" t="s">
        <v>1141</v>
      </c>
      <c r="I66" s="488" t="s">
        <v>1142</v>
      </c>
      <c r="J66" s="483" t="n">
        <v>70200</v>
      </c>
      <c r="K66" s="495" t="n">
        <f aca="false">J66-M66</f>
        <v>10200</v>
      </c>
      <c r="L66" s="495"/>
      <c r="M66" s="483" t="n">
        <v>60000</v>
      </c>
      <c r="N66" s="483"/>
      <c r="O66" s="483"/>
      <c r="P66" s="580" t="n">
        <f aca="false">M66/D66</f>
        <v>49.1803278688525</v>
      </c>
      <c r="Q66" s="584"/>
      <c r="R66" s="574" t="s">
        <v>91</v>
      </c>
      <c r="S66" s="477" t="s">
        <v>46</v>
      </c>
      <c r="T66" s="490" t="s">
        <v>141</v>
      </c>
      <c r="U66" s="582" t="n">
        <v>45583</v>
      </c>
    </row>
    <row r="67" customFormat="false" ht="64.15" hidden="true" customHeight="false" outlineLevel="0" collapsed="false">
      <c r="B67" s="574" t="n">
        <v>4</v>
      </c>
      <c r="C67" s="477" t="s">
        <v>1143</v>
      </c>
      <c r="D67" s="583" t="n">
        <v>1485</v>
      </c>
      <c r="E67" s="583"/>
      <c r="F67" s="583"/>
      <c r="G67" s="485" t="n">
        <v>45499</v>
      </c>
      <c r="H67" s="505" t="s">
        <v>1144</v>
      </c>
      <c r="I67" s="489" t="s">
        <v>1145</v>
      </c>
      <c r="J67" s="495" t="n">
        <v>90000</v>
      </c>
      <c r="K67" s="495" t="n">
        <v>3127</v>
      </c>
      <c r="L67" s="495"/>
      <c r="M67" s="495" t="n">
        <v>86873</v>
      </c>
      <c r="N67" s="495"/>
      <c r="O67" s="495"/>
      <c r="P67" s="580" t="n">
        <v>58.5</v>
      </c>
      <c r="Q67" s="495" t="n">
        <v>78000</v>
      </c>
      <c r="R67" s="574" t="s">
        <v>91</v>
      </c>
      <c r="S67" s="477" t="s">
        <v>46</v>
      </c>
      <c r="T67" s="490" t="s">
        <v>141</v>
      </c>
      <c r="U67" s="582" t="n">
        <v>45583</v>
      </c>
    </row>
    <row r="68" customFormat="false" ht="53.7" hidden="true" customHeight="false" outlineLevel="0" collapsed="false">
      <c r="B68" s="574" t="n">
        <v>5</v>
      </c>
      <c r="C68" s="468" t="s">
        <v>1146</v>
      </c>
      <c r="D68" s="583" t="n">
        <v>1395</v>
      </c>
      <c r="E68" s="583"/>
      <c r="F68" s="583"/>
      <c r="G68" s="485" t="n">
        <v>45509</v>
      </c>
      <c r="H68" s="505" t="s">
        <v>1147</v>
      </c>
      <c r="I68" s="489" t="s">
        <v>1148</v>
      </c>
      <c r="J68" s="483" t="n">
        <v>79200</v>
      </c>
      <c r="K68" s="483" t="n">
        <v>0</v>
      </c>
      <c r="L68" s="483"/>
      <c r="M68" s="483" t="n">
        <v>79200</v>
      </c>
      <c r="N68" s="483"/>
      <c r="O68" s="483"/>
      <c r="P68" s="580" t="n">
        <f aca="false">M68/D68</f>
        <v>56.7741935483871</v>
      </c>
      <c r="Q68" s="584" t="n">
        <v>54.98</v>
      </c>
      <c r="R68" s="574" t="s">
        <v>91</v>
      </c>
      <c r="S68" s="477" t="s">
        <v>46</v>
      </c>
      <c r="T68" s="490" t="s">
        <v>146</v>
      </c>
      <c r="U68" s="582" t="n">
        <v>45583</v>
      </c>
    </row>
    <row r="69" customFormat="false" ht="43.25" hidden="true" customHeight="false" outlineLevel="0" collapsed="false">
      <c r="B69" s="574" t="n">
        <v>6</v>
      </c>
      <c r="C69" s="585" t="s">
        <v>1149</v>
      </c>
      <c r="D69" s="586" t="n">
        <v>1180</v>
      </c>
      <c r="E69" s="586"/>
      <c r="F69" s="586"/>
      <c r="G69" s="587" t="s">
        <v>985</v>
      </c>
      <c r="H69" s="511" t="s">
        <v>1150</v>
      </c>
      <c r="I69" s="511" t="s">
        <v>1151</v>
      </c>
      <c r="J69" s="588" t="n">
        <v>65000</v>
      </c>
      <c r="K69" s="589" t="n">
        <f aca="false">J69-M69</f>
        <v>0</v>
      </c>
      <c r="L69" s="589"/>
      <c r="M69" s="588" t="n">
        <v>65000</v>
      </c>
      <c r="N69" s="588"/>
      <c r="O69" s="588"/>
      <c r="P69" s="590" t="n">
        <v>55.08</v>
      </c>
      <c r="Q69" s="591" t="n">
        <v>52</v>
      </c>
      <c r="R69" s="592" t="s">
        <v>967</v>
      </c>
      <c r="S69" s="520" t="s">
        <v>1059</v>
      </c>
      <c r="T69" s="520" t="s">
        <v>936</v>
      </c>
      <c r="U69" s="582" t="n">
        <v>45590</v>
      </c>
    </row>
    <row r="70" customFormat="false" ht="85.05" hidden="true" customHeight="false" outlineLevel="0" collapsed="false">
      <c r="B70" s="574" t="n">
        <v>7</v>
      </c>
      <c r="C70" s="585" t="s">
        <v>1152</v>
      </c>
      <c r="D70" s="586" t="n">
        <v>20993</v>
      </c>
      <c r="E70" s="586"/>
      <c r="F70" s="586"/>
      <c r="G70" s="587" t="n">
        <v>45554</v>
      </c>
      <c r="H70" s="511" t="s">
        <v>1153</v>
      </c>
      <c r="I70" s="511" t="s">
        <v>1154</v>
      </c>
      <c r="J70" s="588" t="n">
        <v>1000000</v>
      </c>
      <c r="K70" s="589" t="n">
        <f aca="false">J70-M70</f>
        <v>0</v>
      </c>
      <c r="L70" s="589"/>
      <c r="M70" s="588" t="n">
        <v>1000000</v>
      </c>
      <c r="N70" s="588"/>
      <c r="O70" s="588"/>
      <c r="P70" s="590" t="n">
        <v>47.63</v>
      </c>
      <c r="Q70" s="591" t="n">
        <v>80.4</v>
      </c>
      <c r="R70" s="592" t="s">
        <v>967</v>
      </c>
      <c r="S70" s="520" t="s">
        <v>1059</v>
      </c>
      <c r="T70" s="520" t="s">
        <v>936</v>
      </c>
      <c r="U70" s="582" t="n">
        <v>45590</v>
      </c>
    </row>
    <row r="71" customFormat="false" ht="32.8" hidden="true" customHeight="false" outlineLevel="0" collapsed="false">
      <c r="B71" s="574" t="n">
        <v>8</v>
      </c>
      <c r="C71" s="585" t="s">
        <v>1155</v>
      </c>
      <c r="D71" s="586" t="n">
        <v>3030</v>
      </c>
      <c r="E71" s="586"/>
      <c r="F71" s="586"/>
      <c r="G71" s="587" t="n">
        <v>45529</v>
      </c>
      <c r="H71" s="511" t="s">
        <v>1156</v>
      </c>
      <c r="I71" s="511" t="s">
        <v>1157</v>
      </c>
      <c r="J71" s="588" t="n">
        <v>500000</v>
      </c>
      <c r="K71" s="588" t="n">
        <f aca="false">J71-M71</f>
        <v>245000</v>
      </c>
      <c r="L71" s="588"/>
      <c r="M71" s="588" t="n">
        <v>255000</v>
      </c>
      <c r="N71" s="588"/>
      <c r="O71" s="588"/>
      <c r="P71" s="590" t="n">
        <f aca="false">M71/D71</f>
        <v>84.1584158415842</v>
      </c>
      <c r="Q71" s="591" t="n">
        <v>140</v>
      </c>
      <c r="R71" s="592" t="s">
        <v>91</v>
      </c>
      <c r="S71" s="520" t="s">
        <v>1103</v>
      </c>
      <c r="T71" s="520" t="s">
        <v>78</v>
      </c>
      <c r="U71" s="593" t="n">
        <v>45604</v>
      </c>
    </row>
    <row r="72" customFormat="false" ht="53.7" hidden="true" customHeight="false" outlineLevel="0" collapsed="false">
      <c r="B72" s="574" t="n">
        <v>9</v>
      </c>
      <c r="C72" s="594" t="s">
        <v>1158</v>
      </c>
      <c r="D72" s="595" t="n">
        <v>170</v>
      </c>
      <c r="E72" s="595"/>
      <c r="F72" s="595"/>
      <c r="G72" s="596" t="n">
        <v>45544</v>
      </c>
      <c r="H72" s="511" t="s">
        <v>1159</v>
      </c>
      <c r="I72" s="511" t="s">
        <v>1160</v>
      </c>
      <c r="J72" s="597" t="n">
        <v>9400</v>
      </c>
      <c r="K72" s="589" t="n">
        <f aca="false">J72-M72</f>
        <v>475</v>
      </c>
      <c r="L72" s="589"/>
      <c r="M72" s="597" t="n">
        <v>8925</v>
      </c>
      <c r="N72" s="597"/>
      <c r="O72" s="597"/>
      <c r="P72" s="590" t="n">
        <f aca="false">M72/D72</f>
        <v>52.5</v>
      </c>
      <c r="Q72" s="598"/>
      <c r="R72" s="592" t="s">
        <v>91</v>
      </c>
      <c r="S72" s="520" t="s">
        <v>1103</v>
      </c>
      <c r="T72" s="595" t="s">
        <v>936</v>
      </c>
      <c r="U72" s="593" t="n">
        <v>45605</v>
      </c>
    </row>
    <row r="73" customFormat="false" ht="43.25" hidden="true" customHeight="false" outlineLevel="0" collapsed="false">
      <c r="B73" s="574" t="n">
        <v>10</v>
      </c>
      <c r="C73" s="585" t="s">
        <v>1161</v>
      </c>
      <c r="D73" s="586" t="n">
        <v>552</v>
      </c>
      <c r="E73" s="586"/>
      <c r="F73" s="586"/>
      <c r="G73" s="587" t="n">
        <v>45544</v>
      </c>
      <c r="H73" s="511" t="s">
        <v>1162</v>
      </c>
      <c r="I73" s="511" t="s">
        <v>1163</v>
      </c>
      <c r="J73" s="589" t="n">
        <v>33000</v>
      </c>
      <c r="K73" s="589" t="n">
        <f aca="false">J73-M73</f>
        <v>3000</v>
      </c>
      <c r="L73" s="589"/>
      <c r="M73" s="589" t="n">
        <v>30000</v>
      </c>
      <c r="N73" s="589"/>
      <c r="O73" s="589"/>
      <c r="P73" s="590" t="n">
        <f aca="false">M73/D73</f>
        <v>54.3478260869565</v>
      </c>
      <c r="Q73" s="590"/>
      <c r="R73" s="592" t="s">
        <v>967</v>
      </c>
      <c r="S73" s="520" t="s">
        <v>1059</v>
      </c>
      <c r="T73" s="520" t="s">
        <v>936</v>
      </c>
      <c r="U73" s="599" t="n">
        <v>45614</v>
      </c>
    </row>
    <row r="74" customFormat="false" ht="53.7" hidden="true" customHeight="false" outlineLevel="0" collapsed="false">
      <c r="B74" s="574" t="n">
        <v>11</v>
      </c>
      <c r="C74" s="585" t="s">
        <v>1164</v>
      </c>
      <c r="D74" s="586" t="n">
        <v>85</v>
      </c>
      <c r="E74" s="586"/>
      <c r="F74" s="586"/>
      <c r="G74" s="587" t="n">
        <v>45498</v>
      </c>
      <c r="H74" s="511" t="s">
        <v>1165</v>
      </c>
      <c r="I74" s="511" t="s">
        <v>1166</v>
      </c>
      <c r="J74" s="588" t="n">
        <v>68250</v>
      </c>
      <c r="K74" s="589" t="n">
        <f aca="false">J74-M74</f>
        <v>3250</v>
      </c>
      <c r="L74" s="589"/>
      <c r="M74" s="588" t="n">
        <v>65000</v>
      </c>
      <c r="N74" s="588"/>
      <c r="O74" s="588"/>
      <c r="P74" s="590" t="n">
        <f aca="false">M74/D74</f>
        <v>764.705882352941</v>
      </c>
      <c r="Q74" s="591" t="n">
        <v>764.71</v>
      </c>
      <c r="R74" s="592" t="s">
        <v>967</v>
      </c>
      <c r="S74" s="520" t="s">
        <v>1059</v>
      </c>
      <c r="T74" s="520" t="s">
        <v>78</v>
      </c>
      <c r="U74" s="600" t="n">
        <v>45614</v>
      </c>
    </row>
    <row r="75" customFormat="false" ht="64.15" hidden="true" customHeight="false" outlineLevel="0" collapsed="false">
      <c r="B75" s="574" t="n">
        <v>12</v>
      </c>
      <c r="C75" s="585" t="s">
        <v>1167</v>
      </c>
      <c r="D75" s="586" t="n">
        <v>424</v>
      </c>
      <c r="E75" s="586"/>
      <c r="F75" s="586"/>
      <c r="G75" s="587" t="n">
        <v>45544</v>
      </c>
      <c r="H75" s="511" t="s">
        <v>1168</v>
      </c>
      <c r="I75" s="511" t="s">
        <v>1169</v>
      </c>
      <c r="J75" s="588" t="n">
        <v>11872</v>
      </c>
      <c r="K75" s="589" t="n">
        <f aca="false">J75-M75</f>
        <v>1272</v>
      </c>
      <c r="L75" s="589"/>
      <c r="M75" s="588" t="n">
        <v>10600</v>
      </c>
      <c r="N75" s="588"/>
      <c r="O75" s="588"/>
      <c r="P75" s="591" t="n">
        <v>25</v>
      </c>
      <c r="Q75" s="591" t="n">
        <v>27.5</v>
      </c>
      <c r="R75" s="592" t="s">
        <v>91</v>
      </c>
      <c r="S75" s="520" t="s">
        <v>926</v>
      </c>
      <c r="T75" s="520" t="s">
        <v>936</v>
      </c>
      <c r="U75" s="600" t="n">
        <v>45618</v>
      </c>
    </row>
    <row r="76" customFormat="false" ht="53.7" hidden="true" customHeight="false" outlineLevel="0" collapsed="false">
      <c r="B76" s="574" t="n">
        <v>13</v>
      </c>
      <c r="C76" s="585" t="s">
        <v>1170</v>
      </c>
      <c r="D76" s="586" t="n">
        <v>582</v>
      </c>
      <c r="E76" s="586"/>
      <c r="F76" s="586"/>
      <c r="G76" s="587" t="n">
        <v>45585</v>
      </c>
      <c r="H76" s="511" t="s">
        <v>1171</v>
      </c>
      <c r="I76" s="511" t="s">
        <v>1172</v>
      </c>
      <c r="J76" s="588" t="n">
        <v>42282</v>
      </c>
      <c r="K76" s="588" t="n">
        <f aca="false">J76-M76</f>
        <v>5202</v>
      </c>
      <c r="L76" s="588"/>
      <c r="M76" s="588" t="n">
        <v>37080</v>
      </c>
      <c r="N76" s="588"/>
      <c r="O76" s="588"/>
      <c r="P76" s="590" t="n">
        <v>63.71</v>
      </c>
      <c r="Q76" s="591" t="n">
        <v>58.41</v>
      </c>
      <c r="R76" s="592" t="s">
        <v>91</v>
      </c>
      <c r="S76" s="520" t="s">
        <v>926</v>
      </c>
      <c r="T76" s="520" t="s">
        <v>64</v>
      </c>
      <c r="U76" s="600" t="n">
        <v>45618</v>
      </c>
    </row>
    <row r="77" customFormat="false" ht="74.6" hidden="true" customHeight="false" outlineLevel="0" collapsed="false">
      <c r="B77" s="574" t="n">
        <v>14</v>
      </c>
      <c r="C77" s="520" t="s">
        <v>1173</v>
      </c>
      <c r="D77" s="586" t="n">
        <v>1973</v>
      </c>
      <c r="E77" s="586"/>
      <c r="F77" s="586"/>
      <c r="G77" s="587" t="n">
        <v>45442</v>
      </c>
      <c r="H77" s="511" t="s">
        <v>1174</v>
      </c>
      <c r="I77" s="511" t="s">
        <v>1175</v>
      </c>
      <c r="J77" s="588" t="n">
        <v>103000</v>
      </c>
      <c r="K77" s="589" t="n">
        <f aca="false">J77-M77</f>
        <v>0</v>
      </c>
      <c r="L77" s="589"/>
      <c r="M77" s="588" t="n">
        <v>103000</v>
      </c>
      <c r="N77" s="588"/>
      <c r="O77" s="588"/>
      <c r="P77" s="590" t="n">
        <f aca="false">M77/D77</f>
        <v>52.204764318297</v>
      </c>
      <c r="Q77" s="591" t="n">
        <f aca="false">94417/D77</f>
        <v>47.8545362392296</v>
      </c>
      <c r="R77" s="592" t="s">
        <v>967</v>
      </c>
      <c r="S77" s="585" t="s">
        <v>1176</v>
      </c>
      <c r="T77" s="520" t="s">
        <v>146</v>
      </c>
      <c r="U77" s="601" t="n">
        <v>45639</v>
      </c>
    </row>
    <row r="78" customFormat="false" ht="64.15" hidden="true" customHeight="false" outlineLevel="0" collapsed="false">
      <c r="B78" s="574" t="n">
        <v>15</v>
      </c>
      <c r="C78" s="520" t="s">
        <v>1177</v>
      </c>
      <c r="D78" s="586" t="n">
        <v>23500</v>
      </c>
      <c r="E78" s="586"/>
      <c r="F78" s="586"/>
      <c r="G78" s="587" t="n">
        <v>45614</v>
      </c>
      <c r="H78" s="511" t="s">
        <v>1178</v>
      </c>
      <c r="I78" s="511" t="s">
        <v>1179</v>
      </c>
      <c r="J78" s="588" t="n">
        <v>660000</v>
      </c>
      <c r="K78" s="589" t="n">
        <f aca="false">J78-M78</f>
        <v>141809</v>
      </c>
      <c r="L78" s="589"/>
      <c r="M78" s="588" t="n">
        <v>518191</v>
      </c>
      <c r="N78" s="588"/>
      <c r="O78" s="588"/>
      <c r="P78" s="590" t="n">
        <f aca="false">M78/D78</f>
        <v>22.0506808510638</v>
      </c>
      <c r="Q78" s="591" t="n">
        <v>39.98</v>
      </c>
      <c r="R78" s="592" t="s">
        <v>967</v>
      </c>
      <c r="S78" s="585" t="s">
        <v>1180</v>
      </c>
      <c r="T78" s="520" t="s">
        <v>146</v>
      </c>
      <c r="U78" s="601" t="n">
        <v>45639</v>
      </c>
    </row>
    <row r="79" customFormat="false" ht="85.05" hidden="true" customHeight="false" outlineLevel="0" collapsed="false">
      <c r="B79" s="574" t="n">
        <v>16</v>
      </c>
      <c r="C79" s="520" t="s">
        <v>1181</v>
      </c>
      <c r="D79" s="586" t="n">
        <v>3452</v>
      </c>
      <c r="E79" s="586"/>
      <c r="F79" s="586"/>
      <c r="G79" s="587" t="n">
        <v>45551</v>
      </c>
      <c r="H79" s="511" t="s">
        <v>1182</v>
      </c>
      <c r="I79" s="511" t="s">
        <v>1183</v>
      </c>
      <c r="J79" s="589" t="n">
        <v>138440</v>
      </c>
      <c r="K79" s="589" t="n">
        <f aca="false">J79-M79</f>
        <v>16440</v>
      </c>
      <c r="L79" s="589"/>
      <c r="M79" s="589" t="n">
        <v>122000</v>
      </c>
      <c r="N79" s="589"/>
      <c r="O79" s="589"/>
      <c r="P79" s="590" t="n">
        <f aca="false">M79/D79</f>
        <v>35.3418308227115</v>
      </c>
      <c r="Q79" s="589" t="n">
        <v>109600</v>
      </c>
      <c r="R79" s="592" t="s">
        <v>967</v>
      </c>
      <c r="S79" s="585" t="s">
        <v>1184</v>
      </c>
      <c r="T79" s="520" t="s">
        <v>141</v>
      </c>
      <c r="U79" s="601" t="n">
        <v>45646</v>
      </c>
    </row>
    <row r="80" customFormat="false" ht="105.95" hidden="true" customHeight="false" outlineLevel="0" collapsed="false">
      <c r="B80" s="574" t="n">
        <v>17</v>
      </c>
      <c r="C80" s="520" t="s">
        <v>1185</v>
      </c>
      <c r="D80" s="586" t="n">
        <v>2103</v>
      </c>
      <c r="E80" s="586"/>
      <c r="F80" s="586"/>
      <c r="G80" s="587" t="n">
        <v>45553</v>
      </c>
      <c r="H80" s="511" t="s">
        <v>1186</v>
      </c>
      <c r="I80" s="511" t="s">
        <v>1187</v>
      </c>
      <c r="J80" s="588" t="n">
        <v>220000</v>
      </c>
      <c r="K80" s="589" t="n">
        <f aca="false">J80-M80</f>
        <v>35000</v>
      </c>
      <c r="L80" s="589"/>
      <c r="M80" s="588" t="n">
        <v>185000</v>
      </c>
      <c r="N80" s="588"/>
      <c r="O80" s="588"/>
      <c r="P80" s="591" t="n">
        <v>88</v>
      </c>
      <c r="Q80" s="591" t="n">
        <v>83</v>
      </c>
      <c r="R80" s="592" t="s">
        <v>967</v>
      </c>
      <c r="S80" s="585" t="s">
        <v>1188</v>
      </c>
      <c r="T80" s="520" t="s">
        <v>64</v>
      </c>
      <c r="U80" s="601" t="n">
        <v>45647</v>
      </c>
    </row>
    <row r="81" customFormat="false" ht="15.75" hidden="false" customHeight="false" outlineLevel="0" collapsed="false">
      <c r="B81" s="602" t="n">
        <v>2025</v>
      </c>
      <c r="C81" s="602" t="n">
        <v>2025</v>
      </c>
      <c r="D81" s="602" t="n">
        <v>2025</v>
      </c>
      <c r="E81" s="602"/>
      <c r="F81" s="602"/>
      <c r="G81" s="602" t="n">
        <v>2025</v>
      </c>
      <c r="H81" s="603" t="n">
        <v>2025</v>
      </c>
      <c r="I81" s="602" t="n">
        <v>2025</v>
      </c>
      <c r="J81" s="602" t="n">
        <v>2025</v>
      </c>
      <c r="K81" s="602" t="n">
        <v>2025</v>
      </c>
      <c r="L81" s="602"/>
      <c r="M81" s="602" t="n">
        <v>2025</v>
      </c>
      <c r="N81" s="602"/>
      <c r="O81" s="602"/>
      <c r="P81" s="602" t="n">
        <v>2025</v>
      </c>
      <c r="Q81" s="602" t="n">
        <v>2025</v>
      </c>
      <c r="R81" s="602" t="n">
        <v>2025</v>
      </c>
      <c r="S81" s="602" t="n">
        <v>2025</v>
      </c>
      <c r="T81" s="602" t="n">
        <v>2025</v>
      </c>
      <c r="U81" s="604" t="n">
        <v>2025</v>
      </c>
    </row>
    <row r="82" customFormat="false" ht="43.25" hidden="false" customHeight="false" outlineLevel="0" collapsed="false">
      <c r="B82" s="592" t="n">
        <v>1</v>
      </c>
      <c r="C82" s="505" t="s">
        <v>1189</v>
      </c>
      <c r="D82" s="605" t="s">
        <v>582</v>
      </c>
      <c r="E82" s="606" t="s">
        <v>51</v>
      </c>
      <c r="F82" s="583" t="n">
        <v>5200</v>
      </c>
      <c r="G82" s="536" t="n">
        <v>45643</v>
      </c>
      <c r="H82" s="505" t="s">
        <v>1190</v>
      </c>
      <c r="I82" s="537" t="s">
        <v>1191</v>
      </c>
      <c r="J82" s="516" t="n">
        <v>383908</v>
      </c>
      <c r="K82" s="516" t="n">
        <v>253908</v>
      </c>
      <c r="L82" s="495" t="n">
        <f aca="false">J82-K82</f>
        <v>130000</v>
      </c>
      <c r="M82" s="580" t="n">
        <f aca="false">J82/F82</f>
        <v>73.8284615384615</v>
      </c>
      <c r="N82" s="580" t="n">
        <f aca="false">K82/F82</f>
        <v>48.8284615384615</v>
      </c>
      <c r="O82" s="607" t="n">
        <v>122</v>
      </c>
      <c r="P82" s="542" t="s">
        <v>1192</v>
      </c>
      <c r="Q82" s="542" t="s">
        <v>64</v>
      </c>
      <c r="R82" s="542" t="s">
        <v>91</v>
      </c>
      <c r="S82" s="488" t="s">
        <v>1193</v>
      </c>
      <c r="T82" s="608" t="s">
        <v>78</v>
      </c>
      <c r="U82" s="609" t="n">
        <v>45667</v>
      </c>
    </row>
    <row r="83" customFormat="false" ht="86.25" hidden="false" customHeight="true" outlineLevel="0" collapsed="false">
      <c r="B83" s="592" t="n">
        <v>2</v>
      </c>
      <c r="C83" s="490" t="s">
        <v>1194</v>
      </c>
      <c r="D83" s="605" t="s">
        <v>1195</v>
      </c>
      <c r="E83" s="606" t="s">
        <v>51</v>
      </c>
      <c r="F83" s="583" t="n">
        <v>28370</v>
      </c>
      <c r="G83" s="485" t="n">
        <v>45628</v>
      </c>
      <c r="H83" s="505" t="s">
        <v>1196</v>
      </c>
      <c r="I83" s="537" t="s">
        <v>1197</v>
      </c>
      <c r="J83" s="483" t="n">
        <v>1648856</v>
      </c>
      <c r="K83" s="483" t="n">
        <v>1648856</v>
      </c>
      <c r="L83" s="495" t="n">
        <f aca="false">J83-K83</f>
        <v>0</v>
      </c>
      <c r="M83" s="580" t="n">
        <f aca="false">J83/F83</f>
        <v>58.1197039125837</v>
      </c>
      <c r="N83" s="580" t="n">
        <f aca="false">K83/F83</f>
        <v>58.1197039125837</v>
      </c>
      <c r="O83" s="584" t="n">
        <v>62.37</v>
      </c>
      <c r="P83" s="574" t="s">
        <v>1198</v>
      </c>
      <c r="Q83" s="542" t="s">
        <v>1199</v>
      </c>
      <c r="R83" s="574" t="s">
        <v>967</v>
      </c>
      <c r="S83" s="477" t="s">
        <v>1200</v>
      </c>
      <c r="T83" s="517" t="s">
        <v>78</v>
      </c>
      <c r="U83" s="610" t="n">
        <v>45674</v>
      </c>
    </row>
    <row r="84" customFormat="false" ht="55.5" hidden="false" customHeight="true" outlineLevel="0" collapsed="false">
      <c r="B84" s="592" t="n">
        <v>3</v>
      </c>
      <c r="C84" s="520" t="s">
        <v>1201</v>
      </c>
      <c r="D84" s="605" t="s">
        <v>582</v>
      </c>
      <c r="E84" s="606" t="s">
        <v>51</v>
      </c>
      <c r="F84" s="586" t="n">
        <v>2940</v>
      </c>
      <c r="G84" s="587" t="n">
        <v>45618</v>
      </c>
      <c r="H84" s="511" t="s">
        <v>1202</v>
      </c>
      <c r="I84" s="511" t="s">
        <v>1203</v>
      </c>
      <c r="J84" s="588" t="n">
        <v>132000</v>
      </c>
      <c r="K84" s="588" t="n">
        <v>132000</v>
      </c>
      <c r="L84" s="589" t="n">
        <f aca="false">J84-K84</f>
        <v>0</v>
      </c>
      <c r="M84" s="590" t="n">
        <f aca="false">J84/F84</f>
        <v>44.8979591836735</v>
      </c>
      <c r="N84" s="590" t="n">
        <f aca="false">K84/F84</f>
        <v>44.8979591836735</v>
      </c>
      <c r="O84" s="591" t="n">
        <v>38.98</v>
      </c>
      <c r="P84" s="592" t="s">
        <v>84</v>
      </c>
      <c r="Q84" s="595" t="s">
        <v>64</v>
      </c>
      <c r="R84" s="592" t="s">
        <v>91</v>
      </c>
      <c r="S84" s="585" t="s">
        <v>1204</v>
      </c>
      <c r="T84" s="611" t="s">
        <v>64</v>
      </c>
      <c r="U84" s="466" t="s">
        <v>1205</v>
      </c>
    </row>
    <row r="85" customFormat="false" ht="55.5" hidden="false" customHeight="true" outlineLevel="0" collapsed="false">
      <c r="B85" s="592" t="n">
        <v>4</v>
      </c>
      <c r="C85" s="520" t="s">
        <v>1206</v>
      </c>
      <c r="D85" s="605" t="s">
        <v>1207</v>
      </c>
      <c r="E85" s="606" t="s">
        <v>51</v>
      </c>
      <c r="F85" s="586" t="n">
        <v>1829</v>
      </c>
      <c r="G85" s="587" t="n">
        <v>45581</v>
      </c>
      <c r="H85" s="511" t="s">
        <v>1208</v>
      </c>
      <c r="I85" s="511" t="s">
        <v>1209</v>
      </c>
      <c r="J85" s="588" t="n">
        <v>120700</v>
      </c>
      <c r="K85" s="588" t="n">
        <v>112852</v>
      </c>
      <c r="L85" s="589" t="n">
        <f aca="false">J85-K85</f>
        <v>7848</v>
      </c>
      <c r="M85" s="612" t="n">
        <f aca="false">J85/F85</f>
        <v>65.9923455440131</v>
      </c>
      <c r="N85" s="590" t="n">
        <f aca="false">K85/F85</f>
        <v>61.7014762165118</v>
      </c>
      <c r="O85" s="591" t="n">
        <v>65</v>
      </c>
      <c r="P85" s="592" t="s">
        <v>84</v>
      </c>
      <c r="Q85" s="595" t="s">
        <v>64</v>
      </c>
      <c r="R85" s="592" t="s">
        <v>967</v>
      </c>
      <c r="S85" s="585" t="s">
        <v>1210</v>
      </c>
      <c r="T85" s="611" t="s">
        <v>58</v>
      </c>
      <c r="U85" s="506" t="n">
        <v>45702</v>
      </c>
    </row>
    <row r="86" customFormat="false" ht="55.5" hidden="false" customHeight="true" outlineLevel="0" collapsed="false">
      <c r="B86" s="592" t="n">
        <v>5</v>
      </c>
      <c r="C86" s="505" t="s">
        <v>1211</v>
      </c>
      <c r="D86" s="605" t="s">
        <v>258</v>
      </c>
      <c r="E86" s="606" t="s">
        <v>51</v>
      </c>
      <c r="F86" s="583" t="n">
        <v>314</v>
      </c>
      <c r="G86" s="536" t="n">
        <v>45740</v>
      </c>
      <c r="H86" s="505" t="s">
        <v>1212</v>
      </c>
      <c r="I86" s="537" t="s">
        <v>1213</v>
      </c>
      <c r="J86" s="516" t="n">
        <v>17500</v>
      </c>
      <c r="K86" s="516" t="n">
        <v>17050</v>
      </c>
      <c r="L86" s="495" t="n">
        <f aca="false">J86-K86</f>
        <v>450</v>
      </c>
      <c r="M86" s="580" t="n">
        <f aca="false">J86/F86</f>
        <v>55.7324840764331</v>
      </c>
      <c r="N86" s="580" t="n">
        <f aca="false">K86/F86</f>
        <v>54.2993630573248</v>
      </c>
      <c r="O86" s="607" t="n">
        <v>49.36</v>
      </c>
      <c r="P86" s="574" t="s">
        <v>54</v>
      </c>
      <c r="Q86" s="542" t="s">
        <v>64</v>
      </c>
      <c r="R86" s="542" t="s">
        <v>967</v>
      </c>
      <c r="S86" s="489" t="s">
        <v>1214</v>
      </c>
      <c r="T86" s="608" t="s">
        <v>58</v>
      </c>
      <c r="U86" s="613"/>
    </row>
    <row r="87" customFormat="false" ht="55.5" hidden="false" customHeight="true" outlineLevel="0" collapsed="false">
      <c r="B87" s="592" t="n">
        <v>6</v>
      </c>
      <c r="C87" s="505" t="s">
        <v>1215</v>
      </c>
      <c r="D87" s="605" t="s">
        <v>1216</v>
      </c>
      <c r="E87" s="606" t="s">
        <v>51</v>
      </c>
      <c r="F87" s="583" t="n">
        <v>310</v>
      </c>
      <c r="G87" s="536" t="n">
        <v>45748</v>
      </c>
      <c r="H87" s="505" t="s">
        <v>1217</v>
      </c>
      <c r="I87" s="537" t="s">
        <v>1218</v>
      </c>
      <c r="J87" s="516" t="n">
        <v>15500</v>
      </c>
      <c r="K87" s="516" t="n">
        <v>15500</v>
      </c>
      <c r="L87" s="495" t="n">
        <f aca="false">J87-K87</f>
        <v>0</v>
      </c>
      <c r="M87" s="580" t="n">
        <f aca="false">J87/F87</f>
        <v>50</v>
      </c>
      <c r="N87" s="580" t="n">
        <f aca="false">K87/F87</f>
        <v>50</v>
      </c>
      <c r="O87" s="580" t="n">
        <f aca="false">N87</f>
        <v>50</v>
      </c>
      <c r="P87" s="574" t="s">
        <v>54</v>
      </c>
      <c r="Q87" s="542" t="s">
        <v>64</v>
      </c>
      <c r="R87" s="542" t="s">
        <v>967</v>
      </c>
      <c r="S87" s="489" t="s">
        <v>1219</v>
      </c>
      <c r="T87" s="608" t="s">
        <v>146</v>
      </c>
      <c r="U87" s="613"/>
    </row>
    <row r="88" customFormat="false" ht="55.5" hidden="false" customHeight="true" outlineLevel="0" collapsed="false">
      <c r="B88" s="592" t="n">
        <v>7</v>
      </c>
      <c r="C88" s="505" t="s">
        <v>1220</v>
      </c>
      <c r="D88" s="605" t="s">
        <v>1221</v>
      </c>
      <c r="E88" s="606" t="s">
        <v>51</v>
      </c>
      <c r="F88" s="583" t="n">
        <v>310</v>
      </c>
      <c r="G88" s="536" t="n">
        <v>45748</v>
      </c>
      <c r="H88" s="505" t="s">
        <v>1222</v>
      </c>
      <c r="I88" s="537" t="s">
        <v>1218</v>
      </c>
      <c r="J88" s="516" t="n">
        <v>15500</v>
      </c>
      <c r="K88" s="516" t="n">
        <v>15500</v>
      </c>
      <c r="L88" s="495" t="n">
        <f aca="false">J88-K88</f>
        <v>0</v>
      </c>
      <c r="M88" s="580" t="n">
        <f aca="false">J88/F88</f>
        <v>50</v>
      </c>
      <c r="N88" s="580" t="n">
        <f aca="false">K88/F88</f>
        <v>50</v>
      </c>
      <c r="O88" s="580" t="n">
        <f aca="false">N88</f>
        <v>50</v>
      </c>
      <c r="P88" s="574" t="s">
        <v>54</v>
      </c>
      <c r="Q88" s="542" t="s">
        <v>64</v>
      </c>
      <c r="R88" s="542" t="s">
        <v>967</v>
      </c>
      <c r="S88" s="489" t="s">
        <v>1219</v>
      </c>
      <c r="T88" s="608" t="s">
        <v>146</v>
      </c>
      <c r="U88" s="613"/>
    </row>
    <row r="89" customFormat="false" ht="55.5" hidden="false" customHeight="true" outlineLevel="0" collapsed="false">
      <c r="B89" s="592" t="n">
        <v>8</v>
      </c>
      <c r="C89" s="505" t="s">
        <v>1220</v>
      </c>
      <c r="D89" s="605" t="s">
        <v>1223</v>
      </c>
      <c r="E89" s="606" t="s">
        <v>51</v>
      </c>
      <c r="F89" s="583" t="n">
        <v>215</v>
      </c>
      <c r="G89" s="536" t="n">
        <v>45748</v>
      </c>
      <c r="H89" s="505" t="s">
        <v>1224</v>
      </c>
      <c r="I89" s="537" t="s">
        <v>1218</v>
      </c>
      <c r="J89" s="516" t="n">
        <v>11502</v>
      </c>
      <c r="K89" s="516" t="n">
        <v>10200</v>
      </c>
      <c r="L89" s="495" t="n">
        <f aca="false">J89-K89</f>
        <v>1302</v>
      </c>
      <c r="M89" s="580" t="n">
        <f aca="false">J89/F89</f>
        <v>53.4976744186047</v>
      </c>
      <c r="N89" s="580" t="n">
        <f aca="false">K89/F89</f>
        <v>47.4418604651163</v>
      </c>
      <c r="O89" s="607" t="n">
        <f aca="false">N89</f>
        <v>47.4418604651163</v>
      </c>
      <c r="P89" s="574" t="s">
        <v>54</v>
      </c>
      <c r="Q89" s="542" t="s">
        <v>64</v>
      </c>
      <c r="R89" s="542" t="s">
        <v>967</v>
      </c>
      <c r="S89" s="489" t="s">
        <v>1219</v>
      </c>
      <c r="T89" s="608" t="s">
        <v>146</v>
      </c>
      <c r="U89" s="613"/>
    </row>
    <row r="90" customFormat="false" ht="55.5" hidden="false" customHeight="true" outlineLevel="0" collapsed="false">
      <c r="B90" s="592" t="n">
        <v>9</v>
      </c>
      <c r="C90" s="505" t="s">
        <v>1225</v>
      </c>
      <c r="D90" s="605" t="s">
        <v>582</v>
      </c>
      <c r="E90" s="606" t="s">
        <v>51</v>
      </c>
      <c r="F90" s="583" t="n">
        <v>607</v>
      </c>
      <c r="G90" s="536" t="n">
        <v>45713</v>
      </c>
      <c r="H90" s="505" t="s">
        <v>1226</v>
      </c>
      <c r="I90" s="537" t="s">
        <v>1227</v>
      </c>
      <c r="J90" s="516" t="n">
        <v>27000</v>
      </c>
      <c r="K90" s="516" t="n">
        <v>25000</v>
      </c>
      <c r="L90" s="495" t="n">
        <f aca="false">J90-K90</f>
        <v>2000</v>
      </c>
      <c r="M90" s="580" t="n">
        <v>44.48</v>
      </c>
      <c r="N90" s="580" t="n">
        <v>41.39</v>
      </c>
      <c r="O90" s="607" t="n">
        <v>41.39</v>
      </c>
      <c r="P90" s="542" t="s">
        <v>1228</v>
      </c>
      <c r="Q90" s="542" t="s">
        <v>64</v>
      </c>
      <c r="R90" s="542" t="s">
        <v>91</v>
      </c>
      <c r="S90" s="488" t="s">
        <v>1229</v>
      </c>
      <c r="T90" s="614" t="s">
        <v>936</v>
      </c>
      <c r="U90" s="613"/>
    </row>
    <row r="91" customFormat="false" ht="55.5" hidden="false" customHeight="true" outlineLevel="0" collapsed="false">
      <c r="B91" s="592" t="n">
        <v>10</v>
      </c>
      <c r="C91" s="505" t="s">
        <v>1225</v>
      </c>
      <c r="D91" s="605" t="s">
        <v>582</v>
      </c>
      <c r="E91" s="606" t="s">
        <v>51</v>
      </c>
      <c r="F91" s="583" t="n">
        <v>662</v>
      </c>
      <c r="G91" s="536" t="n">
        <v>45713</v>
      </c>
      <c r="H91" s="505" t="s">
        <v>1226</v>
      </c>
      <c r="I91" s="537" t="s">
        <v>1230</v>
      </c>
      <c r="J91" s="516" t="n">
        <v>22000</v>
      </c>
      <c r="K91" s="516" t="n">
        <v>20500</v>
      </c>
      <c r="L91" s="495" t="n">
        <v>1500</v>
      </c>
      <c r="M91" s="580" t="n">
        <v>33.23</v>
      </c>
      <c r="N91" s="580" t="n">
        <v>30.97</v>
      </c>
      <c r="O91" s="607" t="n">
        <v>30.21</v>
      </c>
      <c r="P91" s="542" t="s">
        <v>1228</v>
      </c>
      <c r="Q91" s="542" t="s">
        <v>64</v>
      </c>
      <c r="R91" s="542" t="s">
        <v>91</v>
      </c>
      <c r="S91" s="488" t="s">
        <v>1229</v>
      </c>
      <c r="T91" s="614" t="s">
        <v>936</v>
      </c>
      <c r="U91" s="613"/>
    </row>
    <row r="92" customFormat="false" ht="55.5" hidden="false" customHeight="true" outlineLevel="0" collapsed="false">
      <c r="B92" s="592" t="n">
        <v>11</v>
      </c>
      <c r="C92" s="505" t="s">
        <v>1231</v>
      </c>
      <c r="D92" s="605" t="s">
        <v>582</v>
      </c>
      <c r="E92" s="606" t="s">
        <v>51</v>
      </c>
      <c r="F92" s="583" t="n">
        <v>2085</v>
      </c>
      <c r="G92" s="536" t="n">
        <v>45691</v>
      </c>
      <c r="H92" s="505" t="s">
        <v>1232</v>
      </c>
      <c r="I92" s="537" t="s">
        <v>1233</v>
      </c>
      <c r="J92" s="516" t="n">
        <v>90000</v>
      </c>
      <c r="K92" s="516" t="n">
        <v>80000</v>
      </c>
      <c r="L92" s="495" t="n">
        <v>10000</v>
      </c>
      <c r="M92" s="580" t="n">
        <f aca="false">J92/F92</f>
        <v>43.1654676258993</v>
      </c>
      <c r="N92" s="580" t="n">
        <f aca="false">K92/F92</f>
        <v>38.3693045563549</v>
      </c>
      <c r="O92" s="607" t="n">
        <f aca="false">N92</f>
        <v>38.3693045563549</v>
      </c>
      <c r="P92" s="574" t="s">
        <v>54</v>
      </c>
      <c r="Q92" s="542" t="s">
        <v>64</v>
      </c>
      <c r="R92" s="542" t="s">
        <v>91</v>
      </c>
      <c r="S92" s="488" t="s">
        <v>1234</v>
      </c>
      <c r="T92" s="615" t="s">
        <v>936</v>
      </c>
      <c r="U92" s="613"/>
    </row>
    <row r="93" customFormat="false" ht="55.5" hidden="false" customHeight="true" outlineLevel="0" collapsed="false">
      <c r="B93" s="592" t="n">
        <v>12</v>
      </c>
      <c r="C93" s="490" t="s">
        <v>1235</v>
      </c>
      <c r="D93" s="605" t="s">
        <v>582</v>
      </c>
      <c r="E93" s="606" t="s">
        <v>51</v>
      </c>
      <c r="F93" s="583" t="n">
        <v>2323</v>
      </c>
      <c r="G93" s="485" t="n">
        <v>45632</v>
      </c>
      <c r="H93" s="505" t="s">
        <v>1236</v>
      </c>
      <c r="I93" s="616" t="s">
        <v>1237</v>
      </c>
      <c r="J93" s="483" t="n">
        <v>110000</v>
      </c>
      <c r="K93" s="483" t="n">
        <v>108000</v>
      </c>
      <c r="L93" s="495" t="n">
        <f aca="false">J93-K93</f>
        <v>2000</v>
      </c>
      <c r="M93" s="580" t="n">
        <f aca="false">J93/F93</f>
        <v>47.3525613430908</v>
      </c>
      <c r="N93" s="580" t="n">
        <f aca="false">K93/F93</f>
        <v>46.4916056823074</v>
      </c>
      <c r="O93" s="584" t="n">
        <v>44</v>
      </c>
      <c r="P93" s="574" t="s">
        <v>84</v>
      </c>
      <c r="Q93" s="542" t="s">
        <v>64</v>
      </c>
      <c r="R93" s="574" t="s">
        <v>967</v>
      </c>
      <c r="S93" s="477" t="s">
        <v>1238</v>
      </c>
      <c r="T93" s="517" t="s">
        <v>146</v>
      </c>
      <c r="U93" s="613"/>
    </row>
    <row r="94" customFormat="false" ht="43.25" hidden="false" customHeight="false" outlineLevel="0" collapsed="false">
      <c r="B94" s="592" t="n">
        <v>13</v>
      </c>
      <c r="C94" s="505" t="s">
        <v>1239</v>
      </c>
      <c r="D94" s="605" t="s">
        <v>1240</v>
      </c>
      <c r="E94" s="606" t="s">
        <v>51</v>
      </c>
      <c r="F94" s="542" t="n">
        <v>600</v>
      </c>
      <c r="G94" s="542" t="s">
        <v>985</v>
      </c>
      <c r="H94" s="505" t="s">
        <v>1241</v>
      </c>
      <c r="I94" s="617" t="s">
        <v>1242</v>
      </c>
      <c r="J94" s="618" t="n">
        <v>41600</v>
      </c>
      <c r="K94" s="583" t="n">
        <v>40950</v>
      </c>
      <c r="L94" s="495" t="n">
        <f aca="false">J94-K94</f>
        <v>650</v>
      </c>
      <c r="M94" s="580" t="n">
        <f aca="false">J94/F94</f>
        <v>69.3333333333333</v>
      </c>
      <c r="N94" s="580" t="n">
        <f aca="false">K94/F94</f>
        <v>68.25</v>
      </c>
      <c r="O94" s="619" t="n">
        <v>60.23</v>
      </c>
      <c r="P94" s="542" t="s">
        <v>196</v>
      </c>
      <c r="Q94" s="542" t="s">
        <v>196</v>
      </c>
      <c r="R94" s="542" t="s">
        <v>91</v>
      </c>
      <c r="S94" s="488" t="s">
        <v>1059</v>
      </c>
      <c r="T94" s="620" t="s">
        <v>936</v>
      </c>
      <c r="U94" s="613"/>
    </row>
    <row r="95" customFormat="false" ht="64.15" hidden="false" customHeight="false" outlineLevel="0" collapsed="false">
      <c r="B95" s="592" t="n">
        <v>14</v>
      </c>
      <c r="C95" s="490" t="s">
        <v>1243</v>
      </c>
      <c r="D95" s="605" t="s">
        <v>512</v>
      </c>
      <c r="E95" s="606" t="s">
        <v>51</v>
      </c>
      <c r="F95" s="490" t="n">
        <v>94</v>
      </c>
      <c r="G95" s="485" t="n">
        <v>45748</v>
      </c>
      <c r="H95" s="505" t="s">
        <v>1244</v>
      </c>
      <c r="I95" s="477" t="s">
        <v>1245</v>
      </c>
      <c r="J95" s="495" t="n">
        <v>7200</v>
      </c>
      <c r="K95" s="515" t="n">
        <v>6950</v>
      </c>
      <c r="L95" s="495" t="n">
        <f aca="false">J95-K95</f>
        <v>250</v>
      </c>
      <c r="M95" s="580" t="n">
        <f aca="false">J95/F95</f>
        <v>76.5957446808511</v>
      </c>
      <c r="N95" s="580" t="n">
        <f aca="false">K95/F95</f>
        <v>73.936170212766</v>
      </c>
      <c r="O95" s="491" t="s">
        <v>1246</v>
      </c>
      <c r="P95" s="491" t="s">
        <v>1247</v>
      </c>
      <c r="Q95" s="490" t="s">
        <v>64</v>
      </c>
      <c r="R95" s="517" t="s">
        <v>91</v>
      </c>
      <c r="S95" s="488" t="s">
        <v>1059</v>
      </c>
      <c r="T95" s="620" t="s">
        <v>141</v>
      </c>
      <c r="U95" s="613"/>
    </row>
    <row r="96" customFormat="false" ht="43.25" hidden="false" customHeight="false" outlineLevel="0" collapsed="false">
      <c r="B96" s="592" t="n">
        <v>15</v>
      </c>
      <c r="C96" s="505" t="s">
        <v>1248</v>
      </c>
      <c r="D96" s="490" t="s">
        <v>50</v>
      </c>
      <c r="E96" s="490" t="s">
        <v>51</v>
      </c>
      <c r="F96" s="621" t="n">
        <v>807</v>
      </c>
      <c r="G96" s="536" t="n">
        <v>45791</v>
      </c>
      <c r="H96" s="505" t="s">
        <v>1226</v>
      </c>
      <c r="I96" s="617" t="s">
        <v>1249</v>
      </c>
      <c r="J96" s="622" t="n">
        <v>48420</v>
      </c>
      <c r="K96" s="623" t="n">
        <v>34320</v>
      </c>
      <c r="L96" s="539" t="n">
        <f aca="false">J96-K96</f>
        <v>14100</v>
      </c>
      <c r="M96" s="540" t="n">
        <f aca="false">J96/F96</f>
        <v>60</v>
      </c>
      <c r="N96" s="540" t="n">
        <f aca="false">K96/F96</f>
        <v>42.5278810408922</v>
      </c>
      <c r="O96" s="624" t="n">
        <v>42.73</v>
      </c>
      <c r="P96" s="542" t="s">
        <v>84</v>
      </c>
      <c r="Q96" s="542" t="s">
        <v>64</v>
      </c>
      <c r="R96" s="542" t="s">
        <v>967</v>
      </c>
      <c r="S96" s="488" t="s">
        <v>46</v>
      </c>
      <c r="T96" s="542" t="s">
        <v>110</v>
      </c>
      <c r="U96" s="506" t="n">
        <v>45877</v>
      </c>
    </row>
    <row r="97" customFormat="false" ht="49.95" hidden="false" customHeight="false" outlineLevel="0" collapsed="false">
      <c r="B97" s="592" t="n">
        <v>16</v>
      </c>
      <c r="C97" s="505" t="s">
        <v>1211</v>
      </c>
      <c r="D97" s="505" t="s">
        <v>1207</v>
      </c>
      <c r="E97" s="490" t="s">
        <v>51</v>
      </c>
      <c r="F97" s="535" t="n">
        <v>309</v>
      </c>
      <c r="G97" s="536" t="n">
        <v>45740</v>
      </c>
      <c r="H97" s="505" t="s">
        <v>1250</v>
      </c>
      <c r="I97" s="537" t="s">
        <v>1251</v>
      </c>
      <c r="J97" s="538" t="n">
        <v>17922</v>
      </c>
      <c r="K97" s="538" t="n">
        <v>16000</v>
      </c>
      <c r="L97" s="539" t="n">
        <f aca="false">J97-K97</f>
        <v>1922</v>
      </c>
      <c r="M97" s="540" t="n">
        <f aca="false">J97/F97</f>
        <v>58</v>
      </c>
      <c r="N97" s="540" t="n">
        <f aca="false">K97/F97</f>
        <v>51.7799352750809</v>
      </c>
      <c r="O97" s="541" t="n">
        <v>48.54</v>
      </c>
      <c r="P97" s="574" t="s">
        <v>54</v>
      </c>
      <c r="Q97" s="542" t="s">
        <v>64</v>
      </c>
      <c r="R97" s="542" t="s">
        <v>1106</v>
      </c>
      <c r="S97" s="489" t="s">
        <v>1252</v>
      </c>
      <c r="T97" s="505" t="s">
        <v>58</v>
      </c>
      <c r="U97" s="506" t="n">
        <v>45863</v>
      </c>
    </row>
    <row r="98" customFormat="false" ht="35.05" hidden="false" customHeight="false" outlineLevel="0" collapsed="false">
      <c r="B98" s="592" t="n">
        <v>17</v>
      </c>
      <c r="C98" s="625" t="s">
        <v>1253</v>
      </c>
      <c r="D98" s="524" t="s">
        <v>80</v>
      </c>
      <c r="E98" s="534" t="s">
        <v>51</v>
      </c>
      <c r="F98" s="550" t="n">
        <v>4463</v>
      </c>
      <c r="G98" s="626" t="n">
        <v>45790</v>
      </c>
      <c r="H98" s="543" t="s">
        <v>1254</v>
      </c>
      <c r="I98" s="627" t="s">
        <v>1255</v>
      </c>
      <c r="J98" s="628" t="n">
        <v>375750</v>
      </c>
      <c r="K98" s="629" t="n">
        <v>367290</v>
      </c>
      <c r="L98" s="100" t="n">
        <f aca="false">J98-K98</f>
        <v>8460</v>
      </c>
      <c r="M98" s="101" t="n">
        <f aca="false">J98/F98</f>
        <v>84.1922473672418</v>
      </c>
      <c r="N98" s="101" t="n">
        <f aca="false">K98/F98</f>
        <v>82.2966614384943</v>
      </c>
      <c r="O98" s="630" t="n">
        <v>82.46</v>
      </c>
      <c r="P98" s="543" t="s">
        <v>84</v>
      </c>
      <c r="Q98" s="543" t="s">
        <v>64</v>
      </c>
      <c r="R98" s="543" t="s">
        <v>1106</v>
      </c>
      <c r="S98" s="631" t="s">
        <v>1256</v>
      </c>
      <c r="T98" s="543" t="s">
        <v>58</v>
      </c>
      <c r="U98" s="506" t="n">
        <v>45898</v>
      </c>
    </row>
    <row r="99" customFormat="false" ht="46.25" hidden="false" customHeight="false" outlineLevel="0" collapsed="false">
      <c r="B99" s="592" t="n">
        <v>18</v>
      </c>
      <c r="C99" s="625" t="s">
        <v>1257</v>
      </c>
      <c r="D99" s="524" t="s">
        <v>1258</v>
      </c>
      <c r="E99" s="534" t="s">
        <v>51</v>
      </c>
      <c r="F99" s="550" t="n">
        <v>580</v>
      </c>
      <c r="G99" s="626" t="s">
        <v>985</v>
      </c>
      <c r="H99" s="543" t="s">
        <v>1259</v>
      </c>
      <c r="I99" s="627" t="s">
        <v>1260</v>
      </c>
      <c r="J99" s="628" t="n">
        <v>42016</v>
      </c>
      <c r="K99" s="629" t="n">
        <v>42016</v>
      </c>
      <c r="L99" s="100" t="n">
        <f aca="false">J99-K99</f>
        <v>0</v>
      </c>
      <c r="M99" s="101" t="n">
        <f aca="false">J99/F99</f>
        <v>72.4413793103448</v>
      </c>
      <c r="N99" s="101" t="n">
        <f aca="false">K99/F99</f>
        <v>72.4413793103448</v>
      </c>
      <c r="O99" s="630" t="n">
        <v>45.68</v>
      </c>
      <c r="P99" s="543" t="s">
        <v>196</v>
      </c>
      <c r="Q99" s="543" t="s">
        <v>196</v>
      </c>
      <c r="R99" s="543" t="s">
        <v>1261</v>
      </c>
      <c r="S99" s="625" t="s">
        <v>1103</v>
      </c>
      <c r="T99" s="543" t="s">
        <v>936</v>
      </c>
      <c r="U99" s="506" t="n">
        <v>45905</v>
      </c>
    </row>
    <row r="100" customFormat="false" ht="57.45" hidden="false" customHeight="false" outlineLevel="0" collapsed="false">
      <c r="B100" s="592" t="n">
        <v>19</v>
      </c>
      <c r="C100" s="625" t="s">
        <v>313</v>
      </c>
      <c r="D100" s="524" t="s">
        <v>1262</v>
      </c>
      <c r="E100" s="534" t="s">
        <v>51</v>
      </c>
      <c r="F100" s="550" t="n">
        <v>7519</v>
      </c>
      <c r="G100" s="626" t="n">
        <v>45733</v>
      </c>
      <c r="H100" s="632" t="s">
        <v>1263</v>
      </c>
      <c r="I100" s="537" t="s">
        <v>1264</v>
      </c>
      <c r="J100" s="633" t="n">
        <v>505000</v>
      </c>
      <c r="K100" s="634" t="n">
        <v>450600</v>
      </c>
      <c r="L100" s="100" t="n">
        <f aca="false">J100-K100</f>
        <v>54400</v>
      </c>
      <c r="M100" s="101" t="n">
        <f aca="false">J100/F100</f>
        <v>67.163186593962</v>
      </c>
      <c r="N100" s="101" t="n">
        <f aca="false">K100/F100</f>
        <v>59.9281819390876</v>
      </c>
      <c r="O100" s="102" t="n">
        <v>62.94</v>
      </c>
      <c r="P100" s="543" t="s">
        <v>960</v>
      </c>
      <c r="Q100" s="543" t="s">
        <v>64</v>
      </c>
      <c r="R100" s="543" t="s">
        <v>967</v>
      </c>
      <c r="S100" s="631" t="s">
        <v>1265</v>
      </c>
      <c r="T100" s="524" t="s">
        <v>78</v>
      </c>
      <c r="U100" s="506" t="n">
        <v>45906</v>
      </c>
    </row>
    <row r="101" customFormat="false" ht="121.5" hidden="false" customHeight="true" outlineLevel="0" collapsed="false">
      <c r="B101" s="592" t="n">
        <v>20</v>
      </c>
      <c r="C101" s="505" t="s">
        <v>1266</v>
      </c>
      <c r="D101" s="505" t="s">
        <v>1267</v>
      </c>
      <c r="E101" s="490" t="s">
        <v>51</v>
      </c>
      <c r="F101" s="535" t="n">
        <v>2304</v>
      </c>
      <c r="G101" s="536" t="n">
        <v>45719</v>
      </c>
      <c r="H101" s="505" t="s">
        <v>1268</v>
      </c>
      <c r="I101" s="537" t="s">
        <v>1269</v>
      </c>
      <c r="J101" s="538" t="n">
        <v>475000</v>
      </c>
      <c r="K101" s="538" t="n">
        <v>255000</v>
      </c>
      <c r="L101" s="539" t="n">
        <f aca="false">J101-K101</f>
        <v>220000</v>
      </c>
      <c r="M101" s="540" t="n">
        <f aca="false">J101/F101</f>
        <v>206.163194444444</v>
      </c>
      <c r="N101" s="540" t="n">
        <f aca="false">K101/F101</f>
        <v>110.677083333333</v>
      </c>
      <c r="O101" s="541" t="n">
        <f aca="false">N101</f>
        <v>110.677083333333</v>
      </c>
      <c r="P101" s="542" t="s">
        <v>84</v>
      </c>
      <c r="Q101" s="542"/>
      <c r="R101" s="542" t="s">
        <v>56</v>
      </c>
      <c r="S101" s="489" t="s">
        <v>1270</v>
      </c>
      <c r="T101" s="505" t="s">
        <v>78</v>
      </c>
      <c r="U101" s="613"/>
    </row>
    <row r="102" customFormat="false" ht="121.5" hidden="false" customHeight="true" outlineLevel="0" collapsed="false">
      <c r="B102" s="592" t="n">
        <v>21</v>
      </c>
      <c r="C102" s="625" t="s">
        <v>1271</v>
      </c>
      <c r="D102" s="524" t="s">
        <v>80</v>
      </c>
      <c r="E102" s="534" t="s">
        <v>51</v>
      </c>
      <c r="F102" s="550" t="n">
        <v>1640</v>
      </c>
      <c r="G102" s="626" t="n">
        <v>45789</v>
      </c>
      <c r="H102" s="543" t="s">
        <v>1272</v>
      </c>
      <c r="I102" s="627" t="s">
        <v>1255</v>
      </c>
      <c r="J102" s="628" t="n">
        <v>116000</v>
      </c>
      <c r="K102" s="629" t="n">
        <v>101000</v>
      </c>
      <c r="L102" s="100" t="n">
        <f aca="false">J102-K102</f>
        <v>15000</v>
      </c>
      <c r="M102" s="101" t="n">
        <f aca="false">J102/F102</f>
        <v>70.7317073170732</v>
      </c>
      <c r="N102" s="101" t="n">
        <f aca="false">K102/F102</f>
        <v>61.5853658536585</v>
      </c>
      <c r="O102" s="630" t="n">
        <v>70</v>
      </c>
      <c r="P102" s="543" t="s">
        <v>84</v>
      </c>
      <c r="Q102" s="543" t="s">
        <v>64</v>
      </c>
      <c r="R102" s="635" t="s">
        <v>91</v>
      </c>
      <c r="S102" s="625" t="s">
        <v>1273</v>
      </c>
      <c r="T102" s="543" t="s">
        <v>58</v>
      </c>
      <c r="U102" s="506" t="n">
        <v>45912</v>
      </c>
    </row>
    <row r="103" customFormat="false" ht="121.5" hidden="false" customHeight="true" outlineLevel="0" collapsed="false">
      <c r="B103" s="592" t="n">
        <v>22</v>
      </c>
      <c r="C103" s="525" t="s">
        <v>1274</v>
      </c>
      <c r="D103" s="534" t="s">
        <v>215</v>
      </c>
      <c r="E103" s="523" t="s">
        <v>51</v>
      </c>
      <c r="F103" s="551" t="n">
        <v>620</v>
      </c>
      <c r="G103" s="552" t="s">
        <v>1275</v>
      </c>
      <c r="H103" s="553" t="s">
        <v>1276</v>
      </c>
      <c r="I103" s="636" t="s">
        <v>1277</v>
      </c>
      <c r="J103" s="555" t="n">
        <v>37000</v>
      </c>
      <c r="K103" s="556" t="n">
        <v>33480</v>
      </c>
      <c r="L103" s="100" t="n">
        <f aca="false">J103-K103</f>
        <v>3520</v>
      </c>
      <c r="M103" s="101" t="n">
        <f aca="false">J103/F103</f>
        <v>59.6774193548387</v>
      </c>
      <c r="N103" s="637" t="n">
        <f aca="false">K103/F103</f>
        <v>54</v>
      </c>
      <c r="O103" s="638" t="n">
        <v>58.06</v>
      </c>
      <c r="P103" s="557" t="s">
        <v>1278</v>
      </c>
      <c r="Q103" s="534" t="s">
        <v>64</v>
      </c>
      <c r="R103" s="533" t="s">
        <v>91</v>
      </c>
      <c r="S103" s="548" t="s">
        <v>1279</v>
      </c>
      <c r="T103" s="533" t="s">
        <v>64</v>
      </c>
      <c r="U103" s="506" t="n">
        <v>45912</v>
      </c>
    </row>
    <row r="104" customFormat="false" ht="121.5" hidden="false" customHeight="true" outlineLevel="0" collapsed="false">
      <c r="B104" s="592" t="n">
        <v>23</v>
      </c>
      <c r="C104" s="525" t="s">
        <v>1280</v>
      </c>
      <c r="D104" s="534" t="s">
        <v>1164</v>
      </c>
      <c r="E104" s="523" t="s">
        <v>51</v>
      </c>
      <c r="F104" s="639" t="n">
        <v>85</v>
      </c>
      <c r="G104" s="552"/>
      <c r="H104" s="553" t="s">
        <v>1165</v>
      </c>
      <c r="I104" s="548" t="s">
        <v>1281</v>
      </c>
      <c r="J104" s="555" t="n">
        <v>71662.5</v>
      </c>
      <c r="K104" s="640" t="n">
        <v>68250</v>
      </c>
      <c r="L104" s="641" t="n">
        <f aca="false">J104-K104</f>
        <v>3412.5</v>
      </c>
      <c r="M104" s="101" t="n">
        <f aca="false">J104/F104</f>
        <v>843.088235294118</v>
      </c>
      <c r="N104" s="642" t="n">
        <f aca="false">K104/F104</f>
        <v>802.941176470588</v>
      </c>
      <c r="O104" s="545" t="n">
        <v>65000</v>
      </c>
      <c r="P104" s="643" t="s">
        <v>1282</v>
      </c>
      <c r="Q104" s="534" t="s">
        <v>64</v>
      </c>
      <c r="R104" s="533" t="s">
        <v>91</v>
      </c>
      <c r="S104" s="548" t="s">
        <v>1281</v>
      </c>
      <c r="T104" s="533" t="s">
        <v>78</v>
      </c>
      <c r="U104" s="506" t="n">
        <v>45919</v>
      </c>
    </row>
    <row r="105" customFormat="false" ht="121.5" hidden="false" customHeight="true" outlineLevel="0" collapsed="false">
      <c r="B105" s="592" t="n">
        <v>24</v>
      </c>
      <c r="C105" s="625" t="s">
        <v>1087</v>
      </c>
      <c r="D105" s="534" t="s">
        <v>50</v>
      </c>
      <c r="E105" s="534" t="s">
        <v>51</v>
      </c>
      <c r="F105" s="544" t="n">
        <v>1989</v>
      </c>
      <c r="G105" s="523" t="n">
        <v>45817</v>
      </c>
      <c r="H105" s="543" t="s">
        <v>1283</v>
      </c>
      <c r="I105" s="525" t="s">
        <v>1284</v>
      </c>
      <c r="J105" s="545" t="n">
        <v>93000</v>
      </c>
      <c r="K105" s="644" t="n">
        <v>82575</v>
      </c>
      <c r="L105" s="100" t="n">
        <f aca="false">J105-K105</f>
        <v>10425</v>
      </c>
      <c r="M105" s="101" t="n">
        <f aca="false">J105/F105</f>
        <v>46.7571644042232</v>
      </c>
      <c r="N105" s="101" t="n">
        <f aca="false">K105/F105</f>
        <v>41.5158371040724</v>
      </c>
      <c r="O105" s="630" t="n">
        <v>37.71</v>
      </c>
      <c r="P105" s="533" t="s">
        <v>84</v>
      </c>
      <c r="Q105" s="534" t="s">
        <v>1046</v>
      </c>
      <c r="R105" s="533" t="s">
        <v>91</v>
      </c>
      <c r="S105" s="548" t="s">
        <v>1285</v>
      </c>
      <c r="T105" s="534" t="s">
        <v>78</v>
      </c>
      <c r="U105" s="506" t="n">
        <v>45919</v>
      </c>
    </row>
    <row r="106" customFormat="false" ht="46.25" hidden="false" customHeight="false" outlineLevel="0" collapsed="false">
      <c r="B106" s="592" t="n">
        <v>25</v>
      </c>
      <c r="C106" s="525" t="s">
        <v>235</v>
      </c>
      <c r="D106" s="534" t="s">
        <v>1286</v>
      </c>
      <c r="E106" s="523" t="s">
        <v>51</v>
      </c>
      <c r="F106" s="639" t="n">
        <v>1524</v>
      </c>
      <c r="G106" s="552" t="n">
        <v>45903</v>
      </c>
      <c r="H106" s="553" t="s">
        <v>1287</v>
      </c>
      <c r="I106" s="645" t="s">
        <v>1288</v>
      </c>
      <c r="J106" s="555" t="n">
        <v>72000</v>
      </c>
      <c r="K106" s="640" t="n">
        <v>72000</v>
      </c>
      <c r="L106" s="100" t="n">
        <f aca="false">J106-K106</f>
        <v>0</v>
      </c>
      <c r="M106" s="101" t="n">
        <f aca="false">J106/F106</f>
        <v>47.244094488189</v>
      </c>
      <c r="N106" s="101" t="n">
        <f aca="false">K106/F106</f>
        <v>47.244094488189</v>
      </c>
      <c r="O106" s="102" t="n">
        <f aca="false">J106/F106</f>
        <v>47.244094488189</v>
      </c>
      <c r="P106" s="646" t="s">
        <v>54</v>
      </c>
      <c r="Q106" s="534" t="s">
        <v>64</v>
      </c>
      <c r="R106" s="533" t="s">
        <v>91</v>
      </c>
      <c r="S106" s="548" t="s">
        <v>1289</v>
      </c>
      <c r="T106" s="533" t="s">
        <v>936</v>
      </c>
      <c r="U106" s="506" t="n">
        <v>45933</v>
      </c>
    </row>
    <row r="108" customFormat="false" ht="15.75" hidden="false" customHeight="false" outlineLevel="0" collapsed="false">
      <c r="B108" s="459" t="s">
        <v>1290</v>
      </c>
    </row>
    <row r="109" customFormat="false" ht="64.15" hidden="false" customHeight="false" outlineLevel="0" collapsed="false">
      <c r="B109" s="488" t="s">
        <v>1291</v>
      </c>
      <c r="C109" s="487" t="n">
        <v>250</v>
      </c>
      <c r="D109" s="488" t="s">
        <v>1292</v>
      </c>
      <c r="E109" s="488"/>
      <c r="F109" s="488"/>
      <c r="G109" s="488" t="s">
        <v>1293</v>
      </c>
      <c r="H109" s="647" t="n">
        <v>1677</v>
      </c>
      <c r="I109" s="613"/>
      <c r="J109" s="617" t="s">
        <v>967</v>
      </c>
      <c r="K109" s="505" t="s">
        <v>1294</v>
      </c>
      <c r="L109" s="505"/>
      <c r="M109" s="488" t="s">
        <v>1295</v>
      </c>
    </row>
    <row r="110" customFormat="false" ht="169.4" hidden="false" customHeight="false" outlineLevel="0" collapsed="false">
      <c r="B110" s="625" t="s">
        <v>1296</v>
      </c>
      <c r="C110" s="648" t="n">
        <v>3299</v>
      </c>
      <c r="D110" s="625" t="s">
        <v>1297</v>
      </c>
      <c r="E110" s="625"/>
      <c r="F110" s="625"/>
      <c r="G110" s="649" t="s">
        <v>1298</v>
      </c>
      <c r="H110" s="650" t="n">
        <f aca="false">193200/4</f>
        <v>48300</v>
      </c>
      <c r="I110" s="649" t="n">
        <f aca="false">H110/C110*4</f>
        <v>58.5632009699909</v>
      </c>
      <c r="J110" s="617" t="s">
        <v>91</v>
      </c>
      <c r="K110" s="488" t="s">
        <v>46</v>
      </c>
      <c r="L110" s="488"/>
      <c r="M110" s="625" t="s">
        <v>1299</v>
      </c>
    </row>
    <row r="111" customFormat="false" ht="471.6" hidden="false" customHeight="false" outlineLevel="0" collapsed="false">
      <c r="B111" s="651" t="s">
        <v>351</v>
      </c>
      <c r="C111" s="652" t="s">
        <v>1300</v>
      </c>
      <c r="D111" s="653" t="s">
        <v>1301</v>
      </c>
      <c r="E111" s="654" t="n">
        <v>859</v>
      </c>
      <c r="F111" s="655" t="s">
        <v>196</v>
      </c>
      <c r="G111" s="656" t="s">
        <v>1302</v>
      </c>
      <c r="H111" s="657" t="s">
        <v>1303</v>
      </c>
      <c r="I111" s="658" t="n">
        <v>725</v>
      </c>
      <c r="J111" s="640" t="n">
        <v>0</v>
      </c>
      <c r="K111" s="641" t="n">
        <f aca="false">I111-J111</f>
        <v>725</v>
      </c>
      <c r="L111" s="659" t="n">
        <f aca="false">I111/E111</f>
        <v>0.844004656577416</v>
      </c>
      <c r="M111" s="642" t="n">
        <f aca="false">J111/E111</f>
        <v>0</v>
      </c>
      <c r="N111" s="101" t="n">
        <v>62.51</v>
      </c>
      <c r="O111" s="543" t="s">
        <v>196</v>
      </c>
      <c r="P111" s="534" t="s">
        <v>196</v>
      </c>
      <c r="Q111" s="533" t="s">
        <v>91</v>
      </c>
      <c r="R111" s="548" t="s">
        <v>1304</v>
      </c>
      <c r="S111" s="533" t="s">
        <v>64</v>
      </c>
      <c r="T111" s="506" t="n">
        <v>45919</v>
      </c>
    </row>
  </sheetData>
  <conditionalFormatting sqref="R51:R61">
    <cfRule type="containsText" priority="2" operator="containsText" aboveAverage="0" equalAverage="0" bottom="0" percent="0" rank="0" text="Yes" dxfId="21">
      <formula>NOT(ISERROR(SEARCH("Yes",R51)))</formula>
    </cfRule>
  </conditionalFormatting>
  <conditionalFormatting sqref="R103:R106">
    <cfRule type="containsText" priority="3" operator="containsText" aboveAverage="0" equalAverage="0" bottom="0" percent="0" rank="0" text="Yes" dxfId="22">
      <formula>NOT(ISERROR(SEARCH("Yes",R103)))</formula>
    </cfRule>
  </conditionalFormatting>
  <conditionalFormatting sqref="P105">
    <cfRule type="containsText" priority="4" operator="containsText" aboveAverage="0" equalAverage="0" bottom="0" percent="0" rank="0" text="Yes" dxfId="23">
      <formula>NOT(ISERROR(SEARCH("Yes",P105)))</formula>
    </cfRule>
  </conditionalFormatting>
  <conditionalFormatting sqref="N103:N104">
    <cfRule type="containsText" priority="5" operator="containsText" aboveAverage="0" equalAverage="0" bottom="0" percent="0" rank="0" text="Yes" dxfId="24">
      <formula>NOT(ISERROR(SEARCH("Yes",N103)))</formula>
    </cfRule>
  </conditionalFormatting>
  <conditionalFormatting sqref="M111">
    <cfRule type="containsText" priority="6" operator="containsText" aboveAverage="0" equalAverage="0" bottom="0" percent="0" rank="0" text="Yes" dxfId="25">
      <formula>NOT(ISERROR(SEARCH("Yes",M111)))</formula>
    </cfRule>
  </conditionalFormatting>
  <conditionalFormatting sqref="Q111">
    <cfRule type="containsText" priority="7" operator="containsText" aboveAverage="0" equalAverage="0" bottom="0" percent="0" rank="0" text="Yes" dxfId="26">
      <formula>NOT(ISERROR(SEARCH("Yes",Q111)))</formula>
    </cfRule>
  </conditionalFormatting>
  <conditionalFormatting sqref="R94:R102">
    <cfRule type="cellIs" priority="8" operator="equal" aboveAverage="0" equalAverage="0" bottom="0" percent="0" rank="0" text="" dxfId="27">
      <formula>"Yes"</formula>
    </cfRule>
  </conditionalFormatting>
  <conditionalFormatting sqref="L63">
    <cfRule type="cellIs" priority="9" operator="lessThan" aboveAverage="0" equalAverage="0" bottom="0" percent="0" rank="0" text="" dxfId="28">
      <formula>0</formula>
    </cfRule>
  </conditionalFormatting>
  <conditionalFormatting sqref="B63:U63">
    <cfRule type="expression" priority="10" aboveAverage="0" equalAverage="0" bottom="0" percent="0" rank="0" text="" dxfId="29">
      <formula>"Completed"</formula>
    </cfRule>
  </conditionalFormatting>
  <conditionalFormatting sqref="J63:K63 M63:O63">
    <cfRule type="cellIs" priority="11" operator="equal" aboveAverage="0" equalAverage="0" bottom="0" percent="0" rank="0" text="" dxfId="30">
      <formula>"Yes"</formula>
    </cfRule>
  </conditionalFormatting>
  <conditionalFormatting sqref="R23:R49">
    <cfRule type="containsText" priority="12" operator="containsText" aboveAverage="0" equalAverage="0" bottom="0" percent="0" rank="0" text="Yes" dxfId="31">
      <formula>NOT(ISERROR(SEARCH("Yes",R23)))</formula>
    </cfRule>
  </conditionalFormatting>
  <conditionalFormatting sqref="L6">
    <cfRule type="cellIs" priority="13" operator="lessThan" aboveAverage="0" equalAverage="0" bottom="0" percent="0" rank="0" text="" dxfId="32">
      <formula>0</formula>
    </cfRule>
  </conditionalFormatting>
  <conditionalFormatting sqref="P95">
    <cfRule type="containsText" priority="14" operator="containsText" aboveAverage="0" equalAverage="0" bottom="0" percent="0" rank="0" text="Yes" dxfId="33">
      <formula>NOT(ISERROR(SEARCH("Yes",P95)))</formula>
    </cfRule>
  </conditionalFormatting>
  <conditionalFormatting sqref="R50 B82:B106 R93:T93">
    <cfRule type="cellIs" priority="15" operator="equal" aboveAverage="0" equalAverage="0" bottom="0" percent="0" rank="0" text="" dxfId="34">
      <formula>"Yes"</formula>
    </cfRule>
  </conditionalFormatting>
  <conditionalFormatting sqref="R85:T85">
    <cfRule type="cellIs" priority="16" operator="equal" aboveAverage="0" equalAverage="0" bottom="0" percent="0" rank="0" text="" dxfId="35">
      <formula>"Yes"</formula>
    </cfRule>
  </conditionalFormatting>
  <conditionalFormatting sqref="R84:U84">
    <cfRule type="cellIs" priority="17" operator="equal" aboveAverage="0" equalAverage="0" bottom="0" percent="0" rank="0" text="" dxfId="36">
      <formula>"Yes"</formula>
    </cfRule>
  </conditionalFormatting>
  <conditionalFormatting sqref="S28">
    <cfRule type="cellIs" priority="18" operator="equal" aboveAverage="0" equalAverage="0" bottom="0" percent="0" rank="0" text="" dxfId="37">
      <formula>"Yes"</formula>
    </cfRule>
    <cfRule type="expression" priority="19" aboveAverage="0" equalAverage="0" bottom="0" percent="0" rank="0" text="" dxfId="38">
      <formula>"Completed"</formula>
    </cfRule>
  </conditionalFormatting>
  <conditionalFormatting sqref="U27:U38">
    <cfRule type="cellIs" priority="20" operator="equal" aboveAverage="0" equalAverage="0" bottom="0" percent="0" rank="0" text="" dxfId="39">
      <formula>"Yes"</formula>
    </cfRule>
    <cfRule type="expression" priority="21" aboveAverage="0" equalAverage="0" bottom="0" percent="0" rank="0" text="" dxfId="40">
      <formula>"Completed"</formula>
    </cfRule>
  </conditionalFormatting>
  <conditionalFormatting sqref="R83:T83">
    <cfRule type="cellIs" priority="22" operator="equal" aboveAverage="0" equalAverage="0" bottom="0" percent="0" rank="0" text="" dxfId="41">
      <formula>"Yes"</formula>
    </cfRule>
  </conditionalFormatting>
  <conditionalFormatting sqref="H109">
    <cfRule type="cellIs" priority="23" operator="equal" aboveAverage="0" equalAverage="0" bottom="0" percent="0" rank="0" text="" dxfId="42">
      <formula>"Yes"</formula>
    </cfRule>
    <cfRule type="expression" priority="24" aboveAverage="0" equalAverage="0" bottom="0" percent="0" rank="0" text="" dxfId="43">
      <formula>"Completed"</formula>
    </cfRule>
  </conditionalFormatting>
  <conditionalFormatting sqref="R72:T80">
    <cfRule type="cellIs" priority="25" operator="equal" aboveAverage="0" equalAverage="0" bottom="0" percent="0" rank="0" text="" dxfId="44">
      <formula>"Yes"</formula>
    </cfRule>
  </conditionalFormatting>
  <conditionalFormatting sqref="R16:R21">
    <cfRule type="containsText" priority="26" operator="containsText" aboveAverage="0" equalAverage="0" bottom="0" percent="0" rank="0" text="Yes" dxfId="45">
      <formula>NOT(ISERROR(SEARCH("Yes",R16)))</formula>
    </cfRule>
  </conditionalFormatting>
  <conditionalFormatting sqref="B6:B21">
    <cfRule type="cellIs" priority="27" operator="equal" aboveAverage="0" equalAverage="0" bottom="0" percent="0" rank="0" text="" dxfId="46">
      <formula>"Yes"</formula>
    </cfRule>
    <cfRule type="expression" priority="28" aboveAverage="0" equalAverage="0" bottom="0" percent="0" rank="0" text="" dxfId="47">
      <formula>"Completed"</formula>
    </cfRule>
  </conditionalFormatting>
  <conditionalFormatting sqref="M6:U6 B64:B80">
    <cfRule type="cellIs" priority="29" operator="equal" aboveAverage="0" equalAverage="0" bottom="0" percent="0" rank="0" text="" dxfId="48">
      <formula>"Yes"</formula>
    </cfRule>
  </conditionalFormatting>
  <conditionalFormatting sqref="U13:U19">
    <cfRule type="cellIs" priority="30" operator="equal" aboveAverage="0" equalAverage="0" bottom="0" percent="0" rank="0" text="" dxfId="49">
      <formula>"Yes"</formula>
    </cfRule>
    <cfRule type="expression" priority="31" aboveAverage="0" equalAverage="0" bottom="0" percent="0" rank="0" text="" dxfId="50">
      <formula>"Completed"</formula>
    </cfRule>
  </conditionalFormatting>
  <conditionalFormatting sqref="R71:S71">
    <cfRule type="cellIs" priority="32" operator="equal" aboveAverage="0" equalAverage="0" bottom="0" percent="0" rank="0" text="" dxfId="51">
      <formula>"Yes"</formula>
    </cfRule>
  </conditionalFormatting>
  <conditionalFormatting sqref="R64:U70">
    <cfRule type="cellIs" priority="33" operator="equal" aboveAverage="0" equalAverage="0" bottom="0" percent="0" rank="0" text="" dxfId="52">
      <formula>"Yes"</formula>
    </cfRule>
  </conditionalFormatting>
  <conditionalFormatting sqref="A12 U12:X12 B23:B53">
    <cfRule type="cellIs" priority="34" operator="equal" aboveAverage="0" equalAverage="0" bottom="0" percent="0" rank="0" text="" dxfId="53">
      <formula>"Yes"</formula>
    </cfRule>
    <cfRule type="expression" priority="35" aboveAverage="0" equalAverage="0" bottom="0" percent="0" rank="0" text="" dxfId="54">
      <formula>"Completed"</formula>
    </cfRule>
  </conditionalFormatting>
  <conditionalFormatting sqref="U11">
    <cfRule type="cellIs" priority="36" operator="equal" aboveAverage="0" equalAverage="0" bottom="0" percent="0" rank="0" text="" dxfId="55">
      <formula>"Yes"</formula>
    </cfRule>
    <cfRule type="expression" priority="37" aboveAverage="0" equalAverage="0" bottom="0" percent="0" rank="0" text="" dxfId="56">
      <formula>"Completed"</formula>
    </cfRule>
  </conditionalFormatting>
  <conditionalFormatting sqref="G6:K6 A10 U10:X10">
    <cfRule type="cellIs" priority="38" operator="equal" aboveAverage="0" equalAverage="0" bottom="0" percent="0" rank="0" text="" dxfId="57">
      <formula>"Yes"</formula>
    </cfRule>
  </conditionalFormatting>
  <conditionalFormatting sqref="C6:U6 A10 U10:X10">
    <cfRule type="expression" priority="39" aboveAverage="0" equalAverage="0" bottom="0" percent="0" rank="0" text="" dxfId="58">
      <formula>"Completed"</formula>
    </cfRule>
  </conditionalFormatting>
  <conditionalFormatting sqref="C6:D6">
    <cfRule type="cellIs" priority="40" operator="equal" aboveAverage="0" equalAverage="0" bottom="0" percent="0" rank="0" text="" dxfId="59">
      <formula>"Yes"</formula>
    </cfRule>
  </conditionalFormatting>
  <conditionalFormatting sqref="U7:U9">
    <cfRule type="cellIs" priority="41" operator="equal" aboveAverage="0" equalAverage="0" bottom="0" percent="0" rank="0" text="" dxfId="60">
      <formula>"Yes"</formula>
    </cfRule>
    <cfRule type="expression" priority="42" aboveAverage="0" equalAverage="0" bottom="0" percent="0" rank="0" text="" dxfId="61">
      <formula>"Completed"</formula>
    </cfRule>
  </conditionalFormatting>
  <hyperlinks>
    <hyperlink ref="P103" r:id="rId2" display="Ufficio.legal@aravfashion.it. Solicitor is based in Ital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B2959E215AE244ABA8B315D7E2E34BA" ma:contentTypeVersion="13" ma:contentTypeDescription="Create a new document." ma:contentTypeScope="" ma:versionID="a311bafa6dcb8cf2453ee2a92056f449">
  <xsd:schema xmlns:xsd="http://www.w3.org/2001/XMLSchema" xmlns:xs="http://www.w3.org/2001/XMLSchema" xmlns:p="http://schemas.microsoft.com/office/2006/metadata/properties" xmlns:ns3="6a34e670-a28b-4b8b-9844-29cc9381d9a5" targetNamespace="http://schemas.microsoft.com/office/2006/metadata/properties" ma:root="true" ma:fieldsID="ce09a72d7dcde8357d5d0b7a38463d61" ns3:_="">
    <xsd:import namespace="6a34e670-a28b-4b8b-9844-29cc9381d9a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bjectDetectorVersions" minOccurs="0"/>
                <xsd:element ref="ns3:MediaServiceSearchProperties" minOccurs="0"/>
                <xsd:element ref="ns3:_activity"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4e670-a28b-4b8b-9844-29cc9381d9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a34e670-a28b-4b8b-9844-29cc9381d9a5" xsi:nil="true"/>
  </documentManagement>
</p:properties>
</file>

<file path=customXml/itemProps1.xml><?xml version="1.0" encoding="utf-8"?>
<ds:datastoreItem xmlns:ds="http://schemas.openxmlformats.org/officeDocument/2006/customXml" ds:itemID="{D6544C0F-280D-4D69-9918-9C7943AB7FA1}">
  <ds:schemaRefs>
    <ds:schemaRef ds:uri="http://schemas.microsoft.com/sharepoint/v3/contenttype/forms"/>
  </ds:schemaRefs>
</ds:datastoreItem>
</file>

<file path=customXml/itemProps2.xml><?xml version="1.0" encoding="utf-8"?>
<ds:datastoreItem xmlns:ds="http://schemas.openxmlformats.org/officeDocument/2006/customXml" ds:itemID="{423D77B6-8136-445A-944C-ACD55AA2ED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34e670-a28b-4b8b-9844-29cc9381d9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8BA6C6-093A-414A-94A7-C586C456FDAF}">
  <ds:schemaRefs>
    <ds:schemaRef ds:uri="6a34e670-a28b-4b8b-9844-29cc9381d9a5"/>
    <ds:schemaRef ds:uri="http://schemas.microsoft.com/office/2006/metadata/properties"/>
    <ds:schemaRef ds:uri="http://purl.org/dc/elements/1.1/"/>
    <ds:schemaRef ds:uri="http://purl.org/dc/dcmitype/"/>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LibreOffice/25.2.6.2$Windows_X86_64 LibreOffice_project/729c5bfe710f5eb71ed3bbde9e06a6065e9c6c5d</Application>
  <AppVersion>15.0000</AppVersion>
  <Company>University of Pennsylvania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2014-03-12T08:29:35Z</dcterms:created>
  <dc:creator>Stephanie Chan</dc:creator>
  <dc:description/>
  <dc:language>en-GB</dc:language>
  <cp:lastModifiedBy/>
  <cp:lastPrinted>2025-11-07T16:17:35Z</cp:lastPrinted>
  <dcterms:modified xsi:type="dcterms:W3CDTF">2025-12-02T12:07:59Z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0x010100BB2959E215AE244ABA8B315D7E2E34BA</vt:lpwstr>
  </property>
</Properties>
</file>