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Bank Schedule" sheetId="1" state="visible" r:id="rId3"/>
    <sheet name="Voids Tab" sheetId="2" state="visible" r:id="rId4"/>
    <sheet name="Tenant Trade" sheetId="3" state="visible" r:id="rId5"/>
    <sheet name="Lease Events " sheetId="4" state="visible" r:id="rId6"/>
    <sheet name="Units" sheetId="5" state="visible" r:id="rId7"/>
    <sheet name="Buildings" sheetId="6" state="visible" r:id="rId8"/>
  </sheets>
  <definedNames>
    <definedName function="false" hidden="false" localSheetId="0" name="_xlnm.Print_Area" vbProcedure="false">'Bank Schedule'!$C$3:$AC$807</definedName>
    <definedName function="false" hidden="false" localSheetId="0" name="_xlnm.Print_Titles" vbProcedure="false">'Bank Schedule'!$1:$3</definedName>
    <definedName function="false" hidden="true" localSheetId="5" name="_xlnm._FilterDatabase" vbProcedure="false">Buildings!$A$2:$F$78</definedName>
    <definedName function="false" hidden="true" localSheetId="2" name="_xlnm._FilterDatabase" vbProcedure="false">'Tenant Trade'!$A$1:$B$1</definedName>
    <definedName function="false" hidden="true" localSheetId="4" name="_xlnm._FilterDatabase" vbProcedure="false">Units!$A$2:$AF$420</definedName>
    <definedName function="false" hidden="true" localSheetId="1" name="_xlnm._FilterDatabase" vbProcedure="false">'Voids Tab'!$A$3:$AC$197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<sst xmlns="http://schemas.openxmlformats.org/spreadsheetml/2006/main" count="8749" uniqueCount="904">
  <si>
    <t xml:space="preserve">Hide</t>
  </si>
  <si>
    <t xml:space="preserve">Surveyor</t>
  </si>
  <si>
    <t xml:space="preserve">Client</t>
  </si>
  <si>
    <t xml:space="preserve">Property Number</t>
  </si>
  <si>
    <t xml:space="preserve">Property</t>
  </si>
  <si>
    <t xml:space="preserve">Unit Demise</t>
  </si>
  <si>
    <t xml:space="preserve">Unit Type</t>
  </si>
  <si>
    <t xml:space="preserve">Net Area</t>
  </si>
  <si>
    <t xml:space="preserve">.</t>
  </si>
  <si>
    <t xml:space="preserve">Agency Area group</t>
  </si>
  <si>
    <t xml:space="preserve">Tenant Name</t>
  </si>
  <si>
    <t xml:space="preserve">Start            Date</t>
  </si>
  <si>
    <t xml:space="preserve">Expiry   Date</t>
  </si>
  <si>
    <t xml:space="preserve">Vacant Since?</t>
  </si>
  <si>
    <t xml:space="preserve">RRs</t>
  </si>
  <si>
    <t xml:space="preserve">Break Date </t>
  </si>
  <si>
    <t xml:space="preserve">Rent PA (£) </t>
  </si>
  <si>
    <t xml:space="preserve">check 1</t>
  </si>
  <si>
    <t xml:space="preserve">check 2</t>
  </si>
  <si>
    <t xml:space="preserve">  2023 ERV (£)</t>
  </si>
  <si>
    <t xml:space="preserve">check 3</t>
  </si>
  <si>
    <t xml:space="preserve">  2025 ERV (£)</t>
  </si>
  <si>
    <t xml:space="preserve">check 4</t>
  </si>
  <si>
    <t xml:space="preserve">ERV 2023 £.Sq.ft</t>
  </si>
  <si>
    <t xml:space="preserve">EPC</t>
  </si>
  <si>
    <t xml:space="preserve">*</t>
  </si>
  <si>
    <t xml:space="preserve">2025 Cap Valn. (£)    </t>
  </si>
  <si>
    <t xml:space="preserve">1954 Act Protected</t>
  </si>
  <si>
    <t xml:space="preserve">Remarks</t>
  </si>
  <si>
    <t xml:space="preserve">Agency Quoting Rent £.sq.ft</t>
  </si>
  <si>
    <t xml:space="preserve">Monthly Viewings</t>
  </si>
  <si>
    <t xml:space="preserve">Total Viewings</t>
  </si>
  <si>
    <t xml:space="preserve">Marketing Agent</t>
  </si>
  <si>
    <t xml:space="preserve">5-6 Bywell Place HELLO</t>
  </si>
  <si>
    <t xml:space="preserve">JM</t>
  </si>
  <si>
    <t xml:space="preserve">MEL</t>
  </si>
  <si>
    <t xml:space="preserve">Whole Building</t>
  </si>
  <si>
    <t xml:space="preserve">Office</t>
  </si>
  <si>
    <t xml:space="preserve">111 Skin Limited</t>
  </si>
  <si>
    <t xml:space="preserve">C</t>
  </si>
  <si>
    <t xml:space="preserve">No</t>
  </si>
  <si>
    <t xml:space="preserve">Tenant break on 6 months notice. Break penalty of £28,875 if exercised.</t>
  </si>
  <si>
    <t xml:space="preserve">5/6 Bywell Place</t>
  </si>
  <si>
    <t xml:space="preserve">22 and 23-25 Eastcastle Street</t>
  </si>
  <si>
    <t xml:space="preserve">SH</t>
  </si>
  <si>
    <t xml:space="preserve">Lower Ground &amp; Ground (22)</t>
  </si>
  <si>
    <t xml:space="preserve">Retail</t>
  </si>
  <si>
    <t xml:space="preserve">Top Bridal Ltd</t>
  </si>
  <si>
    <t xml:space="preserve">Stepped rent increasing to £130,000 wef 20/03/27. Tenant break on 6 months notice.</t>
  </si>
  <si>
    <t xml:space="preserve">Lower Ground &amp; Ground (23-25)</t>
  </si>
  <si>
    <t xml:space="preserve">Gallery</t>
  </si>
  <si>
    <t xml:space="preserve">Sisters Grimm Ltd</t>
  </si>
  <si>
    <t xml:space="preserve">B</t>
  </si>
  <si>
    <t xml:space="preserve">Tenant break on 6 months notice. 1 month rent free from 24/02/28 if break not excerised.</t>
  </si>
  <si>
    <t xml:space="preserve">LEM</t>
  </si>
  <si>
    <t xml:space="preserve">First Floor (22)</t>
  </si>
  <si>
    <t xml:space="preserve">Peter Alexander UK Ltd</t>
  </si>
  <si>
    <t xml:space="preserve">D</t>
  </si>
  <si>
    <t xml:space="preserve">Tenant break on 3 months notice. Additional 3 months rent free if not exercised.</t>
  </si>
  <si>
    <t xml:space="preserve">First Floor (23-25)</t>
  </si>
  <si>
    <t xml:space="preserve">Cord Technologies Ltd</t>
  </si>
  <si>
    <t xml:space="preserve">Second Floor (22)</t>
  </si>
  <si>
    <t xml:space="preserve">Second Floor (23-25)</t>
  </si>
  <si>
    <t xml:space="preserve">Vacant</t>
  </si>
  <si>
    <t xml:space="preserve">LEM marketing.</t>
  </si>
  <si>
    <t xml:space="preserve">Third Floor (22)</t>
  </si>
  <si>
    <t xml:space="preserve">Third Floor (23-25)</t>
  </si>
  <si>
    <t xml:space="preserve">Fourth Floor (22)</t>
  </si>
  <si>
    <t xml:space="preserve">Element Pictures UK Ltd.</t>
  </si>
  <si>
    <t xml:space="preserve">Fourth Floor (23-25)</t>
  </si>
  <si>
    <t xml:space="preserve">Encore Search (Newburgh Street) Ltd.</t>
  </si>
  <si>
    <t xml:space="preserve">Tenant break on 6 months notice. 3 months rent free if not exercised.</t>
  </si>
  <si>
    <t xml:space="preserve">Fifth Floor (23-25)</t>
  </si>
  <si>
    <t xml:space="preserve">Tenant break on 6 months notice.</t>
  </si>
  <si>
    <t xml:space="preserve">Sixth Floor (23-25)</t>
  </si>
  <si>
    <t xml:space="preserve">Garage</t>
  </si>
  <si>
    <t xml:space="preserve">Parking</t>
  </si>
  <si>
    <t xml:space="preserve">Vacant / Landlord</t>
  </si>
  <si>
    <t xml:space="preserve">N/A</t>
  </si>
  <si>
    <t xml:space="preserve">22, 23 &amp; 25 Eastcastle St</t>
  </si>
  <si>
    <t xml:space="preserve">26 Eastcastle Street</t>
  </si>
  <si>
    <t xml:space="preserve">Lower Ground &amp; Ground</t>
  </si>
  <si>
    <t xml:space="preserve">Showroom/ Offices</t>
  </si>
  <si>
    <t xml:space="preserve">Hela Brands Ltd</t>
  </si>
  <si>
    <t xml:space="preserve">Tenant rolling break from 22/12/25 on 4 months notice.</t>
  </si>
  <si>
    <t xml:space="preserve">First Floor</t>
  </si>
  <si>
    <t xml:space="preserve">Offices</t>
  </si>
  <si>
    <t xml:space="preserve">Alternative Real Estate Advisors Ltd</t>
  </si>
  <si>
    <t xml:space="preserve">Rent increases to £98,000 wef 27/06/27. Tenant break on 6 months notice.</t>
  </si>
  <si>
    <t xml:space="preserve">Second Floor</t>
  </si>
  <si>
    <t xml:space="preserve">Third Floor</t>
  </si>
  <si>
    <t xml:space="preserve">Mr. A. Park</t>
  </si>
  <si>
    <t xml:space="preserve">27 - 28 Eastcastle Street</t>
  </si>
  <si>
    <t xml:space="preserve">Showroom / Offices</t>
  </si>
  <si>
    <t xml:space="preserve">The London Hair Clinic Ltd</t>
  </si>
  <si>
    <t xml:space="preserve">Feldberg Capital UK Limited</t>
  </si>
  <si>
    <t xml:space="preserve">All inclusive including rates and furniture.</t>
  </si>
  <si>
    <t xml:space="preserve">MSP Secretaries Ltd.</t>
  </si>
  <si>
    <t xml:space="preserve">Principle Estate Management LLP</t>
  </si>
  <si>
    <t xml:space="preserve">Tenant break on 6 months notice. 2 months rent free if break not exercised.</t>
  </si>
  <si>
    <t xml:space="preserve">27/28 Eastcastle Street</t>
  </si>
  <si>
    <t xml:space="preserve">10 Great Castle Street</t>
  </si>
  <si>
    <t xml:space="preserve">WS</t>
  </si>
  <si>
    <t xml:space="preserve">Basmt. Ground  - 1 to 4 Floors</t>
  </si>
  <si>
    <t xml:space="preserve">Guaranty Trust Bank (UK) Ltd</t>
  </si>
  <si>
    <t xml:space="preserve">Fixed increase to £950,000 wef 29/07/26. 5 yearly rent reviews. Tenant break on 9 months notice. Rent reduces by 20% for 12 months if break not activated. </t>
  </si>
  <si>
    <t xml:space="preserve">8-11 Great Castle Street</t>
  </si>
  <si>
    <t xml:space="preserve">Windsor House, 40-41 Great Castle Street</t>
  </si>
  <si>
    <t xml:space="preserve">Basement &amp; Ground Floor</t>
  </si>
  <si>
    <t xml:space="preserve">Retail/Café</t>
  </si>
  <si>
    <t xml:space="preserve">JRDL UK Ltd.</t>
  </si>
  <si>
    <t xml:space="preserve">Jamieson Stone Services Ltd.</t>
  </si>
  <si>
    <t xml:space="preserve">Arav Fashion UK Ltd.</t>
  </si>
  <si>
    <t xml:space="preserve">Lease renewal terms agreed.</t>
  </si>
  <si>
    <t xml:space="preserve">Fourth Floor</t>
  </si>
  <si>
    <t xml:space="preserve">To be refurbished.</t>
  </si>
  <si>
    <t xml:space="preserve">Roof</t>
  </si>
  <si>
    <t xml:space="preserve">Air Con Units</t>
  </si>
  <si>
    <t xml:space="preserve">40/41 Great Castle Street</t>
  </si>
  <si>
    <t xml:space="preserve">Portland House, 4 Great Portland Street</t>
  </si>
  <si>
    <t xml:space="preserve">Basement (West)</t>
  </si>
  <si>
    <t xml:space="preserve">Restaurant/Bar</t>
  </si>
  <si>
    <t xml:space="preserve">The London Cocktail Club Ltd</t>
  </si>
  <si>
    <t xml:space="preserve">E</t>
  </si>
  <si>
    <t xml:space="preserve">5 year reversionary lease completed from 02/07/28 with day one rent review. Rent review to be documented at passing rent.</t>
  </si>
  <si>
    <t xml:space="preserve">Ground Floor</t>
  </si>
  <si>
    <t xml:space="preserve">Retail/Cafe</t>
  </si>
  <si>
    <t xml:space="preserve">Costa Ltd</t>
  </si>
  <si>
    <t xml:space="preserve">Mutual break on 6 months notice.</t>
  </si>
  <si>
    <t xml:space="preserve">Ground Floor &amp; Basement (East) &amp; Basement Vaults</t>
  </si>
  <si>
    <t xml:space="preserve">Restaurant</t>
  </si>
  <si>
    <t xml:space="preserve">Futuremaxx Ltd</t>
  </si>
  <si>
    <t xml:space="preserve">Stepped rent. £300,000 wef 02/10/25, £305,000 wef 02/10/26, £310,000 wef 02/10/27 and £320,000 wef 02/10/28. Min rent on review £330,000. Landlord redevelopment break option on 01/07/33 on 6 months notice.</t>
  </si>
  <si>
    <t xml:space="preserve">First Floor (West)</t>
  </si>
  <si>
    <t xml:space="preserve">Time &amp; Tide Holdings (UK) Ltd</t>
  </si>
  <si>
    <t xml:space="preserve">First Floor (East)</t>
  </si>
  <si>
    <t xml:space="preserve">L52 Communications Ltd</t>
  </si>
  <si>
    <t xml:space="preserve">Tenant break on 6 months notice. 1 month rent free from 02/04/27 if not exercised.</t>
  </si>
  <si>
    <t xml:space="preserve">Second Floor (East)</t>
  </si>
  <si>
    <t xml:space="preserve">Tekcor4 Limited</t>
  </si>
  <si>
    <t xml:space="preserve">Second Floor (West)</t>
  </si>
  <si>
    <t xml:space="preserve">LEM/LDG</t>
  </si>
  <si>
    <t xml:space="preserve">Third Floor (West)</t>
  </si>
  <si>
    <t xml:space="preserve">J&amp;M Davidson Limited.</t>
  </si>
  <si>
    <t xml:space="preserve">Tenant break on 6 months notice. Tenant break served but dispute over conditions being met.</t>
  </si>
  <si>
    <t xml:space="preserve">Third Floor (East) </t>
  </si>
  <si>
    <t xml:space="preserve">Media Campaign Limited</t>
  </si>
  <si>
    <t xml:space="preserve">Tenant break on 6 months notice. 2 months rent free @ 15/07/27 if not exercised.</t>
  </si>
  <si>
    <t xml:space="preserve">Fourth Floor (West)</t>
  </si>
  <si>
    <t xml:space="preserve">Racoon Media Services Limited</t>
  </si>
  <si>
    <t xml:space="preserve">Tenant break on 6 months notice. Rent PA corrected.</t>
  </si>
  <si>
    <t xml:space="preserve">Fourth Floor (East)</t>
  </si>
  <si>
    <t xml:space="preserve">Fifth Floor (East)</t>
  </si>
  <si>
    <t xml:space="preserve">Greek National Tourism Organisation.</t>
  </si>
  <si>
    <t xml:space="preserve">Fifth Floor (West)</t>
  </si>
  <si>
    <t xml:space="preserve">Rios Designs Ltd</t>
  </si>
  <si>
    <t xml:space="preserve">Rent increases to £108,680 wef 26/11/25. Tenant break on 6 months notice.</t>
  </si>
  <si>
    <t xml:space="preserve">Sixth Floor (West)</t>
  </si>
  <si>
    <t xml:space="preserve">Directors Cut Films West Limited</t>
  </si>
  <si>
    <t xml:space="preserve">Sixth Floor (East)</t>
  </si>
  <si>
    <t xml:space="preserve">Cupboards 2nd, 4th, 5th &amp; 6th Floors</t>
  </si>
  <si>
    <t xml:space="preserve">Storage</t>
  </si>
  <si>
    <t xml:space="preserve">Transformer Chamber</t>
  </si>
  <si>
    <t xml:space="preserve">Sub-Station</t>
  </si>
  <si>
    <t xml:space="preserve">London Power Networks Plc</t>
  </si>
  <si>
    <t xml:space="preserve">Yes</t>
  </si>
  <si>
    <t xml:space="preserve">Rolling redevelopment break on 6 months notice.</t>
  </si>
  <si>
    <t xml:space="preserve">4 Great Portland Street</t>
  </si>
  <si>
    <t xml:space="preserve">6-10a Great Portland Street</t>
  </si>
  <si>
    <t xml:space="preserve">Basement &amp; Ground</t>
  </si>
  <si>
    <t xml:space="preserve">PrettyLittleThing.com</t>
  </si>
  <si>
    <t xml:space="preserve">Rent increasing to £375,000 wef 11/09/25. Tenant break on 6 months notice. 3 months rent free if not exercised.</t>
  </si>
  <si>
    <t xml:space="preserve">LEM / Colliers</t>
  </si>
  <si>
    <t xml:space="preserve">First  Floor</t>
  </si>
  <si>
    <t xml:space="preserve">The Yuki Clinic Ltd.</t>
  </si>
  <si>
    <t xml:space="preserve">Refurbishement complete. LEM marketing.</t>
  </si>
  <si>
    <t xml:space="preserve">Fifth Floor</t>
  </si>
  <si>
    <t xml:space="preserve">Basement</t>
  </si>
  <si>
    <t xml:space="preserve">Landlords redevelopment break on 6 months notice. Rent review is RPI indexation (every 2 years). </t>
  </si>
  <si>
    <t xml:space="preserve">6/10a Great Portland Street</t>
  </si>
  <si>
    <t xml:space="preserve">15-17 Great Portland Street &amp; 6-7 Great Castle Street</t>
  </si>
  <si>
    <t xml:space="preserve">Office/Bank</t>
  </si>
  <si>
    <t xml:space="preserve">Barclays Bank UK Plc</t>
  </si>
  <si>
    <t xml:space="preserve">15/17 Great Portland Street</t>
  </si>
  <si>
    <t xml:space="preserve">19-21 Great Portland Street</t>
  </si>
  <si>
    <t xml:space="preserve">CD</t>
  </si>
  <si>
    <t xml:space="preserve">19-21 Great Portland Street .</t>
  </si>
  <si>
    <t xml:space="preserve">Basement, Ground &amp; First Floors</t>
  </si>
  <si>
    <t xml:space="preserve">Restaurant </t>
  </si>
  <si>
    <t xml:space="preserve">UK VAP GPS</t>
  </si>
  <si>
    <t xml:space="preserve">Rent increasing to £650,000 wef 25/03/26. Mutual break @ 16/06/32 on 6 months notice.</t>
  </si>
  <si>
    <t xml:space="preserve">Second Floor.</t>
  </si>
  <si>
    <t xml:space="preserve">LEM / Savills</t>
  </si>
  <si>
    <t xml:space="preserve">Factory Studios Limited.</t>
  </si>
  <si>
    <t xml:space="preserve">Tenant break subject to 6 months notice.</t>
  </si>
  <si>
    <t xml:space="preserve">19/21 Great Portland Street</t>
  </si>
  <si>
    <t xml:space="preserve">20 Great Portland Street</t>
  </si>
  <si>
    <t xml:space="preserve">Studio</t>
  </si>
  <si>
    <t xml:space="preserve">Ground Floor Rear</t>
  </si>
  <si>
    <t xml:space="preserve">Express Alteration and Tailoring Ltd</t>
  </si>
  <si>
    <t xml:space="preserve">LEM / RIB</t>
  </si>
  <si>
    <t xml:space="preserve">Ground Floor Front </t>
  </si>
  <si>
    <t xml:space="preserve">Explore Global Limited</t>
  </si>
  <si>
    <t xml:space="preserve">First Floor Front</t>
  </si>
  <si>
    <t xml:space="preserve">Des Baines Ltd</t>
  </si>
  <si>
    <t xml:space="preserve">First Floor Rear</t>
  </si>
  <si>
    <t xml:space="preserve">One Therapy Ltd.</t>
  </si>
  <si>
    <t xml:space="preserve">Second Floor Front</t>
  </si>
  <si>
    <t xml:space="preserve">The Campbell Napier Practice Ltd</t>
  </si>
  <si>
    <t xml:space="preserve">Reversionary lease completed. Lease expiring 29/09/26 @ same rent.</t>
  </si>
  <si>
    <t xml:space="preserve">Second Floor Rear</t>
  </si>
  <si>
    <t xml:space="preserve">PsychotherapyUK Training Ltd.</t>
  </si>
  <si>
    <t xml:space="preserve">Third Floor Front</t>
  </si>
  <si>
    <t xml:space="preserve">Rent rises to £26,325 wef 29/09/26. Tenant break on 6 months notice.</t>
  </si>
  <si>
    <t xml:space="preserve">Third Floor Rear</t>
  </si>
  <si>
    <t xml:space="preserve">Rent rises to £23,985 wef 29/09/26. Tenant break on 6 months notice.</t>
  </si>
  <si>
    <t xml:space="preserve">Highlight House, 22-24 Great Portland Street</t>
  </si>
  <si>
    <t xml:space="preserve">Mamaye UK Limited.</t>
  </si>
  <si>
    <t xml:space="preserve">Rent rises to £237,500 wef 15/03/26.</t>
  </si>
  <si>
    <t xml:space="preserve"> Office</t>
  </si>
  <si>
    <t xml:space="preserve">Mothballed.</t>
  </si>
  <si>
    <t xml:space="preserve">22/24 Great Portland Street</t>
  </si>
  <si>
    <t xml:space="preserve">23-25 Great Portland Street &amp; 54-55 Margaret Street</t>
  </si>
  <si>
    <t xml:space="preserve">Shop/Cafe</t>
  </si>
  <si>
    <t xml:space="preserve">Florian James Limited</t>
  </si>
  <si>
    <t xml:space="preserve">First to Fourth Floors</t>
  </si>
  <si>
    <t xml:space="preserve">23/25 Great Portland Street</t>
  </si>
  <si>
    <t xml:space="preserve">39 Great Portland Street</t>
  </si>
  <si>
    <t xml:space="preserve">CM</t>
  </si>
  <si>
    <t xml:space="preserve">Showroom</t>
  </si>
  <si>
    <t xml:space="preserve">Fads Boutique Limited</t>
  </si>
  <si>
    <t xml:space="preserve">Short term lease renewal agreed.</t>
  </si>
  <si>
    <t xml:space="preserve">Studio Boum Limited.</t>
  </si>
  <si>
    <t xml:space="preserve">David Walker Architects Ltd.</t>
  </si>
  <si>
    <t xml:space="preserve">Fourth &amp; Fifth Floors</t>
  </si>
  <si>
    <t xml:space="preserve">Residential</t>
  </si>
  <si>
    <t xml:space="preserve">T. Ciss &amp; JB Paleologue</t>
  </si>
  <si>
    <t xml:space="preserve">Lease renewal completed. Tenant change of name.</t>
  </si>
  <si>
    <t xml:space="preserve">Mayfair House</t>
  </si>
  <si>
    <t xml:space="preserve">41 Great Portland Street</t>
  </si>
  <si>
    <t xml:space="preserve">Basement to Fourth</t>
  </si>
  <si>
    <t xml:space="preserve">S.Hardwick &amp; L.Morris (t/a Hardwick &amp; Morris Chartered Accountants)</t>
  </si>
  <si>
    <t xml:space="preserve">42-48 Great Portland Street</t>
  </si>
  <si>
    <t xml:space="preserve">Basement &amp; Ground Floor </t>
  </si>
  <si>
    <t xml:space="preserve">Shop</t>
  </si>
  <si>
    <t xml:space="preserve">GP Acoustics (UK) Limited</t>
  </si>
  <si>
    <t xml:space="preserve">Unit being refurbished.</t>
  </si>
  <si>
    <t xml:space="preserve">45-49 Great Portland Street</t>
  </si>
  <si>
    <t xml:space="preserve">Ground Floor &amp; Basement (North)</t>
  </si>
  <si>
    <t xml:space="preserve">Straight Forward Retail Ltd.</t>
  </si>
  <si>
    <t xml:space="preserve">Rent increasing to £73,000 @ 28/11/27, £77,500 @ 28/11/30. Landlord break 27/11/27 on 6 months notice.</t>
  </si>
  <si>
    <t xml:space="preserve">Ground Floor &amp; Basement (South</t>
  </si>
  <si>
    <t xml:space="preserve">A1/D1</t>
  </si>
  <si>
    <t xml:space="preserve">Reviv Global Ltd</t>
  </si>
  <si>
    <t xml:space="preserve">First, Second &amp; Third Floors</t>
  </si>
  <si>
    <t xml:space="preserve">DMR Film Ventures (Facilities) Ltd.</t>
  </si>
  <si>
    <t xml:space="preserve">Tenant break on 6 months notice. 6 months rent free if not exercised.</t>
  </si>
  <si>
    <t xml:space="preserve">50 Great Portland Street</t>
  </si>
  <si>
    <t xml:space="preserve">Ground Floor &amp; Basement</t>
  </si>
  <si>
    <t xml:space="preserve">MG Gulyas Ltd</t>
  </si>
  <si>
    <t xml:space="preserve">Mutual break 28/02/29 on 6 months notice. 3 months rent free if break not exercised. Lease assigned from Beatify LDN Ltd from 01/07/25</t>
  </si>
  <si>
    <t xml:space="preserve">Fresh Film Productions Ltd.</t>
  </si>
  <si>
    <t xml:space="preserve">Therapy Central LLP</t>
  </si>
  <si>
    <t xml:space="preserve">Tenant break on 4 months notice.</t>
  </si>
  <si>
    <t xml:space="preserve">James Boatman</t>
  </si>
  <si>
    <t xml:space="preserve">OpenStudio Architects Ltd.</t>
  </si>
  <si>
    <t xml:space="preserve">Rent £17,922 wef 25/09/25.</t>
  </si>
  <si>
    <t xml:space="preserve">51 Great Portland Street</t>
  </si>
  <si>
    <t xml:space="preserve">Bernardo Vasconcelos Ltd</t>
  </si>
  <si>
    <t xml:space="preserve">Under offer</t>
  </si>
  <si>
    <t xml:space="preserve">Learn Lab Language School Ltd</t>
  </si>
  <si>
    <t xml:space="preserve">Rent all inclusive (excl rates).</t>
  </si>
  <si>
    <t xml:space="preserve">Refurbishement completed. LEM marketing.</t>
  </si>
  <si>
    <t xml:space="preserve">53 Great Portland Street</t>
  </si>
  <si>
    <t xml:space="preserve">Café</t>
  </si>
  <si>
    <t xml:space="preserve">O-Chaa Thai Ltd.</t>
  </si>
  <si>
    <t xml:space="preserve">Lease renewal completed. Rent increases to £48,420 wef 24/12/25. Tenant break on 6 months notice.</t>
  </si>
  <si>
    <t xml:space="preserve">Kiosk</t>
  </si>
  <si>
    <t xml:space="preserve">J C Patel</t>
  </si>
  <si>
    <t xml:space="preserve">All Inclusive. Lease renewal being discussed.</t>
  </si>
  <si>
    <t xml:space="preserve">Refurbishment completed. LEM marketing.</t>
  </si>
  <si>
    <t xml:space="preserve">76 Great Portland Street</t>
  </si>
  <si>
    <t xml:space="preserve">Basement &amp; Ground Floor (Front)</t>
  </si>
  <si>
    <t xml:space="preserve">Tenant break on 6 months notice. </t>
  </si>
  <si>
    <t xml:space="preserve">Basement &amp; Ground Floor (Rear)</t>
  </si>
  <si>
    <t xml:space="preserve">First to Fourth Floor</t>
  </si>
  <si>
    <t xml:space="preserve">1 Great Titchfield Street</t>
  </si>
  <si>
    <t xml:space="preserve">Basement to Third Floor</t>
  </si>
  <si>
    <t xml:space="preserve">Shop/Snack Bar</t>
  </si>
  <si>
    <t xml:space="preserve">Tikkas Group Ltd</t>
  </si>
  <si>
    <t xml:space="preserve">Rent £90,000 wef 01/09/25. Tenant break on 6 months notice. 2 months rent free if break not exercised.</t>
  </si>
  <si>
    <t xml:space="preserve">3 Great Titchfield Street</t>
  </si>
  <si>
    <t xml:space="preserve">Pho Trading Ltd.</t>
  </si>
  <si>
    <t xml:space="preserve">Rent review not activated due to level of passing rent.</t>
  </si>
  <si>
    <t xml:space="preserve">First to Third Floor </t>
  </si>
  <si>
    <t xml:space="preserve">Flat</t>
  </si>
  <si>
    <t xml:space="preserve">Hewson Independent Trading Company Ltd</t>
  </si>
  <si>
    <t xml:space="preserve">Great Titchfield House,  14-18 Great Titchfield Street</t>
  </si>
  <si>
    <t xml:space="preserve">Ground Floor &amp; Basement (South)</t>
  </si>
  <si>
    <t xml:space="preserve">Sound Disposition Limited</t>
  </si>
  <si>
    <t xml:space="preserve">Tenant break on 6 months notice. 5 months rent free if not exercised (spread over 12 months).</t>
  </si>
  <si>
    <t xml:space="preserve">Godske Group A/S</t>
  </si>
  <si>
    <t xml:space="preserve">Recording Studio /Office</t>
  </si>
  <si>
    <t xml:space="preserve">Short term lease renewal completed. Rent inclusive of service charge.</t>
  </si>
  <si>
    <t xml:space="preserve">Showroom/ Office</t>
  </si>
  <si>
    <t xml:space="preserve">Sam Rogoff &amp; Co Ltd</t>
  </si>
  <si>
    <t xml:space="preserve">Recording Studio/ Office</t>
  </si>
  <si>
    <t xml:space="preserve">Sine Audio Post Production Ltd</t>
  </si>
  <si>
    <t xml:space="preserve">Tenant break on 6 months notice. 3 month rent free wef 01/09/25 to 30/11/25 granted to reflect cost of tenant installing air-con. Unit remeasured.</t>
  </si>
  <si>
    <t xml:space="preserve">14/18 Great Titchfield Street</t>
  </si>
  <si>
    <t xml:space="preserve">Golderbrock House,  15-19 Great Titchfield Street</t>
  </si>
  <si>
    <t xml:space="preserve">Ground &amp; Basement (South)</t>
  </si>
  <si>
    <t xml:space="preserve">Dal Fiorentino Ltd</t>
  </si>
  <si>
    <t xml:space="preserve">Basement (Rear)</t>
  </si>
  <si>
    <t xml:space="preserve">Recording Studio</t>
  </si>
  <si>
    <t xml:space="preserve">Soho Sonic Ltd.</t>
  </si>
  <si>
    <t xml:space="preserve">Ground &amp; Basement (North)</t>
  </si>
  <si>
    <t xml:space="preserve">Gillian Jason Modern &amp; Contemporary Art Ltd</t>
  </si>
  <si>
    <t xml:space="preserve">Ground Floor (Rear) </t>
  </si>
  <si>
    <t xml:space="preserve">Arlettie London Ltd.</t>
  </si>
  <si>
    <t xml:space="preserve">All inclusive excluding rates.</t>
  </si>
  <si>
    <t xml:space="preserve">First Floor (Front)</t>
  </si>
  <si>
    <t xml:space="preserve">Space Workplace Ltd</t>
  </si>
  <si>
    <t xml:space="preserve">Rent increases to £80,400 wef 28/11/25. Tenant break on 6 months notice.</t>
  </si>
  <si>
    <t xml:space="preserve">First Floor (Rear)</t>
  </si>
  <si>
    <t xml:space="preserve">Final Cut Ltd.</t>
  </si>
  <si>
    <t xml:space="preserve">Tenant break on 6 months notice. Tenant break exercised. Lease to end on 30/09/25 if conditions met.</t>
  </si>
  <si>
    <t xml:space="preserve">Autonomous UK Operations Ltd</t>
  </si>
  <si>
    <t xml:space="preserve">15/19 Great Titchfield Street</t>
  </si>
  <si>
    <t xml:space="preserve">Circus House,  21 Great Titchfield Street</t>
  </si>
  <si>
    <t xml:space="preserve">Basement &amp; Ground (East)</t>
  </si>
  <si>
    <t xml:space="preserve">The Graphical Tree Ltd</t>
  </si>
  <si>
    <t xml:space="preserve">Tenant break on 6 months notice. Rent free 01/06/26 to 31/08/26 if not exercised. Landlord rolling break from 07/10/25.</t>
  </si>
  <si>
    <t xml:space="preserve">Ground Floor (West)</t>
  </si>
  <si>
    <t xml:space="preserve">Unit under offer.</t>
  </si>
  <si>
    <t xml:space="preserve">Dawbell Limited</t>
  </si>
  <si>
    <t xml:space="preserve">Rent reducing to £134,064 wef 05/10/25. Tenant break on 6 months notice.</t>
  </si>
  <si>
    <t xml:space="preserve">Second &amp; Third Floors</t>
  </si>
  <si>
    <t xml:space="preserve">Mesmerise Global Limited</t>
  </si>
  <si>
    <t xml:space="preserve">Tenant break on 6 months notice. 3 months rent free if not exercised. Break notice served. Ongoing discussions regarding renewal of one floor.</t>
  </si>
  <si>
    <t xml:space="preserve">Marstead Living Limited</t>
  </si>
  <si>
    <t xml:space="preserve">Rent free wef 18/11/25 to 17/05/26</t>
  </si>
  <si>
    <t xml:space="preserve">NSL Limited</t>
  </si>
  <si>
    <t xml:space="preserve">21 Great Titchfield Street</t>
  </si>
  <si>
    <t xml:space="preserve">Moray House, 23-35 Great Titchfield Street &amp; 63-65 Mortimer Street</t>
  </si>
  <si>
    <t xml:space="preserve">Part Lower Ground</t>
  </si>
  <si>
    <t xml:space="preserve">Gym / D1</t>
  </si>
  <si>
    <t xml:space="preserve">Rehabilitation &amp; Athletics Performance UK Ltd.</t>
  </si>
  <si>
    <t xml:space="preserve">Fixed increases 01/05/26 wef £85,000, 01/05/27 wef £90,000 and 01/05/28 wef £95,000.</t>
  </si>
  <si>
    <t xml:space="preserve">Unit A &amp; B. Ground Floor</t>
  </si>
  <si>
    <t xml:space="preserve">Shop/Showroom</t>
  </si>
  <si>
    <t xml:space="preserve">Medialab Group Ltd.</t>
  </si>
  <si>
    <t xml:space="preserve">Unit C. Ground Floor &amp; Basement</t>
  </si>
  <si>
    <t xml:space="preserve">Office/ Showroom</t>
  </si>
  <si>
    <t xml:space="preserve">H Illume Ltd (t/a LAPO)</t>
  </si>
  <si>
    <t xml:space="preserve">Rent increasing to £118,000 wef 30/04/26.</t>
  </si>
  <si>
    <t xml:space="preserve">Unit D &amp; E. Ground Floor &amp; Part Basement</t>
  </si>
  <si>
    <t xml:space="preserve">CSS F45 UK Ltd</t>
  </si>
  <si>
    <t xml:space="preserve">Suite 1.1 First Floor</t>
  </si>
  <si>
    <t xml:space="preserve">Suites 2 &amp; 3 First Floor  </t>
  </si>
  <si>
    <t xml:space="preserve">Showroom/Office</t>
  </si>
  <si>
    <t xml:space="preserve">Suite 4 First Floor</t>
  </si>
  <si>
    <t xml:space="preserve">Oldie Publications Ltd</t>
  </si>
  <si>
    <t xml:space="preserve">Suites 1, 2, 3 &amp; 4, Second Floor</t>
  </si>
  <si>
    <t xml:space="preserve">InPost UK Limited</t>
  </si>
  <si>
    <t xml:space="preserve">Tenant break on 6 months notice. 1 month rent free wef 22/01/27 if not exercised.</t>
  </si>
  <si>
    <t xml:space="preserve">Suite 5, Second Floor</t>
  </si>
  <si>
    <t xml:space="preserve">Carbonaires Ltd</t>
  </si>
  <si>
    <t xml:space="preserve">Rent free @ 07/07/25 to 20/09/25 if not exercised. </t>
  </si>
  <si>
    <t xml:space="preserve">Knotel Moray House Ltd.</t>
  </si>
  <si>
    <t xml:space="preserve">Landlords redevelopment break @ 04/10/26 on 9 months notice.</t>
  </si>
  <si>
    <t xml:space="preserve">Suite 1, 2 &amp; 3  Fourth Floor</t>
  </si>
  <si>
    <t xml:space="preserve">Tenant breaks @ 26/01/26 &amp; 21/01/27 on 3 months notice. One month rent free if not exercised.</t>
  </si>
  <si>
    <t xml:space="preserve">ACP Ltd &amp; ACM Ltd </t>
  </si>
  <si>
    <t xml:space="preserve">Tenant break on 6 months notice. Rent free @ 09/06/26 to 23/09/26 if not exercised.</t>
  </si>
  <si>
    <t xml:space="preserve">Suites 1 &amp; 2 , Sixth Floor</t>
  </si>
  <si>
    <t xml:space="preserve">Katch Investment Management Ltd</t>
  </si>
  <si>
    <t xml:space="preserve">Tenant break on 6 months notice. Rent reduces to £66,625 for 2 months if not exercised.</t>
  </si>
  <si>
    <t xml:space="preserve">Sixth Floor</t>
  </si>
  <si>
    <t xml:space="preserve">Mr M Versteegh &amp; Mr W Antell</t>
  </si>
  <si>
    <t xml:space="preserve">12 month lease renewal agreed.</t>
  </si>
  <si>
    <t xml:space="preserve">Moray House</t>
  </si>
  <si>
    <t xml:space="preserve">56 Great Titchfield Street</t>
  </si>
  <si>
    <t xml:space="preserve">Morplan Ltd.</t>
  </si>
  <si>
    <t xml:space="preserve">Tenant holding over. S25 served terminating tenancy @ 12/10/24. Lease renewal agreed. Awaiting completion. Lease extension agreed to 31/03/25</t>
  </si>
  <si>
    <t xml:space="preserve">58 Great Titchfield Street</t>
  </si>
  <si>
    <t xml:space="preserve">Retail/Showroom/Office</t>
  </si>
  <si>
    <t xml:space="preserve">Lease renewal terms being discussed.</t>
  </si>
  <si>
    <t xml:space="preserve">12 Hallam Street (The Hallam Hotel)</t>
  </si>
  <si>
    <t xml:space="preserve">Whole Building </t>
  </si>
  <si>
    <t xml:space="preserve">Hotel                       25 Beds</t>
  </si>
  <si>
    <t xml:space="preserve">12 Hallam Street</t>
  </si>
  <si>
    <t xml:space="preserve">16-20 Hallam Street  (Astor Court Hotel)</t>
  </si>
  <si>
    <t xml:space="preserve">Hotel 52 Beds</t>
  </si>
  <si>
    <t xml:space="preserve">Wesdom Investments Ltd.</t>
  </si>
  <si>
    <t xml:space="preserve">Internal Lease to another Lee Family Group Company. CBRE value on a DCF basis and do not adopt ERV for valuation purposes. Guide ERV is £660,000 pa. Rent review is CPI indexed.</t>
  </si>
  <si>
    <t xml:space="preserve">Flat 1, 2 Little Portland Street</t>
  </si>
  <si>
    <t xml:space="preserve">Flat 1</t>
  </si>
  <si>
    <t xml:space="preserve">Miss Julia Tressler</t>
  </si>
  <si>
    <t xml:space="preserve">Flat 1 2 Little Portland St</t>
  </si>
  <si>
    <t xml:space="preserve">3/4/4a Little Portland Street</t>
  </si>
  <si>
    <t xml:space="preserve">Basement (North &amp; Centre) Part Ground</t>
  </si>
  <si>
    <t xml:space="preserve">Storage/Cloakroom</t>
  </si>
  <si>
    <t xml:space="preserve">Pure Public Relations Ltd.</t>
  </si>
  <si>
    <t xml:space="preserve">Ground Floor (Rear)</t>
  </si>
  <si>
    <t xml:space="preserve">Cloakroom</t>
  </si>
  <si>
    <t xml:space="preserve">Ground Floor (East)</t>
  </si>
  <si>
    <t xml:space="preserve">Econnective UK Ltd.</t>
  </si>
  <si>
    <t xml:space="preserve">Basement (South) (Front)</t>
  </si>
  <si>
    <t xml:space="preserve">Workshop</t>
  </si>
  <si>
    <t xml:space="preserve">Langham Estate Management Ltd</t>
  </si>
  <si>
    <t xml:space="preserve">Mutual rolling break on 6 months notice. Internal Lease to another Lee Family Group Company.</t>
  </si>
  <si>
    <t xml:space="preserve">Mutual break in the event of planning enforcement. Tenant break on 6 months notice. 3 months rent free if not exercised.</t>
  </si>
  <si>
    <t xml:space="preserve">Second Floor (Middle &amp; West)</t>
  </si>
  <si>
    <t xml:space="preserve">Tenant break on 6 months notice with £7.7k penalty clause.</t>
  </si>
  <si>
    <t xml:space="preserve">Second Floor (East) </t>
  </si>
  <si>
    <t xml:space="preserve">Second (Rear) &amp; Part Ground (Storage)</t>
  </si>
  <si>
    <t xml:space="preserve"> Office &amp; Storage</t>
  </si>
  <si>
    <t xml:space="preserve">Total Recruitment Specialists Ltd</t>
  </si>
  <si>
    <t xml:space="preserve">Electricity Sub-Station</t>
  </si>
  <si>
    <t xml:space="preserve">Rent review is RPI. Rolling landlords redevelopment break after 04/02/25 on 9 months notice.</t>
  </si>
  <si>
    <t xml:space="preserve">3/4/4a Little Portland St.</t>
  </si>
  <si>
    <t xml:space="preserve">5 Little Portland Street</t>
  </si>
  <si>
    <t xml:space="preserve">Ground &amp; Basement</t>
  </si>
  <si>
    <t xml:space="preserve">Bar</t>
  </si>
  <si>
    <t xml:space="preserve">The Social Little Portland Street Ltd.</t>
  </si>
  <si>
    <t xml:space="preserve">First to Third Floors</t>
  </si>
  <si>
    <t xml:space="preserve">Oaxaca Ltd.</t>
  </si>
  <si>
    <t xml:space="preserve">Tenant has a concession to continue paying rent of £101,200 until expiry. Tenant break option removed.</t>
  </si>
  <si>
    <t xml:space="preserve">Alexandra House, 6 Little Portland Street</t>
  </si>
  <si>
    <t xml:space="preserve">Ground Floor &amp; Part Basement</t>
  </si>
  <si>
    <t xml:space="preserve">Burger &amp; Lobster Restaurant Group Ltd.</t>
  </si>
  <si>
    <t xml:space="preserve">Rent review not yet activated due to level of passing rent.</t>
  </si>
  <si>
    <t xml:space="preserve">Exposure Promotions Ltd.</t>
  </si>
  <si>
    <t xml:space="preserve">6 Little Portland St.</t>
  </si>
  <si>
    <t xml:space="preserve">9 Little Portland Street</t>
  </si>
  <si>
    <t xml:space="preserve">Lower Ground and Ground Floors</t>
  </si>
  <si>
    <t xml:space="preserve">Showroom / Office</t>
  </si>
  <si>
    <t xml:space="preserve">Order Line Ltd</t>
  </si>
  <si>
    <t xml:space="preserve">Tenancy at will granted based at existing rent.</t>
  </si>
  <si>
    <t xml:space="preserve">Second Floor </t>
  </si>
  <si>
    <t xml:space="preserve">Skynet Ltd</t>
  </si>
  <si>
    <t xml:space="preserve">21 Little Portland Street</t>
  </si>
  <si>
    <t xml:space="preserve">FRIBA Limited</t>
  </si>
  <si>
    <t xml:space="preserve">Premises inter connected with 19 Margaret Street and let under a single lease. The floor area is shown for this building only. Rent shown pro rata.</t>
  </si>
  <si>
    <t xml:space="preserve">Refurbishment completed. Under offer.</t>
  </si>
  <si>
    <t xml:space="preserve">Spanx UK Ltd</t>
  </si>
  <si>
    <t xml:space="preserve">Mutual break @ 20/06/25 on 6 months notice. Tenant break exercised. Break conditions not met. Lease to continue.</t>
  </si>
  <si>
    <t xml:space="preserve">Caneparo Associates Ltd</t>
  </si>
  <si>
    <t xml:space="preserve">22 Little Portland Street (formerly 22-23 LPS)</t>
  </si>
  <si>
    <t xml:space="preserve">22-23 Little Portland Street</t>
  </si>
  <si>
    <t xml:space="preserve">Office/ Showroom/ Storage</t>
  </si>
  <si>
    <t xml:space="preserve">David Chipperfield Architects Ltd</t>
  </si>
  <si>
    <t xml:space="preserve">A</t>
  </si>
  <si>
    <t xml:space="preserve">9 Margaret Street</t>
  </si>
  <si>
    <t xml:space="preserve">Whole</t>
  </si>
  <si>
    <t xml:space="preserve">Tenant break on 6 months notice, if not exercised then a further 3 months rent free.</t>
  </si>
  <si>
    <t xml:space="preserve">London House, 9a Margaret Street</t>
  </si>
  <si>
    <t xml:space="preserve">Basement (Vaults)</t>
  </si>
  <si>
    <t xml:space="preserve">Basement (South)</t>
  </si>
  <si>
    <t xml:space="preserve">Office/ Storage</t>
  </si>
  <si>
    <t xml:space="preserve">Basement (North)</t>
  </si>
  <si>
    <t xml:space="preserve">9a Margaret Street</t>
  </si>
  <si>
    <t xml:space="preserve">10 Margaret Street</t>
  </si>
  <si>
    <t xml:space="preserve">Tenant break on 6 months notice. 6 months rent free if break not exercised.</t>
  </si>
  <si>
    <t xml:space="preserve">Pavement Vaults</t>
  </si>
  <si>
    <t xml:space="preserve">Landlords rolling redevelopment option on 6 months notice.</t>
  </si>
  <si>
    <t xml:space="preserve">Audley House,  12 Margaret Street</t>
  </si>
  <si>
    <t xml:space="preserve">Wimbledon Business Centre Ltd.</t>
  </si>
  <si>
    <t xml:space="preserve">12 Margaret Street</t>
  </si>
  <si>
    <t xml:space="preserve">13-14 Margaret Street</t>
  </si>
  <si>
    <t xml:space="preserve">Tenant break on 6 months notice and penalty clause of £48,345.</t>
  </si>
  <si>
    <t xml:space="preserve">Third &amp; Fourth Floor</t>
  </si>
  <si>
    <t xml:space="preserve">13/14 Margaret Street</t>
  </si>
  <si>
    <t xml:space="preserve">15-16 Margaret Street</t>
  </si>
  <si>
    <t xml:space="preserve">Lower Ground</t>
  </si>
  <si>
    <t xml:space="preserve">Ludorum Club Ltd</t>
  </si>
  <si>
    <t xml:space="preserve">New letiing completed. Rent £35,000 wef 18/02/26. Fixed increase to £70,000 wef 18/08/26. Tenant break on 6 months notice. 8 months rent free amortised over 12 months if not exercised.</t>
  </si>
  <si>
    <t xml:space="preserve">Tenant break on 6 months notice</t>
  </si>
  <si>
    <t xml:space="preserve">Marson Property Ltd</t>
  </si>
  <si>
    <t xml:space="preserve">LEM marketing</t>
  </si>
  <si>
    <t xml:space="preserve">15/16 Margaret Street</t>
  </si>
  <si>
    <t xml:space="preserve">17-18 Margaret Street</t>
  </si>
  <si>
    <t xml:space="preserve">Arrow International Media Ltd.</t>
  </si>
  <si>
    <t xml:space="preserve">Ground Floor (E) </t>
  </si>
  <si>
    <t xml:space="preserve">Ground Floor (W)</t>
  </si>
  <si>
    <t xml:space="preserve">Yamaha Music Europe GMBH.</t>
  </si>
  <si>
    <t xml:space="preserve">Second Floor (E)</t>
  </si>
  <si>
    <t xml:space="preserve">Second Floor (W &amp; N)</t>
  </si>
  <si>
    <t xml:space="preserve">Smiggle UK Limited</t>
  </si>
  <si>
    <t xml:space="preserve">Tenant break on 3 months notice. Two months rent free if not exercised.</t>
  </si>
  <si>
    <t xml:space="preserve">Fourth Floor (R) </t>
  </si>
  <si>
    <t xml:space="preserve">The London Child &amp; Family Therapy Centre Ltd.</t>
  </si>
  <si>
    <t xml:space="preserve">All inclusive rent (excl rates). </t>
  </si>
  <si>
    <t xml:space="preserve">Fourth Floor (RW)</t>
  </si>
  <si>
    <t xml:space="preserve">Fourth Floor (E)</t>
  </si>
  <si>
    <t xml:space="preserve">Fourth Floor (W)</t>
  </si>
  <si>
    <t xml:space="preserve">17/18 Margaret Street</t>
  </si>
  <si>
    <t xml:space="preserve">19 Margaret Street</t>
  </si>
  <si>
    <t xml:space="preserve">This unit interconnects with G &amp; B, 21 Lt Portland St. The floor area shown is only for this unit. Rent shown pro rata. Tenant break on 6 months notice. Rent review @ 25/11/24.</t>
  </si>
  <si>
    <t xml:space="preserve">LEM Marketing.</t>
  </si>
  <si>
    <t xml:space="preserve">Effigest UK Ltd.</t>
  </si>
  <si>
    <t xml:space="preserve">Theatrical Rights Worldwide Limited</t>
  </si>
  <si>
    <t xml:space="preserve">20 Margaret Street</t>
  </si>
  <si>
    <t xml:space="preserve">Outform Group UK Ltd.</t>
  </si>
  <si>
    <t xml:space="preserve">Rent increasing to £103,000 wef 14/06/27. Tenant break on 6 months notice. Penalty payment due if exercised. Further tenant break 13/06/27 on 6 months notice.</t>
  </si>
  <si>
    <t xml:space="preserve">Unit under refurbishment</t>
  </si>
  <si>
    <t xml:space="preserve">Vesper Investments Ltd</t>
  </si>
  <si>
    <t xml:space="preserve">Moods Beauty Ltd</t>
  </si>
  <si>
    <t xml:space="preserve">25 Margaret Street</t>
  </si>
  <si>
    <t xml:space="preserve">Mr K Saraj</t>
  </si>
  <si>
    <t xml:space="preserve">Ground Floor </t>
  </si>
  <si>
    <t xml:space="preserve">Camran Naseri &amp; Rehana Miah</t>
  </si>
  <si>
    <t xml:space="preserve">First Floor (F)</t>
  </si>
  <si>
    <t xml:space="preserve">Mr Christos Tombras</t>
  </si>
  <si>
    <t xml:space="preserve">First Floor (R)</t>
  </si>
  <si>
    <t xml:space="preserve">Ms J. Hogan</t>
  </si>
  <si>
    <t xml:space="preserve">Second Floor (F)</t>
  </si>
  <si>
    <t xml:space="preserve">Ms Tara Harrison</t>
  </si>
  <si>
    <t xml:space="preserve">Tenant break 12/05/27 on 6 months notice.</t>
  </si>
  <si>
    <t xml:space="preserve">Second Floor (R)</t>
  </si>
  <si>
    <t xml:space="preserve">Mr R Backes</t>
  </si>
  <si>
    <t xml:space="preserve">Third &amp; Fourth Floors</t>
  </si>
  <si>
    <t xml:space="preserve">Mr Bick Ole &amp; Miss Ana Roomas Ledo</t>
  </si>
  <si>
    <t xml:space="preserve">47,48 &amp; 50 Margaret Street</t>
  </si>
  <si>
    <t xml:space="preserve">Basement (48-50)</t>
  </si>
  <si>
    <t xml:space="preserve">Nightclub</t>
  </si>
  <si>
    <t xml:space="preserve">Masterbet Ltd.</t>
  </si>
  <si>
    <t xml:space="preserve">Rent rises to £232,500 @ 07/02/26.</t>
  </si>
  <si>
    <t xml:space="preserve">Ground Floor &amp; Basement (47)</t>
  </si>
  <si>
    <t xml:space="preserve">MSBB Ltd.</t>
  </si>
  <si>
    <t xml:space="preserve">Landlord break @ 08/09/26 on 6 months notice</t>
  </si>
  <si>
    <t xml:space="preserve">Ground Floor (50)</t>
  </si>
  <si>
    <t xml:space="preserve">Oreno Ramen Limited</t>
  </si>
  <si>
    <t xml:space="preserve">Stepped rent. £100,000 wef 12/04/26. Mutual break on 9 months notice.</t>
  </si>
  <si>
    <t xml:space="preserve">Ground Floor (48) </t>
  </si>
  <si>
    <t xml:space="preserve">48 Margaret Street Trading Ltd</t>
  </si>
  <si>
    <t xml:space="preserve">D1</t>
  </si>
  <si>
    <t xml:space="preserve">Sun Kyeong Qi</t>
  </si>
  <si>
    <t xml:space="preserve">Hypecore Limited</t>
  </si>
  <si>
    <t xml:space="preserve">Second Floor (West) </t>
  </si>
  <si>
    <t xml:space="preserve">Gnosco Ltd &amp; Fortis Block Management Ltd</t>
  </si>
  <si>
    <t xml:space="preserve">Tenant break on 6 months notice. One month rent free from 07/06/27 if break not exercised.</t>
  </si>
  <si>
    <t xml:space="preserve">Fitzrovia IT Ltd</t>
  </si>
  <si>
    <t xml:space="preserve">Rent £75,980 wef 08/11/25 increasing to £151,960 wef 08/01/27. Tenant break on 6 months notice. Penalty of £25,327 if exercised.</t>
  </si>
  <si>
    <t xml:space="preserve">Third Floor (East)</t>
  </si>
  <si>
    <t xml:space="preserve">LDG</t>
  </si>
  <si>
    <t xml:space="preserve">Sen Yoga Limited</t>
  </si>
  <si>
    <t xml:space="preserve">51-53 Margaret Street</t>
  </si>
  <si>
    <t xml:space="preserve">Basement Vault</t>
  </si>
  <si>
    <t xml:space="preserve">Kiss The Hippo Fritzrovia Ltd.</t>
  </si>
  <si>
    <t xml:space="preserve">The rent is a peppercorn.</t>
  </si>
  <si>
    <t xml:space="preserve">Basement &amp; Ground Floor (West)</t>
  </si>
  <si>
    <t xml:space="preserve">Basement &amp; Ground Floor (East)</t>
  </si>
  <si>
    <t xml:space="preserve">Fred Bakery Ltd.</t>
  </si>
  <si>
    <t xml:space="preserve">Rent £66,000 wef 07/11/25 increasing to £132,000 wef 07/05/26. Mutual break on 6 months notice.</t>
  </si>
  <si>
    <t xml:space="preserve">More &amp; More Studio Limited</t>
  </si>
  <si>
    <t xml:space="preserve">G. McGonagle &amp; I. Robertson</t>
  </si>
  <si>
    <t xml:space="preserve">Tenant break on 6 months notice. 2 months rent free if not exercised.</t>
  </si>
  <si>
    <t xml:space="preserve">Reishi Clinic Ltd</t>
  </si>
  <si>
    <t xml:space="preserve">MDB Sarl</t>
  </si>
  <si>
    <t xml:space="preserve">All inclusive Service charge &amp; Insurance.</t>
  </si>
  <si>
    <t xml:space="preserve">51/53 Margaret Street</t>
  </si>
  <si>
    <t xml:space="preserve">63-64 Margaret Street</t>
  </si>
  <si>
    <t xml:space="preserve">Ground Floor &amp; Basement (East)</t>
  </si>
  <si>
    <t xml:space="preserve">Showroom/ Educational</t>
  </si>
  <si>
    <t xml:space="preserve">Apollo Galleries Limited</t>
  </si>
  <si>
    <t xml:space="preserve">Ground  &amp; Basement (West) &amp; Rear Block</t>
  </si>
  <si>
    <t xml:space="preserve">Margaret Howell Ltd</t>
  </si>
  <si>
    <t xml:space="preserve">Tenant break on 6 months notice and a Landlord Redevelopment Break @ 01/09/22 on 6 months notice. Break not exercised. </t>
  </si>
  <si>
    <t xml:space="preserve">Kipas London Ltd</t>
  </si>
  <si>
    <t xml:space="preserve">First Floor (West) (Front)</t>
  </si>
  <si>
    <t xml:space="preserve">Staybrook Asset Management Ltd</t>
  </si>
  <si>
    <t xml:space="preserve">Tenant break on 6 months notice. 1 month rent free if not exercised.</t>
  </si>
  <si>
    <t xml:space="preserve">First Floor (West) (Rear)</t>
  </si>
  <si>
    <t xml:space="preserve">Face2Face Counselling Services Ltd</t>
  </si>
  <si>
    <t xml:space="preserve">Cihangir Group Limited.</t>
  </si>
  <si>
    <t xml:space="preserve">Second Floor (Rear)</t>
  </si>
  <si>
    <t xml:space="preserve">63/64 Margaret Street</t>
  </si>
  <si>
    <t xml:space="preserve">65 Margaret Street</t>
  </si>
  <si>
    <t xml:space="preserve">Advanced Beauty Medical Clinics Ltd</t>
  </si>
  <si>
    <t xml:space="preserve">Olga Mantsiou</t>
  </si>
  <si>
    <t xml:space="preserve">New letting completed. Rent £18,529 wef 22/09/25. Fixed increase to £18,667 wef 22/02/27. Tenant break on 6 months notice. 2 months rent free if not exercised.</t>
  </si>
  <si>
    <t xml:space="preserve">Leap Productions Limited</t>
  </si>
  <si>
    <t xml:space="preserve">Philips Lockhart Ltd.</t>
  </si>
  <si>
    <t xml:space="preserve">Tenant break on 6 months notice. 2 months rent free at 08/09/25 if break not exercised.</t>
  </si>
  <si>
    <t xml:space="preserve">Mercury Creations Limited</t>
  </si>
  <si>
    <t xml:space="preserve">75-77 Margaret Street</t>
  </si>
  <si>
    <t xml:space="preserve">Sub-Basement</t>
  </si>
  <si>
    <t xml:space="preserve">M&amp;C Saatchi World Services Ltd.</t>
  </si>
  <si>
    <t xml:space="preserve">Lower Ground Floor</t>
  </si>
  <si>
    <t xml:space="preserve">Retail / Showroom</t>
  </si>
  <si>
    <t xml:space="preserve">EDC2 Ltd.</t>
  </si>
  <si>
    <t xml:space="preserve">Tenant break on 6 months notice. Half rent for 1year from 05/05/29 if break not exercised. Penalty clause of £106k if exercised.</t>
  </si>
  <si>
    <t xml:space="preserve">Maxguard Limited</t>
  </si>
  <si>
    <t xml:space="preserve">Second Floor (Front)</t>
  </si>
  <si>
    <t xml:space="preserve">Major League Baseball Europe Ltd.</t>
  </si>
  <si>
    <t xml:space="preserve">LEM / LDG</t>
  </si>
  <si>
    <t xml:space="preserve">75/77 Margaret Street</t>
  </si>
  <si>
    <t xml:space="preserve">Sackville House - 78 Margaret Street</t>
  </si>
  <si>
    <t xml:space="preserve">Ground</t>
  </si>
  <si>
    <t xml:space="preserve">78 Margaret Street</t>
  </si>
  <si>
    <t xml:space="preserve">Kenilworth House - 79-80 Margaret Street</t>
  </si>
  <si>
    <t xml:space="preserve">Basement (E)</t>
  </si>
  <si>
    <t xml:space="preserve">Jewells Retail Ltd</t>
  </si>
  <si>
    <t xml:space="preserve">Ground (East) </t>
  </si>
  <si>
    <t xml:space="preserve">Lualdi UK </t>
  </si>
  <si>
    <t xml:space="preserve">Stepped rent. Rent £62,500 wef 26/09/25. Fixed increases to £72,500 wef 26/06/26, £82,000 wef 26/06/27, £90,000 wef 26/06/28 and £93,000 wef 26/06/29.</t>
  </si>
  <si>
    <t xml:space="preserve">Ground (West) &amp; Part Basement</t>
  </si>
  <si>
    <t xml:space="preserve">Edwards Cheshire Company Ltd.</t>
  </si>
  <si>
    <t xml:space="preserve">79/80 Margaret Street</t>
  </si>
  <si>
    <t xml:space="preserve">4 Market Place</t>
  </si>
  <si>
    <t xml:space="preserve">Ground, Basement &amp; Vaults</t>
  </si>
  <si>
    <t xml:space="preserve">Honest Burgers Ltd</t>
  </si>
  <si>
    <t xml:space="preserve">Landlords redevelopment break @ 02/02/24 on 6 months notice. </t>
  </si>
  <si>
    <t xml:space="preserve">Feel Films Ltd.</t>
  </si>
  <si>
    <t xml:space="preserve">11-13 Market Place</t>
  </si>
  <si>
    <t xml:space="preserve">Bar &amp; Office</t>
  </si>
  <si>
    <t xml:space="preserve">Market Place (London) Holdings Ltd</t>
  </si>
  <si>
    <t xml:space="preserve">Upper floors sublet.</t>
  </si>
  <si>
    <t xml:space="preserve">Radiant House, 34-38 Mortimer Street &amp; 3-4 Bywell Place</t>
  </si>
  <si>
    <t xml:space="preserve">Ground &amp; Basement (34)</t>
  </si>
  <si>
    <t xml:space="preserve">Showroom/Studio</t>
  </si>
  <si>
    <t xml:space="preserve">Ab-Anbar Limited</t>
  </si>
  <si>
    <t xml:space="preserve">Ground &amp; Basement (36-38)</t>
  </si>
  <si>
    <t xml:space="preserve">Europride Ltd.</t>
  </si>
  <si>
    <t xml:space="preserve">Part Ground, First to Fourth Floor (34)</t>
  </si>
  <si>
    <t xml:space="preserve">First (36-38)</t>
  </si>
  <si>
    <t xml:space="preserve">Second (36-38)</t>
  </si>
  <si>
    <t xml:space="preserve">Third (36-38)</t>
  </si>
  <si>
    <t xml:space="preserve">Fourth (36-38)</t>
  </si>
  <si>
    <t xml:space="preserve">Carver Associates Ltd.</t>
  </si>
  <si>
    <t xml:space="preserve">Tenant has annual breaks on 6 months notice. </t>
  </si>
  <si>
    <t xml:space="preserve">Ground &amp; Basement, 3-4 Bywell Place</t>
  </si>
  <si>
    <t xml:space="preserve">Solo60 Ltd</t>
  </si>
  <si>
    <t xml:space="preserve">First , 3-4 Bywell Place</t>
  </si>
  <si>
    <t xml:space="preserve">Olsen UK Limited</t>
  </si>
  <si>
    <t xml:space="preserve">Second, 3-4 Bywell Place</t>
  </si>
  <si>
    <t xml:space="preserve">Radiant House</t>
  </si>
  <si>
    <t xml:space="preserve">Gilmoora House, 57-61 Mortimer Street</t>
  </si>
  <si>
    <t xml:space="preserve">Part Basement &amp; Part Ground Floor - 36 Gt Titchfield St</t>
  </si>
  <si>
    <t xml:space="preserve">Medical</t>
  </si>
  <si>
    <t xml:space="preserve">The Central London Clinic Ltd.</t>
  </si>
  <si>
    <t xml:space="preserve">Part Ground to Fifth Floors</t>
  </si>
  <si>
    <t xml:space="preserve">Gilmoora House Ltd</t>
  </si>
  <si>
    <t xml:space="preserve">Internal Lease to another Lee Family Group Company.</t>
  </si>
  <si>
    <t xml:space="preserve">57/61 Mortimer Street</t>
  </si>
  <si>
    <t xml:space="preserve">67 - 81 Mortimer Street</t>
  </si>
  <si>
    <t xml:space="preserve">Ground Floor &amp; Bsmt. (No.67)</t>
  </si>
  <si>
    <t xml:space="preserve">Status Beauty Limited</t>
  </si>
  <si>
    <t xml:space="preserve">Tenant break on 6 months notice. Rent free from 10/01/26 to 28/03/26 if not exercised.</t>
  </si>
  <si>
    <t xml:space="preserve">Ground Floor &amp; Bsmt. (No.69)</t>
  </si>
  <si>
    <t xml:space="preserve">Shop/ Showroom</t>
  </si>
  <si>
    <t xml:space="preserve">ABC Smile Limited</t>
  </si>
  <si>
    <t xml:space="preserve">Tenant break on 6 month notice.</t>
  </si>
  <si>
    <t xml:space="preserve">Ground Floor &amp; Bsmt. (No.71)</t>
  </si>
  <si>
    <t xml:space="preserve">Folia Ltd.</t>
  </si>
  <si>
    <t xml:space="preserve">Rent £55,000 wef 6 weeks after landlord works completed. Works delayed and date of tenant return end of Sept-25. Further tenant break 25/03/27.</t>
  </si>
  <si>
    <t xml:space="preserve">Ground Floor &amp; Bsmt. (No. 77)</t>
  </si>
  <si>
    <t xml:space="preserve">Ground Floor &amp; Bsmt. (No.79-81)</t>
  </si>
  <si>
    <t xml:space="preserve">PHBB Restaurants Ltd.</t>
  </si>
  <si>
    <t xml:space="preserve">54 Act protected lease. All Inclusive (excl rates). </t>
  </si>
  <si>
    <t xml:space="preserve">Rent reverts to £84,816 wef 20/06/26</t>
  </si>
  <si>
    <t xml:space="preserve">Unit Under offer.</t>
  </si>
  <si>
    <t xml:space="preserve">Tenant break on 6 months notice. 3 months rent free if break not exercised.</t>
  </si>
  <si>
    <t xml:space="preserve">67/81 Mortimer Street</t>
  </si>
  <si>
    <t xml:space="preserve">93 Mortimer Street &amp; 43 Great Portland Street</t>
  </si>
  <si>
    <t xml:space="preserve">IBRAAZ</t>
  </si>
  <si>
    <t xml:space="preserve">Rent increases reverts to £700,000 wef 20/02/30 subject to rent review.</t>
  </si>
  <si>
    <t xml:space="preserve">93 Mortimer Street</t>
  </si>
  <si>
    <t xml:space="preserve">142-144 Oxford Street</t>
  </si>
  <si>
    <t xml:space="preserve">Retail/ Ancillary</t>
  </si>
  <si>
    <t xml:space="preserve">Telefonica UK Ltd</t>
  </si>
  <si>
    <t xml:space="preserve">Rent increasing to £705,000 wef 24/07/26. Tenant break on 6 months notice.</t>
  </si>
  <si>
    <t xml:space="preserve">Kiosk in Adam and Eve Court</t>
  </si>
  <si>
    <t xml:space="preserve">The Prudential Assurance Company Ltd.</t>
  </si>
  <si>
    <t xml:space="preserve">Tenant rolling break on 3 months notice. Tenant has renewal option at stepped rent. Landlord redevelopment break @ 16/01/27 on 6 months notice.</t>
  </si>
  <si>
    <t xml:space="preserve">Flats 1 - 9 Inclusive</t>
  </si>
  <si>
    <t xml:space="preserve">Advan Capital Limited</t>
  </si>
  <si>
    <t xml:space="preserve">146/148 Oxford Street</t>
  </si>
  <si>
    <t xml:space="preserve">Vaults, Basement &amp; Ground Floors</t>
  </si>
  <si>
    <t xml:space="preserve">Holland &amp; Barrett Retail Ltd</t>
  </si>
  <si>
    <t xml:space="preserve">Rent increases to £520,000 wef 04/08/26. Tenant break on 6 months notice. </t>
  </si>
  <si>
    <t xml:space="preserve">Educational</t>
  </si>
  <si>
    <t xml:space="preserve">Unit being stripped back to shell.</t>
  </si>
  <si>
    <t xml:space="preserve">146-148 Oxford Street</t>
  </si>
  <si>
    <t xml:space="preserve">150/154 Oxford Street</t>
  </si>
  <si>
    <t xml:space="preserve">Part Basement to Second Floors &amp; Rooftop Switch Room</t>
  </si>
  <si>
    <t xml:space="preserve">Sportsdirect.com Retail Ltd</t>
  </si>
  <si>
    <t xml:space="preserve">Electricity Substation sublet by Sportsdirect.com. Rent review not yet activated. </t>
  </si>
  <si>
    <t xml:space="preserve">50 Eastcastle Street</t>
  </si>
  <si>
    <t xml:space="preserve">50-60 Eastcastle Street</t>
  </si>
  <si>
    <t xml:space="preserve">Basement (South East)</t>
  </si>
  <si>
    <t xml:space="preserve">Building Workshop</t>
  </si>
  <si>
    <t xml:space="preserve">Basement Store A</t>
  </si>
  <si>
    <t xml:space="preserve">Hope93 Ltd.</t>
  </si>
  <si>
    <t xml:space="preserve">Building Managers Office</t>
  </si>
  <si>
    <t xml:space="preserve">2 yearly rent reviews. Mutual rolling break on 6 months notice. Internal Lease to another Lee Family Group Company.</t>
  </si>
  <si>
    <t xml:space="preserve">Grnd/Basement  - 10 &amp; 12 Winsley St.</t>
  </si>
  <si>
    <t xml:space="preserve">Comptoir Group Plc</t>
  </si>
  <si>
    <t xml:space="preserve">Basement 56-57 Eastcastle St.</t>
  </si>
  <si>
    <t xml:space="preserve">Ground 56-57 Eastcastle St.</t>
  </si>
  <si>
    <t xml:space="preserve">YG Group Ltd</t>
  </si>
  <si>
    <t xml:space="preserve">Mutual break on 6 months notice. 5 months rent free amortised over 1yr if break not exercised.</t>
  </si>
  <si>
    <t xml:space="preserve">Grnd/Basement - 55 Eastcastle St.</t>
  </si>
  <si>
    <t xml:space="preserve">Art Gallery</t>
  </si>
  <si>
    <t xml:space="preserve">Grnd/Basement - 54 Eastcastle St</t>
  </si>
  <si>
    <t xml:space="preserve">Rent increasing to £167,000 pa wef 29/08/29. Further break @ 28/08/29 on 6 months notice. Penalty clause of £27,833 for first break.</t>
  </si>
  <si>
    <t xml:space="preserve">Grnd/Basement - 51, 52 &amp; 53 Eastcastle St.</t>
  </si>
  <si>
    <t xml:space="preserve">Stay On Target Ltd</t>
  </si>
  <si>
    <t xml:space="preserve">Stepped rent. £390,000 wef 10/03/26. Penalty of £27,833 if first break activated. Parent company (Whistle Punks Ltd) in liquidation.</t>
  </si>
  <si>
    <t xml:space="preserve">Under refurb. All four units combined. Floor area remeasured</t>
  </si>
  <si>
    <t xml:space="preserve">Under refurb. Three units combined. Floor area remeasured</t>
  </si>
  <si>
    <t xml:space="preserve">Second Floor (Centre)</t>
  </si>
  <si>
    <t xml:space="preserve">Fintech Partners Limited.</t>
  </si>
  <si>
    <t xml:space="preserve">Third Floor (305)</t>
  </si>
  <si>
    <t xml:space="preserve">Property Management Recruitment Ltd.</t>
  </si>
  <si>
    <t xml:space="preserve">Third Floor (303 &amp; 320)</t>
  </si>
  <si>
    <t xml:space="preserve">Under refurb. Unit combined</t>
  </si>
  <si>
    <t xml:space="preserve">Third Floor (325)</t>
  </si>
  <si>
    <t xml:space="preserve">Third Floor (335, 390)</t>
  </si>
  <si>
    <t xml:space="preserve">Third Floor (330)</t>
  </si>
  <si>
    <t xml:space="preserve">Brand Murray Fuller Services Ltd.</t>
  </si>
  <si>
    <t xml:space="preserve">Third Floor (340)</t>
  </si>
  <si>
    <t xml:space="preserve">Third Floor (345)</t>
  </si>
  <si>
    <t xml:space="preserve">Third Floor (350)</t>
  </si>
  <si>
    <t xml:space="preserve">Rent inclusive of service charge and insurance.</t>
  </si>
  <si>
    <t xml:space="preserve">Third Floor (360 &amp; 365)</t>
  </si>
  <si>
    <t xml:space="preserve">TGR1.618 Limited</t>
  </si>
  <si>
    <t xml:space="preserve">Third Floor (395)</t>
  </si>
  <si>
    <t xml:space="preserve">Pixi Limited</t>
  </si>
  <si>
    <t xml:space="preserve">Third Floor (398)</t>
  </si>
  <si>
    <t xml:space="preserve">Rolling tenant break on 6 months notice.</t>
  </si>
  <si>
    <t xml:space="preserve">Third Floor (396)</t>
  </si>
  <si>
    <t xml:space="preserve">Lovisa UK Ltd</t>
  </si>
  <si>
    <t xml:space="preserve">Third Floor (375 &amp; 380)</t>
  </si>
  <si>
    <t xml:space="preserve">Rent all inclusive (excluding rates).</t>
  </si>
  <si>
    <t xml:space="preserve">Winsley St. Sub-station (N)</t>
  </si>
  <si>
    <t xml:space="preserve">Plant Room</t>
  </si>
  <si>
    <t xml:space="preserve">Landlords redevelopment break on 6 months notice. Rent review is RPI indexation. </t>
  </si>
  <si>
    <t xml:space="preserve">Winsley St. Sub-station (S)</t>
  </si>
  <si>
    <t xml:space="preserve">Princess House</t>
  </si>
  <si>
    <t xml:space="preserve">Mappin House, 156-162 Oxford Street</t>
  </si>
  <si>
    <t xml:space="preserve">Part Basement</t>
  </si>
  <si>
    <t xml:space="preserve">Vincere NK Group Ltd</t>
  </si>
  <si>
    <t xml:space="preserve">Landlord can terminate on 1 months notice.</t>
  </si>
  <si>
    <t xml:space="preserve">Ground Floor &amp; Basement                           Winsley Street</t>
  </si>
  <si>
    <t xml:space="preserve">Basement - 158 Oxford Street</t>
  </si>
  <si>
    <t xml:space="preserve">Ground Floor &amp; Basement                           162 Oxford Street</t>
  </si>
  <si>
    <t xml:space="preserve">Dune Group Ltd.</t>
  </si>
  <si>
    <t xml:space="preserve">Ground Floor - 160 Oxford Street</t>
  </si>
  <si>
    <t xml:space="preserve">Hutchison 3 G UK Ltd</t>
  </si>
  <si>
    <t xml:space="preserve">Ground Floor - 158 Oxford Street</t>
  </si>
  <si>
    <t xml:space="preserve">VF Northern Europe Services Ltd</t>
  </si>
  <si>
    <t xml:space="preserve">Ground Floor - 156 Oxford Street</t>
  </si>
  <si>
    <t xml:space="preserve">Hawes &amp; Curtis Ltd</t>
  </si>
  <si>
    <t xml:space="preserve">Rent increasing to £475,000 wef 01/01/26. Tenant break on 9 months notice.</t>
  </si>
  <si>
    <t xml:space="preserve">Mezzanine</t>
  </si>
  <si>
    <t xml:space="preserve">Perry Ellis Europe Ltd.</t>
  </si>
  <si>
    <t xml:space="preserve">Reversionary lease completed. Term 01/11/25 to 30/04/26 at £505,000. Tenant breaks on 28/02/26 &amp; 31/03/26 on 1 months notice.</t>
  </si>
  <si>
    <t xml:space="preserve">London Mappin House Centre Ltd.</t>
  </si>
  <si>
    <t xml:space="preserve">Guaranteed base rent of £241,776 plus revenue top up. Revenue top-up rent of £52,395 paid for 1Jul24 - 30Jun25. Rolling mutual break option after 18 months. </t>
  </si>
  <si>
    <t xml:space="preserve">Guaranteed base rent of £242,259 plus revenue top up. Revenue top-up rent of £52,502 paid for 1Jul24 - 30Jun25. Rolling mutual break option after 18 months. </t>
  </si>
  <si>
    <t xml:space="preserve">Guaranteed base rent of £252,885 plus revenue top up. Revenue top-up rent of £54,805 paid for 1Jul24 - 30Jun25. Rolling mutual break option after 18 months. </t>
  </si>
  <si>
    <t xml:space="preserve">Guaranteed base rent of £252,393 plus revenue top up. Revenue top-up rent of £54,699 paid for 1Jul24 - 30Jun25. Rolling mutual break option after 18 months. </t>
  </si>
  <si>
    <t xml:space="preserve">Mappin House</t>
  </si>
  <si>
    <t xml:space="preserve">53 Wells Street</t>
  </si>
  <si>
    <t xml:space="preserve">Flat 1. Ground Floor</t>
  </si>
  <si>
    <t xml:space="preserve">One Bed Flat</t>
  </si>
  <si>
    <t xml:space="preserve">Edward Davenport</t>
  </si>
  <si>
    <t xml:space="preserve">Rent and Service charge stop placed on unit</t>
  </si>
  <si>
    <t xml:space="preserve">Flat 2. First Floor</t>
  </si>
  <si>
    <t xml:space="preserve">V. Chamoun</t>
  </si>
  <si>
    <t xml:space="preserve">Flat 3. Second Floor</t>
  </si>
  <si>
    <t xml:space="preserve">C &amp; Y Hopper</t>
  </si>
  <si>
    <t xml:space="preserve">Peppercorn.</t>
  </si>
  <si>
    <t xml:space="preserve">Flat 4. Third Floor</t>
  </si>
  <si>
    <t xml:space="preserve">Lion Brand Limited</t>
  </si>
  <si>
    <t xml:space="preserve">68 Wells Street</t>
  </si>
  <si>
    <t xml:space="preserve">Showroom &amp; Office</t>
  </si>
  <si>
    <t xml:space="preserve">Voltage TV Productions Ltd</t>
  </si>
  <si>
    <t xml:space="preserve">Rent increasing to £100,000 wef 25/03/26. Tenant break on 6 months notice.</t>
  </si>
  <si>
    <t xml:space="preserve">Total MEL Area</t>
  </si>
  <si>
    <t xml:space="preserve">33 Eastcastle Street</t>
  </si>
  <si>
    <t xml:space="preserve">OPG</t>
  </si>
  <si>
    <t xml:space="preserve">Retail &amp; Office</t>
  </si>
  <si>
    <t xml:space="preserve">Leon Restaurants Ltd</t>
  </si>
  <si>
    <t xml:space="preserve">Julco House, 26-28 Great Portland Street</t>
  </si>
  <si>
    <t xml:space="preserve">Rent £255,000 pa with a top-up of 11% turnover up to a maximum of £300,000 pa.</t>
  </si>
  <si>
    <t xml:space="preserve">Collins Benson Goldhill LLP</t>
  </si>
  <si>
    <t xml:space="preserve">Oakvale Capital LLP</t>
  </si>
  <si>
    <t xml:space="preserve">Hague Securities Limited</t>
  </si>
  <si>
    <t xml:space="preserve">Tenant break on 6 months notice. 4 months rent free from 05/12/25 if break not exercised.</t>
  </si>
  <si>
    <t xml:space="preserve">Zephyrus Partners Ltd.</t>
  </si>
  <si>
    <t xml:space="preserve">Rent rising to £151,143 wef 07/03/26. </t>
  </si>
  <si>
    <t xml:space="preserve">Global Future Partnership LLP</t>
  </si>
  <si>
    <t xml:space="preserve">Heywood &amp; Partners Surveyors Ltd</t>
  </si>
  <si>
    <t xml:space="preserve">Basement Vaults</t>
  </si>
  <si>
    <t xml:space="preserve">Rent review to RPI.</t>
  </si>
  <si>
    <t xml:space="preserve">5 Margaret Street</t>
  </si>
  <si>
    <t xml:space="preserve">Workpad Fitzrovia Ltd</t>
  </si>
  <si>
    <t xml:space="preserve">60/62 Margaret Street</t>
  </si>
  <si>
    <t xml:space="preserve">Creo London Limited.</t>
  </si>
  <si>
    <t xml:space="preserve">Rent rising to £1,250,000 wef 01/03/26. </t>
  </si>
  <si>
    <t xml:space="preserve">85 Mortimer Street</t>
  </si>
  <si>
    <t xml:space="preserve">The Feel Good Group Ltd.</t>
  </si>
  <si>
    <t xml:space="preserve">Welbeck House, 66/67 Wells Street</t>
  </si>
  <si>
    <t xml:space="preserve">Basement (67)</t>
  </si>
  <si>
    <t xml:space="preserve">Electricity / Substation</t>
  </si>
  <si>
    <t xml:space="preserve">Rent 5p paid annually on 25th March</t>
  </si>
  <si>
    <t xml:space="preserve">Basement &amp; Ground (67), Rear (66/67) &amp; 1st Floor (R) 66.</t>
  </si>
  <si>
    <t xml:space="preserve">Retail / Offices</t>
  </si>
  <si>
    <t xml:space="preserve">Basement &amp; Ground (66)</t>
  </si>
  <si>
    <t xml:space="preserve">Noble Furs (Regent Street) Ltd</t>
  </si>
  <si>
    <t xml:space="preserve">Further 2 months rent free @ 31/10/25. Rent rises to £50,600 wef 31/12/25. Mutual break on 3 months notice. </t>
  </si>
  <si>
    <t xml:space="preserve">Investments Services UK Ltd</t>
  </si>
  <si>
    <t xml:space="preserve">32-36 Great Portland Street</t>
  </si>
  <si>
    <t xml:space="preserve">PEL</t>
  </si>
  <si>
    <t xml:space="preserve">Prenuvo Ltd</t>
  </si>
  <si>
    <t xml:space="preserve">Rent increasing to £220,000 wef 18/01/26. Tenant break on 6 months notice.</t>
  </si>
  <si>
    <t xml:space="preserve">AdMaxim Limited</t>
  </si>
  <si>
    <t xml:space="preserve">Lease renewal completion imminent.</t>
  </si>
  <si>
    <t xml:space="preserve">Fourth Floor </t>
  </si>
  <si>
    <t xml:space="preserve">Mackintosh Limited</t>
  </si>
  <si>
    <t xml:space="preserve">Rent increasing to £105,490 @ 21/10/26. Tenant break on 6 months notice.</t>
  </si>
  <si>
    <t xml:space="preserve">Total Area</t>
  </si>
  <si>
    <t xml:space="preserve">Total OPG &amp; PEL Area</t>
  </si>
  <si>
    <t xml:space="preserve">184-190 Oxford Street &amp; 28/30 Market Place</t>
  </si>
  <si>
    <t xml:space="preserve">OOS</t>
  </si>
  <si>
    <t xml:space="preserve">184-188 Oxford Street (B, G &amp; 1st)</t>
  </si>
  <si>
    <t xml:space="preserve">Airwair International Ltd</t>
  </si>
  <si>
    <t xml:space="preserve">Rent rising to £650,000 wef 23/12/25. In addition, turnover rent payable if 10% turnover exceeds £650,000.</t>
  </si>
  <si>
    <t xml:space="preserve">190 Oxford Street (B &amp; G)</t>
  </si>
  <si>
    <t xml:space="preserve">Office Holdings Ltd</t>
  </si>
  <si>
    <t xml:space="preserve">1st Floor, 28 Market Place</t>
  </si>
  <si>
    <t xml:space="preserve">EP Commodities Ltd</t>
  </si>
  <si>
    <t xml:space="preserve">Annual RPI rent increase (min 1%, max 4%). </t>
  </si>
  <si>
    <t xml:space="preserve">2nd Floor, 30 Market Place</t>
  </si>
  <si>
    <t xml:space="preserve">Joint London Ltd</t>
  </si>
  <si>
    <t xml:space="preserve">Reversionary lease completed. 5 year lease at £375,750 with 6 months rent free (to be taken as half rent). Tenant break after 3 years.</t>
  </si>
  <si>
    <t xml:space="preserve">3rd Floor, 30 Market Place</t>
  </si>
  <si>
    <t xml:space="preserve">LEM / EC&amp;P</t>
  </si>
  <si>
    <t xml:space="preserve">4th Floor, 30 Market Place</t>
  </si>
  <si>
    <t xml:space="preserve">Ascot Lloyd Ltd</t>
  </si>
  <si>
    <t xml:space="preserve">Rent £180,625 wef 09/11/25. Fixed increase to £361,250 wef 09/11/26. Tenant break on 6 months notice. Half rent from 09/05/30 to 08/03/32 if not exercised. Penalty payment of £30,105 if exercised.</t>
  </si>
  <si>
    <t xml:space="preserve">5th Floor, 30 Market Place</t>
  </si>
  <si>
    <t xml:space="preserve">Nchain Ltd</t>
  </si>
  <si>
    <t xml:space="preserve">Rent review @ 18/12/25 documented at passing rent.</t>
  </si>
  <si>
    <t xml:space="preserve">6th Floor, 30 Market Place</t>
  </si>
  <si>
    <t xml:space="preserve">EDF</t>
  </si>
  <si>
    <t xml:space="preserve">New lease in negotiation. £1k max from date of purchase.</t>
  </si>
  <si>
    <t xml:space="preserve">Total OOS Area</t>
  </si>
  <si>
    <t xml:space="preserve">Total Category B Properties     </t>
  </si>
  <si>
    <t xml:space="preserve">Total Area Categaory B's</t>
  </si>
  <si>
    <t xml:space="preserve">Circa 99,900</t>
  </si>
  <si>
    <t xml:space="preserve">Total Category C Properties</t>
  </si>
  <si>
    <t xml:space="preserve">Total Area Category C's</t>
  </si>
  <si>
    <t xml:space="preserve">Circa 782,000</t>
  </si>
  <si>
    <t xml:space="preserve">TOTAL</t>
  </si>
  <si>
    <t xml:space="preserve">Notes</t>
  </si>
  <si>
    <t xml:space="preserve">(1) Capital Values and ERV's are taken from the June 2025 CBRE Valuation.</t>
  </si>
  <si>
    <t xml:space="preserve">(2) Rent PA column represents the documented rental level as per legal agreements and should be read in conjunction with the Remarks.</t>
  </si>
  <si>
    <t xml:space="preserve">(3) As a result of CBRE’s valuation approach, they attributed no ERV's to 12 Hallam St &amp; 16-20 Hallam St.</t>
  </si>
  <si>
    <t xml:space="preserve">Updated 5th September 2025</t>
  </si>
  <si>
    <t xml:space="preserve">  2024 ERV (£)</t>
  </si>
  <si>
    <t xml:space="preserve">2024 Cap Valn. (£)    </t>
  </si>
  <si>
    <t xml:space="preserve">Area</t>
  </si>
  <si>
    <t xml:space="preserve">Total </t>
  </si>
  <si>
    <t xml:space="preserve">LEM Strategy</t>
  </si>
  <si>
    <t xml:space="preserve">blank </t>
  </si>
  <si>
    <t xml:space="preserve">Under Offer.</t>
  </si>
  <si>
    <t xml:space="preserve">EPC Rating</t>
  </si>
  <si>
    <t xml:space="preserve">EPC Rating By Floor Area</t>
  </si>
  <si>
    <t xml:space="preserve">Unlettable under ARES</t>
  </si>
  <si>
    <t xml:space="preserve">sq.ft</t>
  </si>
  <si>
    <t xml:space="preserve">Total</t>
  </si>
  <si>
    <t xml:space="preserve">Tenant Trade</t>
  </si>
  <si>
    <t xml:space="preserve">Professional Services</t>
  </si>
  <si>
    <t xml:space="preserve">Leisure Services</t>
  </si>
  <si>
    <t xml:space="preserve">Health &amp; Social Services</t>
  </si>
  <si>
    <t xml:space="preserve">Real Estate &amp; Construction</t>
  </si>
  <si>
    <t xml:space="preserve">Media &amp; Marketing</t>
  </si>
  <si>
    <t xml:space="preserve">Banking &amp; Finance</t>
  </si>
  <si>
    <t xml:space="preserve">Other</t>
  </si>
  <si>
    <t xml:space="preserve">IT &amp; Telecoms</t>
  </si>
  <si>
    <t xml:space="preserve">Recruitment</t>
  </si>
  <si>
    <t xml:space="preserve">Serviced Offices</t>
  </si>
  <si>
    <t xml:space="preserve">Infront Sports &amp; Media UK Ltd</t>
  </si>
  <si>
    <t xml:space="preserve">Manufacturing</t>
  </si>
  <si>
    <t xml:space="preserve">PI Artworks Ltd.</t>
  </si>
  <si>
    <t xml:space="preserve">T. Ciss, E. Moser</t>
  </si>
  <si>
    <t xml:space="preserve">Wacoal Emea Ltd.</t>
  </si>
  <si>
    <t xml:space="preserve">Lease Expiry next 3 months </t>
  </si>
  <si>
    <t xml:space="preserve">Start Date</t>
  </si>
  <si>
    <t xml:space="preserve">Expiry Date</t>
  </si>
  <si>
    <t xml:space="preserve">Break dates next 6 months </t>
  </si>
  <si>
    <t xml:space="preserve">Rent Review dates next 6 months </t>
  </si>
  <si>
    <t xml:space="preserve">Document updated 03/12/2025 at 3.31pm</t>
  </si>
  <si>
    <t xml:space="preserve">5-6 Bywell Place</t>
  </si>
  <si>
    <t xml:space="preserve">Building</t>
  </si>
  <si>
    <t xml:space="preserve">Rent PA (£)</t>
  </si>
  <si>
    <t xml:space="preserve">2023 ERV (£)</t>
  </si>
  <si>
    <t xml:space="preserve">2025 ERV (£)</t>
  </si>
  <si>
    <t xml:space="preserve">2025 Cap Valn. (£)</t>
  </si>
</sst>
</file>

<file path=xl/styles.xml><?xml version="1.0" encoding="utf-8"?>
<styleSheet xmlns="http://schemas.openxmlformats.org/spreadsheetml/2006/main">
  <numFmts count="22">
    <numFmt numFmtId="164" formatCode="General"/>
    <numFmt numFmtId="165" formatCode="_-* #,##0.00_-;\-* #,##0.00_-;_-* \-??_-;_-@_-"/>
    <numFmt numFmtId="166" formatCode="_-\£* #,##0.00_-;&quot;-£&quot;* #,##0.00_-;_-\£* \-??_-;_-@_-"/>
    <numFmt numFmtId="167" formatCode="0%"/>
    <numFmt numFmtId="168" formatCode="#,##0"/>
    <numFmt numFmtId="169" formatCode="dd/mm/yy;@"/>
    <numFmt numFmtId="170" formatCode="#,##0;[RED]#,##0"/>
    <numFmt numFmtId="171" formatCode="_-* #,##0_-;\-* #,##0_-;_-* \-??_-;_-@_-"/>
    <numFmt numFmtId="172" formatCode="\£#,##0.0"/>
    <numFmt numFmtId="173" formatCode="\£#,##0.00"/>
    <numFmt numFmtId="174" formatCode="dd/mm/yyyy"/>
    <numFmt numFmtId="175" formatCode="#,##0.00;[RED]#,##0.00"/>
    <numFmt numFmtId="176" formatCode="dd/mm/yyyy;@"/>
    <numFmt numFmtId="177" formatCode="#,##0_ ;[RED]\-#,##0\ "/>
    <numFmt numFmtId="178" formatCode="\£#,##0"/>
    <numFmt numFmtId="179" formatCode="_-\£* #,##0_-;&quot;-£&quot;* #,##0_-;_-\£* \-??_-;_-@_-"/>
    <numFmt numFmtId="180" formatCode="_-* #,##0.0_-;\-* #,##0.0_-;_-* \-??_-;_-@_-"/>
    <numFmt numFmtId="181" formatCode="#"/>
    <numFmt numFmtId="182" formatCode="[$-F800]dddd&quot;, &quot;mmmm\ dd&quot;, &quot;yyyy"/>
    <numFmt numFmtId="183" formatCode="_-\£* #,##0.0_-;&quot;-£&quot;* #,##0.0_-;_-\£* \-??_-;_-@_-"/>
    <numFmt numFmtId="184" formatCode="@"/>
    <numFmt numFmtId="185" formatCode="\£#,##0"/>
  </numFmts>
  <fonts count="57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sz val="8"/>
      <name val="Arial"/>
      <family val="2"/>
      <charset val="1"/>
    </font>
    <font>
      <u val="single"/>
      <sz val="8"/>
      <name val="Arial"/>
      <family val="2"/>
      <charset val="1"/>
    </font>
    <font>
      <sz val="1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1"/>
      <name val="Arial"/>
      <family val="2"/>
      <charset val="1"/>
    </font>
    <font>
      <b val="true"/>
      <u val="single"/>
      <sz val="10"/>
      <name val="Arial"/>
      <family val="2"/>
      <charset val="1"/>
    </font>
    <font>
      <b val="true"/>
      <u val="single"/>
      <sz val="8"/>
      <name val="Arial"/>
      <family val="2"/>
      <charset val="1"/>
    </font>
    <font>
      <b val="true"/>
      <sz val="8"/>
      <color rgb="FFFFFFFF"/>
      <name val="Arial"/>
      <family val="2"/>
      <charset val="1"/>
    </font>
    <font>
      <sz val="8"/>
      <color rgb="FFFFFFFF"/>
      <name val="Arial"/>
      <family val="2"/>
      <charset val="1"/>
    </font>
    <font>
      <b val="true"/>
      <u val="single"/>
      <sz val="8"/>
      <color rgb="FFFFFFF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8"/>
      <color rgb="FFFF0000"/>
      <name val="Arial"/>
      <family val="2"/>
      <charset val="1"/>
    </font>
    <font>
      <u val="single"/>
      <sz val="8"/>
      <color rgb="FFFF0000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name val="MS Sans Serif"/>
      <family val="2"/>
      <charset val="1"/>
    </font>
    <font>
      <sz val="10"/>
      <name val="MS Sans Serif"/>
      <family val="2"/>
      <charset val="1"/>
    </font>
    <font>
      <u val="single"/>
      <sz val="10"/>
      <name val="MS Sans Serif"/>
      <family val="2"/>
      <charset val="1"/>
    </font>
    <font>
      <sz val="11"/>
      <name val="MS Sans Serif"/>
      <family val="2"/>
      <charset val="1"/>
    </font>
    <font>
      <sz val="10"/>
      <color rgb="FFFF0000"/>
      <name val="MS Sans Serif"/>
      <family val="2"/>
      <charset val="1"/>
    </font>
    <font>
      <sz val="8"/>
      <color theme="1"/>
      <name val="Arial"/>
      <family val="2"/>
      <charset val="1"/>
    </font>
    <font>
      <b val="true"/>
      <u val="single"/>
      <sz val="8"/>
      <color theme="1"/>
      <name val="Arial"/>
      <family val="2"/>
      <charset val="1"/>
    </font>
    <font>
      <b val="true"/>
      <sz val="8"/>
      <color theme="1"/>
      <name val="Arial"/>
      <family val="2"/>
      <charset val="1"/>
    </font>
    <font>
      <b val="true"/>
      <sz val="11"/>
      <color theme="1"/>
      <name val="Arial"/>
      <family val="2"/>
      <charset val="1"/>
    </font>
    <font>
      <u val="single"/>
      <sz val="7"/>
      <name val="Arial"/>
      <family val="2"/>
      <charset val="1"/>
    </font>
    <font>
      <sz val="8"/>
      <color rgb="FF000000"/>
      <name val="Arial"/>
      <family val="2"/>
      <charset val="1"/>
    </font>
    <font>
      <u val="single"/>
      <sz val="8"/>
      <color rgb="FF000000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b val="true"/>
      <sz val="9"/>
      <name val="Arial"/>
      <family val="2"/>
      <charset val="1"/>
    </font>
    <font>
      <sz val="9"/>
      <name val="Arial"/>
      <family val="2"/>
      <charset val="1"/>
    </font>
    <font>
      <b val="true"/>
      <u val="single"/>
      <sz val="9"/>
      <name val="Arial"/>
      <family val="2"/>
      <charset val="1"/>
    </font>
    <font>
      <sz val="9"/>
      <color rgb="FFFF0000"/>
      <name val="Arial"/>
      <family val="2"/>
      <charset val="1"/>
    </font>
    <font>
      <sz val="9"/>
      <color theme="1"/>
      <name val="Arial"/>
      <family val="2"/>
      <charset val="1"/>
    </font>
    <font>
      <u val="single"/>
      <sz val="9"/>
      <color theme="1"/>
      <name val="Arial"/>
      <family val="2"/>
      <charset val="1"/>
    </font>
    <font>
      <b val="true"/>
      <u val="single"/>
      <sz val="9"/>
      <color theme="1"/>
      <name val="Arial"/>
      <family val="2"/>
      <charset val="1"/>
    </font>
    <font>
      <u val="single"/>
      <sz val="8"/>
      <color theme="1"/>
      <name val="Arial"/>
      <family val="2"/>
      <charset val="1"/>
    </font>
    <font>
      <b val="true"/>
      <sz val="8"/>
      <color theme="1"/>
      <name val="Calibri"/>
      <family val="2"/>
      <charset val="1"/>
    </font>
    <font>
      <b val="true"/>
      <sz val="9"/>
      <color theme="1"/>
      <name val="Arial"/>
      <family val="2"/>
      <charset val="1"/>
    </font>
    <font>
      <b val="true"/>
      <sz val="8"/>
      <color rgb="FFFF0000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sz val="10"/>
      <color rgb="FFFF0000"/>
      <name val="Arial"/>
      <family val="2"/>
      <charset val="1"/>
    </font>
    <font>
      <b val="true"/>
      <i val="true"/>
      <sz val="8"/>
      <name val="Arial"/>
      <family val="2"/>
      <charset val="1"/>
    </font>
    <font>
      <sz val="10"/>
      <color rgb="FFC00000"/>
      <name val="Arial"/>
      <family val="2"/>
      <charset val="1"/>
    </font>
    <font>
      <b val="true"/>
      <sz val="18"/>
      <color rgb="FF000000"/>
      <name val="Calibri"/>
      <family val="2"/>
    </font>
    <font>
      <b val="true"/>
      <sz val="11"/>
      <color rgb="FF404040"/>
      <name val="Calibri"/>
      <family val="2"/>
    </font>
    <font>
      <sz val="9"/>
      <color rgb="FF595959"/>
      <name val="Calibri"/>
      <family val="2"/>
    </font>
    <font>
      <b val="true"/>
      <sz val="16"/>
      <color rgb="FF595959"/>
      <name val="Calibri"/>
      <family val="2"/>
    </font>
    <font>
      <b val="true"/>
      <sz val="16"/>
      <color rgb="FFFFFFFF"/>
      <name val="Calibri"/>
      <family val="2"/>
    </font>
    <font>
      <sz val="16"/>
      <color rgb="FF595959"/>
      <name val="Calibri"/>
      <family val="2"/>
    </font>
    <font>
      <sz val="10"/>
      <name val="Arial Unicode MS"/>
      <family val="2"/>
      <charset val="1"/>
    </font>
    <font>
      <b val="true"/>
      <sz val="11"/>
      <name val="Cambria"/>
      <family val="0"/>
      <charset val="1"/>
    </font>
  </fonts>
  <fills count="19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DEADA"/>
      </patternFill>
    </fill>
    <fill>
      <patternFill patternType="solid">
        <fgColor theme="7" tint="0.7999"/>
        <bgColor rgb="FFDCE6F2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B7DEE8"/>
      </patternFill>
    </fill>
    <fill>
      <patternFill patternType="solid">
        <fgColor theme="5" tint="0.5999"/>
        <bgColor rgb="FFCCC1DA"/>
      </patternFill>
    </fill>
    <fill>
      <patternFill patternType="solid">
        <fgColor theme="6" tint="0.5999"/>
        <bgColor rgb="FFDDD9C3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2DCDB"/>
      </patternFill>
    </fill>
    <fill>
      <patternFill patternType="solid">
        <fgColor rgb="FFFFFFCC"/>
        <bgColor rgb="FFEBF1DE"/>
      </patternFill>
    </fill>
    <fill>
      <patternFill patternType="solid">
        <fgColor theme="0" tint="-0.25"/>
        <bgColor rgb="FFCCC1DA"/>
      </patternFill>
    </fill>
    <fill>
      <patternFill patternType="solid">
        <fgColor rgb="FFFFFF00"/>
        <bgColor rgb="FFFFC000"/>
      </patternFill>
    </fill>
    <fill>
      <patternFill patternType="solid">
        <fgColor theme="2" tint="-0.1"/>
        <bgColor rgb="FFD9D9D9"/>
      </patternFill>
    </fill>
    <fill>
      <patternFill patternType="solid">
        <fgColor rgb="FFFFC000"/>
        <bgColor rgb="FFFFFF00"/>
      </patternFill>
    </fill>
  </fills>
  <borders count="19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 style="thin"/>
      <bottom style="double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 style="double"/>
      <diagonal/>
    </border>
    <border diagonalUp="false" diagonalDown="false">
      <left/>
      <right style="thin"/>
      <top style="thin"/>
      <bottom style="double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 style="thin"/>
      <diagonal/>
    </border>
  </borders>
  <cellStyleXfs count="4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4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7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9" fillId="15" borderId="3" xfId="29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2" fontId="9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6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0" borderId="5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3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5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4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12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1" fontId="23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2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6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0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12" fillId="0" borderId="0" xfId="2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6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7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8" fillId="0" borderId="0" xfId="29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2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0" fillId="0" borderId="0" xfId="29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3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6" fillId="0" borderId="0" xfId="29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2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1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9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5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6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1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5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4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1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5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35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5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36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5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34" fillId="17" borderId="6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35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5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7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9" fontId="3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38" fillId="0" borderId="0" xfId="29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39" fillId="0" borderId="0" xfId="29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2" fontId="3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8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7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6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1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7" fontId="3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38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7" fontId="38" fillId="0" borderId="0" xfId="29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7" fontId="3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9" fillId="0" borderId="0" xfId="29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72" fontId="3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7" fontId="4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4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2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38" fillId="0" borderId="0" xfId="2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39" fillId="0" borderId="0" xfId="2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2" fontId="2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7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2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26" fillId="0" borderId="0" xfId="2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7" fontId="41" fillId="0" borderId="0" xfId="29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8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3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8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38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6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40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7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2" fontId="38" fillId="1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8" fillId="1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7" fillId="17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4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0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4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right" vertical="center" textRotation="0" wrapText="true" indent="0" shrinkToFit="false"/>
      <protection locked="true" hidden="false"/>
    </xf>
    <xf numFmtId="174" fontId="2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8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9" fillId="0" borderId="0" xfId="29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38" fillId="17" borderId="6" xfId="29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8" fillId="17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6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17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6" fillId="17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6" fillId="17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8" fillId="17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1" fontId="6" fillId="17" borderId="6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6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1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34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9" fontId="3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3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0" fontId="3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4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8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2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4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5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8" xfId="3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8" xfId="31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7" xfId="31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0" fillId="0" borderId="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0" fillId="0" borderId="0" xfId="3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3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1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6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9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1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5" xfId="33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5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5" fillId="0" borderId="17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80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1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0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81" fontId="3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29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0" fillId="18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8" fontId="9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9" fontId="9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9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9" fillId="1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1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71" fontId="9" fillId="15" borderId="0" xfId="29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2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8" fontId="5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8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8" fontId="0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0" fillId="0" borderId="0" xfId="31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83" fontId="9" fillId="15" borderId="3" xfId="3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8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1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12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77" fontId="4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Accent1 2" xfId="20"/>
    <cellStyle name="20% - Accent2 2" xfId="21"/>
    <cellStyle name="20% - Accent3 2" xfId="22"/>
    <cellStyle name="20% - Accent4 2" xfId="23"/>
    <cellStyle name="20% - Accent5 2" xfId="24"/>
    <cellStyle name="20% - Accent6 2" xfId="25"/>
    <cellStyle name="40% - Accent1 2" xfId="26"/>
    <cellStyle name="40% - Accent2 2" xfId="27"/>
    <cellStyle name="40% - Accent3 2" xfId="28"/>
    <cellStyle name="40% - Accent4 2" xfId="29"/>
    <cellStyle name="40% - Accent5 2" xfId="30"/>
    <cellStyle name="40% - Accent6 2" xfId="31"/>
    <cellStyle name="Comma 2" xfId="32"/>
    <cellStyle name="Currency 2" xfId="33"/>
    <cellStyle name="Normal 2" xfId="34"/>
    <cellStyle name="Normal 2 2" xfId="35"/>
    <cellStyle name="Normal 3" xfId="36"/>
    <cellStyle name="Note 2" xfId="37"/>
    <cellStyle name="Note 2 2" xfId="38"/>
    <cellStyle name="Per cent 2" xfId="39"/>
  </cellStyles>
  <dxfs count="7">
    <dxf>
      <fill>
        <patternFill patternType="solid">
          <bgColor rgb="FF000000"/>
        </patternFill>
      </fill>
    </dxf>
    <dxf>
      <fill>
        <patternFill patternType="solid">
          <fgColor rgb="FFBFBFBF"/>
          <bgColor rgb="FF00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4F81BD"/>
      <rgbColor rgb="FFD9D9D9"/>
      <rgbColor rgb="FF993366"/>
      <rgbColor rgb="FFFFFFCC"/>
      <rgbColor rgb="FFDBEEF4"/>
      <rgbColor rgb="FF660066"/>
      <rgbColor rgb="FFDDD9C3"/>
      <rgbColor rgb="FF0066CC"/>
      <rgbColor rgb="FFB9CDE5"/>
      <rgbColor rgb="FF000080"/>
      <rgbColor rgb="FFFF00FF"/>
      <rgbColor rgb="FFD7E4BD"/>
      <rgbColor rgb="FF00FFFF"/>
      <rgbColor rgb="FF800080"/>
      <rgbColor rgb="FF800000"/>
      <rgbColor rgb="FF008080"/>
      <rgbColor rgb="FF0000FF"/>
      <rgbColor rgb="FF00CCFF"/>
      <rgbColor rgb="FFDCE6F2"/>
      <rgbColor rgb="FFEBF1DE"/>
      <rgbColor rgb="FFFDEADA"/>
      <rgbColor rgb="FFB7DEE8"/>
      <rgbColor rgb="FFE6B9B8"/>
      <rgbColor rgb="FFCCC1DA"/>
      <rgbColor rgb="FFFCD5B5"/>
      <rgbColor rgb="FF3366FF"/>
      <rgbColor rgb="FF33CCCC"/>
      <rgbColor rgb="FFF2DCDB"/>
      <rgbColor rgb="FFFFC000"/>
      <rgbColor rgb="FFE6E0EC"/>
      <rgbColor rgb="FFEE5C1A"/>
      <rgbColor rgb="FF59595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sz="1800" strike="noStrike" u="none">
                <a:solidFill>
                  <a:srgbClr val="000000"/>
                </a:solidFill>
                <a:uFillTx/>
                <a:latin typeface="Calibri"/>
              </a:rPr>
              <a:t>None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94594780930056"/>
          <c:y val="0.0939718881321548"/>
          <c:w val="0.603295528973767"/>
          <c:h val="0.862121431676569"/>
        </c:manualLayout>
      </c:layout>
      <c:pieChart>
        <c:varyColors val="1"/>
        <c:ser>
          <c:idx val="0"/>
          <c:order val="0"/>
          <c:tx>
            <c:strRef>
              <c:f>label 0</c:f>
              <c:strCache>
                <c:ptCount val="1"/>
                <c:pt idx="0">
                  <c:v>Void Property by Category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2e5f99"/>
                  </a:gs>
                  <a:gs pos="80000">
                    <a:srgbClr val="3c7ac7"/>
                  </a:gs>
                  <a:gs pos="100000">
                    <a:srgbClr val="397bca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1"/>
            <c:spPr>
              <a:gradFill>
                <a:gsLst>
                  <a:gs pos="0">
                    <a:srgbClr val="9c2f2c"/>
                  </a:gs>
                  <a:gs pos="80000">
                    <a:srgbClr val="cb3d39"/>
                  </a:gs>
                  <a:gs pos="100000">
                    <a:srgbClr val="ce3a36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2"/>
            <c:spPr>
              <a:gradFill>
                <a:gsLst>
                  <a:gs pos="0">
                    <a:srgbClr val="779637"/>
                  </a:gs>
                  <a:gs pos="80000">
                    <a:srgbClr val="9bc348"/>
                  </a:gs>
                  <a:gs pos="100000">
                    <a:srgbClr val="9cc745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3"/>
            <c:spPr>
              <a:gradFill>
                <a:gsLst>
                  <a:gs pos="0">
                    <a:srgbClr val="5e437f"/>
                  </a:gs>
                  <a:gs pos="80000">
                    <a:srgbClr val="7b57a5"/>
                  </a:gs>
                  <a:gs pos="100000">
                    <a:srgbClr val="7b57a7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4"/>
            <c:spPr>
              <a:gradFill>
                <a:gsLst>
                  <a:gs pos="0">
                    <a:srgbClr val="2988a1"/>
                  </a:gs>
                  <a:gs pos="80000">
                    <a:srgbClr val="36b0d1"/>
                  </a:gs>
                  <a:gs pos="100000">
                    <a:srgbClr val="34b3d5"/>
                  </a:gs>
                </a:gsLst>
                <a:lin ang="16200000"/>
              </a:gra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1" sz="11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1" sz="11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sz="11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1" sz="11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1" sz="1100" strike="noStrike" u="none">
                      <a:solidFill>
                        <a:srgbClr val="404040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0"/>
              <c:showVal val="1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1" sz="11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categories</c:f>
              <c:strCache>
                <c:ptCount val="5"/>
                <c:pt idx="0">
                  <c:v>0</c:v>
                </c:pt>
                <c:pt idx="1">
                  <c:v>LEM Marketing</c:v>
                </c:pt>
                <c:pt idx="2">
                  <c:v>To be refurbished.</c:v>
                </c:pt>
                <c:pt idx="3">
                  <c:v>Under Offer</c:v>
                </c:pt>
                <c:pt idx="4">
                  <c:v>Mothballed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5"/>
                <c:pt idx="0">
                  <c:v>12</c:v>
                </c:pt>
                <c:pt idx="1">
                  <c:v>53</c:v>
                </c:pt>
                <c:pt idx="2">
                  <c:v>50</c:v>
                </c:pt>
                <c:pt idx="3">
                  <c:v>8</c:v>
                </c:pt>
                <c:pt idx="4">
                  <c:v>23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811854175056549"/>
          <c:y val="0.272195414349308"/>
          <c:w val="0.186555785349477"/>
          <c:h val="0.469080983782609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9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1" lang="en-US" sz="1600" strike="noStrike" u="none">
                <a:solidFill>
                  <a:srgbClr val="595959"/>
                </a:solidFill>
                <a:uFillTx/>
                <a:latin typeface="Calibri"/>
              </a:rPr>
              <a:t>Void Property By EPC Rating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label 0</c:f>
              <c:strCache>
                <c:ptCount val="1"/>
                <c:pt idx="0">
                  <c:v>Void Property by Category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gradFill>
                <a:gsLst>
                  <a:gs pos="0">
                    <a:srgbClr val="2e5f99"/>
                  </a:gs>
                  <a:gs pos="80000">
                    <a:srgbClr val="3c7ac7"/>
                  </a:gs>
                  <a:gs pos="100000">
                    <a:srgbClr val="397bca"/>
                  </a:gs>
                </a:gsLst>
                <a:lin ang="16200000"/>
              </a:gradFill>
              <a:ln w="0">
                <a:noFill/>
              </a:ln>
            </c:spPr>
          </c:dPt>
          <c:dPt>
            <c:idx val="1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2"/>
            <c:spPr>
              <a:solidFill>
                <a:srgbClr val="ff9900"/>
              </a:solidFill>
              <a:ln w="0">
                <a:noFill/>
              </a:ln>
            </c:spPr>
          </c:dPt>
          <c:dPt>
            <c:idx val="3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4"/>
            <c:spPr>
              <a:solidFill>
                <a:srgbClr val="c00000"/>
              </a:solidFill>
              <a:ln w="0">
                <a:noFill/>
              </a:ln>
            </c:spPr>
          </c:dPt>
          <c:dLbls>
            <c:numFmt formatCode="General" sourceLinked="1"/>
            <c:dLbl>
              <c:idx val="0"/>
              <c:numFmt formatCode="General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0"/>
              <c:showPercent val="1"/>
              <c:separator>; </c:separator>
            </c:dLbl>
            <c:dLbl>
              <c:idx val="1"/>
              <c:numFmt formatCode="General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0"/>
              <c:showPercent val="1"/>
              <c:separator>; </c:separator>
            </c:dLbl>
            <c:dLbl>
              <c:idx val="2"/>
              <c:numFmt formatCode="General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0"/>
              <c:showPercent val="1"/>
              <c:separator>; </c:separator>
            </c:dLbl>
            <c:dLbl>
              <c:idx val="3"/>
              <c:numFmt formatCode="General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ctr"/>
              <c:showLegendKey val="1"/>
              <c:showVal val="1"/>
              <c:showCatName val="0"/>
              <c:showSerName val="0"/>
              <c:showPercent val="1"/>
              <c:separator>; </c:separator>
            </c:dLbl>
            <c:dLbl>
              <c:idx val="4"/>
              <c:numFmt formatCode="General" sourceLinked="1"/>
              <c:txPr>
                <a:bodyPr wrap="square"/>
                <a:lstStyle/>
                <a:p>
                  <a:pPr>
                    <a:defRPr b="1" sz="1600" strike="noStrike" u="none">
                      <a:solidFill>
                        <a:srgbClr val="ffffff"/>
                      </a:solidFill>
                      <a:uFillTx/>
                      <a:latin typeface="Calibri"/>
                    </a:defRPr>
                  </a:pPr>
                </a:p>
              </c:txPr>
              <c:dLblPos val="bestFit"/>
              <c:showLegendKey val="1"/>
              <c:showVal val="1"/>
              <c:showCatName val="0"/>
              <c:showSerName val="0"/>
              <c:showPercent val="1"/>
              <c:separator>; </c:separator>
            </c:dLbl>
            <c:txPr>
              <a:bodyPr wrap="square"/>
              <a:lstStyle/>
              <a:p>
                <a:pPr>
                  <a:defRPr b="1" sz="1600" strike="noStrike" u="none">
                    <a:solidFill>
                      <a:srgbClr val="ffffff"/>
                    </a:solidFill>
                    <a:uFillTx/>
                    <a:latin typeface="Calibri"/>
                  </a:defRPr>
                </a:pPr>
              </a:p>
            </c:txPr>
            <c:dLblPos val="ctr"/>
            <c:showLegendKey val="1"/>
            <c:showVal val="1"/>
            <c:showCatName val="0"/>
            <c:showSerName val="0"/>
            <c:showPercent val="1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categories</c:f>
              <c:strCache>
                <c:ptCount val="5"/>
                <c:pt idx="0">
                  <c:v>A</c:v>
                </c:pt>
                <c:pt idx="1">
                  <c:v>B</c:v>
                </c:pt>
                <c:pt idx="2">
                  <c:v>C</c:v>
                </c:pt>
                <c:pt idx="3">
                  <c:v>D</c:v>
                </c:pt>
                <c:pt idx="4">
                  <c:v>E</c:v>
                </c:pt>
              </c:strCache>
            </c:strRef>
          </c:cat>
          <c:val>
            <c:numRef>
              <c:f>0</c:f>
              <c:numCache>
                <c:formatCode>General</c:formatCode>
                <c:ptCount val="5"/>
                <c:pt idx="0">
                  <c:v>0</c:v>
                </c:pt>
                <c:pt idx="1">
                  <c:v>14</c:v>
                </c:pt>
                <c:pt idx="2">
                  <c:v>14</c:v>
                </c:pt>
                <c:pt idx="3">
                  <c:v>64</c:v>
                </c:pt>
                <c:pt idx="4">
                  <c:v>39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layout>
        <c:manualLayout>
          <c:xMode val="edge"/>
          <c:yMode val="edge"/>
          <c:x val="0.888869770937597"/>
          <c:y val="0.302999597726013"/>
          <c:w val="0.0587318421844177"/>
          <c:h val="0.442301133562817"/>
        </c:manualLayout>
      </c:layout>
      <c:overlay val="1"/>
      <c:spPr>
        <a:noFill/>
        <a:ln w="0">
          <a:noFill/>
        </a:ln>
      </c:spPr>
      <c:txPr>
        <a:bodyPr/>
        <a:lstStyle/>
        <a:p>
          <a:pPr>
            <a:defRPr b="0" sz="1600" strike="noStrike" u="non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145</xdr:row>
      <xdr:rowOff>50400</xdr:rowOff>
    </xdr:from>
    <xdr:to>
      <xdr:col>23</xdr:col>
      <xdr:colOff>10440</xdr:colOff>
      <xdr:row>161</xdr:row>
      <xdr:rowOff>294480</xdr:rowOff>
    </xdr:to>
    <xdr:graphicFrame>
      <xdr:nvGraphicFramePr>
        <xdr:cNvPr id="0" name="Chart 1"/>
        <xdr:cNvGraphicFramePr/>
      </xdr:nvGraphicFramePr>
      <xdr:xfrm>
        <a:off x="975240" y="52038000"/>
        <a:ext cx="10442880" cy="496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0</xdr:colOff>
      <xdr:row>161</xdr:row>
      <xdr:rowOff>255960</xdr:rowOff>
    </xdr:from>
    <xdr:to>
      <xdr:col>23</xdr:col>
      <xdr:colOff>16560</xdr:colOff>
      <xdr:row>179</xdr:row>
      <xdr:rowOff>137880</xdr:rowOff>
    </xdr:to>
    <xdr:graphicFrame>
      <xdr:nvGraphicFramePr>
        <xdr:cNvPr id="1" name="Chart 2"/>
        <xdr:cNvGraphicFramePr/>
      </xdr:nvGraphicFramePr>
      <xdr:xfrm>
        <a:off x="975240" y="56967840"/>
        <a:ext cx="10449000" cy="51969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E5C1A"/>
    <pageSetUpPr fitToPage="false"/>
  </sheetPr>
  <dimension ref="A1:AG968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9" activeCellId="0" sqref="E9"/>
    </sheetView>
  </sheetViews>
  <sheetFormatPr defaultColWidth="8.83203125" defaultRowHeight="13.5" customHeight="true" zeroHeight="false" outlineLevelRow="0" outlineLevelCol="0"/>
  <cols>
    <col collapsed="false" customWidth="true" hidden="false" outlineLevel="0" max="1" min="1" style="1" width="1.51"/>
    <col collapsed="false" customWidth="true" hidden="false" outlineLevel="0" max="2" min="2" style="2" width="5.52"/>
    <col collapsed="false" customWidth="true" hidden="true" outlineLevel="0" max="3" min="3" style="2" width="5.52"/>
    <col collapsed="false" customWidth="true" hidden="false" outlineLevel="0" max="4" min="4" style="3" width="17.16"/>
    <col collapsed="false" customWidth="true" hidden="false" outlineLevel="0" max="5" min="5" style="3" width="29.16"/>
    <col collapsed="false" customWidth="true" hidden="false" outlineLevel="0" max="6" min="6" style="4" width="22.5"/>
    <col collapsed="false" customWidth="true" hidden="false" outlineLevel="0" max="7" min="7" style="5" width="12.83"/>
    <col collapsed="false" customWidth="true" hidden="false" outlineLevel="0" max="8" min="8" style="6" width="9.16"/>
    <col collapsed="false" customWidth="true" hidden="true" outlineLevel="0" max="10" min="9" style="6" width="7.83"/>
    <col collapsed="false" customWidth="true" hidden="false" outlineLevel="0" max="11" min="11" style="4" width="31.16"/>
    <col collapsed="false" customWidth="true" hidden="false" outlineLevel="0" max="12" min="12" style="7" width="9.67"/>
    <col collapsed="false" customWidth="true" hidden="false" outlineLevel="0" max="13" min="13" style="8" width="9.67"/>
    <col collapsed="false" customWidth="true" hidden="false" outlineLevel="0" max="14" min="14" style="8" width="8.16"/>
    <col collapsed="false" customWidth="true" hidden="false" outlineLevel="0" max="15" min="15" style="8" width="7.5"/>
    <col collapsed="false" customWidth="true" hidden="false" outlineLevel="0" max="16" min="16" style="8" width="9"/>
    <col collapsed="false" customWidth="true" hidden="false" outlineLevel="0" max="17" min="17" style="9" width="11.5"/>
    <col collapsed="false" customWidth="true" hidden="true" outlineLevel="0" max="18" min="18" style="9" width="9.52"/>
    <col collapsed="false" customWidth="true" hidden="true" outlineLevel="0" max="19" min="19" style="9" width="8.67"/>
    <col collapsed="false" customWidth="true" hidden="false" outlineLevel="0" max="20" min="20" style="10" width="12.33"/>
    <col collapsed="false" customWidth="true" hidden="true" outlineLevel="0" max="21" min="21" style="11" width="9.33"/>
    <col collapsed="false" customWidth="true" hidden="false" outlineLevel="0" max="22" min="22" style="10" width="11.33"/>
    <col collapsed="false" customWidth="true" hidden="true" outlineLevel="0" max="23" min="23" style="11" width="8.34"/>
    <col collapsed="false" customWidth="true" hidden="false" outlineLevel="0" max="24" min="24" style="11" width="7.5"/>
    <col collapsed="false" customWidth="true" hidden="false" outlineLevel="0" max="25" min="25" style="11" width="4.5"/>
    <col collapsed="false" customWidth="true" hidden="false" outlineLevel="0" max="26" min="26" style="12" width="1.51"/>
    <col collapsed="false" customWidth="true" hidden="false" outlineLevel="0" max="27" min="27" style="13" width="11.5"/>
    <col collapsed="false" customWidth="true" hidden="false" outlineLevel="0" max="28" min="28" style="14" width="8.5"/>
    <col collapsed="false" customWidth="true" hidden="false" outlineLevel="0" max="29" min="29" style="4" width="52.83"/>
    <col collapsed="false" customWidth="true" hidden="true" outlineLevel="0" max="30" min="30" style="15" width="11.33"/>
    <col collapsed="false" customWidth="true" hidden="true" outlineLevel="0" max="33" min="31" style="4" width="11"/>
  </cols>
  <sheetData>
    <row r="1" customFormat="false" ht="13.5" hidden="false" customHeight="true" outlineLevel="0" collapsed="false">
      <c r="C1" s="3" t="s">
        <v>0</v>
      </c>
      <c r="D1" s="3" t="s">
        <v>0</v>
      </c>
      <c r="E1" s="3" t="s">
        <v>0</v>
      </c>
      <c r="P1" s="3"/>
      <c r="AB1" s="3"/>
    </row>
    <row r="2" customFormat="false" ht="13.5" hidden="false" customHeight="true" outlineLevel="0" collapsed="false">
      <c r="C2" s="3" t="s">
        <v>0</v>
      </c>
      <c r="D2" s="3" t="s">
        <v>0</v>
      </c>
      <c r="E2" s="3" t="s">
        <v>0</v>
      </c>
      <c r="I2" s="3" t="s">
        <v>0</v>
      </c>
      <c r="J2" s="3" t="s">
        <v>0</v>
      </c>
      <c r="P2" s="3"/>
      <c r="R2" s="3" t="s">
        <v>0</v>
      </c>
      <c r="S2" s="3" t="s">
        <v>0</v>
      </c>
      <c r="U2" s="3" t="s">
        <v>0</v>
      </c>
      <c r="W2" s="3" t="s">
        <v>0</v>
      </c>
      <c r="X2" s="3"/>
      <c r="Y2" s="3"/>
      <c r="AB2" s="3"/>
      <c r="AD2" s="15" t="s">
        <v>0</v>
      </c>
      <c r="AE2" s="15" t="s">
        <v>0</v>
      </c>
      <c r="AF2" s="15" t="s">
        <v>0</v>
      </c>
      <c r="AG2" s="15" t="s">
        <v>0</v>
      </c>
    </row>
    <row r="3" customFormat="false" ht="33.75" hidden="false" customHeight="true" outlineLevel="0" collapsed="false">
      <c r="B3" s="16" t="s">
        <v>1</v>
      </c>
      <c r="C3" s="16" t="s">
        <v>2</v>
      </c>
      <c r="D3" s="17" t="s">
        <v>3</v>
      </c>
      <c r="E3" s="17" t="s">
        <v>4</v>
      </c>
      <c r="F3" s="17" t="s">
        <v>5</v>
      </c>
      <c r="G3" s="18" t="s">
        <v>6</v>
      </c>
      <c r="H3" s="19" t="s">
        <v>7</v>
      </c>
      <c r="I3" s="19" t="s">
        <v>8</v>
      </c>
      <c r="J3" s="19" t="s">
        <v>9</v>
      </c>
      <c r="K3" s="20" t="s">
        <v>10</v>
      </c>
      <c r="L3" s="21" t="s">
        <v>11</v>
      </c>
      <c r="M3" s="21" t="s">
        <v>12</v>
      </c>
      <c r="N3" s="21" t="s">
        <v>13</v>
      </c>
      <c r="O3" s="21" t="s">
        <v>14</v>
      </c>
      <c r="P3" s="21" t="s">
        <v>15</v>
      </c>
      <c r="Q3" s="22" t="s">
        <v>16</v>
      </c>
      <c r="R3" s="22" t="s">
        <v>17</v>
      </c>
      <c r="S3" s="22" t="s">
        <v>18</v>
      </c>
      <c r="T3" s="22" t="s">
        <v>19</v>
      </c>
      <c r="U3" s="18" t="s">
        <v>20</v>
      </c>
      <c r="V3" s="22" t="s">
        <v>21</v>
      </c>
      <c r="W3" s="18" t="s">
        <v>22</v>
      </c>
      <c r="X3" s="18" t="s">
        <v>23</v>
      </c>
      <c r="Y3" s="18" t="s">
        <v>24</v>
      </c>
      <c r="Z3" s="23" t="s">
        <v>25</v>
      </c>
      <c r="AA3" s="24" t="s">
        <v>26</v>
      </c>
      <c r="AB3" s="24" t="s">
        <v>27</v>
      </c>
      <c r="AC3" s="25" t="s">
        <v>28</v>
      </c>
      <c r="AD3" s="26" t="s">
        <v>29</v>
      </c>
      <c r="AE3" s="27" t="s">
        <v>30</v>
      </c>
      <c r="AF3" s="27" t="s">
        <v>31</v>
      </c>
      <c r="AG3" s="27" t="s">
        <v>32</v>
      </c>
    </row>
    <row r="4" customFormat="false" ht="13.5" hidden="false" customHeight="true" outlineLevel="0" collapsed="false">
      <c r="B4" s="11"/>
      <c r="C4" s="11"/>
      <c r="D4" s="28"/>
      <c r="E4" s="4"/>
      <c r="F4" s="29"/>
      <c r="G4" s="30"/>
      <c r="H4" s="31"/>
      <c r="I4" s="31"/>
      <c r="J4" s="31"/>
      <c r="K4" s="29"/>
      <c r="L4" s="32"/>
      <c r="M4" s="33"/>
      <c r="N4" s="33"/>
      <c r="O4" s="33"/>
      <c r="P4" s="33"/>
      <c r="Q4" s="34"/>
      <c r="R4" s="34"/>
      <c r="S4" s="34"/>
      <c r="T4" s="35"/>
      <c r="U4" s="35"/>
      <c r="V4" s="35"/>
      <c r="W4" s="35"/>
      <c r="X4" s="35"/>
      <c r="Y4" s="35"/>
      <c r="Z4" s="36"/>
      <c r="AA4" s="37"/>
      <c r="AC4" s="29"/>
    </row>
    <row r="5" customFormat="false" ht="14.25" hidden="false" customHeight="true" outlineLevel="0" collapsed="false">
      <c r="A5" s="28"/>
      <c r="B5" s="11"/>
      <c r="C5" s="11"/>
      <c r="D5" s="28"/>
      <c r="E5" s="4"/>
      <c r="G5" s="38" t="s">
        <v>33</v>
      </c>
      <c r="I5" s="9"/>
      <c r="J5" s="9"/>
      <c r="K5" s="39"/>
      <c r="T5" s="11"/>
      <c r="U5" s="9"/>
      <c r="V5" s="11"/>
      <c r="W5" s="9"/>
      <c r="X5" s="9"/>
      <c r="Y5" s="9"/>
      <c r="Z5" s="40"/>
      <c r="AA5" s="14"/>
    </row>
    <row r="6" customFormat="false" ht="14.25" hidden="false" customHeight="true" outlineLevel="0" collapsed="false">
      <c r="A6" s="28"/>
      <c r="B6" s="11"/>
      <c r="C6" s="11"/>
      <c r="D6" s="28"/>
      <c r="E6" s="4"/>
      <c r="I6" s="9"/>
      <c r="J6" s="9"/>
      <c r="K6" s="39"/>
      <c r="T6" s="9"/>
      <c r="U6" s="9"/>
      <c r="V6" s="9"/>
      <c r="W6" s="9"/>
      <c r="X6" s="9"/>
      <c r="Y6" s="9"/>
      <c r="Z6" s="40"/>
      <c r="AA6" s="14"/>
    </row>
    <row r="7" customFormat="false" ht="24" hidden="false" customHeight="true" outlineLevel="0" collapsed="false">
      <c r="A7" s="28"/>
      <c r="B7" s="11" t="s">
        <v>34</v>
      </c>
      <c r="C7" s="11" t="s">
        <v>35</v>
      </c>
      <c r="D7" s="28" t="n">
        <v>550020</v>
      </c>
      <c r="E7" s="4" t="s">
        <v>33</v>
      </c>
      <c r="F7" s="4" t="s">
        <v>36</v>
      </c>
      <c r="G7" s="5" t="s">
        <v>37</v>
      </c>
      <c r="H7" s="41" t="n">
        <v>2011</v>
      </c>
      <c r="I7" s="9" t="n">
        <f aca="false">H7</f>
        <v>2011</v>
      </c>
      <c r="J7" s="9" t="n">
        <v>2000</v>
      </c>
      <c r="K7" s="4" t="s">
        <v>38</v>
      </c>
      <c r="L7" s="7" t="n">
        <v>45365</v>
      </c>
      <c r="M7" s="8" t="n">
        <v>47190</v>
      </c>
      <c r="P7" s="8" t="n">
        <v>46459</v>
      </c>
      <c r="Q7" s="42" t="n">
        <v>115500</v>
      </c>
      <c r="R7" s="9" t="n">
        <f aca="false">Q7</f>
        <v>115500</v>
      </c>
      <c r="S7" s="42" t="n">
        <f aca="false">R7</f>
        <v>115500</v>
      </c>
      <c r="T7" s="42" t="n">
        <v>100600</v>
      </c>
      <c r="U7" s="9" t="n">
        <f aca="false">T7</f>
        <v>100600</v>
      </c>
      <c r="V7" s="43" t="n">
        <v>115000</v>
      </c>
      <c r="W7" s="9" t="n">
        <f aca="false">V7</f>
        <v>115000</v>
      </c>
      <c r="X7" s="44" t="n">
        <f aca="false">T7/H7</f>
        <v>50.0248632521134</v>
      </c>
      <c r="Y7" s="9" t="s">
        <v>39</v>
      </c>
      <c r="Z7" s="40"/>
      <c r="AA7" s="43" t="n">
        <v>1750000</v>
      </c>
      <c r="AB7" s="14" t="s">
        <v>40</v>
      </c>
      <c r="AC7" s="4" t="s">
        <v>41</v>
      </c>
    </row>
    <row r="8" customFormat="false" ht="14.25" hidden="false" customHeight="true" outlineLevel="0" collapsed="false">
      <c r="A8" s="28"/>
      <c r="B8" s="11"/>
      <c r="C8" s="11"/>
      <c r="D8" s="28"/>
      <c r="E8" s="4"/>
      <c r="F8" s="45" t="s">
        <v>42</v>
      </c>
      <c r="H8" s="46" t="n">
        <f aca="false">SUM(H7)</f>
        <v>2011</v>
      </c>
      <c r="I8" s="41"/>
      <c r="J8" s="41"/>
      <c r="K8" s="47"/>
      <c r="L8" s="48"/>
      <c r="M8" s="49"/>
      <c r="N8" s="49"/>
      <c r="O8" s="49"/>
      <c r="P8" s="49"/>
      <c r="Q8" s="46"/>
      <c r="R8" s="46"/>
      <c r="S8" s="46"/>
      <c r="T8" s="46"/>
      <c r="U8" s="46"/>
      <c r="V8" s="50"/>
      <c r="W8" s="46"/>
      <c r="X8" s="46"/>
      <c r="Y8" s="46"/>
      <c r="Z8" s="51"/>
      <c r="AA8" s="52"/>
      <c r="AB8" s="53"/>
    </row>
    <row r="9" customFormat="false" ht="14.25" hidden="false" customHeight="true" outlineLevel="0" collapsed="false">
      <c r="A9" s="28"/>
      <c r="B9" s="11"/>
      <c r="C9" s="11"/>
      <c r="D9" s="28"/>
      <c r="E9" s="4"/>
      <c r="G9" s="38" t="s">
        <v>43</v>
      </c>
      <c r="I9" s="9"/>
      <c r="J9" s="9"/>
      <c r="K9" s="39"/>
      <c r="T9" s="11"/>
      <c r="U9" s="9"/>
      <c r="W9" s="9"/>
      <c r="X9" s="9"/>
      <c r="Y9" s="9"/>
      <c r="Z9" s="40"/>
      <c r="AB9" s="5"/>
    </row>
    <row r="10" customFormat="false" ht="14.25" hidden="false" customHeight="true" outlineLevel="0" collapsed="false">
      <c r="A10" s="28"/>
      <c r="B10" s="11"/>
      <c r="C10" s="11"/>
      <c r="D10" s="28"/>
      <c r="E10" s="4"/>
      <c r="L10" s="8"/>
      <c r="Q10" s="6"/>
      <c r="R10" s="6"/>
      <c r="S10" s="6"/>
      <c r="T10" s="6"/>
      <c r="U10" s="6"/>
      <c r="V10" s="54"/>
      <c r="W10" s="6"/>
      <c r="X10" s="6"/>
      <c r="Y10" s="6"/>
      <c r="Z10" s="55"/>
      <c r="AB10" s="5"/>
    </row>
    <row r="11" customFormat="false" ht="24.75" hidden="false" customHeight="true" outlineLevel="0" collapsed="false">
      <c r="A11" s="28"/>
      <c r="B11" s="11" t="s">
        <v>44</v>
      </c>
      <c r="C11" s="11" t="s">
        <v>35</v>
      </c>
      <c r="D11" s="28" t="n">
        <v>550910</v>
      </c>
      <c r="E11" s="4" t="s">
        <v>43</v>
      </c>
      <c r="F11" s="4" t="s">
        <v>45</v>
      </c>
      <c r="G11" s="5" t="s">
        <v>46</v>
      </c>
      <c r="H11" s="6" t="n">
        <v>2333</v>
      </c>
      <c r="I11" s="9" t="n">
        <f aca="false">H11</f>
        <v>2333</v>
      </c>
      <c r="J11" s="9" t="n">
        <v>2000</v>
      </c>
      <c r="K11" s="4" t="s">
        <v>47</v>
      </c>
      <c r="L11" s="8" t="n">
        <v>45736</v>
      </c>
      <c r="M11" s="8" t="n">
        <v>47561</v>
      </c>
      <c r="P11" s="8" t="n">
        <v>46831</v>
      </c>
      <c r="Q11" s="6" t="n">
        <v>128000</v>
      </c>
      <c r="R11" s="9" t="n">
        <f aca="false">Q11</f>
        <v>128000</v>
      </c>
      <c r="T11" s="6" t="n">
        <v>110000</v>
      </c>
      <c r="U11" s="9" t="n">
        <f aca="false">T11</f>
        <v>110000</v>
      </c>
      <c r="V11" s="54" t="n">
        <v>128000</v>
      </c>
      <c r="W11" s="9" t="n">
        <f aca="false">V11</f>
        <v>128000</v>
      </c>
      <c r="X11" s="44" t="n">
        <f aca="false">T11/H11</f>
        <v>47.1495927989713</v>
      </c>
      <c r="Y11" s="9" t="s">
        <v>39</v>
      </c>
      <c r="Z11" s="40"/>
      <c r="AB11" s="5" t="s">
        <v>40</v>
      </c>
      <c r="AC11" s="4" t="s">
        <v>48</v>
      </c>
      <c r="AD11" s="56"/>
      <c r="AE11" s="4" t="n">
        <v>1</v>
      </c>
      <c r="AF11" s="57" t="n">
        <v>3</v>
      </c>
    </row>
    <row r="12" customFormat="false" ht="22.5" hidden="false" customHeight="true" outlineLevel="0" collapsed="false">
      <c r="A12" s="28"/>
      <c r="B12" s="11" t="s">
        <v>44</v>
      </c>
      <c r="C12" s="11" t="s">
        <v>35</v>
      </c>
      <c r="D12" s="28" t="n">
        <v>550910</v>
      </c>
      <c r="E12" s="4" t="s">
        <v>43</v>
      </c>
      <c r="F12" s="4" t="s">
        <v>49</v>
      </c>
      <c r="G12" s="5" t="s">
        <v>50</v>
      </c>
      <c r="H12" s="6" t="n">
        <v>6092</v>
      </c>
      <c r="I12" s="9" t="n">
        <f aca="false">H12</f>
        <v>6092</v>
      </c>
      <c r="J12" s="9" t="n">
        <v>6000</v>
      </c>
      <c r="K12" s="4" t="s">
        <v>51</v>
      </c>
      <c r="L12" s="7" t="n">
        <v>45712</v>
      </c>
      <c r="M12" s="8" t="n">
        <v>47537</v>
      </c>
      <c r="P12" s="8" t="n">
        <v>46806</v>
      </c>
      <c r="Q12" s="9" t="n">
        <v>325000</v>
      </c>
      <c r="R12" s="9" t="n">
        <f aca="false">Q12</f>
        <v>325000</v>
      </c>
      <c r="T12" s="6" t="n">
        <v>225000</v>
      </c>
      <c r="U12" s="9" t="n">
        <f aca="false">T12</f>
        <v>225000</v>
      </c>
      <c r="V12" s="54" t="n">
        <v>325000</v>
      </c>
      <c r="W12" s="9" t="n">
        <f aca="false">V12</f>
        <v>325000</v>
      </c>
      <c r="X12" s="44" t="n">
        <f aca="false">T12/H12</f>
        <v>36.9336835193697</v>
      </c>
      <c r="Y12" s="9" t="s">
        <v>52</v>
      </c>
      <c r="Z12" s="40"/>
      <c r="AB12" s="5" t="s">
        <v>40</v>
      </c>
      <c r="AC12" s="4" t="s">
        <v>53</v>
      </c>
      <c r="AD12" s="56"/>
      <c r="AF12" s="57" t="n">
        <v>3</v>
      </c>
      <c r="AG12" s="4" t="s">
        <v>54</v>
      </c>
    </row>
    <row r="13" customFormat="false" ht="22.5" hidden="false" customHeight="true" outlineLevel="0" collapsed="false">
      <c r="A13" s="28"/>
      <c r="B13" s="11" t="s">
        <v>44</v>
      </c>
      <c r="C13" s="11" t="s">
        <v>35</v>
      </c>
      <c r="D13" s="28" t="n">
        <v>550910</v>
      </c>
      <c r="E13" s="4" t="s">
        <v>43</v>
      </c>
      <c r="F13" s="4" t="s">
        <v>55</v>
      </c>
      <c r="G13" s="5" t="s">
        <v>37</v>
      </c>
      <c r="H13" s="6" t="n">
        <v>1063</v>
      </c>
      <c r="I13" s="9" t="n">
        <f aca="false">H13</f>
        <v>1063</v>
      </c>
      <c r="J13" s="9" t="n">
        <v>1000</v>
      </c>
      <c r="K13" s="4" t="s">
        <v>56</v>
      </c>
      <c r="L13" s="8" t="n">
        <v>45551</v>
      </c>
      <c r="M13" s="8" t="n">
        <v>47376</v>
      </c>
      <c r="P13" s="8" t="n">
        <v>46645</v>
      </c>
      <c r="Q13" s="6" t="n">
        <v>61425</v>
      </c>
      <c r="R13" s="9" t="n">
        <f aca="false">Q13</f>
        <v>61425</v>
      </c>
      <c r="T13" s="6" t="n">
        <v>55700</v>
      </c>
      <c r="U13" s="9" t="n">
        <f aca="false">T13</f>
        <v>55700</v>
      </c>
      <c r="V13" s="54" t="n">
        <v>61100</v>
      </c>
      <c r="W13" s="9" t="n">
        <f aca="false">V13</f>
        <v>61100</v>
      </c>
      <c r="X13" s="44" t="n">
        <f aca="false">T13/H13</f>
        <v>52.3988711194732</v>
      </c>
      <c r="Y13" s="9" t="s">
        <v>57</v>
      </c>
      <c r="Z13" s="40"/>
      <c r="AB13" s="5" t="s">
        <v>40</v>
      </c>
      <c r="AC13" s="4" t="s">
        <v>58</v>
      </c>
      <c r="AG13" s="58" t="s">
        <v>54</v>
      </c>
    </row>
    <row r="14" customFormat="false" ht="22.5" hidden="false" customHeight="true" outlineLevel="0" collapsed="false">
      <c r="A14" s="28"/>
      <c r="B14" s="11" t="s">
        <v>44</v>
      </c>
      <c r="C14" s="11" t="s">
        <v>35</v>
      </c>
      <c r="D14" s="28" t="n">
        <v>550910</v>
      </c>
      <c r="E14" s="4" t="s">
        <v>43</v>
      </c>
      <c r="F14" s="4" t="s">
        <v>59</v>
      </c>
      <c r="G14" s="5" t="s">
        <v>37</v>
      </c>
      <c r="H14" s="6" t="n">
        <v>2220</v>
      </c>
      <c r="I14" s="9" t="n">
        <f aca="false">H14</f>
        <v>2220</v>
      </c>
      <c r="J14" s="9" t="n">
        <v>2000</v>
      </c>
      <c r="K14" s="4" t="s">
        <v>60</v>
      </c>
      <c r="L14" s="8" t="n">
        <v>45086</v>
      </c>
      <c r="M14" s="8" t="n">
        <v>46181</v>
      </c>
      <c r="Q14" s="6" t="n">
        <v>131400</v>
      </c>
      <c r="R14" s="9" t="n">
        <f aca="false">Q14</f>
        <v>131400</v>
      </c>
      <c r="T14" s="6" t="n">
        <v>131100</v>
      </c>
      <c r="U14" s="9" t="n">
        <f aca="false">T14</f>
        <v>131100</v>
      </c>
      <c r="V14" s="54" t="n">
        <v>133200</v>
      </c>
      <c r="W14" s="9" t="n">
        <f aca="false">V14</f>
        <v>133200</v>
      </c>
      <c r="X14" s="44" t="n">
        <f aca="false">T14/H14</f>
        <v>59.0540540540541</v>
      </c>
      <c r="Y14" s="9" t="s">
        <v>57</v>
      </c>
      <c r="Z14" s="40"/>
      <c r="AB14" s="5" t="s">
        <v>40</v>
      </c>
      <c r="AF14" s="57"/>
    </row>
    <row r="15" s="3" customFormat="true" ht="22.5" hidden="false" customHeight="true" outlineLevel="0" collapsed="false">
      <c r="A15" s="28"/>
      <c r="B15" s="11" t="s">
        <v>44</v>
      </c>
      <c r="C15" s="11" t="s">
        <v>35</v>
      </c>
      <c r="D15" s="28" t="n">
        <v>550910</v>
      </c>
      <c r="E15" s="4" t="s">
        <v>43</v>
      </c>
      <c r="F15" s="4" t="s">
        <v>61</v>
      </c>
      <c r="G15" s="5" t="s">
        <v>37</v>
      </c>
      <c r="H15" s="6" t="n">
        <v>1124</v>
      </c>
      <c r="I15" s="9" t="n">
        <f aca="false">H15</f>
        <v>1124</v>
      </c>
      <c r="J15" s="9" t="n">
        <v>1000</v>
      </c>
      <c r="K15" s="4" t="s">
        <v>60</v>
      </c>
      <c r="L15" s="8" t="n">
        <v>45614</v>
      </c>
      <c r="M15" s="8" t="n">
        <v>46181</v>
      </c>
      <c r="N15" s="8"/>
      <c r="O15" s="8"/>
      <c r="P15" s="8"/>
      <c r="Q15" s="6" t="n">
        <v>71875</v>
      </c>
      <c r="R15" s="9" t="n">
        <f aca="false">Q15</f>
        <v>71875</v>
      </c>
      <c r="S15" s="9"/>
      <c r="T15" s="6" t="n">
        <v>60400</v>
      </c>
      <c r="U15" s="9" t="n">
        <f aca="false">T15</f>
        <v>60400</v>
      </c>
      <c r="V15" s="54" t="n">
        <v>64600</v>
      </c>
      <c r="W15" s="9" t="n">
        <f aca="false">V15</f>
        <v>64600</v>
      </c>
      <c r="X15" s="44" t="n">
        <f aca="false">T15/H15</f>
        <v>53.7366548042705</v>
      </c>
      <c r="Y15" s="9" t="s">
        <v>52</v>
      </c>
      <c r="Z15" s="40"/>
      <c r="AA15" s="13"/>
      <c r="AB15" s="5" t="s">
        <v>40</v>
      </c>
      <c r="AC15" s="4"/>
      <c r="AD15" s="56"/>
      <c r="AE15" s="4"/>
      <c r="AF15" s="57"/>
      <c r="AG15" s="4"/>
    </row>
    <row r="16" customFormat="false" ht="22.5" hidden="false" customHeight="true" outlineLevel="0" collapsed="false">
      <c r="A16" s="28"/>
      <c r="B16" s="11" t="s">
        <v>44</v>
      </c>
      <c r="C16" s="11" t="s">
        <v>35</v>
      </c>
      <c r="D16" s="28" t="n">
        <v>550910</v>
      </c>
      <c r="E16" s="4" t="s">
        <v>43</v>
      </c>
      <c r="F16" s="4" t="s">
        <v>62</v>
      </c>
      <c r="G16" s="5" t="s">
        <v>37</v>
      </c>
      <c r="H16" s="6" t="n">
        <v>2238</v>
      </c>
      <c r="I16" s="9" t="n">
        <f aca="false">H16</f>
        <v>2238</v>
      </c>
      <c r="J16" s="9" t="n">
        <v>2000</v>
      </c>
      <c r="K16" s="4" t="s">
        <v>63</v>
      </c>
      <c r="L16" s="8"/>
      <c r="N16" s="8" t="n">
        <v>45636</v>
      </c>
      <c r="Q16" s="6" t="n">
        <v>0</v>
      </c>
      <c r="R16" s="9" t="n">
        <f aca="false">Q16</f>
        <v>0</v>
      </c>
      <c r="T16" s="6" t="n">
        <v>134300</v>
      </c>
      <c r="U16" s="9" t="n">
        <f aca="false">T16</f>
        <v>134300</v>
      </c>
      <c r="V16" s="54" t="n">
        <v>134300</v>
      </c>
      <c r="W16" s="9" t="n">
        <f aca="false">V16</f>
        <v>134300</v>
      </c>
      <c r="X16" s="44" t="n">
        <f aca="false">T16/H16</f>
        <v>60.0089365504915</v>
      </c>
      <c r="Y16" s="9" t="s">
        <v>57</v>
      </c>
      <c r="Z16" s="40"/>
      <c r="AB16" s="5" t="s">
        <v>40</v>
      </c>
      <c r="AC16" s="4" t="s">
        <v>64</v>
      </c>
      <c r="AE16" s="58"/>
      <c r="AF16" s="59"/>
      <c r="AG16" s="58"/>
    </row>
    <row r="17" customFormat="false" ht="22.5" hidden="false" customHeight="true" outlineLevel="0" collapsed="false">
      <c r="A17" s="28"/>
      <c r="B17" s="11" t="s">
        <v>44</v>
      </c>
      <c r="C17" s="11" t="s">
        <v>35</v>
      </c>
      <c r="D17" s="28" t="n">
        <v>550910</v>
      </c>
      <c r="E17" s="4" t="s">
        <v>43</v>
      </c>
      <c r="F17" s="4" t="s">
        <v>65</v>
      </c>
      <c r="G17" s="5" t="s">
        <v>37</v>
      </c>
      <c r="H17" s="6" t="n">
        <v>400</v>
      </c>
      <c r="I17" s="9" t="n">
        <f aca="false">H17</f>
        <v>400</v>
      </c>
      <c r="J17" s="9" t="n">
        <v>500</v>
      </c>
      <c r="K17" s="4" t="s">
        <v>63</v>
      </c>
      <c r="L17" s="8"/>
      <c r="N17" s="8" t="n">
        <v>45771</v>
      </c>
      <c r="Q17" s="6" t="n">
        <v>0</v>
      </c>
      <c r="R17" s="9" t="n">
        <f aca="false">Q17</f>
        <v>0</v>
      </c>
      <c r="T17" s="6" t="n">
        <v>20600</v>
      </c>
      <c r="U17" s="9" t="n">
        <f aca="false">T17</f>
        <v>20600</v>
      </c>
      <c r="V17" s="54" t="n">
        <v>23000</v>
      </c>
      <c r="W17" s="9" t="n">
        <f aca="false">V17</f>
        <v>23000</v>
      </c>
      <c r="X17" s="44" t="n">
        <f aca="false">T17/H17</f>
        <v>51.5</v>
      </c>
      <c r="Y17" s="9" t="s">
        <v>57</v>
      </c>
      <c r="Z17" s="40"/>
      <c r="AB17" s="5" t="s">
        <v>40</v>
      </c>
      <c r="AC17" s="4" t="s">
        <v>64</v>
      </c>
      <c r="AF17" s="57"/>
    </row>
    <row r="18" customFormat="false" ht="22.5" hidden="false" customHeight="true" outlineLevel="0" collapsed="false">
      <c r="A18" s="28"/>
      <c r="B18" s="11" t="s">
        <v>44</v>
      </c>
      <c r="C18" s="11" t="s">
        <v>35</v>
      </c>
      <c r="D18" s="28" t="n">
        <v>550910</v>
      </c>
      <c r="E18" s="4" t="s">
        <v>43</v>
      </c>
      <c r="F18" s="4" t="s">
        <v>66</v>
      </c>
      <c r="G18" s="5" t="s">
        <v>37</v>
      </c>
      <c r="H18" s="6" t="n">
        <v>1938</v>
      </c>
      <c r="I18" s="9" t="n">
        <f aca="false">H18</f>
        <v>1938</v>
      </c>
      <c r="J18" s="9" t="n">
        <v>2000</v>
      </c>
      <c r="K18" s="4" t="s">
        <v>63</v>
      </c>
      <c r="N18" s="8" t="n">
        <v>45217</v>
      </c>
      <c r="Q18" s="9" t="n">
        <v>0</v>
      </c>
      <c r="R18" s="9" t="n">
        <f aca="false">Q18</f>
        <v>0</v>
      </c>
      <c r="T18" s="6" t="n">
        <v>109000</v>
      </c>
      <c r="U18" s="9" t="n">
        <f aca="false">T18</f>
        <v>109000</v>
      </c>
      <c r="V18" s="54" t="n">
        <v>111400</v>
      </c>
      <c r="W18" s="9" t="n">
        <f aca="false">V18</f>
        <v>111400</v>
      </c>
      <c r="X18" s="44" t="n">
        <f aca="false">T18/H18</f>
        <v>56.2435500515996</v>
      </c>
      <c r="Y18" s="9" t="s">
        <v>57</v>
      </c>
      <c r="Z18" s="40"/>
      <c r="AB18" s="5" t="s">
        <v>40</v>
      </c>
      <c r="AC18" s="4" t="s">
        <v>64</v>
      </c>
      <c r="AD18" s="15" t="n">
        <v>65</v>
      </c>
      <c r="AE18" s="4" t="n">
        <v>1</v>
      </c>
      <c r="AF18" s="57" t="n">
        <v>3</v>
      </c>
    </row>
    <row r="19" customFormat="false" ht="27.75" hidden="false" customHeight="true" outlineLevel="0" collapsed="false">
      <c r="A19" s="28"/>
      <c r="B19" s="11" t="s">
        <v>44</v>
      </c>
      <c r="C19" s="11" t="s">
        <v>35</v>
      </c>
      <c r="D19" s="28" t="n">
        <v>550910</v>
      </c>
      <c r="E19" s="4" t="s">
        <v>43</v>
      </c>
      <c r="F19" s="4" t="s">
        <v>67</v>
      </c>
      <c r="G19" s="5" t="s">
        <v>37</v>
      </c>
      <c r="H19" s="6" t="n">
        <v>419</v>
      </c>
      <c r="I19" s="9" t="n">
        <f aca="false">H19</f>
        <v>419</v>
      </c>
      <c r="J19" s="9" t="n">
        <v>500</v>
      </c>
      <c r="K19" s="4" t="s">
        <v>68</v>
      </c>
      <c r="L19" s="7" t="n">
        <v>44539</v>
      </c>
      <c r="M19" s="8" t="n">
        <v>46364</v>
      </c>
      <c r="Q19" s="9" t="n">
        <v>23940</v>
      </c>
      <c r="R19" s="9" t="n">
        <f aca="false">Q19</f>
        <v>23940</v>
      </c>
      <c r="T19" s="6" t="n">
        <v>21000</v>
      </c>
      <c r="U19" s="9" t="n">
        <f aca="false">T19</f>
        <v>21000</v>
      </c>
      <c r="V19" s="54" t="n">
        <v>24100</v>
      </c>
      <c r="W19" s="9" t="n">
        <f aca="false">V19</f>
        <v>24100</v>
      </c>
      <c r="X19" s="44" t="n">
        <f aca="false">T19/H19</f>
        <v>50.1193317422434</v>
      </c>
      <c r="Y19" s="9" t="s">
        <v>57</v>
      </c>
      <c r="Z19" s="40"/>
      <c r="AB19" s="5" t="s">
        <v>40</v>
      </c>
      <c r="AF19" s="57"/>
    </row>
    <row r="20" customFormat="false" ht="22.5" hidden="false" customHeight="true" outlineLevel="0" collapsed="false">
      <c r="A20" s="28"/>
      <c r="B20" s="11" t="s">
        <v>44</v>
      </c>
      <c r="C20" s="11" t="s">
        <v>35</v>
      </c>
      <c r="D20" s="28" t="n">
        <v>550910</v>
      </c>
      <c r="E20" s="4" t="s">
        <v>43</v>
      </c>
      <c r="F20" s="4" t="s">
        <v>69</v>
      </c>
      <c r="G20" s="5" t="s">
        <v>37</v>
      </c>
      <c r="H20" s="6" t="n">
        <v>972</v>
      </c>
      <c r="I20" s="9" t="n">
        <f aca="false">H20</f>
        <v>972</v>
      </c>
      <c r="J20" s="9" t="n">
        <v>1000</v>
      </c>
      <c r="K20" s="4" t="s">
        <v>70</v>
      </c>
      <c r="L20" s="7" t="n">
        <v>45100</v>
      </c>
      <c r="M20" s="8" t="n">
        <v>46926</v>
      </c>
      <c r="P20" s="8" t="n">
        <v>46195</v>
      </c>
      <c r="Q20" s="6" t="n">
        <v>58560</v>
      </c>
      <c r="R20" s="9" t="n">
        <f aca="false">Q20</f>
        <v>58560</v>
      </c>
      <c r="T20" s="6" t="n">
        <v>49400</v>
      </c>
      <c r="U20" s="9" t="n">
        <f aca="false">T20</f>
        <v>49400</v>
      </c>
      <c r="V20" s="54" t="n">
        <v>58300</v>
      </c>
      <c r="W20" s="9" t="n">
        <f aca="false">V20</f>
        <v>58300</v>
      </c>
      <c r="X20" s="44" t="n">
        <f aca="false">T20/H20</f>
        <v>50.8230452674897</v>
      </c>
      <c r="Y20" s="9" t="s">
        <v>57</v>
      </c>
      <c r="Z20" s="40"/>
      <c r="AB20" s="5" t="s">
        <v>40</v>
      </c>
      <c r="AC20" s="4" t="s">
        <v>71</v>
      </c>
      <c r="AF20" s="57"/>
    </row>
    <row r="21" customFormat="false" ht="13.5" hidden="false" customHeight="true" outlineLevel="0" collapsed="false">
      <c r="A21" s="28"/>
      <c r="B21" s="11" t="s">
        <v>44</v>
      </c>
      <c r="C21" s="11" t="s">
        <v>35</v>
      </c>
      <c r="D21" s="28" t="n">
        <v>550910</v>
      </c>
      <c r="E21" s="4" t="s">
        <v>43</v>
      </c>
      <c r="F21" s="4" t="s">
        <v>72</v>
      </c>
      <c r="G21" s="5" t="s">
        <v>37</v>
      </c>
      <c r="H21" s="6" t="n">
        <v>977</v>
      </c>
      <c r="I21" s="9" t="n">
        <f aca="false">H21</f>
        <v>977</v>
      </c>
      <c r="J21" s="9" t="n">
        <v>1000</v>
      </c>
      <c r="K21" s="4" t="s">
        <v>68</v>
      </c>
      <c r="L21" s="8" t="n">
        <v>45476</v>
      </c>
      <c r="M21" s="8" t="n">
        <v>47301</v>
      </c>
      <c r="P21" s="8" t="n">
        <v>46364</v>
      </c>
      <c r="Q21" s="6" t="n">
        <v>58496</v>
      </c>
      <c r="R21" s="9" t="n">
        <f aca="false">Q21</f>
        <v>58496</v>
      </c>
      <c r="T21" s="6" t="n">
        <v>47400</v>
      </c>
      <c r="U21" s="9" t="n">
        <f aca="false">T21</f>
        <v>47400</v>
      </c>
      <c r="V21" s="54" t="n">
        <v>58600</v>
      </c>
      <c r="W21" s="9" t="n">
        <f aca="false">V21</f>
        <v>58600</v>
      </c>
      <c r="X21" s="44" t="n">
        <f aca="false">T21/H21</f>
        <v>48.5158648925282</v>
      </c>
      <c r="Y21" s="9" t="s">
        <v>52</v>
      </c>
      <c r="Z21" s="40"/>
      <c r="AB21" s="5" t="s">
        <v>40</v>
      </c>
      <c r="AC21" s="4" t="s">
        <v>73</v>
      </c>
      <c r="AE21" s="58"/>
      <c r="AF21" s="59"/>
      <c r="AG21" s="58"/>
    </row>
    <row r="22" customFormat="false" ht="22.5" hidden="false" customHeight="true" outlineLevel="0" collapsed="false">
      <c r="A22" s="28"/>
      <c r="B22" s="11" t="s">
        <v>44</v>
      </c>
      <c r="C22" s="11" t="s">
        <v>35</v>
      </c>
      <c r="D22" s="28" t="n">
        <v>550910</v>
      </c>
      <c r="E22" s="4" t="s">
        <v>43</v>
      </c>
      <c r="F22" s="4" t="s">
        <v>74</v>
      </c>
      <c r="G22" s="5" t="s">
        <v>37</v>
      </c>
      <c r="H22" s="6" t="n">
        <v>744</v>
      </c>
      <c r="I22" s="9" t="n">
        <f aca="false">H22</f>
        <v>744</v>
      </c>
      <c r="J22" s="9" t="n">
        <v>750</v>
      </c>
      <c r="K22" s="4" t="s">
        <v>63</v>
      </c>
      <c r="L22" s="8"/>
      <c r="N22" s="8" t="n">
        <v>45182</v>
      </c>
      <c r="Q22" s="6" t="n">
        <v>0</v>
      </c>
      <c r="R22" s="9" t="n">
        <f aca="false">Q22</f>
        <v>0</v>
      </c>
      <c r="T22" s="6" t="n">
        <v>34400</v>
      </c>
      <c r="U22" s="9" t="n">
        <f aca="false">T22</f>
        <v>34400</v>
      </c>
      <c r="V22" s="54" t="n">
        <v>42800</v>
      </c>
      <c r="W22" s="9" t="n">
        <f aca="false">V22</f>
        <v>42800</v>
      </c>
      <c r="X22" s="44" t="n">
        <f aca="false">T22/H22</f>
        <v>46.2365591397849</v>
      </c>
      <c r="Y22" s="9" t="s">
        <v>57</v>
      </c>
      <c r="Z22" s="40"/>
      <c r="AB22" s="5" t="s">
        <v>40</v>
      </c>
      <c r="AC22" s="4" t="s">
        <v>64</v>
      </c>
      <c r="AD22" s="15" t="n">
        <v>63.5</v>
      </c>
      <c r="AE22" s="4" t="n">
        <v>1</v>
      </c>
      <c r="AF22" s="57" t="n">
        <v>3</v>
      </c>
      <c r="AG22" s="4" t="s">
        <v>54</v>
      </c>
    </row>
    <row r="23" customFormat="false" ht="22.5" hidden="false" customHeight="true" outlineLevel="0" collapsed="false">
      <c r="A23" s="28"/>
      <c r="B23" s="11" t="s">
        <v>44</v>
      </c>
      <c r="C23" s="11" t="s">
        <v>35</v>
      </c>
      <c r="D23" s="28" t="n">
        <v>550910</v>
      </c>
      <c r="E23" s="4" t="s">
        <v>43</v>
      </c>
      <c r="F23" s="4" t="s">
        <v>75</v>
      </c>
      <c r="G23" s="5" t="s">
        <v>76</v>
      </c>
      <c r="H23" s="6" t="n">
        <v>185</v>
      </c>
      <c r="I23" s="9" t="n">
        <f aca="false">H23</f>
        <v>185</v>
      </c>
      <c r="J23" s="9" t="n">
        <v>200</v>
      </c>
      <c r="K23" s="4" t="s">
        <v>77</v>
      </c>
      <c r="L23" s="8"/>
      <c r="N23" s="8" t="s">
        <v>78</v>
      </c>
      <c r="Q23" s="6" t="n">
        <v>0</v>
      </c>
      <c r="R23" s="9" t="n">
        <f aca="false">Q23</f>
        <v>0</v>
      </c>
      <c r="T23" s="6" t="n">
        <v>3000</v>
      </c>
      <c r="U23" s="9" t="n">
        <f aca="false">T23</f>
        <v>3000</v>
      </c>
      <c r="V23" s="54" t="n">
        <v>5000</v>
      </c>
      <c r="W23" s="9" t="n">
        <f aca="false">V23</f>
        <v>5000</v>
      </c>
      <c r="X23" s="44" t="n">
        <f aca="false">T23/H23</f>
        <v>16.2162162162162</v>
      </c>
      <c r="Y23" s="9"/>
      <c r="Z23" s="40"/>
      <c r="AB23" s="5" t="s">
        <v>40</v>
      </c>
      <c r="AF23" s="57"/>
    </row>
    <row r="24" customFormat="false" ht="14.25" hidden="false" customHeight="true" outlineLevel="0" collapsed="false">
      <c r="A24" s="28"/>
      <c r="B24" s="11"/>
      <c r="C24" s="11" t="s">
        <v>35</v>
      </c>
      <c r="D24" s="28"/>
      <c r="E24" s="4"/>
      <c r="L24" s="8"/>
      <c r="Q24" s="6"/>
      <c r="R24" s="6"/>
      <c r="S24" s="6"/>
      <c r="T24" s="6"/>
      <c r="U24" s="6"/>
      <c r="V24" s="54"/>
      <c r="W24" s="6"/>
      <c r="X24" s="6"/>
      <c r="Y24" s="6"/>
      <c r="Z24" s="55"/>
      <c r="AB24" s="5"/>
      <c r="AF24" s="57"/>
    </row>
    <row r="25" customFormat="false" ht="14.25" hidden="false" customHeight="true" outlineLevel="0" collapsed="false">
      <c r="A25" s="28"/>
      <c r="B25" s="11"/>
      <c r="C25" s="11" t="s">
        <v>35</v>
      </c>
      <c r="D25" s="28"/>
      <c r="E25" s="4"/>
      <c r="F25" s="45" t="s">
        <v>79</v>
      </c>
      <c r="H25" s="41" t="n">
        <f aca="false">SUM(H11:H23)</f>
        <v>20705</v>
      </c>
      <c r="I25" s="41"/>
      <c r="J25" s="41"/>
      <c r="L25" s="8"/>
      <c r="Q25" s="41" t="n">
        <f aca="false">SUM(Q11:Q23)</f>
        <v>858696</v>
      </c>
      <c r="R25" s="41"/>
      <c r="S25" s="42" t="n">
        <f aca="false">SUM(R10:R23)</f>
        <v>858696</v>
      </c>
      <c r="T25" s="41" t="n">
        <f aca="false">SUM(T11:T23)</f>
        <v>1001300</v>
      </c>
      <c r="U25" s="41"/>
      <c r="V25" s="60" t="n">
        <f aca="false">SUM(V11:V23)</f>
        <v>1169400</v>
      </c>
      <c r="W25" s="41"/>
      <c r="X25" s="41"/>
      <c r="Y25" s="41"/>
      <c r="Z25" s="61"/>
      <c r="AA25" s="60" t="n">
        <v>16175000</v>
      </c>
      <c r="AB25" s="5"/>
      <c r="AE25" s="58"/>
      <c r="AF25" s="59"/>
      <c r="AG25" s="58"/>
    </row>
    <row r="26" customFormat="false" ht="14.25" hidden="false" customHeight="true" outlineLevel="0" collapsed="false">
      <c r="A26" s="28"/>
      <c r="B26" s="11"/>
      <c r="C26" s="11" t="s">
        <v>35</v>
      </c>
      <c r="D26" s="28"/>
      <c r="E26" s="4"/>
      <c r="F26" s="45"/>
      <c r="H26" s="41"/>
      <c r="I26" s="41"/>
      <c r="J26" s="41"/>
      <c r="L26" s="8"/>
      <c r="Q26" s="41"/>
      <c r="R26" s="41"/>
      <c r="S26" s="42"/>
      <c r="T26" s="41"/>
      <c r="U26" s="41"/>
      <c r="V26" s="60"/>
      <c r="W26" s="41"/>
      <c r="X26" s="41"/>
      <c r="Y26" s="41"/>
      <c r="Z26" s="61"/>
      <c r="AA26" s="62"/>
      <c r="AB26" s="5"/>
      <c r="AF26" s="57"/>
    </row>
    <row r="27" customFormat="false" ht="14.25" hidden="false" customHeight="true" outlineLevel="0" collapsed="false">
      <c r="A27" s="28"/>
      <c r="B27" s="11"/>
      <c r="C27" s="11" t="s">
        <v>35</v>
      </c>
      <c r="D27" s="28"/>
      <c r="E27" s="4"/>
      <c r="G27" s="38" t="s">
        <v>80</v>
      </c>
      <c r="I27" s="9"/>
      <c r="J27" s="9"/>
      <c r="K27" s="39"/>
      <c r="T27" s="11"/>
      <c r="U27" s="9"/>
      <c r="W27" s="9"/>
      <c r="X27" s="9"/>
      <c r="Y27" s="9"/>
      <c r="Z27" s="40"/>
      <c r="AB27" s="5"/>
      <c r="AF27" s="57"/>
    </row>
    <row r="28" customFormat="false" ht="14.25" hidden="false" customHeight="true" outlineLevel="0" collapsed="false">
      <c r="A28" s="28"/>
      <c r="B28" s="11"/>
      <c r="C28" s="11" t="s">
        <v>35</v>
      </c>
      <c r="D28" s="28"/>
      <c r="E28" s="4"/>
      <c r="L28" s="8"/>
      <c r="Q28" s="6"/>
      <c r="R28" s="6"/>
      <c r="S28" s="6"/>
      <c r="T28" s="6"/>
      <c r="U28" s="6"/>
      <c r="V28" s="54"/>
      <c r="W28" s="6"/>
      <c r="X28" s="6"/>
      <c r="Y28" s="6"/>
      <c r="Z28" s="55"/>
      <c r="AB28" s="5"/>
      <c r="AF28" s="57"/>
    </row>
    <row r="29" customFormat="false" ht="22.5" hidden="false" customHeight="true" outlineLevel="0" collapsed="false">
      <c r="A29" s="28"/>
      <c r="B29" s="11" t="s">
        <v>44</v>
      </c>
      <c r="C29" s="11" t="s">
        <v>35</v>
      </c>
      <c r="D29" s="28" t="n">
        <v>550920</v>
      </c>
      <c r="E29" s="4" t="s">
        <v>80</v>
      </c>
      <c r="F29" s="4" t="s">
        <v>81</v>
      </c>
      <c r="G29" s="5" t="s">
        <v>82</v>
      </c>
      <c r="H29" s="6" t="n">
        <v>2940</v>
      </c>
      <c r="I29" s="9" t="n">
        <f aca="false">H29</f>
        <v>2940</v>
      </c>
      <c r="J29" s="9" t="n">
        <v>3000</v>
      </c>
      <c r="K29" s="4" t="s">
        <v>83</v>
      </c>
      <c r="L29" s="8" t="n">
        <v>45649</v>
      </c>
      <c r="M29" s="8" t="n">
        <v>46743</v>
      </c>
      <c r="P29" s="8" t="n">
        <v>46013</v>
      </c>
      <c r="Q29" s="6" t="n">
        <v>132000</v>
      </c>
      <c r="R29" s="9" t="n">
        <f aca="false">Q29</f>
        <v>132000</v>
      </c>
      <c r="T29" s="6" t="n">
        <v>114600</v>
      </c>
      <c r="U29" s="9" t="n">
        <f aca="false">T29</f>
        <v>114600</v>
      </c>
      <c r="V29" s="54" t="n">
        <v>132000</v>
      </c>
      <c r="W29" s="9" t="n">
        <f aca="false">V29</f>
        <v>132000</v>
      </c>
      <c r="X29" s="44" t="n">
        <f aca="false">T29/H29</f>
        <v>38.9795918367347</v>
      </c>
      <c r="Y29" s="9" t="s">
        <v>39</v>
      </c>
      <c r="Z29" s="40"/>
      <c r="AB29" s="5" t="s">
        <v>40</v>
      </c>
      <c r="AC29" s="4" t="s">
        <v>84</v>
      </c>
      <c r="AF29" s="57"/>
    </row>
    <row r="30" customFormat="false" ht="22.5" hidden="false" customHeight="true" outlineLevel="0" collapsed="false">
      <c r="A30" s="28"/>
      <c r="B30" s="11" t="s">
        <v>44</v>
      </c>
      <c r="C30" s="11" t="s">
        <v>35</v>
      </c>
      <c r="D30" s="28" t="n">
        <v>550920</v>
      </c>
      <c r="E30" s="4" t="s">
        <v>80</v>
      </c>
      <c r="F30" s="4" t="s">
        <v>85</v>
      </c>
      <c r="G30" s="5" t="s">
        <v>86</v>
      </c>
      <c r="H30" s="6" t="n">
        <v>1398</v>
      </c>
      <c r="I30" s="9" t="n">
        <f aca="false">H30</f>
        <v>1398</v>
      </c>
      <c r="J30" s="9" t="n">
        <v>1000</v>
      </c>
      <c r="K30" s="4" t="s">
        <v>87</v>
      </c>
      <c r="L30" s="8" t="n">
        <v>45470</v>
      </c>
      <c r="M30" s="8" t="n">
        <v>47295</v>
      </c>
      <c r="P30" s="8" t="n">
        <v>46564</v>
      </c>
      <c r="Q30" s="6" t="n">
        <v>89833</v>
      </c>
      <c r="R30" s="9" t="n">
        <f aca="false">Q30</f>
        <v>89833</v>
      </c>
      <c r="T30" s="6" t="n">
        <v>76900</v>
      </c>
      <c r="U30" s="9" t="n">
        <f aca="false">T30</f>
        <v>76900</v>
      </c>
      <c r="V30" s="54" t="n">
        <v>97900</v>
      </c>
      <c r="W30" s="9" t="n">
        <f aca="false">V30</f>
        <v>97900</v>
      </c>
      <c r="X30" s="44" t="n">
        <f aca="false">T30/H30</f>
        <v>55.0071530758226</v>
      </c>
      <c r="Y30" s="9" t="s">
        <v>57</v>
      </c>
      <c r="Z30" s="40"/>
      <c r="AB30" s="5" t="s">
        <v>40</v>
      </c>
      <c r="AC30" s="4" t="s">
        <v>88</v>
      </c>
      <c r="AF30" s="57"/>
    </row>
    <row r="31" customFormat="false" ht="13.5" hidden="false" customHeight="true" outlineLevel="0" collapsed="false">
      <c r="A31" s="28"/>
      <c r="B31" s="11" t="s">
        <v>44</v>
      </c>
      <c r="C31" s="11" t="s">
        <v>35</v>
      </c>
      <c r="D31" s="28" t="n">
        <v>550920</v>
      </c>
      <c r="E31" s="4" t="s">
        <v>80</v>
      </c>
      <c r="F31" s="4" t="s">
        <v>89</v>
      </c>
      <c r="G31" s="5" t="s">
        <v>86</v>
      </c>
      <c r="H31" s="6" t="n">
        <v>1110</v>
      </c>
      <c r="I31" s="9" t="n">
        <f aca="false">H31</f>
        <v>1110</v>
      </c>
      <c r="J31" s="9" t="n">
        <v>1000</v>
      </c>
      <c r="K31" s="4" t="s">
        <v>63</v>
      </c>
      <c r="L31" s="8"/>
      <c r="N31" s="8" t="n">
        <v>43273</v>
      </c>
      <c r="Q31" s="6" t="n">
        <v>0</v>
      </c>
      <c r="R31" s="9" t="n">
        <f aca="false">Q31</f>
        <v>0</v>
      </c>
      <c r="T31" s="6" t="n">
        <v>61100</v>
      </c>
      <c r="U31" s="9" t="n">
        <f aca="false">T31</f>
        <v>61100</v>
      </c>
      <c r="V31" s="54" t="n">
        <v>69400</v>
      </c>
      <c r="W31" s="9" t="n">
        <f aca="false">V31</f>
        <v>69400</v>
      </c>
      <c r="X31" s="44" t="n">
        <f aca="false">T31/H31</f>
        <v>55.045045045045</v>
      </c>
      <c r="Y31" s="9" t="s">
        <v>39</v>
      </c>
      <c r="Z31" s="40"/>
      <c r="AB31" s="5" t="s">
        <v>40</v>
      </c>
      <c r="AC31" s="4" t="s">
        <v>64</v>
      </c>
      <c r="AD31" s="15" t="n">
        <v>63.5</v>
      </c>
      <c r="AF31" s="57" t="n">
        <v>1</v>
      </c>
    </row>
    <row r="32" customFormat="false" ht="13.5" hidden="false" customHeight="true" outlineLevel="0" collapsed="false">
      <c r="A32" s="28"/>
      <c r="B32" s="11" t="s">
        <v>44</v>
      </c>
      <c r="C32" s="11" t="s">
        <v>35</v>
      </c>
      <c r="D32" s="28" t="n">
        <v>550920</v>
      </c>
      <c r="E32" s="4" t="s">
        <v>80</v>
      </c>
      <c r="F32" s="4" t="s">
        <v>90</v>
      </c>
      <c r="G32" s="5" t="s">
        <v>86</v>
      </c>
      <c r="H32" s="6" t="n">
        <v>481</v>
      </c>
      <c r="I32" s="9" t="n">
        <f aca="false">H32</f>
        <v>481</v>
      </c>
      <c r="J32" s="9" t="n">
        <v>500</v>
      </c>
      <c r="K32" s="4" t="s">
        <v>91</v>
      </c>
      <c r="L32" s="8" t="n">
        <v>45541</v>
      </c>
      <c r="M32" s="8" t="n">
        <v>47366</v>
      </c>
      <c r="P32" s="8" t="n">
        <v>46635</v>
      </c>
      <c r="Q32" s="6" t="n">
        <v>26000</v>
      </c>
      <c r="R32" s="9" t="n">
        <f aca="false">Q32</f>
        <v>26000</v>
      </c>
      <c r="T32" s="6" t="n">
        <v>25300</v>
      </c>
      <c r="U32" s="9" t="n">
        <f aca="false">T32</f>
        <v>25300</v>
      </c>
      <c r="V32" s="54" t="n">
        <v>26000</v>
      </c>
      <c r="W32" s="9" t="n">
        <f aca="false">V32</f>
        <v>26000</v>
      </c>
      <c r="X32" s="44" t="n">
        <f aca="false">T32/H32</f>
        <v>52.5987525987526</v>
      </c>
      <c r="Y32" s="9" t="s">
        <v>57</v>
      </c>
      <c r="Z32" s="40"/>
      <c r="AB32" s="5" t="s">
        <v>40</v>
      </c>
      <c r="AC32" s="4" t="s">
        <v>73</v>
      </c>
      <c r="AE32" s="58"/>
      <c r="AF32" s="59"/>
      <c r="AG32" s="58"/>
    </row>
    <row r="33" customFormat="false" ht="14.25" hidden="false" customHeight="true" outlineLevel="0" collapsed="false">
      <c r="A33" s="28"/>
      <c r="B33" s="11"/>
      <c r="C33" s="11" t="s">
        <v>35</v>
      </c>
      <c r="D33" s="28"/>
      <c r="E33" s="4"/>
      <c r="L33" s="8"/>
      <c r="Q33" s="6"/>
      <c r="R33" s="6"/>
      <c r="S33" s="6"/>
      <c r="T33" s="6"/>
      <c r="U33" s="6"/>
      <c r="V33" s="54"/>
      <c r="W33" s="6"/>
      <c r="X33" s="44"/>
      <c r="Y33" s="6"/>
      <c r="Z33" s="55"/>
      <c r="AB33" s="5"/>
      <c r="AF33" s="57"/>
    </row>
    <row r="34" customFormat="false" ht="14.25" hidden="false" customHeight="true" outlineLevel="0" collapsed="false">
      <c r="A34" s="28"/>
      <c r="B34" s="11"/>
      <c r="C34" s="11" t="s">
        <v>35</v>
      </c>
      <c r="D34" s="28"/>
      <c r="E34" s="4"/>
      <c r="F34" s="45" t="s">
        <v>80</v>
      </c>
      <c r="H34" s="41" t="n">
        <f aca="false">SUM(H29:H32)</f>
        <v>5929</v>
      </c>
      <c r="I34" s="41"/>
      <c r="J34" s="41"/>
      <c r="L34" s="8"/>
      <c r="Q34" s="41" t="n">
        <f aca="false">SUM(Q29:Q32)</f>
        <v>247833</v>
      </c>
      <c r="R34" s="41"/>
      <c r="S34" s="42" t="n">
        <f aca="false">SUM(R29:R32)</f>
        <v>247833</v>
      </c>
      <c r="T34" s="41" t="n">
        <f aca="false">SUM(T29:T32)</f>
        <v>277900</v>
      </c>
      <c r="U34" s="41"/>
      <c r="V34" s="60" t="n">
        <f aca="false">SUM(V29:V32)</f>
        <v>325300</v>
      </c>
      <c r="W34" s="41"/>
      <c r="X34" s="41"/>
      <c r="Y34" s="41"/>
      <c r="Z34" s="61"/>
      <c r="AA34" s="60" t="n">
        <v>4650000</v>
      </c>
      <c r="AB34" s="5"/>
      <c r="AF34" s="57"/>
    </row>
    <row r="35" customFormat="false" ht="14.25" hidden="false" customHeight="true" outlineLevel="0" collapsed="false">
      <c r="A35" s="28"/>
      <c r="B35" s="11"/>
      <c r="C35" s="11" t="s">
        <v>35</v>
      </c>
      <c r="D35" s="28"/>
      <c r="E35" s="4"/>
      <c r="F35" s="45"/>
      <c r="H35" s="41"/>
      <c r="I35" s="41"/>
      <c r="J35" s="41"/>
      <c r="L35" s="8"/>
      <c r="Q35" s="41"/>
      <c r="R35" s="41"/>
      <c r="S35" s="42"/>
      <c r="T35" s="41"/>
      <c r="U35" s="41"/>
      <c r="V35" s="60"/>
      <c r="W35" s="41"/>
      <c r="X35" s="41"/>
      <c r="Y35" s="41"/>
      <c r="Z35" s="61"/>
      <c r="AA35" s="62"/>
      <c r="AB35" s="5"/>
      <c r="AF35" s="57"/>
    </row>
    <row r="36" customFormat="false" ht="14.25" hidden="false" customHeight="true" outlineLevel="0" collapsed="false">
      <c r="A36" s="28"/>
      <c r="B36" s="11"/>
      <c r="C36" s="11" t="s">
        <v>35</v>
      </c>
      <c r="D36" s="28"/>
      <c r="E36" s="4"/>
      <c r="G36" s="38" t="s">
        <v>92</v>
      </c>
      <c r="I36" s="9"/>
      <c r="J36" s="9"/>
      <c r="K36" s="39"/>
      <c r="T36" s="11"/>
      <c r="U36" s="9"/>
      <c r="W36" s="9"/>
      <c r="X36" s="9"/>
      <c r="Y36" s="9"/>
      <c r="Z36" s="40"/>
      <c r="AB36" s="5"/>
      <c r="AF36" s="57"/>
    </row>
    <row r="37" customFormat="false" ht="14.25" hidden="false" customHeight="true" outlineLevel="0" collapsed="false">
      <c r="A37" s="28"/>
      <c r="B37" s="11"/>
      <c r="C37" s="11" t="s">
        <v>35</v>
      </c>
      <c r="D37" s="28"/>
      <c r="E37" s="4"/>
      <c r="G37" s="38"/>
      <c r="I37" s="9"/>
      <c r="J37" s="9"/>
      <c r="K37" s="39"/>
      <c r="T37" s="11"/>
      <c r="U37" s="9"/>
      <c r="W37" s="9"/>
      <c r="X37" s="9"/>
      <c r="Y37" s="9"/>
      <c r="Z37" s="40"/>
      <c r="AB37" s="5"/>
      <c r="AF37" s="57"/>
    </row>
    <row r="38" customFormat="false" ht="22.5" hidden="false" customHeight="true" outlineLevel="0" collapsed="false">
      <c r="A38" s="28"/>
      <c r="B38" s="11" t="s">
        <v>44</v>
      </c>
      <c r="C38" s="11" t="s">
        <v>35</v>
      </c>
      <c r="D38" s="28" t="n">
        <v>550930</v>
      </c>
      <c r="E38" s="4" t="s">
        <v>92</v>
      </c>
      <c r="F38" s="4" t="s">
        <v>81</v>
      </c>
      <c r="G38" s="5" t="s">
        <v>93</v>
      </c>
      <c r="H38" s="6" t="n">
        <v>3668</v>
      </c>
      <c r="I38" s="9" t="n">
        <f aca="false">H38</f>
        <v>3668</v>
      </c>
      <c r="J38" s="9" t="n">
        <v>3500</v>
      </c>
      <c r="K38" s="4" t="s">
        <v>94</v>
      </c>
      <c r="L38" s="8" t="n">
        <v>44757</v>
      </c>
      <c r="M38" s="8" t="n">
        <v>48409</v>
      </c>
      <c r="O38" s="8" t="n">
        <v>46583</v>
      </c>
      <c r="Q38" s="6" t="n">
        <v>170000</v>
      </c>
      <c r="R38" s="9" t="n">
        <f aca="false">Q38</f>
        <v>170000</v>
      </c>
      <c r="T38" s="6" t="n">
        <v>170000</v>
      </c>
      <c r="U38" s="9" t="n">
        <f aca="false">T38</f>
        <v>170000</v>
      </c>
      <c r="V38" s="54" t="n">
        <v>180000</v>
      </c>
      <c r="W38" s="9" t="n">
        <f aca="false">V38</f>
        <v>180000</v>
      </c>
      <c r="X38" s="44" t="n">
        <f aca="false">T38/H38</f>
        <v>46.3467829880044</v>
      </c>
      <c r="Y38" s="9" t="s">
        <v>52</v>
      </c>
      <c r="Z38" s="40"/>
      <c r="AB38" s="5" t="s">
        <v>40</v>
      </c>
      <c r="AF38" s="57"/>
    </row>
    <row r="39" customFormat="false" ht="13.5" hidden="false" customHeight="true" outlineLevel="0" collapsed="false">
      <c r="A39" s="28"/>
      <c r="B39" s="11" t="s">
        <v>44</v>
      </c>
      <c r="C39" s="11" t="s">
        <v>35</v>
      </c>
      <c r="D39" s="28" t="n">
        <v>550930</v>
      </c>
      <c r="E39" s="4" t="s">
        <v>92</v>
      </c>
      <c r="F39" s="4" t="s">
        <v>85</v>
      </c>
      <c r="G39" s="5" t="s">
        <v>86</v>
      </c>
      <c r="H39" s="6" t="n">
        <v>1418</v>
      </c>
      <c r="I39" s="9" t="n">
        <f aca="false">H39</f>
        <v>1418</v>
      </c>
      <c r="J39" s="9" t="n">
        <v>1500</v>
      </c>
      <c r="K39" s="4" t="s">
        <v>95</v>
      </c>
      <c r="L39" s="8" t="n">
        <v>45231</v>
      </c>
      <c r="M39" s="8" t="n">
        <v>46326</v>
      </c>
      <c r="Q39" s="6" t="n">
        <v>174500</v>
      </c>
      <c r="R39" s="9" t="n">
        <f aca="false">Q39</f>
        <v>174500</v>
      </c>
      <c r="T39" s="6" t="n">
        <v>78000</v>
      </c>
      <c r="U39" s="9" t="n">
        <f aca="false">T39</f>
        <v>78000</v>
      </c>
      <c r="V39" s="54" t="n">
        <v>99300</v>
      </c>
      <c r="W39" s="9" t="n">
        <f aca="false">V39</f>
        <v>99300</v>
      </c>
      <c r="X39" s="44" t="n">
        <f aca="false">T39/H39</f>
        <v>55.0070521861777</v>
      </c>
      <c r="Y39" s="9" t="s">
        <v>52</v>
      </c>
      <c r="Z39" s="40"/>
      <c r="AB39" s="5" t="s">
        <v>40</v>
      </c>
      <c r="AC39" s="4" t="s">
        <v>96</v>
      </c>
      <c r="AF39" s="57"/>
    </row>
    <row r="40" customFormat="false" ht="13.5" hidden="false" customHeight="true" outlineLevel="0" collapsed="false">
      <c r="A40" s="28"/>
      <c r="B40" s="11" t="s">
        <v>44</v>
      </c>
      <c r="C40" s="11" t="s">
        <v>35</v>
      </c>
      <c r="D40" s="28" t="n">
        <v>550930</v>
      </c>
      <c r="E40" s="4" t="s">
        <v>92</v>
      </c>
      <c r="F40" s="4" t="s">
        <v>89</v>
      </c>
      <c r="G40" s="5" t="s">
        <v>86</v>
      </c>
      <c r="H40" s="6" t="n">
        <v>716</v>
      </c>
      <c r="I40" s="9" t="n">
        <f aca="false">H40</f>
        <v>716</v>
      </c>
      <c r="J40" s="9" t="n">
        <v>750</v>
      </c>
      <c r="K40" s="4" t="s">
        <v>97</v>
      </c>
      <c r="L40" s="8" t="n">
        <v>44384</v>
      </c>
      <c r="M40" s="8" t="n">
        <v>46209</v>
      </c>
      <c r="Q40" s="6" t="n">
        <v>41000</v>
      </c>
      <c r="R40" s="9" t="n">
        <f aca="false">Q40</f>
        <v>41000</v>
      </c>
      <c r="T40" s="6" t="n">
        <v>39400</v>
      </c>
      <c r="U40" s="9" t="n">
        <f aca="false">T40</f>
        <v>39400</v>
      </c>
      <c r="V40" s="54" t="n">
        <v>45100</v>
      </c>
      <c r="W40" s="9" t="n">
        <f aca="false">V40</f>
        <v>45100</v>
      </c>
      <c r="X40" s="44" t="n">
        <f aca="false">T40/H40</f>
        <v>55.0279329608939</v>
      </c>
      <c r="Y40" s="9" t="s">
        <v>52</v>
      </c>
      <c r="Z40" s="40"/>
      <c r="AB40" s="5" t="s">
        <v>40</v>
      </c>
      <c r="AF40" s="57"/>
    </row>
    <row r="41" customFormat="false" ht="22.5" hidden="false" customHeight="true" outlineLevel="0" collapsed="false">
      <c r="A41" s="28"/>
      <c r="B41" s="11" t="s">
        <v>44</v>
      </c>
      <c r="C41" s="11" t="s">
        <v>35</v>
      </c>
      <c r="D41" s="28" t="n">
        <v>550930</v>
      </c>
      <c r="E41" s="4" t="s">
        <v>92</v>
      </c>
      <c r="F41" s="4" t="s">
        <v>90</v>
      </c>
      <c r="G41" s="5" t="s">
        <v>86</v>
      </c>
      <c r="H41" s="6" t="n">
        <v>665</v>
      </c>
      <c r="I41" s="9" t="n">
        <f aca="false">H41</f>
        <v>665</v>
      </c>
      <c r="J41" s="9" t="n">
        <v>750</v>
      </c>
      <c r="K41" s="4" t="s">
        <v>98</v>
      </c>
      <c r="L41" s="8" t="n">
        <v>45617</v>
      </c>
      <c r="M41" s="8" t="n">
        <v>47442</v>
      </c>
      <c r="P41" s="8" t="n">
        <v>46527</v>
      </c>
      <c r="Q41" s="6" t="n">
        <v>41875</v>
      </c>
      <c r="R41" s="9" t="n">
        <f aca="false">Q41</f>
        <v>41875</v>
      </c>
      <c r="T41" s="6" t="n">
        <v>36600</v>
      </c>
      <c r="U41" s="9" t="n">
        <f aca="false">T41</f>
        <v>36600</v>
      </c>
      <c r="V41" s="54" t="n">
        <v>41900</v>
      </c>
      <c r="W41" s="9" t="n">
        <f aca="false">V41</f>
        <v>41900</v>
      </c>
      <c r="X41" s="44" t="n">
        <f aca="false">T41/H41</f>
        <v>55.0375939849624</v>
      </c>
      <c r="Y41" s="9" t="s">
        <v>52</v>
      </c>
      <c r="Z41" s="40"/>
      <c r="AB41" s="5" t="s">
        <v>40</v>
      </c>
      <c r="AC41" s="4" t="s">
        <v>99</v>
      </c>
      <c r="AD41" s="56"/>
      <c r="AF41" s="57"/>
    </row>
    <row r="42" customFormat="false" ht="14.25" hidden="false" customHeight="true" outlineLevel="0" collapsed="false">
      <c r="A42" s="28"/>
      <c r="B42" s="11"/>
      <c r="C42" s="11" t="s">
        <v>35</v>
      </c>
      <c r="D42" s="28"/>
      <c r="E42" s="4"/>
      <c r="H42" s="28"/>
      <c r="L42" s="8"/>
      <c r="Q42" s="6"/>
      <c r="R42" s="6"/>
      <c r="S42" s="6"/>
      <c r="T42" s="6"/>
      <c r="U42" s="6"/>
      <c r="V42" s="54"/>
      <c r="W42" s="6"/>
      <c r="X42" s="6"/>
      <c r="Y42" s="6"/>
      <c r="Z42" s="55"/>
      <c r="AB42" s="5"/>
      <c r="AF42" s="57"/>
    </row>
    <row r="43" customFormat="false" ht="14.25" hidden="false" customHeight="true" outlineLevel="0" collapsed="false">
      <c r="A43" s="28"/>
      <c r="B43" s="11"/>
      <c r="C43" s="11" t="s">
        <v>35</v>
      </c>
      <c r="D43" s="28"/>
      <c r="E43" s="4"/>
      <c r="F43" s="45" t="s">
        <v>100</v>
      </c>
      <c r="H43" s="41" t="n">
        <f aca="false">SUM(H38:H41)</f>
        <v>6467</v>
      </c>
      <c r="I43" s="41"/>
      <c r="J43" s="41"/>
      <c r="L43" s="8"/>
      <c r="Q43" s="41" t="n">
        <f aca="false">SUM(Q36:Q41)</f>
        <v>427375</v>
      </c>
      <c r="R43" s="41"/>
      <c r="S43" s="42" t="n">
        <f aca="false">SUM(R38:R41)</f>
        <v>427375</v>
      </c>
      <c r="T43" s="41" t="n">
        <f aca="false">SUM(T38:T41)</f>
        <v>324000</v>
      </c>
      <c r="U43" s="41"/>
      <c r="V43" s="60" t="n">
        <f aca="false">SUM(V38:V41)</f>
        <v>366300</v>
      </c>
      <c r="W43" s="41"/>
      <c r="X43" s="41"/>
      <c r="Y43" s="41"/>
      <c r="Z43" s="61"/>
      <c r="AA43" s="60" t="n">
        <v>5650000</v>
      </c>
      <c r="AB43" s="5"/>
      <c r="AF43" s="57"/>
    </row>
    <row r="44" customFormat="false" ht="14.25" hidden="false" customHeight="true" outlineLevel="0" collapsed="false">
      <c r="A44" s="28"/>
      <c r="B44" s="11"/>
      <c r="C44" s="11" t="s">
        <v>35</v>
      </c>
      <c r="D44" s="28"/>
      <c r="E44" s="4"/>
      <c r="H44" s="41"/>
      <c r="I44" s="41"/>
      <c r="J44" s="41"/>
      <c r="L44" s="8"/>
      <c r="Q44" s="41"/>
      <c r="R44" s="41"/>
      <c r="S44" s="41"/>
      <c r="T44" s="41"/>
      <c r="U44" s="41"/>
      <c r="V44" s="60"/>
      <c r="W44" s="41"/>
      <c r="X44" s="41"/>
      <c r="Y44" s="41"/>
      <c r="Z44" s="61"/>
      <c r="AB44" s="5"/>
      <c r="AF44" s="57"/>
    </row>
    <row r="45" customFormat="false" ht="14.25" hidden="false" customHeight="true" outlineLevel="0" collapsed="false">
      <c r="A45" s="28"/>
      <c r="B45" s="11"/>
      <c r="C45" s="11" t="s">
        <v>35</v>
      </c>
      <c r="D45" s="28"/>
      <c r="E45" s="4"/>
      <c r="G45" s="38" t="s">
        <v>101</v>
      </c>
      <c r="I45" s="9"/>
      <c r="J45" s="9"/>
      <c r="T45" s="9"/>
      <c r="U45" s="9"/>
      <c r="V45" s="63"/>
      <c r="W45" s="9"/>
      <c r="X45" s="9"/>
      <c r="Y45" s="9"/>
      <c r="Z45" s="40"/>
      <c r="AF45" s="57"/>
    </row>
    <row r="46" customFormat="false" ht="14.25" hidden="false" customHeight="true" outlineLevel="0" collapsed="false">
      <c r="A46" s="28"/>
      <c r="B46" s="11"/>
      <c r="C46" s="11" t="s">
        <v>35</v>
      </c>
      <c r="D46" s="28"/>
      <c r="E46" s="4"/>
      <c r="G46" s="38"/>
      <c r="I46" s="9"/>
      <c r="J46" s="9"/>
      <c r="T46" s="9"/>
      <c r="U46" s="9"/>
      <c r="V46" s="63"/>
      <c r="W46" s="9"/>
      <c r="X46" s="9"/>
      <c r="Y46" s="9"/>
      <c r="Z46" s="40"/>
      <c r="AF46" s="57"/>
    </row>
    <row r="47" customFormat="false" ht="32.25" hidden="false" customHeight="true" outlineLevel="0" collapsed="false">
      <c r="A47" s="28"/>
      <c r="B47" s="11" t="s">
        <v>102</v>
      </c>
      <c r="C47" s="11" t="s">
        <v>35</v>
      </c>
      <c r="D47" s="28" t="n">
        <v>550560</v>
      </c>
      <c r="E47" s="4" t="s">
        <v>101</v>
      </c>
      <c r="F47" s="4" t="s">
        <v>103</v>
      </c>
      <c r="G47" s="5" t="s">
        <v>37</v>
      </c>
      <c r="H47" s="41" t="n">
        <v>12578</v>
      </c>
      <c r="I47" s="9" t="n">
        <f aca="false">H47</f>
        <v>12578</v>
      </c>
      <c r="J47" s="9" t="n">
        <v>12500</v>
      </c>
      <c r="K47" s="4" t="s">
        <v>104</v>
      </c>
      <c r="L47" s="7" t="n">
        <v>44771</v>
      </c>
      <c r="M47" s="8" t="n">
        <v>50249</v>
      </c>
      <c r="O47" s="8" t="n">
        <v>46597</v>
      </c>
      <c r="P47" s="8" t="n">
        <v>48423</v>
      </c>
      <c r="Q47" s="42" t="n">
        <v>633334</v>
      </c>
      <c r="R47" s="9" t="n">
        <f aca="false">Q47</f>
        <v>633334</v>
      </c>
      <c r="S47" s="42" t="n">
        <f aca="false">R47</f>
        <v>633334</v>
      </c>
      <c r="T47" s="42" t="n">
        <v>950000</v>
      </c>
      <c r="U47" s="9" t="n">
        <f aca="false">T47</f>
        <v>950000</v>
      </c>
      <c r="V47" s="43" t="n">
        <v>976900</v>
      </c>
      <c r="W47" s="9" t="n">
        <f aca="false">V47</f>
        <v>976900</v>
      </c>
      <c r="X47" s="44" t="n">
        <f aca="false">T47/H47</f>
        <v>75.5287009063444</v>
      </c>
      <c r="Y47" s="9" t="s">
        <v>39</v>
      </c>
      <c r="Z47" s="40"/>
      <c r="AA47" s="60" t="n">
        <v>17750000</v>
      </c>
      <c r="AB47" s="5" t="s">
        <v>40</v>
      </c>
      <c r="AC47" s="4" t="s">
        <v>105</v>
      </c>
      <c r="AF47" s="57"/>
    </row>
    <row r="48" customFormat="false" ht="14.25" hidden="false" customHeight="true" outlineLevel="0" collapsed="false">
      <c r="A48" s="28"/>
      <c r="B48" s="11"/>
      <c r="C48" s="11" t="s">
        <v>35</v>
      </c>
      <c r="D48" s="28"/>
      <c r="E48" s="4"/>
      <c r="F48" s="45" t="s">
        <v>106</v>
      </c>
      <c r="H48" s="46" t="n">
        <f aca="false">SUM(H47)</f>
        <v>12578</v>
      </c>
      <c r="I48" s="41"/>
      <c r="J48" s="41"/>
      <c r="K48" s="47"/>
      <c r="L48" s="48"/>
      <c r="M48" s="49"/>
      <c r="N48" s="49"/>
      <c r="O48" s="49"/>
      <c r="Q48" s="46" t="n">
        <f aca="false">SUM(Q47)</f>
        <v>633334</v>
      </c>
      <c r="R48" s="46"/>
      <c r="S48" s="46"/>
      <c r="T48" s="46" t="n">
        <f aca="false">SUM(T47)</f>
        <v>950000</v>
      </c>
      <c r="U48" s="46"/>
      <c r="V48" s="50"/>
      <c r="W48" s="46"/>
      <c r="X48" s="46"/>
      <c r="Y48" s="46"/>
      <c r="Z48" s="51"/>
      <c r="AA48" s="52"/>
      <c r="AB48" s="53"/>
      <c r="AF48" s="57"/>
    </row>
    <row r="49" customFormat="false" ht="14.25" hidden="false" customHeight="true" outlineLevel="0" collapsed="false">
      <c r="A49" s="28"/>
      <c r="B49" s="11"/>
      <c r="C49" s="11" t="s">
        <v>35</v>
      </c>
      <c r="D49" s="28"/>
      <c r="E49" s="4"/>
      <c r="G49" s="38" t="s">
        <v>107</v>
      </c>
      <c r="I49" s="9"/>
      <c r="J49" s="9"/>
      <c r="K49" s="39"/>
      <c r="P49" s="49"/>
      <c r="T49" s="11"/>
      <c r="U49" s="9"/>
      <c r="W49" s="9"/>
      <c r="X49" s="9"/>
      <c r="Y49" s="9"/>
      <c r="Z49" s="40"/>
      <c r="AF49" s="57"/>
    </row>
    <row r="50" customFormat="false" ht="14.25" hidden="false" customHeight="true" outlineLevel="0" collapsed="false">
      <c r="A50" s="28"/>
      <c r="B50" s="11"/>
      <c r="C50" s="11" t="s">
        <v>35</v>
      </c>
      <c r="D50" s="28"/>
      <c r="E50" s="4"/>
      <c r="I50" s="9"/>
      <c r="J50" s="9"/>
      <c r="T50" s="9"/>
      <c r="U50" s="9"/>
      <c r="V50" s="63"/>
      <c r="W50" s="9"/>
      <c r="X50" s="9"/>
      <c r="Y50" s="9"/>
      <c r="Z50" s="40"/>
      <c r="AF50" s="57"/>
    </row>
    <row r="51" customFormat="false" ht="22.5" hidden="false" customHeight="true" outlineLevel="0" collapsed="false">
      <c r="A51" s="28"/>
      <c r="B51" s="11" t="s">
        <v>44</v>
      </c>
      <c r="C51" s="11" t="s">
        <v>35</v>
      </c>
      <c r="D51" s="28" t="n">
        <v>550070</v>
      </c>
      <c r="E51" s="4" t="s">
        <v>107</v>
      </c>
      <c r="F51" s="4" t="s">
        <v>108</v>
      </c>
      <c r="G51" s="5" t="s">
        <v>109</v>
      </c>
      <c r="H51" s="6" t="n">
        <v>2235</v>
      </c>
      <c r="I51" s="9" t="n">
        <f aca="false">H51</f>
        <v>2235</v>
      </c>
      <c r="J51" s="9" t="n">
        <v>2000</v>
      </c>
      <c r="K51" s="4" t="s">
        <v>63</v>
      </c>
      <c r="N51" s="8" t="n">
        <v>45754</v>
      </c>
      <c r="Q51" s="9" t="n">
        <v>0</v>
      </c>
      <c r="R51" s="9" t="n">
        <f aca="false">Q51</f>
        <v>0</v>
      </c>
      <c r="T51" s="9" t="n">
        <v>143000</v>
      </c>
      <c r="U51" s="9" t="n">
        <f aca="false">T51</f>
        <v>143000</v>
      </c>
      <c r="V51" s="63" t="n">
        <v>136300</v>
      </c>
      <c r="W51" s="9" t="n">
        <f aca="false">V51</f>
        <v>136300</v>
      </c>
      <c r="X51" s="44" t="n">
        <f aca="false">T51/H51</f>
        <v>63.9821029082774</v>
      </c>
      <c r="Y51" s="9" t="s">
        <v>57</v>
      </c>
      <c r="Z51" s="40"/>
      <c r="AB51" s="5" t="s">
        <v>40</v>
      </c>
      <c r="AF51" s="57"/>
    </row>
    <row r="52" customFormat="false" ht="22.5" hidden="false" customHeight="true" outlineLevel="0" collapsed="false">
      <c r="A52" s="28"/>
      <c r="B52" s="11" t="s">
        <v>44</v>
      </c>
      <c r="C52" s="11" t="s">
        <v>35</v>
      </c>
      <c r="D52" s="28" t="n">
        <v>550070</v>
      </c>
      <c r="E52" s="4" t="s">
        <v>107</v>
      </c>
      <c r="F52" s="4" t="s">
        <v>85</v>
      </c>
      <c r="G52" s="5" t="s">
        <v>37</v>
      </c>
      <c r="H52" s="6" t="n">
        <v>694</v>
      </c>
      <c r="I52" s="9" t="n">
        <f aca="false">H52</f>
        <v>694</v>
      </c>
      <c r="J52" s="9" t="n">
        <v>750</v>
      </c>
      <c r="K52" s="4" t="s">
        <v>110</v>
      </c>
      <c r="L52" s="7" t="n">
        <v>44904</v>
      </c>
      <c r="M52" s="8" t="n">
        <v>45999</v>
      </c>
      <c r="Q52" s="9" t="n">
        <v>42000</v>
      </c>
      <c r="R52" s="9" t="n">
        <f aca="false">Q52</f>
        <v>42000</v>
      </c>
      <c r="T52" s="9" t="n">
        <v>42000</v>
      </c>
      <c r="U52" s="9" t="n">
        <f aca="false">T52</f>
        <v>42000</v>
      </c>
      <c r="V52" s="63" t="n">
        <v>42000</v>
      </c>
      <c r="W52" s="9" t="n">
        <f aca="false">V52</f>
        <v>42000</v>
      </c>
      <c r="X52" s="44" t="n">
        <f aca="false">T52/H52</f>
        <v>60.5187319884726</v>
      </c>
      <c r="Y52" s="9" t="s">
        <v>57</v>
      </c>
      <c r="Z52" s="40"/>
      <c r="AB52" s="5" t="s">
        <v>40</v>
      </c>
      <c r="AF52" s="57"/>
    </row>
    <row r="53" customFormat="false" ht="24.75" hidden="false" customHeight="true" outlineLevel="0" collapsed="false">
      <c r="A53" s="28"/>
      <c r="B53" s="11" t="s">
        <v>44</v>
      </c>
      <c r="C53" s="11" t="s">
        <v>35</v>
      </c>
      <c r="D53" s="28" t="n">
        <v>550070</v>
      </c>
      <c r="E53" s="4" t="s">
        <v>107</v>
      </c>
      <c r="F53" s="4" t="s">
        <v>89</v>
      </c>
      <c r="G53" s="5" t="s">
        <v>37</v>
      </c>
      <c r="H53" s="6" t="n">
        <v>690</v>
      </c>
      <c r="I53" s="9" t="n">
        <f aca="false">H53</f>
        <v>690</v>
      </c>
      <c r="J53" s="9" t="n">
        <v>750</v>
      </c>
      <c r="K53" s="4" t="s">
        <v>111</v>
      </c>
      <c r="L53" s="7" t="n">
        <v>45412</v>
      </c>
      <c r="M53" s="8" t="n">
        <v>47237</v>
      </c>
      <c r="P53" s="8" t="n">
        <v>46326</v>
      </c>
      <c r="Q53" s="9" t="n">
        <v>40020</v>
      </c>
      <c r="R53" s="9" t="n">
        <f aca="false">Q53</f>
        <v>40020</v>
      </c>
      <c r="T53" s="9" t="n">
        <v>39700</v>
      </c>
      <c r="U53" s="9" t="n">
        <f aca="false">T53</f>
        <v>39700</v>
      </c>
      <c r="V53" s="63" t="n">
        <v>40000</v>
      </c>
      <c r="W53" s="9" t="n">
        <f aca="false">V53</f>
        <v>40000</v>
      </c>
      <c r="X53" s="44" t="n">
        <f aca="false">T53/H53</f>
        <v>57.536231884058</v>
      </c>
      <c r="Y53" s="9" t="s">
        <v>57</v>
      </c>
      <c r="Z53" s="40"/>
      <c r="AB53" s="5" t="s">
        <v>40</v>
      </c>
      <c r="AC53" s="4" t="s">
        <v>73</v>
      </c>
      <c r="AF53" s="57"/>
    </row>
    <row r="54" customFormat="false" ht="22.5" hidden="false" customHeight="true" outlineLevel="0" collapsed="false">
      <c r="A54" s="28"/>
      <c r="B54" s="11" t="s">
        <v>44</v>
      </c>
      <c r="C54" s="11" t="s">
        <v>35</v>
      </c>
      <c r="D54" s="28" t="n">
        <v>550070</v>
      </c>
      <c r="E54" s="4" t="s">
        <v>107</v>
      </c>
      <c r="F54" s="4" t="s">
        <v>90</v>
      </c>
      <c r="G54" s="5" t="s">
        <v>37</v>
      </c>
      <c r="H54" s="6" t="n">
        <v>620</v>
      </c>
      <c r="I54" s="9" t="n">
        <f aca="false">H54</f>
        <v>620</v>
      </c>
      <c r="J54" s="9" t="n">
        <v>750</v>
      </c>
      <c r="K54" s="4" t="s">
        <v>112</v>
      </c>
      <c r="L54" s="7" t="n">
        <v>44816</v>
      </c>
      <c r="M54" s="8" t="n">
        <v>45911</v>
      </c>
      <c r="Q54" s="9" t="n">
        <v>33480</v>
      </c>
      <c r="R54" s="9" t="n">
        <f aca="false">Q54</f>
        <v>33480</v>
      </c>
      <c r="T54" s="9" t="n">
        <v>34100</v>
      </c>
      <c r="U54" s="9" t="n">
        <f aca="false">T54</f>
        <v>34100</v>
      </c>
      <c r="V54" s="63" t="n">
        <v>33500</v>
      </c>
      <c r="W54" s="9" t="n">
        <f aca="false">V54</f>
        <v>33500</v>
      </c>
      <c r="X54" s="44" t="n">
        <f aca="false">T54/H54</f>
        <v>55</v>
      </c>
      <c r="Y54" s="9" t="s">
        <v>57</v>
      </c>
      <c r="Z54" s="40"/>
      <c r="AB54" s="5" t="s">
        <v>40</v>
      </c>
      <c r="AC54" s="58" t="s">
        <v>113</v>
      </c>
      <c r="AF54" s="57"/>
    </row>
    <row r="55" customFormat="false" ht="22.5" hidden="false" customHeight="true" outlineLevel="0" collapsed="false">
      <c r="A55" s="28"/>
      <c r="B55" s="11" t="s">
        <v>44</v>
      </c>
      <c r="C55" s="11" t="s">
        <v>35</v>
      </c>
      <c r="D55" s="28" t="n">
        <v>550070</v>
      </c>
      <c r="E55" s="4" t="s">
        <v>107</v>
      </c>
      <c r="F55" s="4" t="s">
        <v>114</v>
      </c>
      <c r="G55" s="5" t="s">
        <v>37</v>
      </c>
      <c r="H55" s="6" t="n">
        <v>400</v>
      </c>
      <c r="I55" s="9" t="n">
        <f aca="false">H55</f>
        <v>400</v>
      </c>
      <c r="J55" s="9" t="n">
        <v>500</v>
      </c>
      <c r="K55" s="4" t="s">
        <v>63</v>
      </c>
      <c r="N55" s="8" t="n">
        <v>44168</v>
      </c>
      <c r="Q55" s="9" t="n">
        <v>0</v>
      </c>
      <c r="R55" s="9" t="n">
        <f aca="false">Q55</f>
        <v>0</v>
      </c>
      <c r="T55" s="9" t="n">
        <v>21600</v>
      </c>
      <c r="U55" s="9" t="n">
        <f aca="false">T55</f>
        <v>21600</v>
      </c>
      <c r="V55" s="63" t="n">
        <v>22000</v>
      </c>
      <c r="W55" s="9" t="n">
        <f aca="false">V55</f>
        <v>22000</v>
      </c>
      <c r="X55" s="44" t="n">
        <f aca="false">T55/H55</f>
        <v>54</v>
      </c>
      <c r="Y55" s="9" t="s">
        <v>57</v>
      </c>
      <c r="Z55" s="40"/>
      <c r="AB55" s="5" t="s">
        <v>40</v>
      </c>
      <c r="AC55" s="4" t="s">
        <v>115</v>
      </c>
      <c r="AF55" s="57"/>
    </row>
    <row r="56" customFormat="false" ht="22.5" hidden="false" customHeight="true" outlineLevel="0" collapsed="false">
      <c r="A56" s="28"/>
      <c r="B56" s="11" t="s">
        <v>44</v>
      </c>
      <c r="C56" s="11" t="s">
        <v>35</v>
      </c>
      <c r="D56" s="28" t="n">
        <v>550070</v>
      </c>
      <c r="E56" s="4" t="s">
        <v>107</v>
      </c>
      <c r="F56" s="4" t="s">
        <v>116</v>
      </c>
      <c r="G56" s="5" t="s">
        <v>117</v>
      </c>
      <c r="H56" s="6" t="n">
        <v>0</v>
      </c>
      <c r="I56" s="9" t="n">
        <f aca="false">H56</f>
        <v>0</v>
      </c>
      <c r="J56" s="9"/>
      <c r="K56" s="4" t="s">
        <v>77</v>
      </c>
      <c r="N56" s="8" t="s">
        <v>78</v>
      </c>
      <c r="Q56" s="9" t="n">
        <v>0</v>
      </c>
      <c r="R56" s="42" t="n">
        <f aca="false">Q56</f>
        <v>0</v>
      </c>
      <c r="S56" s="42"/>
      <c r="T56" s="9" t="n">
        <v>0</v>
      </c>
      <c r="U56" s="42" t="n">
        <f aca="false">T56</f>
        <v>0</v>
      </c>
      <c r="V56" s="63" t="n">
        <v>0</v>
      </c>
      <c r="W56" s="42" t="n">
        <f aca="false">V56</f>
        <v>0</v>
      </c>
      <c r="X56" s="42"/>
      <c r="Y56" s="42"/>
      <c r="Z56" s="64"/>
      <c r="AB56" s="5" t="s">
        <v>40</v>
      </c>
      <c r="AF56" s="57"/>
    </row>
    <row r="57" customFormat="false" ht="14.25" hidden="false" customHeight="true" outlineLevel="0" collapsed="false">
      <c r="A57" s="28"/>
      <c r="B57" s="11"/>
      <c r="C57" s="11" t="s">
        <v>35</v>
      </c>
      <c r="D57" s="28"/>
      <c r="E57" s="4"/>
      <c r="H57" s="41"/>
      <c r="I57" s="9"/>
      <c r="J57" s="9"/>
      <c r="Q57" s="42"/>
      <c r="R57" s="42"/>
      <c r="S57" s="42"/>
      <c r="T57" s="42"/>
      <c r="U57" s="42"/>
      <c r="V57" s="43"/>
      <c r="W57" s="42"/>
      <c r="X57" s="42"/>
      <c r="Y57" s="42"/>
      <c r="Z57" s="64"/>
      <c r="AB57" s="5"/>
      <c r="AF57" s="57"/>
    </row>
    <row r="58" customFormat="false" ht="14.25" hidden="false" customHeight="true" outlineLevel="0" collapsed="false">
      <c r="A58" s="28"/>
      <c r="B58" s="11"/>
      <c r="C58" s="11" t="s">
        <v>35</v>
      </c>
      <c r="D58" s="28"/>
      <c r="E58" s="4"/>
      <c r="F58" s="45" t="s">
        <v>118</v>
      </c>
      <c r="H58" s="41" t="n">
        <f aca="false">SUM(H51:H56)</f>
        <v>4639</v>
      </c>
      <c r="I58" s="42"/>
      <c r="J58" s="42"/>
      <c r="Q58" s="42" t="n">
        <f aca="false">SUM(Q51:Q56)</f>
        <v>115500</v>
      </c>
      <c r="R58" s="42"/>
      <c r="S58" s="42" t="n">
        <f aca="false">SUM(R51:R56)</f>
        <v>115500</v>
      </c>
      <c r="T58" s="42" t="n">
        <f aca="false">SUM(T51:T56)</f>
        <v>280400</v>
      </c>
      <c r="U58" s="42"/>
      <c r="V58" s="43" t="n">
        <f aca="false">SUM(V51:V56)</f>
        <v>273800</v>
      </c>
      <c r="W58" s="42"/>
      <c r="X58" s="42"/>
      <c r="Y58" s="42"/>
      <c r="Z58" s="64"/>
      <c r="AA58" s="60" t="n">
        <v>4000000</v>
      </c>
      <c r="AB58" s="5"/>
      <c r="AE58" s="58"/>
      <c r="AF58" s="59"/>
      <c r="AG58" s="58"/>
    </row>
    <row r="59" customFormat="false" ht="14.25" hidden="false" customHeight="true" outlineLevel="0" collapsed="false">
      <c r="A59" s="28"/>
      <c r="B59" s="11"/>
      <c r="C59" s="11" t="s">
        <v>35</v>
      </c>
      <c r="D59" s="28"/>
      <c r="E59" s="4"/>
      <c r="F59" s="47"/>
      <c r="H59" s="41"/>
      <c r="I59" s="42"/>
      <c r="J59" s="42"/>
      <c r="Q59" s="42"/>
      <c r="R59" s="42"/>
      <c r="S59" s="42"/>
      <c r="T59" s="42"/>
      <c r="U59" s="42"/>
      <c r="V59" s="43"/>
      <c r="W59" s="42"/>
      <c r="X59" s="42"/>
      <c r="Y59" s="42"/>
      <c r="Z59" s="64"/>
      <c r="AA59" s="62"/>
      <c r="AB59" s="5"/>
      <c r="AF59" s="57"/>
    </row>
    <row r="60" customFormat="false" ht="14.25" hidden="false" customHeight="true" outlineLevel="0" collapsed="false">
      <c r="A60" s="28"/>
      <c r="B60" s="11"/>
      <c r="C60" s="11" t="s">
        <v>35</v>
      </c>
      <c r="D60" s="28"/>
      <c r="E60" s="4"/>
      <c r="G60" s="38" t="s">
        <v>119</v>
      </c>
      <c r="I60" s="9"/>
      <c r="J60" s="9"/>
      <c r="K60" s="39"/>
      <c r="T60" s="11"/>
      <c r="U60" s="9"/>
      <c r="W60" s="9"/>
      <c r="X60" s="9"/>
      <c r="Y60" s="9"/>
      <c r="Z60" s="40"/>
      <c r="AB60" s="5"/>
      <c r="AF60" s="57"/>
    </row>
    <row r="61" customFormat="false" ht="14.25" hidden="false" customHeight="true" outlineLevel="0" collapsed="false">
      <c r="A61" s="28"/>
      <c r="B61" s="11"/>
      <c r="C61" s="11" t="s">
        <v>35</v>
      </c>
      <c r="D61" s="28"/>
      <c r="E61" s="4"/>
      <c r="G61" s="38"/>
      <c r="H61" s="65"/>
      <c r="I61" s="9"/>
      <c r="J61" s="9"/>
      <c r="K61" s="66"/>
      <c r="L61" s="67"/>
      <c r="T61" s="9"/>
      <c r="U61" s="9"/>
      <c r="V61" s="63"/>
      <c r="W61" s="9"/>
      <c r="X61" s="9"/>
      <c r="Y61" s="9"/>
      <c r="Z61" s="40"/>
      <c r="AB61" s="5"/>
      <c r="AF61" s="57"/>
    </row>
    <row r="62" customFormat="false" ht="22.5" hidden="false" customHeight="true" outlineLevel="0" collapsed="false">
      <c r="A62" s="28"/>
      <c r="B62" s="11" t="s">
        <v>44</v>
      </c>
      <c r="C62" s="11" t="s">
        <v>35</v>
      </c>
      <c r="D62" s="28" t="n">
        <v>550470</v>
      </c>
      <c r="E62" s="4" t="s">
        <v>119</v>
      </c>
      <c r="F62" s="4" t="s">
        <v>120</v>
      </c>
      <c r="G62" s="5" t="s">
        <v>121</v>
      </c>
      <c r="H62" s="6" t="n">
        <v>2945</v>
      </c>
      <c r="I62" s="6" t="n">
        <f aca="false">H62</f>
        <v>2945</v>
      </c>
      <c r="J62" s="6" t="n">
        <v>3000</v>
      </c>
      <c r="K62" s="4" t="s">
        <v>122</v>
      </c>
      <c r="L62" s="7" t="n">
        <v>41457</v>
      </c>
      <c r="M62" s="8" t="n">
        <v>46935</v>
      </c>
      <c r="Q62" s="9" t="n">
        <v>147500</v>
      </c>
      <c r="R62" s="9" t="n">
        <f aca="false">Q62</f>
        <v>147500</v>
      </c>
      <c r="T62" s="9" t="n">
        <v>147500</v>
      </c>
      <c r="U62" s="9" t="n">
        <f aca="false">T62</f>
        <v>147500</v>
      </c>
      <c r="V62" s="63" t="n">
        <v>147500</v>
      </c>
      <c r="W62" s="9" t="n">
        <f aca="false">V62</f>
        <v>147500</v>
      </c>
      <c r="X62" s="44" t="n">
        <f aca="false">T62/H62</f>
        <v>50.0848896434635</v>
      </c>
      <c r="Y62" s="9" t="s">
        <v>123</v>
      </c>
      <c r="Z62" s="40"/>
      <c r="AB62" s="5" t="s">
        <v>40</v>
      </c>
      <c r="AC62" s="4" t="s">
        <v>124</v>
      </c>
      <c r="AF62" s="57"/>
    </row>
    <row r="63" customFormat="false" ht="18" hidden="false" customHeight="true" outlineLevel="0" collapsed="false">
      <c r="A63" s="28"/>
      <c r="B63" s="11" t="s">
        <v>44</v>
      </c>
      <c r="C63" s="11" t="s">
        <v>35</v>
      </c>
      <c r="D63" s="28" t="n">
        <v>550470</v>
      </c>
      <c r="E63" s="4" t="s">
        <v>119</v>
      </c>
      <c r="F63" s="4" t="s">
        <v>125</v>
      </c>
      <c r="G63" s="5" t="s">
        <v>126</v>
      </c>
      <c r="H63" s="6" t="n">
        <v>2103</v>
      </c>
      <c r="I63" s="6" t="n">
        <f aca="false">H63</f>
        <v>2103</v>
      </c>
      <c r="J63" s="6" t="n">
        <v>2000</v>
      </c>
      <c r="K63" s="4" t="s">
        <v>127</v>
      </c>
      <c r="L63" s="7" t="n">
        <v>45669</v>
      </c>
      <c r="M63" s="8" t="n">
        <v>51146</v>
      </c>
      <c r="O63" s="8" t="n">
        <v>47495</v>
      </c>
      <c r="P63" s="8" t="n">
        <v>49320</v>
      </c>
      <c r="Q63" s="9" t="n">
        <v>220000</v>
      </c>
      <c r="R63" s="9" t="n">
        <f aca="false">Q63</f>
        <v>220000</v>
      </c>
      <c r="T63" s="9" t="n">
        <v>176200</v>
      </c>
      <c r="U63" s="9" t="n">
        <f aca="false">T63</f>
        <v>176200</v>
      </c>
      <c r="V63" s="63" t="n">
        <v>220000</v>
      </c>
      <c r="W63" s="9" t="n">
        <f aca="false">V63</f>
        <v>220000</v>
      </c>
      <c r="X63" s="44" t="n">
        <f aca="false">T63/H63</f>
        <v>83.7850689491203</v>
      </c>
      <c r="Y63" s="9" t="s">
        <v>52</v>
      </c>
      <c r="Z63" s="40"/>
      <c r="AB63" s="5" t="s">
        <v>40</v>
      </c>
      <c r="AC63" s="4" t="s">
        <v>128</v>
      </c>
      <c r="AF63" s="57"/>
    </row>
    <row r="64" customFormat="false" ht="33.75" hidden="false" customHeight="true" outlineLevel="0" collapsed="false">
      <c r="A64" s="28"/>
      <c r="B64" s="11" t="s">
        <v>44</v>
      </c>
      <c r="C64" s="11" t="s">
        <v>35</v>
      </c>
      <c r="D64" s="28" t="n">
        <v>550470</v>
      </c>
      <c r="E64" s="4" t="s">
        <v>119</v>
      </c>
      <c r="F64" s="4" t="s">
        <v>129</v>
      </c>
      <c r="G64" s="5" t="s">
        <v>130</v>
      </c>
      <c r="H64" s="6" t="n">
        <v>5667</v>
      </c>
      <c r="I64" s="6" t="n">
        <f aca="false">H64</f>
        <v>5667</v>
      </c>
      <c r="J64" s="6" t="n">
        <v>5500</v>
      </c>
      <c r="K64" s="4" t="s">
        <v>131</v>
      </c>
      <c r="L64" s="7" t="n">
        <v>45567</v>
      </c>
      <c r="M64" s="8" t="n">
        <v>51044</v>
      </c>
      <c r="O64" s="8" t="n">
        <v>47393</v>
      </c>
      <c r="Q64" s="9" t="n">
        <v>150000</v>
      </c>
      <c r="R64" s="9" t="n">
        <f aca="false">Q64</f>
        <v>150000</v>
      </c>
      <c r="T64" s="9" t="n">
        <v>255000</v>
      </c>
      <c r="U64" s="9" t="n">
        <f aca="false">T64</f>
        <v>255000</v>
      </c>
      <c r="V64" s="63" t="n">
        <v>330000</v>
      </c>
      <c r="W64" s="9" t="n">
        <f aca="false">V64</f>
        <v>330000</v>
      </c>
      <c r="X64" s="44" t="n">
        <f aca="false">T64/H64</f>
        <v>44.9973530968767</v>
      </c>
      <c r="Y64" s="9" t="s">
        <v>52</v>
      </c>
      <c r="Z64" s="40"/>
      <c r="AB64" s="5" t="s">
        <v>40</v>
      </c>
      <c r="AC64" s="4" t="s">
        <v>132</v>
      </c>
      <c r="AF64" s="57"/>
    </row>
    <row r="65" customFormat="false" ht="13.5" hidden="false" customHeight="true" outlineLevel="0" collapsed="false">
      <c r="A65" s="28"/>
      <c r="B65" s="11" t="s">
        <v>44</v>
      </c>
      <c r="C65" s="11" t="s">
        <v>35</v>
      </c>
      <c r="D65" s="28" t="n">
        <v>550470</v>
      </c>
      <c r="E65" s="4" t="s">
        <v>119</v>
      </c>
      <c r="F65" s="4" t="s">
        <v>133</v>
      </c>
      <c r="G65" s="5" t="s">
        <v>37</v>
      </c>
      <c r="H65" s="6" t="n">
        <v>1784</v>
      </c>
      <c r="I65" s="6" t="n">
        <f aca="false">H65</f>
        <v>1784</v>
      </c>
      <c r="J65" s="6" t="n">
        <v>1750</v>
      </c>
      <c r="K65" s="4" t="s">
        <v>134</v>
      </c>
      <c r="L65" s="7" t="n">
        <v>45457</v>
      </c>
      <c r="M65" s="8" t="n">
        <v>47282</v>
      </c>
      <c r="Q65" s="63" t="n">
        <v>121400</v>
      </c>
      <c r="R65" s="9" t="n">
        <f aca="false">Q65</f>
        <v>121400</v>
      </c>
      <c r="T65" s="9" t="n">
        <v>99700</v>
      </c>
      <c r="U65" s="9" t="n">
        <f aca="false">T65</f>
        <v>99700</v>
      </c>
      <c r="V65" s="63" t="n">
        <v>126700</v>
      </c>
      <c r="W65" s="9" t="n">
        <f aca="false">V65</f>
        <v>126700</v>
      </c>
      <c r="X65" s="44" t="n">
        <f aca="false">T65/H65</f>
        <v>55.8856502242153</v>
      </c>
      <c r="Y65" s="9" t="s">
        <v>52</v>
      </c>
      <c r="Z65" s="40"/>
      <c r="AB65" s="5" t="s">
        <v>40</v>
      </c>
      <c r="AF65" s="57"/>
    </row>
    <row r="66" customFormat="false" ht="22.5" hidden="false" customHeight="true" outlineLevel="0" collapsed="false">
      <c r="A66" s="28"/>
      <c r="B66" s="11" t="s">
        <v>44</v>
      </c>
      <c r="C66" s="11" t="s">
        <v>35</v>
      </c>
      <c r="D66" s="28" t="n">
        <v>550470</v>
      </c>
      <c r="E66" s="4" t="s">
        <v>119</v>
      </c>
      <c r="F66" s="4" t="s">
        <v>135</v>
      </c>
      <c r="G66" s="5" t="s">
        <v>37</v>
      </c>
      <c r="H66" s="6" t="n">
        <v>2075</v>
      </c>
      <c r="I66" s="6" t="n">
        <f aca="false">H66</f>
        <v>2075</v>
      </c>
      <c r="J66" s="6" t="n">
        <v>2000</v>
      </c>
      <c r="K66" s="4" t="s">
        <v>136</v>
      </c>
      <c r="L66" s="7" t="n">
        <v>45384</v>
      </c>
      <c r="M66" s="8" t="n">
        <v>47209</v>
      </c>
      <c r="P66" s="8" t="n">
        <v>46478</v>
      </c>
      <c r="Q66" s="9" t="n">
        <v>133280</v>
      </c>
      <c r="R66" s="9" t="n">
        <f aca="false">Q66</f>
        <v>133280</v>
      </c>
      <c r="T66" s="9" t="n">
        <v>114700</v>
      </c>
      <c r="U66" s="9" t="n">
        <f aca="false">T66</f>
        <v>114700</v>
      </c>
      <c r="V66" s="63" t="n">
        <v>147300</v>
      </c>
      <c r="W66" s="9" t="n">
        <f aca="false">V66</f>
        <v>147300</v>
      </c>
      <c r="X66" s="44" t="n">
        <f aca="false">T66/H66</f>
        <v>55.2771084337349</v>
      </c>
      <c r="Y66" s="9" t="s">
        <v>52</v>
      </c>
      <c r="Z66" s="40"/>
      <c r="AB66" s="5" t="s">
        <v>40</v>
      </c>
      <c r="AC66" s="4" t="s">
        <v>137</v>
      </c>
      <c r="AF66" s="57"/>
    </row>
    <row r="67" customFormat="false" ht="13.5" hidden="false" customHeight="true" outlineLevel="0" collapsed="false">
      <c r="A67" s="28"/>
      <c r="B67" s="11" t="s">
        <v>44</v>
      </c>
      <c r="C67" s="11" t="s">
        <v>35</v>
      </c>
      <c r="D67" s="28" t="n">
        <v>550470</v>
      </c>
      <c r="E67" s="4" t="s">
        <v>119</v>
      </c>
      <c r="F67" s="4" t="s">
        <v>138</v>
      </c>
      <c r="G67" s="5" t="s">
        <v>37</v>
      </c>
      <c r="H67" s="6" t="n">
        <v>2063</v>
      </c>
      <c r="I67" s="6" t="n">
        <f aca="false">H67</f>
        <v>2063</v>
      </c>
      <c r="J67" s="6" t="n">
        <v>2000</v>
      </c>
      <c r="K67" s="4" t="s">
        <v>139</v>
      </c>
      <c r="L67" s="7" t="n">
        <v>45516</v>
      </c>
      <c r="M67" s="8" t="n">
        <v>47341</v>
      </c>
      <c r="P67" s="8" t="n">
        <v>46610</v>
      </c>
      <c r="Q67" s="9" t="n">
        <v>146450</v>
      </c>
      <c r="R67" s="9" t="n">
        <f aca="false">Q67</f>
        <v>146450</v>
      </c>
      <c r="T67" s="9" t="n">
        <v>120700</v>
      </c>
      <c r="U67" s="9" t="n">
        <f aca="false">T67</f>
        <v>120700</v>
      </c>
      <c r="V67" s="63" t="n">
        <v>146500</v>
      </c>
      <c r="W67" s="9" t="n">
        <f aca="false">V67</f>
        <v>146500</v>
      </c>
      <c r="X67" s="44" t="n">
        <f aca="false">T67/H67</f>
        <v>58.5070285991275</v>
      </c>
      <c r="Y67" s="9" t="s">
        <v>52</v>
      </c>
      <c r="Z67" s="40"/>
      <c r="AB67" s="5" t="s">
        <v>40</v>
      </c>
      <c r="AC67" s="4" t="s">
        <v>73</v>
      </c>
      <c r="AE67" s="58"/>
      <c r="AF67" s="59"/>
      <c r="AG67" s="58"/>
    </row>
    <row r="68" customFormat="false" ht="13.5" hidden="false" customHeight="true" outlineLevel="0" collapsed="false">
      <c r="A68" s="28"/>
      <c r="B68" s="11" t="s">
        <v>44</v>
      </c>
      <c r="C68" s="11" t="s">
        <v>35</v>
      </c>
      <c r="D68" s="28" t="n">
        <v>550470</v>
      </c>
      <c r="E68" s="4" t="s">
        <v>119</v>
      </c>
      <c r="F68" s="4" t="s">
        <v>140</v>
      </c>
      <c r="G68" s="5" t="s">
        <v>37</v>
      </c>
      <c r="H68" s="6" t="n">
        <v>1796</v>
      </c>
      <c r="I68" s="6" t="n">
        <f aca="false">H68</f>
        <v>1796</v>
      </c>
      <c r="J68" s="6" t="n">
        <v>1750</v>
      </c>
      <c r="K68" s="4" t="s">
        <v>63</v>
      </c>
      <c r="N68" s="8" t="n">
        <v>45051</v>
      </c>
      <c r="Q68" s="9" t="n">
        <v>0</v>
      </c>
      <c r="R68" s="9" t="n">
        <f aca="false">Q68</f>
        <v>0</v>
      </c>
      <c r="T68" s="9" t="n">
        <v>87300</v>
      </c>
      <c r="U68" s="9" t="n">
        <f aca="false">T68</f>
        <v>87300</v>
      </c>
      <c r="V68" s="63" t="n">
        <v>127500</v>
      </c>
      <c r="W68" s="9" t="n">
        <f aca="false">V68</f>
        <v>127500</v>
      </c>
      <c r="X68" s="44" t="n">
        <f aca="false">T68/H68</f>
        <v>48.6080178173719</v>
      </c>
      <c r="Y68" s="9" t="s">
        <v>52</v>
      </c>
      <c r="Z68" s="40"/>
      <c r="AB68" s="5" t="s">
        <v>40</v>
      </c>
      <c r="AC68" s="4" t="s">
        <v>64</v>
      </c>
      <c r="AD68" s="15" t="n">
        <v>72.5</v>
      </c>
      <c r="AE68" s="4" t="n">
        <v>2</v>
      </c>
      <c r="AF68" s="57" t="n">
        <v>7</v>
      </c>
      <c r="AG68" s="4" t="s">
        <v>141</v>
      </c>
    </row>
    <row r="69" customFormat="false" ht="22.5" hidden="false" customHeight="true" outlineLevel="0" collapsed="false">
      <c r="A69" s="28"/>
      <c r="B69" s="11" t="s">
        <v>44</v>
      </c>
      <c r="C69" s="11" t="s">
        <v>35</v>
      </c>
      <c r="D69" s="28" t="n">
        <v>550470</v>
      </c>
      <c r="E69" s="4" t="s">
        <v>119</v>
      </c>
      <c r="F69" s="4" t="s">
        <v>142</v>
      </c>
      <c r="G69" s="5" t="s">
        <v>37</v>
      </c>
      <c r="H69" s="6" t="n">
        <v>1691</v>
      </c>
      <c r="I69" s="6" t="n">
        <f aca="false">H69</f>
        <v>1691</v>
      </c>
      <c r="J69" s="6" t="n">
        <v>1500</v>
      </c>
      <c r="K69" s="4" t="s">
        <v>143</v>
      </c>
      <c r="L69" s="7" t="n">
        <v>44795</v>
      </c>
      <c r="M69" s="8" t="n">
        <v>46620</v>
      </c>
      <c r="P69" s="8" t="n">
        <v>45890</v>
      </c>
      <c r="Q69" s="9" t="n">
        <v>102705</v>
      </c>
      <c r="R69" s="9" t="n">
        <f aca="false">Q69</f>
        <v>102705</v>
      </c>
      <c r="T69" s="9" t="n">
        <v>102705</v>
      </c>
      <c r="U69" s="9" t="n">
        <f aca="false">T69</f>
        <v>102705</v>
      </c>
      <c r="V69" s="63" t="n">
        <v>120100</v>
      </c>
      <c r="W69" s="9" t="n">
        <f aca="false">V69</f>
        <v>120100</v>
      </c>
      <c r="X69" s="44" t="n">
        <f aca="false">T69/H69</f>
        <v>60.7362507392076</v>
      </c>
      <c r="Y69" s="9" t="s">
        <v>52</v>
      </c>
      <c r="Z69" s="40"/>
      <c r="AB69" s="5" t="s">
        <v>40</v>
      </c>
      <c r="AC69" s="4" t="s">
        <v>144</v>
      </c>
      <c r="AF69" s="57"/>
    </row>
    <row r="70" customFormat="false" ht="22.5" hidden="false" customHeight="true" outlineLevel="0" collapsed="false">
      <c r="A70" s="28"/>
      <c r="B70" s="11" t="s">
        <v>44</v>
      </c>
      <c r="C70" s="11" t="s">
        <v>35</v>
      </c>
      <c r="D70" s="28" t="n">
        <v>550470</v>
      </c>
      <c r="E70" s="4" t="s">
        <v>119</v>
      </c>
      <c r="F70" s="4" t="s">
        <v>145</v>
      </c>
      <c r="G70" s="5" t="s">
        <v>37</v>
      </c>
      <c r="H70" s="6" t="n">
        <v>2055</v>
      </c>
      <c r="I70" s="6" t="n">
        <f aca="false">H70</f>
        <v>2055</v>
      </c>
      <c r="J70" s="6" t="n">
        <v>2000</v>
      </c>
      <c r="K70" s="4" t="s">
        <v>146</v>
      </c>
      <c r="L70" s="7" t="n">
        <v>45488</v>
      </c>
      <c r="M70" s="8" t="n">
        <v>47313</v>
      </c>
      <c r="P70" s="8" t="n">
        <v>46582</v>
      </c>
      <c r="Q70" s="9" t="n">
        <v>181050</v>
      </c>
      <c r="R70" s="9" t="n">
        <f aca="false">Q70</f>
        <v>181050</v>
      </c>
      <c r="T70" s="9" t="n">
        <v>125050</v>
      </c>
      <c r="U70" s="9" t="n">
        <f aca="false">T70</f>
        <v>125050</v>
      </c>
      <c r="V70" s="63" t="n">
        <v>145900</v>
      </c>
      <c r="W70" s="9" t="n">
        <f aca="false">V70</f>
        <v>145900</v>
      </c>
      <c r="X70" s="44" t="n">
        <f aca="false">T70/H70</f>
        <v>60.8515815085158</v>
      </c>
      <c r="Y70" s="9" t="s">
        <v>52</v>
      </c>
      <c r="Z70" s="40"/>
      <c r="AB70" s="5" t="s">
        <v>40</v>
      </c>
      <c r="AC70" s="4" t="s">
        <v>147</v>
      </c>
      <c r="AE70" s="58"/>
      <c r="AF70" s="59"/>
      <c r="AG70" s="58"/>
    </row>
    <row r="71" s="3" customFormat="true" ht="23.25" hidden="false" customHeight="true" outlineLevel="0" collapsed="false">
      <c r="A71" s="28"/>
      <c r="B71" s="11" t="s">
        <v>44</v>
      </c>
      <c r="C71" s="11" t="s">
        <v>35</v>
      </c>
      <c r="D71" s="28" t="n">
        <v>550470</v>
      </c>
      <c r="E71" s="4" t="s">
        <v>119</v>
      </c>
      <c r="F71" s="4" t="s">
        <v>148</v>
      </c>
      <c r="G71" s="5" t="s">
        <v>37</v>
      </c>
      <c r="H71" s="6" t="n">
        <v>1548</v>
      </c>
      <c r="I71" s="6" t="n">
        <f aca="false">H71</f>
        <v>1548</v>
      </c>
      <c r="J71" s="6" t="n">
        <v>1500</v>
      </c>
      <c r="K71" s="4" t="s">
        <v>149</v>
      </c>
      <c r="L71" s="7" t="n">
        <v>45609</v>
      </c>
      <c r="M71" s="8" t="n">
        <v>47434</v>
      </c>
      <c r="N71" s="8"/>
      <c r="O71" s="8"/>
      <c r="P71" s="8" t="n">
        <v>46703</v>
      </c>
      <c r="Q71" s="9" t="n">
        <v>90090</v>
      </c>
      <c r="R71" s="9" t="n">
        <f aca="false">Q71</f>
        <v>90090</v>
      </c>
      <c r="S71" s="9"/>
      <c r="T71" s="9" t="n">
        <v>90100</v>
      </c>
      <c r="U71" s="9" t="n">
        <f aca="false">T71</f>
        <v>90100</v>
      </c>
      <c r="V71" s="63" t="n">
        <v>109900</v>
      </c>
      <c r="W71" s="9" t="n">
        <f aca="false">V71</f>
        <v>109900</v>
      </c>
      <c r="X71" s="44" t="n">
        <f aca="false">T71/H71</f>
        <v>58.2041343669251</v>
      </c>
      <c r="Y71" s="9" t="s">
        <v>52</v>
      </c>
      <c r="Z71" s="40"/>
      <c r="AA71" s="13"/>
      <c r="AB71" s="5" t="s">
        <v>40</v>
      </c>
      <c r="AC71" s="4" t="s">
        <v>150</v>
      </c>
      <c r="AD71" s="15"/>
      <c r="AE71" s="4"/>
      <c r="AF71" s="57"/>
      <c r="AG71" s="4"/>
    </row>
    <row r="72" customFormat="false" ht="13.5" hidden="false" customHeight="true" outlineLevel="0" collapsed="false">
      <c r="A72" s="28"/>
      <c r="B72" s="11" t="s">
        <v>44</v>
      </c>
      <c r="C72" s="11" t="s">
        <v>35</v>
      </c>
      <c r="D72" s="28" t="n">
        <v>550470</v>
      </c>
      <c r="E72" s="4" t="s">
        <v>119</v>
      </c>
      <c r="F72" s="4" t="s">
        <v>151</v>
      </c>
      <c r="G72" s="5" t="s">
        <v>37</v>
      </c>
      <c r="H72" s="6" t="n">
        <v>1957</v>
      </c>
      <c r="I72" s="6" t="n">
        <f aca="false">H72</f>
        <v>1957</v>
      </c>
      <c r="J72" s="6" t="n">
        <v>2000</v>
      </c>
      <c r="K72" s="4" t="s">
        <v>149</v>
      </c>
      <c r="L72" s="7" t="n">
        <v>45609</v>
      </c>
      <c r="M72" s="8" t="n">
        <v>47434</v>
      </c>
      <c r="P72" s="8" t="n">
        <v>46703</v>
      </c>
      <c r="Q72" s="9" t="n">
        <v>114253</v>
      </c>
      <c r="R72" s="9" t="n">
        <f aca="false">Q72</f>
        <v>114253</v>
      </c>
      <c r="T72" s="9" t="n">
        <v>115800</v>
      </c>
      <c r="U72" s="9" t="n">
        <f aca="false">T72</f>
        <v>115800</v>
      </c>
      <c r="V72" s="63" t="n">
        <v>138900</v>
      </c>
      <c r="W72" s="9" t="n">
        <f aca="false">V72</f>
        <v>138900</v>
      </c>
      <c r="X72" s="44" t="n">
        <f aca="false">T72/H72</f>
        <v>59.1722023505365</v>
      </c>
      <c r="Y72" s="9" t="s">
        <v>52</v>
      </c>
      <c r="Z72" s="40"/>
      <c r="AB72" s="5" t="s">
        <v>40</v>
      </c>
      <c r="AC72" s="4" t="s">
        <v>73</v>
      </c>
      <c r="AD72" s="56"/>
      <c r="AF72" s="57"/>
    </row>
    <row r="73" customFormat="false" ht="19.5" hidden="false" customHeight="true" outlineLevel="0" collapsed="false">
      <c r="A73" s="28"/>
      <c r="B73" s="11" t="s">
        <v>44</v>
      </c>
      <c r="C73" s="11" t="s">
        <v>35</v>
      </c>
      <c r="D73" s="28" t="n">
        <v>550470</v>
      </c>
      <c r="E73" s="4" t="s">
        <v>119</v>
      </c>
      <c r="F73" s="4" t="s">
        <v>152</v>
      </c>
      <c r="G73" s="5" t="s">
        <v>37</v>
      </c>
      <c r="H73" s="6" t="n">
        <v>1845</v>
      </c>
      <c r="I73" s="6" t="n">
        <f aca="false">H73</f>
        <v>1845</v>
      </c>
      <c r="J73" s="6" t="n">
        <v>2000</v>
      </c>
      <c r="K73" s="4" t="s">
        <v>153</v>
      </c>
      <c r="L73" s="7" t="n">
        <v>45256</v>
      </c>
      <c r="M73" s="8" t="n">
        <v>47082</v>
      </c>
      <c r="P73" s="8" t="n">
        <v>46351</v>
      </c>
      <c r="Q73" s="9" t="n">
        <v>115500</v>
      </c>
      <c r="R73" s="9" t="n">
        <f aca="false">Q73</f>
        <v>115500</v>
      </c>
      <c r="T73" s="9" t="n">
        <v>107400</v>
      </c>
      <c r="U73" s="9" t="n">
        <f aca="false">T73</f>
        <v>107400</v>
      </c>
      <c r="V73" s="63" t="n">
        <v>131000</v>
      </c>
      <c r="W73" s="9" t="n">
        <f aca="false">V73</f>
        <v>131000</v>
      </c>
      <c r="X73" s="44" t="n">
        <f aca="false">T73/H73</f>
        <v>58.2113821138211</v>
      </c>
      <c r="Y73" s="9" t="s">
        <v>52</v>
      </c>
      <c r="Z73" s="40"/>
      <c r="AB73" s="5" t="s">
        <v>40</v>
      </c>
      <c r="AC73" s="4" t="s">
        <v>73</v>
      </c>
      <c r="AF73" s="57"/>
    </row>
    <row r="74" customFormat="false" ht="22.5" hidden="false" customHeight="true" outlineLevel="0" collapsed="false">
      <c r="A74" s="28"/>
      <c r="B74" s="11" t="s">
        <v>44</v>
      </c>
      <c r="C74" s="11" t="s">
        <v>35</v>
      </c>
      <c r="D74" s="28" t="n">
        <v>550470</v>
      </c>
      <c r="E74" s="4" t="s">
        <v>119</v>
      </c>
      <c r="F74" s="4" t="s">
        <v>154</v>
      </c>
      <c r="G74" s="5" t="s">
        <v>37</v>
      </c>
      <c r="H74" s="6" t="n">
        <v>1528</v>
      </c>
      <c r="I74" s="6" t="n">
        <f aca="false">H74</f>
        <v>1528</v>
      </c>
      <c r="J74" s="6" t="n">
        <v>1500</v>
      </c>
      <c r="K74" s="4" t="s">
        <v>155</v>
      </c>
      <c r="L74" s="7" t="n">
        <v>45622</v>
      </c>
      <c r="M74" s="8" t="n">
        <v>47447</v>
      </c>
      <c r="P74" s="8" t="n">
        <v>46716</v>
      </c>
      <c r="Q74" s="9" t="n">
        <v>54340</v>
      </c>
      <c r="R74" s="9" t="n">
        <f aca="false">Q74</f>
        <v>54340</v>
      </c>
      <c r="T74" s="9" t="n">
        <v>76600</v>
      </c>
      <c r="U74" s="9" t="n">
        <f aca="false">T74</f>
        <v>76600</v>
      </c>
      <c r="V74" s="63" t="n">
        <v>108500</v>
      </c>
      <c r="W74" s="9" t="n">
        <f aca="false">V74</f>
        <v>108500</v>
      </c>
      <c r="X74" s="44" t="n">
        <f aca="false">T74/H74</f>
        <v>50.130890052356</v>
      </c>
      <c r="Y74" s="9" t="s">
        <v>52</v>
      </c>
      <c r="Z74" s="40"/>
      <c r="AB74" s="5" t="s">
        <v>40</v>
      </c>
      <c r="AC74" s="4" t="s">
        <v>156</v>
      </c>
      <c r="AD74" s="56"/>
      <c r="AF74" s="57" t="n">
        <v>1</v>
      </c>
      <c r="AG74" s="4" t="s">
        <v>141</v>
      </c>
    </row>
    <row r="75" customFormat="false" ht="13.5" hidden="false" customHeight="true" outlineLevel="0" collapsed="false">
      <c r="A75" s="28"/>
      <c r="B75" s="11" t="s">
        <v>44</v>
      </c>
      <c r="C75" s="11" t="s">
        <v>35</v>
      </c>
      <c r="D75" s="28" t="n">
        <v>550470</v>
      </c>
      <c r="E75" s="4" t="s">
        <v>119</v>
      </c>
      <c r="F75" s="68" t="s">
        <v>157</v>
      </c>
      <c r="G75" s="5" t="s">
        <v>37</v>
      </c>
      <c r="H75" s="6" t="n">
        <v>1253</v>
      </c>
      <c r="I75" s="6" t="n">
        <f aca="false">H75</f>
        <v>1253</v>
      </c>
      <c r="J75" s="6" t="n">
        <v>1250</v>
      </c>
      <c r="K75" s="4" t="s">
        <v>158</v>
      </c>
      <c r="L75" s="7" t="n">
        <v>45617</v>
      </c>
      <c r="M75" s="8" t="n">
        <v>47442</v>
      </c>
      <c r="Q75" s="9" t="n">
        <v>66700</v>
      </c>
      <c r="R75" s="9" t="n">
        <f aca="false">Q75</f>
        <v>66700</v>
      </c>
      <c r="T75" s="9" t="n">
        <v>66700</v>
      </c>
      <c r="U75" s="9" t="n">
        <f aca="false">T75</f>
        <v>66700</v>
      </c>
      <c r="V75" s="63" t="n">
        <v>78300</v>
      </c>
      <c r="W75" s="9" t="n">
        <f aca="false">V75</f>
        <v>78300</v>
      </c>
      <c r="X75" s="44" t="n">
        <f aca="false">T75/H75</f>
        <v>53.2322426177175</v>
      </c>
      <c r="Y75" s="9" t="s">
        <v>57</v>
      </c>
      <c r="Z75" s="40"/>
      <c r="AB75" s="5" t="s">
        <v>40</v>
      </c>
      <c r="AD75" s="56"/>
      <c r="AF75" s="57"/>
    </row>
    <row r="76" customFormat="false" ht="13.5" hidden="false" customHeight="true" outlineLevel="0" collapsed="false">
      <c r="A76" s="28"/>
      <c r="B76" s="11" t="s">
        <v>44</v>
      </c>
      <c r="C76" s="11" t="s">
        <v>35</v>
      </c>
      <c r="D76" s="28" t="n">
        <v>550470</v>
      </c>
      <c r="E76" s="4" t="s">
        <v>119</v>
      </c>
      <c r="F76" s="4" t="s">
        <v>159</v>
      </c>
      <c r="G76" s="5" t="s">
        <v>37</v>
      </c>
      <c r="H76" s="6" t="n">
        <v>859</v>
      </c>
      <c r="I76" s="6" t="n">
        <f aca="false">H76</f>
        <v>859</v>
      </c>
      <c r="J76" s="6" t="n">
        <v>1000</v>
      </c>
      <c r="K76" s="4" t="s">
        <v>63</v>
      </c>
      <c r="N76" s="8" t="n">
        <v>44609</v>
      </c>
      <c r="Q76" s="9" t="n">
        <v>0</v>
      </c>
      <c r="R76" s="9" t="n">
        <f aca="false">Q76</f>
        <v>0</v>
      </c>
      <c r="T76" s="9" t="n">
        <v>65750</v>
      </c>
      <c r="U76" s="9" t="n">
        <f aca="false">T76</f>
        <v>65750</v>
      </c>
      <c r="V76" s="63" t="n">
        <v>53700</v>
      </c>
      <c r="W76" s="9" t="n">
        <f aca="false">V76</f>
        <v>53700</v>
      </c>
      <c r="X76" s="44" t="n">
        <f aca="false">T76/H76</f>
        <v>76.5424912689174</v>
      </c>
      <c r="Y76" s="9" t="s">
        <v>57</v>
      </c>
      <c r="Z76" s="40"/>
      <c r="AB76" s="5" t="s">
        <v>40</v>
      </c>
      <c r="AC76" s="4" t="s">
        <v>64</v>
      </c>
      <c r="AD76" s="15" t="n">
        <v>63</v>
      </c>
      <c r="AF76" s="57" t="n">
        <v>1</v>
      </c>
    </row>
    <row r="77" s="69" customFormat="true" ht="28.5" hidden="false" customHeight="true" outlineLevel="0" collapsed="false">
      <c r="A77" s="28"/>
      <c r="B77" s="11" t="s">
        <v>44</v>
      </c>
      <c r="C77" s="11" t="s">
        <v>35</v>
      </c>
      <c r="D77" s="28" t="n">
        <v>550470</v>
      </c>
      <c r="E77" s="4" t="s">
        <v>119</v>
      </c>
      <c r="F77" s="4" t="s">
        <v>160</v>
      </c>
      <c r="G77" s="5" t="s">
        <v>161</v>
      </c>
      <c r="H77" s="6" t="n">
        <v>0</v>
      </c>
      <c r="I77" s="6" t="n">
        <f aca="false">H77</f>
        <v>0</v>
      </c>
      <c r="J77" s="6"/>
      <c r="K77" s="4" t="s">
        <v>77</v>
      </c>
      <c r="L77" s="7"/>
      <c r="M77" s="8"/>
      <c r="N77" s="8" t="s">
        <v>78</v>
      </c>
      <c r="O77" s="8"/>
      <c r="P77" s="8"/>
      <c r="Q77" s="9" t="n">
        <v>0</v>
      </c>
      <c r="R77" s="9" t="n">
        <f aca="false">Q77</f>
        <v>0</v>
      </c>
      <c r="S77" s="9"/>
      <c r="T77" s="9" t="n">
        <v>1460</v>
      </c>
      <c r="U77" s="9" t="n">
        <f aca="false">T77</f>
        <v>1460</v>
      </c>
      <c r="V77" s="63" t="n">
        <v>0</v>
      </c>
      <c r="W77" s="9" t="n">
        <f aca="false">V77</f>
        <v>0</v>
      </c>
      <c r="X77" s="9"/>
      <c r="Y77" s="9"/>
      <c r="Z77" s="40"/>
      <c r="AA77" s="13"/>
      <c r="AB77" s="5"/>
      <c r="AC77" s="4"/>
      <c r="AD77" s="15"/>
      <c r="AE77" s="4"/>
      <c r="AF77" s="57"/>
      <c r="AG77" s="4"/>
    </row>
    <row r="78" customFormat="false" ht="14.25" hidden="false" customHeight="true" outlineLevel="0" collapsed="false">
      <c r="A78" s="28"/>
      <c r="B78" s="11" t="s">
        <v>44</v>
      </c>
      <c r="C78" s="11" t="s">
        <v>35</v>
      </c>
      <c r="D78" s="28" t="n">
        <v>550470</v>
      </c>
      <c r="E78" s="4" t="s">
        <v>119</v>
      </c>
      <c r="F78" s="4" t="s">
        <v>162</v>
      </c>
      <c r="G78" s="5" t="s">
        <v>163</v>
      </c>
      <c r="H78" s="6" t="n">
        <v>0</v>
      </c>
      <c r="I78" s="6" t="n">
        <f aca="false">H78</f>
        <v>0</v>
      </c>
      <c r="K78" s="4" t="s">
        <v>164</v>
      </c>
      <c r="L78" s="70" t="n">
        <v>35240</v>
      </c>
      <c r="M78" s="71" t="n">
        <v>68735</v>
      </c>
      <c r="N78" s="71"/>
      <c r="Q78" s="9" t="n">
        <v>0</v>
      </c>
      <c r="R78" s="9" t="n">
        <f aca="false">Q78</f>
        <v>0</v>
      </c>
      <c r="T78" s="9" t="n">
        <v>0</v>
      </c>
      <c r="U78" s="9" t="n">
        <f aca="false">T78</f>
        <v>0</v>
      </c>
      <c r="V78" s="63" t="n">
        <v>0</v>
      </c>
      <c r="W78" s="9" t="n">
        <f aca="false">V78</f>
        <v>0</v>
      </c>
      <c r="X78" s="9"/>
      <c r="Y78" s="9"/>
      <c r="Z78" s="40"/>
      <c r="AB78" s="5" t="s">
        <v>165</v>
      </c>
      <c r="AC78" s="4" t="s">
        <v>166</v>
      </c>
      <c r="AF78" s="57"/>
    </row>
    <row r="79" customFormat="false" ht="13.5" hidden="false" customHeight="true" outlineLevel="0" collapsed="false">
      <c r="A79" s="28"/>
      <c r="B79" s="11"/>
      <c r="C79" s="11" t="s">
        <v>35</v>
      </c>
      <c r="D79" s="28"/>
      <c r="E79" s="4"/>
      <c r="T79" s="9"/>
      <c r="U79" s="9"/>
      <c r="V79" s="63"/>
      <c r="W79" s="9"/>
      <c r="X79" s="9"/>
      <c r="Y79" s="9"/>
      <c r="Z79" s="40"/>
      <c r="AB79" s="5"/>
      <c r="AF79" s="57"/>
    </row>
    <row r="80" customFormat="false" ht="14.25" hidden="false" customHeight="true" outlineLevel="0" collapsed="false">
      <c r="A80" s="28"/>
      <c r="B80" s="11"/>
      <c r="C80" s="11" t="s">
        <v>35</v>
      </c>
      <c r="D80" s="28"/>
      <c r="E80" s="4"/>
      <c r="F80" s="45" t="s">
        <v>167</v>
      </c>
      <c r="H80" s="41" t="n">
        <f aca="false">SUM(H62:H78)</f>
        <v>31169</v>
      </c>
      <c r="I80" s="42"/>
      <c r="J80" s="42"/>
      <c r="Q80" s="42" t="n">
        <f aca="false">SUM(Q62:Q78)</f>
        <v>1643268</v>
      </c>
      <c r="R80" s="42"/>
      <c r="S80" s="42" t="n">
        <f aca="false">SUM(R62:R78)</f>
        <v>1643268</v>
      </c>
      <c r="T80" s="42" t="n">
        <f aca="false">SUM(T62:T78)</f>
        <v>1752665</v>
      </c>
      <c r="U80" s="42"/>
      <c r="V80" s="43" t="n">
        <f aca="false">SUM(V62:V78)</f>
        <v>2131800</v>
      </c>
      <c r="W80" s="42"/>
      <c r="X80" s="42"/>
      <c r="Y80" s="42"/>
      <c r="Z80" s="64"/>
      <c r="AA80" s="60" t="n">
        <v>35000000</v>
      </c>
      <c r="AB80" s="5"/>
      <c r="AE80" s="58"/>
      <c r="AF80" s="59"/>
      <c r="AG80" s="58"/>
    </row>
    <row r="81" customFormat="false" ht="14.25" hidden="false" customHeight="true" outlineLevel="0" collapsed="false">
      <c r="A81" s="28"/>
      <c r="B81" s="11"/>
      <c r="C81" s="11" t="s">
        <v>35</v>
      </c>
      <c r="D81" s="28"/>
      <c r="E81" s="4"/>
      <c r="F81" s="45"/>
      <c r="H81" s="41"/>
      <c r="I81" s="42"/>
      <c r="J81" s="42"/>
      <c r="Q81" s="42"/>
      <c r="R81" s="42"/>
      <c r="S81" s="42"/>
      <c r="T81" s="42"/>
      <c r="U81" s="42"/>
      <c r="V81" s="43"/>
      <c r="W81" s="42"/>
      <c r="X81" s="42"/>
      <c r="Y81" s="42"/>
      <c r="Z81" s="64"/>
      <c r="AA81" s="62"/>
      <c r="AB81" s="5"/>
      <c r="AF81" s="57"/>
    </row>
    <row r="82" customFormat="false" ht="14.25" hidden="false" customHeight="true" outlineLevel="0" collapsed="false">
      <c r="A82" s="28"/>
      <c r="B82" s="11"/>
      <c r="C82" s="11" t="s">
        <v>35</v>
      </c>
      <c r="D82" s="28"/>
      <c r="E82" s="4"/>
      <c r="G82" s="38" t="s">
        <v>168</v>
      </c>
      <c r="I82" s="9"/>
      <c r="J82" s="9"/>
      <c r="K82" s="39"/>
      <c r="T82" s="11"/>
      <c r="U82" s="9"/>
      <c r="W82" s="9"/>
      <c r="X82" s="9"/>
      <c r="Y82" s="9"/>
      <c r="Z82" s="40"/>
      <c r="AB82" s="5"/>
      <c r="AF82" s="57"/>
    </row>
    <row r="83" customFormat="false" ht="14.25" hidden="false" customHeight="true" outlineLevel="0" collapsed="false">
      <c r="A83" s="28"/>
      <c r="B83" s="11"/>
      <c r="C83" s="11" t="s">
        <v>35</v>
      </c>
      <c r="D83" s="28"/>
      <c r="E83" s="4"/>
      <c r="G83" s="38"/>
      <c r="I83" s="9"/>
      <c r="J83" s="9"/>
      <c r="K83" s="68"/>
      <c r="L83" s="8"/>
      <c r="T83" s="9"/>
      <c r="U83" s="9"/>
      <c r="V83" s="63"/>
      <c r="W83" s="9"/>
      <c r="X83" s="9"/>
      <c r="Y83" s="9"/>
      <c r="Z83" s="40"/>
      <c r="AB83" s="5"/>
      <c r="AF83" s="57"/>
    </row>
    <row r="84" customFormat="false" ht="22.5" hidden="false" customHeight="true" outlineLevel="0" collapsed="false">
      <c r="A84" s="28"/>
      <c r="B84" s="11" t="s">
        <v>44</v>
      </c>
      <c r="C84" s="11" t="s">
        <v>35</v>
      </c>
      <c r="D84" s="28" t="n">
        <v>550480</v>
      </c>
      <c r="E84" s="4" t="s">
        <v>168</v>
      </c>
      <c r="F84" s="4" t="s">
        <v>169</v>
      </c>
      <c r="G84" s="5" t="s">
        <v>46</v>
      </c>
      <c r="H84" s="6" t="n">
        <v>4958</v>
      </c>
      <c r="I84" s="6" t="n">
        <f aca="false">H84</f>
        <v>4958</v>
      </c>
      <c r="J84" s="6" t="n">
        <v>5000</v>
      </c>
      <c r="K84" s="4" t="s">
        <v>170</v>
      </c>
      <c r="L84" s="7" t="n">
        <v>45699</v>
      </c>
      <c r="M84" s="8" t="n">
        <v>47524</v>
      </c>
      <c r="P84" s="8" t="n">
        <v>46793</v>
      </c>
      <c r="Q84" s="9" t="n">
        <v>187500</v>
      </c>
      <c r="R84" s="9" t="n">
        <f aca="false">Q84</f>
        <v>187500</v>
      </c>
      <c r="T84" s="9" t="n">
        <v>337100</v>
      </c>
      <c r="U84" s="9" t="n">
        <f aca="false">T84</f>
        <v>337100</v>
      </c>
      <c r="V84" s="63" t="n">
        <v>375000</v>
      </c>
      <c r="W84" s="9" t="n">
        <f aca="false">V84</f>
        <v>375000</v>
      </c>
      <c r="X84" s="44" t="n">
        <f aca="false">T84/H84</f>
        <v>67.991125453812</v>
      </c>
      <c r="Y84" s="9" t="s">
        <v>52</v>
      </c>
      <c r="Z84" s="40"/>
      <c r="AB84" s="5" t="s">
        <v>40</v>
      </c>
      <c r="AC84" s="4" t="s">
        <v>171</v>
      </c>
      <c r="AD84" s="15" t="n">
        <v>68</v>
      </c>
      <c r="AE84" s="4" t="n">
        <v>1</v>
      </c>
      <c r="AF84" s="57" t="n">
        <v>13</v>
      </c>
      <c r="AG84" s="4" t="s">
        <v>172</v>
      </c>
    </row>
    <row r="85" customFormat="false" ht="13.5" hidden="false" customHeight="true" outlineLevel="0" collapsed="false">
      <c r="A85" s="28"/>
      <c r="B85" s="11" t="s">
        <v>44</v>
      </c>
      <c r="C85" s="11" t="s">
        <v>35</v>
      </c>
      <c r="D85" s="28" t="n">
        <v>550480</v>
      </c>
      <c r="E85" s="4" t="s">
        <v>168</v>
      </c>
      <c r="F85" s="4" t="s">
        <v>173</v>
      </c>
      <c r="G85" s="5" t="s">
        <v>37</v>
      </c>
      <c r="H85" s="6" t="n">
        <v>1862</v>
      </c>
      <c r="I85" s="6" t="n">
        <f aca="false">H85</f>
        <v>1862</v>
      </c>
      <c r="J85" s="6" t="n">
        <v>2000</v>
      </c>
      <c r="K85" s="4" t="s">
        <v>174</v>
      </c>
      <c r="L85" s="7" t="n">
        <v>44452</v>
      </c>
      <c r="M85" s="8" t="n">
        <v>46277</v>
      </c>
      <c r="Q85" s="9" t="n">
        <v>108170</v>
      </c>
      <c r="R85" s="9" t="n">
        <f aca="false">Q85</f>
        <v>108170</v>
      </c>
      <c r="T85" s="9" t="n">
        <v>107200</v>
      </c>
      <c r="U85" s="9" t="n">
        <f aca="false">T85</f>
        <v>107200</v>
      </c>
      <c r="V85" s="63" t="n">
        <v>111700</v>
      </c>
      <c r="W85" s="9" t="n">
        <f aca="false">V85</f>
        <v>111700</v>
      </c>
      <c r="X85" s="44" t="n">
        <f aca="false">T85/H85</f>
        <v>57.5725026852846</v>
      </c>
      <c r="Y85" s="9" t="s">
        <v>57</v>
      </c>
      <c r="Z85" s="40"/>
      <c r="AB85" s="5" t="s">
        <v>40</v>
      </c>
      <c r="AF85" s="57"/>
    </row>
    <row r="86" customFormat="false" ht="13.5" hidden="false" customHeight="true" outlineLevel="0" collapsed="false">
      <c r="A86" s="28"/>
      <c r="B86" s="11" t="s">
        <v>44</v>
      </c>
      <c r="C86" s="11" t="s">
        <v>35</v>
      </c>
      <c r="D86" s="28" t="n">
        <v>550480</v>
      </c>
      <c r="E86" s="4" t="s">
        <v>168</v>
      </c>
      <c r="F86" s="4" t="s">
        <v>89</v>
      </c>
      <c r="G86" s="5" t="s">
        <v>37</v>
      </c>
      <c r="H86" s="6" t="n">
        <v>1818</v>
      </c>
      <c r="I86" s="6" t="n">
        <f aca="false">H86</f>
        <v>1818</v>
      </c>
      <c r="J86" s="6" t="n">
        <v>2000</v>
      </c>
      <c r="K86" s="4" t="s">
        <v>63</v>
      </c>
      <c r="N86" s="7" t="n">
        <v>45609</v>
      </c>
      <c r="Q86" s="9" t="n">
        <v>0</v>
      </c>
      <c r="R86" s="9" t="n">
        <f aca="false">Q86</f>
        <v>0</v>
      </c>
      <c r="T86" s="9" t="n">
        <v>105500</v>
      </c>
      <c r="U86" s="9" t="n">
        <f aca="false">T86</f>
        <v>105500</v>
      </c>
      <c r="V86" s="63" t="n">
        <v>109100</v>
      </c>
      <c r="W86" s="9" t="n">
        <f aca="false">V86</f>
        <v>109100</v>
      </c>
      <c r="X86" s="44" t="n">
        <f aca="false">T86/H86</f>
        <v>58.030803080308</v>
      </c>
      <c r="Y86" s="9" t="s">
        <v>123</v>
      </c>
      <c r="Z86" s="40"/>
      <c r="AB86" s="5" t="s">
        <v>40</v>
      </c>
      <c r="AC86" s="4" t="s">
        <v>64</v>
      </c>
      <c r="AD86" s="15" t="n">
        <v>65</v>
      </c>
      <c r="AF86" s="57"/>
    </row>
    <row r="87" customFormat="false" ht="13.5" hidden="false" customHeight="true" outlineLevel="0" collapsed="false">
      <c r="A87" s="28"/>
      <c r="B87" s="11" t="s">
        <v>44</v>
      </c>
      <c r="C87" s="11" t="s">
        <v>35</v>
      </c>
      <c r="D87" s="28" t="n">
        <v>550480</v>
      </c>
      <c r="E87" s="4" t="s">
        <v>168</v>
      </c>
      <c r="F87" s="4" t="s">
        <v>90</v>
      </c>
      <c r="G87" s="5" t="s">
        <v>37</v>
      </c>
      <c r="H87" s="6" t="n">
        <v>1808</v>
      </c>
      <c r="I87" s="6" t="n">
        <f aca="false">H87</f>
        <v>1808</v>
      </c>
      <c r="J87" s="6" t="n">
        <v>2000</v>
      </c>
      <c r="K87" s="4" t="s">
        <v>63</v>
      </c>
      <c r="N87" s="7" t="n">
        <v>45609</v>
      </c>
      <c r="Q87" s="9" t="n">
        <v>0</v>
      </c>
      <c r="R87" s="9" t="n">
        <f aca="false">Q87</f>
        <v>0</v>
      </c>
      <c r="T87" s="9" t="n">
        <v>108800</v>
      </c>
      <c r="U87" s="9" t="n">
        <f aca="false">T87</f>
        <v>108800</v>
      </c>
      <c r="V87" s="63" t="n">
        <v>108500</v>
      </c>
      <c r="W87" s="9" t="n">
        <f aca="false">V87</f>
        <v>108500</v>
      </c>
      <c r="X87" s="44" t="n">
        <f aca="false">T87/H87</f>
        <v>60.1769911504425</v>
      </c>
      <c r="Y87" s="9" t="s">
        <v>123</v>
      </c>
      <c r="Z87" s="40"/>
      <c r="AB87" s="5" t="s">
        <v>40</v>
      </c>
      <c r="AC87" s="4" t="s">
        <v>64</v>
      </c>
      <c r="AD87" s="15" t="n">
        <v>65</v>
      </c>
      <c r="AF87" s="57"/>
    </row>
    <row r="88" customFormat="false" ht="14.25" hidden="false" customHeight="true" outlineLevel="0" collapsed="false">
      <c r="A88" s="28"/>
      <c r="B88" s="11" t="s">
        <v>44</v>
      </c>
      <c r="C88" s="11" t="s">
        <v>35</v>
      </c>
      <c r="D88" s="28" t="n">
        <v>550480</v>
      </c>
      <c r="E88" s="4" t="s">
        <v>168</v>
      </c>
      <c r="F88" s="4" t="s">
        <v>114</v>
      </c>
      <c r="G88" s="5" t="s">
        <v>37</v>
      </c>
      <c r="H88" s="6" t="n">
        <v>1672</v>
      </c>
      <c r="I88" s="6" t="n">
        <f aca="false">H88</f>
        <v>1672</v>
      </c>
      <c r="J88" s="6" t="n">
        <v>1500</v>
      </c>
      <c r="K88" s="4" t="s">
        <v>63</v>
      </c>
      <c r="N88" s="8" t="n">
        <v>45457</v>
      </c>
      <c r="Q88" s="9" t="n">
        <v>0</v>
      </c>
      <c r="R88" s="9" t="n">
        <f aca="false">Q88</f>
        <v>0</v>
      </c>
      <c r="T88" s="9" t="n">
        <v>94400</v>
      </c>
      <c r="U88" s="9" t="n">
        <f aca="false">T88</f>
        <v>94400</v>
      </c>
      <c r="V88" s="63" t="n">
        <v>104500</v>
      </c>
      <c r="W88" s="9" t="n">
        <f aca="false">V88</f>
        <v>104500</v>
      </c>
      <c r="X88" s="44" t="n">
        <f aca="false">T88/H88</f>
        <v>56.4593301435407</v>
      </c>
      <c r="Y88" s="9" t="s">
        <v>52</v>
      </c>
      <c r="Z88" s="40"/>
      <c r="AB88" s="5" t="s">
        <v>40</v>
      </c>
      <c r="AC88" s="58" t="s">
        <v>175</v>
      </c>
      <c r="AD88" s="15" t="n">
        <v>65</v>
      </c>
      <c r="AE88" s="4" t="n">
        <v>1</v>
      </c>
      <c r="AF88" s="57" t="n">
        <v>2</v>
      </c>
      <c r="AG88" s="4" t="s">
        <v>54</v>
      </c>
    </row>
    <row r="89" customFormat="false" ht="13.5" hidden="false" customHeight="true" outlineLevel="0" collapsed="false">
      <c r="A89" s="28"/>
      <c r="B89" s="11" t="s">
        <v>44</v>
      </c>
      <c r="C89" s="11" t="s">
        <v>35</v>
      </c>
      <c r="D89" s="28" t="n">
        <v>550480</v>
      </c>
      <c r="E89" s="4" t="s">
        <v>168</v>
      </c>
      <c r="F89" s="4" t="s">
        <v>176</v>
      </c>
      <c r="G89" s="5" t="s">
        <v>37</v>
      </c>
      <c r="H89" s="6" t="n">
        <v>995</v>
      </c>
      <c r="I89" s="6" t="n">
        <f aca="false">H89</f>
        <v>995</v>
      </c>
      <c r="J89" s="6" t="n">
        <v>1000</v>
      </c>
      <c r="K89" s="4" t="s">
        <v>149</v>
      </c>
      <c r="L89" s="7" t="n">
        <v>45609</v>
      </c>
      <c r="M89" s="8" t="n">
        <v>47434</v>
      </c>
      <c r="P89" s="8" t="n">
        <v>46703</v>
      </c>
      <c r="Q89" s="9" t="n">
        <v>61928</v>
      </c>
      <c r="R89" s="9" t="n">
        <f aca="false">Q89</f>
        <v>61928</v>
      </c>
      <c r="T89" s="6" t="n">
        <v>61200</v>
      </c>
      <c r="U89" s="9" t="n">
        <f aca="false">T89</f>
        <v>61200</v>
      </c>
      <c r="V89" s="54" t="n">
        <v>62200</v>
      </c>
      <c r="W89" s="9" t="n">
        <f aca="false">V89</f>
        <v>62200</v>
      </c>
      <c r="X89" s="44" t="n">
        <f aca="false">T89/H89</f>
        <v>61.5075376884422</v>
      </c>
      <c r="Y89" s="9" t="s">
        <v>123</v>
      </c>
      <c r="Z89" s="40"/>
      <c r="AB89" s="5" t="s">
        <v>40</v>
      </c>
      <c r="AC89" s="4" t="s">
        <v>73</v>
      </c>
      <c r="AD89" s="56"/>
      <c r="AF89" s="57"/>
    </row>
    <row r="90" customFormat="false" ht="22.5" hidden="false" customHeight="true" outlineLevel="0" collapsed="false">
      <c r="A90" s="28"/>
      <c r="B90" s="11" t="s">
        <v>44</v>
      </c>
      <c r="C90" s="11" t="s">
        <v>35</v>
      </c>
      <c r="D90" s="28" t="n">
        <v>550480</v>
      </c>
      <c r="E90" s="4" t="s">
        <v>168</v>
      </c>
      <c r="F90" s="39" t="s">
        <v>177</v>
      </c>
      <c r="G90" s="5" t="s">
        <v>163</v>
      </c>
      <c r="H90" s="6" t="n">
        <v>0</v>
      </c>
      <c r="I90" s="6" t="n">
        <f aca="false">H90</f>
        <v>0</v>
      </c>
      <c r="K90" s="4" t="s">
        <v>164</v>
      </c>
      <c r="L90" s="7" t="n">
        <v>39295</v>
      </c>
      <c r="M90" s="8" t="n">
        <v>46599</v>
      </c>
      <c r="O90" s="8" t="n">
        <v>45870</v>
      </c>
      <c r="Q90" s="9" t="n">
        <v>903</v>
      </c>
      <c r="R90" s="9" t="n">
        <f aca="false">Q90</f>
        <v>903</v>
      </c>
      <c r="T90" s="6" t="n">
        <v>625</v>
      </c>
      <c r="U90" s="9" t="n">
        <f aca="false">T90</f>
        <v>625</v>
      </c>
      <c r="V90" s="54" t="n">
        <v>625</v>
      </c>
      <c r="W90" s="9" t="n">
        <f aca="false">V90</f>
        <v>625</v>
      </c>
      <c r="X90" s="44"/>
      <c r="Y90" s="9"/>
      <c r="Z90" s="40"/>
      <c r="AB90" s="5" t="s">
        <v>40</v>
      </c>
      <c r="AC90" s="4" t="s">
        <v>178</v>
      </c>
      <c r="AF90" s="57"/>
    </row>
    <row r="91" customFormat="false" ht="14.25" hidden="false" customHeight="true" outlineLevel="0" collapsed="false">
      <c r="A91" s="28"/>
      <c r="B91" s="11"/>
      <c r="C91" s="11" t="s">
        <v>35</v>
      </c>
      <c r="D91" s="28"/>
      <c r="E91" s="4"/>
      <c r="F91" s="39"/>
      <c r="I91" s="9"/>
      <c r="J91" s="9"/>
      <c r="T91" s="6"/>
      <c r="U91" s="9"/>
      <c r="V91" s="54"/>
      <c r="W91" s="9"/>
      <c r="X91" s="9"/>
      <c r="Y91" s="9"/>
      <c r="Z91" s="40"/>
      <c r="AB91" s="5"/>
      <c r="AF91" s="57"/>
    </row>
    <row r="92" customFormat="false" ht="14.25" hidden="false" customHeight="true" outlineLevel="0" collapsed="false">
      <c r="A92" s="28"/>
      <c r="B92" s="11"/>
      <c r="C92" s="11" t="s">
        <v>35</v>
      </c>
      <c r="D92" s="28"/>
      <c r="E92" s="4"/>
      <c r="F92" s="45" t="s">
        <v>179</v>
      </c>
      <c r="H92" s="41" t="n">
        <f aca="false">SUM(H84:H90)</f>
        <v>13113</v>
      </c>
      <c r="I92" s="42"/>
      <c r="J92" s="42"/>
      <c r="Q92" s="42" t="n">
        <f aca="false">SUM(Q84:Q90)</f>
        <v>358501</v>
      </c>
      <c r="R92" s="42"/>
      <c r="S92" s="42" t="n">
        <f aca="false">SUM(R83:R90)</f>
        <v>358501</v>
      </c>
      <c r="T92" s="42" t="n">
        <f aca="false">SUM(T84:T90)</f>
        <v>814825</v>
      </c>
      <c r="U92" s="42"/>
      <c r="V92" s="43" t="n">
        <f aca="false">SUM(V84:V90)</f>
        <v>871625</v>
      </c>
      <c r="W92" s="42"/>
      <c r="X92" s="42"/>
      <c r="Y92" s="42"/>
      <c r="Z92" s="64"/>
      <c r="AA92" s="60" t="n">
        <v>13625000</v>
      </c>
      <c r="AB92" s="5"/>
      <c r="AE92" s="58"/>
      <c r="AF92" s="59"/>
      <c r="AG92" s="58"/>
    </row>
    <row r="93" customFormat="false" ht="14.25" hidden="false" customHeight="true" outlineLevel="0" collapsed="false">
      <c r="A93" s="28"/>
      <c r="B93" s="11"/>
      <c r="C93" s="11" t="s">
        <v>35</v>
      </c>
      <c r="D93" s="28"/>
      <c r="E93" s="4"/>
      <c r="H93" s="41"/>
      <c r="I93" s="42"/>
      <c r="J93" s="42"/>
      <c r="Q93" s="42"/>
      <c r="R93" s="42"/>
      <c r="S93" s="42"/>
      <c r="T93" s="42"/>
      <c r="U93" s="42"/>
      <c r="V93" s="43"/>
      <c r="W93" s="42"/>
      <c r="X93" s="42"/>
      <c r="Y93" s="42"/>
      <c r="Z93" s="64"/>
      <c r="AA93" s="62"/>
      <c r="AB93" s="5"/>
      <c r="AF93" s="57"/>
    </row>
    <row r="94" customFormat="false" ht="14.25" hidden="false" customHeight="true" outlineLevel="0" collapsed="false">
      <c r="A94" s="28"/>
      <c r="B94" s="11"/>
      <c r="C94" s="11" t="s">
        <v>35</v>
      </c>
      <c r="D94" s="28"/>
      <c r="E94" s="4"/>
      <c r="G94" s="38" t="s">
        <v>180</v>
      </c>
      <c r="I94" s="9"/>
      <c r="J94" s="9"/>
      <c r="K94" s="39"/>
      <c r="T94" s="11"/>
      <c r="U94" s="9"/>
      <c r="W94" s="9"/>
      <c r="X94" s="9"/>
      <c r="Y94" s="9"/>
      <c r="Z94" s="40"/>
      <c r="AB94" s="5"/>
      <c r="AF94" s="57"/>
    </row>
    <row r="95" customFormat="false" ht="14.25" hidden="false" customHeight="true" outlineLevel="0" collapsed="false">
      <c r="A95" s="28"/>
      <c r="B95" s="11"/>
      <c r="C95" s="11" t="s">
        <v>35</v>
      </c>
      <c r="D95" s="28"/>
      <c r="E95" s="4"/>
      <c r="G95" s="4"/>
      <c r="I95" s="9"/>
      <c r="J95" s="9"/>
      <c r="T95" s="9"/>
      <c r="U95" s="9"/>
      <c r="V95" s="63"/>
      <c r="W95" s="9"/>
      <c r="X95" s="9"/>
      <c r="Y95" s="9"/>
      <c r="Z95" s="40"/>
      <c r="AB95" s="5"/>
      <c r="AF95" s="57"/>
    </row>
    <row r="96" customFormat="false" ht="22.5" hidden="false" customHeight="true" outlineLevel="0" collapsed="false">
      <c r="A96" s="28"/>
      <c r="B96" s="11" t="s">
        <v>44</v>
      </c>
      <c r="C96" s="11" t="s">
        <v>35</v>
      </c>
      <c r="D96" s="28" t="n">
        <v>550530</v>
      </c>
      <c r="E96" s="4" t="s">
        <v>180</v>
      </c>
      <c r="F96" s="4" t="s">
        <v>36</v>
      </c>
      <c r="G96" s="5" t="s">
        <v>181</v>
      </c>
      <c r="H96" s="41" t="n">
        <v>9884</v>
      </c>
      <c r="I96" s="9" t="n">
        <f aca="false">H96</f>
        <v>9884</v>
      </c>
      <c r="J96" s="9" t="n">
        <v>10000</v>
      </c>
      <c r="K96" s="4" t="s">
        <v>182</v>
      </c>
      <c r="L96" s="7" t="n">
        <v>44856</v>
      </c>
      <c r="M96" s="8" t="n">
        <v>47411</v>
      </c>
      <c r="O96" s="8" t="n">
        <v>46682</v>
      </c>
      <c r="Q96" s="42" t="n">
        <v>580000</v>
      </c>
      <c r="R96" s="9" t="n">
        <f aca="false">Q96</f>
        <v>580000</v>
      </c>
      <c r="S96" s="42" t="n">
        <f aca="false">R96</f>
        <v>580000</v>
      </c>
      <c r="T96" s="42" t="n">
        <v>580000</v>
      </c>
      <c r="U96" s="9" t="n">
        <f aca="false">T96</f>
        <v>580000</v>
      </c>
      <c r="V96" s="43" t="n">
        <v>586000</v>
      </c>
      <c r="W96" s="9" t="n">
        <f aca="false">V96</f>
        <v>586000</v>
      </c>
      <c r="X96" s="44" t="n">
        <f aca="false">T96/H96</f>
        <v>58.6806960744638</v>
      </c>
      <c r="Y96" s="9" t="s">
        <v>52</v>
      </c>
      <c r="Z96" s="40"/>
      <c r="AA96" s="60" t="n">
        <v>8850000</v>
      </c>
      <c r="AB96" s="5" t="s">
        <v>165</v>
      </c>
      <c r="AF96" s="57"/>
    </row>
    <row r="97" customFormat="false" ht="14.25" hidden="false" customHeight="true" outlineLevel="0" collapsed="false">
      <c r="A97" s="28"/>
      <c r="B97" s="11"/>
      <c r="C97" s="11" t="s">
        <v>35</v>
      </c>
      <c r="D97" s="28"/>
      <c r="E97" s="4"/>
      <c r="F97" s="45" t="s">
        <v>183</v>
      </c>
      <c r="H97" s="46" t="n">
        <f aca="false">SUM(H96)</f>
        <v>9884</v>
      </c>
      <c r="I97" s="41"/>
      <c r="J97" s="41"/>
      <c r="K97" s="47"/>
      <c r="L97" s="48"/>
      <c r="M97" s="49"/>
      <c r="N97" s="49"/>
      <c r="O97" s="49"/>
      <c r="P97" s="49"/>
      <c r="Q97" s="46" t="n">
        <f aca="false">SUM(Q96)</f>
        <v>580000</v>
      </c>
      <c r="R97" s="46"/>
      <c r="S97" s="46"/>
      <c r="T97" s="46" t="n">
        <f aca="false">SUM(T96)</f>
        <v>580000</v>
      </c>
      <c r="U97" s="46"/>
      <c r="V97" s="50"/>
      <c r="W97" s="46"/>
      <c r="X97" s="46"/>
      <c r="Y97" s="46"/>
      <c r="Z97" s="51"/>
      <c r="AA97" s="52"/>
      <c r="AB97" s="5"/>
      <c r="AF97" s="57"/>
    </row>
    <row r="98" customFormat="false" ht="14.25" hidden="false" customHeight="true" outlineLevel="0" collapsed="false">
      <c r="A98" s="28"/>
      <c r="B98" s="11"/>
      <c r="C98" s="11" t="s">
        <v>35</v>
      </c>
      <c r="D98" s="28"/>
      <c r="E98" s="4"/>
      <c r="I98" s="9"/>
      <c r="J98" s="9"/>
      <c r="T98" s="9"/>
      <c r="U98" s="9"/>
      <c r="V98" s="63"/>
      <c r="W98" s="9"/>
      <c r="X98" s="9"/>
      <c r="Y98" s="9"/>
      <c r="Z98" s="40"/>
      <c r="AB98" s="5"/>
      <c r="AF98" s="57"/>
    </row>
    <row r="99" customFormat="false" ht="14.25" hidden="false" customHeight="true" outlineLevel="0" collapsed="false">
      <c r="A99" s="28"/>
      <c r="B99" s="11"/>
      <c r="C99" s="11" t="s">
        <v>35</v>
      </c>
      <c r="D99" s="28"/>
      <c r="E99" s="4"/>
      <c r="G99" s="38" t="s">
        <v>184</v>
      </c>
      <c r="I99" s="9"/>
      <c r="J99" s="9"/>
      <c r="K99" s="39"/>
      <c r="T99" s="11"/>
      <c r="U99" s="9"/>
      <c r="W99" s="9"/>
      <c r="X99" s="9"/>
      <c r="Y99" s="9"/>
      <c r="Z99" s="40"/>
      <c r="AB99" s="5"/>
      <c r="AF99" s="57"/>
    </row>
    <row r="100" customFormat="false" ht="14.25" hidden="false" customHeight="true" outlineLevel="0" collapsed="false">
      <c r="A100" s="28"/>
      <c r="B100" s="11"/>
      <c r="C100" s="11" t="s">
        <v>35</v>
      </c>
      <c r="D100" s="28"/>
      <c r="E100" s="4"/>
      <c r="G100" s="38"/>
      <c r="H100" s="72"/>
      <c r="I100" s="9"/>
      <c r="J100" s="9"/>
      <c r="K100" s="66"/>
      <c r="L100" s="67"/>
      <c r="M100" s="73"/>
      <c r="N100" s="73"/>
      <c r="O100" s="73"/>
      <c r="P100" s="73"/>
      <c r="T100" s="9"/>
      <c r="U100" s="9"/>
      <c r="V100" s="63"/>
      <c r="W100" s="9"/>
      <c r="X100" s="9"/>
      <c r="Y100" s="9"/>
      <c r="Z100" s="40"/>
      <c r="AB100" s="5"/>
      <c r="AF100" s="57"/>
    </row>
    <row r="101" customFormat="false" ht="22.5" hidden="false" customHeight="true" outlineLevel="0" collapsed="false">
      <c r="A101" s="28"/>
      <c r="B101" s="11" t="s">
        <v>185</v>
      </c>
      <c r="C101" s="11" t="s">
        <v>35</v>
      </c>
      <c r="D101" s="28" t="n">
        <v>550410</v>
      </c>
      <c r="E101" s="4" t="s">
        <v>186</v>
      </c>
      <c r="F101" s="4" t="s">
        <v>187</v>
      </c>
      <c r="G101" s="5" t="s">
        <v>188</v>
      </c>
      <c r="H101" s="6" t="n">
        <v>11225</v>
      </c>
      <c r="I101" s="6" t="n">
        <f aca="false">H101</f>
        <v>11225</v>
      </c>
      <c r="J101" s="6" t="n">
        <v>10000</v>
      </c>
      <c r="K101" s="4" t="s">
        <v>189</v>
      </c>
      <c r="L101" s="7" t="n">
        <v>44729</v>
      </c>
      <c r="M101" s="8" t="n">
        <v>50207</v>
      </c>
      <c r="O101" s="7" t="n">
        <v>46555</v>
      </c>
      <c r="P101" s="7" t="n">
        <v>48381</v>
      </c>
      <c r="Q101" s="9" t="n">
        <v>625000</v>
      </c>
      <c r="R101" s="9" t="n">
        <f aca="false">Q101</f>
        <v>625000</v>
      </c>
      <c r="T101" s="9" t="n">
        <v>750000</v>
      </c>
      <c r="U101" s="9" t="n">
        <f aca="false">T101</f>
        <v>750000</v>
      </c>
      <c r="V101" s="63" t="n">
        <v>650000</v>
      </c>
      <c r="W101" s="9" t="n">
        <f aca="false">V101</f>
        <v>650000</v>
      </c>
      <c r="X101" s="44" t="n">
        <f aca="false">T101/H101</f>
        <v>66.815144766147</v>
      </c>
      <c r="Y101" s="9" t="s">
        <v>52</v>
      </c>
      <c r="Z101" s="40"/>
      <c r="AA101" s="62"/>
      <c r="AB101" s="5" t="s">
        <v>40</v>
      </c>
      <c r="AC101" s="4" t="s">
        <v>190</v>
      </c>
    </row>
    <row r="102" customFormat="false" ht="13.5" hidden="false" customHeight="true" outlineLevel="0" collapsed="false">
      <c r="A102" s="28"/>
      <c r="B102" s="11" t="s">
        <v>185</v>
      </c>
      <c r="C102" s="11" t="s">
        <v>35</v>
      </c>
      <c r="D102" s="28" t="n">
        <v>550410</v>
      </c>
      <c r="E102" s="4" t="s">
        <v>186</v>
      </c>
      <c r="F102" s="4" t="s">
        <v>191</v>
      </c>
      <c r="G102" s="5" t="s">
        <v>86</v>
      </c>
      <c r="H102" s="6" t="n">
        <v>2847</v>
      </c>
      <c r="I102" s="6" t="n">
        <f aca="false">H102</f>
        <v>2847</v>
      </c>
      <c r="J102" s="6" t="n">
        <v>3000</v>
      </c>
      <c r="K102" s="4" t="s">
        <v>63</v>
      </c>
      <c r="N102" s="8" t="n">
        <v>45219</v>
      </c>
      <c r="Q102" s="9" t="n">
        <v>0</v>
      </c>
      <c r="R102" s="9" t="n">
        <f aca="false">Q102</f>
        <v>0</v>
      </c>
      <c r="T102" s="9" t="n">
        <v>170000</v>
      </c>
      <c r="U102" s="9" t="n">
        <f aca="false">T102</f>
        <v>170000</v>
      </c>
      <c r="V102" s="63" t="n">
        <v>185100</v>
      </c>
      <c r="W102" s="9" t="n">
        <f aca="false">V102</f>
        <v>185100</v>
      </c>
      <c r="X102" s="44" t="n">
        <f aca="false">T102/H102</f>
        <v>59.7119775201967</v>
      </c>
      <c r="Y102" s="9" t="s">
        <v>52</v>
      </c>
      <c r="Z102" s="40"/>
      <c r="AA102" s="62"/>
      <c r="AB102" s="5" t="s">
        <v>40</v>
      </c>
      <c r="AC102" s="4" t="s">
        <v>64</v>
      </c>
      <c r="AD102" s="15" t="n">
        <v>70</v>
      </c>
      <c r="AF102" s="57" t="n">
        <v>7</v>
      </c>
      <c r="AG102" s="4" t="s">
        <v>192</v>
      </c>
    </row>
    <row r="103" s="69" customFormat="true" ht="17.25" hidden="false" customHeight="true" outlineLevel="0" collapsed="false">
      <c r="A103" s="28"/>
      <c r="B103" s="11" t="s">
        <v>185</v>
      </c>
      <c r="C103" s="11" t="s">
        <v>35</v>
      </c>
      <c r="D103" s="28" t="n">
        <v>550410</v>
      </c>
      <c r="E103" s="4" t="s">
        <v>186</v>
      </c>
      <c r="F103" s="4" t="s">
        <v>90</v>
      </c>
      <c r="G103" s="5" t="s">
        <v>86</v>
      </c>
      <c r="H103" s="6" t="n">
        <v>2651</v>
      </c>
      <c r="I103" s="6" t="n">
        <f aca="false">H103</f>
        <v>2651</v>
      </c>
      <c r="J103" s="6" t="n">
        <v>2500</v>
      </c>
      <c r="K103" s="4" t="s">
        <v>63</v>
      </c>
      <c r="L103" s="7"/>
      <c r="M103" s="8"/>
      <c r="N103" s="8" t="n">
        <v>44124</v>
      </c>
      <c r="O103" s="8"/>
      <c r="P103" s="8"/>
      <c r="Q103" s="9" t="n">
        <v>0</v>
      </c>
      <c r="R103" s="9" t="n">
        <f aca="false">Q103</f>
        <v>0</v>
      </c>
      <c r="S103" s="9"/>
      <c r="T103" s="9" t="n">
        <v>172000</v>
      </c>
      <c r="U103" s="9" t="n">
        <f aca="false">T103</f>
        <v>172000</v>
      </c>
      <c r="V103" s="63" t="n">
        <v>181600</v>
      </c>
      <c r="W103" s="9" t="n">
        <f aca="false">V103</f>
        <v>181600</v>
      </c>
      <c r="X103" s="44" t="n">
        <f aca="false">T103/H103</f>
        <v>64.8811769143719</v>
      </c>
      <c r="Y103" s="9" t="s">
        <v>52</v>
      </c>
      <c r="Z103" s="40"/>
      <c r="AA103" s="62"/>
      <c r="AB103" s="5" t="s">
        <v>40</v>
      </c>
      <c r="AC103" s="4" t="s">
        <v>64</v>
      </c>
      <c r="AD103" s="15" t="n">
        <v>72.5</v>
      </c>
      <c r="AE103" s="4"/>
      <c r="AF103" s="57" t="n">
        <v>7</v>
      </c>
      <c r="AG103" s="4" t="s">
        <v>192</v>
      </c>
    </row>
    <row r="104" s="69" customFormat="true" ht="24.75" hidden="false" customHeight="true" outlineLevel="0" collapsed="false">
      <c r="A104" s="28"/>
      <c r="B104" s="11" t="s">
        <v>185</v>
      </c>
      <c r="C104" s="11" t="s">
        <v>35</v>
      </c>
      <c r="D104" s="28" t="n">
        <v>550410</v>
      </c>
      <c r="E104" s="4" t="s">
        <v>186</v>
      </c>
      <c r="F104" s="4" t="s">
        <v>114</v>
      </c>
      <c r="G104" s="5" t="s">
        <v>86</v>
      </c>
      <c r="H104" s="6" t="n">
        <v>1197</v>
      </c>
      <c r="I104" s="6" t="n">
        <f aca="false">H104</f>
        <v>1197</v>
      </c>
      <c r="J104" s="6" t="n">
        <v>1000</v>
      </c>
      <c r="K104" s="4" t="s">
        <v>193</v>
      </c>
      <c r="L104" s="7" t="n">
        <v>44362</v>
      </c>
      <c r="M104" s="8" t="n">
        <v>48013</v>
      </c>
      <c r="N104" s="8"/>
      <c r="O104" s="8" t="n">
        <v>46197</v>
      </c>
      <c r="P104" s="8" t="n">
        <v>46197</v>
      </c>
      <c r="Q104" s="9" t="n">
        <v>80000</v>
      </c>
      <c r="R104" s="9" t="n">
        <f aca="false">Q104</f>
        <v>80000</v>
      </c>
      <c r="S104" s="9"/>
      <c r="T104" s="9" t="n">
        <v>80000</v>
      </c>
      <c r="U104" s="9" t="n">
        <f aca="false">T104</f>
        <v>80000</v>
      </c>
      <c r="V104" s="63" t="n">
        <v>80800</v>
      </c>
      <c r="W104" s="9" t="n">
        <f aca="false">V104</f>
        <v>80800</v>
      </c>
      <c r="X104" s="44" t="n">
        <f aca="false">T104/H104</f>
        <v>66.8337510442774</v>
      </c>
      <c r="Y104" s="9" t="s">
        <v>52</v>
      </c>
      <c r="Z104" s="40"/>
      <c r="AA104" s="62"/>
      <c r="AB104" s="5" t="s">
        <v>40</v>
      </c>
      <c r="AC104" s="4" t="s">
        <v>194</v>
      </c>
      <c r="AD104" s="15"/>
      <c r="AE104" s="4"/>
      <c r="AF104" s="57"/>
      <c r="AG104" s="4"/>
    </row>
    <row r="105" customFormat="false" ht="14.25" hidden="false" customHeight="true" outlineLevel="0" collapsed="false">
      <c r="A105" s="28"/>
      <c r="B105" s="11"/>
      <c r="C105" s="11" t="s">
        <v>35</v>
      </c>
      <c r="D105" s="28"/>
      <c r="E105" s="4"/>
      <c r="I105" s="9"/>
      <c r="J105" s="9"/>
      <c r="T105" s="9"/>
      <c r="U105" s="9"/>
      <c r="V105" s="63"/>
      <c r="W105" s="9"/>
      <c r="X105" s="9"/>
      <c r="Y105" s="9"/>
      <c r="Z105" s="40"/>
      <c r="AA105" s="62"/>
      <c r="AB105" s="5"/>
      <c r="AF105" s="57"/>
    </row>
    <row r="106" customFormat="false" ht="14.25" hidden="false" customHeight="true" outlineLevel="0" collapsed="false">
      <c r="A106" s="28"/>
      <c r="B106" s="11"/>
      <c r="C106" s="11" t="s">
        <v>35</v>
      </c>
      <c r="D106" s="28"/>
      <c r="E106" s="4"/>
      <c r="F106" s="45" t="s">
        <v>195</v>
      </c>
      <c r="G106" s="74"/>
      <c r="H106" s="41" t="n">
        <f aca="false">SUM(H101:H104)</f>
        <v>17920</v>
      </c>
      <c r="I106" s="42"/>
      <c r="J106" s="42"/>
      <c r="Q106" s="42" t="n">
        <f aca="false">SUM(Q101:Q105)</f>
        <v>705000</v>
      </c>
      <c r="R106" s="42"/>
      <c r="S106" s="42" t="n">
        <f aca="false">SUM(R101:R105)</f>
        <v>705000</v>
      </c>
      <c r="T106" s="42" t="n">
        <f aca="false">SUM(T101:T105)</f>
        <v>1172000</v>
      </c>
      <c r="U106" s="42"/>
      <c r="V106" s="43" t="n">
        <f aca="false">SUM(V101:V105)</f>
        <v>1097500</v>
      </c>
      <c r="W106" s="42"/>
      <c r="X106" s="42"/>
      <c r="Y106" s="42"/>
      <c r="Z106" s="64"/>
      <c r="AA106" s="60" t="n">
        <v>18800000</v>
      </c>
      <c r="AB106" s="5"/>
      <c r="AE106" s="58"/>
      <c r="AF106" s="59"/>
      <c r="AG106" s="58"/>
    </row>
    <row r="107" customFormat="false" ht="14.25" hidden="false" customHeight="true" outlineLevel="0" collapsed="false">
      <c r="A107" s="28"/>
      <c r="B107" s="11"/>
      <c r="C107" s="11" t="s">
        <v>35</v>
      </c>
      <c r="D107" s="28"/>
      <c r="E107" s="4"/>
      <c r="G107" s="74"/>
      <c r="H107" s="41"/>
      <c r="I107" s="42"/>
      <c r="J107" s="42"/>
      <c r="Q107" s="42"/>
      <c r="R107" s="42"/>
      <c r="S107" s="42"/>
      <c r="T107" s="42"/>
      <c r="U107" s="42"/>
      <c r="V107" s="43"/>
      <c r="W107" s="42"/>
      <c r="X107" s="42"/>
      <c r="Y107" s="42"/>
      <c r="Z107" s="64"/>
      <c r="AA107" s="62"/>
      <c r="AB107" s="5"/>
      <c r="AF107" s="57"/>
    </row>
    <row r="108" customFormat="false" ht="14.25" hidden="false" customHeight="true" outlineLevel="0" collapsed="false">
      <c r="A108" s="28"/>
      <c r="B108" s="11"/>
      <c r="C108" s="11" t="s">
        <v>35</v>
      </c>
      <c r="D108" s="28"/>
      <c r="E108" s="4"/>
      <c r="G108" s="38" t="s">
        <v>196</v>
      </c>
      <c r="I108" s="9"/>
      <c r="J108" s="9"/>
      <c r="K108" s="39"/>
      <c r="T108" s="11"/>
      <c r="U108" s="9"/>
      <c r="W108" s="9"/>
      <c r="X108" s="9"/>
      <c r="Y108" s="9"/>
      <c r="Z108" s="40"/>
      <c r="AB108" s="5"/>
      <c r="AF108" s="57"/>
    </row>
    <row r="109" customFormat="false" ht="14.25" hidden="false" customHeight="true" outlineLevel="0" collapsed="false">
      <c r="A109" s="28"/>
      <c r="B109" s="11"/>
      <c r="C109" s="11" t="s">
        <v>35</v>
      </c>
      <c r="D109" s="28"/>
      <c r="E109" s="4"/>
      <c r="G109" s="38"/>
      <c r="I109" s="9"/>
      <c r="J109" s="9"/>
      <c r="T109" s="9"/>
      <c r="U109" s="9"/>
      <c r="V109" s="63"/>
      <c r="W109" s="9"/>
      <c r="X109" s="9"/>
      <c r="Y109" s="9"/>
      <c r="Z109" s="40"/>
      <c r="AB109" s="5"/>
      <c r="AF109" s="57"/>
    </row>
    <row r="110" customFormat="false" ht="13.5" hidden="false" customHeight="true" outlineLevel="0" collapsed="false">
      <c r="A110" s="28"/>
      <c r="B110" s="11" t="s">
        <v>102</v>
      </c>
      <c r="C110" s="11" t="s">
        <v>35</v>
      </c>
      <c r="D110" s="28" t="n">
        <v>550795</v>
      </c>
      <c r="E110" s="4" t="s">
        <v>196</v>
      </c>
      <c r="F110" s="4" t="s">
        <v>177</v>
      </c>
      <c r="G110" s="5" t="s">
        <v>197</v>
      </c>
      <c r="H110" s="6" t="n">
        <v>1330</v>
      </c>
      <c r="I110" s="6" t="n">
        <f aca="false">H110</f>
        <v>1330</v>
      </c>
      <c r="K110" s="4" t="s">
        <v>77</v>
      </c>
      <c r="N110" s="8" t="n">
        <v>43670</v>
      </c>
      <c r="Q110" s="9" t="n">
        <v>0</v>
      </c>
      <c r="R110" s="9" t="n">
        <f aca="false">Q110</f>
        <v>0</v>
      </c>
      <c r="T110" s="9" t="n">
        <v>25000</v>
      </c>
      <c r="U110" s="9" t="n">
        <f aca="false">T110</f>
        <v>25000</v>
      </c>
      <c r="V110" s="63" t="n">
        <v>25000</v>
      </c>
      <c r="W110" s="9" t="n">
        <f aca="false">V110</f>
        <v>25000</v>
      </c>
      <c r="X110" s="44" t="n">
        <f aca="false">T110/H110</f>
        <v>18.796992481203</v>
      </c>
      <c r="Y110" s="9" t="s">
        <v>57</v>
      </c>
      <c r="Z110" s="40"/>
      <c r="AB110" s="5" t="s">
        <v>40</v>
      </c>
      <c r="AF110" s="57"/>
    </row>
    <row r="111" customFormat="false" ht="13.5" hidden="false" customHeight="true" outlineLevel="0" collapsed="false">
      <c r="A111" s="28"/>
      <c r="B111" s="11" t="s">
        <v>102</v>
      </c>
      <c r="C111" s="11" t="s">
        <v>35</v>
      </c>
      <c r="D111" s="28" t="n">
        <v>550795</v>
      </c>
      <c r="E111" s="4" t="s">
        <v>196</v>
      </c>
      <c r="F111" s="4" t="s">
        <v>198</v>
      </c>
      <c r="G111" s="5" t="s">
        <v>46</v>
      </c>
      <c r="H111" s="6" t="n">
        <v>260</v>
      </c>
      <c r="I111" s="6" t="n">
        <f aca="false">H111</f>
        <v>260</v>
      </c>
      <c r="J111" s="6" t="n">
        <v>250</v>
      </c>
      <c r="K111" s="4" t="s">
        <v>199</v>
      </c>
      <c r="L111" s="7" t="n">
        <v>45645</v>
      </c>
      <c r="M111" s="8" t="n">
        <v>46739</v>
      </c>
      <c r="Q111" s="9" t="n">
        <v>18000</v>
      </c>
      <c r="R111" s="9" t="n">
        <f aca="false">Q111</f>
        <v>18000</v>
      </c>
      <c r="T111" s="9" t="n">
        <v>11700</v>
      </c>
      <c r="U111" s="9" t="n">
        <f aca="false">T111</f>
        <v>11700</v>
      </c>
      <c r="V111" s="63" t="n">
        <v>18000</v>
      </c>
      <c r="W111" s="9" t="n">
        <f aca="false">V111</f>
        <v>18000</v>
      </c>
      <c r="X111" s="44" t="n">
        <f aca="false">T111/H111</f>
        <v>45</v>
      </c>
      <c r="Y111" s="9" t="s">
        <v>39</v>
      </c>
      <c r="Z111" s="40"/>
      <c r="AB111" s="5" t="s">
        <v>40</v>
      </c>
      <c r="AF111" s="57" t="n">
        <v>1</v>
      </c>
      <c r="AG111" s="4" t="s">
        <v>200</v>
      </c>
    </row>
    <row r="112" customFormat="false" ht="14.25" hidden="false" customHeight="true" outlineLevel="0" collapsed="false">
      <c r="A112" s="28"/>
      <c r="B112" s="11" t="s">
        <v>102</v>
      </c>
      <c r="C112" s="11" t="s">
        <v>35</v>
      </c>
      <c r="D112" s="28" t="n">
        <v>550795</v>
      </c>
      <c r="E112" s="4" t="s">
        <v>196</v>
      </c>
      <c r="F112" s="4" t="s">
        <v>201</v>
      </c>
      <c r="G112" s="5" t="s">
        <v>46</v>
      </c>
      <c r="H112" s="6" t="n">
        <v>652</v>
      </c>
      <c r="I112" s="6" t="n">
        <f aca="false">H112</f>
        <v>652</v>
      </c>
      <c r="J112" s="6" t="n">
        <v>750</v>
      </c>
      <c r="K112" s="4" t="s">
        <v>202</v>
      </c>
      <c r="L112" s="7" t="n">
        <v>44851</v>
      </c>
      <c r="M112" s="8" t="n">
        <v>48503</v>
      </c>
      <c r="O112" s="8" t="n">
        <v>46677</v>
      </c>
      <c r="Q112" s="9" t="n">
        <v>55000</v>
      </c>
      <c r="R112" s="9" t="n">
        <f aca="false">Q112</f>
        <v>55000</v>
      </c>
      <c r="T112" s="9" t="n">
        <v>55000</v>
      </c>
      <c r="U112" s="9" t="n">
        <f aca="false">T112</f>
        <v>55000</v>
      </c>
      <c r="V112" s="63" t="n">
        <v>55000</v>
      </c>
      <c r="W112" s="9" t="n">
        <f aca="false">V112</f>
        <v>55000</v>
      </c>
      <c r="X112" s="44" t="n">
        <f aca="false">T112/H112</f>
        <v>84.3558282208589</v>
      </c>
      <c r="Y112" s="9" t="s">
        <v>57</v>
      </c>
      <c r="Z112" s="40"/>
      <c r="AB112" s="5" t="s">
        <v>40</v>
      </c>
      <c r="AF112" s="57"/>
    </row>
    <row r="113" customFormat="false" ht="13.5" hidden="false" customHeight="true" outlineLevel="0" collapsed="false">
      <c r="A113" s="28"/>
      <c r="B113" s="11" t="s">
        <v>102</v>
      </c>
      <c r="C113" s="11" t="s">
        <v>35</v>
      </c>
      <c r="D113" s="28" t="n">
        <v>550795</v>
      </c>
      <c r="E113" s="4" t="s">
        <v>196</v>
      </c>
      <c r="F113" s="4" t="s">
        <v>203</v>
      </c>
      <c r="G113" s="5" t="s">
        <v>86</v>
      </c>
      <c r="H113" s="6" t="n">
        <v>558</v>
      </c>
      <c r="I113" s="6" t="n">
        <f aca="false">H113</f>
        <v>558</v>
      </c>
      <c r="J113" s="6" t="n">
        <v>500</v>
      </c>
      <c r="K113" s="4" t="s">
        <v>204</v>
      </c>
      <c r="L113" s="7" t="n">
        <v>45114</v>
      </c>
      <c r="M113" s="8" t="n">
        <v>46940</v>
      </c>
      <c r="P113" s="8" t="n">
        <v>46209</v>
      </c>
      <c r="Q113" s="9" t="n">
        <v>32400</v>
      </c>
      <c r="R113" s="9" t="n">
        <f aca="false">Q113</f>
        <v>32400</v>
      </c>
      <c r="T113" s="9" t="n">
        <v>29300</v>
      </c>
      <c r="U113" s="9" t="n">
        <f aca="false">T113</f>
        <v>29300</v>
      </c>
      <c r="V113" s="63" t="n">
        <v>29300</v>
      </c>
      <c r="W113" s="9" t="n">
        <f aca="false">V113</f>
        <v>29300</v>
      </c>
      <c r="X113" s="44" t="n">
        <f aca="false">T113/H113</f>
        <v>52.5089605734767</v>
      </c>
      <c r="Y113" s="9" t="s">
        <v>39</v>
      </c>
      <c r="Z113" s="40"/>
      <c r="AB113" s="5" t="s">
        <v>40</v>
      </c>
      <c r="AC113" s="4" t="s">
        <v>73</v>
      </c>
      <c r="AF113" s="57"/>
    </row>
    <row r="114" customFormat="false" ht="13.5" hidden="false" customHeight="true" outlineLevel="0" collapsed="false">
      <c r="A114" s="28"/>
      <c r="B114" s="11" t="s">
        <v>102</v>
      </c>
      <c r="C114" s="11" t="s">
        <v>35</v>
      </c>
      <c r="D114" s="28" t="n">
        <v>550795</v>
      </c>
      <c r="E114" s="4" t="s">
        <v>196</v>
      </c>
      <c r="F114" s="4" t="s">
        <v>205</v>
      </c>
      <c r="G114" s="5" t="s">
        <v>86</v>
      </c>
      <c r="H114" s="6" t="n">
        <v>310</v>
      </c>
      <c r="I114" s="6" t="n">
        <f aca="false">H114</f>
        <v>310</v>
      </c>
      <c r="J114" s="6" t="n">
        <v>250</v>
      </c>
      <c r="K114" s="4" t="s">
        <v>206</v>
      </c>
      <c r="L114" s="7" t="n">
        <v>45869</v>
      </c>
      <c r="M114" s="8" t="n">
        <v>47694</v>
      </c>
      <c r="P114" s="8" t="n">
        <v>46964</v>
      </c>
      <c r="Q114" s="9" t="n">
        <v>15500</v>
      </c>
      <c r="R114" s="9" t="n">
        <f aca="false">Q114</f>
        <v>15500</v>
      </c>
      <c r="T114" s="9" t="n">
        <v>15500</v>
      </c>
      <c r="U114" s="9" t="n">
        <f aca="false">T114</f>
        <v>15500</v>
      </c>
      <c r="V114" s="63" t="n">
        <v>15500</v>
      </c>
      <c r="W114" s="9" t="n">
        <f aca="false">V114</f>
        <v>15500</v>
      </c>
      <c r="X114" s="44" t="n">
        <f aca="false">T114/H114</f>
        <v>50</v>
      </c>
      <c r="Y114" s="9" t="s">
        <v>39</v>
      </c>
      <c r="Z114" s="40"/>
      <c r="AB114" s="5" t="s">
        <v>40</v>
      </c>
      <c r="AC114" s="4" t="s">
        <v>73</v>
      </c>
      <c r="AF114" s="57"/>
    </row>
    <row r="115" customFormat="false" ht="23.25" hidden="false" customHeight="true" outlineLevel="0" collapsed="false">
      <c r="A115" s="28"/>
      <c r="B115" s="11" t="s">
        <v>102</v>
      </c>
      <c r="C115" s="11" t="s">
        <v>35</v>
      </c>
      <c r="D115" s="28" t="n">
        <v>550795</v>
      </c>
      <c r="E115" s="4" t="s">
        <v>196</v>
      </c>
      <c r="F115" s="4" t="s">
        <v>207</v>
      </c>
      <c r="G115" s="5" t="s">
        <v>86</v>
      </c>
      <c r="H115" s="6" t="n">
        <v>455</v>
      </c>
      <c r="I115" s="6" t="n">
        <f aca="false">H115</f>
        <v>455</v>
      </c>
      <c r="J115" s="6" t="n">
        <v>500</v>
      </c>
      <c r="K115" s="4" t="s">
        <v>208</v>
      </c>
      <c r="L115" s="7" t="n">
        <v>44505</v>
      </c>
      <c r="M115" s="8" t="n">
        <v>45965</v>
      </c>
      <c r="Q115" s="9" t="n">
        <v>22800</v>
      </c>
      <c r="R115" s="9" t="n">
        <f aca="false">Q115</f>
        <v>22800</v>
      </c>
      <c r="T115" s="9" t="n">
        <v>22800</v>
      </c>
      <c r="U115" s="9" t="n">
        <f aca="false">T115</f>
        <v>22800</v>
      </c>
      <c r="V115" s="63" t="n">
        <v>22800</v>
      </c>
      <c r="W115" s="9" t="n">
        <f aca="false">V115</f>
        <v>22800</v>
      </c>
      <c r="X115" s="44" t="n">
        <f aca="false">T115/H115</f>
        <v>50.1098901098901</v>
      </c>
      <c r="Y115" s="9" t="s">
        <v>123</v>
      </c>
      <c r="Z115" s="40"/>
      <c r="AB115" s="5" t="s">
        <v>40</v>
      </c>
      <c r="AC115" s="4" t="s">
        <v>209</v>
      </c>
      <c r="AF115" s="57"/>
    </row>
    <row r="116" customFormat="false" ht="13.5" hidden="false" customHeight="true" outlineLevel="0" collapsed="false">
      <c r="A116" s="28"/>
      <c r="B116" s="11" t="s">
        <v>102</v>
      </c>
      <c r="C116" s="11" t="s">
        <v>35</v>
      </c>
      <c r="D116" s="28" t="n">
        <v>550795</v>
      </c>
      <c r="E116" s="4" t="s">
        <v>196</v>
      </c>
      <c r="F116" s="4" t="s">
        <v>210</v>
      </c>
      <c r="G116" s="5" t="s">
        <v>86</v>
      </c>
      <c r="H116" s="6" t="n">
        <v>310</v>
      </c>
      <c r="I116" s="6" t="n">
        <f aca="false">H116</f>
        <v>310</v>
      </c>
      <c r="J116" s="6" t="n">
        <v>250</v>
      </c>
      <c r="K116" s="4" t="s">
        <v>211</v>
      </c>
      <c r="L116" s="7" t="n">
        <v>45869</v>
      </c>
      <c r="M116" s="8" t="n">
        <v>47694</v>
      </c>
      <c r="P116" s="8" t="n">
        <v>46964</v>
      </c>
      <c r="Q116" s="9" t="n">
        <v>15500</v>
      </c>
      <c r="R116" s="9" t="n">
        <f aca="false">Q116</f>
        <v>15500</v>
      </c>
      <c r="T116" s="9" t="n">
        <v>15500</v>
      </c>
      <c r="U116" s="9" t="n">
        <f aca="false">T116</f>
        <v>15500</v>
      </c>
      <c r="V116" s="63" t="n">
        <v>15500</v>
      </c>
      <c r="W116" s="9" t="n">
        <f aca="false">V116</f>
        <v>15500</v>
      </c>
      <c r="X116" s="44" t="n">
        <f aca="false">T116/H116</f>
        <v>50</v>
      </c>
      <c r="Y116" s="9" t="s">
        <v>123</v>
      </c>
      <c r="Z116" s="40"/>
      <c r="AB116" s="5" t="s">
        <v>40</v>
      </c>
      <c r="AC116" s="4" t="s">
        <v>73</v>
      </c>
      <c r="AF116" s="57"/>
    </row>
    <row r="117" customFormat="false" ht="13.5" hidden="false" customHeight="true" outlineLevel="0" collapsed="false">
      <c r="A117" s="28"/>
      <c r="B117" s="11" t="s">
        <v>102</v>
      </c>
      <c r="C117" s="11" t="s">
        <v>35</v>
      </c>
      <c r="D117" s="28" t="n">
        <v>550795</v>
      </c>
      <c r="E117" s="4" t="s">
        <v>196</v>
      </c>
      <c r="F117" s="4" t="s">
        <v>212</v>
      </c>
      <c r="G117" s="5" t="s">
        <v>86</v>
      </c>
      <c r="H117" s="6" t="n">
        <v>450</v>
      </c>
      <c r="I117" s="6" t="n">
        <f aca="false">H117</f>
        <v>450</v>
      </c>
      <c r="J117" s="6" t="n">
        <v>500</v>
      </c>
      <c r="K117" s="4" t="s">
        <v>208</v>
      </c>
      <c r="L117" s="7" t="n">
        <v>45199</v>
      </c>
      <c r="M117" s="8" t="n">
        <v>47025</v>
      </c>
      <c r="P117" s="8" t="n">
        <v>46294</v>
      </c>
      <c r="Q117" s="9" t="n">
        <v>24750</v>
      </c>
      <c r="R117" s="9" t="n">
        <f aca="false">Q117</f>
        <v>24750</v>
      </c>
      <c r="T117" s="9" t="n">
        <v>22838</v>
      </c>
      <c r="U117" s="9" t="n">
        <f aca="false">T117</f>
        <v>22838</v>
      </c>
      <c r="V117" s="63" t="n">
        <v>23400</v>
      </c>
      <c r="W117" s="9" t="n">
        <f aca="false">V117</f>
        <v>23400</v>
      </c>
      <c r="X117" s="44" t="n">
        <f aca="false">T117/H117</f>
        <v>50.7511111111111</v>
      </c>
      <c r="Y117" s="9" t="s">
        <v>123</v>
      </c>
      <c r="Z117" s="40"/>
      <c r="AB117" s="5" t="s">
        <v>40</v>
      </c>
      <c r="AC117" s="4" t="s">
        <v>213</v>
      </c>
      <c r="AF117" s="57"/>
    </row>
    <row r="118" customFormat="false" ht="13.5" hidden="false" customHeight="true" outlineLevel="0" collapsed="false">
      <c r="A118" s="28"/>
      <c r="B118" s="11" t="s">
        <v>102</v>
      </c>
      <c r="C118" s="11" t="s">
        <v>35</v>
      </c>
      <c r="D118" s="28" t="n">
        <v>550795</v>
      </c>
      <c r="E118" s="4" t="s">
        <v>196</v>
      </c>
      <c r="F118" s="4" t="s">
        <v>214</v>
      </c>
      <c r="G118" s="5" t="s">
        <v>86</v>
      </c>
      <c r="H118" s="6" t="n">
        <v>215</v>
      </c>
      <c r="I118" s="6" t="n">
        <f aca="false">H118</f>
        <v>215</v>
      </c>
      <c r="J118" s="6" t="n">
        <v>250</v>
      </c>
      <c r="K118" s="4" t="s">
        <v>206</v>
      </c>
      <c r="L118" s="7" t="n">
        <v>45869</v>
      </c>
      <c r="M118" s="8" t="n">
        <v>47694</v>
      </c>
      <c r="P118" s="8" t="n">
        <v>46964</v>
      </c>
      <c r="Q118" s="9" t="n">
        <v>11502</v>
      </c>
      <c r="R118" s="9" t="n">
        <f aca="false">Q118</f>
        <v>11502</v>
      </c>
      <c r="T118" s="9" t="n">
        <v>10200</v>
      </c>
      <c r="U118" s="9" t="n">
        <f aca="false">T118</f>
        <v>10200</v>
      </c>
      <c r="V118" s="63" t="n">
        <v>11400</v>
      </c>
      <c r="W118" s="9" t="n">
        <f aca="false">V118</f>
        <v>11400</v>
      </c>
      <c r="X118" s="44" t="n">
        <f aca="false">T118/H118</f>
        <v>47.4418604651163</v>
      </c>
      <c r="Y118" s="9" t="s">
        <v>123</v>
      </c>
      <c r="Z118" s="40"/>
      <c r="AB118" s="5" t="s">
        <v>40</v>
      </c>
      <c r="AC118" s="4" t="s">
        <v>73</v>
      </c>
      <c r="AF118" s="57"/>
    </row>
    <row r="119" customFormat="false" ht="13.5" hidden="false" customHeight="true" outlineLevel="0" collapsed="false">
      <c r="A119" s="28"/>
      <c r="B119" s="11" t="s">
        <v>102</v>
      </c>
      <c r="C119" s="11" t="s">
        <v>35</v>
      </c>
      <c r="D119" s="28" t="n">
        <v>550795</v>
      </c>
      <c r="E119" s="4" t="s">
        <v>196</v>
      </c>
      <c r="F119" s="4" t="s">
        <v>114</v>
      </c>
      <c r="G119" s="5" t="s">
        <v>86</v>
      </c>
      <c r="H119" s="6" t="n">
        <v>410</v>
      </c>
      <c r="I119" s="6" t="n">
        <f aca="false">H119</f>
        <v>410</v>
      </c>
      <c r="J119" s="6" t="n">
        <v>500</v>
      </c>
      <c r="K119" s="4" t="s">
        <v>208</v>
      </c>
      <c r="L119" s="7" t="n">
        <v>45199</v>
      </c>
      <c r="M119" s="8" t="n">
        <v>47025</v>
      </c>
      <c r="P119" s="8" t="n">
        <v>46294</v>
      </c>
      <c r="Q119" s="9" t="n">
        <v>22550</v>
      </c>
      <c r="R119" s="9" t="n">
        <f aca="false">Q119</f>
        <v>22550</v>
      </c>
      <c r="T119" s="9" t="n">
        <v>21100</v>
      </c>
      <c r="U119" s="9" t="n">
        <f aca="false">T119</f>
        <v>21100</v>
      </c>
      <c r="V119" s="63" t="n">
        <v>21700</v>
      </c>
      <c r="W119" s="9" t="n">
        <f aca="false">V119</f>
        <v>21700</v>
      </c>
      <c r="X119" s="44" t="n">
        <f aca="false">T119/H119</f>
        <v>51.4634146341463</v>
      </c>
      <c r="Y119" s="9" t="s">
        <v>57</v>
      </c>
      <c r="Z119" s="40"/>
      <c r="AB119" s="5" t="s">
        <v>40</v>
      </c>
      <c r="AC119" s="4" t="s">
        <v>215</v>
      </c>
      <c r="AF119" s="57"/>
    </row>
    <row r="120" customFormat="false" ht="14.25" hidden="false" customHeight="true" outlineLevel="0" collapsed="false">
      <c r="A120" s="28"/>
      <c r="B120" s="11"/>
      <c r="C120" s="11" t="s">
        <v>35</v>
      </c>
      <c r="D120" s="28"/>
      <c r="E120" s="4"/>
      <c r="I120" s="9"/>
      <c r="J120" s="9"/>
      <c r="T120" s="9"/>
      <c r="U120" s="9"/>
      <c r="V120" s="63"/>
      <c r="W120" s="9"/>
      <c r="X120" s="9"/>
      <c r="Y120" s="9"/>
      <c r="Z120" s="40"/>
      <c r="AB120" s="5"/>
      <c r="AF120" s="57"/>
    </row>
    <row r="121" customFormat="false" ht="14.25" hidden="false" customHeight="true" outlineLevel="0" collapsed="false">
      <c r="A121" s="28"/>
      <c r="B121" s="11"/>
      <c r="C121" s="11" t="s">
        <v>35</v>
      </c>
      <c r="D121" s="28"/>
      <c r="E121" s="4"/>
      <c r="F121" s="45" t="s">
        <v>196</v>
      </c>
      <c r="H121" s="41" t="n">
        <f aca="false">SUM(H110:H119)</f>
        <v>4950</v>
      </c>
      <c r="I121" s="42"/>
      <c r="J121" s="42"/>
      <c r="Q121" s="42" t="n">
        <f aca="false">SUM(Q110:Q119)</f>
        <v>218002</v>
      </c>
      <c r="R121" s="42"/>
      <c r="S121" s="42" t="n">
        <f aca="false">SUM(R109:R120)</f>
        <v>218002</v>
      </c>
      <c r="T121" s="42" t="n">
        <f aca="false">SUM(T110:T119)</f>
        <v>228938</v>
      </c>
      <c r="U121" s="42"/>
      <c r="V121" s="43" t="n">
        <f aca="false">SUM(V110:V119)</f>
        <v>237600</v>
      </c>
      <c r="W121" s="42"/>
      <c r="X121" s="42"/>
      <c r="Y121" s="42"/>
      <c r="Z121" s="64"/>
      <c r="AA121" s="60" t="n">
        <v>3425000</v>
      </c>
      <c r="AB121" s="5"/>
      <c r="AF121" s="57"/>
    </row>
    <row r="122" customFormat="false" ht="14.25" hidden="false" customHeight="true" outlineLevel="0" collapsed="false">
      <c r="A122" s="28"/>
      <c r="B122" s="11"/>
      <c r="C122" s="11" t="s">
        <v>35</v>
      </c>
      <c r="D122" s="28"/>
      <c r="E122" s="4"/>
      <c r="H122" s="41"/>
      <c r="I122" s="42"/>
      <c r="J122" s="42"/>
      <c r="Q122" s="42"/>
      <c r="R122" s="42"/>
      <c r="S122" s="42"/>
      <c r="T122" s="42"/>
      <c r="U122" s="42"/>
      <c r="V122" s="43"/>
      <c r="W122" s="42"/>
      <c r="X122" s="42"/>
      <c r="Y122" s="42"/>
      <c r="Z122" s="64"/>
      <c r="AA122" s="62"/>
      <c r="AB122" s="5"/>
      <c r="AF122" s="57"/>
    </row>
    <row r="123" customFormat="false" ht="14.25" hidden="false" customHeight="true" outlineLevel="0" collapsed="false">
      <c r="A123" s="28"/>
      <c r="B123" s="11"/>
      <c r="C123" s="11" t="s">
        <v>35</v>
      </c>
      <c r="D123" s="28"/>
      <c r="E123" s="4"/>
      <c r="G123" s="38" t="s">
        <v>216</v>
      </c>
      <c r="I123" s="9"/>
      <c r="J123" s="9"/>
      <c r="K123" s="39"/>
      <c r="T123" s="11"/>
      <c r="U123" s="9"/>
      <c r="W123" s="9"/>
      <c r="X123" s="9"/>
      <c r="Y123" s="9"/>
      <c r="Z123" s="40"/>
      <c r="AB123" s="5"/>
      <c r="AF123" s="57"/>
    </row>
    <row r="124" customFormat="false" ht="14.25" hidden="false" customHeight="true" outlineLevel="0" collapsed="false">
      <c r="A124" s="28"/>
      <c r="B124" s="11"/>
      <c r="C124" s="11" t="s">
        <v>35</v>
      </c>
      <c r="D124" s="28"/>
      <c r="E124" s="4"/>
      <c r="G124" s="38"/>
      <c r="I124" s="9"/>
      <c r="J124" s="9"/>
      <c r="L124" s="8"/>
      <c r="T124" s="9"/>
      <c r="U124" s="9"/>
      <c r="V124" s="63"/>
      <c r="W124" s="9"/>
      <c r="X124" s="9"/>
      <c r="Y124" s="9"/>
      <c r="Z124" s="40"/>
      <c r="AB124" s="5"/>
      <c r="AF124" s="57"/>
    </row>
    <row r="125" customFormat="false" ht="23.25" hidden="false" customHeight="true" outlineLevel="0" collapsed="false">
      <c r="A125" s="28"/>
      <c r="B125" s="11" t="s">
        <v>102</v>
      </c>
      <c r="C125" s="11" t="s">
        <v>35</v>
      </c>
      <c r="D125" s="28" t="n">
        <v>550080</v>
      </c>
      <c r="E125" s="4" t="s">
        <v>216</v>
      </c>
      <c r="F125" s="4" t="s">
        <v>108</v>
      </c>
      <c r="G125" s="5" t="s">
        <v>130</v>
      </c>
      <c r="H125" s="6" t="n">
        <v>3626</v>
      </c>
      <c r="I125" s="6" t="n">
        <f aca="false">H125</f>
        <v>3626</v>
      </c>
      <c r="J125" s="6" t="n">
        <v>3500</v>
      </c>
      <c r="K125" s="4" t="s">
        <v>217</v>
      </c>
      <c r="L125" s="7" t="n">
        <v>44635</v>
      </c>
      <c r="M125" s="8" t="n">
        <v>48287</v>
      </c>
      <c r="O125" s="8" t="n">
        <v>46461</v>
      </c>
      <c r="P125" s="8" t="n">
        <v>46460</v>
      </c>
      <c r="Q125" s="9" t="n">
        <v>220000</v>
      </c>
      <c r="R125" s="9" t="n">
        <f aca="false">Q125</f>
        <v>220000</v>
      </c>
      <c r="T125" s="9" t="n">
        <v>210000</v>
      </c>
      <c r="U125" s="9" t="n">
        <f aca="false">T125</f>
        <v>210000</v>
      </c>
      <c r="V125" s="63" t="n">
        <v>237500</v>
      </c>
      <c r="W125" s="9" t="n">
        <f aca="false">V125</f>
        <v>237500</v>
      </c>
      <c r="X125" s="44" t="n">
        <f aca="false">T125/H125</f>
        <v>57.9150579150579</v>
      </c>
      <c r="Y125" s="9" t="s">
        <v>57</v>
      </c>
      <c r="Z125" s="40"/>
      <c r="AB125" s="5" t="s">
        <v>40</v>
      </c>
      <c r="AC125" s="4" t="s">
        <v>218</v>
      </c>
      <c r="AF125" s="57"/>
    </row>
    <row r="126" customFormat="false" ht="14.25" hidden="false" customHeight="true" outlineLevel="0" collapsed="false">
      <c r="A126" s="28"/>
      <c r="B126" s="11" t="s">
        <v>102</v>
      </c>
      <c r="C126" s="11" t="s">
        <v>35</v>
      </c>
      <c r="D126" s="28" t="n">
        <v>550080</v>
      </c>
      <c r="E126" s="4" t="s">
        <v>216</v>
      </c>
      <c r="F126" s="4" t="s">
        <v>85</v>
      </c>
      <c r="G126" s="5" t="s">
        <v>219</v>
      </c>
      <c r="H126" s="6" t="n">
        <v>1493</v>
      </c>
      <c r="I126" s="6" t="n">
        <f aca="false">H126</f>
        <v>1493</v>
      </c>
      <c r="J126" s="6" t="n">
        <v>1500</v>
      </c>
      <c r="K126" s="4" t="s">
        <v>63</v>
      </c>
      <c r="N126" s="8" t="n">
        <v>43279</v>
      </c>
      <c r="Q126" s="9" t="n">
        <v>0</v>
      </c>
      <c r="R126" s="9" t="n">
        <f aca="false">Q126</f>
        <v>0</v>
      </c>
      <c r="T126" s="9" t="n">
        <v>86600</v>
      </c>
      <c r="U126" s="9" t="n">
        <f aca="false">T126</f>
        <v>86600</v>
      </c>
      <c r="V126" s="63" t="n">
        <v>93300</v>
      </c>
      <c r="W126" s="9" t="n">
        <f aca="false">V126</f>
        <v>93300</v>
      </c>
      <c r="X126" s="44" t="n">
        <f aca="false">T126/H126</f>
        <v>58.0040187541862</v>
      </c>
      <c r="Y126" s="9" t="s">
        <v>57</v>
      </c>
      <c r="Z126" s="40"/>
      <c r="AB126" s="5" t="s">
        <v>40</v>
      </c>
      <c r="AC126" s="4" t="s">
        <v>220</v>
      </c>
      <c r="AE126" s="58"/>
      <c r="AF126" s="59"/>
      <c r="AG126" s="58"/>
    </row>
    <row r="127" customFormat="false" ht="14.25" hidden="false" customHeight="true" outlineLevel="0" collapsed="false">
      <c r="A127" s="28"/>
      <c r="B127" s="11" t="s">
        <v>102</v>
      </c>
      <c r="C127" s="11" t="s">
        <v>35</v>
      </c>
      <c r="D127" s="28" t="n">
        <v>550080</v>
      </c>
      <c r="E127" s="4" t="s">
        <v>216</v>
      </c>
      <c r="F127" s="4" t="s">
        <v>89</v>
      </c>
      <c r="G127" s="5" t="s">
        <v>37</v>
      </c>
      <c r="H127" s="6" t="n">
        <v>1503</v>
      </c>
      <c r="I127" s="6" t="n">
        <f aca="false">H127</f>
        <v>1503</v>
      </c>
      <c r="J127" s="6" t="n">
        <v>1500</v>
      </c>
      <c r="K127" s="4" t="s">
        <v>63</v>
      </c>
      <c r="N127" s="8" t="n">
        <v>43354</v>
      </c>
      <c r="Q127" s="9" t="n">
        <v>0</v>
      </c>
      <c r="R127" s="9" t="n">
        <f aca="false">Q127</f>
        <v>0</v>
      </c>
      <c r="T127" s="9" t="n">
        <v>88100</v>
      </c>
      <c r="U127" s="9" t="n">
        <f aca="false">T127</f>
        <v>88100</v>
      </c>
      <c r="V127" s="63" t="n">
        <v>93900</v>
      </c>
      <c r="W127" s="9" t="n">
        <f aca="false">V127</f>
        <v>93900</v>
      </c>
      <c r="X127" s="44" t="n">
        <f aca="false">T127/H127</f>
        <v>58.6161011310712</v>
      </c>
      <c r="Y127" s="9" t="s">
        <v>57</v>
      </c>
      <c r="Z127" s="40"/>
      <c r="AB127" s="5" t="s">
        <v>40</v>
      </c>
      <c r="AC127" s="4" t="s">
        <v>220</v>
      </c>
      <c r="AE127" s="58"/>
      <c r="AF127" s="59"/>
      <c r="AG127" s="58"/>
    </row>
    <row r="128" customFormat="false" ht="22.5" hidden="false" customHeight="true" outlineLevel="0" collapsed="false">
      <c r="A128" s="28"/>
      <c r="B128" s="11" t="s">
        <v>102</v>
      </c>
      <c r="C128" s="11" t="s">
        <v>35</v>
      </c>
      <c r="D128" s="28" t="n">
        <v>550080</v>
      </c>
      <c r="E128" s="4" t="s">
        <v>216</v>
      </c>
      <c r="F128" s="4" t="s">
        <v>90</v>
      </c>
      <c r="G128" s="5" t="s">
        <v>37</v>
      </c>
      <c r="H128" s="6" t="n">
        <v>1519</v>
      </c>
      <c r="I128" s="6" t="n">
        <f aca="false">H128</f>
        <v>1519</v>
      </c>
      <c r="J128" s="6" t="n">
        <v>1500</v>
      </c>
      <c r="K128" s="4" t="s">
        <v>63</v>
      </c>
      <c r="N128" s="8" t="n">
        <v>43354</v>
      </c>
      <c r="Q128" s="9" t="n">
        <v>0</v>
      </c>
      <c r="R128" s="9" t="n">
        <f aca="false">Q128</f>
        <v>0</v>
      </c>
      <c r="T128" s="9" t="n">
        <v>83100</v>
      </c>
      <c r="U128" s="9" t="n">
        <f aca="false">T128</f>
        <v>83100</v>
      </c>
      <c r="V128" s="63" t="n">
        <v>91100</v>
      </c>
      <c r="W128" s="9" t="n">
        <f aca="false">V128</f>
        <v>91100</v>
      </c>
      <c r="X128" s="44" t="n">
        <f aca="false">T128/H128</f>
        <v>54.7070441079658</v>
      </c>
      <c r="Y128" s="9" t="s">
        <v>57</v>
      </c>
      <c r="Z128" s="40"/>
      <c r="AB128" s="5" t="s">
        <v>40</v>
      </c>
      <c r="AC128" s="4" t="s">
        <v>220</v>
      </c>
      <c r="AE128" s="58"/>
      <c r="AF128" s="59"/>
      <c r="AG128" s="58"/>
    </row>
    <row r="129" customFormat="false" ht="14.25" hidden="false" customHeight="true" outlineLevel="0" collapsed="false">
      <c r="A129" s="28"/>
      <c r="B129" s="11" t="s">
        <v>102</v>
      </c>
      <c r="C129" s="11" t="s">
        <v>35</v>
      </c>
      <c r="D129" s="28" t="n">
        <v>550080</v>
      </c>
      <c r="E129" s="4" t="s">
        <v>216</v>
      </c>
      <c r="F129" s="4" t="s">
        <v>114</v>
      </c>
      <c r="G129" s="5" t="s">
        <v>37</v>
      </c>
      <c r="H129" s="6" t="n">
        <v>1505</v>
      </c>
      <c r="I129" s="6" t="n">
        <f aca="false">H129</f>
        <v>1505</v>
      </c>
      <c r="J129" s="6" t="n">
        <v>1500</v>
      </c>
      <c r="K129" s="4" t="s">
        <v>63</v>
      </c>
      <c r="N129" s="8" t="n">
        <v>43354</v>
      </c>
      <c r="Q129" s="9" t="n">
        <v>0</v>
      </c>
      <c r="R129" s="9" t="n">
        <f aca="false">Q129</f>
        <v>0</v>
      </c>
      <c r="T129" s="9" t="n">
        <v>83800</v>
      </c>
      <c r="U129" s="9" t="n">
        <f aca="false">T129</f>
        <v>83800</v>
      </c>
      <c r="V129" s="63" t="n">
        <v>90300</v>
      </c>
      <c r="W129" s="9" t="n">
        <f aca="false">V129</f>
        <v>90300</v>
      </c>
      <c r="X129" s="44" t="n">
        <f aca="false">T129/H129</f>
        <v>55.6810631229236</v>
      </c>
      <c r="Y129" s="9" t="s">
        <v>57</v>
      </c>
      <c r="Z129" s="40"/>
      <c r="AB129" s="5" t="s">
        <v>40</v>
      </c>
      <c r="AC129" s="4" t="s">
        <v>220</v>
      </c>
      <c r="AE129" s="58"/>
      <c r="AF129" s="59"/>
      <c r="AG129" s="58"/>
    </row>
    <row r="130" customFormat="false" ht="14.25" hidden="false" customHeight="true" outlineLevel="0" collapsed="false">
      <c r="A130" s="28"/>
      <c r="B130" s="11"/>
      <c r="C130" s="11" t="s">
        <v>35</v>
      </c>
      <c r="D130" s="28"/>
      <c r="E130" s="4"/>
      <c r="T130" s="9"/>
      <c r="U130" s="9"/>
      <c r="V130" s="63"/>
      <c r="W130" s="9"/>
      <c r="X130" s="9"/>
      <c r="Y130" s="9"/>
      <c r="Z130" s="40"/>
      <c r="AB130" s="5"/>
      <c r="AF130" s="57"/>
    </row>
    <row r="131" customFormat="false" ht="14.25" hidden="false" customHeight="true" outlineLevel="0" collapsed="false">
      <c r="A131" s="28"/>
      <c r="B131" s="11"/>
      <c r="C131" s="11" t="s">
        <v>35</v>
      </c>
      <c r="D131" s="28"/>
      <c r="E131" s="4"/>
      <c r="F131" s="45" t="s">
        <v>221</v>
      </c>
      <c r="H131" s="41" t="n">
        <f aca="false">SUM(H125:H129)</f>
        <v>9646</v>
      </c>
      <c r="I131" s="42"/>
      <c r="J131" s="42"/>
      <c r="Q131" s="42" t="n">
        <f aca="false">SUM(Q125:Q129)</f>
        <v>220000</v>
      </c>
      <c r="R131" s="42"/>
      <c r="S131" s="42" t="n">
        <f aca="false">SUM(R124:R129)</f>
        <v>220000</v>
      </c>
      <c r="T131" s="42" t="n">
        <f aca="false">SUM(T125:T129)</f>
        <v>551600</v>
      </c>
      <c r="U131" s="42"/>
      <c r="V131" s="43" t="n">
        <f aca="false">SUM(V125:V129)</f>
        <v>606100</v>
      </c>
      <c r="W131" s="42"/>
      <c r="X131" s="42"/>
      <c r="Y131" s="42"/>
      <c r="Z131" s="64"/>
      <c r="AA131" s="60" t="n">
        <v>8750000</v>
      </c>
      <c r="AB131" s="5"/>
      <c r="AE131" s="58"/>
      <c r="AF131" s="59"/>
      <c r="AG131" s="58"/>
    </row>
    <row r="132" customFormat="false" ht="14.25" hidden="false" customHeight="true" outlineLevel="0" collapsed="false">
      <c r="A132" s="28"/>
      <c r="B132" s="11"/>
      <c r="C132" s="11" t="s">
        <v>35</v>
      </c>
      <c r="D132" s="28"/>
      <c r="E132" s="4"/>
      <c r="H132" s="41"/>
      <c r="I132" s="42"/>
      <c r="J132" s="42"/>
      <c r="Q132" s="42"/>
      <c r="R132" s="42"/>
      <c r="S132" s="42"/>
      <c r="T132" s="42"/>
      <c r="U132" s="42"/>
      <c r="V132" s="43"/>
      <c r="W132" s="42"/>
      <c r="X132" s="42"/>
      <c r="Y132" s="42"/>
      <c r="Z132" s="64"/>
      <c r="AA132" s="62"/>
      <c r="AB132" s="5"/>
      <c r="AF132" s="57"/>
    </row>
    <row r="133" customFormat="false" ht="14.25" hidden="false" customHeight="true" outlineLevel="0" collapsed="false">
      <c r="A133" s="28"/>
      <c r="B133" s="11"/>
      <c r="C133" s="11" t="s">
        <v>35</v>
      </c>
      <c r="D133" s="28"/>
      <c r="E133" s="4"/>
      <c r="G133" s="38" t="s">
        <v>222</v>
      </c>
      <c r="I133" s="9"/>
      <c r="J133" s="9"/>
      <c r="K133" s="39"/>
      <c r="T133" s="11"/>
      <c r="U133" s="9"/>
      <c r="W133" s="9"/>
      <c r="X133" s="9"/>
      <c r="Y133" s="9"/>
      <c r="Z133" s="40"/>
      <c r="AB133" s="5"/>
      <c r="AF133" s="57"/>
    </row>
    <row r="134" customFormat="false" ht="14.25" hidden="false" customHeight="true" outlineLevel="0" collapsed="false">
      <c r="A134" s="28"/>
      <c r="B134" s="11"/>
      <c r="C134" s="11" t="s">
        <v>35</v>
      </c>
      <c r="D134" s="28"/>
      <c r="E134" s="4"/>
      <c r="G134" s="38"/>
      <c r="H134" s="72"/>
      <c r="I134" s="9"/>
      <c r="J134" s="9"/>
      <c r="K134" s="75"/>
      <c r="L134" s="76"/>
      <c r="T134" s="11"/>
      <c r="U134" s="9"/>
      <c r="W134" s="9"/>
      <c r="X134" s="9"/>
      <c r="Y134" s="9"/>
      <c r="Z134" s="40"/>
      <c r="AB134" s="5"/>
      <c r="AF134" s="57"/>
    </row>
    <row r="135" customFormat="false" ht="28.5" hidden="false" customHeight="true" outlineLevel="0" collapsed="false">
      <c r="A135" s="28"/>
      <c r="B135" s="11" t="s">
        <v>185</v>
      </c>
      <c r="C135" s="11" t="s">
        <v>35</v>
      </c>
      <c r="D135" s="28" t="n">
        <v>550400</v>
      </c>
      <c r="E135" s="4" t="s">
        <v>222</v>
      </c>
      <c r="F135" s="4" t="s">
        <v>108</v>
      </c>
      <c r="G135" s="5" t="s">
        <v>223</v>
      </c>
      <c r="H135" s="6" t="n">
        <v>2164</v>
      </c>
      <c r="I135" s="6" t="n">
        <f aca="false">H135</f>
        <v>2164</v>
      </c>
      <c r="J135" s="6" t="n">
        <v>2000</v>
      </c>
      <c r="K135" s="4" t="s">
        <v>224</v>
      </c>
      <c r="L135" s="7" t="n">
        <v>44995</v>
      </c>
      <c r="M135" s="8" t="n">
        <v>48647</v>
      </c>
      <c r="O135" s="8" t="n">
        <v>46822</v>
      </c>
      <c r="Q135" s="9" t="n">
        <v>165000</v>
      </c>
      <c r="R135" s="9" t="n">
        <f aca="false">Q135</f>
        <v>165000</v>
      </c>
      <c r="T135" s="9" t="n">
        <v>165000</v>
      </c>
      <c r="U135" s="9" t="n">
        <f aca="false">T135</f>
        <v>165000</v>
      </c>
      <c r="V135" s="63" t="n">
        <v>165000</v>
      </c>
      <c r="W135" s="9" t="n">
        <f aca="false">V135</f>
        <v>165000</v>
      </c>
      <c r="X135" s="44" t="n">
        <f aca="false">T135/H135</f>
        <v>76.2476894639556</v>
      </c>
      <c r="Y135" s="9" t="s">
        <v>57</v>
      </c>
      <c r="Z135" s="40"/>
      <c r="AB135" s="5" t="s">
        <v>40</v>
      </c>
      <c r="AF135" s="57"/>
    </row>
    <row r="136" customFormat="false" ht="28.5" hidden="false" customHeight="true" outlineLevel="0" collapsed="false">
      <c r="A136" s="28"/>
      <c r="B136" s="11" t="s">
        <v>185</v>
      </c>
      <c r="C136" s="11" t="s">
        <v>35</v>
      </c>
      <c r="D136" s="28" t="n">
        <v>550400</v>
      </c>
      <c r="E136" s="4" t="s">
        <v>222</v>
      </c>
      <c r="F136" s="68" t="s">
        <v>225</v>
      </c>
      <c r="G136" s="5" t="s">
        <v>37</v>
      </c>
      <c r="H136" s="6" t="n">
        <v>3545</v>
      </c>
      <c r="I136" s="6" t="n">
        <f aca="false">H136</f>
        <v>3545</v>
      </c>
      <c r="J136" s="6" t="n">
        <v>3500</v>
      </c>
      <c r="K136" s="4" t="s">
        <v>193</v>
      </c>
      <c r="L136" s="7" t="n">
        <v>44362</v>
      </c>
      <c r="M136" s="8" t="n">
        <v>48013</v>
      </c>
      <c r="O136" s="8" t="n">
        <v>46197</v>
      </c>
      <c r="P136" s="8" t="n">
        <v>46197</v>
      </c>
      <c r="Q136" s="9" t="n">
        <v>220000</v>
      </c>
      <c r="R136" s="9" t="n">
        <f aca="false">Q136</f>
        <v>220000</v>
      </c>
      <c r="T136" s="9" t="n">
        <v>220000</v>
      </c>
      <c r="U136" s="9" t="n">
        <f aca="false">T136</f>
        <v>220000</v>
      </c>
      <c r="V136" s="63" t="n">
        <v>220000</v>
      </c>
      <c r="W136" s="9" t="n">
        <f aca="false">V136</f>
        <v>220000</v>
      </c>
      <c r="X136" s="44" t="n">
        <f aca="false">T136/H136</f>
        <v>62.0592383638928</v>
      </c>
      <c r="Y136" s="9" t="s">
        <v>39</v>
      </c>
      <c r="Z136" s="40"/>
      <c r="AB136" s="5" t="s">
        <v>40</v>
      </c>
      <c r="AC136" s="4" t="s">
        <v>73</v>
      </c>
      <c r="AF136" s="57"/>
    </row>
    <row r="137" customFormat="false" ht="14.25" hidden="false" customHeight="true" outlineLevel="0" collapsed="false">
      <c r="A137" s="28"/>
      <c r="B137" s="11"/>
      <c r="C137" s="11" t="s">
        <v>35</v>
      </c>
      <c r="D137" s="28"/>
      <c r="E137" s="4"/>
      <c r="T137" s="9"/>
      <c r="U137" s="9"/>
      <c r="V137" s="63"/>
      <c r="W137" s="9"/>
      <c r="X137" s="9"/>
      <c r="Y137" s="9"/>
      <c r="Z137" s="40"/>
      <c r="AB137" s="5"/>
      <c r="AF137" s="57"/>
    </row>
    <row r="138" customFormat="false" ht="14.25" hidden="false" customHeight="true" outlineLevel="0" collapsed="false">
      <c r="A138" s="28"/>
      <c r="B138" s="11"/>
      <c r="C138" s="11" t="s">
        <v>35</v>
      </c>
      <c r="D138" s="28"/>
      <c r="E138" s="4"/>
      <c r="F138" s="45" t="s">
        <v>226</v>
      </c>
      <c r="H138" s="41" t="n">
        <f aca="false">SUM(H135:H136)</f>
        <v>5709</v>
      </c>
      <c r="I138" s="42"/>
      <c r="J138" s="42"/>
      <c r="Q138" s="42" t="n">
        <f aca="false">SUM(Q135:Q136)</f>
        <v>385000</v>
      </c>
      <c r="R138" s="42"/>
      <c r="S138" s="42" t="n">
        <f aca="false">SUM(R134:R137)</f>
        <v>385000</v>
      </c>
      <c r="T138" s="42" t="n">
        <f aca="false">SUM(T135:T136)</f>
        <v>385000</v>
      </c>
      <c r="U138" s="42"/>
      <c r="V138" s="43" t="n">
        <f aca="false">SUM(V135:V136)</f>
        <v>385000</v>
      </c>
      <c r="W138" s="42"/>
      <c r="X138" s="42"/>
      <c r="Y138" s="42"/>
      <c r="Z138" s="64"/>
      <c r="AA138" s="60" t="n">
        <v>6575000</v>
      </c>
      <c r="AB138" s="5"/>
      <c r="AF138" s="57"/>
    </row>
    <row r="139" customFormat="false" ht="14.25" hidden="false" customHeight="true" outlineLevel="0" collapsed="false">
      <c r="A139" s="28"/>
      <c r="B139" s="11"/>
      <c r="C139" s="11" t="s">
        <v>35</v>
      </c>
      <c r="D139" s="28"/>
      <c r="E139" s="4"/>
      <c r="F139" s="45"/>
      <c r="H139" s="41"/>
      <c r="I139" s="42"/>
      <c r="J139" s="42"/>
      <c r="Q139" s="42"/>
      <c r="R139" s="42"/>
      <c r="S139" s="42"/>
      <c r="T139" s="42"/>
      <c r="U139" s="42"/>
      <c r="V139" s="43"/>
      <c r="W139" s="42"/>
      <c r="X139" s="42"/>
      <c r="Y139" s="42"/>
      <c r="Z139" s="64"/>
      <c r="AA139" s="62"/>
      <c r="AB139" s="5"/>
      <c r="AF139" s="57"/>
    </row>
    <row r="140" customFormat="false" ht="14.25" hidden="false" customHeight="true" outlineLevel="0" collapsed="false">
      <c r="A140" s="28"/>
      <c r="B140" s="11"/>
      <c r="C140" s="11" t="s">
        <v>35</v>
      </c>
      <c r="D140" s="28"/>
      <c r="E140" s="4"/>
      <c r="G140" s="38" t="s">
        <v>227</v>
      </c>
      <c r="I140" s="9"/>
      <c r="J140" s="9"/>
      <c r="K140" s="39"/>
      <c r="T140" s="11"/>
      <c r="U140" s="9"/>
      <c r="W140" s="9"/>
      <c r="X140" s="9"/>
      <c r="Y140" s="9"/>
      <c r="Z140" s="40"/>
      <c r="AB140" s="5"/>
      <c r="AF140" s="57"/>
    </row>
    <row r="141" customFormat="false" ht="14.25" hidden="false" customHeight="true" outlineLevel="0" collapsed="false">
      <c r="A141" s="28"/>
      <c r="B141" s="11"/>
      <c r="C141" s="11" t="s">
        <v>35</v>
      </c>
      <c r="D141" s="28"/>
      <c r="E141" s="4"/>
      <c r="G141" s="77"/>
      <c r="H141" s="72"/>
      <c r="I141" s="9"/>
      <c r="J141" s="9"/>
      <c r="M141" s="76"/>
      <c r="N141" s="76"/>
      <c r="T141" s="9"/>
      <c r="U141" s="9"/>
      <c r="V141" s="63"/>
      <c r="W141" s="9"/>
      <c r="X141" s="9"/>
      <c r="Y141" s="9"/>
      <c r="Z141" s="40"/>
      <c r="AB141" s="5"/>
      <c r="AF141" s="57"/>
    </row>
    <row r="142" customFormat="false" ht="17.25" hidden="false" customHeight="true" outlineLevel="0" collapsed="false">
      <c r="A142" s="28"/>
      <c r="B142" s="11" t="s">
        <v>228</v>
      </c>
      <c r="C142" s="11" t="s">
        <v>35</v>
      </c>
      <c r="D142" s="28" t="n">
        <v>550740</v>
      </c>
      <c r="E142" s="4" t="s">
        <v>227</v>
      </c>
      <c r="F142" s="4" t="s">
        <v>108</v>
      </c>
      <c r="G142" s="5" t="s">
        <v>229</v>
      </c>
      <c r="H142" s="6" t="n">
        <v>1524</v>
      </c>
      <c r="I142" s="6" t="n">
        <f aca="false">H142</f>
        <v>1524</v>
      </c>
      <c r="J142" s="6" t="n">
        <v>1500</v>
      </c>
      <c r="K142" s="4" t="s">
        <v>230</v>
      </c>
      <c r="L142" s="7" t="n">
        <v>44833</v>
      </c>
      <c r="M142" s="8" t="n">
        <v>45928</v>
      </c>
      <c r="Q142" s="9" t="n">
        <v>72000</v>
      </c>
      <c r="R142" s="9" t="n">
        <f aca="false">Q142</f>
        <v>72000</v>
      </c>
      <c r="T142" s="9" t="n">
        <v>72000</v>
      </c>
      <c r="U142" s="9" t="n">
        <f aca="false">T142</f>
        <v>72000</v>
      </c>
      <c r="V142" s="63" t="n">
        <v>72038</v>
      </c>
      <c r="W142" s="9" t="n">
        <f aca="false">V142</f>
        <v>72038</v>
      </c>
      <c r="X142" s="44" t="n">
        <f aca="false">T142/H142</f>
        <v>47.244094488189</v>
      </c>
      <c r="Y142" s="9" t="s">
        <v>57</v>
      </c>
      <c r="Z142" s="40"/>
      <c r="AB142" s="5" t="s">
        <v>40</v>
      </c>
      <c r="AC142" s="58" t="s">
        <v>231</v>
      </c>
      <c r="AF142" s="57"/>
    </row>
    <row r="143" customFormat="false" ht="14.25" hidden="false" customHeight="true" outlineLevel="0" collapsed="false">
      <c r="A143" s="28"/>
      <c r="B143" s="11" t="s">
        <v>228</v>
      </c>
      <c r="C143" s="11" t="s">
        <v>35</v>
      </c>
      <c r="D143" s="28" t="n">
        <v>550740</v>
      </c>
      <c r="E143" s="4" t="s">
        <v>227</v>
      </c>
      <c r="F143" s="4" t="s">
        <v>85</v>
      </c>
      <c r="G143" s="5" t="s">
        <v>37</v>
      </c>
      <c r="H143" s="6" t="n">
        <v>730</v>
      </c>
      <c r="I143" s="6" t="n">
        <f aca="false">H143</f>
        <v>730</v>
      </c>
      <c r="J143" s="6" t="n">
        <v>750</v>
      </c>
      <c r="K143" s="4" t="s">
        <v>232</v>
      </c>
      <c r="L143" s="7" t="n">
        <v>45271</v>
      </c>
      <c r="M143" s="8" t="n">
        <v>46561</v>
      </c>
      <c r="Q143" s="9" t="n">
        <v>42705</v>
      </c>
      <c r="R143" s="9" t="n">
        <f aca="false">Q143</f>
        <v>42705</v>
      </c>
      <c r="T143" s="9" t="n">
        <v>42000</v>
      </c>
      <c r="U143" s="9" t="n">
        <f aca="false">T143</f>
        <v>42000</v>
      </c>
      <c r="V143" s="63" t="n">
        <v>41975</v>
      </c>
      <c r="W143" s="9" t="n">
        <f aca="false">V143</f>
        <v>41975</v>
      </c>
      <c r="X143" s="44" t="n">
        <f aca="false">T143/H143</f>
        <v>57.5342465753425</v>
      </c>
      <c r="Y143" s="9" t="s">
        <v>57</v>
      </c>
      <c r="Z143" s="40"/>
      <c r="AB143" s="5" t="s">
        <v>40</v>
      </c>
      <c r="AF143" s="57"/>
    </row>
    <row r="144" customFormat="false" ht="13.5" hidden="false" customHeight="true" outlineLevel="0" collapsed="false">
      <c r="A144" s="28"/>
      <c r="B144" s="11" t="s">
        <v>228</v>
      </c>
      <c r="C144" s="11" t="s">
        <v>35</v>
      </c>
      <c r="D144" s="28" t="n">
        <v>550740</v>
      </c>
      <c r="E144" s="4" t="s">
        <v>227</v>
      </c>
      <c r="F144" s="4" t="s">
        <v>89</v>
      </c>
      <c r="G144" s="5" t="s">
        <v>37</v>
      </c>
      <c r="H144" s="6" t="n">
        <v>730</v>
      </c>
      <c r="I144" s="6" t="n">
        <f aca="false">H144</f>
        <v>730</v>
      </c>
      <c r="J144" s="6" t="n">
        <v>750</v>
      </c>
      <c r="K144" s="4" t="s">
        <v>233</v>
      </c>
      <c r="L144" s="7" t="n">
        <v>44833</v>
      </c>
      <c r="M144" s="8" t="n">
        <v>46658</v>
      </c>
      <c r="Q144" s="9" t="n">
        <v>42000</v>
      </c>
      <c r="R144" s="9" t="n">
        <f aca="false">Q144</f>
        <v>42000</v>
      </c>
      <c r="T144" s="9" t="n">
        <v>42000</v>
      </c>
      <c r="U144" s="9" t="n">
        <f aca="false">T144</f>
        <v>42000</v>
      </c>
      <c r="V144" s="63" t="n">
        <v>41975</v>
      </c>
      <c r="W144" s="9" t="n">
        <f aca="false">V144</f>
        <v>41975</v>
      </c>
      <c r="X144" s="44" t="n">
        <f aca="false">T144/H144</f>
        <v>57.5342465753425</v>
      </c>
      <c r="Y144" s="9" t="s">
        <v>57</v>
      </c>
      <c r="Z144" s="40"/>
      <c r="AB144" s="5" t="s">
        <v>40</v>
      </c>
      <c r="AF144" s="57"/>
    </row>
    <row r="145" customFormat="false" ht="19.5" hidden="false" customHeight="true" outlineLevel="0" collapsed="false">
      <c r="A145" s="28"/>
      <c r="B145" s="11" t="s">
        <v>228</v>
      </c>
      <c r="C145" s="11" t="s">
        <v>35</v>
      </c>
      <c r="D145" s="28" t="n">
        <v>550740</v>
      </c>
      <c r="E145" s="4" t="s">
        <v>227</v>
      </c>
      <c r="F145" s="4" t="s">
        <v>90</v>
      </c>
      <c r="G145" s="5" t="s">
        <v>37</v>
      </c>
      <c r="H145" s="6" t="n">
        <v>730</v>
      </c>
      <c r="I145" s="6" t="n">
        <f aca="false">H145</f>
        <v>730</v>
      </c>
      <c r="J145" s="6" t="n">
        <v>750</v>
      </c>
      <c r="K145" s="4" t="s">
        <v>232</v>
      </c>
      <c r="L145" s="7" t="n">
        <v>45271</v>
      </c>
      <c r="M145" s="8" t="n">
        <v>46561</v>
      </c>
      <c r="Q145" s="9" t="n">
        <v>42705</v>
      </c>
      <c r="R145" s="9" t="n">
        <f aca="false">Q145</f>
        <v>42705</v>
      </c>
      <c r="T145" s="9" t="n">
        <v>42000</v>
      </c>
      <c r="U145" s="9" t="n">
        <f aca="false">T145</f>
        <v>42000</v>
      </c>
      <c r="V145" s="63" t="n">
        <v>41975</v>
      </c>
      <c r="W145" s="9" t="n">
        <f aca="false">V145</f>
        <v>41975</v>
      </c>
      <c r="X145" s="44" t="n">
        <f aca="false">T145/H145</f>
        <v>57.5342465753425</v>
      </c>
      <c r="Y145" s="9" t="s">
        <v>57</v>
      </c>
      <c r="Z145" s="40"/>
      <c r="AB145" s="5" t="s">
        <v>40</v>
      </c>
      <c r="AF145" s="57"/>
    </row>
    <row r="146" customFormat="false" ht="13.5" hidden="false" customHeight="true" outlineLevel="0" collapsed="false">
      <c r="A146" s="28"/>
      <c r="B146" s="11" t="s">
        <v>228</v>
      </c>
      <c r="C146" s="11" t="s">
        <v>35</v>
      </c>
      <c r="D146" s="28" t="n">
        <v>550740</v>
      </c>
      <c r="E146" s="4" t="s">
        <v>227</v>
      </c>
      <c r="F146" s="4" t="s">
        <v>234</v>
      </c>
      <c r="G146" s="5" t="s">
        <v>235</v>
      </c>
      <c r="H146" s="6" t="n">
        <v>1180</v>
      </c>
      <c r="I146" s="6" t="n">
        <f aca="false">H146</f>
        <v>1180</v>
      </c>
      <c r="J146" s="6" t="n">
        <v>1000</v>
      </c>
      <c r="K146" s="58" t="s">
        <v>236</v>
      </c>
      <c r="L146" s="78" t="n">
        <v>45845</v>
      </c>
      <c r="M146" s="79" t="n">
        <v>45997</v>
      </c>
      <c r="N146" s="79"/>
      <c r="O146" s="79"/>
      <c r="P146" s="79"/>
      <c r="Q146" s="63" t="n">
        <v>66000</v>
      </c>
      <c r="R146" s="9" t="n">
        <f aca="false">Q146</f>
        <v>66000</v>
      </c>
      <c r="T146" s="9" t="n">
        <v>61360</v>
      </c>
      <c r="U146" s="9" t="n">
        <f aca="false">T146</f>
        <v>61360</v>
      </c>
      <c r="V146" s="63" t="n">
        <v>63177</v>
      </c>
      <c r="W146" s="9" t="n">
        <f aca="false">V146</f>
        <v>63177</v>
      </c>
      <c r="X146" s="44" t="n">
        <f aca="false">T146/H146</f>
        <v>52</v>
      </c>
      <c r="Y146" s="9" t="s">
        <v>39</v>
      </c>
      <c r="Z146" s="40"/>
      <c r="AB146" s="5" t="s">
        <v>40</v>
      </c>
      <c r="AC146" s="58" t="s">
        <v>237</v>
      </c>
      <c r="AF146" s="57"/>
    </row>
    <row r="147" customFormat="false" ht="14.25" hidden="false" customHeight="true" outlineLevel="0" collapsed="false">
      <c r="A147" s="28"/>
      <c r="B147" s="11"/>
      <c r="C147" s="11" t="s">
        <v>35</v>
      </c>
      <c r="D147" s="28"/>
      <c r="E147" s="4"/>
      <c r="T147" s="9"/>
      <c r="U147" s="9"/>
      <c r="V147" s="63"/>
      <c r="W147" s="9"/>
      <c r="X147" s="9"/>
      <c r="Y147" s="9"/>
      <c r="Z147" s="40"/>
      <c r="AB147" s="5"/>
      <c r="AF147" s="57"/>
    </row>
    <row r="148" customFormat="false" ht="14.25" hidden="false" customHeight="true" outlineLevel="0" collapsed="false">
      <c r="A148" s="28"/>
      <c r="B148" s="11"/>
      <c r="C148" s="11" t="s">
        <v>35</v>
      </c>
      <c r="D148" s="28"/>
      <c r="E148" s="4"/>
      <c r="F148" s="45" t="s">
        <v>238</v>
      </c>
      <c r="H148" s="41" t="n">
        <f aca="false">SUM(H142:H146)</f>
        <v>4894</v>
      </c>
      <c r="I148" s="42"/>
      <c r="J148" s="42"/>
      <c r="Q148" s="42" t="n">
        <f aca="false">SUM(Q142:Q146)</f>
        <v>265410</v>
      </c>
      <c r="R148" s="42"/>
      <c r="S148" s="42" t="n">
        <f aca="false">SUM(R141:R147)</f>
        <v>265410</v>
      </c>
      <c r="T148" s="42" t="n">
        <f aca="false">SUM(T142:T146)</f>
        <v>259360</v>
      </c>
      <c r="U148" s="42"/>
      <c r="V148" s="43" t="n">
        <f aca="false">SUM(V142:V146)</f>
        <v>261140</v>
      </c>
      <c r="W148" s="42"/>
      <c r="X148" s="42"/>
      <c r="Y148" s="42"/>
      <c r="Z148" s="64"/>
      <c r="AA148" s="60" t="n">
        <v>4025000</v>
      </c>
      <c r="AB148" s="5"/>
      <c r="AF148" s="57"/>
    </row>
    <row r="149" customFormat="false" ht="14.25" hidden="false" customHeight="true" outlineLevel="0" collapsed="false">
      <c r="A149" s="28"/>
      <c r="B149" s="11"/>
      <c r="C149" s="11" t="s">
        <v>35</v>
      </c>
      <c r="D149" s="28"/>
      <c r="E149" s="4"/>
      <c r="H149" s="41"/>
      <c r="I149" s="42"/>
      <c r="J149" s="42"/>
      <c r="Q149" s="42"/>
      <c r="R149" s="42"/>
      <c r="S149" s="42"/>
      <c r="T149" s="42"/>
      <c r="U149" s="42"/>
      <c r="V149" s="43"/>
      <c r="W149" s="42"/>
      <c r="X149" s="42"/>
      <c r="Y149" s="42"/>
      <c r="Z149" s="64"/>
      <c r="AA149" s="62"/>
      <c r="AB149" s="5"/>
      <c r="AF149" s="57"/>
    </row>
    <row r="150" customFormat="false" ht="14.25" hidden="false" customHeight="true" outlineLevel="0" collapsed="false">
      <c r="A150" s="28"/>
      <c r="B150" s="11"/>
      <c r="C150" s="11" t="s">
        <v>35</v>
      </c>
      <c r="D150" s="28"/>
      <c r="E150" s="4"/>
      <c r="G150" s="38" t="s">
        <v>239</v>
      </c>
      <c r="I150" s="9"/>
      <c r="J150" s="9"/>
      <c r="K150" s="39"/>
      <c r="T150" s="11"/>
      <c r="U150" s="9"/>
      <c r="W150" s="9"/>
      <c r="X150" s="9"/>
      <c r="Y150" s="9"/>
      <c r="Z150" s="40"/>
      <c r="AB150" s="5"/>
      <c r="AF150" s="57"/>
    </row>
    <row r="151" customFormat="false" ht="14.25" hidden="false" customHeight="true" outlineLevel="0" collapsed="false">
      <c r="A151" s="28"/>
      <c r="B151" s="11"/>
      <c r="C151" s="11" t="s">
        <v>35</v>
      </c>
      <c r="D151" s="28"/>
      <c r="E151" s="4"/>
      <c r="F151" s="80"/>
      <c r="G151" s="77"/>
      <c r="H151" s="81"/>
      <c r="I151" s="82"/>
      <c r="J151" s="82"/>
      <c r="K151" s="83"/>
      <c r="L151" s="76"/>
      <c r="M151" s="84"/>
      <c r="N151" s="84"/>
      <c r="O151" s="84"/>
      <c r="P151" s="84"/>
      <c r="Q151" s="82"/>
      <c r="R151" s="82"/>
      <c r="S151" s="82"/>
      <c r="T151" s="85"/>
      <c r="U151" s="82"/>
      <c r="V151" s="86"/>
      <c r="W151" s="82"/>
      <c r="X151" s="82"/>
      <c r="Y151" s="82"/>
      <c r="Z151" s="87"/>
      <c r="AA151" s="88"/>
      <c r="AB151" s="5"/>
      <c r="AC151" s="89"/>
      <c r="AD151" s="90"/>
      <c r="AE151" s="89"/>
      <c r="AF151" s="91"/>
      <c r="AG151" s="89"/>
    </row>
    <row r="152" customFormat="false" ht="22.5" hidden="false" customHeight="true" outlineLevel="0" collapsed="false">
      <c r="A152" s="28"/>
      <c r="B152" s="11" t="s">
        <v>185</v>
      </c>
      <c r="C152" s="11" t="s">
        <v>35</v>
      </c>
      <c r="D152" s="28" t="n">
        <v>550840</v>
      </c>
      <c r="E152" s="4" t="s">
        <v>239</v>
      </c>
      <c r="F152" s="4" t="s">
        <v>240</v>
      </c>
      <c r="G152" s="5" t="s">
        <v>86</v>
      </c>
      <c r="H152" s="41" t="n">
        <v>2313</v>
      </c>
      <c r="I152" s="9" t="n">
        <f aca="false">H152</f>
        <v>2313</v>
      </c>
      <c r="J152" s="9" t="n">
        <v>2250</v>
      </c>
      <c r="K152" s="4" t="s">
        <v>241</v>
      </c>
      <c r="L152" s="7" t="n">
        <v>42339</v>
      </c>
      <c r="M152" s="8" t="n">
        <v>45991</v>
      </c>
      <c r="O152" s="8" t="n">
        <v>44166</v>
      </c>
      <c r="Q152" s="42" t="n">
        <v>112000</v>
      </c>
      <c r="R152" s="9" t="n">
        <f aca="false">Q152</f>
        <v>112000</v>
      </c>
      <c r="S152" s="42" t="n">
        <f aca="false">R152</f>
        <v>112000</v>
      </c>
      <c r="T152" s="41" t="n">
        <v>106600</v>
      </c>
      <c r="U152" s="9" t="n">
        <f aca="false">T152</f>
        <v>106600</v>
      </c>
      <c r="V152" s="60" t="n">
        <v>102100</v>
      </c>
      <c r="W152" s="9" t="n">
        <f aca="false">V152</f>
        <v>102100</v>
      </c>
      <c r="X152" s="44" t="n">
        <f aca="false">T152/H152</f>
        <v>46.0873324686554</v>
      </c>
      <c r="Y152" s="9" t="s">
        <v>123</v>
      </c>
      <c r="Z152" s="40"/>
      <c r="AA152" s="60" t="n">
        <v>1375000</v>
      </c>
      <c r="AB152" s="5" t="s">
        <v>40</v>
      </c>
      <c r="AF152" s="57"/>
    </row>
    <row r="153" customFormat="false" ht="14.25" hidden="false" customHeight="true" outlineLevel="0" collapsed="false">
      <c r="A153" s="28"/>
      <c r="B153" s="11"/>
      <c r="C153" s="11" t="s">
        <v>35</v>
      </c>
      <c r="D153" s="28"/>
      <c r="E153" s="4"/>
      <c r="H153" s="41"/>
      <c r="I153" s="42"/>
      <c r="J153" s="42"/>
      <c r="Q153" s="42"/>
      <c r="R153" s="42"/>
      <c r="S153" s="42"/>
      <c r="T153" s="41"/>
      <c r="U153" s="42"/>
      <c r="V153" s="60"/>
      <c r="W153" s="42"/>
      <c r="X153" s="42"/>
      <c r="Y153" s="42"/>
      <c r="Z153" s="64"/>
      <c r="AA153" s="62"/>
      <c r="AB153" s="5"/>
      <c r="AF153" s="57"/>
    </row>
    <row r="154" customFormat="false" ht="14.25" hidden="false" customHeight="true" outlineLevel="0" collapsed="false">
      <c r="A154" s="28"/>
      <c r="B154" s="11"/>
      <c r="C154" s="11" t="s">
        <v>35</v>
      </c>
      <c r="D154" s="28"/>
      <c r="E154" s="4"/>
      <c r="G154" s="38" t="s">
        <v>242</v>
      </c>
      <c r="I154" s="9"/>
      <c r="J154" s="9"/>
      <c r="K154" s="39"/>
      <c r="T154" s="11"/>
      <c r="U154" s="9"/>
      <c r="W154" s="9"/>
      <c r="X154" s="9"/>
      <c r="Y154" s="9"/>
      <c r="Z154" s="40"/>
      <c r="AB154" s="5"/>
      <c r="AF154" s="57"/>
    </row>
    <row r="155" customFormat="false" ht="14.25" hidden="false" customHeight="true" outlineLevel="0" collapsed="false">
      <c r="A155" s="28"/>
      <c r="B155" s="11"/>
      <c r="C155" s="11" t="s">
        <v>35</v>
      </c>
      <c r="D155" s="28"/>
      <c r="E155" s="4"/>
      <c r="G155" s="38"/>
      <c r="I155" s="9"/>
      <c r="J155" s="9"/>
      <c r="K155" s="39"/>
      <c r="T155" s="11"/>
      <c r="U155" s="9"/>
      <c r="W155" s="9"/>
      <c r="X155" s="9"/>
      <c r="Y155" s="9"/>
      <c r="Z155" s="40"/>
      <c r="AB155" s="5"/>
      <c r="AF155" s="57"/>
    </row>
    <row r="156" customFormat="false" ht="13.5" hidden="false" customHeight="true" outlineLevel="0" collapsed="false">
      <c r="A156" s="28"/>
      <c r="B156" s="11" t="s">
        <v>228</v>
      </c>
      <c r="C156" s="11" t="s">
        <v>35</v>
      </c>
      <c r="D156" s="28" t="n">
        <v>550830</v>
      </c>
      <c r="E156" s="4" t="s">
        <v>242</v>
      </c>
      <c r="F156" s="4" t="s">
        <v>243</v>
      </c>
      <c r="G156" s="11" t="s">
        <v>244</v>
      </c>
      <c r="H156" s="6" t="n">
        <v>4259</v>
      </c>
      <c r="I156" s="6" t="n">
        <f aca="false">H156</f>
        <v>4259</v>
      </c>
      <c r="J156" s="6" t="n">
        <v>4250</v>
      </c>
      <c r="K156" s="4" t="s">
        <v>245</v>
      </c>
      <c r="L156" s="7" t="n">
        <v>44967</v>
      </c>
      <c r="M156" s="8" t="n">
        <v>48619</v>
      </c>
      <c r="O156" s="8" t="n">
        <v>46793</v>
      </c>
      <c r="P156" s="8" t="n">
        <v>46792</v>
      </c>
      <c r="Q156" s="9" t="n">
        <v>215000</v>
      </c>
      <c r="R156" s="9" t="n">
        <f aca="false">Q156</f>
        <v>215000</v>
      </c>
      <c r="T156" s="6" t="n">
        <v>215000</v>
      </c>
      <c r="U156" s="9" t="n">
        <f aca="false">T156</f>
        <v>215000</v>
      </c>
      <c r="V156" s="54" t="n">
        <v>215000</v>
      </c>
      <c r="W156" s="9" t="n">
        <f aca="false">V156</f>
        <v>215000</v>
      </c>
      <c r="X156" s="44" t="n">
        <f aca="false">T156/H156</f>
        <v>50.4813336463959</v>
      </c>
      <c r="Y156" s="9" t="s">
        <v>39</v>
      </c>
      <c r="Z156" s="55"/>
      <c r="AB156" s="5" t="s">
        <v>40</v>
      </c>
      <c r="AC156" s="4" t="s">
        <v>73</v>
      </c>
      <c r="AF156" s="57"/>
    </row>
    <row r="157" customFormat="false" ht="13.5" hidden="false" customHeight="true" outlineLevel="0" collapsed="false">
      <c r="A157" s="28"/>
      <c r="B157" s="11" t="s">
        <v>228</v>
      </c>
      <c r="C157" s="11" t="s">
        <v>35</v>
      </c>
      <c r="D157" s="28" t="n">
        <v>550830</v>
      </c>
      <c r="E157" s="4" t="s">
        <v>242</v>
      </c>
      <c r="F157" s="4" t="s">
        <v>85</v>
      </c>
      <c r="G157" s="11" t="s">
        <v>37</v>
      </c>
      <c r="H157" s="6" t="n">
        <v>1902</v>
      </c>
      <c r="I157" s="6" t="n">
        <f aca="false">H157</f>
        <v>1902</v>
      </c>
      <c r="J157" s="6" t="n">
        <v>2000</v>
      </c>
      <c r="K157" s="4" t="s">
        <v>245</v>
      </c>
      <c r="L157" s="7" t="n">
        <v>44967</v>
      </c>
      <c r="M157" s="8" t="n">
        <v>48619</v>
      </c>
      <c r="O157" s="8" t="n">
        <v>46793</v>
      </c>
      <c r="P157" s="8" t="n">
        <v>46792</v>
      </c>
      <c r="Q157" s="9" t="n">
        <v>109620</v>
      </c>
      <c r="R157" s="9" t="n">
        <f aca="false">Q157</f>
        <v>109620</v>
      </c>
      <c r="T157" s="6" t="n">
        <v>109620</v>
      </c>
      <c r="U157" s="9" t="n">
        <f aca="false">T157</f>
        <v>109620</v>
      </c>
      <c r="V157" s="54" t="n">
        <v>123600</v>
      </c>
      <c r="W157" s="9" t="n">
        <f aca="false">V157</f>
        <v>123600</v>
      </c>
      <c r="X157" s="44" t="n">
        <f aca="false">T157/H157</f>
        <v>57.6340694006309</v>
      </c>
      <c r="Y157" s="9" t="s">
        <v>39</v>
      </c>
      <c r="Z157" s="40"/>
      <c r="AB157" s="5" t="s">
        <v>40</v>
      </c>
      <c r="AC157" s="4" t="s">
        <v>73</v>
      </c>
      <c r="AF157" s="57"/>
    </row>
    <row r="158" customFormat="false" ht="14.25" hidden="false" customHeight="true" outlineLevel="0" collapsed="false">
      <c r="A158" s="28"/>
      <c r="B158" s="11" t="s">
        <v>228</v>
      </c>
      <c r="C158" s="11" t="s">
        <v>35</v>
      </c>
      <c r="D158" s="28" t="n">
        <v>550830</v>
      </c>
      <c r="E158" s="4" t="s">
        <v>242</v>
      </c>
      <c r="F158" s="4" t="s">
        <v>89</v>
      </c>
      <c r="G158" s="11" t="s">
        <v>37</v>
      </c>
      <c r="H158" s="6" t="n">
        <v>1440</v>
      </c>
      <c r="I158" s="6" t="n">
        <f aca="false">H158</f>
        <v>1440</v>
      </c>
      <c r="J158" s="6" t="n">
        <v>1500</v>
      </c>
      <c r="K158" s="4" t="s">
        <v>63</v>
      </c>
      <c r="N158" s="8" t="n">
        <v>44593</v>
      </c>
      <c r="Q158" s="9" t="n">
        <v>0</v>
      </c>
      <c r="R158" s="9" t="n">
        <f aca="false">Q158</f>
        <v>0</v>
      </c>
      <c r="T158" s="6" t="n">
        <v>79800</v>
      </c>
      <c r="U158" s="9" t="n">
        <f aca="false">T158</f>
        <v>79800</v>
      </c>
      <c r="V158" s="54" t="n">
        <v>93600</v>
      </c>
      <c r="W158" s="9" t="n">
        <f aca="false">V158</f>
        <v>93600</v>
      </c>
      <c r="X158" s="44" t="n">
        <f aca="false">T158/H158</f>
        <v>55.4166666666667</v>
      </c>
      <c r="Y158" s="9" t="s">
        <v>57</v>
      </c>
      <c r="Z158" s="40"/>
      <c r="AB158" s="5" t="s">
        <v>40</v>
      </c>
      <c r="AC158" s="58" t="s">
        <v>246</v>
      </c>
      <c r="AF158" s="57"/>
    </row>
    <row r="159" customFormat="false" ht="14.25" hidden="false" customHeight="true" outlineLevel="0" collapsed="false">
      <c r="A159" s="28"/>
      <c r="B159" s="11" t="s">
        <v>228</v>
      </c>
      <c r="C159" s="11" t="s">
        <v>35</v>
      </c>
      <c r="D159" s="28" t="n">
        <v>550830</v>
      </c>
      <c r="E159" s="4" t="s">
        <v>242</v>
      </c>
      <c r="F159" s="4" t="s">
        <v>90</v>
      </c>
      <c r="G159" s="11" t="s">
        <v>37</v>
      </c>
      <c r="H159" s="6" t="n">
        <v>1433</v>
      </c>
      <c r="I159" s="6" t="n">
        <f aca="false">H159</f>
        <v>1433</v>
      </c>
      <c r="J159" s="6" t="n">
        <v>1500</v>
      </c>
      <c r="K159" s="4" t="s">
        <v>63</v>
      </c>
      <c r="N159" s="8" t="n">
        <v>43313</v>
      </c>
      <c r="Q159" s="9" t="n">
        <v>0</v>
      </c>
      <c r="R159" s="9" t="n">
        <f aca="false">Q159</f>
        <v>0</v>
      </c>
      <c r="T159" s="6" t="n">
        <v>79750</v>
      </c>
      <c r="U159" s="9" t="n">
        <f aca="false">T159</f>
        <v>79750</v>
      </c>
      <c r="V159" s="54" t="n">
        <v>93100</v>
      </c>
      <c r="W159" s="9" t="n">
        <f aca="false">V159</f>
        <v>93100</v>
      </c>
      <c r="X159" s="44" t="n">
        <f aca="false">T159/H159</f>
        <v>55.6524773203071</v>
      </c>
      <c r="Y159" s="9" t="s">
        <v>57</v>
      </c>
      <c r="Z159" s="40"/>
      <c r="AB159" s="5" t="s">
        <v>40</v>
      </c>
      <c r="AC159" s="58" t="s">
        <v>246</v>
      </c>
      <c r="AF159" s="57"/>
    </row>
    <row r="160" customFormat="false" ht="14.25" hidden="false" customHeight="true" outlineLevel="0" collapsed="false">
      <c r="A160" s="28"/>
      <c r="B160" s="11" t="s">
        <v>228</v>
      </c>
      <c r="C160" s="11" t="s">
        <v>35</v>
      </c>
      <c r="D160" s="28" t="n">
        <v>550830</v>
      </c>
      <c r="E160" s="4" t="s">
        <v>242</v>
      </c>
      <c r="F160" s="4" t="s">
        <v>114</v>
      </c>
      <c r="G160" s="11" t="s">
        <v>37</v>
      </c>
      <c r="H160" s="6" t="n">
        <v>1480</v>
      </c>
      <c r="I160" s="6" t="n">
        <f aca="false">H160</f>
        <v>1480</v>
      </c>
      <c r="J160" s="6" t="n">
        <v>1500</v>
      </c>
      <c r="K160" s="4" t="s">
        <v>63</v>
      </c>
      <c r="N160" s="8" t="n">
        <v>44409</v>
      </c>
      <c r="Q160" s="9" t="n">
        <v>0</v>
      </c>
      <c r="R160" s="9" t="n">
        <f aca="false">Q160</f>
        <v>0</v>
      </c>
      <c r="T160" s="6" t="n">
        <v>79800</v>
      </c>
      <c r="U160" s="9" t="n">
        <f aca="false">T160</f>
        <v>79800</v>
      </c>
      <c r="V160" s="54" t="n">
        <v>96200</v>
      </c>
      <c r="W160" s="9" t="n">
        <f aca="false">V160</f>
        <v>96200</v>
      </c>
      <c r="X160" s="44" t="n">
        <f aca="false">T160/H160</f>
        <v>53.9189189189189</v>
      </c>
      <c r="Y160" s="9" t="s">
        <v>123</v>
      </c>
      <c r="Z160" s="40"/>
      <c r="AB160" s="5" t="s">
        <v>40</v>
      </c>
      <c r="AC160" s="58" t="s">
        <v>246</v>
      </c>
      <c r="AF160" s="57"/>
    </row>
    <row r="161" customFormat="false" ht="13.5" hidden="false" customHeight="true" outlineLevel="0" collapsed="false">
      <c r="A161" s="28"/>
      <c r="B161" s="11" t="s">
        <v>228</v>
      </c>
      <c r="C161" s="11" t="s">
        <v>35</v>
      </c>
      <c r="D161" s="28" t="n">
        <v>550830</v>
      </c>
      <c r="E161" s="4" t="s">
        <v>242</v>
      </c>
      <c r="F161" s="4" t="s">
        <v>176</v>
      </c>
      <c r="G161" s="11" t="s">
        <v>37</v>
      </c>
      <c r="H161" s="6" t="n">
        <v>784</v>
      </c>
      <c r="I161" s="6" t="n">
        <f aca="false">H161</f>
        <v>784</v>
      </c>
      <c r="J161" s="6" t="n">
        <v>750</v>
      </c>
      <c r="K161" s="4" t="s">
        <v>63</v>
      </c>
      <c r="N161" s="8" t="n">
        <v>44734</v>
      </c>
      <c r="Q161" s="9" t="n">
        <v>0</v>
      </c>
      <c r="R161" s="9" t="n">
        <f aca="false">Q161</f>
        <v>0</v>
      </c>
      <c r="T161" s="6" t="n">
        <v>39030</v>
      </c>
      <c r="U161" s="9" t="n">
        <f aca="false">T161</f>
        <v>39030</v>
      </c>
      <c r="V161" s="54" t="n">
        <v>49000</v>
      </c>
      <c r="W161" s="9" t="n">
        <f aca="false">V161</f>
        <v>49000</v>
      </c>
      <c r="X161" s="44" t="n">
        <f aca="false">T161/H161</f>
        <v>49.7831632653061</v>
      </c>
      <c r="Y161" s="9" t="s">
        <v>57</v>
      </c>
      <c r="Z161" s="40"/>
      <c r="AB161" s="5" t="s">
        <v>40</v>
      </c>
      <c r="AC161" s="58" t="s">
        <v>246</v>
      </c>
      <c r="AF161" s="57"/>
    </row>
    <row r="162" customFormat="false" ht="14.25" hidden="false" customHeight="true" outlineLevel="0" collapsed="false">
      <c r="A162" s="28"/>
      <c r="B162" s="11"/>
      <c r="C162" s="11" t="s">
        <v>35</v>
      </c>
      <c r="D162" s="28"/>
      <c r="E162" s="4"/>
      <c r="G162" s="11"/>
      <c r="T162" s="6"/>
      <c r="U162" s="9"/>
      <c r="V162" s="54"/>
      <c r="W162" s="9"/>
      <c r="X162" s="9"/>
      <c r="Y162" s="9"/>
      <c r="Z162" s="40"/>
      <c r="AB162" s="5"/>
      <c r="AF162" s="57"/>
    </row>
    <row r="163" customFormat="false" ht="14.25" hidden="false" customHeight="true" outlineLevel="0" collapsed="false">
      <c r="A163" s="28"/>
      <c r="B163" s="11"/>
      <c r="C163" s="11" t="s">
        <v>35</v>
      </c>
      <c r="D163" s="28"/>
      <c r="E163" s="4"/>
      <c r="F163" s="45" t="s">
        <v>242</v>
      </c>
      <c r="G163" s="11"/>
      <c r="H163" s="41" t="n">
        <f aca="false">SUM(H156:H161)</f>
        <v>11298</v>
      </c>
      <c r="I163" s="42"/>
      <c r="J163" s="42"/>
      <c r="K163" s="92"/>
      <c r="L163" s="73"/>
      <c r="Q163" s="41" t="n">
        <f aca="false">SUM(Q156:Q161)</f>
        <v>324620</v>
      </c>
      <c r="R163" s="41"/>
      <c r="S163" s="42" t="n">
        <f aca="false">SUM(R156:R162)</f>
        <v>324620</v>
      </c>
      <c r="T163" s="41" t="n">
        <f aca="false">SUM(T156:T161)</f>
        <v>603000</v>
      </c>
      <c r="U163" s="42"/>
      <c r="V163" s="60" t="n">
        <f aca="false">SUM(V156:V161)</f>
        <v>670500</v>
      </c>
      <c r="W163" s="42"/>
      <c r="X163" s="42"/>
      <c r="Y163" s="42"/>
      <c r="Z163" s="64"/>
      <c r="AA163" s="60" t="n">
        <v>9000000</v>
      </c>
      <c r="AB163" s="5"/>
      <c r="AE163" s="58"/>
      <c r="AF163" s="59"/>
      <c r="AG163" s="58"/>
    </row>
    <row r="164" customFormat="false" ht="14.25" hidden="false" customHeight="true" outlineLevel="0" collapsed="false">
      <c r="A164" s="28"/>
      <c r="B164" s="11"/>
      <c r="C164" s="11" t="s">
        <v>35</v>
      </c>
      <c r="D164" s="28"/>
      <c r="E164" s="4"/>
      <c r="I164" s="9"/>
      <c r="J164" s="9"/>
      <c r="T164" s="11"/>
      <c r="U164" s="9"/>
      <c r="W164" s="9"/>
      <c r="X164" s="9"/>
      <c r="Y164" s="9"/>
      <c r="Z164" s="40"/>
      <c r="AB164" s="5"/>
      <c r="AF164" s="57"/>
    </row>
    <row r="165" customFormat="false" ht="14.25" hidden="false" customHeight="true" outlineLevel="0" collapsed="false">
      <c r="A165" s="28"/>
      <c r="B165" s="11"/>
      <c r="C165" s="11" t="s">
        <v>35</v>
      </c>
      <c r="D165" s="28"/>
      <c r="E165" s="4"/>
      <c r="G165" s="38" t="s">
        <v>247</v>
      </c>
      <c r="I165" s="9"/>
      <c r="J165" s="9"/>
      <c r="K165" s="39"/>
      <c r="T165" s="11"/>
      <c r="U165" s="9"/>
      <c r="W165" s="9"/>
      <c r="X165" s="9"/>
      <c r="Y165" s="9"/>
      <c r="Z165" s="40"/>
      <c r="AB165" s="5"/>
      <c r="AF165" s="57"/>
    </row>
    <row r="166" customFormat="false" ht="14.25" hidden="false" customHeight="true" outlineLevel="0" collapsed="false">
      <c r="A166" s="28"/>
      <c r="B166" s="11"/>
      <c r="C166" s="11" t="s">
        <v>35</v>
      </c>
      <c r="D166" s="28"/>
      <c r="E166" s="4"/>
      <c r="G166" s="38"/>
      <c r="H166" s="72"/>
      <c r="I166" s="9"/>
      <c r="J166" s="9"/>
      <c r="T166" s="9"/>
      <c r="U166" s="9"/>
      <c r="V166" s="63"/>
      <c r="W166" s="9"/>
      <c r="X166" s="9"/>
      <c r="Y166" s="9"/>
      <c r="Z166" s="40"/>
      <c r="AB166" s="5"/>
      <c r="AF166" s="57"/>
    </row>
    <row r="167" customFormat="false" ht="22.5" hidden="false" customHeight="true" outlineLevel="0" collapsed="false">
      <c r="A167" s="28"/>
      <c r="B167" s="11" t="s">
        <v>44</v>
      </c>
      <c r="C167" s="11" t="s">
        <v>35</v>
      </c>
      <c r="D167" s="28" t="n">
        <v>550600</v>
      </c>
      <c r="E167" s="4" t="s">
        <v>247</v>
      </c>
      <c r="F167" s="4" t="s">
        <v>248</v>
      </c>
      <c r="G167" s="5" t="s">
        <v>229</v>
      </c>
      <c r="H167" s="6" t="n">
        <v>1449</v>
      </c>
      <c r="I167" s="6" t="n">
        <f aca="false">H167</f>
        <v>1449</v>
      </c>
      <c r="J167" s="6" t="n">
        <v>1500</v>
      </c>
      <c r="K167" s="4" t="s">
        <v>249</v>
      </c>
      <c r="L167" s="7" t="n">
        <v>45624</v>
      </c>
      <c r="M167" s="8" t="n">
        <v>49275</v>
      </c>
      <c r="Q167" s="9" t="n">
        <v>70000</v>
      </c>
      <c r="R167" s="9" t="n">
        <f aca="false">Q167</f>
        <v>70000</v>
      </c>
      <c r="T167" s="9" t="n">
        <v>76500</v>
      </c>
      <c r="U167" s="9" t="n">
        <f aca="false">T167</f>
        <v>76500</v>
      </c>
      <c r="V167" s="63" t="n">
        <v>94500</v>
      </c>
      <c r="W167" s="9" t="n">
        <f aca="false">V167</f>
        <v>94500</v>
      </c>
      <c r="X167" s="44" t="n">
        <f aca="false">T167/H167</f>
        <v>52.7950310559006</v>
      </c>
      <c r="Y167" s="9" t="s">
        <v>39</v>
      </c>
      <c r="Z167" s="40"/>
      <c r="AB167" s="5" t="s">
        <v>40</v>
      </c>
      <c r="AC167" s="4" t="s">
        <v>250</v>
      </c>
      <c r="AD167" s="56"/>
      <c r="AF167" s="57"/>
    </row>
    <row r="168" customFormat="false" ht="28.5" hidden="false" customHeight="true" outlineLevel="0" collapsed="false">
      <c r="A168" s="28"/>
      <c r="B168" s="11" t="s">
        <v>44</v>
      </c>
      <c r="C168" s="11" t="s">
        <v>35</v>
      </c>
      <c r="D168" s="28" t="n">
        <v>550600</v>
      </c>
      <c r="E168" s="4" t="s">
        <v>247</v>
      </c>
      <c r="F168" s="4" t="s">
        <v>251</v>
      </c>
      <c r="G168" s="5" t="s">
        <v>252</v>
      </c>
      <c r="H168" s="6" t="n">
        <v>1550</v>
      </c>
      <c r="I168" s="6" t="n">
        <f aca="false">H168</f>
        <v>1550</v>
      </c>
      <c r="J168" s="6" t="n">
        <v>1500</v>
      </c>
      <c r="K168" s="4" t="s">
        <v>253</v>
      </c>
      <c r="L168" s="7" t="n">
        <v>43293</v>
      </c>
      <c r="M168" s="8" t="n">
        <v>46214</v>
      </c>
      <c r="Q168" s="9" t="n">
        <v>120000</v>
      </c>
      <c r="R168" s="9" t="n">
        <f aca="false">Q168</f>
        <v>120000</v>
      </c>
      <c r="T168" s="9" t="n">
        <v>81000</v>
      </c>
      <c r="U168" s="9" t="n">
        <f aca="false">T168</f>
        <v>81000</v>
      </c>
      <c r="V168" s="63" t="n">
        <v>104000</v>
      </c>
      <c r="W168" s="9" t="n">
        <f aca="false">V168</f>
        <v>104000</v>
      </c>
      <c r="X168" s="44" t="n">
        <f aca="false">T168/H168</f>
        <v>52.258064516129</v>
      </c>
      <c r="Y168" s="9" t="s">
        <v>39</v>
      </c>
      <c r="Z168" s="40"/>
      <c r="AB168" s="5" t="s">
        <v>40</v>
      </c>
      <c r="AF168" s="57"/>
    </row>
    <row r="169" customFormat="false" ht="13.5" hidden="false" customHeight="true" outlineLevel="0" collapsed="false">
      <c r="A169" s="28"/>
      <c r="B169" s="11" t="s">
        <v>44</v>
      </c>
      <c r="C169" s="11" t="s">
        <v>35</v>
      </c>
      <c r="D169" s="28" t="n">
        <v>550600</v>
      </c>
      <c r="E169" s="4" t="s">
        <v>247</v>
      </c>
      <c r="F169" s="4" t="s">
        <v>254</v>
      </c>
      <c r="G169" s="5" t="s">
        <v>37</v>
      </c>
      <c r="H169" s="6" t="n">
        <v>3441</v>
      </c>
      <c r="I169" s="6" t="n">
        <f aca="false">H169</f>
        <v>3441</v>
      </c>
      <c r="J169" s="6" t="n">
        <v>3500</v>
      </c>
      <c r="K169" s="4" t="s">
        <v>255</v>
      </c>
      <c r="L169" s="7" t="n">
        <v>44358</v>
      </c>
      <c r="M169" s="8" t="n">
        <v>48009</v>
      </c>
      <c r="O169" s="8" t="n">
        <v>46184</v>
      </c>
      <c r="P169" s="8" t="n">
        <v>46183</v>
      </c>
      <c r="Q169" s="9" t="n">
        <v>189000</v>
      </c>
      <c r="R169" s="9" t="n">
        <f aca="false">Q169</f>
        <v>189000</v>
      </c>
      <c r="T169" s="9" t="n">
        <v>189300</v>
      </c>
      <c r="U169" s="9" t="n">
        <f aca="false">T169</f>
        <v>189300</v>
      </c>
      <c r="V169" s="63" t="n">
        <v>189300</v>
      </c>
      <c r="W169" s="9" t="n">
        <f aca="false">V169</f>
        <v>189300</v>
      </c>
      <c r="X169" s="44" t="n">
        <f aca="false">T169/H169</f>
        <v>55.0130775937228</v>
      </c>
      <c r="Y169" s="9" t="s">
        <v>123</v>
      </c>
      <c r="Z169" s="40"/>
      <c r="AB169" s="5" t="s">
        <v>40</v>
      </c>
      <c r="AC169" s="4" t="s">
        <v>256</v>
      </c>
      <c r="AF169" s="57"/>
    </row>
    <row r="170" customFormat="false" ht="14.25" hidden="false" customHeight="true" outlineLevel="0" collapsed="false">
      <c r="A170" s="28"/>
      <c r="B170" s="11"/>
      <c r="C170" s="11" t="s">
        <v>35</v>
      </c>
      <c r="D170" s="28"/>
      <c r="E170" s="4"/>
      <c r="I170" s="9"/>
      <c r="J170" s="9"/>
      <c r="T170" s="9"/>
      <c r="U170" s="9"/>
      <c r="V170" s="63"/>
      <c r="W170" s="9"/>
      <c r="X170" s="9"/>
      <c r="Y170" s="9"/>
      <c r="Z170" s="40"/>
      <c r="AB170" s="5"/>
      <c r="AF170" s="57"/>
    </row>
    <row r="171" customFormat="false" ht="14.25" hidden="false" customHeight="true" outlineLevel="0" collapsed="false">
      <c r="A171" s="28"/>
      <c r="B171" s="11"/>
      <c r="C171" s="11" t="s">
        <v>35</v>
      </c>
      <c r="D171" s="28"/>
      <c r="E171" s="4"/>
      <c r="F171" s="45" t="s">
        <v>247</v>
      </c>
      <c r="H171" s="41" t="n">
        <f aca="false">SUM(H167:H169)</f>
        <v>6440</v>
      </c>
      <c r="I171" s="42"/>
      <c r="J171" s="42"/>
      <c r="Q171" s="42" t="n">
        <f aca="false">SUM(Q167:Q169)</f>
        <v>379000</v>
      </c>
      <c r="R171" s="42"/>
      <c r="S171" s="42" t="n">
        <f aca="false">SUM(R166:R169)</f>
        <v>379000</v>
      </c>
      <c r="T171" s="42" t="n">
        <f aca="false">SUM(T167:T169)</f>
        <v>346800</v>
      </c>
      <c r="U171" s="42"/>
      <c r="V171" s="43" t="n">
        <f aca="false">SUM(V167:V169)</f>
        <v>387800</v>
      </c>
      <c r="W171" s="42"/>
      <c r="X171" s="42"/>
      <c r="Y171" s="42"/>
      <c r="Z171" s="64"/>
      <c r="AA171" s="60" t="n">
        <v>5750000</v>
      </c>
      <c r="AB171" s="5"/>
      <c r="AE171" s="58"/>
      <c r="AF171" s="59"/>
      <c r="AG171" s="58"/>
    </row>
    <row r="172" customFormat="false" ht="14.25" hidden="false" customHeight="true" outlineLevel="0" collapsed="false">
      <c r="A172" s="28"/>
      <c r="B172" s="11"/>
      <c r="C172" s="11" t="s">
        <v>35</v>
      </c>
      <c r="D172" s="28"/>
      <c r="E172" s="4"/>
      <c r="F172" s="45"/>
      <c r="H172" s="41"/>
      <c r="I172" s="42"/>
      <c r="J172" s="42"/>
      <c r="Q172" s="42"/>
      <c r="R172" s="42"/>
      <c r="S172" s="42"/>
      <c r="T172" s="42"/>
      <c r="U172" s="42"/>
      <c r="V172" s="43"/>
      <c r="W172" s="42"/>
      <c r="X172" s="42"/>
      <c r="Y172" s="42"/>
      <c r="Z172" s="64"/>
      <c r="AA172" s="62"/>
      <c r="AB172" s="5"/>
      <c r="AF172" s="57"/>
    </row>
    <row r="173" customFormat="false" ht="14.25" hidden="false" customHeight="true" outlineLevel="0" collapsed="false">
      <c r="A173" s="28"/>
      <c r="B173" s="11"/>
      <c r="C173" s="11" t="s">
        <v>35</v>
      </c>
      <c r="D173" s="28"/>
      <c r="E173" s="4"/>
      <c r="G173" s="38" t="s">
        <v>257</v>
      </c>
      <c r="I173" s="9"/>
      <c r="J173" s="9"/>
      <c r="K173" s="39"/>
      <c r="T173" s="11"/>
      <c r="U173" s="9"/>
      <c r="W173" s="9"/>
      <c r="X173" s="9"/>
      <c r="Y173" s="9"/>
      <c r="Z173" s="40"/>
      <c r="AB173" s="5"/>
      <c r="AF173" s="57"/>
    </row>
    <row r="174" customFormat="false" ht="14.25" hidden="false" customHeight="true" outlineLevel="0" collapsed="false">
      <c r="A174" s="28"/>
      <c r="B174" s="11"/>
      <c r="C174" s="11" t="s">
        <v>35</v>
      </c>
      <c r="D174" s="28"/>
      <c r="E174" s="4"/>
      <c r="I174" s="9"/>
      <c r="J174" s="9"/>
      <c r="T174" s="9"/>
      <c r="U174" s="9"/>
      <c r="V174" s="63"/>
      <c r="W174" s="9"/>
      <c r="X174" s="9"/>
      <c r="Y174" s="9"/>
      <c r="Z174" s="40"/>
      <c r="AB174" s="5"/>
      <c r="AF174" s="57"/>
    </row>
    <row r="175" customFormat="false" ht="22.5" hidden="false" customHeight="true" outlineLevel="0" collapsed="false">
      <c r="A175" s="28"/>
      <c r="B175" s="11" t="s">
        <v>185</v>
      </c>
      <c r="C175" s="11" t="s">
        <v>35</v>
      </c>
      <c r="D175" s="28" t="n">
        <v>550990</v>
      </c>
      <c r="E175" s="4" t="s">
        <v>257</v>
      </c>
      <c r="F175" s="4" t="s">
        <v>258</v>
      </c>
      <c r="G175" s="5" t="s">
        <v>46</v>
      </c>
      <c r="H175" s="6" t="n">
        <v>1361</v>
      </c>
      <c r="I175" s="6" t="n">
        <f aca="false">H175</f>
        <v>1361</v>
      </c>
      <c r="K175" s="4" t="s">
        <v>259</v>
      </c>
      <c r="L175" s="7" t="n">
        <v>45352</v>
      </c>
      <c r="M175" s="8" t="n">
        <v>49003</v>
      </c>
      <c r="O175" s="8" t="n">
        <v>47178</v>
      </c>
      <c r="P175" s="8" t="n">
        <v>47177</v>
      </c>
      <c r="Q175" s="9" t="n">
        <v>60000</v>
      </c>
      <c r="R175" s="9" t="n">
        <f aca="false">Q175</f>
        <v>60000</v>
      </c>
      <c r="T175" s="9" t="n">
        <v>55600</v>
      </c>
      <c r="U175" s="9" t="n">
        <f aca="false">T175</f>
        <v>55600</v>
      </c>
      <c r="V175" s="63" t="n">
        <v>59000</v>
      </c>
      <c r="W175" s="9" t="n">
        <f aca="false">V175</f>
        <v>59000</v>
      </c>
      <c r="X175" s="44" t="n">
        <f aca="false">T175/H175</f>
        <v>40.852314474651</v>
      </c>
      <c r="Y175" s="9" t="s">
        <v>52</v>
      </c>
      <c r="Z175" s="40"/>
      <c r="AB175" s="5" t="s">
        <v>40</v>
      </c>
      <c r="AC175" s="4" t="s">
        <v>260</v>
      </c>
      <c r="AF175" s="57"/>
    </row>
    <row r="176" customFormat="false" ht="14.25" hidden="false" customHeight="true" outlineLevel="0" collapsed="false">
      <c r="A176" s="28"/>
      <c r="B176" s="11" t="s">
        <v>185</v>
      </c>
      <c r="C176" s="11" t="s">
        <v>35</v>
      </c>
      <c r="D176" s="28" t="n">
        <v>550990</v>
      </c>
      <c r="E176" s="4" t="s">
        <v>257</v>
      </c>
      <c r="F176" s="4" t="s">
        <v>85</v>
      </c>
      <c r="G176" s="5" t="s">
        <v>37</v>
      </c>
      <c r="H176" s="6" t="n">
        <v>552</v>
      </c>
      <c r="I176" s="6" t="n">
        <f aca="false">H176</f>
        <v>552</v>
      </c>
      <c r="K176" s="4" t="s">
        <v>261</v>
      </c>
      <c r="L176" s="7" t="n">
        <v>45579</v>
      </c>
      <c r="M176" s="8" t="n">
        <v>47404</v>
      </c>
      <c r="P176" s="8" t="n">
        <v>46673</v>
      </c>
      <c r="Q176" s="9" t="n">
        <v>33000</v>
      </c>
      <c r="R176" s="9" t="n">
        <f aca="false">Q176</f>
        <v>33000</v>
      </c>
      <c r="T176" s="9" t="n">
        <v>29700</v>
      </c>
      <c r="U176" s="9" t="n">
        <f aca="false">T176</f>
        <v>29700</v>
      </c>
      <c r="V176" s="63" t="n">
        <v>30400</v>
      </c>
      <c r="W176" s="9" t="n">
        <f aca="false">V176</f>
        <v>30400</v>
      </c>
      <c r="X176" s="44" t="n">
        <f aca="false">T176/H176</f>
        <v>53.804347826087</v>
      </c>
      <c r="Y176" s="9" t="s">
        <v>57</v>
      </c>
      <c r="Z176" s="40"/>
      <c r="AB176" s="5" t="s">
        <v>40</v>
      </c>
      <c r="AC176" s="4" t="s">
        <v>73</v>
      </c>
      <c r="AD176" s="56"/>
      <c r="AF176" s="57"/>
    </row>
    <row r="177" customFormat="false" ht="14.25" hidden="false" customHeight="true" outlineLevel="0" collapsed="false">
      <c r="A177" s="28"/>
      <c r="B177" s="11" t="s">
        <v>185</v>
      </c>
      <c r="C177" s="11" t="s">
        <v>35</v>
      </c>
      <c r="D177" s="28" t="n">
        <v>550990</v>
      </c>
      <c r="E177" s="4" t="s">
        <v>257</v>
      </c>
      <c r="F177" s="4" t="s">
        <v>89</v>
      </c>
      <c r="G177" s="5" t="s">
        <v>37</v>
      </c>
      <c r="H177" s="6" t="n">
        <v>304</v>
      </c>
      <c r="I177" s="6" t="n">
        <f aca="false">H177</f>
        <v>304</v>
      </c>
      <c r="J177" s="6" t="n">
        <v>250</v>
      </c>
      <c r="K177" s="4" t="s">
        <v>63</v>
      </c>
      <c r="N177" s="8" t="n">
        <v>43256</v>
      </c>
      <c r="Q177" s="9" t="n">
        <v>0</v>
      </c>
      <c r="R177" s="9" t="n">
        <f aca="false">Q177</f>
        <v>0</v>
      </c>
      <c r="T177" s="9" t="n">
        <v>15800</v>
      </c>
      <c r="U177" s="9" t="n">
        <f aca="false">T177</f>
        <v>15800</v>
      </c>
      <c r="V177" s="63" t="n">
        <v>16700</v>
      </c>
      <c r="W177" s="9" t="n">
        <f aca="false">V177</f>
        <v>16700</v>
      </c>
      <c r="X177" s="44" t="n">
        <f aca="false">T177/H177</f>
        <v>51.9736842105263</v>
      </c>
      <c r="Y177" s="9"/>
      <c r="Z177" s="40"/>
      <c r="AB177" s="5" t="s">
        <v>40</v>
      </c>
      <c r="AC177" s="4" t="s">
        <v>115</v>
      </c>
      <c r="AF177" s="57"/>
    </row>
    <row r="178" customFormat="false" ht="13.5" hidden="false" customHeight="true" outlineLevel="0" collapsed="false">
      <c r="A178" s="28"/>
      <c r="B178" s="11" t="s">
        <v>185</v>
      </c>
      <c r="C178" s="11" t="s">
        <v>35</v>
      </c>
      <c r="D178" s="28" t="n">
        <v>550990</v>
      </c>
      <c r="E178" s="4" t="s">
        <v>257</v>
      </c>
      <c r="F178" s="4" t="s">
        <v>90</v>
      </c>
      <c r="G178" s="5" t="s">
        <v>37</v>
      </c>
      <c r="H178" s="6" t="n">
        <v>314</v>
      </c>
      <c r="I178" s="6" t="n">
        <f aca="false">H178</f>
        <v>314</v>
      </c>
      <c r="K178" s="4" t="s">
        <v>262</v>
      </c>
      <c r="L178" s="7" t="n">
        <v>45476</v>
      </c>
      <c r="M178" s="8" t="n">
        <v>47301</v>
      </c>
      <c r="P178" s="8" t="n">
        <v>46570</v>
      </c>
      <c r="Q178" s="9" t="n">
        <v>17500</v>
      </c>
      <c r="R178" s="9" t="n">
        <f aca="false">Q178</f>
        <v>17500</v>
      </c>
      <c r="T178" s="9" t="n">
        <v>15000</v>
      </c>
      <c r="U178" s="9" t="n">
        <f aca="false">T178</f>
        <v>15000</v>
      </c>
      <c r="V178" s="63" t="n">
        <v>18100</v>
      </c>
      <c r="W178" s="9" t="n">
        <f aca="false">V178</f>
        <v>18100</v>
      </c>
      <c r="X178" s="44" t="n">
        <f aca="false">T178/H178</f>
        <v>47.7707006369427</v>
      </c>
      <c r="Y178" s="9" t="s">
        <v>39</v>
      </c>
      <c r="Z178" s="40"/>
      <c r="AB178" s="5" t="s">
        <v>40</v>
      </c>
      <c r="AC178" s="4" t="s">
        <v>263</v>
      </c>
      <c r="AE178" s="58"/>
      <c r="AF178" s="59"/>
      <c r="AG178" s="58"/>
    </row>
    <row r="179" customFormat="false" ht="18" hidden="false" customHeight="true" outlineLevel="0" collapsed="false">
      <c r="A179" s="28"/>
      <c r="B179" s="11" t="s">
        <v>185</v>
      </c>
      <c r="C179" s="11" t="s">
        <v>35</v>
      </c>
      <c r="D179" s="28" t="n">
        <v>550990</v>
      </c>
      <c r="E179" s="4" t="s">
        <v>257</v>
      </c>
      <c r="F179" s="4" t="s">
        <v>114</v>
      </c>
      <c r="G179" s="5" t="s">
        <v>37</v>
      </c>
      <c r="H179" s="6" t="n">
        <v>314</v>
      </c>
      <c r="I179" s="6" t="n">
        <f aca="false">H179</f>
        <v>314</v>
      </c>
      <c r="K179" s="4" t="s">
        <v>264</v>
      </c>
      <c r="L179" s="7" t="n">
        <v>45754</v>
      </c>
      <c r="M179" s="8" t="n">
        <v>46849</v>
      </c>
      <c r="Q179" s="9" t="n">
        <v>17500</v>
      </c>
      <c r="R179" s="9" t="n">
        <f aca="false">Q179</f>
        <v>17500</v>
      </c>
      <c r="T179" s="9" t="n">
        <v>15500</v>
      </c>
      <c r="U179" s="9" t="n">
        <f aca="false">T179</f>
        <v>15500</v>
      </c>
      <c r="V179" s="63" t="n">
        <v>17300</v>
      </c>
      <c r="W179" s="9" t="n">
        <f aca="false">V179</f>
        <v>17300</v>
      </c>
      <c r="X179" s="44" t="n">
        <f aca="false">T179/H179</f>
        <v>49.3630573248408</v>
      </c>
      <c r="Y179" s="9" t="s">
        <v>39</v>
      </c>
      <c r="Z179" s="40"/>
      <c r="AB179" s="5" t="s">
        <v>40</v>
      </c>
      <c r="AF179" s="57"/>
    </row>
    <row r="180" customFormat="false" ht="13.5" hidden="false" customHeight="true" outlineLevel="0" collapsed="false">
      <c r="A180" s="28"/>
      <c r="B180" s="11" t="s">
        <v>185</v>
      </c>
      <c r="C180" s="11" t="s">
        <v>35</v>
      </c>
      <c r="D180" s="28" t="n">
        <v>550990</v>
      </c>
      <c r="E180" s="4" t="s">
        <v>257</v>
      </c>
      <c r="F180" s="4" t="s">
        <v>176</v>
      </c>
      <c r="G180" s="5" t="s">
        <v>37</v>
      </c>
      <c r="H180" s="6" t="n">
        <v>309</v>
      </c>
      <c r="I180" s="6" t="n">
        <f aca="false">H180</f>
        <v>309</v>
      </c>
      <c r="K180" s="4" t="s">
        <v>265</v>
      </c>
      <c r="L180" s="7" t="n">
        <v>45863</v>
      </c>
      <c r="M180" s="8" t="n">
        <v>46958</v>
      </c>
      <c r="Q180" s="9" t="n">
        <v>0</v>
      </c>
      <c r="R180" s="9" t="n">
        <f aca="false">Q180</f>
        <v>0</v>
      </c>
      <c r="T180" s="9" t="n">
        <v>15000</v>
      </c>
      <c r="U180" s="9" t="n">
        <f aca="false">T180</f>
        <v>15000</v>
      </c>
      <c r="V180" s="63" t="n">
        <v>17000</v>
      </c>
      <c r="W180" s="9" t="n">
        <f aca="false">V180</f>
        <v>17000</v>
      </c>
      <c r="X180" s="44" t="n">
        <f aca="false">T180/H180</f>
        <v>48.5436893203884</v>
      </c>
      <c r="Y180" s="9" t="s">
        <v>39</v>
      </c>
      <c r="Z180" s="40"/>
      <c r="AB180" s="5" t="s">
        <v>40</v>
      </c>
      <c r="AC180" s="4" t="s">
        <v>266</v>
      </c>
      <c r="AF180" s="57"/>
    </row>
    <row r="181" customFormat="false" ht="14.25" hidden="false" customHeight="true" outlineLevel="0" collapsed="false">
      <c r="A181" s="28"/>
      <c r="B181" s="11"/>
      <c r="C181" s="11" t="s">
        <v>35</v>
      </c>
      <c r="D181" s="28"/>
      <c r="E181" s="4"/>
      <c r="I181" s="9"/>
      <c r="J181" s="9"/>
      <c r="T181" s="9"/>
      <c r="U181" s="9"/>
      <c r="V181" s="63"/>
      <c r="W181" s="9"/>
      <c r="X181" s="9"/>
      <c r="Y181" s="9"/>
      <c r="Z181" s="40"/>
      <c r="AA181" s="60"/>
      <c r="AB181" s="5"/>
      <c r="AF181" s="57"/>
    </row>
    <row r="182" customFormat="false" ht="14.25" hidden="false" customHeight="true" outlineLevel="0" collapsed="false">
      <c r="A182" s="28"/>
      <c r="B182" s="11"/>
      <c r="C182" s="11" t="s">
        <v>35</v>
      </c>
      <c r="D182" s="28"/>
      <c r="E182" s="4"/>
      <c r="F182" s="45" t="s">
        <v>267</v>
      </c>
      <c r="H182" s="41" t="n">
        <f aca="false">SUM(H175:H180)</f>
        <v>3154</v>
      </c>
      <c r="I182" s="42"/>
      <c r="J182" s="42"/>
      <c r="Q182" s="42" t="n">
        <f aca="false">SUM(Q175:Q180)</f>
        <v>128000</v>
      </c>
      <c r="R182" s="42"/>
      <c r="S182" s="42" t="n">
        <f aca="false">SUM(R174:R181)</f>
        <v>128000</v>
      </c>
      <c r="T182" s="42" t="n">
        <f aca="false">SUM(T175:T180)</f>
        <v>146600</v>
      </c>
      <c r="U182" s="42"/>
      <c r="V182" s="43" t="n">
        <f aca="false">SUM(V175:V180)</f>
        <v>158500</v>
      </c>
      <c r="W182" s="42"/>
      <c r="X182" s="42"/>
      <c r="Y182" s="42"/>
      <c r="Z182" s="64"/>
      <c r="AA182" s="60" t="n">
        <v>2225000</v>
      </c>
      <c r="AB182" s="5"/>
      <c r="AE182" s="58"/>
      <c r="AF182" s="59"/>
      <c r="AG182" s="58"/>
    </row>
    <row r="183" customFormat="false" ht="14.25" hidden="false" customHeight="true" outlineLevel="0" collapsed="false">
      <c r="A183" s="28"/>
      <c r="B183" s="11"/>
      <c r="C183" s="11" t="s">
        <v>35</v>
      </c>
      <c r="D183" s="28"/>
      <c r="E183" s="4"/>
      <c r="F183" s="45"/>
      <c r="H183" s="41"/>
      <c r="I183" s="42"/>
      <c r="J183" s="42"/>
      <c r="Q183" s="42"/>
      <c r="R183" s="42"/>
      <c r="S183" s="42"/>
      <c r="T183" s="42"/>
      <c r="U183" s="42"/>
      <c r="V183" s="43"/>
      <c r="W183" s="42"/>
      <c r="X183" s="42"/>
      <c r="Y183" s="42"/>
      <c r="Z183" s="64"/>
      <c r="AA183" s="62"/>
      <c r="AB183" s="5"/>
      <c r="AF183" s="57"/>
    </row>
    <row r="184" customFormat="false" ht="14.25" hidden="false" customHeight="true" outlineLevel="0" collapsed="false">
      <c r="A184" s="28"/>
      <c r="B184" s="11"/>
      <c r="C184" s="11" t="s">
        <v>35</v>
      </c>
      <c r="D184" s="28"/>
      <c r="E184" s="4"/>
      <c r="G184" s="38" t="s">
        <v>267</v>
      </c>
      <c r="I184" s="9"/>
      <c r="J184" s="9"/>
      <c r="K184" s="39"/>
      <c r="T184" s="11"/>
      <c r="U184" s="9"/>
      <c r="W184" s="9"/>
      <c r="X184" s="9"/>
      <c r="Y184" s="9"/>
      <c r="Z184" s="40"/>
      <c r="AB184" s="5"/>
      <c r="AF184" s="57"/>
    </row>
    <row r="185" customFormat="false" ht="14.25" hidden="false" customHeight="true" outlineLevel="0" collapsed="false">
      <c r="A185" s="28"/>
      <c r="B185" s="11"/>
      <c r="C185" s="11" t="s">
        <v>35</v>
      </c>
      <c r="D185" s="28"/>
      <c r="E185" s="4"/>
      <c r="I185" s="9"/>
      <c r="J185" s="9"/>
      <c r="T185" s="9"/>
      <c r="U185" s="9"/>
      <c r="V185" s="63"/>
      <c r="W185" s="9"/>
      <c r="X185" s="9"/>
      <c r="Y185" s="9"/>
      <c r="Z185" s="40"/>
      <c r="AB185" s="5"/>
      <c r="AF185" s="57"/>
    </row>
    <row r="186" customFormat="false" ht="13.5" hidden="false" customHeight="true" outlineLevel="0" collapsed="false">
      <c r="A186" s="28"/>
      <c r="B186" s="11" t="s">
        <v>102</v>
      </c>
      <c r="C186" s="11" t="s">
        <v>35</v>
      </c>
      <c r="D186" s="28" t="n">
        <v>550700</v>
      </c>
      <c r="E186" s="4" t="s">
        <v>267</v>
      </c>
      <c r="F186" s="4" t="s">
        <v>258</v>
      </c>
      <c r="G186" s="5" t="s">
        <v>46</v>
      </c>
      <c r="H186" s="6" t="n">
        <v>750</v>
      </c>
      <c r="I186" s="6" t="n">
        <f aca="false">H186</f>
        <v>750</v>
      </c>
      <c r="K186" s="4" t="s">
        <v>268</v>
      </c>
      <c r="L186" s="7" t="n">
        <v>45377</v>
      </c>
      <c r="M186" s="8" t="n">
        <v>49028</v>
      </c>
      <c r="O186" s="8" t="n">
        <v>47203</v>
      </c>
      <c r="Q186" s="9" t="n">
        <v>45000</v>
      </c>
      <c r="R186" s="9" t="n">
        <f aca="false">Q186</f>
        <v>45000</v>
      </c>
      <c r="T186" s="9" t="n">
        <v>39000</v>
      </c>
      <c r="U186" s="9" t="n">
        <f aca="false">T186</f>
        <v>39000</v>
      </c>
      <c r="V186" s="63" t="n">
        <v>45000</v>
      </c>
      <c r="W186" s="9" t="n">
        <f aca="false">V186</f>
        <v>45000</v>
      </c>
      <c r="X186" s="44" t="n">
        <f aca="false">T186/H186</f>
        <v>52</v>
      </c>
      <c r="Y186" s="9" t="s">
        <v>57</v>
      </c>
      <c r="Z186" s="40"/>
      <c r="AB186" s="5" t="s">
        <v>40</v>
      </c>
    </row>
    <row r="187" customFormat="false" ht="14.25" hidden="false" customHeight="true" outlineLevel="0" collapsed="false">
      <c r="A187" s="28"/>
      <c r="B187" s="11" t="s">
        <v>102</v>
      </c>
      <c r="C187" s="11" t="s">
        <v>35</v>
      </c>
      <c r="D187" s="28" t="n">
        <v>550700</v>
      </c>
      <c r="E187" s="4" t="s">
        <v>267</v>
      </c>
      <c r="F187" s="4" t="s">
        <v>85</v>
      </c>
      <c r="G187" s="5" t="s">
        <v>37</v>
      </c>
      <c r="H187" s="6" t="n">
        <v>325</v>
      </c>
      <c r="I187" s="6" t="n">
        <f aca="false">H187</f>
        <v>325</v>
      </c>
      <c r="J187" s="6" t="n">
        <v>500</v>
      </c>
      <c r="K187" s="4" t="s">
        <v>63</v>
      </c>
      <c r="N187" s="8" t="n">
        <v>45282</v>
      </c>
      <c r="Q187" s="9" t="n">
        <v>0</v>
      </c>
      <c r="R187" s="9" t="n">
        <f aca="false">Q187</f>
        <v>0</v>
      </c>
      <c r="T187" s="9" t="n">
        <v>17100</v>
      </c>
      <c r="U187" s="9" t="n">
        <f aca="false">T187</f>
        <v>17100</v>
      </c>
      <c r="V187" s="63" t="n">
        <v>17100</v>
      </c>
      <c r="W187" s="9" t="n">
        <f aca="false">V187</f>
        <v>17100</v>
      </c>
      <c r="X187" s="44" t="n">
        <f aca="false">T187/H187</f>
        <v>52.6153846153846</v>
      </c>
      <c r="Y187" s="9" t="s">
        <v>123</v>
      </c>
      <c r="Z187" s="40"/>
      <c r="AB187" s="5" t="s">
        <v>40</v>
      </c>
      <c r="AC187" s="58" t="s">
        <v>269</v>
      </c>
      <c r="AD187" s="15" t="n">
        <v>58</v>
      </c>
      <c r="AF187" s="57" t="n">
        <v>1</v>
      </c>
    </row>
    <row r="188" customFormat="false" ht="13.5" hidden="false" customHeight="true" outlineLevel="0" collapsed="false">
      <c r="A188" s="28"/>
      <c r="B188" s="11" t="s">
        <v>102</v>
      </c>
      <c r="C188" s="11" t="s">
        <v>35</v>
      </c>
      <c r="D188" s="28" t="n">
        <v>550700</v>
      </c>
      <c r="E188" s="4" t="s">
        <v>267</v>
      </c>
      <c r="F188" s="4" t="s">
        <v>89</v>
      </c>
      <c r="G188" s="5" t="s">
        <v>37</v>
      </c>
      <c r="H188" s="6" t="n">
        <v>325</v>
      </c>
      <c r="I188" s="6" t="n">
        <f aca="false">H188</f>
        <v>325</v>
      </c>
      <c r="J188" s="6" t="n">
        <v>500</v>
      </c>
      <c r="K188" s="4" t="s">
        <v>270</v>
      </c>
      <c r="L188" s="7" t="n">
        <v>45698</v>
      </c>
      <c r="M188" s="8" t="n">
        <v>46427</v>
      </c>
      <c r="Q188" s="9" t="n">
        <v>22069</v>
      </c>
      <c r="R188" s="9" t="n">
        <f aca="false">Q188</f>
        <v>22069</v>
      </c>
      <c r="T188" s="9" t="n">
        <v>17100</v>
      </c>
      <c r="U188" s="9" t="n">
        <f aca="false">T188</f>
        <v>17100</v>
      </c>
      <c r="V188" s="63" t="n">
        <v>17100</v>
      </c>
      <c r="W188" s="9" t="n">
        <f aca="false">V188</f>
        <v>17100</v>
      </c>
      <c r="X188" s="44" t="n">
        <f aca="false">T188/H188</f>
        <v>52.6153846153846</v>
      </c>
      <c r="Y188" s="9" t="s">
        <v>57</v>
      </c>
      <c r="Z188" s="40"/>
      <c r="AB188" s="5" t="s">
        <v>40</v>
      </c>
      <c r="AC188" s="4" t="s">
        <v>271</v>
      </c>
      <c r="AF188" s="57" t="n">
        <v>1</v>
      </c>
    </row>
    <row r="189" customFormat="false" ht="13.5" hidden="false" customHeight="true" outlineLevel="0" collapsed="false">
      <c r="A189" s="28"/>
      <c r="B189" s="11" t="s">
        <v>102</v>
      </c>
      <c r="C189" s="11" t="s">
        <v>35</v>
      </c>
      <c r="D189" s="28" t="n">
        <v>550700</v>
      </c>
      <c r="E189" s="4" t="s">
        <v>267</v>
      </c>
      <c r="F189" s="4" t="s">
        <v>90</v>
      </c>
      <c r="G189" s="5" t="s">
        <v>37</v>
      </c>
      <c r="H189" s="6" t="n">
        <v>325</v>
      </c>
      <c r="I189" s="6" t="n">
        <f aca="false">H189</f>
        <v>325</v>
      </c>
      <c r="J189" s="6" t="n">
        <v>500</v>
      </c>
      <c r="K189" s="4" t="s">
        <v>63</v>
      </c>
      <c r="N189" s="8" t="n">
        <v>44714</v>
      </c>
      <c r="Q189" s="9" t="n">
        <v>0</v>
      </c>
      <c r="R189" s="9" t="n">
        <f aca="false">Q189</f>
        <v>0</v>
      </c>
      <c r="T189" s="9" t="n">
        <v>16300</v>
      </c>
      <c r="U189" s="9" t="n">
        <f aca="false">T189</f>
        <v>16300</v>
      </c>
      <c r="V189" s="63" t="n">
        <v>16300</v>
      </c>
      <c r="W189" s="9" t="n">
        <f aca="false">V189</f>
        <v>16300</v>
      </c>
      <c r="X189" s="44" t="n">
        <f aca="false">T189/H189</f>
        <v>50.1538461538462</v>
      </c>
      <c r="Y189" s="9" t="s">
        <v>39</v>
      </c>
      <c r="Z189" s="40"/>
      <c r="AB189" s="5" t="s">
        <v>40</v>
      </c>
      <c r="AC189" s="58" t="s">
        <v>272</v>
      </c>
      <c r="AD189" s="15" t="n">
        <v>52.5</v>
      </c>
      <c r="AF189" s="57"/>
    </row>
    <row r="190" customFormat="false" ht="14.25" hidden="false" customHeight="true" outlineLevel="0" collapsed="false">
      <c r="A190" s="28"/>
      <c r="B190" s="11"/>
      <c r="C190" s="11" t="s">
        <v>35</v>
      </c>
      <c r="D190" s="28"/>
      <c r="E190" s="4"/>
      <c r="I190" s="9"/>
      <c r="J190" s="9"/>
      <c r="T190" s="9"/>
      <c r="U190" s="9"/>
      <c r="V190" s="63"/>
      <c r="W190" s="9"/>
      <c r="X190" s="9"/>
      <c r="Y190" s="9"/>
      <c r="Z190" s="40"/>
      <c r="AB190" s="5"/>
      <c r="AF190" s="57"/>
    </row>
    <row r="191" customFormat="false" ht="14.25" hidden="false" customHeight="true" outlineLevel="0" collapsed="false">
      <c r="A191" s="28"/>
      <c r="B191" s="11"/>
      <c r="C191" s="11" t="s">
        <v>35</v>
      </c>
      <c r="D191" s="28"/>
      <c r="E191" s="4"/>
      <c r="F191" s="45" t="s">
        <v>267</v>
      </c>
      <c r="H191" s="41" t="n">
        <f aca="false">SUM(H186:H189)</f>
        <v>1725</v>
      </c>
      <c r="I191" s="42"/>
      <c r="J191" s="42"/>
      <c r="Q191" s="42" t="n">
        <f aca="false">SUM(Q186:Q189)</f>
        <v>67069</v>
      </c>
      <c r="R191" s="42"/>
      <c r="S191" s="42" t="n">
        <f aca="false">SUM(R185:R190)</f>
        <v>67069</v>
      </c>
      <c r="T191" s="42" t="n">
        <f aca="false">SUM(T186:T189)</f>
        <v>89500</v>
      </c>
      <c r="U191" s="42"/>
      <c r="V191" s="43" t="n">
        <f aca="false">SUM(V186:V189)</f>
        <v>95500</v>
      </c>
      <c r="W191" s="42"/>
      <c r="X191" s="42"/>
      <c r="Y191" s="42"/>
      <c r="Z191" s="64"/>
      <c r="AA191" s="60" t="n">
        <v>1325000</v>
      </c>
      <c r="AB191" s="5"/>
      <c r="AF191" s="57"/>
    </row>
    <row r="192" customFormat="false" ht="14.25" hidden="false" customHeight="true" outlineLevel="0" collapsed="false">
      <c r="A192" s="28"/>
      <c r="B192" s="11"/>
      <c r="C192" s="11" t="s">
        <v>35</v>
      </c>
      <c r="D192" s="28"/>
      <c r="E192" s="4"/>
      <c r="I192" s="9"/>
      <c r="J192" s="9"/>
      <c r="T192" s="9"/>
      <c r="U192" s="9"/>
      <c r="V192" s="63"/>
      <c r="W192" s="9"/>
      <c r="X192" s="9"/>
      <c r="Y192" s="9"/>
      <c r="Z192" s="40"/>
      <c r="AB192" s="5"/>
      <c r="AF192" s="57"/>
    </row>
    <row r="193" customFormat="false" ht="14.25" hidden="false" customHeight="true" outlineLevel="0" collapsed="false">
      <c r="A193" s="28"/>
      <c r="B193" s="11"/>
      <c r="C193" s="11" t="s">
        <v>35</v>
      </c>
      <c r="D193" s="28"/>
      <c r="E193" s="4"/>
      <c r="G193" s="38" t="s">
        <v>273</v>
      </c>
      <c r="I193" s="9"/>
      <c r="J193" s="9"/>
      <c r="K193" s="39"/>
      <c r="T193" s="11"/>
      <c r="U193" s="9"/>
      <c r="W193" s="9"/>
      <c r="X193" s="9"/>
      <c r="Y193" s="9"/>
      <c r="Z193" s="40"/>
      <c r="AB193" s="5"/>
      <c r="AF193" s="57"/>
    </row>
    <row r="194" customFormat="false" ht="14.25" hidden="false" customHeight="true" outlineLevel="0" collapsed="false">
      <c r="A194" s="28"/>
      <c r="B194" s="11"/>
      <c r="C194" s="11" t="s">
        <v>35</v>
      </c>
      <c r="D194" s="28"/>
      <c r="E194" s="4"/>
      <c r="I194" s="9"/>
      <c r="J194" s="9"/>
      <c r="T194" s="9"/>
      <c r="U194" s="9"/>
      <c r="V194" s="63"/>
      <c r="W194" s="9"/>
      <c r="X194" s="9"/>
      <c r="Y194" s="9"/>
      <c r="Z194" s="40"/>
      <c r="AB194" s="5"/>
      <c r="AF194" s="57"/>
    </row>
    <row r="195" customFormat="false" ht="20.25" hidden="false" customHeight="true" outlineLevel="0" collapsed="false">
      <c r="A195" s="28"/>
      <c r="B195" s="11" t="s">
        <v>102</v>
      </c>
      <c r="C195" s="11" t="s">
        <v>35</v>
      </c>
      <c r="D195" s="28" t="n">
        <v>550710</v>
      </c>
      <c r="E195" s="4" t="s">
        <v>273</v>
      </c>
      <c r="F195" s="4" t="s">
        <v>258</v>
      </c>
      <c r="G195" s="5" t="s">
        <v>274</v>
      </c>
      <c r="H195" s="6" t="n">
        <v>807</v>
      </c>
      <c r="I195" s="6" t="n">
        <f aca="false">H195</f>
        <v>807</v>
      </c>
      <c r="J195" s="6" t="n">
        <v>1000</v>
      </c>
      <c r="K195" s="4" t="s">
        <v>275</v>
      </c>
      <c r="L195" s="78" t="n">
        <v>45832</v>
      </c>
      <c r="M195" s="79" t="n">
        <v>49483</v>
      </c>
      <c r="N195" s="79"/>
      <c r="O195" s="79" t="n">
        <v>47658</v>
      </c>
      <c r="P195" s="79" t="n">
        <v>47657</v>
      </c>
      <c r="Q195" s="63" t="n">
        <v>24210</v>
      </c>
      <c r="R195" s="9" t="n">
        <f aca="false">Q195</f>
        <v>24210</v>
      </c>
      <c r="T195" s="9" t="n">
        <v>34320</v>
      </c>
      <c r="U195" s="9" t="n">
        <f aca="false">T195</f>
        <v>34320</v>
      </c>
      <c r="V195" s="63" t="n">
        <v>48420</v>
      </c>
      <c r="W195" s="9" t="n">
        <f aca="false">V195</f>
        <v>48420</v>
      </c>
      <c r="X195" s="44" t="n">
        <f aca="false">T195/H195</f>
        <v>42.5278810408922</v>
      </c>
      <c r="Y195" s="9" t="s">
        <v>123</v>
      </c>
      <c r="Z195" s="40"/>
      <c r="AB195" s="5" t="s">
        <v>40</v>
      </c>
      <c r="AC195" s="58" t="s">
        <v>276</v>
      </c>
      <c r="AF195" s="57"/>
    </row>
    <row r="196" customFormat="false" ht="14.25" hidden="false" customHeight="true" outlineLevel="0" collapsed="false">
      <c r="A196" s="28"/>
      <c r="B196" s="11" t="s">
        <v>102</v>
      </c>
      <c r="C196" s="11" t="s">
        <v>35</v>
      </c>
      <c r="D196" s="28" t="n">
        <v>550710</v>
      </c>
      <c r="E196" s="4" t="s">
        <v>273</v>
      </c>
      <c r="F196" s="4" t="s">
        <v>125</v>
      </c>
      <c r="G196" s="5" t="s">
        <v>277</v>
      </c>
      <c r="H196" s="6" t="n">
        <v>60</v>
      </c>
      <c r="I196" s="6" t="n">
        <f aca="false">H196</f>
        <v>60</v>
      </c>
      <c r="K196" s="4" t="s">
        <v>278</v>
      </c>
      <c r="L196" s="7" t="n">
        <v>44075</v>
      </c>
      <c r="M196" s="8" t="n">
        <v>45900</v>
      </c>
      <c r="Q196" s="9" t="n">
        <v>12500</v>
      </c>
      <c r="R196" s="9" t="n">
        <f aca="false">Q196</f>
        <v>12500</v>
      </c>
      <c r="T196" s="9" t="n">
        <v>12000</v>
      </c>
      <c r="U196" s="9" t="n">
        <f aca="false">T196</f>
        <v>12000</v>
      </c>
      <c r="V196" s="63" t="n">
        <v>12000</v>
      </c>
      <c r="W196" s="9" t="n">
        <f aca="false">V196</f>
        <v>12000</v>
      </c>
      <c r="X196" s="44" t="n">
        <f aca="false">T196/H196</f>
        <v>200</v>
      </c>
      <c r="Y196" s="9" t="s">
        <v>123</v>
      </c>
      <c r="Z196" s="40"/>
      <c r="AB196" s="5" t="s">
        <v>40</v>
      </c>
      <c r="AC196" s="4" t="s">
        <v>279</v>
      </c>
      <c r="AF196" s="57"/>
    </row>
    <row r="197" customFormat="false" ht="16.5" hidden="false" customHeight="true" outlineLevel="0" collapsed="false">
      <c r="A197" s="28"/>
      <c r="B197" s="11" t="s">
        <v>102</v>
      </c>
      <c r="C197" s="11" t="s">
        <v>35</v>
      </c>
      <c r="D197" s="28" t="n">
        <v>550710</v>
      </c>
      <c r="E197" s="4" t="s">
        <v>273</v>
      </c>
      <c r="F197" s="4" t="s">
        <v>85</v>
      </c>
      <c r="G197" s="5" t="s">
        <v>37</v>
      </c>
      <c r="H197" s="6" t="n">
        <v>370</v>
      </c>
      <c r="I197" s="6" t="n">
        <f aca="false">H197</f>
        <v>370</v>
      </c>
      <c r="J197" s="6" t="n">
        <v>500</v>
      </c>
      <c r="K197" s="4" t="s">
        <v>63</v>
      </c>
      <c r="N197" s="8" t="n">
        <v>43738</v>
      </c>
      <c r="Q197" s="9" t="n">
        <v>0</v>
      </c>
      <c r="R197" s="9" t="n">
        <f aca="false">Q197</f>
        <v>0</v>
      </c>
      <c r="T197" s="9" t="n">
        <v>18500</v>
      </c>
      <c r="U197" s="9" t="n">
        <f aca="false">T197</f>
        <v>18500</v>
      </c>
      <c r="V197" s="63" t="n">
        <v>18500</v>
      </c>
      <c r="W197" s="9" t="n">
        <f aca="false">V197</f>
        <v>18500</v>
      </c>
      <c r="X197" s="44" t="n">
        <f aca="false">T197/H197</f>
        <v>50</v>
      </c>
      <c r="Y197" s="9" t="s">
        <v>123</v>
      </c>
      <c r="Z197" s="40"/>
      <c r="AB197" s="5" t="s">
        <v>40</v>
      </c>
      <c r="AC197" s="58" t="s">
        <v>280</v>
      </c>
      <c r="AD197" s="15" t="n">
        <v>52.5</v>
      </c>
      <c r="AF197" s="57" t="n">
        <v>1</v>
      </c>
    </row>
    <row r="198" customFormat="false" ht="13.5" hidden="false" customHeight="true" outlineLevel="0" collapsed="false">
      <c r="A198" s="28"/>
      <c r="B198" s="11" t="s">
        <v>102</v>
      </c>
      <c r="C198" s="11" t="s">
        <v>35</v>
      </c>
      <c r="D198" s="28" t="n">
        <v>550710</v>
      </c>
      <c r="E198" s="4" t="s">
        <v>273</v>
      </c>
      <c r="F198" s="4" t="s">
        <v>89</v>
      </c>
      <c r="G198" s="5" t="s">
        <v>37</v>
      </c>
      <c r="H198" s="6" t="n">
        <v>325</v>
      </c>
      <c r="I198" s="6" t="n">
        <f aca="false">H198</f>
        <v>325</v>
      </c>
      <c r="J198" s="6" t="n">
        <v>500</v>
      </c>
      <c r="K198" s="4" t="s">
        <v>63</v>
      </c>
      <c r="N198" s="8" t="n">
        <v>45379</v>
      </c>
      <c r="Q198" s="9" t="n">
        <v>0</v>
      </c>
      <c r="R198" s="9" t="n">
        <f aca="false">Q198</f>
        <v>0</v>
      </c>
      <c r="T198" s="9" t="n">
        <v>17000</v>
      </c>
      <c r="U198" s="9" t="n">
        <f aca="false">T198</f>
        <v>17000</v>
      </c>
      <c r="V198" s="63" t="n">
        <v>17062</v>
      </c>
      <c r="W198" s="9" t="n">
        <f aca="false">V198</f>
        <v>17062</v>
      </c>
      <c r="X198" s="44" t="n">
        <f aca="false">T198/H198</f>
        <v>52.3076923076923</v>
      </c>
      <c r="Y198" s="9" t="s">
        <v>123</v>
      </c>
      <c r="Z198" s="40"/>
      <c r="AB198" s="5" t="s">
        <v>40</v>
      </c>
      <c r="AC198" s="58" t="s">
        <v>280</v>
      </c>
      <c r="AD198" s="15" t="n">
        <v>53</v>
      </c>
      <c r="AF198" s="57"/>
    </row>
    <row r="199" customFormat="false" ht="13.5" hidden="false" customHeight="true" outlineLevel="0" collapsed="false">
      <c r="A199" s="28"/>
      <c r="B199" s="11" t="s">
        <v>102</v>
      </c>
      <c r="C199" s="11" t="s">
        <v>35</v>
      </c>
      <c r="D199" s="28" t="n">
        <v>550710</v>
      </c>
      <c r="E199" s="4" t="s">
        <v>273</v>
      </c>
      <c r="F199" s="4" t="s">
        <v>90</v>
      </c>
      <c r="G199" s="5" t="s">
        <v>37</v>
      </c>
      <c r="H199" s="6" t="n">
        <v>321</v>
      </c>
      <c r="I199" s="6" t="n">
        <f aca="false">H199</f>
        <v>321</v>
      </c>
      <c r="J199" s="6" t="n">
        <v>500</v>
      </c>
      <c r="K199" s="4" t="s">
        <v>63</v>
      </c>
      <c r="N199" s="8" t="n">
        <v>45170</v>
      </c>
      <c r="Q199" s="9" t="n">
        <v>0</v>
      </c>
      <c r="R199" s="9" t="n">
        <f aca="false">Q199</f>
        <v>0</v>
      </c>
      <c r="T199" s="9" t="n">
        <v>17000</v>
      </c>
      <c r="U199" s="9" t="n">
        <f aca="false">T199</f>
        <v>17000</v>
      </c>
      <c r="V199" s="63" t="n">
        <v>16852</v>
      </c>
      <c r="W199" s="9" t="n">
        <f aca="false">V199</f>
        <v>16852</v>
      </c>
      <c r="X199" s="44" t="n">
        <f aca="false">T199/H199</f>
        <v>52.9595015576324</v>
      </c>
      <c r="Y199" s="9" t="s">
        <v>123</v>
      </c>
      <c r="Z199" s="40"/>
      <c r="AB199" s="5" t="s">
        <v>40</v>
      </c>
      <c r="AC199" s="58" t="s">
        <v>280</v>
      </c>
      <c r="AD199" s="15" t="n">
        <v>53</v>
      </c>
      <c r="AF199" s="57"/>
    </row>
    <row r="200" customFormat="false" ht="14.25" hidden="false" customHeight="true" outlineLevel="0" collapsed="false">
      <c r="A200" s="28"/>
      <c r="B200" s="11"/>
      <c r="C200" s="11" t="s">
        <v>35</v>
      </c>
      <c r="D200" s="28"/>
      <c r="E200" s="4"/>
      <c r="I200" s="9"/>
      <c r="J200" s="9"/>
      <c r="T200" s="9"/>
      <c r="U200" s="9"/>
      <c r="V200" s="63"/>
      <c r="W200" s="9"/>
      <c r="X200" s="9"/>
      <c r="Y200" s="9"/>
      <c r="Z200" s="40"/>
      <c r="AB200" s="5"/>
      <c r="AF200" s="57"/>
    </row>
    <row r="201" customFormat="false" ht="14.25" hidden="false" customHeight="true" outlineLevel="0" collapsed="false">
      <c r="A201" s="28"/>
      <c r="B201" s="11"/>
      <c r="C201" s="11" t="s">
        <v>35</v>
      </c>
      <c r="D201" s="28"/>
      <c r="E201" s="4"/>
      <c r="F201" s="45" t="s">
        <v>273</v>
      </c>
      <c r="H201" s="41" t="n">
        <f aca="false">SUM(H195:H199)</f>
        <v>1883</v>
      </c>
      <c r="I201" s="42"/>
      <c r="J201" s="42"/>
      <c r="Q201" s="43" t="n">
        <f aca="false">SUM(Q195:Q199)</f>
        <v>36710</v>
      </c>
      <c r="R201" s="42"/>
      <c r="S201" s="42" t="n">
        <f aca="false">SUM(R194:R200)</f>
        <v>36710</v>
      </c>
      <c r="T201" s="42" t="n">
        <f aca="false">SUM(T195:T199)</f>
        <v>98820</v>
      </c>
      <c r="U201" s="42"/>
      <c r="V201" s="43" t="n">
        <f aca="false">SUM(V195:V199)</f>
        <v>112834</v>
      </c>
      <c r="W201" s="42"/>
      <c r="X201" s="42"/>
      <c r="Y201" s="42"/>
      <c r="Z201" s="64"/>
      <c r="AA201" s="60" t="n">
        <v>1475000</v>
      </c>
      <c r="AB201" s="5"/>
      <c r="AF201" s="57"/>
    </row>
    <row r="202" customFormat="false" ht="14.25" hidden="false" customHeight="true" outlineLevel="0" collapsed="false">
      <c r="A202" s="28"/>
      <c r="B202" s="11"/>
      <c r="C202" s="11" t="s">
        <v>35</v>
      </c>
      <c r="D202" s="28"/>
      <c r="E202" s="4"/>
      <c r="F202" s="45"/>
      <c r="H202" s="41"/>
      <c r="I202" s="42"/>
      <c r="J202" s="42"/>
      <c r="Q202" s="42"/>
      <c r="R202" s="42"/>
      <c r="S202" s="42"/>
      <c r="T202" s="42"/>
      <c r="U202" s="42"/>
      <c r="V202" s="43"/>
      <c r="W202" s="42"/>
      <c r="X202" s="42"/>
      <c r="Y202" s="42"/>
      <c r="Z202" s="64"/>
      <c r="AA202" s="62"/>
      <c r="AB202" s="5"/>
      <c r="AF202" s="57"/>
    </row>
    <row r="203" customFormat="false" ht="14.25" hidden="false" customHeight="true" outlineLevel="0" collapsed="false">
      <c r="A203" s="28"/>
      <c r="B203" s="11"/>
      <c r="C203" s="11" t="s">
        <v>35</v>
      </c>
      <c r="D203" s="28"/>
      <c r="E203" s="4"/>
      <c r="G203" s="38" t="s">
        <v>281</v>
      </c>
      <c r="I203" s="9"/>
      <c r="J203" s="9"/>
      <c r="K203" s="39"/>
      <c r="T203" s="11"/>
      <c r="U203" s="9"/>
      <c r="W203" s="9"/>
      <c r="X203" s="9"/>
      <c r="Y203" s="9"/>
      <c r="Z203" s="40"/>
      <c r="AB203" s="5"/>
      <c r="AF203" s="57"/>
    </row>
    <row r="204" customFormat="false" ht="14.25" hidden="false" customHeight="true" outlineLevel="0" collapsed="false">
      <c r="A204" s="28"/>
      <c r="B204" s="11"/>
      <c r="C204" s="11" t="s">
        <v>35</v>
      </c>
      <c r="D204" s="28"/>
      <c r="E204" s="4"/>
      <c r="G204" s="38"/>
      <c r="I204" s="9"/>
      <c r="J204" s="9"/>
      <c r="T204" s="9"/>
      <c r="U204" s="9"/>
      <c r="V204" s="63"/>
      <c r="W204" s="9"/>
      <c r="X204" s="9"/>
      <c r="Y204" s="9"/>
      <c r="Z204" s="40"/>
      <c r="AB204" s="5"/>
      <c r="AF204" s="57"/>
    </row>
    <row r="205" customFormat="false" ht="22.5" hidden="false" customHeight="true" outlineLevel="0" collapsed="false">
      <c r="A205" s="28"/>
      <c r="B205" s="11" t="s">
        <v>228</v>
      </c>
      <c r="C205" s="11" t="s">
        <v>35</v>
      </c>
      <c r="D205" s="28" t="n">
        <v>550090</v>
      </c>
      <c r="E205" s="4" t="s">
        <v>281</v>
      </c>
      <c r="F205" s="4" t="s">
        <v>282</v>
      </c>
      <c r="G205" s="5" t="s">
        <v>229</v>
      </c>
      <c r="H205" s="6" t="n">
        <v>607</v>
      </c>
      <c r="I205" s="6" t="n">
        <f aca="false">H205</f>
        <v>607</v>
      </c>
      <c r="J205" s="6" t="n">
        <v>500</v>
      </c>
      <c r="K205" s="4" t="s">
        <v>275</v>
      </c>
      <c r="L205" s="7" t="n">
        <v>45706</v>
      </c>
      <c r="M205" s="8" t="n">
        <v>49357</v>
      </c>
      <c r="O205" s="8" t="n">
        <v>47532</v>
      </c>
      <c r="P205" s="8" t="n">
        <v>47531</v>
      </c>
      <c r="Q205" s="9" t="n">
        <v>27000</v>
      </c>
      <c r="R205" s="9" t="n">
        <f aca="false">Q205</f>
        <v>27000</v>
      </c>
      <c r="T205" s="9" t="n">
        <v>25000</v>
      </c>
      <c r="U205" s="9" t="n">
        <f aca="false">T205</f>
        <v>25000</v>
      </c>
      <c r="V205" s="63" t="n">
        <v>27000</v>
      </c>
      <c r="W205" s="9" t="n">
        <f aca="false">V205</f>
        <v>27000</v>
      </c>
      <c r="X205" s="44" t="n">
        <f aca="false">T205/H205</f>
        <v>41.1861614497529</v>
      </c>
      <c r="Y205" s="9" t="s">
        <v>52</v>
      </c>
      <c r="Z205" s="40"/>
      <c r="AB205" s="5" t="s">
        <v>40</v>
      </c>
      <c r="AC205" s="4" t="s">
        <v>283</v>
      </c>
      <c r="AF205" s="57"/>
    </row>
    <row r="206" customFormat="false" ht="22.5" hidden="false" customHeight="true" outlineLevel="0" collapsed="false">
      <c r="A206" s="28"/>
      <c r="B206" s="11" t="s">
        <v>228</v>
      </c>
      <c r="C206" s="11" t="s">
        <v>35</v>
      </c>
      <c r="D206" s="28" t="n">
        <v>550090</v>
      </c>
      <c r="E206" s="4" t="s">
        <v>281</v>
      </c>
      <c r="F206" s="4" t="s">
        <v>284</v>
      </c>
      <c r="G206" s="5" t="s">
        <v>130</v>
      </c>
      <c r="H206" s="6" t="n">
        <v>662</v>
      </c>
      <c r="I206" s="6" t="n">
        <f aca="false">H206</f>
        <v>662</v>
      </c>
      <c r="J206" s="6" t="n">
        <v>500</v>
      </c>
      <c r="K206" s="4" t="s">
        <v>275</v>
      </c>
      <c r="L206" s="7" t="n">
        <v>45706</v>
      </c>
      <c r="M206" s="8" t="n">
        <v>49357</v>
      </c>
      <c r="O206" s="8" t="n">
        <v>47532</v>
      </c>
      <c r="P206" s="8" t="n">
        <v>47531</v>
      </c>
      <c r="Q206" s="9" t="n">
        <v>22000</v>
      </c>
      <c r="R206" s="9" t="n">
        <f aca="false">Q206</f>
        <v>22000</v>
      </c>
      <c r="T206" s="9" t="n">
        <v>20000</v>
      </c>
      <c r="U206" s="9" t="n">
        <f aca="false">T206</f>
        <v>20000</v>
      </c>
      <c r="V206" s="63" t="n">
        <v>22000</v>
      </c>
      <c r="W206" s="9" t="n">
        <f aca="false">V206</f>
        <v>22000</v>
      </c>
      <c r="X206" s="44" t="n">
        <f aca="false">T206/H206</f>
        <v>30.2114803625378</v>
      </c>
      <c r="Y206" s="9" t="s">
        <v>52</v>
      </c>
      <c r="Z206" s="40"/>
      <c r="AB206" s="5" t="s">
        <v>40</v>
      </c>
      <c r="AC206" s="4" t="s">
        <v>73</v>
      </c>
      <c r="AF206" s="57"/>
    </row>
    <row r="207" customFormat="false" ht="14.25" hidden="false" customHeight="true" outlineLevel="0" collapsed="false">
      <c r="A207" s="28"/>
      <c r="B207" s="11" t="s">
        <v>228</v>
      </c>
      <c r="C207" s="11" t="s">
        <v>35</v>
      </c>
      <c r="D207" s="28" t="n">
        <v>550090</v>
      </c>
      <c r="E207" s="4" t="s">
        <v>281</v>
      </c>
      <c r="F207" s="4" t="s">
        <v>285</v>
      </c>
      <c r="G207" s="5" t="s">
        <v>37</v>
      </c>
      <c r="H207" s="6" t="n">
        <v>1765</v>
      </c>
      <c r="I207" s="6" t="n">
        <f aca="false">H207</f>
        <v>1765</v>
      </c>
      <c r="J207" s="6" t="n">
        <v>1750</v>
      </c>
      <c r="K207" s="4" t="s">
        <v>63</v>
      </c>
      <c r="N207" s="8" t="n">
        <v>43256</v>
      </c>
      <c r="Q207" s="9" t="n">
        <v>0</v>
      </c>
      <c r="R207" s="9" t="n">
        <f aca="false">Q207</f>
        <v>0</v>
      </c>
      <c r="T207" s="9" t="n">
        <v>90000</v>
      </c>
      <c r="U207" s="9" t="n">
        <f aca="false">T207</f>
        <v>90000</v>
      </c>
      <c r="V207" s="63" t="n">
        <v>84000</v>
      </c>
      <c r="W207" s="9" t="n">
        <f aca="false">V207</f>
        <v>84000</v>
      </c>
      <c r="X207" s="44" t="n">
        <f aca="false">T207/H207</f>
        <v>50.9915014164306</v>
      </c>
      <c r="Y207" s="9"/>
      <c r="Z207" s="40"/>
      <c r="AB207" s="5" t="s">
        <v>40</v>
      </c>
      <c r="AC207" s="4" t="s">
        <v>220</v>
      </c>
      <c r="AE207" s="58"/>
      <c r="AF207" s="59"/>
      <c r="AG207" s="58"/>
    </row>
    <row r="208" customFormat="false" ht="14.25" hidden="false" customHeight="true" outlineLevel="0" collapsed="false">
      <c r="A208" s="28"/>
      <c r="B208" s="11"/>
      <c r="C208" s="11" t="s">
        <v>35</v>
      </c>
      <c r="D208" s="28"/>
      <c r="E208" s="4"/>
      <c r="I208" s="9"/>
      <c r="J208" s="9"/>
      <c r="T208" s="9"/>
      <c r="U208" s="9"/>
      <c r="V208" s="63"/>
      <c r="W208" s="9"/>
      <c r="X208" s="9"/>
      <c r="Y208" s="9"/>
      <c r="Z208" s="40"/>
      <c r="AB208" s="5"/>
      <c r="AF208" s="57"/>
    </row>
    <row r="209" customFormat="false" ht="14.25" hidden="false" customHeight="true" outlineLevel="0" collapsed="false">
      <c r="A209" s="28"/>
      <c r="B209" s="11"/>
      <c r="C209" s="11" t="s">
        <v>35</v>
      </c>
      <c r="D209" s="28"/>
      <c r="E209" s="4"/>
      <c r="F209" s="45" t="s">
        <v>281</v>
      </c>
      <c r="H209" s="41" t="n">
        <f aca="false">SUM(H205:H207)</f>
        <v>3034</v>
      </c>
      <c r="I209" s="42"/>
      <c r="J209" s="42"/>
      <c r="Q209" s="42" t="n">
        <f aca="false">SUM(Q205:Q207)</f>
        <v>49000</v>
      </c>
      <c r="R209" s="42"/>
      <c r="S209" s="42" t="n">
        <f aca="false">SUM(R205:R208)</f>
        <v>49000</v>
      </c>
      <c r="T209" s="42" t="n">
        <f aca="false">SUM(T205:T207)</f>
        <v>135000</v>
      </c>
      <c r="U209" s="42"/>
      <c r="V209" s="43" t="n">
        <f aca="false">SUM(V205:V207)</f>
        <v>133000</v>
      </c>
      <c r="W209" s="42"/>
      <c r="X209" s="42"/>
      <c r="Y209" s="42"/>
      <c r="Z209" s="64"/>
      <c r="AA209" s="60" t="n">
        <v>1475000</v>
      </c>
      <c r="AB209" s="5"/>
      <c r="AF209" s="57"/>
    </row>
    <row r="210" customFormat="false" ht="14.25" hidden="false" customHeight="true" outlineLevel="0" collapsed="false">
      <c r="A210" s="28"/>
      <c r="B210" s="11"/>
      <c r="C210" s="11" t="s">
        <v>35</v>
      </c>
      <c r="D210" s="28"/>
      <c r="E210" s="4"/>
      <c r="I210" s="9"/>
      <c r="J210" s="9"/>
      <c r="T210" s="9"/>
      <c r="U210" s="9"/>
      <c r="V210" s="63"/>
      <c r="W210" s="9"/>
      <c r="X210" s="9"/>
      <c r="Y210" s="9"/>
      <c r="Z210" s="40"/>
      <c r="AB210" s="5"/>
      <c r="AF210" s="57"/>
    </row>
    <row r="211" customFormat="false" ht="14.25" hidden="false" customHeight="true" outlineLevel="0" collapsed="false">
      <c r="A211" s="28"/>
      <c r="B211" s="11"/>
      <c r="C211" s="11" t="s">
        <v>35</v>
      </c>
      <c r="D211" s="28"/>
      <c r="E211" s="4"/>
      <c r="G211" s="38" t="s">
        <v>286</v>
      </c>
      <c r="I211" s="9"/>
      <c r="J211" s="9"/>
      <c r="K211" s="39"/>
      <c r="T211" s="11"/>
      <c r="U211" s="9"/>
      <c r="W211" s="9"/>
      <c r="X211" s="9"/>
      <c r="Y211" s="9"/>
      <c r="Z211" s="40"/>
      <c r="AB211" s="5"/>
      <c r="AF211" s="57"/>
    </row>
    <row r="212" customFormat="false" ht="14.25" hidden="false" customHeight="true" outlineLevel="0" collapsed="false">
      <c r="A212" s="28"/>
      <c r="B212" s="11"/>
      <c r="C212" s="11" t="s">
        <v>35</v>
      </c>
      <c r="D212" s="28"/>
      <c r="E212" s="4"/>
      <c r="G212" s="38"/>
      <c r="H212" s="72"/>
      <c r="I212" s="9"/>
      <c r="J212" s="9"/>
      <c r="K212" s="75"/>
      <c r="L212" s="76"/>
      <c r="T212" s="9"/>
      <c r="U212" s="9"/>
      <c r="V212" s="63"/>
      <c r="W212" s="9"/>
      <c r="X212" s="9"/>
      <c r="Y212" s="9"/>
      <c r="Z212" s="40"/>
      <c r="AB212" s="5"/>
      <c r="AF212" s="57"/>
    </row>
    <row r="213" customFormat="false" ht="22.5" hidden="false" customHeight="true" outlineLevel="0" collapsed="false">
      <c r="A213" s="28"/>
      <c r="B213" s="11" t="s">
        <v>102</v>
      </c>
      <c r="C213" s="11" t="s">
        <v>35</v>
      </c>
      <c r="D213" s="28" t="n">
        <v>550750</v>
      </c>
      <c r="E213" s="4" t="s">
        <v>286</v>
      </c>
      <c r="F213" s="4" t="s">
        <v>287</v>
      </c>
      <c r="G213" s="5" t="s">
        <v>288</v>
      </c>
      <c r="H213" s="41" t="n">
        <v>1305</v>
      </c>
      <c r="I213" s="9" t="n">
        <f aca="false">H213</f>
        <v>1305</v>
      </c>
      <c r="J213" s="9" t="n">
        <v>1250</v>
      </c>
      <c r="K213" s="4" t="s">
        <v>289</v>
      </c>
      <c r="L213" s="7" t="n">
        <v>45748</v>
      </c>
      <c r="M213" s="8" t="n">
        <v>49399</v>
      </c>
      <c r="O213" s="8" t="n">
        <v>47574</v>
      </c>
      <c r="P213" s="8" t="n">
        <v>47573</v>
      </c>
      <c r="Q213" s="9" t="n">
        <v>0</v>
      </c>
      <c r="R213" s="9" t="n">
        <f aca="false">Q213</f>
        <v>0</v>
      </c>
      <c r="S213" s="42" t="n">
        <f aca="false">R213</f>
        <v>0</v>
      </c>
      <c r="T213" s="42" t="n">
        <v>90000</v>
      </c>
      <c r="U213" s="9" t="n">
        <f aca="false">T213</f>
        <v>90000</v>
      </c>
      <c r="V213" s="43" t="n">
        <v>90000</v>
      </c>
      <c r="W213" s="9" t="n">
        <f aca="false">V213</f>
        <v>90000</v>
      </c>
      <c r="X213" s="44" t="n">
        <f aca="false">T213/H213</f>
        <v>68.9655172413793</v>
      </c>
      <c r="Y213" s="9" t="s">
        <v>57</v>
      </c>
      <c r="Z213" s="40"/>
      <c r="AA213" s="60" t="n">
        <v>1450000</v>
      </c>
      <c r="AB213" s="5" t="s">
        <v>40</v>
      </c>
      <c r="AC213" s="4" t="s">
        <v>290</v>
      </c>
      <c r="AD213" s="15" t="n">
        <v>69</v>
      </c>
      <c r="AF213" s="57" t="n">
        <v>10</v>
      </c>
      <c r="AG213" s="4" t="s">
        <v>54</v>
      </c>
    </row>
    <row r="214" customFormat="false" ht="14.25" hidden="false" customHeight="true" outlineLevel="0" collapsed="false">
      <c r="A214" s="28"/>
      <c r="B214" s="11"/>
      <c r="C214" s="11" t="s">
        <v>35</v>
      </c>
      <c r="D214" s="28"/>
      <c r="E214" s="4"/>
      <c r="F214" s="45" t="s">
        <v>286</v>
      </c>
      <c r="H214" s="46" t="n">
        <f aca="false">SUM(H213)</f>
        <v>1305</v>
      </c>
      <c r="I214" s="41"/>
      <c r="J214" s="41"/>
      <c r="K214" s="47"/>
      <c r="L214" s="48"/>
      <c r="M214" s="49"/>
      <c r="N214" s="49"/>
      <c r="O214" s="49"/>
      <c r="P214" s="49"/>
      <c r="Q214" s="46"/>
      <c r="R214" s="46"/>
      <c r="S214" s="46"/>
      <c r="T214" s="46" t="n">
        <f aca="false">SUM(T213)</f>
        <v>90000</v>
      </c>
      <c r="U214" s="46"/>
      <c r="V214" s="50"/>
      <c r="W214" s="46"/>
      <c r="X214" s="46"/>
      <c r="Y214" s="46"/>
      <c r="Z214" s="51"/>
      <c r="AA214" s="52"/>
      <c r="AB214" s="5"/>
      <c r="AF214" s="57"/>
    </row>
    <row r="215" customFormat="false" ht="14.25" hidden="false" customHeight="true" outlineLevel="0" collapsed="false">
      <c r="A215" s="28"/>
      <c r="B215" s="11"/>
      <c r="C215" s="11" t="s">
        <v>35</v>
      </c>
      <c r="D215" s="28"/>
      <c r="E215" s="4"/>
      <c r="I215" s="9"/>
      <c r="J215" s="9"/>
      <c r="T215" s="9"/>
      <c r="U215" s="9"/>
      <c r="V215" s="63"/>
      <c r="W215" s="9"/>
      <c r="X215" s="9"/>
      <c r="Y215" s="9"/>
      <c r="Z215" s="40"/>
      <c r="AB215" s="5"/>
      <c r="AF215" s="57"/>
    </row>
    <row r="216" customFormat="false" ht="14.25" hidden="false" customHeight="true" outlineLevel="0" collapsed="false">
      <c r="A216" s="28"/>
      <c r="B216" s="11"/>
      <c r="C216" s="11" t="s">
        <v>35</v>
      </c>
      <c r="D216" s="28"/>
      <c r="E216" s="4"/>
      <c r="G216" s="38" t="s">
        <v>291</v>
      </c>
      <c r="I216" s="9"/>
      <c r="J216" s="9"/>
      <c r="K216" s="39"/>
      <c r="T216" s="11"/>
      <c r="U216" s="9"/>
      <c r="W216" s="9"/>
      <c r="X216" s="9"/>
      <c r="Y216" s="9"/>
      <c r="Z216" s="40"/>
      <c r="AB216" s="5"/>
      <c r="AF216" s="57"/>
    </row>
    <row r="217" customFormat="false" ht="14.25" hidden="false" customHeight="true" outlineLevel="0" collapsed="false">
      <c r="A217" s="28"/>
      <c r="B217" s="11"/>
      <c r="C217" s="11" t="s">
        <v>35</v>
      </c>
      <c r="D217" s="28"/>
      <c r="E217" s="4"/>
      <c r="G217" s="38"/>
      <c r="H217" s="65"/>
      <c r="I217" s="9"/>
      <c r="J217" s="9"/>
      <c r="K217" s="68"/>
      <c r="L217" s="8"/>
      <c r="T217" s="9"/>
      <c r="U217" s="9"/>
      <c r="V217" s="63"/>
      <c r="W217" s="9"/>
      <c r="X217" s="9"/>
      <c r="Y217" s="9"/>
      <c r="Z217" s="40"/>
      <c r="AB217" s="5"/>
      <c r="AF217" s="57"/>
    </row>
    <row r="218" customFormat="false" ht="13.5" hidden="false" customHeight="true" outlineLevel="0" collapsed="false">
      <c r="A218" s="28"/>
      <c r="B218" s="11" t="s">
        <v>228</v>
      </c>
      <c r="C218" s="11" t="s">
        <v>35</v>
      </c>
      <c r="D218" s="28" t="n">
        <v>550880</v>
      </c>
      <c r="E218" s="4" t="s">
        <v>291</v>
      </c>
      <c r="F218" s="4" t="s">
        <v>169</v>
      </c>
      <c r="G218" s="5" t="s">
        <v>130</v>
      </c>
      <c r="H218" s="93" t="n">
        <v>1440</v>
      </c>
      <c r="I218" s="9" t="n">
        <f aca="false">H218</f>
        <v>1440</v>
      </c>
      <c r="J218" s="9" t="n">
        <v>1500</v>
      </c>
      <c r="K218" s="4" t="s">
        <v>292</v>
      </c>
      <c r="L218" s="8" t="n">
        <v>43430</v>
      </c>
      <c r="M218" s="8" t="n">
        <v>47082</v>
      </c>
      <c r="O218" s="8" t="n">
        <v>45256</v>
      </c>
      <c r="Q218" s="9" t="n">
        <v>100000</v>
      </c>
      <c r="R218" s="9" t="n">
        <f aca="false">Q218</f>
        <v>100000</v>
      </c>
      <c r="T218" s="9" t="n">
        <v>100000</v>
      </c>
      <c r="U218" s="9" t="n">
        <f aca="false">T218</f>
        <v>100000</v>
      </c>
      <c r="V218" s="63" t="n">
        <v>100000</v>
      </c>
      <c r="W218" s="9" t="n">
        <f aca="false">V218</f>
        <v>100000</v>
      </c>
      <c r="X218" s="44" t="n">
        <f aca="false">T218/H218</f>
        <v>69.4444444444444</v>
      </c>
      <c r="Y218" s="9" t="s">
        <v>39</v>
      </c>
      <c r="Z218" s="40"/>
      <c r="AB218" s="5" t="s">
        <v>40</v>
      </c>
      <c r="AC218" s="4" t="s">
        <v>293</v>
      </c>
      <c r="AF218" s="57"/>
    </row>
    <row r="219" customFormat="false" ht="13.5" hidden="false" customHeight="true" outlineLevel="0" collapsed="false">
      <c r="A219" s="28"/>
      <c r="B219" s="11" t="s">
        <v>228</v>
      </c>
      <c r="C219" s="11" t="s">
        <v>35</v>
      </c>
      <c r="D219" s="28" t="n">
        <v>550880</v>
      </c>
      <c r="E219" s="4" t="s">
        <v>291</v>
      </c>
      <c r="F219" s="4" t="s">
        <v>294</v>
      </c>
      <c r="G219" s="11" t="s">
        <v>295</v>
      </c>
      <c r="H219" s="6" t="n">
        <v>1082</v>
      </c>
      <c r="I219" s="9" t="n">
        <f aca="false">H219</f>
        <v>1082</v>
      </c>
      <c r="J219" s="9" t="n">
        <v>1000</v>
      </c>
      <c r="K219" s="94" t="s">
        <v>296</v>
      </c>
      <c r="L219" s="8" t="n">
        <v>45065</v>
      </c>
      <c r="M219" s="8" t="n">
        <v>46160</v>
      </c>
      <c r="Q219" s="9" t="n">
        <v>88400</v>
      </c>
      <c r="R219" s="9" t="n">
        <f aca="false">Q219</f>
        <v>88400</v>
      </c>
      <c r="T219" s="9" t="n">
        <v>58968</v>
      </c>
      <c r="U219" s="9" t="n">
        <f aca="false">T219</f>
        <v>58968</v>
      </c>
      <c r="V219" s="63" t="n">
        <v>88400</v>
      </c>
      <c r="W219" s="9" t="n">
        <f aca="false">V219</f>
        <v>88400</v>
      </c>
      <c r="X219" s="9"/>
      <c r="Y219" s="9" t="s">
        <v>57</v>
      </c>
      <c r="Z219" s="40"/>
      <c r="AB219" s="5" t="s">
        <v>40</v>
      </c>
      <c r="AF219" s="57"/>
    </row>
    <row r="220" customFormat="false" ht="14.25" hidden="false" customHeight="true" outlineLevel="0" collapsed="false">
      <c r="A220" s="28"/>
      <c r="B220" s="11"/>
      <c r="C220" s="11" t="s">
        <v>35</v>
      </c>
      <c r="D220" s="28"/>
      <c r="E220" s="4"/>
      <c r="G220" s="11"/>
      <c r="I220" s="9"/>
      <c r="J220" s="9"/>
      <c r="L220" s="8"/>
      <c r="T220" s="9"/>
      <c r="U220" s="9"/>
      <c r="V220" s="63"/>
      <c r="W220" s="9"/>
      <c r="X220" s="9"/>
      <c r="Y220" s="9"/>
      <c r="Z220" s="40"/>
      <c r="AB220" s="5"/>
      <c r="AF220" s="57"/>
    </row>
    <row r="221" customFormat="false" ht="14.25" hidden="false" customHeight="true" outlineLevel="0" collapsed="false">
      <c r="A221" s="28"/>
      <c r="B221" s="11"/>
      <c r="C221" s="11" t="s">
        <v>35</v>
      </c>
      <c r="D221" s="28"/>
      <c r="E221" s="4"/>
      <c r="F221" s="45" t="s">
        <v>291</v>
      </c>
      <c r="G221" s="28"/>
      <c r="H221" s="41" t="n">
        <f aca="false">SUM(H218:H219)</f>
        <v>2522</v>
      </c>
      <c r="I221" s="41"/>
      <c r="J221" s="41"/>
      <c r="L221" s="8"/>
      <c r="Q221" s="41" t="n">
        <f aca="false">SUM(Q218:Q219)</f>
        <v>188400</v>
      </c>
      <c r="R221" s="41"/>
      <c r="S221" s="42" t="n">
        <f aca="false">SUM(R216:R220)</f>
        <v>188400</v>
      </c>
      <c r="T221" s="41" t="n">
        <f aca="false">SUM(T218:T219)</f>
        <v>158968</v>
      </c>
      <c r="U221" s="41"/>
      <c r="V221" s="60" t="n">
        <f aca="false">SUM(V218:V219)</f>
        <v>188400</v>
      </c>
      <c r="W221" s="41"/>
      <c r="X221" s="41"/>
      <c r="Y221" s="41"/>
      <c r="Z221" s="61"/>
      <c r="AA221" s="43" t="n">
        <v>3550000</v>
      </c>
      <c r="AB221" s="5"/>
      <c r="AF221" s="57"/>
    </row>
    <row r="222" customFormat="false" ht="14.25" hidden="false" customHeight="true" outlineLevel="0" collapsed="false">
      <c r="A222" s="28"/>
      <c r="B222" s="11"/>
      <c r="C222" s="11" t="s">
        <v>35</v>
      </c>
      <c r="D222" s="28"/>
      <c r="E222" s="4"/>
      <c r="I222" s="9"/>
      <c r="J222" s="9"/>
      <c r="T222" s="9"/>
      <c r="U222" s="9"/>
      <c r="V222" s="63"/>
      <c r="W222" s="9"/>
      <c r="X222" s="9"/>
      <c r="Y222" s="9"/>
      <c r="Z222" s="40"/>
      <c r="AB222" s="5"/>
      <c r="AF222" s="57"/>
    </row>
    <row r="223" customFormat="false" ht="14.25" hidden="false" customHeight="true" outlineLevel="0" collapsed="false">
      <c r="A223" s="28"/>
      <c r="B223" s="11"/>
      <c r="C223" s="11" t="s">
        <v>35</v>
      </c>
      <c r="D223" s="28"/>
      <c r="E223" s="4"/>
      <c r="G223" s="38" t="s">
        <v>297</v>
      </c>
      <c r="I223" s="9"/>
      <c r="J223" s="9"/>
      <c r="K223" s="39"/>
      <c r="T223" s="11"/>
      <c r="U223" s="9"/>
      <c r="W223" s="9"/>
      <c r="X223" s="9"/>
      <c r="Y223" s="9"/>
      <c r="Z223" s="40"/>
      <c r="AB223" s="5"/>
      <c r="AF223" s="57"/>
    </row>
    <row r="224" customFormat="false" ht="14.25" hidden="false" customHeight="true" outlineLevel="0" collapsed="false">
      <c r="A224" s="28"/>
      <c r="B224" s="11"/>
      <c r="C224" s="11" t="s">
        <v>35</v>
      </c>
      <c r="D224" s="28"/>
      <c r="E224" s="4"/>
      <c r="G224" s="38"/>
      <c r="H224" s="72"/>
      <c r="I224" s="9"/>
      <c r="J224" s="9"/>
      <c r="K224" s="95"/>
      <c r="L224" s="76"/>
      <c r="M224" s="76"/>
      <c r="N224" s="76"/>
      <c r="T224" s="9"/>
      <c r="U224" s="9"/>
      <c r="V224" s="63"/>
      <c r="W224" s="9"/>
      <c r="X224" s="9"/>
      <c r="Y224" s="9"/>
      <c r="Z224" s="40"/>
      <c r="AB224" s="5"/>
      <c r="AF224" s="57"/>
    </row>
    <row r="225" customFormat="false" ht="22.5" hidden="false" customHeight="true" outlineLevel="0" collapsed="false">
      <c r="A225" s="28"/>
      <c r="B225" s="11" t="s">
        <v>102</v>
      </c>
      <c r="C225" s="11" t="s">
        <v>35</v>
      </c>
      <c r="D225" s="28" t="n">
        <v>550180</v>
      </c>
      <c r="E225" s="4" t="s">
        <v>297</v>
      </c>
      <c r="F225" s="4" t="s">
        <v>298</v>
      </c>
      <c r="G225" s="5" t="s">
        <v>229</v>
      </c>
      <c r="H225" s="6" t="n">
        <v>2026</v>
      </c>
      <c r="I225" s="6" t="n">
        <f aca="false">H225</f>
        <v>2026</v>
      </c>
      <c r="J225" s="6" t="n">
        <v>2000</v>
      </c>
      <c r="K225" s="4" t="s">
        <v>299</v>
      </c>
      <c r="L225" s="7" t="n">
        <v>45247</v>
      </c>
      <c r="M225" s="8" t="n">
        <v>48899</v>
      </c>
      <c r="O225" s="8" t="n">
        <v>47074</v>
      </c>
      <c r="P225" s="8" t="n">
        <v>47073</v>
      </c>
      <c r="Q225" s="9" t="n">
        <v>100000</v>
      </c>
      <c r="R225" s="9" t="n">
        <f aca="false">Q225</f>
        <v>100000</v>
      </c>
      <c r="T225" s="9" t="n">
        <v>71800</v>
      </c>
      <c r="U225" s="9" t="n">
        <f aca="false">T225</f>
        <v>71800</v>
      </c>
      <c r="V225" s="63" t="n">
        <v>100000</v>
      </c>
      <c r="W225" s="9" t="n">
        <f aca="false">V225</f>
        <v>100000</v>
      </c>
      <c r="X225" s="44" t="n">
        <f aca="false">T225/H225</f>
        <v>35.4392892398815</v>
      </c>
      <c r="Y225" s="9" t="s">
        <v>39</v>
      </c>
      <c r="Z225" s="40"/>
      <c r="AB225" s="5" t="s">
        <v>40</v>
      </c>
      <c r="AC225" s="4" t="s">
        <v>300</v>
      </c>
      <c r="AF225" s="57"/>
    </row>
    <row r="226" customFormat="false" ht="28.5" hidden="false" customHeight="true" outlineLevel="0" collapsed="false">
      <c r="A226" s="28"/>
      <c r="B226" s="11" t="s">
        <v>102</v>
      </c>
      <c r="C226" s="11" t="s">
        <v>35</v>
      </c>
      <c r="D226" s="28" t="n">
        <v>550180</v>
      </c>
      <c r="E226" s="4" t="s">
        <v>297</v>
      </c>
      <c r="F226" s="4" t="s">
        <v>248</v>
      </c>
      <c r="G226" s="5" t="s">
        <v>229</v>
      </c>
      <c r="H226" s="6" t="n">
        <v>2202</v>
      </c>
      <c r="I226" s="6" t="n">
        <f aca="false">H226</f>
        <v>2202</v>
      </c>
      <c r="J226" s="6" t="n">
        <v>2000</v>
      </c>
      <c r="K226" s="4" t="s">
        <v>301</v>
      </c>
      <c r="L226" s="7" t="n">
        <v>44497</v>
      </c>
      <c r="M226" s="8" t="n">
        <v>46322</v>
      </c>
      <c r="Q226" s="9" t="n">
        <v>96000</v>
      </c>
      <c r="R226" s="9" t="n">
        <f aca="false">Q226</f>
        <v>96000</v>
      </c>
      <c r="T226" s="9" t="n">
        <v>78600</v>
      </c>
      <c r="U226" s="9" t="n">
        <f aca="false">T226</f>
        <v>78600</v>
      </c>
      <c r="V226" s="63" t="n">
        <v>96000</v>
      </c>
      <c r="W226" s="9" t="n">
        <f aca="false">V226</f>
        <v>96000</v>
      </c>
      <c r="X226" s="44" t="n">
        <f aca="false">T226/H226</f>
        <v>35.6948228882834</v>
      </c>
      <c r="Y226" s="9" t="s">
        <v>39</v>
      </c>
      <c r="Z226" s="40"/>
      <c r="AB226" s="5" t="s">
        <v>40</v>
      </c>
      <c r="AF226" s="57"/>
    </row>
    <row r="227" customFormat="false" ht="21.75" hidden="false" customHeight="true" outlineLevel="0" collapsed="false">
      <c r="A227" s="28"/>
      <c r="B227" s="11" t="s">
        <v>102</v>
      </c>
      <c r="C227" s="11" t="s">
        <v>35</v>
      </c>
      <c r="D227" s="28" t="n">
        <v>550180</v>
      </c>
      <c r="E227" s="4" t="s">
        <v>297</v>
      </c>
      <c r="F227" s="4" t="s">
        <v>85</v>
      </c>
      <c r="G227" s="5" t="s">
        <v>302</v>
      </c>
      <c r="H227" s="6" t="n">
        <v>1977</v>
      </c>
      <c r="I227" s="6" t="n">
        <f aca="false">H227</f>
        <v>1977</v>
      </c>
      <c r="J227" s="6" t="n">
        <v>2000</v>
      </c>
      <c r="K227" s="4" t="s">
        <v>299</v>
      </c>
      <c r="L227" s="78" t="n">
        <v>45748</v>
      </c>
      <c r="M227" s="79" t="n">
        <v>45930</v>
      </c>
      <c r="Q227" s="63" t="n">
        <v>96000</v>
      </c>
      <c r="R227" s="9" t="n">
        <f aca="false">Q227</f>
        <v>96000</v>
      </c>
      <c r="T227" s="9" t="n">
        <v>121900</v>
      </c>
      <c r="U227" s="9" t="n">
        <f aca="false">T227</f>
        <v>121900</v>
      </c>
      <c r="V227" s="63" t="n">
        <v>133400</v>
      </c>
      <c r="W227" s="9" t="n">
        <f aca="false">V227</f>
        <v>133400</v>
      </c>
      <c r="X227" s="44" t="n">
        <f aca="false">T227/H227</f>
        <v>61.6590794132524</v>
      </c>
      <c r="Y227" s="9" t="s">
        <v>57</v>
      </c>
      <c r="Z227" s="40"/>
      <c r="AB227" s="5" t="s">
        <v>40</v>
      </c>
      <c r="AC227" s="58" t="s">
        <v>303</v>
      </c>
      <c r="AE227" s="58"/>
      <c r="AF227" s="59"/>
      <c r="AG227" s="58"/>
    </row>
    <row r="228" customFormat="false" ht="22.5" hidden="false" customHeight="true" outlineLevel="0" collapsed="false">
      <c r="A228" s="28"/>
      <c r="B228" s="11" t="s">
        <v>102</v>
      </c>
      <c r="C228" s="11" t="s">
        <v>35</v>
      </c>
      <c r="D228" s="28" t="n">
        <v>550180</v>
      </c>
      <c r="E228" s="4" t="s">
        <v>297</v>
      </c>
      <c r="F228" s="4" t="s">
        <v>89</v>
      </c>
      <c r="G228" s="5" t="s">
        <v>37</v>
      </c>
      <c r="H228" s="6" t="n">
        <v>1938</v>
      </c>
      <c r="I228" s="6" t="n">
        <f aca="false">H228</f>
        <v>1938</v>
      </c>
      <c r="J228" s="6" t="n">
        <v>2000</v>
      </c>
      <c r="K228" s="58" t="s">
        <v>63</v>
      </c>
      <c r="L228" s="79"/>
      <c r="M228" s="79"/>
      <c r="N228" s="79" t="n">
        <v>45864</v>
      </c>
      <c r="Q228" s="63" t="n">
        <v>0</v>
      </c>
      <c r="R228" s="9" t="n">
        <f aca="false">Q228</f>
        <v>0</v>
      </c>
      <c r="T228" s="9" t="n">
        <v>121800</v>
      </c>
      <c r="U228" s="9" t="n">
        <f aca="false">T228</f>
        <v>121800</v>
      </c>
      <c r="V228" s="63" t="n">
        <v>130800</v>
      </c>
      <c r="W228" s="9" t="n">
        <f aca="false">V228</f>
        <v>130800</v>
      </c>
      <c r="X228" s="44" t="n">
        <f aca="false">T228/H228</f>
        <v>62.8482972136223</v>
      </c>
      <c r="Y228" s="9" t="s">
        <v>57</v>
      </c>
      <c r="Z228" s="40"/>
      <c r="AB228" s="5" t="s">
        <v>40</v>
      </c>
      <c r="AC228" s="58" t="s">
        <v>64</v>
      </c>
      <c r="AF228" s="57"/>
    </row>
    <row r="229" customFormat="false" ht="21.75" hidden="false" customHeight="true" outlineLevel="0" collapsed="false">
      <c r="A229" s="28"/>
      <c r="B229" s="11" t="s">
        <v>102</v>
      </c>
      <c r="C229" s="11" t="s">
        <v>35</v>
      </c>
      <c r="D229" s="28" t="n">
        <v>550180</v>
      </c>
      <c r="E229" s="4" t="s">
        <v>297</v>
      </c>
      <c r="F229" s="4" t="s">
        <v>90</v>
      </c>
      <c r="G229" s="5" t="s">
        <v>304</v>
      </c>
      <c r="H229" s="6" t="n">
        <v>1961</v>
      </c>
      <c r="I229" s="6" t="n">
        <f aca="false">H229</f>
        <v>1961</v>
      </c>
      <c r="J229" s="6" t="n">
        <v>2000</v>
      </c>
      <c r="K229" s="4" t="s">
        <v>305</v>
      </c>
      <c r="L229" s="7" t="n">
        <v>45357</v>
      </c>
      <c r="M229" s="8" t="n">
        <v>47182</v>
      </c>
      <c r="Q229" s="9" t="n">
        <v>137025</v>
      </c>
      <c r="R229" s="9" t="n">
        <f aca="false">Q229</f>
        <v>137025</v>
      </c>
      <c r="T229" s="9" t="n">
        <v>121800</v>
      </c>
      <c r="U229" s="9" t="n">
        <f aca="false">T229</f>
        <v>121800</v>
      </c>
      <c r="V229" s="63" t="n">
        <v>137025</v>
      </c>
      <c r="W229" s="9" t="n">
        <f aca="false">V229</f>
        <v>137025</v>
      </c>
      <c r="X229" s="44" t="n">
        <f aca="false">T229/H229</f>
        <v>62.1111677715451</v>
      </c>
      <c r="Y229" s="9" t="s">
        <v>52</v>
      </c>
      <c r="Z229" s="40"/>
      <c r="AB229" s="5" t="s">
        <v>40</v>
      </c>
      <c r="AF229" s="57"/>
    </row>
    <row r="230" customFormat="false" ht="21.75" hidden="false" customHeight="true" outlineLevel="0" collapsed="false">
      <c r="A230" s="28"/>
      <c r="B230" s="11" t="s">
        <v>102</v>
      </c>
      <c r="C230" s="11" t="s">
        <v>35</v>
      </c>
      <c r="D230" s="28" t="n">
        <v>550180</v>
      </c>
      <c r="E230" s="4" t="s">
        <v>297</v>
      </c>
      <c r="F230" s="4" t="s">
        <v>114</v>
      </c>
      <c r="G230" s="5" t="s">
        <v>304</v>
      </c>
      <c r="H230" s="6" t="n">
        <v>1992</v>
      </c>
      <c r="I230" s="6" t="n">
        <f aca="false">H230</f>
        <v>1992</v>
      </c>
      <c r="J230" s="6" t="n">
        <v>2000</v>
      </c>
      <c r="K230" s="4" t="s">
        <v>63</v>
      </c>
      <c r="L230" s="8"/>
      <c r="N230" s="8" t="n">
        <v>45596</v>
      </c>
      <c r="Q230" s="9" t="n">
        <v>0</v>
      </c>
      <c r="R230" s="9" t="n">
        <f aca="false">Q230</f>
        <v>0</v>
      </c>
      <c r="T230" s="9" t="n">
        <v>117300</v>
      </c>
      <c r="U230" s="9" t="n">
        <f aca="false">T230</f>
        <v>117300</v>
      </c>
      <c r="V230" s="63" t="n">
        <v>129500</v>
      </c>
      <c r="W230" s="9" t="n">
        <f aca="false">V230</f>
        <v>129500</v>
      </c>
      <c r="X230" s="44" t="n">
        <f aca="false">T230/H230</f>
        <v>58.8855421686747</v>
      </c>
      <c r="Y230" s="9" t="s">
        <v>57</v>
      </c>
      <c r="Z230" s="40"/>
      <c r="AB230" s="5" t="s">
        <v>40</v>
      </c>
      <c r="AC230" s="58" t="s">
        <v>64</v>
      </c>
      <c r="AD230" s="15" t="n">
        <v>72.5</v>
      </c>
      <c r="AF230" s="57" t="n">
        <v>2</v>
      </c>
      <c r="AG230" s="4" t="s">
        <v>54</v>
      </c>
    </row>
    <row r="231" customFormat="false" ht="31.5" hidden="false" customHeight="true" outlineLevel="0" collapsed="false">
      <c r="A231" s="28"/>
      <c r="B231" s="11" t="s">
        <v>102</v>
      </c>
      <c r="C231" s="11" t="s">
        <v>35</v>
      </c>
      <c r="D231" s="28" t="n">
        <v>550180</v>
      </c>
      <c r="E231" s="4" t="s">
        <v>297</v>
      </c>
      <c r="F231" s="4" t="s">
        <v>176</v>
      </c>
      <c r="G231" s="5" t="s">
        <v>306</v>
      </c>
      <c r="H231" s="54" t="n">
        <v>1674</v>
      </c>
      <c r="I231" s="6" t="n">
        <f aca="false">H231</f>
        <v>1674</v>
      </c>
      <c r="J231" s="6" t="n">
        <v>1500</v>
      </c>
      <c r="K231" s="4" t="s">
        <v>307</v>
      </c>
      <c r="L231" s="7" t="n">
        <v>44805</v>
      </c>
      <c r="M231" s="8" t="n">
        <v>46630</v>
      </c>
      <c r="P231" s="8" t="n">
        <v>45900</v>
      </c>
      <c r="Q231" s="9" t="n">
        <v>98280</v>
      </c>
      <c r="R231" s="9" t="n">
        <f aca="false">Q231</f>
        <v>98280</v>
      </c>
      <c r="T231" s="9" t="n">
        <v>100400</v>
      </c>
      <c r="U231" s="9" t="n">
        <f aca="false">T231</f>
        <v>100400</v>
      </c>
      <c r="V231" s="63" t="n">
        <v>113000</v>
      </c>
      <c r="W231" s="9" t="n">
        <f aca="false">V231</f>
        <v>113000</v>
      </c>
      <c r="X231" s="44" t="n">
        <f aca="false">T231/H231</f>
        <v>59.9761051373955</v>
      </c>
      <c r="Y231" s="63" t="s">
        <v>52</v>
      </c>
      <c r="Z231" s="40"/>
      <c r="AB231" s="5" t="s">
        <v>40</v>
      </c>
      <c r="AC231" s="4" t="s">
        <v>308</v>
      </c>
      <c r="AF231" s="57"/>
    </row>
    <row r="232" customFormat="false" ht="14.25" hidden="false" customHeight="true" outlineLevel="0" collapsed="false">
      <c r="A232" s="28"/>
      <c r="B232" s="11"/>
      <c r="C232" s="11" t="s">
        <v>35</v>
      </c>
      <c r="D232" s="28"/>
      <c r="E232" s="4"/>
      <c r="T232" s="9"/>
      <c r="U232" s="9"/>
      <c r="V232" s="63"/>
      <c r="W232" s="9"/>
      <c r="X232" s="9"/>
      <c r="Y232" s="9"/>
      <c r="Z232" s="40"/>
      <c r="AB232" s="5"/>
      <c r="AF232" s="57"/>
    </row>
    <row r="233" customFormat="false" ht="14.25" hidden="false" customHeight="true" outlineLevel="0" collapsed="false">
      <c r="A233" s="28"/>
      <c r="B233" s="11"/>
      <c r="C233" s="11" t="s">
        <v>35</v>
      </c>
      <c r="D233" s="28"/>
      <c r="E233" s="4"/>
      <c r="F233" s="45" t="s">
        <v>309</v>
      </c>
      <c r="H233" s="60" t="n">
        <f aca="false">SUM(H225:H231)</f>
        <v>13770</v>
      </c>
      <c r="I233" s="42"/>
      <c r="J233" s="42"/>
      <c r="Q233" s="42" t="n">
        <f aca="false">SUM(Q225:Q231)</f>
        <v>527305</v>
      </c>
      <c r="R233" s="42"/>
      <c r="S233" s="42" t="n">
        <f aca="false">SUM(R223:R232)</f>
        <v>527305</v>
      </c>
      <c r="T233" s="41" t="n">
        <f aca="false">SUM(T225:T231)</f>
        <v>733600</v>
      </c>
      <c r="U233" s="42"/>
      <c r="V233" s="60" t="n">
        <f aca="false">SUM(V225:V231)</f>
        <v>839725</v>
      </c>
      <c r="W233" s="42"/>
      <c r="X233" s="42"/>
      <c r="Y233" s="42"/>
      <c r="Z233" s="64"/>
      <c r="AA233" s="43" t="n">
        <v>11125000</v>
      </c>
      <c r="AB233" s="5"/>
      <c r="AE233" s="58"/>
      <c r="AF233" s="59"/>
      <c r="AG233" s="58"/>
    </row>
    <row r="234" customFormat="false" ht="14.25" hidden="false" customHeight="true" outlineLevel="0" collapsed="false">
      <c r="A234" s="28"/>
      <c r="B234" s="11"/>
      <c r="C234" s="11" t="s">
        <v>35</v>
      </c>
      <c r="D234" s="28"/>
      <c r="E234" s="4"/>
      <c r="H234" s="41"/>
      <c r="I234" s="42"/>
      <c r="J234" s="42"/>
      <c r="Q234" s="42"/>
      <c r="R234" s="42"/>
      <c r="S234" s="42"/>
      <c r="T234" s="42"/>
      <c r="U234" s="42"/>
      <c r="V234" s="43"/>
      <c r="W234" s="42"/>
      <c r="X234" s="42"/>
      <c r="Y234" s="42"/>
      <c r="Z234" s="64"/>
      <c r="AA234" s="62"/>
      <c r="AB234" s="5"/>
      <c r="AF234" s="57"/>
    </row>
    <row r="235" customFormat="false" ht="14.25" hidden="false" customHeight="true" outlineLevel="0" collapsed="false">
      <c r="A235" s="28"/>
      <c r="B235" s="11"/>
      <c r="C235" s="11" t="s">
        <v>35</v>
      </c>
      <c r="D235" s="28"/>
      <c r="E235" s="4"/>
      <c r="G235" s="38" t="s">
        <v>310</v>
      </c>
      <c r="I235" s="9"/>
      <c r="J235" s="9"/>
      <c r="K235" s="39"/>
      <c r="P235" s="96"/>
      <c r="T235" s="11"/>
      <c r="U235" s="9"/>
      <c r="W235" s="9"/>
      <c r="X235" s="9"/>
      <c r="Y235" s="9"/>
      <c r="Z235" s="40"/>
      <c r="AB235" s="5"/>
      <c r="AF235" s="57"/>
    </row>
    <row r="236" customFormat="false" ht="14.25" hidden="false" customHeight="true" outlineLevel="0" collapsed="false">
      <c r="A236" s="28"/>
      <c r="B236" s="11"/>
      <c r="C236" s="11" t="s">
        <v>35</v>
      </c>
      <c r="D236" s="28"/>
      <c r="E236" s="4"/>
      <c r="I236" s="9"/>
      <c r="J236" s="9"/>
      <c r="P236" s="97"/>
      <c r="T236" s="9"/>
      <c r="U236" s="9"/>
      <c r="V236" s="63"/>
      <c r="W236" s="9"/>
      <c r="X236" s="9"/>
      <c r="Y236" s="9"/>
      <c r="Z236" s="40"/>
      <c r="AB236" s="5"/>
      <c r="AF236" s="57"/>
    </row>
    <row r="237" customFormat="false" ht="22.5" hidden="false" customHeight="true" outlineLevel="0" collapsed="false">
      <c r="A237" s="28"/>
      <c r="B237" s="11" t="s">
        <v>102</v>
      </c>
      <c r="C237" s="11" t="s">
        <v>35</v>
      </c>
      <c r="D237" s="28" t="n">
        <v>550420</v>
      </c>
      <c r="E237" s="4" t="s">
        <v>310</v>
      </c>
      <c r="F237" s="4" t="s">
        <v>311</v>
      </c>
      <c r="G237" s="5" t="s">
        <v>229</v>
      </c>
      <c r="H237" s="6" t="n">
        <v>1115</v>
      </c>
      <c r="I237" s="6" t="n">
        <f aca="false">H237</f>
        <v>1115</v>
      </c>
      <c r="J237" s="6" t="n">
        <v>1000</v>
      </c>
      <c r="K237" s="4" t="s">
        <v>312</v>
      </c>
      <c r="L237" s="7" t="n">
        <v>45504</v>
      </c>
      <c r="M237" s="8" t="n">
        <v>47329</v>
      </c>
      <c r="P237" s="8" t="n">
        <v>46599</v>
      </c>
      <c r="Q237" s="9" t="n">
        <v>65000</v>
      </c>
      <c r="R237" s="9" t="n">
        <f aca="false">Q237</f>
        <v>65000</v>
      </c>
      <c r="T237" s="9" t="n">
        <v>50400</v>
      </c>
      <c r="U237" s="9" t="n">
        <f aca="false">T237</f>
        <v>50400</v>
      </c>
      <c r="V237" s="63" t="n">
        <v>63500</v>
      </c>
      <c r="W237" s="9" t="n">
        <f aca="false">V237</f>
        <v>63500</v>
      </c>
      <c r="X237" s="44" t="n">
        <f aca="false">T237/H237</f>
        <v>45.2017937219731</v>
      </c>
      <c r="Y237" s="9" t="s">
        <v>39</v>
      </c>
      <c r="Z237" s="40"/>
      <c r="AB237" s="5" t="s">
        <v>40</v>
      </c>
      <c r="AC237" s="4" t="s">
        <v>73</v>
      </c>
      <c r="AE237" s="58"/>
      <c r="AF237" s="59"/>
      <c r="AG237" s="58"/>
    </row>
    <row r="238" customFormat="false" ht="22.5" hidden="false" customHeight="true" outlineLevel="0" collapsed="false">
      <c r="A238" s="28"/>
      <c r="B238" s="11" t="s">
        <v>102</v>
      </c>
      <c r="C238" s="11" t="s">
        <v>35</v>
      </c>
      <c r="D238" s="28" t="n">
        <v>550420</v>
      </c>
      <c r="E238" s="4" t="s">
        <v>310</v>
      </c>
      <c r="F238" s="4" t="s">
        <v>313</v>
      </c>
      <c r="G238" s="5" t="s">
        <v>314</v>
      </c>
      <c r="H238" s="6" t="n">
        <v>488</v>
      </c>
      <c r="I238" s="6" t="n">
        <f aca="false">H238</f>
        <v>488</v>
      </c>
      <c r="J238" s="6" t="n">
        <v>500</v>
      </c>
      <c r="K238" s="4" t="s">
        <v>315</v>
      </c>
      <c r="L238" s="7" t="n">
        <v>45439</v>
      </c>
      <c r="M238" s="8" t="n">
        <v>47264</v>
      </c>
      <c r="Q238" s="9" t="n">
        <v>16000</v>
      </c>
      <c r="R238" s="9" t="n">
        <f aca="false">Q238</f>
        <v>16000</v>
      </c>
      <c r="T238" s="9" t="n">
        <v>13100</v>
      </c>
      <c r="U238" s="9" t="n">
        <f aca="false">T238</f>
        <v>13100</v>
      </c>
      <c r="V238" s="63" t="n">
        <v>14600</v>
      </c>
      <c r="W238" s="9" t="n">
        <f aca="false">V238</f>
        <v>14600</v>
      </c>
      <c r="X238" s="44" t="n">
        <f aca="false">T238/H238</f>
        <v>26.844262295082</v>
      </c>
      <c r="Y238" s="9" t="s">
        <v>39</v>
      </c>
      <c r="Z238" s="40"/>
      <c r="AB238" s="5" t="s">
        <v>40</v>
      </c>
      <c r="AC238" s="68"/>
      <c r="AE238" s="68"/>
      <c r="AF238" s="98"/>
      <c r="AG238" s="68"/>
    </row>
    <row r="239" customFormat="false" ht="28.5" hidden="false" customHeight="true" outlineLevel="0" collapsed="false">
      <c r="A239" s="28"/>
      <c r="B239" s="11" t="s">
        <v>102</v>
      </c>
      <c r="C239" s="11" t="s">
        <v>35</v>
      </c>
      <c r="D239" s="28" t="n">
        <v>550420</v>
      </c>
      <c r="E239" s="4" t="s">
        <v>310</v>
      </c>
      <c r="F239" s="4" t="s">
        <v>316</v>
      </c>
      <c r="G239" s="5" t="s">
        <v>229</v>
      </c>
      <c r="H239" s="6" t="n">
        <v>1064</v>
      </c>
      <c r="I239" s="6" t="n">
        <f aca="false">H239</f>
        <v>1064</v>
      </c>
      <c r="J239" s="6" t="n">
        <v>100</v>
      </c>
      <c r="K239" s="4" t="s">
        <v>317</v>
      </c>
      <c r="L239" s="7" t="n">
        <v>44515</v>
      </c>
      <c r="M239" s="8" t="n">
        <v>46340</v>
      </c>
      <c r="Q239" s="9" t="n">
        <v>48000</v>
      </c>
      <c r="R239" s="9" t="n">
        <f aca="false">Q239</f>
        <v>48000</v>
      </c>
      <c r="T239" s="9" t="n">
        <v>48000</v>
      </c>
      <c r="U239" s="9" t="n">
        <f aca="false">T239</f>
        <v>48000</v>
      </c>
      <c r="V239" s="63" t="n">
        <v>48000</v>
      </c>
      <c r="W239" s="9" t="n">
        <f aca="false">V239</f>
        <v>48000</v>
      </c>
      <c r="X239" s="44" t="n">
        <f aca="false">T239/H239</f>
        <v>45.1127819548872</v>
      </c>
      <c r="Y239" s="9" t="s">
        <v>57</v>
      </c>
      <c r="Z239" s="40"/>
      <c r="AB239" s="5" t="s">
        <v>40</v>
      </c>
      <c r="AF239" s="57"/>
    </row>
    <row r="240" customFormat="false" ht="22.5" hidden="false" customHeight="true" outlineLevel="0" collapsed="false">
      <c r="A240" s="28"/>
      <c r="B240" s="11" t="s">
        <v>102</v>
      </c>
      <c r="C240" s="11" t="s">
        <v>35</v>
      </c>
      <c r="D240" s="28" t="n">
        <v>550420</v>
      </c>
      <c r="E240" s="4" t="s">
        <v>310</v>
      </c>
      <c r="F240" s="4" t="s">
        <v>318</v>
      </c>
      <c r="G240" s="5" t="s">
        <v>37</v>
      </c>
      <c r="H240" s="6" t="n">
        <v>325</v>
      </c>
      <c r="I240" s="6" t="n">
        <f aca="false">H240</f>
        <v>325</v>
      </c>
      <c r="J240" s="6" t="n">
        <v>500</v>
      </c>
      <c r="K240" s="4" t="s">
        <v>319</v>
      </c>
      <c r="L240" s="7" t="n">
        <v>45709</v>
      </c>
      <c r="M240" s="8" t="n">
        <v>47066</v>
      </c>
      <c r="Q240" s="9" t="n">
        <v>25310</v>
      </c>
      <c r="R240" s="9" t="n">
        <f aca="false">Q240</f>
        <v>25310</v>
      </c>
      <c r="T240" s="9" t="n">
        <v>28000</v>
      </c>
      <c r="U240" s="9" t="n">
        <f aca="false">T240</f>
        <v>28000</v>
      </c>
      <c r="V240" s="63" t="n">
        <v>20000</v>
      </c>
      <c r="W240" s="9" t="n">
        <f aca="false">V240</f>
        <v>20000</v>
      </c>
      <c r="X240" s="44" t="n">
        <f aca="false">T240/H240</f>
        <v>86.1538461538462</v>
      </c>
      <c r="Y240" s="63" t="s">
        <v>52</v>
      </c>
      <c r="Z240" s="40"/>
      <c r="AB240" s="5" t="s">
        <v>40</v>
      </c>
      <c r="AC240" s="4" t="s">
        <v>320</v>
      </c>
      <c r="AF240" s="57" t="n">
        <v>1</v>
      </c>
      <c r="AG240" s="4" t="s">
        <v>54</v>
      </c>
    </row>
    <row r="241" customFormat="false" ht="30.75" hidden="false" customHeight="true" outlineLevel="0" collapsed="false">
      <c r="A241" s="28"/>
      <c r="B241" s="11" t="s">
        <v>102</v>
      </c>
      <c r="C241" s="11" t="s">
        <v>35</v>
      </c>
      <c r="D241" s="28" t="n">
        <v>550420</v>
      </c>
      <c r="E241" s="4" t="s">
        <v>310</v>
      </c>
      <c r="F241" s="4" t="s">
        <v>321</v>
      </c>
      <c r="G241" s="5" t="s">
        <v>37</v>
      </c>
      <c r="H241" s="6" t="n">
        <v>1335</v>
      </c>
      <c r="I241" s="6" t="n">
        <f aca="false">H241</f>
        <v>1335</v>
      </c>
      <c r="J241" s="6" t="n">
        <v>1250</v>
      </c>
      <c r="K241" s="4" t="s">
        <v>322</v>
      </c>
      <c r="L241" s="7" t="n">
        <v>45624</v>
      </c>
      <c r="M241" s="8" t="n">
        <v>47449</v>
      </c>
      <c r="P241" s="8" t="n">
        <v>46718</v>
      </c>
      <c r="Q241" s="9" t="n">
        <v>40200</v>
      </c>
      <c r="R241" s="9" t="n">
        <f aca="false">Q241</f>
        <v>40200</v>
      </c>
      <c r="T241" s="9" t="n">
        <v>73700</v>
      </c>
      <c r="U241" s="9" t="n">
        <f aca="false">T241</f>
        <v>73700</v>
      </c>
      <c r="V241" s="63" t="n">
        <v>80400</v>
      </c>
      <c r="W241" s="9" t="n">
        <f aca="false">V241</f>
        <v>80400</v>
      </c>
      <c r="X241" s="44" t="n">
        <f aca="false">T241/H241</f>
        <v>55.2059925093633</v>
      </c>
      <c r="Y241" s="63" t="s">
        <v>52</v>
      </c>
      <c r="Z241" s="40"/>
      <c r="AB241" s="5" t="s">
        <v>40</v>
      </c>
      <c r="AC241" s="4" t="s">
        <v>323</v>
      </c>
      <c r="AF241" s="57" t="n">
        <v>1</v>
      </c>
      <c r="AG241" s="4" t="s">
        <v>54</v>
      </c>
    </row>
    <row r="242" customFormat="false" ht="22.5" hidden="false" customHeight="true" outlineLevel="0" collapsed="false">
      <c r="A242" s="28"/>
      <c r="B242" s="11" t="s">
        <v>102</v>
      </c>
      <c r="C242" s="11" t="s">
        <v>35</v>
      </c>
      <c r="D242" s="28" t="n">
        <v>550420</v>
      </c>
      <c r="E242" s="4" t="s">
        <v>310</v>
      </c>
      <c r="F242" s="4" t="s">
        <v>324</v>
      </c>
      <c r="G242" s="5" t="s">
        <v>37</v>
      </c>
      <c r="H242" s="6" t="n">
        <v>533</v>
      </c>
      <c r="I242" s="6" t="n">
        <f aca="false">H242</f>
        <v>533</v>
      </c>
      <c r="J242" s="6" t="n">
        <v>500</v>
      </c>
      <c r="K242" s="4" t="s">
        <v>63</v>
      </c>
      <c r="N242" s="8" t="n">
        <v>44536</v>
      </c>
      <c r="Q242" s="9" t="n">
        <v>0</v>
      </c>
      <c r="R242" s="9" t="n">
        <f aca="false">Q242</f>
        <v>0</v>
      </c>
      <c r="T242" s="9" t="n">
        <v>28900</v>
      </c>
      <c r="U242" s="9" t="n">
        <f aca="false">T242</f>
        <v>28900</v>
      </c>
      <c r="V242" s="63" t="n">
        <v>30600</v>
      </c>
      <c r="W242" s="9" t="n">
        <f aca="false">V242</f>
        <v>30600</v>
      </c>
      <c r="X242" s="44" t="n">
        <f aca="false">T242/H242</f>
        <v>54.2213883677298</v>
      </c>
      <c r="Y242" s="9" t="s">
        <v>39</v>
      </c>
      <c r="Z242" s="40"/>
      <c r="AB242" s="5" t="s">
        <v>40</v>
      </c>
      <c r="AC242" s="58" t="s">
        <v>272</v>
      </c>
      <c r="AF242" s="57"/>
    </row>
    <row r="243" customFormat="false" ht="24" hidden="false" customHeight="true" outlineLevel="0" collapsed="false">
      <c r="A243" s="28"/>
      <c r="B243" s="11" t="s">
        <v>102</v>
      </c>
      <c r="C243" s="11" t="s">
        <v>35</v>
      </c>
      <c r="D243" s="28" t="n">
        <v>550420</v>
      </c>
      <c r="E243" s="4" t="s">
        <v>310</v>
      </c>
      <c r="F243" s="4" t="s">
        <v>89</v>
      </c>
      <c r="G243" s="5" t="s">
        <v>37</v>
      </c>
      <c r="H243" s="6" t="n">
        <v>1404</v>
      </c>
      <c r="I243" s="6" t="n">
        <f aca="false">H243</f>
        <v>1404</v>
      </c>
      <c r="J243" s="6" t="n">
        <v>1500</v>
      </c>
      <c r="K243" s="4" t="s">
        <v>325</v>
      </c>
      <c r="L243" s="7" t="n">
        <v>44490</v>
      </c>
      <c r="M243" s="8" t="n">
        <v>45930</v>
      </c>
      <c r="O243" s="8" t="n">
        <v>45258</v>
      </c>
      <c r="Q243" s="9" t="n">
        <v>78800</v>
      </c>
      <c r="R243" s="9" t="n">
        <f aca="false">Q243</f>
        <v>78800</v>
      </c>
      <c r="T243" s="9" t="n">
        <v>79100</v>
      </c>
      <c r="U243" s="9" t="n">
        <f aca="false">T243</f>
        <v>79100</v>
      </c>
      <c r="V243" s="63" t="n">
        <v>87800</v>
      </c>
      <c r="W243" s="9" t="n">
        <f aca="false">V243</f>
        <v>87800</v>
      </c>
      <c r="X243" s="44" t="n">
        <f aca="false">T243/H243</f>
        <v>56.3390313390313</v>
      </c>
      <c r="Y243" s="9" t="s">
        <v>39</v>
      </c>
      <c r="Z243" s="40"/>
      <c r="AB243" s="5" t="s">
        <v>40</v>
      </c>
      <c r="AF243" s="57"/>
    </row>
    <row r="244" s="69" customFormat="true" ht="22.5" hidden="false" customHeight="true" outlineLevel="0" collapsed="false">
      <c r="A244" s="28"/>
      <c r="B244" s="11" t="s">
        <v>102</v>
      </c>
      <c r="C244" s="11" t="s">
        <v>35</v>
      </c>
      <c r="D244" s="28" t="n">
        <v>550420</v>
      </c>
      <c r="E244" s="4" t="s">
        <v>310</v>
      </c>
      <c r="F244" s="4" t="s">
        <v>90</v>
      </c>
      <c r="G244" s="5" t="s">
        <v>37</v>
      </c>
      <c r="H244" s="6" t="n">
        <v>1404</v>
      </c>
      <c r="I244" s="6" t="n">
        <f aca="false">H244</f>
        <v>1404</v>
      </c>
      <c r="J244" s="6" t="n">
        <v>1500</v>
      </c>
      <c r="K244" s="4" t="s">
        <v>325</v>
      </c>
      <c r="L244" s="7" t="n">
        <v>45259</v>
      </c>
      <c r="M244" s="8" t="n">
        <v>45930</v>
      </c>
      <c r="N244" s="8"/>
      <c r="O244" s="8"/>
      <c r="P244" s="8" t="n">
        <v>45930</v>
      </c>
      <c r="Q244" s="9" t="n">
        <v>78800</v>
      </c>
      <c r="R244" s="9" t="n">
        <f aca="false">Q244</f>
        <v>78800</v>
      </c>
      <c r="S244" s="9"/>
      <c r="T244" s="9" t="n">
        <v>79600</v>
      </c>
      <c r="U244" s="9" t="n">
        <f aca="false">T244</f>
        <v>79600</v>
      </c>
      <c r="V244" s="63" t="n">
        <v>87800</v>
      </c>
      <c r="W244" s="9" t="n">
        <f aca="false">V244</f>
        <v>87800</v>
      </c>
      <c r="X244" s="44" t="n">
        <f aca="false">T244/H244</f>
        <v>56.6951566951567</v>
      </c>
      <c r="Y244" s="9" t="s">
        <v>39</v>
      </c>
      <c r="Z244" s="40"/>
      <c r="AA244" s="13"/>
      <c r="AB244" s="5" t="s">
        <v>40</v>
      </c>
      <c r="AC244" s="4" t="s">
        <v>326</v>
      </c>
      <c r="AD244" s="15"/>
      <c r="AE244" s="4"/>
      <c r="AF244" s="57"/>
      <c r="AG244" s="4"/>
    </row>
    <row r="245" s="69" customFormat="true" ht="28.5" hidden="false" customHeight="true" outlineLevel="0" collapsed="false">
      <c r="A245" s="28"/>
      <c r="B245" s="11" t="s">
        <v>102</v>
      </c>
      <c r="C245" s="11" t="s">
        <v>35</v>
      </c>
      <c r="D245" s="28" t="n">
        <v>550420</v>
      </c>
      <c r="E245" s="4" t="s">
        <v>310</v>
      </c>
      <c r="F245" s="4" t="s">
        <v>114</v>
      </c>
      <c r="G245" s="5" t="s">
        <v>37</v>
      </c>
      <c r="H245" s="6" t="n">
        <v>1330</v>
      </c>
      <c r="I245" s="6" t="n">
        <f aca="false">H245</f>
        <v>1330</v>
      </c>
      <c r="J245" s="6" t="n">
        <v>1250</v>
      </c>
      <c r="K245" s="4" t="s">
        <v>327</v>
      </c>
      <c r="L245" s="7" t="n">
        <v>45762</v>
      </c>
      <c r="M245" s="8" t="n">
        <v>47587</v>
      </c>
      <c r="N245" s="8"/>
      <c r="O245" s="8"/>
      <c r="P245" s="8" t="n">
        <v>46857</v>
      </c>
      <c r="Q245" s="9" t="n">
        <v>86450</v>
      </c>
      <c r="R245" s="9" t="n">
        <f aca="false">Q245</f>
        <v>86450</v>
      </c>
      <c r="S245" s="9"/>
      <c r="T245" s="9" t="n">
        <v>78200</v>
      </c>
      <c r="U245" s="9" t="n">
        <f aca="false">T245</f>
        <v>78200</v>
      </c>
      <c r="V245" s="63" t="n">
        <v>86500</v>
      </c>
      <c r="W245" s="9" t="n">
        <f aca="false">V245</f>
        <v>86500</v>
      </c>
      <c r="X245" s="44" t="n">
        <f aca="false">T245/H245</f>
        <v>58.796992481203</v>
      </c>
      <c r="Y245" s="9" t="s">
        <v>52</v>
      </c>
      <c r="Z245" s="40"/>
      <c r="AA245" s="13"/>
      <c r="AB245" s="5" t="s">
        <v>40</v>
      </c>
      <c r="AC245" s="4" t="s">
        <v>73</v>
      </c>
      <c r="AD245" s="15" t="n">
        <v>63</v>
      </c>
      <c r="AE245" s="4"/>
      <c r="AF245" s="57" t="n">
        <v>4</v>
      </c>
      <c r="AG245" s="4" t="s">
        <v>54</v>
      </c>
    </row>
    <row r="246" customFormat="false" ht="14.25" hidden="false" customHeight="true" outlineLevel="0" collapsed="false">
      <c r="A246" s="28"/>
      <c r="B246" s="11"/>
      <c r="C246" s="11" t="s">
        <v>35</v>
      </c>
      <c r="D246" s="28"/>
      <c r="E246" s="4"/>
      <c r="I246" s="9"/>
      <c r="J246" s="9"/>
      <c r="T246" s="9"/>
      <c r="U246" s="9"/>
      <c r="V246" s="63"/>
      <c r="W246" s="9"/>
      <c r="X246" s="9"/>
      <c r="Y246" s="9"/>
      <c r="Z246" s="40"/>
      <c r="AB246" s="5"/>
      <c r="AF246" s="57"/>
    </row>
    <row r="247" customFormat="false" ht="14.25" hidden="false" customHeight="true" outlineLevel="0" collapsed="false">
      <c r="A247" s="28"/>
      <c r="B247" s="11"/>
      <c r="C247" s="11" t="s">
        <v>35</v>
      </c>
      <c r="D247" s="28"/>
      <c r="E247" s="4"/>
      <c r="F247" s="45" t="s">
        <v>328</v>
      </c>
      <c r="H247" s="41" t="n">
        <f aca="false">SUM(H237:H245)</f>
        <v>8998</v>
      </c>
      <c r="I247" s="42"/>
      <c r="J247" s="42"/>
      <c r="Q247" s="42" t="n">
        <f aca="false">SUM(Q237:Q245)</f>
        <v>438560</v>
      </c>
      <c r="R247" s="42"/>
      <c r="S247" s="42" t="n">
        <f aca="false">SUM(R236:R246)</f>
        <v>438560</v>
      </c>
      <c r="T247" s="42" t="n">
        <f aca="false">SUM(T237:T245)</f>
        <v>479000</v>
      </c>
      <c r="U247" s="42"/>
      <c r="V247" s="43" t="n">
        <f aca="false">SUM(V237:V245)</f>
        <v>519200</v>
      </c>
      <c r="W247" s="42"/>
      <c r="X247" s="42"/>
      <c r="Y247" s="42"/>
      <c r="Z247" s="64"/>
      <c r="AA247" s="43" t="n">
        <v>7475000</v>
      </c>
      <c r="AB247" s="5"/>
      <c r="AE247" s="58"/>
      <c r="AF247" s="59"/>
      <c r="AG247" s="58"/>
    </row>
    <row r="248" customFormat="false" ht="14.25" hidden="false" customHeight="true" outlineLevel="0" collapsed="false">
      <c r="A248" s="28"/>
      <c r="B248" s="11"/>
      <c r="C248" s="11" t="s">
        <v>35</v>
      </c>
      <c r="D248" s="28"/>
      <c r="E248" s="4"/>
      <c r="F248" s="45"/>
      <c r="H248" s="41"/>
      <c r="I248" s="42"/>
      <c r="J248" s="42"/>
      <c r="Q248" s="42"/>
      <c r="R248" s="42"/>
      <c r="S248" s="42"/>
      <c r="T248" s="42"/>
      <c r="U248" s="42"/>
      <c r="V248" s="43"/>
      <c r="W248" s="42"/>
      <c r="X248" s="42"/>
      <c r="Y248" s="42"/>
      <c r="Z248" s="64"/>
      <c r="AA248" s="62"/>
      <c r="AB248" s="5"/>
      <c r="AF248" s="57"/>
    </row>
    <row r="249" customFormat="false" ht="14.25" hidden="false" customHeight="true" outlineLevel="0" collapsed="false">
      <c r="A249" s="28"/>
      <c r="B249" s="11"/>
      <c r="C249" s="11" t="s">
        <v>35</v>
      </c>
      <c r="D249" s="28"/>
      <c r="E249" s="4"/>
      <c r="F249" s="45"/>
      <c r="G249" s="38" t="s">
        <v>329</v>
      </c>
      <c r="H249" s="41"/>
      <c r="I249" s="42"/>
      <c r="J249" s="42"/>
      <c r="Q249" s="42"/>
      <c r="R249" s="42"/>
      <c r="S249" s="42"/>
      <c r="T249" s="42"/>
      <c r="U249" s="42"/>
      <c r="V249" s="43"/>
      <c r="W249" s="42"/>
      <c r="X249" s="42"/>
      <c r="Y249" s="42"/>
      <c r="Z249" s="64"/>
      <c r="AA249" s="62"/>
      <c r="AB249" s="5"/>
      <c r="AF249" s="57"/>
    </row>
    <row r="250" customFormat="false" ht="14.25" hidden="false" customHeight="true" outlineLevel="0" collapsed="false">
      <c r="A250" s="28"/>
      <c r="B250" s="11"/>
      <c r="C250" s="11" t="s">
        <v>35</v>
      </c>
      <c r="D250" s="28"/>
      <c r="E250" s="4"/>
      <c r="I250" s="9"/>
      <c r="J250" s="9"/>
      <c r="T250" s="9"/>
      <c r="U250" s="9"/>
      <c r="V250" s="63"/>
      <c r="W250" s="9"/>
      <c r="X250" s="9"/>
      <c r="Y250" s="9"/>
      <c r="Z250" s="40"/>
      <c r="AB250" s="5"/>
      <c r="AF250" s="57"/>
    </row>
    <row r="251" customFormat="false" ht="22.5" hidden="false" customHeight="true" outlineLevel="0" collapsed="false">
      <c r="A251" s="28"/>
      <c r="B251" s="11" t="s">
        <v>44</v>
      </c>
      <c r="C251" s="11" t="s">
        <v>35</v>
      </c>
      <c r="D251" s="28" t="n">
        <v>550190</v>
      </c>
      <c r="E251" s="4" t="s">
        <v>329</v>
      </c>
      <c r="F251" s="4" t="s">
        <v>330</v>
      </c>
      <c r="G251" s="5" t="s">
        <v>304</v>
      </c>
      <c r="H251" s="6" t="n">
        <v>3443</v>
      </c>
      <c r="I251" s="6" t="n">
        <f aca="false">H251</f>
        <v>3443</v>
      </c>
      <c r="J251" s="6" t="n">
        <v>3500</v>
      </c>
      <c r="K251" s="4" t="s">
        <v>331</v>
      </c>
      <c r="L251" s="7" t="n">
        <v>44348</v>
      </c>
      <c r="M251" s="8" t="n">
        <v>47999</v>
      </c>
      <c r="O251" s="8" t="n">
        <v>46174</v>
      </c>
      <c r="P251" s="8" t="n">
        <v>46173</v>
      </c>
      <c r="Q251" s="9" t="n">
        <v>75000</v>
      </c>
      <c r="R251" s="9" t="n">
        <f aca="false">Q251</f>
        <v>75000</v>
      </c>
      <c r="T251" s="9" t="n">
        <v>75800</v>
      </c>
      <c r="U251" s="9" t="n">
        <f aca="false">T251</f>
        <v>75800</v>
      </c>
      <c r="V251" s="63" t="n">
        <v>75000</v>
      </c>
      <c r="W251" s="9" t="n">
        <f aca="false">V251</f>
        <v>75000</v>
      </c>
      <c r="X251" s="44" t="n">
        <f aca="false">T251/H251</f>
        <v>22.0156839965147</v>
      </c>
      <c r="Y251" s="9" t="s">
        <v>52</v>
      </c>
      <c r="Z251" s="40"/>
      <c r="AB251" s="5" t="s">
        <v>40</v>
      </c>
      <c r="AC251" s="4" t="s">
        <v>332</v>
      </c>
      <c r="AF251" s="57"/>
    </row>
    <row r="252" customFormat="false" ht="28.5" hidden="false" customHeight="true" outlineLevel="0" collapsed="false">
      <c r="A252" s="28"/>
      <c r="B252" s="11" t="s">
        <v>44</v>
      </c>
      <c r="C252" s="11" t="s">
        <v>35</v>
      </c>
      <c r="D252" s="28" t="n">
        <v>550190</v>
      </c>
      <c r="E252" s="4" t="s">
        <v>329</v>
      </c>
      <c r="F252" s="4" t="s">
        <v>333</v>
      </c>
      <c r="G252" s="5" t="s">
        <v>37</v>
      </c>
      <c r="H252" s="6" t="n">
        <v>1946</v>
      </c>
      <c r="I252" s="6" t="n">
        <f aca="false">H252</f>
        <v>1946</v>
      </c>
      <c r="J252" s="6" t="n">
        <v>2000</v>
      </c>
      <c r="K252" s="4" t="s">
        <v>63</v>
      </c>
      <c r="N252" s="8" t="n">
        <v>45154</v>
      </c>
      <c r="Q252" s="9" t="n">
        <v>0</v>
      </c>
      <c r="R252" s="9" t="n">
        <f aca="false">Q252</f>
        <v>0</v>
      </c>
      <c r="T252" s="9" t="n">
        <v>113900</v>
      </c>
      <c r="U252" s="9" t="n">
        <f aca="false">T252</f>
        <v>113900</v>
      </c>
      <c r="V252" s="63" t="n">
        <v>116800</v>
      </c>
      <c r="W252" s="9" t="n">
        <f aca="false">V252</f>
        <v>116800</v>
      </c>
      <c r="X252" s="44" t="n">
        <f aca="false">T252/H252</f>
        <v>58.5303186022611</v>
      </c>
      <c r="Y252" s="9" t="s">
        <v>123</v>
      </c>
      <c r="Z252" s="40"/>
      <c r="AB252" s="5" t="s">
        <v>40</v>
      </c>
      <c r="AC252" s="4" t="s">
        <v>334</v>
      </c>
      <c r="AD252" s="15" t="n">
        <v>60</v>
      </c>
      <c r="AF252" s="57" t="n">
        <v>6</v>
      </c>
      <c r="AG252" s="4" t="s">
        <v>54</v>
      </c>
    </row>
    <row r="253" customFormat="false" ht="22.5" hidden="false" customHeight="true" outlineLevel="0" collapsed="false">
      <c r="A253" s="28"/>
      <c r="B253" s="11" t="s">
        <v>44</v>
      </c>
      <c r="C253" s="11" t="s">
        <v>35</v>
      </c>
      <c r="D253" s="28" t="n">
        <v>550190</v>
      </c>
      <c r="E253" s="4" t="s">
        <v>329</v>
      </c>
      <c r="F253" s="4" t="s">
        <v>85</v>
      </c>
      <c r="G253" s="5" t="s">
        <v>37</v>
      </c>
      <c r="H253" s="6" t="n">
        <v>2319</v>
      </c>
      <c r="I253" s="6" t="n">
        <f aca="false">H253</f>
        <v>2319</v>
      </c>
      <c r="J253" s="6" t="n">
        <v>2250</v>
      </c>
      <c r="K253" s="4" t="s">
        <v>335</v>
      </c>
      <c r="L253" s="7" t="n">
        <v>44839</v>
      </c>
      <c r="M253" s="8" t="n">
        <v>46664</v>
      </c>
      <c r="P253" s="8" t="n">
        <v>45935</v>
      </c>
      <c r="Q253" s="9" t="n">
        <v>153216</v>
      </c>
      <c r="R253" s="9" t="n">
        <f aca="false">Q253</f>
        <v>153216</v>
      </c>
      <c r="T253" s="9" t="n">
        <v>153600</v>
      </c>
      <c r="U253" s="9" t="n">
        <f aca="false">T253</f>
        <v>153600</v>
      </c>
      <c r="V253" s="63" t="n">
        <v>151900</v>
      </c>
      <c r="W253" s="9" t="n">
        <f aca="false">V253</f>
        <v>151900</v>
      </c>
      <c r="X253" s="44" t="n">
        <f aca="false">T253/H253</f>
        <v>66.235446313066</v>
      </c>
      <c r="Y253" s="9" t="s">
        <v>57</v>
      </c>
      <c r="Z253" s="40"/>
      <c r="AB253" s="5" t="s">
        <v>40</v>
      </c>
      <c r="AC253" s="4" t="s">
        <v>336</v>
      </c>
      <c r="AF253" s="57"/>
    </row>
    <row r="254" customFormat="false" ht="28.5" hidden="false" customHeight="true" outlineLevel="0" collapsed="false">
      <c r="A254" s="28"/>
      <c r="B254" s="11" t="s">
        <v>44</v>
      </c>
      <c r="C254" s="11" t="s">
        <v>35</v>
      </c>
      <c r="D254" s="28" t="n">
        <v>550190</v>
      </c>
      <c r="E254" s="4" t="s">
        <v>329</v>
      </c>
      <c r="F254" s="4" t="s">
        <v>337</v>
      </c>
      <c r="G254" s="5" t="s">
        <v>37</v>
      </c>
      <c r="H254" s="6" t="n">
        <v>4653</v>
      </c>
      <c r="I254" s="6" t="n">
        <f aca="false">H254</f>
        <v>4653</v>
      </c>
      <c r="J254" s="6" t="n">
        <v>4500</v>
      </c>
      <c r="K254" s="4" t="s">
        <v>338</v>
      </c>
      <c r="L254" s="7" t="n">
        <v>44879</v>
      </c>
      <c r="M254" s="8" t="n">
        <v>46704</v>
      </c>
      <c r="P254" s="8" t="n">
        <v>45974</v>
      </c>
      <c r="Q254" s="9" t="n">
        <v>310500</v>
      </c>
      <c r="R254" s="9" t="n">
        <f aca="false">Q254</f>
        <v>310500</v>
      </c>
      <c r="T254" s="9" t="n">
        <v>310800</v>
      </c>
      <c r="U254" s="9" t="n">
        <f aca="false">T254</f>
        <v>310800</v>
      </c>
      <c r="V254" s="63" t="n">
        <v>316400</v>
      </c>
      <c r="W254" s="9" t="n">
        <f aca="false">V254</f>
        <v>316400</v>
      </c>
      <c r="X254" s="44" t="n">
        <f aca="false">T254/H254</f>
        <v>66.7956157317859</v>
      </c>
      <c r="Y254" s="9" t="s">
        <v>57</v>
      </c>
      <c r="Z254" s="40"/>
      <c r="AB254" s="5" t="s">
        <v>40</v>
      </c>
      <c r="AC254" s="4" t="s">
        <v>339</v>
      </c>
      <c r="AF254" s="57"/>
    </row>
    <row r="255" customFormat="false" ht="22.5" hidden="false" customHeight="true" outlineLevel="0" collapsed="false">
      <c r="A255" s="28"/>
      <c r="B255" s="11" t="s">
        <v>44</v>
      </c>
      <c r="C255" s="11" t="s">
        <v>35</v>
      </c>
      <c r="D255" s="28" t="n">
        <v>550190</v>
      </c>
      <c r="E255" s="4" t="s">
        <v>329</v>
      </c>
      <c r="F255" s="4" t="s">
        <v>114</v>
      </c>
      <c r="G255" s="5" t="s">
        <v>37</v>
      </c>
      <c r="H255" s="6" t="n">
        <v>2316</v>
      </c>
      <c r="I255" s="6" t="n">
        <f aca="false">H255</f>
        <v>2316</v>
      </c>
      <c r="J255" s="6" t="n">
        <v>2250</v>
      </c>
      <c r="K255" s="4" t="s">
        <v>340</v>
      </c>
      <c r="L255" s="7" t="n">
        <v>44883</v>
      </c>
      <c r="M255" s="8" t="n">
        <v>47074</v>
      </c>
      <c r="Q255" s="9" t="n">
        <v>151875</v>
      </c>
      <c r="R255" s="9" t="n">
        <f aca="false">Q255</f>
        <v>151875</v>
      </c>
      <c r="T255" s="9" t="n">
        <v>152900</v>
      </c>
      <c r="U255" s="9" t="n">
        <f aca="false">T255</f>
        <v>152900</v>
      </c>
      <c r="V255" s="63" t="n">
        <v>157500</v>
      </c>
      <c r="W255" s="9" t="n">
        <f aca="false">V255</f>
        <v>157500</v>
      </c>
      <c r="X255" s="44" t="n">
        <f aca="false">T255/H255</f>
        <v>66.0189982728843</v>
      </c>
      <c r="Y255" s="9" t="s">
        <v>123</v>
      </c>
      <c r="Z255" s="40"/>
      <c r="AB255" s="5" t="s">
        <v>40</v>
      </c>
      <c r="AC255" s="4" t="s">
        <v>341</v>
      </c>
      <c r="AF255" s="57"/>
    </row>
    <row r="256" customFormat="false" ht="22.5" hidden="false" customHeight="true" outlineLevel="0" collapsed="false">
      <c r="A256" s="28"/>
      <c r="B256" s="11" t="s">
        <v>44</v>
      </c>
      <c r="C256" s="11" t="s">
        <v>35</v>
      </c>
      <c r="D256" s="28" t="n">
        <v>550190</v>
      </c>
      <c r="E256" s="4" t="s">
        <v>329</v>
      </c>
      <c r="F256" s="4" t="s">
        <v>176</v>
      </c>
      <c r="G256" s="5" t="s">
        <v>37</v>
      </c>
      <c r="H256" s="6" t="n">
        <v>2096</v>
      </c>
      <c r="I256" s="6" t="n">
        <f aca="false">H256</f>
        <v>2096</v>
      </c>
      <c r="J256" s="6" t="n">
        <v>2000</v>
      </c>
      <c r="K256" s="4" t="s">
        <v>342</v>
      </c>
      <c r="L256" s="7" t="n">
        <v>44470</v>
      </c>
      <c r="M256" s="8" t="n">
        <v>46295</v>
      </c>
      <c r="Q256" s="9" t="n">
        <v>120750</v>
      </c>
      <c r="R256" s="9" t="n">
        <f aca="false">Q256</f>
        <v>120750</v>
      </c>
      <c r="T256" s="9" t="n">
        <v>141800</v>
      </c>
      <c r="U256" s="9" t="n">
        <f aca="false">T256</f>
        <v>141800</v>
      </c>
      <c r="V256" s="63" t="n">
        <v>142500</v>
      </c>
      <c r="W256" s="9" t="n">
        <f aca="false">V256</f>
        <v>142500</v>
      </c>
      <c r="X256" s="44" t="n">
        <f aca="false">T256/H256</f>
        <v>67.6526717557252</v>
      </c>
      <c r="Y256" s="9" t="s">
        <v>123</v>
      </c>
      <c r="Z256" s="40"/>
      <c r="AB256" s="5" t="s">
        <v>40</v>
      </c>
      <c r="AF256" s="57"/>
    </row>
    <row r="257" customFormat="false" ht="13.5" hidden="false" customHeight="true" outlineLevel="0" collapsed="false">
      <c r="A257" s="28"/>
      <c r="B257" s="11"/>
      <c r="C257" s="11" t="s">
        <v>35</v>
      </c>
      <c r="D257" s="28"/>
      <c r="E257" s="4"/>
      <c r="I257" s="9"/>
      <c r="J257" s="9"/>
      <c r="T257" s="9"/>
      <c r="U257" s="9"/>
      <c r="V257" s="63"/>
      <c r="W257" s="9"/>
      <c r="X257" s="9"/>
      <c r="Y257" s="9"/>
      <c r="Z257" s="40"/>
      <c r="AB257" s="5"/>
      <c r="AF257" s="57"/>
    </row>
    <row r="258" customFormat="false" ht="14.25" hidden="false" customHeight="true" outlineLevel="0" collapsed="false">
      <c r="A258" s="28"/>
      <c r="B258" s="11"/>
      <c r="C258" s="11" t="s">
        <v>35</v>
      </c>
      <c r="D258" s="28"/>
      <c r="E258" s="4"/>
      <c r="F258" s="45" t="s">
        <v>343</v>
      </c>
      <c r="H258" s="41" t="n">
        <f aca="false">SUM(H251:H256)</f>
        <v>16773</v>
      </c>
      <c r="I258" s="42"/>
      <c r="J258" s="42"/>
      <c r="Q258" s="42" t="n">
        <f aca="false">SUM(Q251:Q256)</f>
        <v>811341</v>
      </c>
      <c r="R258" s="42"/>
      <c r="S258" s="42" t="n">
        <f aca="false">SUM(R250:R257)</f>
        <v>811341</v>
      </c>
      <c r="T258" s="41" t="n">
        <f aca="false">SUM(T251:T256)</f>
        <v>948800</v>
      </c>
      <c r="U258" s="42"/>
      <c r="V258" s="60" t="n">
        <f aca="false">SUM(V251:V256)</f>
        <v>960100</v>
      </c>
      <c r="W258" s="42"/>
      <c r="X258" s="42"/>
      <c r="Y258" s="42"/>
      <c r="Z258" s="64"/>
      <c r="AA258" s="43" t="n">
        <v>14625000</v>
      </c>
      <c r="AB258" s="5"/>
      <c r="AE258" s="58"/>
      <c r="AF258" s="59"/>
      <c r="AG258" s="58"/>
    </row>
    <row r="259" customFormat="false" ht="14.25" hidden="false" customHeight="true" outlineLevel="0" collapsed="false">
      <c r="A259" s="28"/>
      <c r="B259" s="11"/>
      <c r="C259" s="11" t="s">
        <v>35</v>
      </c>
      <c r="D259" s="28"/>
      <c r="E259" s="4"/>
      <c r="H259" s="41"/>
      <c r="I259" s="42"/>
      <c r="J259" s="42"/>
      <c r="Q259" s="42"/>
      <c r="R259" s="42"/>
      <c r="S259" s="42"/>
      <c r="T259" s="42"/>
      <c r="U259" s="42"/>
      <c r="V259" s="43"/>
      <c r="W259" s="42"/>
      <c r="X259" s="42"/>
      <c r="Y259" s="42"/>
      <c r="Z259" s="64"/>
      <c r="AA259" s="62"/>
      <c r="AB259" s="5"/>
      <c r="AF259" s="57"/>
    </row>
    <row r="260" customFormat="false" ht="14.25" hidden="false" customHeight="true" outlineLevel="0" collapsed="false">
      <c r="A260" s="28"/>
      <c r="B260" s="11"/>
      <c r="C260" s="11" t="s">
        <v>35</v>
      </c>
      <c r="D260" s="28"/>
      <c r="E260" s="4"/>
      <c r="G260" s="38" t="s">
        <v>344</v>
      </c>
      <c r="I260" s="9"/>
      <c r="J260" s="9"/>
      <c r="K260" s="39"/>
      <c r="T260" s="11"/>
      <c r="U260" s="9"/>
      <c r="W260" s="9"/>
      <c r="X260" s="9"/>
      <c r="Y260" s="9"/>
      <c r="Z260" s="40"/>
      <c r="AB260" s="5"/>
      <c r="AF260" s="57"/>
    </row>
    <row r="261" customFormat="false" ht="13.5" hidden="false" customHeight="true" outlineLevel="0" collapsed="false">
      <c r="A261" s="28"/>
      <c r="B261" s="11"/>
      <c r="C261" s="11" t="s">
        <v>35</v>
      </c>
      <c r="D261" s="28"/>
      <c r="E261" s="4"/>
      <c r="G261" s="38"/>
      <c r="H261" s="72"/>
      <c r="I261" s="9"/>
      <c r="J261" s="9"/>
      <c r="K261" s="95"/>
      <c r="L261" s="76"/>
      <c r="M261" s="76"/>
      <c r="N261" s="76"/>
      <c r="T261" s="9"/>
      <c r="U261" s="9"/>
      <c r="V261" s="63"/>
      <c r="W261" s="9"/>
      <c r="X261" s="9"/>
      <c r="Y261" s="9"/>
      <c r="Z261" s="40"/>
      <c r="AB261" s="5"/>
      <c r="AF261" s="57"/>
    </row>
    <row r="262" customFormat="false" ht="22.5" hidden="false" customHeight="true" outlineLevel="0" collapsed="false">
      <c r="A262" s="28"/>
      <c r="B262" s="11" t="s">
        <v>102</v>
      </c>
      <c r="C262" s="11" t="s">
        <v>35</v>
      </c>
      <c r="D262" s="28" t="n">
        <v>550570</v>
      </c>
      <c r="E262" s="4" t="s">
        <v>344</v>
      </c>
      <c r="F262" s="4" t="s">
        <v>345</v>
      </c>
      <c r="G262" s="5" t="s">
        <v>346</v>
      </c>
      <c r="H262" s="6" t="n">
        <v>2604</v>
      </c>
      <c r="I262" s="6" t="n">
        <f aca="false">H262</f>
        <v>2604</v>
      </c>
      <c r="J262" s="6" t="n">
        <v>2500</v>
      </c>
      <c r="K262" s="4" t="s">
        <v>347</v>
      </c>
      <c r="L262" s="7" t="n">
        <v>44941</v>
      </c>
      <c r="M262" s="8" t="n">
        <v>47057</v>
      </c>
      <c r="Q262" s="9" t="n">
        <v>80000</v>
      </c>
      <c r="R262" s="9" t="n">
        <f aca="false">Q262</f>
        <v>80000</v>
      </c>
      <c r="T262" s="9" t="n">
        <v>80000</v>
      </c>
      <c r="U262" s="9" t="n">
        <f aca="false">T262</f>
        <v>80000</v>
      </c>
      <c r="V262" s="63" t="n">
        <v>70000</v>
      </c>
      <c r="W262" s="9" t="n">
        <f aca="false">V262</f>
        <v>70000</v>
      </c>
      <c r="X262" s="44" t="n">
        <f aca="false">T262/H262</f>
        <v>30.7219662058372</v>
      </c>
      <c r="Y262" s="9" t="s">
        <v>57</v>
      </c>
      <c r="Z262" s="40"/>
      <c r="AB262" s="5" t="s">
        <v>40</v>
      </c>
      <c r="AC262" s="4" t="s">
        <v>348</v>
      </c>
      <c r="AF262" s="57"/>
    </row>
    <row r="263" customFormat="false" ht="28.5" hidden="false" customHeight="true" outlineLevel="0" collapsed="false">
      <c r="A263" s="28"/>
      <c r="B263" s="11" t="s">
        <v>102</v>
      </c>
      <c r="C263" s="11" t="s">
        <v>35</v>
      </c>
      <c r="D263" s="28" t="n">
        <v>550570</v>
      </c>
      <c r="E263" s="4" t="s">
        <v>344</v>
      </c>
      <c r="F263" s="4" t="s">
        <v>349</v>
      </c>
      <c r="G263" s="5" t="s">
        <v>350</v>
      </c>
      <c r="H263" s="6" t="n">
        <v>1452</v>
      </c>
      <c r="I263" s="6" t="n">
        <f aca="false">H263</f>
        <v>1452</v>
      </c>
      <c r="J263" s="6" t="n">
        <v>1500</v>
      </c>
      <c r="K263" s="4" t="s">
        <v>351</v>
      </c>
      <c r="L263" s="7" t="n">
        <v>45586</v>
      </c>
      <c r="M263" s="8" t="n">
        <v>46827</v>
      </c>
      <c r="P263" s="8" t="n">
        <v>46097</v>
      </c>
      <c r="Q263" s="9" t="n">
        <v>117500</v>
      </c>
      <c r="R263" s="9" t="n">
        <f aca="false">Q263</f>
        <v>117500</v>
      </c>
      <c r="T263" s="9" t="n">
        <v>115000</v>
      </c>
      <c r="U263" s="9" t="n">
        <f aca="false">T263</f>
        <v>115000</v>
      </c>
      <c r="V263" s="63" t="n">
        <v>115000</v>
      </c>
      <c r="W263" s="9" t="n">
        <f aca="false">V263</f>
        <v>115000</v>
      </c>
      <c r="X263" s="44" t="n">
        <f aca="false">T263/H263</f>
        <v>79.2011019283747</v>
      </c>
      <c r="Y263" s="9" t="s">
        <v>52</v>
      </c>
      <c r="Z263" s="40"/>
      <c r="AB263" s="5" t="s">
        <v>40</v>
      </c>
      <c r="AC263" s="4" t="s">
        <v>73</v>
      </c>
      <c r="AF263" s="57"/>
    </row>
    <row r="264" customFormat="false" ht="27.75" hidden="false" customHeight="true" outlineLevel="0" collapsed="false">
      <c r="A264" s="28"/>
      <c r="B264" s="11" t="s">
        <v>102</v>
      </c>
      <c r="C264" s="11" t="s">
        <v>35</v>
      </c>
      <c r="D264" s="28" t="n">
        <v>550570</v>
      </c>
      <c r="E264" s="4" t="s">
        <v>344</v>
      </c>
      <c r="F264" s="4" t="s">
        <v>352</v>
      </c>
      <c r="G264" s="5" t="s">
        <v>353</v>
      </c>
      <c r="H264" s="6" t="n">
        <v>1949</v>
      </c>
      <c r="I264" s="6" t="n">
        <f aca="false">H264</f>
        <v>1949</v>
      </c>
      <c r="J264" s="6" t="n">
        <v>2000</v>
      </c>
      <c r="K264" s="4" t="s">
        <v>354</v>
      </c>
      <c r="L264" s="7" t="n">
        <v>45687</v>
      </c>
      <c r="M264" s="8" t="n">
        <v>49338</v>
      </c>
      <c r="O264" s="8" t="n">
        <v>47513</v>
      </c>
      <c r="Q264" s="9" t="n">
        <v>59000</v>
      </c>
      <c r="R264" s="9" t="n">
        <f aca="false">Q264</f>
        <v>59000</v>
      </c>
      <c r="T264" s="9" t="n">
        <v>91000</v>
      </c>
      <c r="U264" s="9" t="n">
        <f aca="false">T264</f>
        <v>91000</v>
      </c>
      <c r="V264" s="63" t="n">
        <v>114800</v>
      </c>
      <c r="W264" s="9" t="n">
        <f aca="false">V264</f>
        <v>114800</v>
      </c>
      <c r="X264" s="44" t="n">
        <f aca="false">T264/H264</f>
        <v>46.6906105695228</v>
      </c>
      <c r="Y264" s="9" t="s">
        <v>57</v>
      </c>
      <c r="Z264" s="40"/>
      <c r="AB264" s="5" t="s">
        <v>40</v>
      </c>
      <c r="AC264" s="4" t="s">
        <v>355</v>
      </c>
      <c r="AF264" s="57" t="n">
        <v>3</v>
      </c>
      <c r="AG264" s="4" t="s">
        <v>54</v>
      </c>
    </row>
    <row r="265" customFormat="false" ht="22.5" hidden="false" customHeight="true" outlineLevel="0" collapsed="false">
      <c r="A265" s="28"/>
      <c r="B265" s="11" t="s">
        <v>102</v>
      </c>
      <c r="C265" s="11" t="s">
        <v>35</v>
      </c>
      <c r="D265" s="28" t="n">
        <v>550570</v>
      </c>
      <c r="E265" s="4" t="s">
        <v>344</v>
      </c>
      <c r="F265" s="4" t="s">
        <v>356</v>
      </c>
      <c r="G265" s="5" t="s">
        <v>346</v>
      </c>
      <c r="H265" s="6" t="n">
        <v>4976</v>
      </c>
      <c r="I265" s="6" t="n">
        <f aca="false">H265</f>
        <v>4976</v>
      </c>
      <c r="J265" s="6" t="n">
        <v>5000</v>
      </c>
      <c r="K265" s="4" t="s">
        <v>357</v>
      </c>
      <c r="L265" s="7" t="n">
        <v>44722</v>
      </c>
      <c r="M265" s="8" t="n">
        <v>48374</v>
      </c>
      <c r="O265" s="8" t="n">
        <v>46548</v>
      </c>
      <c r="P265" s="8" t="n">
        <v>46547</v>
      </c>
      <c r="Q265" s="9" t="n">
        <v>230000</v>
      </c>
      <c r="R265" s="9" t="n">
        <f aca="false">Q265</f>
        <v>230000</v>
      </c>
      <c r="T265" s="9" t="n">
        <v>230000</v>
      </c>
      <c r="U265" s="9" t="n">
        <f aca="false">T265</f>
        <v>230000</v>
      </c>
      <c r="V265" s="63" t="n">
        <v>230000</v>
      </c>
      <c r="W265" s="9" t="n">
        <f aca="false">V265</f>
        <v>230000</v>
      </c>
      <c r="X265" s="44" t="n">
        <f aca="false">T265/H265</f>
        <v>46.2218649517685</v>
      </c>
      <c r="Y265" s="9" t="s">
        <v>52</v>
      </c>
      <c r="Z265" s="40"/>
      <c r="AB265" s="5" t="s">
        <v>40</v>
      </c>
      <c r="AC265" s="68" t="s">
        <v>283</v>
      </c>
      <c r="AE265" s="68"/>
      <c r="AF265" s="98"/>
      <c r="AG265" s="68"/>
    </row>
    <row r="266" customFormat="false" ht="22.5" hidden="false" customHeight="true" outlineLevel="0" collapsed="false">
      <c r="A266" s="28"/>
      <c r="B266" s="11" t="s">
        <v>102</v>
      </c>
      <c r="C266" s="11" t="s">
        <v>35</v>
      </c>
      <c r="D266" s="28" t="n">
        <v>550570</v>
      </c>
      <c r="E266" s="4" t="s">
        <v>344</v>
      </c>
      <c r="F266" s="4" t="s">
        <v>358</v>
      </c>
      <c r="G266" s="5" t="s">
        <v>37</v>
      </c>
      <c r="H266" s="6" t="n">
        <v>1443</v>
      </c>
      <c r="I266" s="6" t="n">
        <f aca="false">H266</f>
        <v>1443</v>
      </c>
      <c r="J266" s="6" t="n">
        <v>1500</v>
      </c>
      <c r="K266" s="4" t="s">
        <v>63</v>
      </c>
      <c r="N266" s="8" t="n">
        <v>44121</v>
      </c>
      <c r="Q266" s="9" t="n">
        <v>0</v>
      </c>
      <c r="R266" s="9" t="n">
        <f aca="false">Q266</f>
        <v>0</v>
      </c>
      <c r="T266" s="9" t="n">
        <v>87800</v>
      </c>
      <c r="U266" s="9" t="n">
        <f aca="false">T266</f>
        <v>87800</v>
      </c>
      <c r="V266" s="63" t="n">
        <v>93800</v>
      </c>
      <c r="W266" s="9" t="n">
        <f aca="false">V266</f>
        <v>93800</v>
      </c>
      <c r="X266" s="44" t="n">
        <f aca="false">T266/H266</f>
        <v>60.8454608454609</v>
      </c>
      <c r="Y266" s="9" t="s">
        <v>57</v>
      </c>
      <c r="Z266" s="40"/>
      <c r="AB266" s="5" t="s">
        <v>40</v>
      </c>
      <c r="AC266" s="4" t="s">
        <v>115</v>
      </c>
      <c r="AD266" s="15" t="n">
        <v>65</v>
      </c>
      <c r="AF266" s="57" t="n">
        <v>1</v>
      </c>
      <c r="AG266" s="4" t="s">
        <v>54</v>
      </c>
    </row>
    <row r="267" customFormat="false" ht="22.5" hidden="false" customHeight="true" outlineLevel="0" collapsed="false">
      <c r="A267" s="28"/>
      <c r="B267" s="11" t="s">
        <v>102</v>
      </c>
      <c r="C267" s="11" t="s">
        <v>35</v>
      </c>
      <c r="D267" s="28" t="n">
        <v>550570</v>
      </c>
      <c r="E267" s="4" t="s">
        <v>344</v>
      </c>
      <c r="F267" s="4" t="s">
        <v>359</v>
      </c>
      <c r="G267" s="5" t="s">
        <v>360</v>
      </c>
      <c r="H267" s="6" t="n">
        <v>2851</v>
      </c>
      <c r="I267" s="6" t="n">
        <f aca="false">H267</f>
        <v>2851</v>
      </c>
      <c r="J267" s="6" t="n">
        <v>2750</v>
      </c>
      <c r="K267" s="58" t="s">
        <v>63</v>
      </c>
      <c r="N267" s="79" t="n">
        <v>45845</v>
      </c>
      <c r="Q267" s="63" t="n">
        <v>0</v>
      </c>
      <c r="R267" s="9" t="n">
        <f aca="false">Q267</f>
        <v>0</v>
      </c>
      <c r="T267" s="9" t="n">
        <v>151300</v>
      </c>
      <c r="U267" s="9" t="n">
        <f aca="false">T267</f>
        <v>151300</v>
      </c>
      <c r="V267" s="63" t="n">
        <v>185300</v>
      </c>
      <c r="W267" s="9" t="n">
        <f aca="false">V267</f>
        <v>185300</v>
      </c>
      <c r="X267" s="44" t="n">
        <f aca="false">T267/H267</f>
        <v>53.0690985619081</v>
      </c>
      <c r="Y267" s="9" t="s">
        <v>39</v>
      </c>
      <c r="Z267" s="40"/>
      <c r="AB267" s="5" t="s">
        <v>40</v>
      </c>
      <c r="AC267" s="58" t="s">
        <v>64</v>
      </c>
      <c r="AF267" s="57"/>
    </row>
    <row r="268" customFormat="false" ht="27" hidden="false" customHeight="true" outlineLevel="0" collapsed="false">
      <c r="A268" s="28"/>
      <c r="B268" s="11" t="s">
        <v>102</v>
      </c>
      <c r="C268" s="11" t="s">
        <v>35</v>
      </c>
      <c r="D268" s="28" t="n">
        <v>550570</v>
      </c>
      <c r="E268" s="4" t="s">
        <v>344</v>
      </c>
      <c r="F268" s="4" t="s">
        <v>361</v>
      </c>
      <c r="G268" s="5" t="s">
        <v>360</v>
      </c>
      <c r="H268" s="6" t="n">
        <v>483</v>
      </c>
      <c r="I268" s="6" t="n">
        <f aca="false">H268</f>
        <v>483</v>
      </c>
      <c r="J268" s="6" t="n">
        <v>500</v>
      </c>
      <c r="K268" s="4" t="s">
        <v>362</v>
      </c>
      <c r="L268" s="7" t="n">
        <v>44272</v>
      </c>
      <c r="M268" s="8" t="n">
        <v>46097</v>
      </c>
      <c r="Q268" s="9" t="n">
        <v>52200</v>
      </c>
      <c r="R268" s="9" t="n">
        <f aca="false">Q268</f>
        <v>52200</v>
      </c>
      <c r="T268" s="9" t="n">
        <v>54900</v>
      </c>
      <c r="U268" s="9" t="n">
        <f aca="false">T268</f>
        <v>54900</v>
      </c>
      <c r="V268" s="63" t="n">
        <v>31400</v>
      </c>
      <c r="W268" s="9" t="n">
        <f aca="false">V268</f>
        <v>31400</v>
      </c>
      <c r="X268" s="44" t="n">
        <f aca="false">T268/H268</f>
        <v>113.664596273292</v>
      </c>
      <c r="Y268" s="9" t="s">
        <v>123</v>
      </c>
      <c r="Z268" s="40"/>
      <c r="AB268" s="5" t="s">
        <v>40</v>
      </c>
      <c r="AF268" s="57"/>
    </row>
    <row r="269" customFormat="false" ht="22.5" hidden="false" customHeight="true" outlineLevel="0" collapsed="false">
      <c r="A269" s="28"/>
      <c r="B269" s="11" t="s">
        <v>102</v>
      </c>
      <c r="C269" s="11" t="s">
        <v>35</v>
      </c>
      <c r="D269" s="28" t="n">
        <v>550570</v>
      </c>
      <c r="E269" s="4" t="s">
        <v>344</v>
      </c>
      <c r="F269" s="4" t="s">
        <v>363</v>
      </c>
      <c r="G269" s="5" t="s">
        <v>229</v>
      </c>
      <c r="H269" s="6" t="n">
        <v>3299</v>
      </c>
      <c r="I269" s="6" t="n">
        <f aca="false">H269</f>
        <v>3299</v>
      </c>
      <c r="J269" s="6" t="n">
        <v>3250</v>
      </c>
      <c r="K269" s="4" t="s">
        <v>364</v>
      </c>
      <c r="L269" s="7" t="n">
        <v>45807</v>
      </c>
      <c r="M269" s="8" t="n">
        <v>47143</v>
      </c>
      <c r="P269" s="8" t="n">
        <v>46408</v>
      </c>
      <c r="Q269" s="9" t="n">
        <v>231000</v>
      </c>
      <c r="R269" s="9" t="n">
        <f aca="false">Q269</f>
        <v>231000</v>
      </c>
      <c r="T269" s="9" t="n">
        <v>193200</v>
      </c>
      <c r="U269" s="9" t="n">
        <f aca="false">T269</f>
        <v>193200</v>
      </c>
      <c r="V269" s="63" t="n">
        <v>231000</v>
      </c>
      <c r="W269" s="9" t="n">
        <f aca="false">V269</f>
        <v>231000</v>
      </c>
      <c r="X269" s="44" t="n">
        <f aca="false">T269/H269</f>
        <v>58.5632009699909</v>
      </c>
      <c r="Y269" s="63" t="s">
        <v>52</v>
      </c>
      <c r="Z269" s="40"/>
      <c r="AB269" s="5" t="s">
        <v>40</v>
      </c>
      <c r="AC269" s="4" t="s">
        <v>365</v>
      </c>
      <c r="AF269" s="57"/>
    </row>
    <row r="270" customFormat="false" ht="25.5" hidden="false" customHeight="true" outlineLevel="0" collapsed="false">
      <c r="A270" s="28"/>
      <c r="B270" s="11" t="s">
        <v>102</v>
      </c>
      <c r="C270" s="11" t="s">
        <v>35</v>
      </c>
      <c r="D270" s="28" t="n">
        <v>550570</v>
      </c>
      <c r="E270" s="4" t="s">
        <v>344</v>
      </c>
      <c r="F270" s="4" t="s">
        <v>366</v>
      </c>
      <c r="G270" s="5" t="s">
        <v>304</v>
      </c>
      <c r="H270" s="6" t="n">
        <v>882</v>
      </c>
      <c r="I270" s="6" t="n">
        <f aca="false">H270</f>
        <v>882</v>
      </c>
      <c r="J270" s="6" t="n">
        <v>1000</v>
      </c>
      <c r="K270" s="4" t="s">
        <v>367</v>
      </c>
      <c r="L270" s="7" t="n">
        <v>45114</v>
      </c>
      <c r="M270" s="8" t="n">
        <v>46209</v>
      </c>
      <c r="Q270" s="9" t="n">
        <v>56225</v>
      </c>
      <c r="R270" s="9" t="n">
        <f aca="false">Q270</f>
        <v>56225</v>
      </c>
      <c r="T270" s="9" t="n">
        <v>52800</v>
      </c>
      <c r="U270" s="9" t="n">
        <f aca="false">T270</f>
        <v>52800</v>
      </c>
      <c r="V270" s="63" t="n">
        <v>58200</v>
      </c>
      <c r="W270" s="9" t="n">
        <f aca="false">V270</f>
        <v>58200</v>
      </c>
      <c r="X270" s="44" t="n">
        <f aca="false">T270/H270</f>
        <v>59.8639455782313</v>
      </c>
      <c r="Y270" s="9" t="s">
        <v>57</v>
      </c>
      <c r="Z270" s="40"/>
      <c r="AB270" s="5" t="s">
        <v>40</v>
      </c>
      <c r="AC270" s="4" t="s">
        <v>368</v>
      </c>
      <c r="AF270" s="57"/>
    </row>
    <row r="271" customFormat="false" ht="22.5" hidden="false" customHeight="true" outlineLevel="0" collapsed="false">
      <c r="A271" s="28"/>
      <c r="B271" s="11" t="s">
        <v>102</v>
      </c>
      <c r="C271" s="11" t="s">
        <v>35</v>
      </c>
      <c r="D271" s="28" t="n">
        <v>550570</v>
      </c>
      <c r="E271" s="4" t="s">
        <v>344</v>
      </c>
      <c r="F271" s="4" t="s">
        <v>90</v>
      </c>
      <c r="G271" s="5" t="s">
        <v>304</v>
      </c>
      <c r="H271" s="6" t="n">
        <v>4169</v>
      </c>
      <c r="I271" s="6" t="n">
        <f aca="false">H271</f>
        <v>4169</v>
      </c>
      <c r="J271" s="6" t="n">
        <v>4000</v>
      </c>
      <c r="K271" s="4" t="s">
        <v>369</v>
      </c>
      <c r="L271" s="7" t="n">
        <v>43378</v>
      </c>
      <c r="M271" s="8" t="n">
        <v>47030</v>
      </c>
      <c r="O271" s="8" t="n">
        <v>45204</v>
      </c>
      <c r="Q271" s="9" t="n">
        <v>257635</v>
      </c>
      <c r="R271" s="9" t="n">
        <f aca="false">Q271</f>
        <v>257635</v>
      </c>
      <c r="T271" s="9" t="n">
        <v>264100</v>
      </c>
      <c r="U271" s="9" t="n">
        <f aca="false">T271</f>
        <v>264100</v>
      </c>
      <c r="V271" s="63" t="n">
        <v>281400</v>
      </c>
      <c r="W271" s="9" t="n">
        <f aca="false">V271</f>
        <v>281400</v>
      </c>
      <c r="X271" s="44" t="n">
        <f aca="false">T271/H271</f>
        <v>63.3485248260974</v>
      </c>
      <c r="Y271" s="9" t="s">
        <v>57</v>
      </c>
      <c r="Z271" s="40"/>
      <c r="AB271" s="5" t="s">
        <v>40</v>
      </c>
      <c r="AC271" s="4" t="s">
        <v>370</v>
      </c>
      <c r="AF271" s="57"/>
    </row>
    <row r="272" customFormat="false" ht="22.5" hidden="false" customHeight="true" outlineLevel="0" collapsed="false">
      <c r="A272" s="28"/>
      <c r="B272" s="11" t="s">
        <v>102</v>
      </c>
      <c r="C272" s="11" t="s">
        <v>35</v>
      </c>
      <c r="D272" s="28" t="n">
        <v>550570</v>
      </c>
      <c r="E272" s="4" t="s">
        <v>344</v>
      </c>
      <c r="F272" s="4" t="s">
        <v>371</v>
      </c>
      <c r="G272" s="5" t="s">
        <v>37</v>
      </c>
      <c r="H272" s="6" t="n">
        <v>4098</v>
      </c>
      <c r="I272" s="6" t="n">
        <f aca="false">H272</f>
        <v>4098</v>
      </c>
      <c r="J272" s="6" t="n">
        <v>4000</v>
      </c>
      <c r="K272" s="4" t="s">
        <v>364</v>
      </c>
      <c r="L272" s="7" t="n">
        <v>45317</v>
      </c>
      <c r="M272" s="8" t="n">
        <v>47143</v>
      </c>
      <c r="P272" s="8" t="n">
        <v>46047</v>
      </c>
      <c r="Q272" s="9" t="n">
        <v>304500</v>
      </c>
      <c r="R272" s="9" t="n">
        <f aca="false">Q272</f>
        <v>304500</v>
      </c>
      <c r="T272" s="9" t="n">
        <v>255600</v>
      </c>
      <c r="U272" s="9" t="n">
        <f aca="false">T272</f>
        <v>255600</v>
      </c>
      <c r="V272" s="63" t="n">
        <v>304500</v>
      </c>
      <c r="W272" s="9" t="n">
        <f aca="false">V272</f>
        <v>304500</v>
      </c>
      <c r="X272" s="44" t="n">
        <f aca="false">T272/H272</f>
        <v>62.3718887262079</v>
      </c>
      <c r="Y272" s="9" t="s">
        <v>52</v>
      </c>
      <c r="Z272" s="40"/>
      <c r="AB272" s="5" t="s">
        <v>40</v>
      </c>
      <c r="AC272" s="4" t="s">
        <v>372</v>
      </c>
      <c r="AF272" s="57"/>
    </row>
    <row r="273" customFormat="false" ht="22.5" hidden="false" customHeight="true" outlineLevel="0" collapsed="false">
      <c r="A273" s="28"/>
      <c r="B273" s="11" t="s">
        <v>102</v>
      </c>
      <c r="C273" s="11" t="s">
        <v>35</v>
      </c>
      <c r="D273" s="28" t="n">
        <v>550570</v>
      </c>
      <c r="E273" s="4" t="s">
        <v>344</v>
      </c>
      <c r="F273" s="4" t="s">
        <v>176</v>
      </c>
      <c r="G273" s="5" t="s">
        <v>37</v>
      </c>
      <c r="H273" s="6" t="n">
        <v>3179</v>
      </c>
      <c r="I273" s="6" t="n">
        <f aca="false">H273</f>
        <v>3179</v>
      </c>
      <c r="J273" s="6" t="n">
        <v>3000</v>
      </c>
      <c r="K273" s="4" t="s">
        <v>373</v>
      </c>
      <c r="L273" s="7" t="n">
        <v>45086</v>
      </c>
      <c r="M273" s="8" t="n">
        <v>46912</v>
      </c>
      <c r="P273" s="8" t="n">
        <v>46181</v>
      </c>
      <c r="Q273" s="9" t="n">
        <v>225875</v>
      </c>
      <c r="R273" s="9" t="n">
        <f aca="false">Q273</f>
        <v>225875</v>
      </c>
      <c r="T273" s="9" t="n">
        <v>196883</v>
      </c>
      <c r="U273" s="9" t="n">
        <f aca="false">T273</f>
        <v>196883</v>
      </c>
      <c r="V273" s="63" t="n">
        <v>230500</v>
      </c>
      <c r="W273" s="9" t="n">
        <f aca="false">V273</f>
        <v>230500</v>
      </c>
      <c r="X273" s="44" t="n">
        <f aca="false">T273/H273</f>
        <v>61.9323686693929</v>
      </c>
      <c r="Y273" s="9" t="s">
        <v>57</v>
      </c>
      <c r="Z273" s="40"/>
      <c r="AB273" s="5" t="s">
        <v>40</v>
      </c>
      <c r="AC273" s="4" t="s">
        <v>374</v>
      </c>
      <c r="AF273" s="57"/>
    </row>
    <row r="274" customFormat="false" ht="22.5" hidden="false" customHeight="true" outlineLevel="0" collapsed="false">
      <c r="A274" s="28"/>
      <c r="B274" s="11" t="s">
        <v>102</v>
      </c>
      <c r="C274" s="11" t="s">
        <v>35</v>
      </c>
      <c r="D274" s="28" t="n">
        <v>550570</v>
      </c>
      <c r="E274" s="4" t="s">
        <v>344</v>
      </c>
      <c r="F274" s="4" t="s">
        <v>375</v>
      </c>
      <c r="G274" s="5" t="s">
        <v>37</v>
      </c>
      <c r="H274" s="6" t="n">
        <v>2099</v>
      </c>
      <c r="I274" s="6" t="n">
        <f aca="false">H274</f>
        <v>2099</v>
      </c>
      <c r="J274" s="6" t="n">
        <v>2000</v>
      </c>
      <c r="K274" s="4" t="s">
        <v>376</v>
      </c>
      <c r="L274" s="7" t="n">
        <v>45019</v>
      </c>
      <c r="M274" s="8" t="n">
        <v>46845</v>
      </c>
      <c r="P274" s="8" t="n">
        <v>46114</v>
      </c>
      <c r="Q274" s="9" t="n">
        <v>133250</v>
      </c>
      <c r="R274" s="9" t="n">
        <f aca="false">Q274</f>
        <v>133250</v>
      </c>
      <c r="T274" s="9" t="n">
        <v>135167</v>
      </c>
      <c r="U274" s="9" t="n">
        <f aca="false">T274</f>
        <v>135167</v>
      </c>
      <c r="V274" s="63" t="n">
        <v>152200</v>
      </c>
      <c r="W274" s="9" t="n">
        <f aca="false">V274</f>
        <v>152200</v>
      </c>
      <c r="X274" s="44" t="n">
        <f aca="false">T274/H274</f>
        <v>64.3959028108623</v>
      </c>
      <c r="Y274" s="9" t="s">
        <v>57</v>
      </c>
      <c r="Z274" s="40"/>
      <c r="AB274" s="5" t="s">
        <v>40</v>
      </c>
      <c r="AC274" s="4" t="s">
        <v>377</v>
      </c>
      <c r="AF274" s="57"/>
    </row>
    <row r="275" customFormat="false" ht="22.5" hidden="false" customHeight="true" outlineLevel="0" collapsed="false">
      <c r="A275" s="28"/>
      <c r="B275" s="11" t="s">
        <v>102</v>
      </c>
      <c r="C275" s="11" t="s">
        <v>35</v>
      </c>
      <c r="D275" s="28" t="n">
        <v>550570</v>
      </c>
      <c r="E275" s="4" t="s">
        <v>344</v>
      </c>
      <c r="F275" s="4" t="s">
        <v>378</v>
      </c>
      <c r="G275" s="5" t="s">
        <v>235</v>
      </c>
      <c r="H275" s="6" t="n">
        <v>580</v>
      </c>
      <c r="I275" s="6" t="n">
        <f aca="false">H275</f>
        <v>580</v>
      </c>
      <c r="J275" s="6" t="n">
        <v>500</v>
      </c>
      <c r="K275" s="4" t="s">
        <v>379</v>
      </c>
      <c r="L275" s="7" t="n">
        <v>45546</v>
      </c>
      <c r="M275" s="8" t="n">
        <v>45910</v>
      </c>
      <c r="Q275" s="9" t="n">
        <v>42016</v>
      </c>
      <c r="R275" s="9" t="n">
        <f aca="false">Q275</f>
        <v>42016</v>
      </c>
      <c r="T275" s="9" t="n">
        <v>26496</v>
      </c>
      <c r="U275" s="9" t="n">
        <f aca="false">T275</f>
        <v>26496</v>
      </c>
      <c r="V275" s="63" t="n">
        <v>42016</v>
      </c>
      <c r="W275" s="9" t="n">
        <f aca="false">V275</f>
        <v>42016</v>
      </c>
      <c r="X275" s="44" t="n">
        <f aca="false">T275/H275</f>
        <v>45.6827586206897</v>
      </c>
      <c r="Y275" s="9" t="s">
        <v>123</v>
      </c>
      <c r="Z275" s="40"/>
      <c r="AB275" s="5" t="s">
        <v>40</v>
      </c>
      <c r="AC275" s="58" t="s">
        <v>380</v>
      </c>
      <c r="AE275" s="58"/>
      <c r="AF275" s="59"/>
      <c r="AG275" s="58"/>
    </row>
    <row r="276" customFormat="false" ht="13.5" hidden="false" customHeight="true" outlineLevel="0" collapsed="false">
      <c r="A276" s="28"/>
      <c r="B276" s="11"/>
      <c r="C276" s="11" t="s">
        <v>35</v>
      </c>
      <c r="D276" s="28"/>
      <c r="E276" s="4"/>
      <c r="I276" s="9"/>
      <c r="J276" s="9"/>
      <c r="T276" s="9"/>
      <c r="U276" s="9"/>
      <c r="V276" s="63"/>
      <c r="W276" s="9"/>
      <c r="X276" s="9"/>
      <c r="Y276" s="9"/>
      <c r="Z276" s="40"/>
      <c r="AB276" s="5"/>
      <c r="AF276" s="57"/>
    </row>
    <row r="277" customFormat="false" ht="15" hidden="false" customHeight="true" outlineLevel="0" collapsed="false">
      <c r="A277" s="28"/>
      <c r="B277" s="11"/>
      <c r="C277" s="11" t="s">
        <v>35</v>
      </c>
      <c r="D277" s="28"/>
      <c r="E277" s="4"/>
      <c r="F277" s="45" t="s">
        <v>381</v>
      </c>
      <c r="H277" s="41" t="n">
        <f aca="false">SUM(H262:H275)</f>
        <v>34064</v>
      </c>
      <c r="I277" s="41"/>
      <c r="J277" s="41"/>
      <c r="Q277" s="42" t="n">
        <f aca="false">SUM(Q262:Q275)</f>
        <v>1789201</v>
      </c>
      <c r="R277" s="42"/>
      <c r="S277" s="42" t="n">
        <f aca="false">SUM(R260:R276)</f>
        <v>1789201</v>
      </c>
      <c r="T277" s="42" t="n">
        <f aca="false">SUM(T262:T275)</f>
        <v>1934246</v>
      </c>
      <c r="U277" s="42"/>
      <c r="V277" s="43" t="n">
        <f aca="false">SUM(V262:V275)</f>
        <v>2140116</v>
      </c>
      <c r="W277" s="42"/>
      <c r="X277" s="42"/>
      <c r="Y277" s="42"/>
      <c r="Z277" s="64"/>
      <c r="AA277" s="43" t="n">
        <v>35150000</v>
      </c>
      <c r="AB277" s="5"/>
      <c r="AE277" s="58"/>
      <c r="AF277" s="59"/>
      <c r="AG277" s="58"/>
    </row>
    <row r="278" customFormat="false" ht="14.25" hidden="false" customHeight="true" outlineLevel="0" collapsed="false">
      <c r="A278" s="28"/>
      <c r="B278" s="11"/>
      <c r="C278" s="11" t="s">
        <v>35</v>
      </c>
      <c r="D278" s="28"/>
      <c r="E278" s="4"/>
      <c r="H278" s="41"/>
      <c r="I278" s="42"/>
      <c r="J278" s="42"/>
      <c r="Q278" s="42"/>
      <c r="R278" s="42"/>
      <c r="S278" s="42"/>
      <c r="T278" s="42"/>
      <c r="U278" s="42"/>
      <c r="V278" s="43"/>
      <c r="W278" s="42"/>
      <c r="X278" s="42"/>
      <c r="Y278" s="42"/>
      <c r="Z278" s="64"/>
      <c r="AA278" s="62"/>
      <c r="AB278" s="5"/>
      <c r="AF278" s="57"/>
    </row>
    <row r="279" customFormat="false" ht="14.25" hidden="false" customHeight="true" outlineLevel="0" collapsed="false">
      <c r="A279" s="28"/>
      <c r="B279" s="11"/>
      <c r="C279" s="11" t="s">
        <v>35</v>
      </c>
      <c r="D279" s="28"/>
      <c r="E279" s="4"/>
      <c r="G279" s="38" t="s">
        <v>382</v>
      </c>
      <c r="I279" s="9"/>
      <c r="J279" s="9"/>
      <c r="K279" s="39"/>
      <c r="P279" s="96"/>
      <c r="T279" s="11"/>
      <c r="U279" s="9"/>
      <c r="W279" s="9"/>
      <c r="X279" s="9"/>
      <c r="Y279" s="9"/>
      <c r="Z279" s="40"/>
      <c r="AB279" s="5"/>
      <c r="AF279" s="57"/>
    </row>
    <row r="280" customFormat="false" ht="14.25" hidden="false" customHeight="true" outlineLevel="0" collapsed="false">
      <c r="A280" s="28"/>
      <c r="B280" s="11"/>
      <c r="C280" s="11" t="s">
        <v>35</v>
      </c>
      <c r="D280" s="28"/>
      <c r="E280" s="4"/>
      <c r="I280" s="9"/>
      <c r="J280" s="9"/>
      <c r="P280" s="96"/>
      <c r="T280" s="11"/>
      <c r="U280" s="9"/>
      <c r="W280" s="9"/>
      <c r="X280" s="9"/>
      <c r="Y280" s="9"/>
      <c r="Z280" s="40"/>
      <c r="AB280" s="5"/>
      <c r="AF280" s="57"/>
    </row>
    <row r="281" customFormat="false" ht="33.75" hidden="false" customHeight="true" outlineLevel="0" collapsed="false">
      <c r="A281" s="28"/>
      <c r="B281" s="11" t="s">
        <v>185</v>
      </c>
      <c r="C281" s="11" t="s">
        <v>35</v>
      </c>
      <c r="D281" s="28" t="n">
        <v>550430</v>
      </c>
      <c r="E281" s="4" t="s">
        <v>382</v>
      </c>
      <c r="F281" s="4" t="s">
        <v>36</v>
      </c>
      <c r="G281" s="5" t="s">
        <v>46</v>
      </c>
      <c r="H281" s="41" t="n">
        <v>2692</v>
      </c>
      <c r="I281" s="9" t="n">
        <f aca="false">H281</f>
        <v>2692</v>
      </c>
      <c r="J281" s="9" t="n">
        <v>2750</v>
      </c>
      <c r="K281" s="4" t="s">
        <v>383</v>
      </c>
      <c r="L281" s="7" t="n">
        <v>39814</v>
      </c>
      <c r="M281" s="8" t="n">
        <v>45747</v>
      </c>
      <c r="Q281" s="42" t="n">
        <v>104500</v>
      </c>
      <c r="R281" s="9" t="n">
        <f aca="false">Q281</f>
        <v>104500</v>
      </c>
      <c r="S281" s="42" t="n">
        <f aca="false">R281</f>
        <v>104500</v>
      </c>
      <c r="T281" s="42" t="n">
        <v>94400</v>
      </c>
      <c r="U281" s="9" t="n">
        <f aca="false">T281</f>
        <v>94400</v>
      </c>
      <c r="V281" s="43" t="n">
        <v>94400</v>
      </c>
      <c r="W281" s="9" t="n">
        <f aca="false">V281</f>
        <v>94400</v>
      </c>
      <c r="X281" s="44" t="n">
        <f aca="false">T281/H281</f>
        <v>35.0668647845468</v>
      </c>
      <c r="Y281" s="9" t="s">
        <v>52</v>
      </c>
      <c r="Z281" s="40"/>
      <c r="AA281" s="43" t="n">
        <v>1375000</v>
      </c>
      <c r="AB281" s="5" t="s">
        <v>165</v>
      </c>
      <c r="AC281" s="4" t="s">
        <v>384</v>
      </c>
      <c r="AF281" s="57"/>
    </row>
    <row r="282" customFormat="false" ht="14.25" hidden="false" customHeight="true" outlineLevel="0" collapsed="false">
      <c r="A282" s="28"/>
      <c r="B282" s="11"/>
      <c r="C282" s="11" t="s">
        <v>35</v>
      </c>
      <c r="D282" s="28"/>
      <c r="E282" s="4"/>
      <c r="I282" s="9"/>
      <c r="J282" s="9"/>
      <c r="T282" s="9"/>
      <c r="U282" s="9"/>
      <c r="V282" s="63"/>
      <c r="W282" s="9"/>
      <c r="X282" s="9"/>
      <c r="Y282" s="9"/>
      <c r="Z282" s="40"/>
      <c r="AA282" s="43"/>
      <c r="AB282" s="5"/>
      <c r="AF282" s="57"/>
    </row>
    <row r="283" customFormat="false" ht="14.25" hidden="false" customHeight="true" outlineLevel="0" collapsed="false">
      <c r="A283" s="28"/>
      <c r="B283" s="11"/>
      <c r="C283" s="11" t="s">
        <v>35</v>
      </c>
      <c r="D283" s="28"/>
      <c r="E283" s="4"/>
      <c r="G283" s="38" t="s">
        <v>385</v>
      </c>
      <c r="I283" s="9"/>
      <c r="J283" s="9"/>
      <c r="K283" s="39"/>
      <c r="T283" s="11"/>
      <c r="U283" s="9"/>
      <c r="W283" s="9"/>
      <c r="X283" s="9"/>
      <c r="Y283" s="9"/>
      <c r="Z283" s="40"/>
      <c r="AA283" s="43"/>
      <c r="AB283" s="5"/>
      <c r="AF283" s="57"/>
    </row>
    <row r="284" customFormat="false" ht="14.25" hidden="false" customHeight="true" outlineLevel="0" collapsed="false">
      <c r="A284" s="28"/>
      <c r="B284" s="11"/>
      <c r="C284" s="11" t="s">
        <v>35</v>
      </c>
      <c r="D284" s="28"/>
      <c r="E284" s="4"/>
      <c r="G284" s="38"/>
      <c r="H284" s="99"/>
      <c r="I284" s="9"/>
      <c r="J284" s="9"/>
      <c r="K284" s="75"/>
      <c r="L284" s="100"/>
      <c r="T284" s="9"/>
      <c r="U284" s="9"/>
      <c r="V284" s="63"/>
      <c r="W284" s="9"/>
      <c r="X284" s="9"/>
      <c r="Y284" s="9"/>
      <c r="Z284" s="40"/>
      <c r="AA284" s="43"/>
      <c r="AB284" s="5"/>
      <c r="AF284" s="57"/>
    </row>
    <row r="285" customFormat="false" ht="33.75" hidden="false" customHeight="true" outlineLevel="0" collapsed="false">
      <c r="A285" s="28"/>
      <c r="B285" s="11" t="s">
        <v>185</v>
      </c>
      <c r="C285" s="11" t="s">
        <v>35</v>
      </c>
      <c r="D285" s="28" t="n">
        <v>550440</v>
      </c>
      <c r="E285" s="4" t="s">
        <v>385</v>
      </c>
      <c r="F285" s="4" t="s">
        <v>108</v>
      </c>
      <c r="G285" s="5" t="s">
        <v>46</v>
      </c>
      <c r="H285" s="6" t="n">
        <v>1171</v>
      </c>
      <c r="I285" s="9" t="n">
        <f aca="false">H285</f>
        <v>1171</v>
      </c>
      <c r="J285" s="9" t="n">
        <v>1000</v>
      </c>
      <c r="K285" s="4" t="s">
        <v>383</v>
      </c>
      <c r="L285" s="7" t="n">
        <v>39814</v>
      </c>
      <c r="M285" s="8" t="n">
        <v>45747</v>
      </c>
      <c r="Q285" s="9" t="n">
        <v>50425</v>
      </c>
      <c r="R285" s="9" t="n">
        <f aca="false">Q285</f>
        <v>50425</v>
      </c>
      <c r="T285" s="9" t="n">
        <v>41000</v>
      </c>
      <c r="U285" s="9" t="n">
        <f aca="false">T285</f>
        <v>41000</v>
      </c>
      <c r="V285" s="63" t="n">
        <v>41000</v>
      </c>
      <c r="W285" s="9" t="n">
        <f aca="false">V285</f>
        <v>41000</v>
      </c>
      <c r="X285" s="44" t="n">
        <f aca="false">T285/H285</f>
        <v>35.0128095644748</v>
      </c>
      <c r="Y285" s="9" t="s">
        <v>52</v>
      </c>
      <c r="Z285" s="40"/>
      <c r="AA285" s="43"/>
      <c r="AB285" s="5" t="s">
        <v>165</v>
      </c>
      <c r="AC285" s="4" t="s">
        <v>384</v>
      </c>
      <c r="AF285" s="57"/>
    </row>
    <row r="286" customFormat="false" ht="28.5" hidden="false" customHeight="true" outlineLevel="0" collapsed="false">
      <c r="A286" s="28"/>
      <c r="B286" s="11" t="s">
        <v>185</v>
      </c>
      <c r="C286" s="11" t="s">
        <v>35</v>
      </c>
      <c r="D286" s="28" t="n">
        <v>550440</v>
      </c>
      <c r="E286" s="4" t="s">
        <v>385</v>
      </c>
      <c r="F286" s="4" t="s">
        <v>254</v>
      </c>
      <c r="G286" s="5" t="s">
        <v>386</v>
      </c>
      <c r="H286" s="6" t="n">
        <v>1120</v>
      </c>
      <c r="I286" s="9" t="n">
        <f aca="false">H286</f>
        <v>1120</v>
      </c>
      <c r="J286" s="9" t="n">
        <v>1000</v>
      </c>
      <c r="K286" s="4" t="s">
        <v>383</v>
      </c>
      <c r="L286" s="7" t="n">
        <v>45292</v>
      </c>
      <c r="Q286" s="9" t="n">
        <v>61575</v>
      </c>
      <c r="R286" s="9" t="n">
        <f aca="false">Q286</f>
        <v>61575</v>
      </c>
      <c r="T286" s="9" t="n">
        <v>58800</v>
      </c>
      <c r="U286" s="9" t="n">
        <f aca="false">T286</f>
        <v>58800</v>
      </c>
      <c r="V286" s="63" t="n">
        <v>58800</v>
      </c>
      <c r="W286" s="9" t="n">
        <f aca="false">V286</f>
        <v>58800</v>
      </c>
      <c r="X286" s="9"/>
      <c r="Y286" s="9" t="s">
        <v>123</v>
      </c>
      <c r="Z286" s="40"/>
      <c r="AA286" s="43"/>
      <c r="AB286" s="5" t="s">
        <v>40</v>
      </c>
      <c r="AC286" s="4" t="s">
        <v>387</v>
      </c>
      <c r="AF286" s="57"/>
    </row>
    <row r="287" customFormat="false" ht="14.25" hidden="false" customHeight="true" outlineLevel="0" collapsed="false">
      <c r="A287" s="28"/>
      <c r="B287" s="11"/>
      <c r="C287" s="11" t="s">
        <v>35</v>
      </c>
      <c r="D287" s="28"/>
      <c r="E287" s="4"/>
      <c r="I287" s="9"/>
      <c r="J287" s="9"/>
      <c r="T287" s="9"/>
      <c r="U287" s="9"/>
      <c r="V287" s="63"/>
      <c r="W287" s="9"/>
      <c r="X287" s="9"/>
      <c r="Y287" s="9"/>
      <c r="Z287" s="40"/>
      <c r="AA287" s="43"/>
      <c r="AB287" s="5"/>
      <c r="AF287" s="57"/>
    </row>
    <row r="288" customFormat="false" ht="14.25" hidden="false" customHeight="true" outlineLevel="0" collapsed="false">
      <c r="A288" s="28"/>
      <c r="B288" s="11"/>
      <c r="C288" s="11" t="s">
        <v>35</v>
      </c>
      <c r="D288" s="28"/>
      <c r="E288" s="4"/>
      <c r="F288" s="45" t="s">
        <v>385</v>
      </c>
      <c r="H288" s="41" t="n">
        <f aca="false">SUM(H285:H286)</f>
        <v>2291</v>
      </c>
      <c r="I288" s="42"/>
      <c r="J288" s="42"/>
      <c r="Q288" s="42" t="n">
        <f aca="false">SUM(Q285:Q286)</f>
        <v>112000</v>
      </c>
      <c r="R288" s="42"/>
      <c r="S288" s="42" t="n">
        <f aca="false">SUM(R284:R287)</f>
        <v>112000</v>
      </c>
      <c r="T288" s="42" t="n">
        <f aca="false">SUM(T285:T286)</f>
        <v>99800</v>
      </c>
      <c r="U288" s="42"/>
      <c r="V288" s="43" t="n">
        <f aca="false">SUM(V285:V286)</f>
        <v>99800</v>
      </c>
      <c r="W288" s="42"/>
      <c r="X288" s="42"/>
      <c r="Y288" s="42"/>
      <c r="Z288" s="64"/>
      <c r="AA288" s="43" t="n">
        <v>1525000</v>
      </c>
      <c r="AB288" s="5"/>
      <c r="AF288" s="57"/>
    </row>
    <row r="289" customFormat="false" ht="14.25" hidden="false" customHeight="true" outlineLevel="0" collapsed="false">
      <c r="A289" s="28"/>
      <c r="B289" s="11"/>
      <c r="C289" s="11" t="s">
        <v>35</v>
      </c>
      <c r="D289" s="28"/>
      <c r="E289" s="4"/>
      <c r="I289" s="9"/>
      <c r="J289" s="9"/>
      <c r="T289" s="9"/>
      <c r="U289" s="9"/>
      <c r="V289" s="63"/>
      <c r="W289" s="9"/>
      <c r="X289" s="9"/>
      <c r="Y289" s="9"/>
      <c r="Z289" s="40"/>
      <c r="AA289" s="43"/>
      <c r="AB289" s="5"/>
      <c r="AF289" s="57"/>
    </row>
    <row r="290" customFormat="false" ht="14.25" hidden="false" customHeight="true" outlineLevel="0" collapsed="false">
      <c r="A290" s="28"/>
      <c r="B290" s="11"/>
      <c r="C290" s="11" t="s">
        <v>35</v>
      </c>
      <c r="D290" s="28"/>
      <c r="E290" s="4"/>
      <c r="G290" s="38" t="s">
        <v>388</v>
      </c>
      <c r="I290" s="9"/>
      <c r="J290" s="9"/>
      <c r="K290" s="39"/>
      <c r="T290" s="11"/>
      <c r="U290" s="9"/>
      <c r="W290" s="9"/>
      <c r="X290" s="9"/>
      <c r="Y290" s="9"/>
      <c r="Z290" s="40"/>
      <c r="AA290" s="43"/>
      <c r="AB290" s="5"/>
      <c r="AF290" s="57"/>
    </row>
    <row r="291" customFormat="false" ht="14.25" hidden="false" customHeight="true" outlineLevel="0" collapsed="false">
      <c r="A291" s="28"/>
      <c r="B291" s="11"/>
      <c r="C291" s="11" t="s">
        <v>35</v>
      </c>
      <c r="D291" s="28"/>
      <c r="E291" s="4"/>
      <c r="I291" s="9"/>
      <c r="J291" s="9"/>
      <c r="T291" s="9"/>
      <c r="U291" s="9"/>
      <c r="V291" s="63"/>
      <c r="W291" s="9"/>
      <c r="X291" s="9"/>
      <c r="Y291" s="9"/>
      <c r="Z291" s="40"/>
      <c r="AA291" s="43"/>
      <c r="AB291" s="5"/>
      <c r="AF291" s="57"/>
    </row>
    <row r="292" customFormat="false" ht="22.5" hidden="false" customHeight="true" outlineLevel="0" collapsed="false">
      <c r="A292" s="28"/>
      <c r="B292" s="11" t="s">
        <v>102</v>
      </c>
      <c r="C292" s="11" t="s">
        <v>35</v>
      </c>
      <c r="D292" s="28" t="n">
        <v>550220</v>
      </c>
      <c r="E292" s="4" t="s">
        <v>388</v>
      </c>
      <c r="F292" s="4" t="s">
        <v>389</v>
      </c>
      <c r="G292" s="5" t="s">
        <v>390</v>
      </c>
      <c r="H292" s="41" t="n">
        <v>4284</v>
      </c>
      <c r="I292" s="9" t="n">
        <f aca="false">H292</f>
        <v>4284</v>
      </c>
      <c r="J292" s="9" t="n">
        <v>4250</v>
      </c>
      <c r="K292" s="4" t="s">
        <v>63</v>
      </c>
      <c r="N292" s="8" t="n">
        <v>44387</v>
      </c>
      <c r="Q292" s="42" t="n">
        <v>0</v>
      </c>
      <c r="R292" s="9" t="n">
        <f aca="false">Q292</f>
        <v>0</v>
      </c>
      <c r="S292" s="42" t="n">
        <f aca="false">R292</f>
        <v>0</v>
      </c>
      <c r="T292" s="42" t="n">
        <v>0</v>
      </c>
      <c r="U292" s="9" t="n">
        <f aca="false">T292</f>
        <v>0</v>
      </c>
      <c r="V292" s="43" t="n">
        <v>0</v>
      </c>
      <c r="W292" s="9" t="n">
        <f aca="false">V292</f>
        <v>0</v>
      </c>
      <c r="X292" s="9"/>
      <c r="Y292" s="9"/>
      <c r="Z292" s="40"/>
      <c r="AA292" s="43" t="n">
        <v>1500000</v>
      </c>
      <c r="AB292" s="5" t="s">
        <v>40</v>
      </c>
      <c r="AC292" s="4" t="s">
        <v>220</v>
      </c>
      <c r="AE292" s="58"/>
      <c r="AF292" s="59"/>
      <c r="AG292" s="58"/>
    </row>
    <row r="293" customFormat="false" ht="14.25" hidden="false" customHeight="true" outlineLevel="0" collapsed="false">
      <c r="A293" s="28"/>
      <c r="B293" s="11"/>
      <c r="C293" s="11" t="s">
        <v>35</v>
      </c>
      <c r="D293" s="28"/>
      <c r="E293" s="4"/>
      <c r="I293" s="9"/>
      <c r="J293" s="9"/>
      <c r="T293" s="9"/>
      <c r="U293" s="9"/>
      <c r="V293" s="63"/>
      <c r="W293" s="9"/>
      <c r="X293" s="9"/>
      <c r="Y293" s="9"/>
      <c r="Z293" s="40"/>
      <c r="AB293" s="5"/>
      <c r="AF293" s="57"/>
    </row>
    <row r="294" customFormat="false" ht="14.25" hidden="false" customHeight="true" outlineLevel="0" collapsed="false">
      <c r="A294" s="28"/>
      <c r="B294" s="11"/>
      <c r="C294" s="11" t="s">
        <v>35</v>
      </c>
      <c r="D294" s="28"/>
      <c r="E294" s="4"/>
      <c r="F294" s="45" t="s">
        <v>391</v>
      </c>
      <c r="H294" s="46" t="n">
        <f aca="false">SUM(H292:H293)</f>
        <v>4284</v>
      </c>
      <c r="I294" s="41"/>
      <c r="J294" s="41"/>
      <c r="K294" s="47"/>
      <c r="L294" s="48"/>
      <c r="M294" s="49"/>
      <c r="N294" s="49"/>
      <c r="O294" s="49"/>
      <c r="P294" s="49"/>
      <c r="Q294" s="46"/>
      <c r="R294" s="46"/>
      <c r="S294" s="46"/>
      <c r="T294" s="46" t="n">
        <f aca="false">SUM(T292:T293)</f>
        <v>0</v>
      </c>
      <c r="U294" s="46"/>
      <c r="V294" s="50"/>
      <c r="W294" s="46"/>
      <c r="X294" s="46"/>
      <c r="Y294" s="46"/>
      <c r="Z294" s="51"/>
      <c r="AA294" s="52"/>
      <c r="AB294" s="5"/>
      <c r="AF294" s="57"/>
    </row>
    <row r="295" customFormat="false" ht="14.25" hidden="false" customHeight="true" outlineLevel="0" collapsed="false">
      <c r="A295" s="28"/>
      <c r="B295" s="11"/>
      <c r="C295" s="11" t="s">
        <v>35</v>
      </c>
      <c r="D295" s="28"/>
      <c r="E295" s="4"/>
      <c r="G295" s="38" t="s">
        <v>392</v>
      </c>
      <c r="I295" s="9"/>
      <c r="J295" s="9"/>
      <c r="K295" s="39"/>
      <c r="T295" s="11"/>
      <c r="U295" s="9"/>
      <c r="W295" s="9"/>
      <c r="X295" s="9"/>
      <c r="Y295" s="9"/>
      <c r="Z295" s="40"/>
      <c r="AA295" s="43"/>
      <c r="AB295" s="5"/>
      <c r="AF295" s="57"/>
    </row>
    <row r="296" customFormat="false" ht="14.25" hidden="false" customHeight="true" outlineLevel="0" collapsed="false">
      <c r="A296" s="28"/>
      <c r="B296" s="11"/>
      <c r="C296" s="11" t="s">
        <v>35</v>
      </c>
      <c r="D296" s="28"/>
      <c r="E296" s="4"/>
      <c r="G296" s="38"/>
      <c r="I296" s="9"/>
      <c r="J296" s="9"/>
      <c r="T296" s="9"/>
      <c r="U296" s="9"/>
      <c r="V296" s="63"/>
      <c r="W296" s="9"/>
      <c r="X296" s="9"/>
      <c r="Y296" s="9"/>
      <c r="Z296" s="40"/>
      <c r="AA296" s="43"/>
      <c r="AB296" s="5"/>
      <c r="AF296" s="57"/>
    </row>
    <row r="297" customFormat="false" ht="41.25" hidden="false" customHeight="true" outlineLevel="0" collapsed="false">
      <c r="A297" s="28"/>
      <c r="B297" s="11" t="s">
        <v>102</v>
      </c>
      <c r="C297" s="11" t="s">
        <v>35</v>
      </c>
      <c r="D297" s="28" t="n">
        <v>550890</v>
      </c>
      <c r="E297" s="4" t="s">
        <v>392</v>
      </c>
      <c r="F297" s="4" t="s">
        <v>36</v>
      </c>
      <c r="G297" s="5" t="s">
        <v>393</v>
      </c>
      <c r="H297" s="41" t="n">
        <v>23500</v>
      </c>
      <c r="I297" s="9" t="n">
        <f aca="false">H297</f>
        <v>23500</v>
      </c>
      <c r="J297" s="9" t="n">
        <v>23500</v>
      </c>
      <c r="K297" s="4" t="s">
        <v>394</v>
      </c>
      <c r="L297" s="7" t="n">
        <v>45651</v>
      </c>
      <c r="M297" s="8" t="n">
        <v>49302</v>
      </c>
      <c r="O297" s="7" t="n">
        <v>47477</v>
      </c>
      <c r="P297" s="7"/>
      <c r="Q297" s="42" t="n">
        <v>660000</v>
      </c>
      <c r="R297" s="9" t="n">
        <f aca="false">Q297</f>
        <v>660000</v>
      </c>
      <c r="S297" s="42" t="n">
        <f aca="false">R297</f>
        <v>660000</v>
      </c>
      <c r="T297" s="42" t="n">
        <v>0</v>
      </c>
      <c r="U297" s="9" t="n">
        <f aca="false">T297</f>
        <v>0</v>
      </c>
      <c r="V297" s="43" t="n">
        <v>0</v>
      </c>
      <c r="W297" s="9" t="n">
        <f aca="false">V297</f>
        <v>0</v>
      </c>
      <c r="X297" s="9"/>
      <c r="Y297" s="9" t="s">
        <v>52</v>
      </c>
      <c r="Z297" s="40"/>
      <c r="AA297" s="43" t="n">
        <v>17100000</v>
      </c>
      <c r="AB297" s="5" t="s">
        <v>40</v>
      </c>
      <c r="AC297" s="101" t="s">
        <v>395</v>
      </c>
      <c r="AD297" s="102"/>
      <c r="AE297" s="101"/>
      <c r="AF297" s="103"/>
      <c r="AG297" s="101"/>
    </row>
    <row r="298" customFormat="false" ht="14.25" hidden="false" customHeight="true" outlineLevel="0" collapsed="false">
      <c r="A298" s="28"/>
      <c r="B298" s="11"/>
      <c r="C298" s="11" t="s">
        <v>35</v>
      </c>
      <c r="D298" s="28"/>
      <c r="E298" s="4"/>
      <c r="H298" s="41"/>
      <c r="I298" s="9"/>
      <c r="J298" s="9"/>
      <c r="Q298" s="42"/>
      <c r="R298" s="42"/>
      <c r="S298" s="42"/>
      <c r="T298" s="42"/>
      <c r="U298" s="42"/>
      <c r="V298" s="43"/>
      <c r="W298" s="42"/>
      <c r="X298" s="42"/>
      <c r="Y298" s="42"/>
      <c r="Z298" s="64"/>
      <c r="AA298" s="43"/>
      <c r="AB298" s="5"/>
      <c r="AF298" s="57"/>
    </row>
    <row r="299" customFormat="false" ht="14.25" hidden="false" customHeight="true" outlineLevel="0" collapsed="false">
      <c r="A299" s="28"/>
      <c r="B299" s="11"/>
      <c r="C299" s="11" t="s">
        <v>35</v>
      </c>
      <c r="D299" s="28"/>
      <c r="E299" s="4"/>
      <c r="G299" s="38" t="s">
        <v>396</v>
      </c>
      <c r="I299" s="9"/>
      <c r="J299" s="9"/>
      <c r="K299" s="39"/>
      <c r="T299" s="11"/>
      <c r="U299" s="9"/>
      <c r="W299" s="9"/>
      <c r="X299" s="9"/>
      <c r="Y299" s="9"/>
      <c r="Z299" s="40"/>
      <c r="AA299" s="43"/>
      <c r="AB299" s="5"/>
      <c r="AF299" s="57"/>
    </row>
    <row r="300" customFormat="false" ht="14.25" hidden="false" customHeight="true" outlineLevel="0" collapsed="false">
      <c r="A300" s="28"/>
      <c r="B300" s="11"/>
      <c r="C300" s="11" t="s">
        <v>35</v>
      </c>
      <c r="D300" s="28"/>
      <c r="E300" s="4"/>
      <c r="H300" s="41"/>
      <c r="I300" s="42"/>
      <c r="J300" s="42"/>
      <c r="Q300" s="42"/>
      <c r="R300" s="42"/>
      <c r="S300" s="42"/>
      <c r="T300" s="42"/>
      <c r="U300" s="42"/>
      <c r="V300" s="43"/>
      <c r="W300" s="42"/>
      <c r="X300" s="42"/>
      <c r="Y300" s="42"/>
      <c r="Z300" s="64"/>
      <c r="AA300" s="43"/>
      <c r="AB300" s="5"/>
      <c r="AF300" s="57"/>
    </row>
    <row r="301" customFormat="false" ht="13.5" hidden="false" customHeight="true" outlineLevel="0" collapsed="false">
      <c r="A301" s="28"/>
      <c r="B301" s="11" t="s">
        <v>228</v>
      </c>
      <c r="C301" s="11" t="s">
        <v>35</v>
      </c>
      <c r="D301" s="28" t="n">
        <v>550586</v>
      </c>
      <c r="E301" s="4" t="s">
        <v>396</v>
      </c>
      <c r="F301" s="4" t="s">
        <v>397</v>
      </c>
      <c r="G301" s="5" t="s">
        <v>235</v>
      </c>
      <c r="H301" s="41" t="n">
        <v>420</v>
      </c>
      <c r="I301" s="9" t="n">
        <f aca="false">H301</f>
        <v>420</v>
      </c>
      <c r="J301" s="9" t="n">
        <v>500</v>
      </c>
      <c r="K301" s="4" t="s">
        <v>398</v>
      </c>
      <c r="L301" s="7" t="n">
        <v>45664</v>
      </c>
      <c r="M301" s="8" t="n">
        <v>46028</v>
      </c>
      <c r="Q301" s="42" t="n">
        <v>25220</v>
      </c>
      <c r="R301" s="9" t="n">
        <f aca="false">Q301</f>
        <v>25220</v>
      </c>
      <c r="S301" s="42" t="n">
        <f aca="false">R301</f>
        <v>25220</v>
      </c>
      <c r="T301" s="42" t="n">
        <v>27000</v>
      </c>
      <c r="U301" s="9" t="n">
        <f aca="false">T301</f>
        <v>27000</v>
      </c>
      <c r="V301" s="43" t="n">
        <v>25220</v>
      </c>
      <c r="W301" s="9" t="n">
        <f aca="false">V301</f>
        <v>25220</v>
      </c>
      <c r="X301" s="9"/>
      <c r="Y301" s="9" t="s">
        <v>57</v>
      </c>
      <c r="Z301" s="40"/>
      <c r="AA301" s="43" t="n">
        <v>575000</v>
      </c>
      <c r="AB301" s="5" t="s">
        <v>40</v>
      </c>
      <c r="AE301" s="58"/>
      <c r="AF301" s="59"/>
      <c r="AG301" s="58"/>
    </row>
    <row r="302" customFormat="false" ht="14.25" hidden="false" customHeight="true" outlineLevel="0" collapsed="false">
      <c r="A302" s="28"/>
      <c r="B302" s="11"/>
      <c r="C302" s="11" t="s">
        <v>35</v>
      </c>
      <c r="D302" s="28"/>
      <c r="E302" s="4"/>
      <c r="H302" s="41"/>
      <c r="I302" s="42"/>
      <c r="J302" s="42"/>
      <c r="Q302" s="42"/>
      <c r="R302" s="42"/>
      <c r="S302" s="42"/>
      <c r="T302" s="42"/>
      <c r="U302" s="42"/>
      <c r="V302" s="43"/>
      <c r="W302" s="42"/>
      <c r="X302" s="42"/>
      <c r="Y302" s="42"/>
      <c r="Z302" s="64"/>
      <c r="AA302" s="62"/>
      <c r="AB302" s="5"/>
      <c r="AF302" s="57"/>
    </row>
    <row r="303" customFormat="false" ht="14.25" hidden="false" customHeight="true" outlineLevel="0" collapsed="false">
      <c r="A303" s="28"/>
      <c r="B303" s="11"/>
      <c r="C303" s="11" t="s">
        <v>35</v>
      </c>
      <c r="D303" s="28"/>
      <c r="E303" s="4"/>
      <c r="F303" s="45" t="s">
        <v>399</v>
      </c>
      <c r="H303" s="46" t="n">
        <f aca="false">SUM(H301:H302)</f>
        <v>420</v>
      </c>
      <c r="I303" s="41"/>
      <c r="J303" s="41"/>
      <c r="K303" s="47"/>
      <c r="L303" s="48"/>
      <c r="M303" s="49"/>
      <c r="N303" s="49"/>
      <c r="O303" s="49"/>
      <c r="P303" s="49"/>
      <c r="Q303" s="46"/>
      <c r="R303" s="46"/>
      <c r="S303" s="46"/>
      <c r="T303" s="46" t="n">
        <f aca="false">SUM(T301:T302)</f>
        <v>27000</v>
      </c>
      <c r="U303" s="46"/>
      <c r="V303" s="50"/>
      <c r="W303" s="46"/>
      <c r="X303" s="46"/>
      <c r="Y303" s="46"/>
      <c r="Z303" s="51"/>
      <c r="AA303" s="52"/>
      <c r="AB303" s="5"/>
      <c r="AF303" s="57"/>
    </row>
    <row r="304" customFormat="false" ht="14.25" hidden="false" customHeight="true" outlineLevel="0" collapsed="false">
      <c r="A304" s="28"/>
      <c r="B304" s="11"/>
      <c r="C304" s="11" t="s">
        <v>35</v>
      </c>
      <c r="D304" s="28"/>
      <c r="E304" s="4"/>
      <c r="G304" s="38" t="s">
        <v>400</v>
      </c>
      <c r="I304" s="9"/>
      <c r="J304" s="9"/>
      <c r="K304" s="39"/>
      <c r="T304" s="11"/>
      <c r="U304" s="9"/>
      <c r="W304" s="9"/>
      <c r="X304" s="9"/>
      <c r="Y304" s="9"/>
      <c r="Z304" s="40"/>
      <c r="AB304" s="5"/>
      <c r="AF304" s="57"/>
    </row>
    <row r="305" customFormat="false" ht="14.25" hidden="false" customHeight="true" outlineLevel="0" collapsed="false">
      <c r="A305" s="28"/>
      <c r="B305" s="11"/>
      <c r="C305" s="11" t="s">
        <v>35</v>
      </c>
      <c r="D305" s="28"/>
      <c r="E305" s="4"/>
      <c r="G305" s="38"/>
      <c r="H305" s="104"/>
      <c r="I305" s="9"/>
      <c r="J305" s="9"/>
      <c r="K305" s="66"/>
      <c r="T305" s="9"/>
      <c r="U305" s="9"/>
      <c r="V305" s="63"/>
      <c r="W305" s="9"/>
      <c r="X305" s="9"/>
      <c r="Y305" s="9"/>
      <c r="Z305" s="40"/>
      <c r="AB305" s="5"/>
      <c r="AF305" s="57"/>
    </row>
    <row r="306" customFormat="false" ht="24" hidden="false" customHeight="true" outlineLevel="0" collapsed="false">
      <c r="A306" s="28"/>
      <c r="B306" s="11" t="s">
        <v>185</v>
      </c>
      <c r="C306" s="11" t="s">
        <v>35</v>
      </c>
      <c r="D306" s="28" t="n">
        <v>550300</v>
      </c>
      <c r="E306" s="4" t="s">
        <v>400</v>
      </c>
      <c r="F306" s="4" t="s">
        <v>401</v>
      </c>
      <c r="G306" s="5" t="s">
        <v>402</v>
      </c>
      <c r="H306" s="6" t="n">
        <v>1911</v>
      </c>
      <c r="I306" s="6" t="n">
        <f aca="false">H306</f>
        <v>1911</v>
      </c>
      <c r="J306" s="6" t="n">
        <v>2000</v>
      </c>
      <c r="K306" s="4" t="s">
        <v>403</v>
      </c>
      <c r="L306" s="7" t="n">
        <v>44774</v>
      </c>
      <c r="M306" s="8" t="n">
        <v>46599</v>
      </c>
      <c r="P306" s="8" t="n">
        <v>45870</v>
      </c>
      <c r="Q306" s="9" t="n">
        <v>44735</v>
      </c>
      <c r="R306" s="9" t="n">
        <f aca="false">Q306</f>
        <v>44735</v>
      </c>
      <c r="T306" s="9" t="n">
        <v>45700</v>
      </c>
      <c r="U306" s="9" t="n">
        <f aca="false">T306</f>
        <v>45700</v>
      </c>
      <c r="V306" s="63" t="n">
        <v>47800</v>
      </c>
      <c r="W306" s="9" t="n">
        <f aca="false">V306</f>
        <v>47800</v>
      </c>
      <c r="X306" s="44" t="n">
        <f aca="false">T306/H306</f>
        <v>23.9141810570382</v>
      </c>
      <c r="Y306" s="9" t="s">
        <v>123</v>
      </c>
      <c r="Z306" s="40"/>
      <c r="AB306" s="5" t="s">
        <v>40</v>
      </c>
      <c r="AC306" s="4" t="s">
        <v>71</v>
      </c>
      <c r="AF306" s="57"/>
    </row>
    <row r="307" customFormat="false" ht="24" hidden="false" customHeight="true" outlineLevel="0" collapsed="false">
      <c r="A307" s="28"/>
      <c r="B307" s="11" t="s">
        <v>185</v>
      </c>
      <c r="C307" s="11" t="s">
        <v>35</v>
      </c>
      <c r="D307" s="28" t="n">
        <v>550300</v>
      </c>
      <c r="E307" s="4" t="s">
        <v>400</v>
      </c>
      <c r="F307" s="4" t="s">
        <v>404</v>
      </c>
      <c r="G307" s="5" t="s">
        <v>405</v>
      </c>
      <c r="H307" s="6" t="n">
        <v>0</v>
      </c>
      <c r="I307" s="6" t="n">
        <f aca="false">H307</f>
        <v>0</v>
      </c>
      <c r="K307" s="4" t="s">
        <v>77</v>
      </c>
      <c r="N307" s="8" t="n">
        <v>45456</v>
      </c>
      <c r="Q307" s="9" t="n">
        <v>0</v>
      </c>
      <c r="R307" s="9" t="n">
        <f aca="false">Q307</f>
        <v>0</v>
      </c>
      <c r="T307" s="9" t="n">
        <v>0</v>
      </c>
      <c r="U307" s="9" t="n">
        <f aca="false">T307</f>
        <v>0</v>
      </c>
      <c r="V307" s="63" t="n">
        <v>0</v>
      </c>
      <c r="W307" s="9" t="n">
        <f aca="false">V307</f>
        <v>0</v>
      </c>
      <c r="X307" s="44"/>
      <c r="Y307" s="9" t="s">
        <v>123</v>
      </c>
      <c r="Z307" s="40"/>
      <c r="AB307" s="5" t="s">
        <v>40</v>
      </c>
      <c r="AF307" s="57"/>
    </row>
    <row r="308" customFormat="false" ht="14.25" hidden="false" customHeight="true" outlineLevel="0" collapsed="false">
      <c r="A308" s="28"/>
      <c r="B308" s="11" t="s">
        <v>185</v>
      </c>
      <c r="C308" s="11" t="s">
        <v>35</v>
      </c>
      <c r="D308" s="28" t="n">
        <v>550300</v>
      </c>
      <c r="E308" s="4" t="s">
        <v>400</v>
      </c>
      <c r="F308" s="4" t="s">
        <v>406</v>
      </c>
      <c r="G308" s="5" t="s">
        <v>229</v>
      </c>
      <c r="H308" s="6" t="n">
        <v>495</v>
      </c>
      <c r="I308" s="6" t="n">
        <f aca="false">H308</f>
        <v>495</v>
      </c>
      <c r="J308" s="6" t="n">
        <v>500</v>
      </c>
      <c r="K308" s="4" t="s">
        <v>407</v>
      </c>
      <c r="L308" s="7" t="n">
        <v>45010</v>
      </c>
      <c r="M308" s="8" t="n">
        <v>48662</v>
      </c>
      <c r="O308" s="8" t="n">
        <v>46837</v>
      </c>
      <c r="Q308" s="9" t="n">
        <v>35000</v>
      </c>
      <c r="R308" s="9" t="n">
        <f aca="false">Q308</f>
        <v>35000</v>
      </c>
      <c r="T308" s="9" t="n">
        <v>35400</v>
      </c>
      <c r="U308" s="9" t="n">
        <f aca="false">T308</f>
        <v>35400</v>
      </c>
      <c r="V308" s="63" t="n">
        <v>35000</v>
      </c>
      <c r="W308" s="9" t="n">
        <f aca="false">V308</f>
        <v>35000</v>
      </c>
      <c r="X308" s="44" t="n">
        <f aca="false">T308/H308</f>
        <v>71.5151515151515</v>
      </c>
      <c r="Y308" s="9" t="s">
        <v>123</v>
      </c>
      <c r="Z308" s="40"/>
      <c r="AB308" s="5" t="s">
        <v>40</v>
      </c>
      <c r="AF308" s="57"/>
    </row>
    <row r="309" customFormat="false" ht="24.75" hidden="false" customHeight="true" outlineLevel="0" collapsed="false">
      <c r="A309" s="28"/>
      <c r="B309" s="11" t="s">
        <v>185</v>
      </c>
      <c r="C309" s="11" t="s">
        <v>35</v>
      </c>
      <c r="D309" s="28" t="n">
        <v>550300</v>
      </c>
      <c r="E309" s="4" t="s">
        <v>400</v>
      </c>
      <c r="F309" s="4" t="s">
        <v>408</v>
      </c>
      <c r="G309" s="5" t="s">
        <v>409</v>
      </c>
      <c r="H309" s="6" t="n">
        <v>1051</v>
      </c>
      <c r="I309" s="6" t="n">
        <f aca="false">H309</f>
        <v>1051</v>
      </c>
      <c r="J309" s="6" t="n">
        <v>1000</v>
      </c>
      <c r="K309" s="4" t="s">
        <v>410</v>
      </c>
      <c r="L309" s="7" t="n">
        <v>43549</v>
      </c>
      <c r="M309" s="8" t="n">
        <v>46836</v>
      </c>
      <c r="O309" s="8" t="n">
        <v>45010</v>
      </c>
      <c r="Q309" s="9" t="n">
        <v>28200</v>
      </c>
      <c r="R309" s="9" t="n">
        <f aca="false">Q309</f>
        <v>28200</v>
      </c>
      <c r="T309" s="9" t="n">
        <v>32000</v>
      </c>
      <c r="U309" s="9" t="n">
        <f aca="false">T309</f>
        <v>32000</v>
      </c>
      <c r="V309" s="63" t="n">
        <v>21000</v>
      </c>
      <c r="W309" s="9" t="n">
        <f aca="false">V309</f>
        <v>21000</v>
      </c>
      <c r="X309" s="44" t="n">
        <f aca="false">T309/H309</f>
        <v>30.4471931493815</v>
      </c>
      <c r="Y309" s="9" t="s">
        <v>123</v>
      </c>
      <c r="Z309" s="40"/>
      <c r="AB309" s="5" t="s">
        <v>40</v>
      </c>
      <c r="AC309" s="4" t="s">
        <v>411</v>
      </c>
      <c r="AF309" s="57"/>
    </row>
    <row r="310" customFormat="false" ht="22.5" hidden="false" customHeight="true" outlineLevel="0" collapsed="false">
      <c r="A310" s="28"/>
      <c r="B310" s="11" t="s">
        <v>185</v>
      </c>
      <c r="C310" s="11" t="s">
        <v>35</v>
      </c>
      <c r="D310" s="28" t="n">
        <v>550300</v>
      </c>
      <c r="E310" s="4" t="s">
        <v>400</v>
      </c>
      <c r="F310" s="4" t="s">
        <v>333</v>
      </c>
      <c r="G310" s="5" t="s">
        <v>86</v>
      </c>
      <c r="H310" s="6" t="n">
        <v>2254</v>
      </c>
      <c r="I310" s="6" t="n">
        <f aca="false">H310</f>
        <v>2254</v>
      </c>
      <c r="J310" s="6" t="n">
        <v>2250</v>
      </c>
      <c r="K310" s="4" t="s">
        <v>351</v>
      </c>
      <c r="L310" s="7" t="n">
        <v>45001</v>
      </c>
      <c r="M310" s="8" t="n">
        <v>46827</v>
      </c>
      <c r="P310" s="8" t="n">
        <v>46097</v>
      </c>
      <c r="Q310" s="9" t="n">
        <v>148590</v>
      </c>
      <c r="R310" s="9" t="n">
        <f aca="false">Q310</f>
        <v>148590</v>
      </c>
      <c r="T310" s="9" t="n">
        <v>148600</v>
      </c>
      <c r="U310" s="9" t="n">
        <f aca="false">T310</f>
        <v>148600</v>
      </c>
      <c r="V310" s="63" t="n">
        <v>148590</v>
      </c>
      <c r="W310" s="9" t="n">
        <f aca="false">V310</f>
        <v>148590</v>
      </c>
      <c r="X310" s="44" t="n">
        <f aca="false">T310/H310</f>
        <v>65.927240461402</v>
      </c>
      <c r="Y310" s="9" t="s">
        <v>123</v>
      </c>
      <c r="Z310" s="40"/>
      <c r="AB310" s="5" t="s">
        <v>40</v>
      </c>
      <c r="AC310" s="4" t="s">
        <v>412</v>
      </c>
      <c r="AF310" s="57"/>
    </row>
    <row r="311" customFormat="false" ht="22.5" hidden="false" customHeight="true" outlineLevel="0" collapsed="false">
      <c r="A311" s="28"/>
      <c r="B311" s="11" t="s">
        <v>185</v>
      </c>
      <c r="C311" s="11" t="s">
        <v>35</v>
      </c>
      <c r="D311" s="28" t="n">
        <v>550300</v>
      </c>
      <c r="E311" s="4" t="s">
        <v>400</v>
      </c>
      <c r="F311" s="4" t="s">
        <v>85</v>
      </c>
      <c r="G311" s="5" t="s">
        <v>37</v>
      </c>
      <c r="H311" s="6" t="n">
        <v>3205</v>
      </c>
      <c r="I311" s="6" t="n">
        <f aca="false">H311</f>
        <v>3205</v>
      </c>
      <c r="J311" s="6" t="n">
        <v>3250</v>
      </c>
      <c r="K311" s="4" t="s">
        <v>351</v>
      </c>
      <c r="L311" s="7" t="n">
        <v>45000</v>
      </c>
      <c r="M311" s="8" t="n">
        <v>46827</v>
      </c>
      <c r="P311" s="8" t="n">
        <v>46097</v>
      </c>
      <c r="Q311" s="9" t="n">
        <v>218325</v>
      </c>
      <c r="R311" s="9" t="n">
        <f aca="false">Q311</f>
        <v>218325</v>
      </c>
      <c r="T311" s="9" t="n">
        <v>218300</v>
      </c>
      <c r="U311" s="9" t="n">
        <f aca="false">T311</f>
        <v>218300</v>
      </c>
      <c r="V311" s="63" t="n">
        <v>218325</v>
      </c>
      <c r="W311" s="9" t="n">
        <f aca="false">V311</f>
        <v>218325</v>
      </c>
      <c r="X311" s="44" t="n">
        <f aca="false">T311/H311</f>
        <v>68.1123244929797</v>
      </c>
      <c r="Y311" s="9" t="s">
        <v>123</v>
      </c>
      <c r="Z311" s="40"/>
      <c r="AB311" s="5" t="s">
        <v>40</v>
      </c>
      <c r="AC311" s="4" t="s">
        <v>412</v>
      </c>
      <c r="AF311" s="57"/>
    </row>
    <row r="312" customFormat="false" ht="28.5" hidden="false" customHeight="true" outlineLevel="0" collapsed="false">
      <c r="A312" s="28"/>
      <c r="B312" s="11" t="s">
        <v>185</v>
      </c>
      <c r="C312" s="11" t="s">
        <v>35</v>
      </c>
      <c r="D312" s="28" t="n">
        <v>550300</v>
      </c>
      <c r="E312" s="4" t="s">
        <v>400</v>
      </c>
      <c r="F312" s="4" t="s">
        <v>413</v>
      </c>
      <c r="G312" s="5" t="s">
        <v>37</v>
      </c>
      <c r="H312" s="6" t="n">
        <v>1510</v>
      </c>
      <c r="I312" s="6" t="n">
        <f aca="false">H312</f>
        <v>1510</v>
      </c>
      <c r="J312" s="6" t="n">
        <v>1500</v>
      </c>
      <c r="K312" s="4" t="s">
        <v>351</v>
      </c>
      <c r="L312" s="7" t="n">
        <v>45200</v>
      </c>
      <c r="M312" s="8" t="n">
        <v>46827</v>
      </c>
      <c r="P312" s="8" t="n">
        <v>46097</v>
      </c>
      <c r="Q312" s="9" t="n">
        <v>92250</v>
      </c>
      <c r="R312" s="9" t="n">
        <f aca="false">Q312</f>
        <v>92250</v>
      </c>
      <c r="T312" s="9" t="n">
        <v>92300</v>
      </c>
      <c r="U312" s="9" t="n">
        <f aca="false">T312</f>
        <v>92300</v>
      </c>
      <c r="V312" s="63" t="n">
        <v>92250</v>
      </c>
      <c r="W312" s="9" t="n">
        <f aca="false">V312</f>
        <v>92250</v>
      </c>
      <c r="X312" s="44" t="n">
        <f aca="false">T312/H312</f>
        <v>61.1258278145695</v>
      </c>
      <c r="Y312" s="9" t="s">
        <v>123</v>
      </c>
      <c r="Z312" s="40"/>
      <c r="AB312" s="5" t="s">
        <v>40</v>
      </c>
      <c r="AC312" s="4" t="s">
        <v>414</v>
      </c>
      <c r="AF312" s="57"/>
    </row>
    <row r="313" customFormat="false" ht="28.5" hidden="false" customHeight="true" outlineLevel="0" collapsed="false">
      <c r="A313" s="28"/>
      <c r="B313" s="11" t="s">
        <v>185</v>
      </c>
      <c r="C313" s="11" t="s">
        <v>35</v>
      </c>
      <c r="D313" s="28" t="n">
        <v>550300</v>
      </c>
      <c r="E313" s="4" t="s">
        <v>400</v>
      </c>
      <c r="F313" s="4" t="s">
        <v>415</v>
      </c>
      <c r="G313" s="5" t="s">
        <v>37</v>
      </c>
      <c r="H313" s="6" t="n">
        <v>130</v>
      </c>
      <c r="I313" s="6" t="n">
        <f aca="false">H313</f>
        <v>130</v>
      </c>
      <c r="J313" s="6" t="n">
        <v>250</v>
      </c>
      <c r="K313" s="4" t="s">
        <v>63</v>
      </c>
      <c r="N313" s="8" t="n">
        <v>45173</v>
      </c>
      <c r="Q313" s="9" t="n">
        <v>0</v>
      </c>
      <c r="R313" s="9" t="n">
        <f aca="false">Q313</f>
        <v>0</v>
      </c>
      <c r="T313" s="9" t="n">
        <v>8120</v>
      </c>
      <c r="U313" s="9" t="n">
        <f aca="false">T313</f>
        <v>8120</v>
      </c>
      <c r="V313" s="63" t="n">
        <v>8260</v>
      </c>
      <c r="W313" s="9" t="n">
        <f aca="false">V313</f>
        <v>8260</v>
      </c>
      <c r="X313" s="44" t="n">
        <f aca="false">T313/H313</f>
        <v>62.4615384615385</v>
      </c>
      <c r="Y313" s="9" t="s">
        <v>123</v>
      </c>
      <c r="Z313" s="40"/>
      <c r="AB313" s="5" t="s">
        <v>40</v>
      </c>
      <c r="AC313" s="4" t="s">
        <v>334</v>
      </c>
      <c r="AF313" s="57"/>
    </row>
    <row r="314" customFormat="false" ht="28.5" hidden="false" customHeight="true" outlineLevel="0" collapsed="false">
      <c r="A314" s="28"/>
      <c r="B314" s="11" t="s">
        <v>185</v>
      </c>
      <c r="C314" s="11" t="s">
        <v>35</v>
      </c>
      <c r="D314" s="28" t="n">
        <v>550300</v>
      </c>
      <c r="E314" s="4" t="s">
        <v>400</v>
      </c>
      <c r="F314" s="105" t="s">
        <v>416</v>
      </c>
      <c r="G314" s="5" t="s">
        <v>417</v>
      </c>
      <c r="H314" s="6" t="n">
        <v>1074</v>
      </c>
      <c r="I314" s="6" t="n">
        <f aca="false">H314</f>
        <v>1074</v>
      </c>
      <c r="J314" s="6" t="n">
        <v>1000</v>
      </c>
      <c r="K314" s="4" t="s">
        <v>63</v>
      </c>
      <c r="N314" s="8" t="n">
        <v>45003</v>
      </c>
      <c r="Q314" s="9" t="n">
        <v>0</v>
      </c>
      <c r="R314" s="9" t="n">
        <f aca="false">Q314</f>
        <v>0</v>
      </c>
      <c r="T314" s="9" t="n">
        <v>72100</v>
      </c>
      <c r="U314" s="9" t="n">
        <f aca="false">T314</f>
        <v>72100</v>
      </c>
      <c r="V314" s="63" t="n">
        <v>68200</v>
      </c>
      <c r="W314" s="9" t="n">
        <f aca="false">V314</f>
        <v>68200</v>
      </c>
      <c r="X314" s="44" t="n">
        <f aca="false">T314/H314</f>
        <v>67.1322160148976</v>
      </c>
      <c r="Y314" s="9" t="s">
        <v>123</v>
      </c>
      <c r="Z314" s="40" t="s">
        <v>25</v>
      </c>
      <c r="AB314" s="5" t="s">
        <v>40</v>
      </c>
      <c r="AC314" s="4" t="s">
        <v>334</v>
      </c>
      <c r="AD314" s="15" t="n">
        <v>67.5</v>
      </c>
      <c r="AF314" s="57"/>
    </row>
    <row r="315" customFormat="false" ht="13.5" hidden="false" customHeight="true" outlineLevel="0" collapsed="false">
      <c r="A315" s="28"/>
      <c r="B315" s="11" t="s">
        <v>185</v>
      </c>
      <c r="C315" s="11" t="s">
        <v>35</v>
      </c>
      <c r="D315" s="28" t="n">
        <v>550300</v>
      </c>
      <c r="E315" s="4" t="s">
        <v>400</v>
      </c>
      <c r="F315" s="4" t="s">
        <v>90</v>
      </c>
      <c r="G315" s="5" t="s">
        <v>37</v>
      </c>
      <c r="H315" s="6" t="n">
        <v>2018</v>
      </c>
      <c r="I315" s="6" t="n">
        <f aca="false">H315</f>
        <v>2018</v>
      </c>
      <c r="J315" s="6" t="n">
        <v>2000</v>
      </c>
      <c r="K315" s="4" t="s">
        <v>418</v>
      </c>
      <c r="L315" s="7" t="n">
        <v>45456</v>
      </c>
      <c r="M315" s="8" t="n">
        <v>47281</v>
      </c>
      <c r="P315" s="8" t="n">
        <v>46550</v>
      </c>
      <c r="Q315" s="9" t="n">
        <v>140315</v>
      </c>
      <c r="R315" s="9" t="n">
        <f aca="false">Q315</f>
        <v>140315</v>
      </c>
      <c r="T315" s="9" t="n">
        <v>129800</v>
      </c>
      <c r="U315" s="9" t="n">
        <f aca="false">T315</f>
        <v>129800</v>
      </c>
      <c r="V315" s="63" t="n">
        <v>140315</v>
      </c>
      <c r="W315" s="9" t="n">
        <f aca="false">V315</f>
        <v>140315</v>
      </c>
      <c r="X315" s="44" t="n">
        <f aca="false">T315/H315</f>
        <v>64.3211100099108</v>
      </c>
      <c r="Y315" s="9" t="s">
        <v>123</v>
      </c>
      <c r="Z315" s="40"/>
      <c r="AB315" s="5" t="s">
        <v>40</v>
      </c>
      <c r="AC315" s="4" t="s">
        <v>73</v>
      </c>
      <c r="AF315" s="57"/>
    </row>
    <row r="316" customFormat="false" ht="28.5" hidden="false" customHeight="true" outlineLevel="0" collapsed="false">
      <c r="A316" s="28"/>
      <c r="B316" s="11" t="s">
        <v>185</v>
      </c>
      <c r="C316" s="11" t="s">
        <v>35</v>
      </c>
      <c r="D316" s="28" t="n">
        <v>550300</v>
      </c>
      <c r="E316" s="4" t="s">
        <v>400</v>
      </c>
      <c r="F316" s="4" t="s">
        <v>419</v>
      </c>
      <c r="G316" s="5" t="s">
        <v>163</v>
      </c>
      <c r="H316" s="6" t="n">
        <v>0</v>
      </c>
      <c r="I316" s="6" t="n">
        <f aca="false">H316</f>
        <v>0</v>
      </c>
      <c r="K316" s="4" t="s">
        <v>164</v>
      </c>
      <c r="L316" s="7" t="n">
        <v>43866</v>
      </c>
      <c r="M316" s="8" t="n">
        <v>47518</v>
      </c>
      <c r="O316" s="8" t="n">
        <v>45693</v>
      </c>
      <c r="Q316" s="9" t="n">
        <v>1000</v>
      </c>
      <c r="R316" s="9" t="n">
        <f aca="false">Q316</f>
        <v>1000</v>
      </c>
      <c r="T316" s="9" t="n">
        <v>1000</v>
      </c>
      <c r="U316" s="9" t="n">
        <f aca="false">T316</f>
        <v>1000</v>
      </c>
      <c r="V316" s="63" t="n">
        <v>1000</v>
      </c>
      <c r="W316" s="9" t="n">
        <f aca="false">V316</f>
        <v>1000</v>
      </c>
      <c r="X316" s="44"/>
      <c r="Y316" s="9"/>
      <c r="Z316" s="40"/>
      <c r="AB316" s="5" t="s">
        <v>165</v>
      </c>
      <c r="AC316" s="4" t="s">
        <v>420</v>
      </c>
      <c r="AF316" s="57"/>
    </row>
    <row r="317" customFormat="false" ht="14.25" hidden="false" customHeight="true" outlineLevel="0" collapsed="false">
      <c r="A317" s="28"/>
      <c r="B317" s="11"/>
      <c r="C317" s="11" t="s">
        <v>35</v>
      </c>
      <c r="D317" s="28"/>
      <c r="E317" s="4"/>
      <c r="I317" s="9"/>
      <c r="J317" s="9"/>
      <c r="T317" s="9"/>
      <c r="U317" s="9"/>
      <c r="V317" s="63"/>
      <c r="W317" s="9"/>
      <c r="X317" s="9"/>
      <c r="Y317" s="9"/>
      <c r="Z317" s="40"/>
      <c r="AB317" s="5"/>
      <c r="AF317" s="57"/>
    </row>
    <row r="318" customFormat="false" ht="14.25" hidden="false" customHeight="true" outlineLevel="0" collapsed="false">
      <c r="A318" s="28"/>
      <c r="B318" s="11"/>
      <c r="C318" s="11" t="s">
        <v>35</v>
      </c>
      <c r="D318" s="28"/>
      <c r="E318" s="4"/>
      <c r="F318" s="45" t="s">
        <v>421</v>
      </c>
      <c r="H318" s="42" t="n">
        <f aca="false">SUM(H306:H316)</f>
        <v>13648</v>
      </c>
      <c r="I318" s="42"/>
      <c r="J318" s="42"/>
      <c r="K318" s="68"/>
      <c r="Q318" s="42" t="n">
        <f aca="false">SUM(Q306:Q316)</f>
        <v>708415</v>
      </c>
      <c r="R318" s="42"/>
      <c r="S318" s="42" t="n">
        <f aca="false">SUM(R304:R317)</f>
        <v>708415</v>
      </c>
      <c r="T318" s="42" t="n">
        <f aca="false">SUM(T306:T316)</f>
        <v>783320</v>
      </c>
      <c r="U318" s="42"/>
      <c r="V318" s="43" t="n">
        <f aca="false">SUM(V306:V316)</f>
        <v>780740</v>
      </c>
      <c r="W318" s="42"/>
      <c r="X318" s="42"/>
      <c r="Y318" s="42"/>
      <c r="Z318" s="64"/>
      <c r="AA318" s="43" t="n">
        <v>11175000</v>
      </c>
      <c r="AB318" s="5"/>
      <c r="AE318" s="58"/>
      <c r="AF318" s="59"/>
      <c r="AG318" s="58"/>
    </row>
    <row r="319" customFormat="false" ht="14.25" hidden="false" customHeight="true" outlineLevel="0" collapsed="false">
      <c r="A319" s="28"/>
      <c r="B319" s="11"/>
      <c r="C319" s="11" t="s">
        <v>35</v>
      </c>
      <c r="D319" s="28"/>
      <c r="E319" s="4"/>
      <c r="H319" s="41"/>
      <c r="I319" s="42"/>
      <c r="J319" s="42"/>
      <c r="Q319" s="42"/>
      <c r="R319" s="42"/>
      <c r="S319" s="42"/>
      <c r="T319" s="42"/>
      <c r="U319" s="42"/>
      <c r="V319" s="43"/>
      <c r="W319" s="42"/>
      <c r="X319" s="42"/>
      <c r="Y319" s="42"/>
      <c r="Z319" s="64"/>
      <c r="AA319" s="43"/>
      <c r="AB319" s="5"/>
      <c r="AF319" s="57"/>
    </row>
    <row r="320" customFormat="false" ht="14.25" hidden="false" customHeight="true" outlineLevel="0" collapsed="false">
      <c r="A320" s="28"/>
      <c r="B320" s="11"/>
      <c r="C320" s="11" t="s">
        <v>35</v>
      </c>
      <c r="D320" s="28"/>
      <c r="E320" s="4"/>
      <c r="G320" s="38" t="s">
        <v>422</v>
      </c>
      <c r="I320" s="9"/>
      <c r="J320" s="9"/>
      <c r="K320" s="39"/>
      <c r="T320" s="11"/>
      <c r="U320" s="9"/>
      <c r="W320" s="9"/>
      <c r="X320" s="9"/>
      <c r="Y320" s="9"/>
      <c r="Z320" s="40"/>
      <c r="AA320" s="43"/>
      <c r="AB320" s="5"/>
      <c r="AF320" s="57"/>
    </row>
    <row r="321" customFormat="false" ht="14.25" hidden="false" customHeight="true" outlineLevel="0" collapsed="false">
      <c r="A321" s="28"/>
      <c r="B321" s="11"/>
      <c r="C321" s="11" t="s">
        <v>35</v>
      </c>
      <c r="D321" s="28"/>
      <c r="E321" s="4"/>
      <c r="G321" s="38"/>
      <c r="H321" s="72"/>
      <c r="I321" s="9"/>
      <c r="J321" s="9"/>
      <c r="T321" s="9"/>
      <c r="U321" s="9"/>
      <c r="V321" s="63"/>
      <c r="W321" s="9"/>
      <c r="X321" s="9"/>
      <c r="Y321" s="9"/>
      <c r="Z321" s="40"/>
      <c r="AA321" s="43"/>
      <c r="AB321" s="5"/>
      <c r="AF321" s="57"/>
    </row>
    <row r="322" customFormat="false" ht="24" hidden="false" customHeight="true" outlineLevel="0" collapsed="false">
      <c r="A322" s="28"/>
      <c r="B322" s="11" t="s">
        <v>185</v>
      </c>
      <c r="C322" s="11" t="s">
        <v>35</v>
      </c>
      <c r="D322" s="28" t="n">
        <v>550500</v>
      </c>
      <c r="E322" s="4" t="s">
        <v>422</v>
      </c>
      <c r="F322" s="4" t="s">
        <v>423</v>
      </c>
      <c r="G322" s="5" t="s">
        <v>424</v>
      </c>
      <c r="H322" s="6" t="n">
        <v>2520</v>
      </c>
      <c r="I322" s="9" t="n">
        <f aca="false">H322</f>
        <v>2520</v>
      </c>
      <c r="J322" s="9" t="n">
        <v>2500</v>
      </c>
      <c r="K322" s="4" t="s">
        <v>425</v>
      </c>
      <c r="L322" s="7" t="n">
        <v>43571</v>
      </c>
      <c r="M322" s="8" t="n">
        <v>47223</v>
      </c>
      <c r="O322" s="8" t="n">
        <v>45398</v>
      </c>
      <c r="Q322" s="9" t="n">
        <v>82500</v>
      </c>
      <c r="R322" s="9" t="n">
        <f aca="false">Q322</f>
        <v>82500</v>
      </c>
      <c r="T322" s="9" t="n">
        <v>70000</v>
      </c>
      <c r="U322" s="9" t="n">
        <f aca="false">T322</f>
        <v>70000</v>
      </c>
      <c r="V322" s="63" t="n">
        <v>70000</v>
      </c>
      <c r="W322" s="9" t="n">
        <f aca="false">V322</f>
        <v>70000</v>
      </c>
      <c r="X322" s="44" t="n">
        <f aca="false">T322/H322</f>
        <v>27.7777777777778</v>
      </c>
      <c r="Y322" s="9" t="s">
        <v>52</v>
      </c>
      <c r="Z322" s="40"/>
      <c r="AA322" s="43"/>
      <c r="AB322" s="5" t="s">
        <v>40</v>
      </c>
      <c r="AF322" s="57"/>
    </row>
    <row r="323" customFormat="false" ht="22.5" hidden="false" customHeight="true" outlineLevel="0" collapsed="false">
      <c r="A323" s="28"/>
      <c r="B323" s="11" t="s">
        <v>185</v>
      </c>
      <c r="C323" s="11" t="s">
        <v>35</v>
      </c>
      <c r="D323" s="28" t="n">
        <v>550500</v>
      </c>
      <c r="E323" s="4" t="s">
        <v>422</v>
      </c>
      <c r="F323" s="4" t="s">
        <v>426</v>
      </c>
      <c r="G323" s="5" t="s">
        <v>37</v>
      </c>
      <c r="H323" s="6" t="n">
        <v>2186</v>
      </c>
      <c r="I323" s="9" t="n">
        <f aca="false">H323</f>
        <v>2186</v>
      </c>
      <c r="J323" s="9" t="n">
        <v>2000</v>
      </c>
      <c r="K323" s="4" t="s">
        <v>427</v>
      </c>
      <c r="L323" s="7" t="n">
        <v>43398</v>
      </c>
      <c r="M323" s="8" t="n">
        <v>47050</v>
      </c>
      <c r="O323" s="8" t="n">
        <v>45955</v>
      </c>
      <c r="P323" s="8" t="n">
        <v>45954</v>
      </c>
      <c r="Q323" s="9" t="n">
        <v>101200</v>
      </c>
      <c r="R323" s="9" t="n">
        <f aca="false">Q323</f>
        <v>101200</v>
      </c>
      <c r="T323" s="9" t="n">
        <v>117100</v>
      </c>
      <c r="U323" s="9" t="n">
        <f aca="false">T323</f>
        <v>117100</v>
      </c>
      <c r="V323" s="63" t="n">
        <v>128000</v>
      </c>
      <c r="W323" s="9" t="n">
        <f aca="false">V323</f>
        <v>128000</v>
      </c>
      <c r="X323" s="44" t="n">
        <f aca="false">T323/H323</f>
        <v>53.5681610247027</v>
      </c>
      <c r="Y323" s="9" t="s">
        <v>123</v>
      </c>
      <c r="Z323" s="40"/>
      <c r="AA323" s="43"/>
      <c r="AB323" s="5" t="s">
        <v>40</v>
      </c>
      <c r="AC323" s="58" t="s">
        <v>428</v>
      </c>
      <c r="AF323" s="57"/>
    </row>
    <row r="324" customFormat="false" ht="14.25" hidden="false" customHeight="true" outlineLevel="0" collapsed="false">
      <c r="A324" s="28"/>
      <c r="B324" s="11"/>
      <c r="C324" s="11" t="s">
        <v>35</v>
      </c>
      <c r="D324" s="28"/>
      <c r="E324" s="4"/>
      <c r="I324" s="9"/>
      <c r="J324" s="9"/>
      <c r="T324" s="9"/>
      <c r="U324" s="9"/>
      <c r="V324" s="63"/>
      <c r="W324" s="9"/>
      <c r="X324" s="9"/>
      <c r="Y324" s="9"/>
      <c r="Z324" s="40"/>
      <c r="AA324" s="43"/>
      <c r="AB324" s="5"/>
      <c r="AF324" s="57"/>
    </row>
    <row r="325" customFormat="false" ht="14.25" hidden="false" customHeight="true" outlineLevel="0" collapsed="false">
      <c r="A325" s="28"/>
      <c r="B325" s="11"/>
      <c r="C325" s="11" t="s">
        <v>35</v>
      </c>
      <c r="D325" s="28"/>
      <c r="E325" s="4"/>
      <c r="F325" s="45" t="s">
        <v>422</v>
      </c>
      <c r="H325" s="41" t="n">
        <f aca="false">SUM(H322:H323)</f>
        <v>4706</v>
      </c>
      <c r="I325" s="42"/>
      <c r="J325" s="42"/>
      <c r="Q325" s="42" t="n">
        <f aca="false">SUM(Q322:Q323)</f>
        <v>183700</v>
      </c>
      <c r="R325" s="42"/>
      <c r="S325" s="42" t="n">
        <f aca="false">SUM(R321:R324)</f>
        <v>183700</v>
      </c>
      <c r="T325" s="42" t="n">
        <f aca="false">SUM(T322:T323)</f>
        <v>187100</v>
      </c>
      <c r="U325" s="42"/>
      <c r="V325" s="43" t="n">
        <f aca="false">SUM(V322:V323)</f>
        <v>198000</v>
      </c>
      <c r="W325" s="42"/>
      <c r="X325" s="42"/>
      <c r="Y325" s="42"/>
      <c r="Z325" s="64"/>
      <c r="AA325" s="43" t="n">
        <v>3150000</v>
      </c>
      <c r="AB325" s="5"/>
      <c r="AE325" s="58"/>
      <c r="AF325" s="59"/>
      <c r="AG325" s="58"/>
    </row>
    <row r="326" customFormat="false" ht="14.25" hidden="false" customHeight="true" outlineLevel="0" collapsed="false">
      <c r="A326" s="28"/>
      <c r="B326" s="11"/>
      <c r="C326" s="11" t="s">
        <v>35</v>
      </c>
      <c r="D326" s="28"/>
      <c r="E326" s="4"/>
      <c r="I326" s="9"/>
      <c r="J326" s="9"/>
      <c r="T326" s="9"/>
      <c r="U326" s="9"/>
      <c r="V326" s="63"/>
      <c r="W326" s="9"/>
      <c r="X326" s="9"/>
      <c r="Y326" s="9"/>
      <c r="Z326" s="40"/>
      <c r="AA326" s="43"/>
      <c r="AB326" s="5"/>
      <c r="AF326" s="57"/>
    </row>
    <row r="327" customFormat="false" ht="14.25" hidden="false" customHeight="true" outlineLevel="0" collapsed="false">
      <c r="A327" s="28"/>
      <c r="B327" s="11"/>
      <c r="C327" s="11" t="s">
        <v>35</v>
      </c>
      <c r="D327" s="28"/>
      <c r="E327" s="4"/>
      <c r="G327" s="38" t="s">
        <v>429</v>
      </c>
      <c r="I327" s="9"/>
      <c r="J327" s="9"/>
      <c r="K327" s="39"/>
      <c r="T327" s="11"/>
      <c r="U327" s="9"/>
      <c r="W327" s="9"/>
      <c r="X327" s="9"/>
      <c r="Y327" s="9"/>
      <c r="Z327" s="40"/>
      <c r="AA327" s="43"/>
      <c r="AB327" s="5"/>
      <c r="AF327" s="57"/>
    </row>
    <row r="328" customFormat="false" ht="14.25" hidden="false" customHeight="true" outlineLevel="0" collapsed="false">
      <c r="A328" s="28"/>
      <c r="B328" s="11"/>
      <c r="C328" s="11" t="s">
        <v>35</v>
      </c>
      <c r="D328" s="28"/>
      <c r="E328" s="4"/>
      <c r="G328" s="38"/>
      <c r="H328" s="72"/>
      <c r="I328" s="9"/>
      <c r="J328" s="9"/>
      <c r="K328" s="95"/>
      <c r="L328" s="76"/>
      <c r="M328" s="76"/>
      <c r="N328" s="76"/>
      <c r="T328" s="9"/>
      <c r="U328" s="9"/>
      <c r="V328" s="63"/>
      <c r="W328" s="9"/>
      <c r="X328" s="9"/>
      <c r="Y328" s="9"/>
      <c r="Z328" s="40"/>
      <c r="AA328" s="43"/>
      <c r="AB328" s="5"/>
      <c r="AF328" s="57"/>
    </row>
    <row r="329" customFormat="false" ht="29.25" hidden="false" customHeight="true" outlineLevel="0" collapsed="false">
      <c r="A329" s="28"/>
      <c r="B329" s="11" t="s">
        <v>185</v>
      </c>
      <c r="C329" s="11" t="s">
        <v>35</v>
      </c>
      <c r="D329" s="28" t="n">
        <v>550310</v>
      </c>
      <c r="E329" s="4" t="s">
        <v>429</v>
      </c>
      <c r="F329" s="4" t="s">
        <v>430</v>
      </c>
      <c r="G329" s="5" t="s">
        <v>130</v>
      </c>
      <c r="H329" s="6" t="n">
        <v>4430</v>
      </c>
      <c r="I329" s="9" t="n">
        <f aca="false">H329</f>
        <v>4430</v>
      </c>
      <c r="J329" s="9" t="n">
        <v>4500</v>
      </c>
      <c r="K329" s="4" t="s">
        <v>431</v>
      </c>
      <c r="L329" s="7" t="n">
        <v>41585</v>
      </c>
      <c r="M329" s="8" t="n">
        <v>47063</v>
      </c>
      <c r="O329" s="8" t="n">
        <v>45237</v>
      </c>
      <c r="Q329" s="9" t="n">
        <v>170000</v>
      </c>
      <c r="R329" s="9" t="n">
        <f aca="false">Q329</f>
        <v>170000</v>
      </c>
      <c r="T329" s="9" t="n">
        <v>146900</v>
      </c>
      <c r="U329" s="9" t="n">
        <f aca="false">T329</f>
        <v>146900</v>
      </c>
      <c r="V329" s="63" t="n">
        <v>152100</v>
      </c>
      <c r="W329" s="9" t="n">
        <f aca="false">V329</f>
        <v>152100</v>
      </c>
      <c r="X329" s="44" t="n">
        <f aca="false">T329/H329</f>
        <v>33.1602708803612</v>
      </c>
      <c r="Y329" s="9" t="s">
        <v>52</v>
      </c>
      <c r="Z329" s="40"/>
      <c r="AA329" s="43"/>
      <c r="AB329" s="5" t="s">
        <v>40</v>
      </c>
      <c r="AC329" s="4" t="s">
        <v>432</v>
      </c>
      <c r="AF329" s="57"/>
    </row>
    <row r="330" customFormat="false" ht="28.5" hidden="false" customHeight="true" outlineLevel="0" collapsed="false">
      <c r="A330" s="28"/>
      <c r="B330" s="11" t="s">
        <v>185</v>
      </c>
      <c r="C330" s="11" t="s">
        <v>35</v>
      </c>
      <c r="D330" s="28" t="n">
        <v>550310</v>
      </c>
      <c r="E330" s="4" t="s">
        <v>429</v>
      </c>
      <c r="F330" s="4" t="s">
        <v>225</v>
      </c>
      <c r="G330" s="5" t="s">
        <v>37</v>
      </c>
      <c r="H330" s="6" t="n">
        <v>10421</v>
      </c>
      <c r="I330" s="9" t="n">
        <f aca="false">H330</f>
        <v>10421</v>
      </c>
      <c r="J330" s="9" t="n">
        <v>10500</v>
      </c>
      <c r="K330" s="4" t="s">
        <v>433</v>
      </c>
      <c r="L330" s="7" t="n">
        <v>44552</v>
      </c>
      <c r="M330" s="8" t="n">
        <v>46377</v>
      </c>
      <c r="Q330" s="9" t="n">
        <v>573565</v>
      </c>
      <c r="R330" s="9" t="n">
        <f aca="false">Q330</f>
        <v>573565</v>
      </c>
      <c r="T330" s="9" t="n">
        <v>572700</v>
      </c>
      <c r="U330" s="9" t="n">
        <f aca="false">T330</f>
        <v>572700</v>
      </c>
      <c r="V330" s="63" t="n">
        <v>589700</v>
      </c>
      <c r="W330" s="9" t="n">
        <f aca="false">V330</f>
        <v>589700</v>
      </c>
      <c r="X330" s="9"/>
      <c r="Y330" s="9" t="s">
        <v>39</v>
      </c>
      <c r="Z330" s="40"/>
      <c r="AA330" s="43"/>
      <c r="AB330" s="5" t="s">
        <v>40</v>
      </c>
      <c r="AC330" s="4" t="s">
        <v>71</v>
      </c>
      <c r="AF330" s="57"/>
    </row>
    <row r="331" customFormat="false" ht="14.25" hidden="false" customHeight="true" outlineLevel="0" collapsed="false">
      <c r="A331" s="28"/>
      <c r="B331" s="11"/>
      <c r="C331" s="11" t="s">
        <v>35</v>
      </c>
      <c r="D331" s="28"/>
      <c r="E331" s="4"/>
      <c r="I331" s="9"/>
      <c r="J331" s="9"/>
      <c r="T331" s="9"/>
      <c r="U331" s="9"/>
      <c r="V331" s="63"/>
      <c r="W331" s="9"/>
      <c r="X331" s="9"/>
      <c r="Y331" s="9"/>
      <c r="Z331" s="40"/>
      <c r="AA331" s="43"/>
      <c r="AB331" s="5"/>
      <c r="AF331" s="57"/>
    </row>
    <row r="332" customFormat="false" ht="14.25" hidden="false" customHeight="true" outlineLevel="0" collapsed="false">
      <c r="A332" s="28"/>
      <c r="B332" s="11"/>
      <c r="C332" s="11" t="s">
        <v>35</v>
      </c>
      <c r="D332" s="28"/>
      <c r="E332" s="4"/>
      <c r="F332" s="45" t="s">
        <v>434</v>
      </c>
      <c r="H332" s="41" t="n">
        <f aca="false">SUM(H329:H330)</f>
        <v>14851</v>
      </c>
      <c r="I332" s="42"/>
      <c r="J332" s="42"/>
      <c r="Q332" s="42" t="n">
        <f aca="false">SUM(Q329:Q330)</f>
        <v>743565</v>
      </c>
      <c r="R332" s="42"/>
      <c r="S332" s="42" t="n">
        <f aca="false">SUM(R327:R331)</f>
        <v>743565</v>
      </c>
      <c r="T332" s="42" t="n">
        <f aca="false">SUM(T329:T330)</f>
        <v>719600</v>
      </c>
      <c r="U332" s="42"/>
      <c r="V332" s="43" t="n">
        <f aca="false">SUM(V329:V330)</f>
        <v>741800</v>
      </c>
      <c r="W332" s="42"/>
      <c r="X332" s="42"/>
      <c r="Y332" s="42"/>
      <c r="Z332" s="64"/>
      <c r="AA332" s="43" t="n">
        <v>11050000</v>
      </c>
      <c r="AB332" s="5"/>
      <c r="AE332" s="58"/>
      <c r="AF332" s="59"/>
      <c r="AG332" s="58"/>
    </row>
    <row r="333" customFormat="false" ht="14.25" hidden="false" customHeight="true" outlineLevel="0" collapsed="false">
      <c r="A333" s="28"/>
      <c r="B333" s="11"/>
      <c r="C333" s="11" t="s">
        <v>35</v>
      </c>
      <c r="D333" s="28"/>
      <c r="E333" s="4"/>
      <c r="F333" s="45"/>
      <c r="H333" s="41"/>
      <c r="I333" s="42"/>
      <c r="J333" s="42"/>
      <c r="Q333" s="42"/>
      <c r="R333" s="42"/>
      <c r="S333" s="42"/>
      <c r="T333" s="42"/>
      <c r="U333" s="42"/>
      <c r="V333" s="43"/>
      <c r="W333" s="42"/>
      <c r="X333" s="42"/>
      <c r="Y333" s="42"/>
      <c r="Z333" s="64"/>
      <c r="AA333" s="62"/>
      <c r="AB333" s="5"/>
      <c r="AF333" s="57"/>
    </row>
    <row r="334" customFormat="false" ht="14.25" hidden="false" customHeight="true" outlineLevel="0" collapsed="false">
      <c r="A334" s="28"/>
      <c r="B334" s="11"/>
      <c r="C334" s="11" t="s">
        <v>35</v>
      </c>
      <c r="D334" s="28"/>
      <c r="E334" s="4"/>
      <c r="F334" s="45"/>
      <c r="G334" s="38" t="s">
        <v>435</v>
      </c>
      <c r="H334" s="41"/>
      <c r="I334" s="42"/>
      <c r="J334" s="42"/>
      <c r="Q334" s="42"/>
      <c r="R334" s="42"/>
      <c r="S334" s="42"/>
      <c r="T334" s="42"/>
      <c r="U334" s="42"/>
      <c r="V334" s="43"/>
      <c r="W334" s="42"/>
      <c r="X334" s="42"/>
      <c r="Y334" s="42"/>
      <c r="Z334" s="64"/>
      <c r="AA334" s="62"/>
      <c r="AB334" s="5"/>
      <c r="AF334" s="57"/>
    </row>
    <row r="335" customFormat="false" ht="14.25" hidden="false" customHeight="true" outlineLevel="0" collapsed="false">
      <c r="A335" s="28"/>
      <c r="B335" s="11"/>
      <c r="C335" s="11" t="s">
        <v>35</v>
      </c>
      <c r="D335" s="28"/>
      <c r="E335" s="4"/>
      <c r="F335" s="45"/>
      <c r="H335" s="41"/>
      <c r="I335" s="42"/>
      <c r="J335" s="42"/>
      <c r="Q335" s="42"/>
      <c r="R335" s="42"/>
      <c r="S335" s="42"/>
      <c r="T335" s="42"/>
      <c r="U335" s="42"/>
      <c r="V335" s="43"/>
      <c r="W335" s="42"/>
      <c r="X335" s="42"/>
      <c r="Y335" s="42"/>
      <c r="Z335" s="64"/>
      <c r="AA335" s="62"/>
      <c r="AB335" s="5"/>
      <c r="AF335" s="57"/>
    </row>
    <row r="336" customFormat="false" ht="22.5" hidden="false" customHeight="true" outlineLevel="0" collapsed="false">
      <c r="A336" s="28"/>
      <c r="B336" s="11" t="s">
        <v>185</v>
      </c>
      <c r="C336" s="11" t="s">
        <v>35</v>
      </c>
      <c r="D336" s="28" t="n">
        <v>551010</v>
      </c>
      <c r="E336" s="94" t="s">
        <v>435</v>
      </c>
      <c r="F336" s="4" t="s">
        <v>436</v>
      </c>
      <c r="G336" s="5" t="s">
        <v>437</v>
      </c>
      <c r="H336" s="6" t="n">
        <v>747</v>
      </c>
      <c r="I336" s="9" t="n">
        <f aca="false">H336</f>
        <v>747</v>
      </c>
      <c r="J336" s="9" t="n">
        <v>750</v>
      </c>
      <c r="K336" s="4" t="s">
        <v>438</v>
      </c>
      <c r="L336" s="7" t="n">
        <v>44724</v>
      </c>
      <c r="Q336" s="9" t="n">
        <v>45000</v>
      </c>
      <c r="R336" s="9" t="n">
        <f aca="false">Q336</f>
        <v>45000</v>
      </c>
      <c r="T336" s="9" t="n">
        <v>41700</v>
      </c>
      <c r="U336" s="9" t="n">
        <f aca="false">T336</f>
        <v>41700</v>
      </c>
      <c r="V336" s="63" t="n">
        <v>45000</v>
      </c>
      <c r="W336" s="9" t="n">
        <f aca="false">V336</f>
        <v>45000</v>
      </c>
      <c r="X336" s="44" t="n">
        <f aca="false">T336/H336</f>
        <v>55.8232931726908</v>
      </c>
      <c r="Y336" s="9" t="s">
        <v>123</v>
      </c>
      <c r="Z336" s="40"/>
      <c r="AB336" s="5" t="s">
        <v>40</v>
      </c>
      <c r="AC336" s="4" t="s">
        <v>439</v>
      </c>
      <c r="AF336" s="57"/>
    </row>
    <row r="337" customFormat="false" ht="14.25" hidden="false" customHeight="true" outlineLevel="0" collapsed="false">
      <c r="A337" s="28"/>
      <c r="B337" s="11" t="s">
        <v>185</v>
      </c>
      <c r="C337" s="11" t="s">
        <v>35</v>
      </c>
      <c r="D337" s="28" t="n">
        <v>551010</v>
      </c>
      <c r="E337" s="94" t="s">
        <v>435</v>
      </c>
      <c r="F337" s="4" t="s">
        <v>85</v>
      </c>
      <c r="G337" s="5" t="s">
        <v>37</v>
      </c>
      <c r="H337" s="6" t="n">
        <v>452</v>
      </c>
      <c r="I337" s="9" t="n">
        <f aca="false">H337</f>
        <v>452</v>
      </c>
      <c r="J337" s="9" t="n">
        <v>500</v>
      </c>
      <c r="K337" s="4" t="s">
        <v>63</v>
      </c>
      <c r="N337" s="8" t="n">
        <v>43466</v>
      </c>
      <c r="Q337" s="9" t="n">
        <v>0</v>
      </c>
      <c r="R337" s="9" t="n">
        <f aca="false">Q337</f>
        <v>0</v>
      </c>
      <c r="T337" s="9" t="n">
        <v>24900</v>
      </c>
      <c r="U337" s="9" t="n">
        <f aca="false">T337</f>
        <v>24900</v>
      </c>
      <c r="V337" s="63" t="n">
        <v>24900</v>
      </c>
      <c r="W337" s="9" t="n">
        <f aca="false">V337</f>
        <v>24900</v>
      </c>
      <c r="X337" s="9"/>
      <c r="Y337" s="9" t="s">
        <v>123</v>
      </c>
      <c r="Z337" s="40"/>
      <c r="AB337" s="5" t="s">
        <v>40</v>
      </c>
      <c r="AC337" s="4" t="s">
        <v>115</v>
      </c>
      <c r="AF337" s="57"/>
    </row>
    <row r="338" customFormat="false" ht="14.25" hidden="false" customHeight="true" outlineLevel="0" collapsed="false">
      <c r="A338" s="28"/>
      <c r="B338" s="11" t="s">
        <v>185</v>
      </c>
      <c r="C338" s="11" t="s">
        <v>35</v>
      </c>
      <c r="D338" s="28" t="n">
        <v>551010</v>
      </c>
      <c r="E338" s="94" t="s">
        <v>435</v>
      </c>
      <c r="F338" s="4" t="s">
        <v>440</v>
      </c>
      <c r="G338" s="5" t="s">
        <v>37</v>
      </c>
      <c r="H338" s="6" t="n">
        <v>437</v>
      </c>
      <c r="I338" s="9" t="n">
        <f aca="false">H338</f>
        <v>437</v>
      </c>
      <c r="J338" s="9" t="n">
        <v>500</v>
      </c>
      <c r="K338" s="4" t="s">
        <v>63</v>
      </c>
      <c r="N338" s="8" t="n">
        <v>43466</v>
      </c>
      <c r="Q338" s="9" t="n">
        <v>0</v>
      </c>
      <c r="R338" s="9" t="n">
        <f aca="false">Q338</f>
        <v>0</v>
      </c>
      <c r="T338" s="9" t="n">
        <v>24000</v>
      </c>
      <c r="U338" s="9" t="n">
        <f aca="false">T338</f>
        <v>24000</v>
      </c>
      <c r="V338" s="63" t="n">
        <v>24000</v>
      </c>
      <c r="W338" s="9" t="n">
        <f aca="false">V338</f>
        <v>24000</v>
      </c>
      <c r="X338" s="9"/>
      <c r="Y338" s="9" t="s">
        <v>123</v>
      </c>
      <c r="Z338" s="40"/>
      <c r="AB338" s="5" t="s">
        <v>40</v>
      </c>
      <c r="AC338" s="4" t="s">
        <v>115</v>
      </c>
      <c r="AF338" s="57"/>
    </row>
    <row r="339" customFormat="false" ht="13.5" hidden="false" customHeight="true" outlineLevel="0" collapsed="false">
      <c r="A339" s="28"/>
      <c r="B339" s="11" t="s">
        <v>185</v>
      </c>
      <c r="C339" s="11" t="s">
        <v>35</v>
      </c>
      <c r="D339" s="28" t="n">
        <v>551010</v>
      </c>
      <c r="E339" s="94" t="s">
        <v>435</v>
      </c>
      <c r="F339" s="4" t="s">
        <v>90</v>
      </c>
      <c r="G339" s="5" t="s">
        <v>37</v>
      </c>
      <c r="H339" s="6" t="n">
        <v>350</v>
      </c>
      <c r="I339" s="9" t="n">
        <f aca="false">H339</f>
        <v>350</v>
      </c>
      <c r="J339" s="9" t="n">
        <v>500</v>
      </c>
      <c r="K339" s="4" t="s">
        <v>441</v>
      </c>
      <c r="L339" s="7" t="n">
        <v>44724</v>
      </c>
      <c r="Q339" s="9" t="n">
        <v>21060</v>
      </c>
      <c r="R339" s="9" t="n">
        <f aca="false">Q339</f>
        <v>21060</v>
      </c>
      <c r="T339" s="9" t="n">
        <v>19300</v>
      </c>
      <c r="U339" s="9" t="n">
        <f aca="false">T339</f>
        <v>19300</v>
      </c>
      <c r="V339" s="63" t="n">
        <v>19300</v>
      </c>
      <c r="W339" s="9" t="n">
        <f aca="false">V339</f>
        <v>19300</v>
      </c>
      <c r="X339" s="9"/>
      <c r="Y339" s="9" t="s">
        <v>123</v>
      </c>
      <c r="Z339" s="40"/>
      <c r="AB339" s="5" t="s">
        <v>40</v>
      </c>
      <c r="AC339" s="4" t="s">
        <v>439</v>
      </c>
      <c r="AF339" s="57"/>
    </row>
    <row r="340" customFormat="false" ht="14.25" hidden="false" customHeight="true" outlineLevel="0" collapsed="false">
      <c r="A340" s="28"/>
      <c r="B340" s="11"/>
      <c r="C340" s="11" t="s">
        <v>35</v>
      </c>
      <c r="D340" s="28"/>
      <c r="E340" s="4"/>
      <c r="F340" s="47"/>
      <c r="I340" s="9"/>
      <c r="J340" s="9"/>
      <c r="T340" s="9"/>
      <c r="U340" s="9"/>
      <c r="V340" s="63"/>
      <c r="W340" s="9"/>
      <c r="X340" s="9"/>
      <c r="Y340" s="9"/>
      <c r="Z340" s="40"/>
      <c r="AB340" s="5"/>
      <c r="AF340" s="57"/>
    </row>
    <row r="341" customFormat="false" ht="14.25" hidden="false" customHeight="true" outlineLevel="0" collapsed="false">
      <c r="A341" s="28"/>
      <c r="B341" s="11"/>
      <c r="C341" s="11" t="s">
        <v>35</v>
      </c>
      <c r="D341" s="28"/>
      <c r="E341" s="4"/>
      <c r="F341" s="47"/>
      <c r="H341" s="41" t="n">
        <f aca="false">SUM(H336:H339)</f>
        <v>1986</v>
      </c>
      <c r="I341" s="9"/>
      <c r="J341" s="9"/>
      <c r="Q341" s="42" t="n">
        <f aca="false">SUM(Q336:Q339)</f>
        <v>66060</v>
      </c>
      <c r="R341" s="42"/>
      <c r="S341" s="42" t="n">
        <f aca="false">SUM(R336:R339)</f>
        <v>66060</v>
      </c>
      <c r="T341" s="42" t="n">
        <f aca="false">SUM(T336:T339)</f>
        <v>109900</v>
      </c>
      <c r="U341" s="9"/>
      <c r="V341" s="43" t="n">
        <f aca="false">SUM(V336:V339)</f>
        <v>113200</v>
      </c>
      <c r="W341" s="9"/>
      <c r="X341" s="9"/>
      <c r="Y341" s="9"/>
      <c r="Z341" s="40"/>
      <c r="AA341" s="60" t="n">
        <v>1450000</v>
      </c>
      <c r="AB341" s="5"/>
      <c r="AF341" s="57"/>
    </row>
    <row r="342" customFormat="false" ht="14.25" hidden="false" customHeight="true" outlineLevel="0" collapsed="false">
      <c r="A342" s="28"/>
      <c r="B342" s="11"/>
      <c r="C342" s="11" t="s">
        <v>35</v>
      </c>
      <c r="D342" s="28"/>
      <c r="E342" s="4"/>
      <c r="F342" s="47"/>
      <c r="G342" s="106"/>
      <c r="I342" s="9"/>
      <c r="J342" s="9"/>
      <c r="T342" s="9"/>
      <c r="U342" s="9"/>
      <c r="V342" s="63"/>
      <c r="W342" s="9"/>
      <c r="X342" s="9"/>
      <c r="Y342" s="9"/>
      <c r="Z342" s="40"/>
      <c r="AA342" s="60"/>
      <c r="AB342" s="5"/>
      <c r="AF342" s="57"/>
    </row>
    <row r="343" customFormat="false" ht="14.25" hidden="false" customHeight="true" outlineLevel="0" collapsed="false">
      <c r="A343" s="28"/>
      <c r="B343" s="11"/>
      <c r="C343" s="11" t="s">
        <v>35</v>
      </c>
      <c r="D343" s="28"/>
      <c r="E343" s="4"/>
      <c r="F343" s="45"/>
      <c r="H343" s="41"/>
      <c r="I343" s="42"/>
      <c r="J343" s="42"/>
      <c r="Q343" s="42"/>
      <c r="R343" s="42"/>
      <c r="S343" s="42"/>
      <c r="T343" s="42"/>
      <c r="U343" s="42"/>
      <c r="V343" s="43"/>
      <c r="W343" s="42"/>
      <c r="X343" s="42"/>
      <c r="Y343" s="42"/>
      <c r="Z343" s="64"/>
      <c r="AA343" s="60"/>
      <c r="AB343" s="5"/>
      <c r="AF343" s="57"/>
    </row>
    <row r="344" customFormat="false" ht="14.25" hidden="false" customHeight="true" outlineLevel="0" collapsed="false">
      <c r="A344" s="28"/>
      <c r="B344" s="11"/>
      <c r="C344" s="11" t="s">
        <v>35</v>
      </c>
      <c r="D344" s="28"/>
      <c r="E344" s="4"/>
      <c r="H344" s="41"/>
      <c r="I344" s="42"/>
      <c r="J344" s="42"/>
      <c r="Q344" s="42"/>
      <c r="R344" s="42"/>
      <c r="S344" s="42"/>
      <c r="T344" s="42"/>
      <c r="U344" s="42"/>
      <c r="V344" s="43"/>
      <c r="W344" s="42"/>
      <c r="X344" s="42"/>
      <c r="Y344" s="42"/>
      <c r="Z344" s="64"/>
      <c r="AA344" s="60"/>
      <c r="AB344" s="5"/>
      <c r="AF344" s="57"/>
    </row>
    <row r="345" customFormat="false" ht="14.25" hidden="false" customHeight="true" outlineLevel="0" collapsed="false">
      <c r="A345" s="28"/>
      <c r="B345" s="11"/>
      <c r="C345" s="11" t="s">
        <v>35</v>
      </c>
      <c r="D345" s="28"/>
      <c r="E345" s="4"/>
      <c r="G345" s="38" t="s">
        <v>442</v>
      </c>
      <c r="I345" s="9"/>
      <c r="J345" s="9"/>
      <c r="K345" s="39"/>
      <c r="T345" s="11"/>
      <c r="U345" s="9"/>
      <c r="W345" s="9"/>
      <c r="X345" s="9"/>
      <c r="Y345" s="9"/>
      <c r="Z345" s="40"/>
      <c r="AA345" s="60"/>
      <c r="AB345" s="5"/>
      <c r="AF345" s="57"/>
    </row>
    <row r="346" customFormat="false" ht="14.25" hidden="false" customHeight="true" outlineLevel="0" collapsed="false">
      <c r="A346" s="28"/>
      <c r="B346" s="11"/>
      <c r="C346" s="11" t="s">
        <v>35</v>
      </c>
      <c r="D346" s="28"/>
      <c r="E346" s="4"/>
      <c r="G346" s="107"/>
      <c r="H346" s="83"/>
      <c r="I346" s="42"/>
      <c r="J346" s="42"/>
      <c r="K346" s="83"/>
      <c r="Q346" s="42"/>
      <c r="R346" s="42"/>
      <c r="S346" s="42"/>
      <c r="T346" s="42"/>
      <c r="U346" s="42"/>
      <c r="V346" s="43"/>
      <c r="W346" s="42"/>
      <c r="X346" s="42"/>
      <c r="Y346" s="42"/>
      <c r="Z346" s="64"/>
      <c r="AA346" s="60"/>
      <c r="AB346" s="5"/>
      <c r="AF346" s="57"/>
    </row>
    <row r="347" customFormat="false" ht="33.75" hidden="false" customHeight="true" outlineLevel="0" collapsed="false">
      <c r="A347" s="28"/>
      <c r="B347" s="11" t="s">
        <v>102</v>
      </c>
      <c r="C347" s="11" t="s">
        <v>35</v>
      </c>
      <c r="D347" s="28" t="n">
        <v>550960</v>
      </c>
      <c r="E347" s="4" t="s">
        <v>442</v>
      </c>
      <c r="F347" s="4" t="s">
        <v>436</v>
      </c>
      <c r="G347" s="5" t="s">
        <v>37</v>
      </c>
      <c r="H347" s="6" t="n">
        <v>2820</v>
      </c>
      <c r="I347" s="9" t="n">
        <f aca="false">H347</f>
        <v>2820</v>
      </c>
      <c r="J347" s="9" t="n">
        <v>3000</v>
      </c>
      <c r="K347" s="4" t="s">
        <v>443</v>
      </c>
      <c r="L347" s="7" t="n">
        <v>43794</v>
      </c>
      <c r="M347" s="8" t="n">
        <v>47446</v>
      </c>
      <c r="O347" s="8" t="n">
        <v>45621</v>
      </c>
      <c r="Q347" s="9" t="n">
        <v>124773</v>
      </c>
      <c r="R347" s="9" t="n">
        <f aca="false">Q347</f>
        <v>124773</v>
      </c>
      <c r="T347" s="9" t="n">
        <v>126900</v>
      </c>
      <c r="U347" s="9" t="n">
        <f aca="false">T347</f>
        <v>126900</v>
      </c>
      <c r="V347" s="63" t="n">
        <v>155100</v>
      </c>
      <c r="W347" s="9" t="n">
        <f aca="false">V347</f>
        <v>155100</v>
      </c>
      <c r="X347" s="44" t="n">
        <f aca="false">T347/H347</f>
        <v>45</v>
      </c>
      <c r="Y347" s="9" t="s">
        <v>57</v>
      </c>
      <c r="Z347" s="40"/>
      <c r="AA347" s="60"/>
      <c r="AB347" s="5" t="s">
        <v>40</v>
      </c>
      <c r="AC347" s="4" t="s">
        <v>444</v>
      </c>
      <c r="AF347" s="57"/>
    </row>
    <row r="348" customFormat="false" ht="13.5" hidden="false" customHeight="true" outlineLevel="0" collapsed="false">
      <c r="A348" s="28"/>
      <c r="B348" s="11" t="s">
        <v>102</v>
      </c>
      <c r="C348" s="11" t="s">
        <v>35</v>
      </c>
      <c r="D348" s="28" t="n">
        <v>550960</v>
      </c>
      <c r="E348" s="4" t="s">
        <v>442</v>
      </c>
      <c r="F348" s="4" t="s">
        <v>85</v>
      </c>
      <c r="G348" s="6" t="s">
        <v>37</v>
      </c>
      <c r="H348" s="6" t="n">
        <v>1282</v>
      </c>
      <c r="I348" s="9" t="n">
        <f aca="false">H348</f>
        <v>1282</v>
      </c>
      <c r="J348" s="9" t="n">
        <v>1250</v>
      </c>
      <c r="K348" s="4" t="s">
        <v>63</v>
      </c>
      <c r="N348" s="8" t="n">
        <v>44747</v>
      </c>
      <c r="Q348" s="9" t="n">
        <v>0</v>
      </c>
      <c r="R348" s="9" t="n">
        <f aca="false">Q348</f>
        <v>0</v>
      </c>
      <c r="T348" s="9" t="n">
        <v>70500</v>
      </c>
      <c r="U348" s="9" t="n">
        <f aca="false">T348</f>
        <v>70500</v>
      </c>
      <c r="V348" s="63" t="n">
        <v>76900</v>
      </c>
      <c r="W348" s="9" t="n">
        <f aca="false">V348</f>
        <v>76900</v>
      </c>
      <c r="X348" s="9"/>
      <c r="Y348" s="9" t="s">
        <v>57</v>
      </c>
      <c r="Z348" s="40"/>
      <c r="AA348" s="60"/>
      <c r="AB348" s="5" t="s">
        <v>40</v>
      </c>
      <c r="AC348" s="58" t="s">
        <v>445</v>
      </c>
      <c r="AD348" s="15" t="n">
        <v>67.5</v>
      </c>
      <c r="AF348" s="57" t="n">
        <v>1</v>
      </c>
      <c r="AG348" s="4" t="s">
        <v>54</v>
      </c>
    </row>
    <row r="349" customFormat="false" ht="22.5" hidden="false" customHeight="true" outlineLevel="0" collapsed="false">
      <c r="A349" s="28"/>
      <c r="B349" s="11" t="s">
        <v>102</v>
      </c>
      <c r="C349" s="11" t="s">
        <v>35</v>
      </c>
      <c r="D349" s="28" t="n">
        <v>550960</v>
      </c>
      <c r="E349" s="4" t="s">
        <v>442</v>
      </c>
      <c r="F349" s="4" t="s">
        <v>89</v>
      </c>
      <c r="G349" s="5" t="s">
        <v>37</v>
      </c>
      <c r="H349" s="6" t="n">
        <v>1214</v>
      </c>
      <c r="I349" s="9" t="n">
        <f aca="false">H349</f>
        <v>1214</v>
      </c>
      <c r="J349" s="9" t="n">
        <v>1250</v>
      </c>
      <c r="K349" s="4" t="s">
        <v>446</v>
      </c>
      <c r="L349" s="7" t="n">
        <v>44733</v>
      </c>
      <c r="M349" s="8" t="n">
        <v>46558</v>
      </c>
      <c r="P349" s="8" t="n">
        <v>45828</v>
      </c>
      <c r="Q349" s="9" t="n">
        <v>71000</v>
      </c>
      <c r="R349" s="9" t="n">
        <f aca="false">Q349</f>
        <v>71000</v>
      </c>
      <c r="T349" s="9" t="n">
        <v>71000</v>
      </c>
      <c r="U349" s="9" t="n">
        <f aca="false">T349</f>
        <v>71000</v>
      </c>
      <c r="V349" s="63" t="n">
        <v>75900</v>
      </c>
      <c r="W349" s="9" t="n">
        <f aca="false">V349</f>
        <v>75900</v>
      </c>
      <c r="X349" s="9"/>
      <c r="Y349" s="9" t="s">
        <v>57</v>
      </c>
      <c r="Z349" s="40"/>
      <c r="AA349" s="60"/>
      <c r="AB349" s="5" t="s">
        <v>40</v>
      </c>
      <c r="AC349" s="4" t="s">
        <v>447</v>
      </c>
      <c r="AF349" s="57"/>
    </row>
    <row r="350" customFormat="false" ht="13.5" hidden="false" customHeight="true" outlineLevel="0" collapsed="false">
      <c r="A350" s="28"/>
      <c r="B350" s="11" t="s">
        <v>102</v>
      </c>
      <c r="C350" s="11" t="s">
        <v>35</v>
      </c>
      <c r="D350" s="28" t="n">
        <v>550960</v>
      </c>
      <c r="E350" s="4" t="s">
        <v>442</v>
      </c>
      <c r="F350" s="4" t="s">
        <v>90</v>
      </c>
      <c r="G350" s="5" t="s">
        <v>37</v>
      </c>
      <c r="H350" s="6" t="n">
        <v>1226</v>
      </c>
      <c r="I350" s="9" t="n">
        <f aca="false">H350</f>
        <v>1226</v>
      </c>
      <c r="J350" s="9" t="n">
        <v>1250</v>
      </c>
      <c r="K350" s="4" t="s">
        <v>448</v>
      </c>
      <c r="L350" s="7" t="n">
        <v>44605</v>
      </c>
      <c r="M350" s="8" t="n">
        <v>46430</v>
      </c>
      <c r="Q350" s="9" t="n">
        <v>63000</v>
      </c>
      <c r="R350" s="9" t="n">
        <f aca="false">Q350</f>
        <v>63000</v>
      </c>
      <c r="T350" s="9" t="n">
        <v>63100</v>
      </c>
      <c r="U350" s="9" t="n">
        <f aca="false">T350</f>
        <v>63100</v>
      </c>
      <c r="V350" s="63" t="n">
        <v>67400</v>
      </c>
      <c r="W350" s="9" t="n">
        <f aca="false">V350</f>
        <v>67400</v>
      </c>
      <c r="X350" s="9"/>
      <c r="Y350" s="9" t="s">
        <v>57</v>
      </c>
      <c r="Z350" s="40"/>
      <c r="AA350" s="60"/>
      <c r="AB350" s="5" t="s">
        <v>40</v>
      </c>
      <c r="AF350" s="57"/>
    </row>
    <row r="351" customFormat="false" ht="14.25" hidden="false" customHeight="true" outlineLevel="0" collapsed="false">
      <c r="A351" s="28"/>
      <c r="B351" s="11"/>
      <c r="C351" s="11" t="s">
        <v>35</v>
      </c>
      <c r="D351" s="28"/>
      <c r="E351" s="4"/>
      <c r="I351" s="9"/>
      <c r="J351" s="9"/>
      <c r="T351" s="9"/>
      <c r="U351" s="9"/>
      <c r="V351" s="63"/>
      <c r="W351" s="9"/>
      <c r="X351" s="9"/>
      <c r="Y351" s="9"/>
      <c r="Z351" s="40"/>
      <c r="AA351" s="60"/>
      <c r="AB351" s="5"/>
      <c r="AF351" s="57"/>
    </row>
    <row r="352" customFormat="false" ht="14.25" hidden="false" customHeight="true" outlineLevel="0" collapsed="false">
      <c r="A352" s="28"/>
      <c r="B352" s="11"/>
      <c r="C352" s="11" t="s">
        <v>35</v>
      </c>
      <c r="D352" s="28"/>
      <c r="E352" s="4"/>
      <c r="F352" s="45" t="s">
        <v>442</v>
      </c>
      <c r="H352" s="41" t="n">
        <f aca="false">SUM(H347:H350)</f>
        <v>6542</v>
      </c>
      <c r="I352" s="41"/>
      <c r="J352" s="41"/>
      <c r="Q352" s="41" t="n">
        <f aca="false">SUM(Q347:Q351)</f>
        <v>258773</v>
      </c>
      <c r="R352" s="41"/>
      <c r="S352" s="42" t="n">
        <f aca="false">SUM(R347:R351)</f>
        <v>258773</v>
      </c>
      <c r="T352" s="41" t="n">
        <f aca="false">SUM(T347:T351)</f>
        <v>331500</v>
      </c>
      <c r="U352" s="41"/>
      <c r="V352" s="60" t="n">
        <f aca="false">SUM(V347:V351)</f>
        <v>375300</v>
      </c>
      <c r="W352" s="41"/>
      <c r="X352" s="41"/>
      <c r="Y352" s="41"/>
      <c r="Z352" s="61"/>
      <c r="AA352" s="60" t="n">
        <v>5400000</v>
      </c>
      <c r="AB352" s="5"/>
      <c r="AF352" s="57"/>
    </row>
    <row r="353" customFormat="false" ht="14.25" hidden="false" customHeight="true" outlineLevel="0" collapsed="false">
      <c r="A353" s="28"/>
      <c r="B353" s="11"/>
      <c r="C353" s="11" t="s">
        <v>35</v>
      </c>
      <c r="D353" s="28"/>
      <c r="E353" s="4"/>
      <c r="H353" s="41"/>
      <c r="I353" s="42"/>
      <c r="J353" s="42"/>
      <c r="Q353" s="42"/>
      <c r="R353" s="42"/>
      <c r="S353" s="42"/>
      <c r="T353" s="42"/>
      <c r="U353" s="42"/>
      <c r="V353" s="43"/>
      <c r="W353" s="42"/>
      <c r="X353" s="42"/>
      <c r="Y353" s="42"/>
      <c r="Z353" s="64"/>
      <c r="AA353" s="60"/>
      <c r="AB353" s="5"/>
      <c r="AF353" s="57"/>
    </row>
    <row r="354" customFormat="false" ht="14.25" hidden="false" customHeight="true" outlineLevel="0" collapsed="false">
      <c r="A354" s="28"/>
      <c r="B354" s="11"/>
      <c r="C354" s="11" t="s">
        <v>35</v>
      </c>
      <c r="D354" s="28"/>
      <c r="E354" s="4"/>
      <c r="G354" s="38" t="s">
        <v>449</v>
      </c>
      <c r="I354" s="9"/>
      <c r="J354" s="9"/>
      <c r="K354" s="39"/>
      <c r="T354" s="11"/>
      <c r="U354" s="9"/>
      <c r="W354" s="9"/>
      <c r="X354" s="9"/>
      <c r="Y354" s="9"/>
      <c r="Z354" s="40"/>
      <c r="AA354" s="60"/>
      <c r="AB354" s="5"/>
      <c r="AF354" s="57"/>
    </row>
    <row r="355" customFormat="false" ht="14.25" hidden="false" customHeight="true" outlineLevel="0" collapsed="false">
      <c r="A355" s="28"/>
      <c r="B355" s="11"/>
      <c r="C355" s="11" t="s">
        <v>35</v>
      </c>
      <c r="D355" s="28"/>
      <c r="E355" s="4"/>
      <c r="G355" s="38"/>
      <c r="H355" s="72"/>
      <c r="I355" s="9"/>
      <c r="J355" s="9"/>
      <c r="K355" s="75"/>
      <c r="L355" s="76"/>
      <c r="T355" s="9"/>
      <c r="U355" s="9"/>
      <c r="V355" s="63"/>
      <c r="W355" s="9"/>
      <c r="X355" s="9"/>
      <c r="Y355" s="9"/>
      <c r="Z355" s="40"/>
      <c r="AA355" s="60"/>
      <c r="AB355" s="5"/>
      <c r="AF355" s="57"/>
    </row>
    <row r="356" customFormat="false" ht="28.5" hidden="false" customHeight="true" outlineLevel="0" collapsed="false">
      <c r="A356" s="28"/>
      <c r="B356" s="11" t="s">
        <v>102</v>
      </c>
      <c r="C356" s="11" t="s">
        <v>35</v>
      </c>
      <c r="D356" s="28" t="n">
        <v>550320</v>
      </c>
      <c r="E356" s="4" t="s">
        <v>450</v>
      </c>
      <c r="F356" s="4" t="s">
        <v>36</v>
      </c>
      <c r="G356" s="5" t="s">
        <v>451</v>
      </c>
      <c r="H356" s="41" t="n">
        <v>9776</v>
      </c>
      <c r="I356" s="9" t="n">
        <f aca="false">H356</f>
        <v>9776</v>
      </c>
      <c r="J356" s="9" t="n">
        <v>10000</v>
      </c>
      <c r="K356" s="4" t="s">
        <v>452</v>
      </c>
      <c r="L356" s="7" t="n">
        <v>45463</v>
      </c>
      <c r="M356" s="8" t="n">
        <v>49114</v>
      </c>
      <c r="O356" s="8" t="n">
        <v>47289</v>
      </c>
      <c r="P356" s="8" t="n">
        <v>47288</v>
      </c>
      <c r="Q356" s="42" t="n">
        <v>715000</v>
      </c>
      <c r="R356" s="42" t="n">
        <f aca="false">Q356</f>
        <v>715000</v>
      </c>
      <c r="S356" s="42" t="n">
        <f aca="false">R356</f>
        <v>715000</v>
      </c>
      <c r="T356" s="42" t="n">
        <v>715000</v>
      </c>
      <c r="U356" s="9" t="n">
        <f aca="false">T356</f>
        <v>715000</v>
      </c>
      <c r="V356" s="43" t="n">
        <v>715000</v>
      </c>
      <c r="W356" s="9" t="n">
        <f aca="false">V356</f>
        <v>715000</v>
      </c>
      <c r="X356" s="44" t="n">
        <f aca="false">T356/H356</f>
        <v>73.1382978723404</v>
      </c>
      <c r="Y356" s="9" t="s">
        <v>453</v>
      </c>
      <c r="Z356" s="40"/>
      <c r="AA356" s="60" t="n">
        <v>12325000</v>
      </c>
      <c r="AB356" s="5" t="s">
        <v>40</v>
      </c>
      <c r="AC356" s="4" t="s">
        <v>73</v>
      </c>
      <c r="AF356" s="57"/>
    </row>
    <row r="357" customFormat="false" ht="14.25" hidden="false" customHeight="true" outlineLevel="0" collapsed="false">
      <c r="A357" s="28"/>
      <c r="B357" s="11"/>
      <c r="C357" s="11" t="s">
        <v>35</v>
      </c>
      <c r="D357" s="28"/>
      <c r="E357" s="4"/>
      <c r="I357" s="9"/>
      <c r="J357" s="9"/>
      <c r="T357" s="9"/>
      <c r="U357" s="9"/>
      <c r="V357" s="63"/>
      <c r="W357" s="9"/>
      <c r="X357" s="9"/>
      <c r="Y357" s="9"/>
      <c r="Z357" s="40"/>
      <c r="AA357" s="60"/>
      <c r="AB357" s="5"/>
      <c r="AF357" s="57"/>
    </row>
    <row r="358" customFormat="false" ht="14.25" hidden="false" customHeight="true" outlineLevel="0" collapsed="false">
      <c r="A358" s="28"/>
      <c r="B358" s="11"/>
      <c r="C358" s="11" t="s">
        <v>35</v>
      </c>
      <c r="D358" s="28"/>
      <c r="E358" s="4"/>
      <c r="G358" s="38" t="s">
        <v>454</v>
      </c>
      <c r="I358" s="9"/>
      <c r="J358" s="9"/>
      <c r="K358" s="39"/>
      <c r="T358" s="11"/>
      <c r="U358" s="9"/>
      <c r="W358" s="9"/>
      <c r="X358" s="9"/>
      <c r="Y358" s="9"/>
      <c r="Z358" s="40"/>
      <c r="AA358" s="60"/>
      <c r="AB358" s="5"/>
      <c r="AF358" s="57"/>
    </row>
    <row r="359" customFormat="false" ht="14.25" hidden="false" customHeight="true" outlineLevel="0" collapsed="false">
      <c r="A359" s="28"/>
      <c r="B359" s="11"/>
      <c r="C359" s="11" t="s">
        <v>35</v>
      </c>
      <c r="D359" s="28"/>
      <c r="E359" s="4"/>
      <c r="I359" s="9"/>
      <c r="J359" s="9"/>
      <c r="T359" s="9"/>
      <c r="U359" s="9"/>
      <c r="V359" s="63"/>
      <c r="W359" s="9"/>
      <c r="X359" s="9"/>
      <c r="Y359" s="9"/>
      <c r="Z359" s="40"/>
      <c r="AA359" s="60"/>
      <c r="AB359" s="5"/>
      <c r="AF359" s="57"/>
    </row>
    <row r="360" customFormat="false" ht="26.25" hidden="false" customHeight="true" outlineLevel="0" collapsed="false">
      <c r="A360" s="28"/>
      <c r="B360" s="11" t="s">
        <v>102</v>
      </c>
      <c r="C360" s="11" t="s">
        <v>35</v>
      </c>
      <c r="D360" s="28" t="n">
        <v>550330</v>
      </c>
      <c r="E360" s="4" t="s">
        <v>454</v>
      </c>
      <c r="F360" s="4" t="s">
        <v>455</v>
      </c>
      <c r="G360" s="5" t="s">
        <v>37</v>
      </c>
      <c r="H360" s="41" t="n">
        <v>4969</v>
      </c>
      <c r="I360" s="9" t="n">
        <f aca="false">H360</f>
        <v>4969</v>
      </c>
      <c r="J360" s="9" t="n">
        <v>5000</v>
      </c>
      <c r="K360" s="4" t="s">
        <v>149</v>
      </c>
      <c r="L360" s="7" t="n">
        <v>45198</v>
      </c>
      <c r="M360" s="8" t="n">
        <v>48850</v>
      </c>
      <c r="O360" s="8" t="n">
        <v>47025</v>
      </c>
      <c r="P360" s="8" t="n">
        <v>46293</v>
      </c>
      <c r="Q360" s="42" t="n">
        <v>315000</v>
      </c>
      <c r="R360" s="9" t="n">
        <f aca="false">Q360</f>
        <v>315000</v>
      </c>
      <c r="S360" s="42" t="n">
        <f aca="false">R360</f>
        <v>315000</v>
      </c>
      <c r="T360" s="42" t="n">
        <v>266600</v>
      </c>
      <c r="U360" s="9" t="n">
        <f aca="false">T360</f>
        <v>266600</v>
      </c>
      <c r="V360" s="43" t="n">
        <v>324500</v>
      </c>
      <c r="W360" s="9" t="n">
        <f aca="false">V360</f>
        <v>324500</v>
      </c>
      <c r="X360" s="44" t="n">
        <f aca="false">T360/H360</f>
        <v>53.6526464077279</v>
      </c>
      <c r="Y360" s="9" t="s">
        <v>39</v>
      </c>
      <c r="Z360" s="40"/>
      <c r="AA360" s="60" t="n">
        <v>5400000</v>
      </c>
      <c r="AB360" s="5" t="s">
        <v>40</v>
      </c>
      <c r="AC360" s="4" t="s">
        <v>456</v>
      </c>
      <c r="AF360" s="57"/>
    </row>
    <row r="361" customFormat="false" ht="14.25" hidden="false" customHeight="true" outlineLevel="0" collapsed="false">
      <c r="A361" s="28"/>
      <c r="B361" s="11"/>
      <c r="C361" s="11" t="s">
        <v>35</v>
      </c>
      <c r="D361" s="28"/>
      <c r="E361" s="4"/>
      <c r="H361" s="41"/>
      <c r="I361" s="42"/>
      <c r="J361" s="42"/>
      <c r="Q361" s="42"/>
      <c r="R361" s="42"/>
      <c r="S361" s="42"/>
      <c r="T361" s="42"/>
      <c r="U361" s="42"/>
      <c r="V361" s="43"/>
      <c r="W361" s="42"/>
      <c r="X361" s="42"/>
      <c r="Y361" s="42"/>
      <c r="Z361" s="64"/>
      <c r="AA361" s="62"/>
      <c r="AB361" s="5"/>
      <c r="AF361" s="57"/>
    </row>
    <row r="362" customFormat="false" ht="14.25" hidden="false" customHeight="true" outlineLevel="0" collapsed="false">
      <c r="A362" s="28"/>
      <c r="B362" s="11"/>
      <c r="C362" s="11" t="s">
        <v>35</v>
      </c>
      <c r="D362" s="28"/>
      <c r="E362" s="4"/>
      <c r="G362" s="38" t="s">
        <v>457</v>
      </c>
      <c r="I362" s="9"/>
      <c r="J362" s="9"/>
      <c r="K362" s="39"/>
      <c r="T362" s="11"/>
      <c r="U362" s="9"/>
      <c r="W362" s="9"/>
      <c r="X362" s="9"/>
      <c r="Y362" s="9"/>
      <c r="Z362" s="40"/>
      <c r="AB362" s="5"/>
      <c r="AF362" s="57"/>
    </row>
    <row r="363" customFormat="false" ht="14.25" hidden="false" customHeight="true" outlineLevel="0" collapsed="false">
      <c r="A363" s="28"/>
      <c r="B363" s="11"/>
      <c r="C363" s="11" t="s">
        <v>35</v>
      </c>
      <c r="D363" s="28"/>
      <c r="E363" s="4"/>
      <c r="G363" s="38"/>
      <c r="I363" s="9"/>
      <c r="J363" s="9"/>
      <c r="K363" s="39"/>
      <c r="T363" s="11"/>
      <c r="U363" s="9"/>
      <c r="W363" s="9"/>
      <c r="X363" s="9"/>
      <c r="Y363" s="9"/>
      <c r="Z363" s="40"/>
      <c r="AB363" s="5"/>
      <c r="AF363" s="57"/>
    </row>
    <row r="364" customFormat="false" ht="22.5" hidden="false" customHeight="true" outlineLevel="0" collapsed="false">
      <c r="A364" s="28"/>
      <c r="B364" s="11" t="s">
        <v>228</v>
      </c>
      <c r="C364" s="11" t="s">
        <v>35</v>
      </c>
      <c r="D364" s="28" t="n">
        <v>550340</v>
      </c>
      <c r="E364" s="4" t="s">
        <v>457</v>
      </c>
      <c r="F364" s="4" t="s">
        <v>458</v>
      </c>
      <c r="G364" s="5" t="s">
        <v>161</v>
      </c>
      <c r="H364" s="6" t="n">
        <v>400</v>
      </c>
      <c r="I364" s="6" t="n">
        <f aca="false">H364</f>
        <v>400</v>
      </c>
      <c r="K364" s="4" t="s">
        <v>410</v>
      </c>
      <c r="L364" s="8" t="n">
        <v>43184</v>
      </c>
      <c r="M364" s="8" t="n">
        <v>46836</v>
      </c>
      <c r="O364" s="8" t="n">
        <v>45010</v>
      </c>
      <c r="Q364" s="9" t="n">
        <v>2400</v>
      </c>
      <c r="R364" s="9" t="n">
        <f aca="false">Q364</f>
        <v>2400</v>
      </c>
      <c r="T364" s="9" t="n">
        <v>2000</v>
      </c>
      <c r="U364" s="9" t="n">
        <f aca="false">T364</f>
        <v>2000</v>
      </c>
      <c r="V364" s="63" t="n">
        <v>2000</v>
      </c>
      <c r="W364" s="9" t="n">
        <f aca="false">V364</f>
        <v>2000</v>
      </c>
      <c r="X364" s="44" t="n">
        <f aca="false">T364/H364</f>
        <v>5</v>
      </c>
      <c r="Y364" s="9"/>
      <c r="Z364" s="40"/>
      <c r="AB364" s="5" t="s">
        <v>40</v>
      </c>
      <c r="AC364" s="4" t="s">
        <v>411</v>
      </c>
      <c r="AF364" s="57"/>
    </row>
    <row r="365" customFormat="false" ht="22.5" hidden="false" customHeight="true" outlineLevel="0" collapsed="false">
      <c r="A365" s="28"/>
      <c r="B365" s="11" t="s">
        <v>228</v>
      </c>
      <c r="C365" s="11" t="s">
        <v>35</v>
      </c>
      <c r="D365" s="28" t="n">
        <v>550340</v>
      </c>
      <c r="E365" s="4" t="s">
        <v>457</v>
      </c>
      <c r="F365" s="4" t="s">
        <v>459</v>
      </c>
      <c r="G365" s="5" t="s">
        <v>460</v>
      </c>
      <c r="H365" s="6" t="n">
        <v>873</v>
      </c>
      <c r="I365" s="6" t="n">
        <f aca="false">H365</f>
        <v>873</v>
      </c>
      <c r="K365" s="4" t="s">
        <v>410</v>
      </c>
      <c r="L365" s="8" t="n">
        <v>43184</v>
      </c>
      <c r="M365" s="8" t="n">
        <v>46836</v>
      </c>
      <c r="O365" s="8" t="n">
        <v>45010</v>
      </c>
      <c r="Q365" s="9" t="n">
        <v>24500</v>
      </c>
      <c r="R365" s="9" t="n">
        <f aca="false">Q365</f>
        <v>24500</v>
      </c>
      <c r="T365" s="9" t="n">
        <v>17500</v>
      </c>
      <c r="U365" s="9" t="n">
        <f aca="false">T365</f>
        <v>17500</v>
      </c>
      <c r="V365" s="63" t="n">
        <v>26200</v>
      </c>
      <c r="W365" s="9" t="n">
        <f aca="false">V365</f>
        <v>26200</v>
      </c>
      <c r="X365" s="9"/>
      <c r="Y365" s="9" t="s">
        <v>57</v>
      </c>
      <c r="Z365" s="40"/>
      <c r="AB365" s="5" t="s">
        <v>40</v>
      </c>
      <c r="AC365" s="4" t="s">
        <v>411</v>
      </c>
      <c r="AF365" s="57"/>
    </row>
    <row r="366" customFormat="false" ht="22.5" hidden="false" customHeight="true" outlineLevel="0" collapsed="false">
      <c r="A366" s="28"/>
      <c r="B366" s="11" t="s">
        <v>228</v>
      </c>
      <c r="C366" s="11" t="s">
        <v>35</v>
      </c>
      <c r="D366" s="28" t="n">
        <v>550340</v>
      </c>
      <c r="E366" s="4" t="s">
        <v>457</v>
      </c>
      <c r="F366" s="4" t="s">
        <v>461</v>
      </c>
      <c r="G366" s="5" t="s">
        <v>37</v>
      </c>
      <c r="H366" s="6" t="n">
        <v>624</v>
      </c>
      <c r="I366" s="6" t="n">
        <f aca="false">H366</f>
        <v>624</v>
      </c>
      <c r="K366" s="4" t="s">
        <v>410</v>
      </c>
      <c r="L366" s="8" t="n">
        <v>43184</v>
      </c>
      <c r="M366" s="8" t="n">
        <v>46836</v>
      </c>
      <c r="O366" s="8" t="n">
        <v>45010</v>
      </c>
      <c r="Q366" s="9" t="n">
        <v>15600</v>
      </c>
      <c r="R366" s="9" t="n">
        <f aca="false">Q366</f>
        <v>15600</v>
      </c>
      <c r="T366" s="9" t="n">
        <v>12500</v>
      </c>
      <c r="U366" s="9" t="n">
        <f aca="false">T366</f>
        <v>12500</v>
      </c>
      <c r="V366" s="63" t="n">
        <v>18700</v>
      </c>
      <c r="W366" s="9" t="n">
        <f aca="false">V366</f>
        <v>18700</v>
      </c>
      <c r="X366" s="9"/>
      <c r="Y366" s="9" t="s">
        <v>57</v>
      </c>
      <c r="Z366" s="40"/>
      <c r="AB366" s="5" t="s">
        <v>40</v>
      </c>
      <c r="AC366" s="4" t="s">
        <v>411</v>
      </c>
      <c r="AF366" s="57"/>
    </row>
    <row r="367" customFormat="false" ht="22.5" hidden="false" customHeight="true" outlineLevel="0" collapsed="false">
      <c r="A367" s="28"/>
      <c r="B367" s="11" t="s">
        <v>228</v>
      </c>
      <c r="C367" s="11" t="s">
        <v>35</v>
      </c>
      <c r="D367" s="28" t="n">
        <v>550340</v>
      </c>
      <c r="E367" s="4" t="s">
        <v>457</v>
      </c>
      <c r="F367" s="4" t="s">
        <v>406</v>
      </c>
      <c r="G367" s="5" t="s">
        <v>37</v>
      </c>
      <c r="H367" s="6" t="n">
        <v>1497</v>
      </c>
      <c r="I367" s="6" t="n">
        <f aca="false">H367</f>
        <v>1497</v>
      </c>
      <c r="K367" s="4" t="s">
        <v>410</v>
      </c>
      <c r="L367" s="8" t="n">
        <v>45010</v>
      </c>
      <c r="M367" s="8" t="n">
        <v>46836</v>
      </c>
      <c r="Q367" s="9" t="n">
        <v>84600</v>
      </c>
      <c r="R367" s="9" t="n">
        <f aca="false">Q367</f>
        <v>84600</v>
      </c>
      <c r="T367" s="9" t="n">
        <v>86100</v>
      </c>
      <c r="U367" s="9" t="n">
        <f aca="false">T367</f>
        <v>86100</v>
      </c>
      <c r="V367" s="63" t="n">
        <v>89800</v>
      </c>
      <c r="W367" s="9" t="n">
        <f aca="false">V367</f>
        <v>89800</v>
      </c>
      <c r="X367" s="9"/>
      <c r="Y367" s="9" t="s">
        <v>39</v>
      </c>
      <c r="Z367" s="40"/>
      <c r="AB367" s="5" t="s">
        <v>40</v>
      </c>
      <c r="AC367" s="4" t="s">
        <v>411</v>
      </c>
      <c r="AF367" s="57"/>
    </row>
    <row r="368" customFormat="false" ht="22.5" hidden="false" customHeight="true" outlineLevel="0" collapsed="false">
      <c r="A368" s="28"/>
      <c r="B368" s="11" t="s">
        <v>228</v>
      </c>
      <c r="C368" s="11" t="s">
        <v>35</v>
      </c>
      <c r="D368" s="28" t="n">
        <v>550340</v>
      </c>
      <c r="E368" s="4" t="s">
        <v>457</v>
      </c>
      <c r="F368" s="4" t="s">
        <v>333</v>
      </c>
      <c r="G368" s="5" t="s">
        <v>37</v>
      </c>
      <c r="H368" s="6" t="n">
        <v>1553</v>
      </c>
      <c r="I368" s="6" t="n">
        <f aca="false">H368</f>
        <v>1553</v>
      </c>
      <c r="K368" s="4" t="s">
        <v>410</v>
      </c>
      <c r="L368" s="7" t="n">
        <v>45269</v>
      </c>
      <c r="M368" s="8" t="n">
        <v>46836</v>
      </c>
      <c r="Q368" s="9" t="n">
        <v>87750</v>
      </c>
      <c r="R368" s="9" t="n">
        <f aca="false">Q368</f>
        <v>87750</v>
      </c>
      <c r="T368" s="9" t="n">
        <v>89300</v>
      </c>
      <c r="U368" s="9" t="n">
        <f aca="false">T368</f>
        <v>89300</v>
      </c>
      <c r="V368" s="63" t="n">
        <v>93200</v>
      </c>
      <c r="W368" s="9" t="n">
        <f aca="false">V368</f>
        <v>93200</v>
      </c>
      <c r="X368" s="9"/>
      <c r="Y368" s="9" t="s">
        <v>57</v>
      </c>
      <c r="Z368" s="40"/>
      <c r="AB368" s="5" t="s">
        <v>40</v>
      </c>
      <c r="AC368" s="4" t="s">
        <v>411</v>
      </c>
      <c r="AF368" s="57"/>
    </row>
    <row r="369" customFormat="false" ht="22.5" hidden="false" customHeight="true" outlineLevel="0" collapsed="false">
      <c r="A369" s="28"/>
      <c r="B369" s="11" t="s">
        <v>228</v>
      </c>
      <c r="C369" s="11" t="s">
        <v>35</v>
      </c>
      <c r="D369" s="28" t="n">
        <v>550340</v>
      </c>
      <c r="E369" s="4" t="s">
        <v>457</v>
      </c>
      <c r="F369" s="4" t="s">
        <v>135</v>
      </c>
      <c r="G369" s="5" t="s">
        <v>37</v>
      </c>
      <c r="H369" s="6" t="n">
        <v>1445</v>
      </c>
      <c r="I369" s="6" t="n">
        <f aca="false">H369</f>
        <v>1445</v>
      </c>
      <c r="K369" s="4" t="s">
        <v>410</v>
      </c>
      <c r="L369" s="8" t="n">
        <v>43184</v>
      </c>
      <c r="M369" s="8" t="n">
        <v>46836</v>
      </c>
      <c r="O369" s="8" t="n">
        <v>45010</v>
      </c>
      <c r="Q369" s="9" t="n">
        <v>79500</v>
      </c>
      <c r="R369" s="9" t="n">
        <f aca="false">Q369</f>
        <v>79500</v>
      </c>
      <c r="T369" s="9" t="n">
        <v>86700</v>
      </c>
      <c r="U369" s="9" t="n">
        <f aca="false">T369</f>
        <v>86700</v>
      </c>
      <c r="V369" s="63" t="n">
        <v>90300</v>
      </c>
      <c r="W369" s="9" t="n">
        <f aca="false">V369</f>
        <v>90300</v>
      </c>
      <c r="X369" s="9"/>
      <c r="Y369" s="9" t="s">
        <v>57</v>
      </c>
      <c r="Z369" s="40"/>
      <c r="AB369" s="5" t="s">
        <v>40</v>
      </c>
      <c r="AC369" s="4" t="s">
        <v>411</v>
      </c>
      <c r="AF369" s="57"/>
    </row>
    <row r="370" customFormat="false" ht="22.5" hidden="false" customHeight="true" outlineLevel="0" collapsed="false">
      <c r="A370" s="28"/>
      <c r="B370" s="11" t="s">
        <v>228</v>
      </c>
      <c r="C370" s="11" t="s">
        <v>35</v>
      </c>
      <c r="D370" s="28" t="n">
        <v>550340</v>
      </c>
      <c r="E370" s="4" t="s">
        <v>457</v>
      </c>
      <c r="F370" s="4" t="s">
        <v>133</v>
      </c>
      <c r="G370" s="5" t="s">
        <v>37</v>
      </c>
      <c r="H370" s="6" t="n">
        <v>1200</v>
      </c>
      <c r="I370" s="6" t="n">
        <f aca="false">H370</f>
        <v>1200</v>
      </c>
      <c r="K370" s="4" t="s">
        <v>410</v>
      </c>
      <c r="L370" s="8" t="n">
        <v>43184</v>
      </c>
      <c r="M370" s="8" t="n">
        <v>46836</v>
      </c>
      <c r="O370" s="8" t="n">
        <v>45010</v>
      </c>
      <c r="Q370" s="9" t="n">
        <v>66000</v>
      </c>
      <c r="R370" s="9" t="n">
        <f aca="false">Q370</f>
        <v>66000</v>
      </c>
      <c r="T370" s="9" t="n">
        <v>72000</v>
      </c>
      <c r="U370" s="9" t="n">
        <f aca="false">T370</f>
        <v>72000</v>
      </c>
      <c r="V370" s="63" t="n">
        <v>75000</v>
      </c>
      <c r="W370" s="9" t="n">
        <f aca="false">V370</f>
        <v>75000</v>
      </c>
      <c r="X370" s="9"/>
      <c r="Y370" s="9" t="s">
        <v>39</v>
      </c>
      <c r="Z370" s="40"/>
      <c r="AB370" s="5" t="s">
        <v>40</v>
      </c>
      <c r="AC370" s="4" t="s">
        <v>411</v>
      </c>
      <c r="AF370" s="57"/>
    </row>
    <row r="371" customFormat="false" ht="22.5" hidden="false" customHeight="true" outlineLevel="0" collapsed="false">
      <c r="A371" s="28"/>
      <c r="B371" s="11" t="s">
        <v>228</v>
      </c>
      <c r="C371" s="11" t="s">
        <v>35</v>
      </c>
      <c r="D371" s="28" t="n">
        <v>550340</v>
      </c>
      <c r="E371" s="4" t="s">
        <v>457</v>
      </c>
      <c r="F371" s="4" t="s">
        <v>138</v>
      </c>
      <c r="G371" s="5" t="s">
        <v>37</v>
      </c>
      <c r="H371" s="6" t="n">
        <v>373</v>
      </c>
      <c r="I371" s="6" t="n">
        <f aca="false">H371</f>
        <v>373</v>
      </c>
      <c r="K371" s="4" t="s">
        <v>410</v>
      </c>
      <c r="L371" s="8" t="n">
        <v>43184</v>
      </c>
      <c r="M371" s="8" t="n">
        <v>46836</v>
      </c>
      <c r="O371" s="8" t="n">
        <v>45010</v>
      </c>
      <c r="Q371" s="9" t="n">
        <v>18650</v>
      </c>
      <c r="R371" s="9" t="n">
        <f aca="false">Q371</f>
        <v>18650</v>
      </c>
      <c r="T371" s="9" t="n">
        <v>22400</v>
      </c>
      <c r="U371" s="9" t="n">
        <f aca="false">T371</f>
        <v>22400</v>
      </c>
      <c r="V371" s="63" t="n">
        <v>23300</v>
      </c>
      <c r="W371" s="9" t="n">
        <f aca="false">V371</f>
        <v>23300</v>
      </c>
      <c r="X371" s="9"/>
      <c r="Y371" s="9" t="s">
        <v>57</v>
      </c>
      <c r="Z371" s="40"/>
      <c r="AB371" s="5" t="s">
        <v>40</v>
      </c>
      <c r="AC371" s="4" t="s">
        <v>411</v>
      </c>
      <c r="AF371" s="57"/>
    </row>
    <row r="372" customFormat="false" ht="22.5" hidden="false" customHeight="true" outlineLevel="0" collapsed="false">
      <c r="A372" s="28"/>
      <c r="B372" s="11" t="s">
        <v>228</v>
      </c>
      <c r="C372" s="11" t="s">
        <v>35</v>
      </c>
      <c r="D372" s="28" t="n">
        <v>550340</v>
      </c>
      <c r="E372" s="4" t="s">
        <v>457</v>
      </c>
      <c r="F372" s="4" t="s">
        <v>140</v>
      </c>
      <c r="G372" s="5" t="s">
        <v>37</v>
      </c>
      <c r="H372" s="6" t="n">
        <v>346</v>
      </c>
      <c r="I372" s="6" t="n">
        <f aca="false">H372</f>
        <v>346</v>
      </c>
      <c r="K372" s="4" t="s">
        <v>410</v>
      </c>
      <c r="L372" s="8" t="n">
        <v>43184</v>
      </c>
      <c r="M372" s="8" t="n">
        <v>46836</v>
      </c>
      <c r="O372" s="8" t="n">
        <v>45010</v>
      </c>
      <c r="Q372" s="9" t="n">
        <v>18150</v>
      </c>
      <c r="R372" s="9" t="n">
        <f aca="false">Q372</f>
        <v>18150</v>
      </c>
      <c r="T372" s="9" t="n">
        <v>20800</v>
      </c>
      <c r="U372" s="9" t="n">
        <f aca="false">T372</f>
        <v>20800</v>
      </c>
      <c r="V372" s="63" t="n">
        <v>21600</v>
      </c>
      <c r="W372" s="9" t="n">
        <f aca="false">V372</f>
        <v>21600</v>
      </c>
      <c r="X372" s="9"/>
      <c r="Y372" s="9" t="s">
        <v>57</v>
      </c>
      <c r="Z372" s="40"/>
      <c r="AB372" s="5" t="s">
        <v>40</v>
      </c>
      <c r="AC372" s="4" t="s">
        <v>411</v>
      </c>
      <c r="AF372" s="57"/>
    </row>
    <row r="373" customFormat="false" ht="14.25" hidden="false" customHeight="true" outlineLevel="0" collapsed="false">
      <c r="A373" s="28"/>
      <c r="B373" s="11"/>
      <c r="C373" s="11" t="s">
        <v>35</v>
      </c>
      <c r="D373" s="28"/>
      <c r="E373" s="4"/>
      <c r="I373" s="9"/>
      <c r="J373" s="9"/>
      <c r="T373" s="9"/>
      <c r="U373" s="9"/>
      <c r="V373" s="63"/>
      <c r="W373" s="9"/>
      <c r="X373" s="9"/>
      <c r="Y373" s="9"/>
      <c r="Z373" s="40"/>
      <c r="AB373" s="5"/>
      <c r="AF373" s="57"/>
    </row>
    <row r="374" customFormat="false" ht="14.25" hidden="false" customHeight="true" outlineLevel="0" collapsed="false">
      <c r="A374" s="28"/>
      <c r="B374" s="11"/>
      <c r="C374" s="11" t="s">
        <v>35</v>
      </c>
      <c r="D374" s="28"/>
      <c r="E374" s="4"/>
      <c r="F374" s="45" t="s">
        <v>462</v>
      </c>
      <c r="H374" s="41" t="n">
        <f aca="false">SUM(H364:H372)</f>
        <v>8311</v>
      </c>
      <c r="I374" s="42"/>
      <c r="J374" s="42"/>
      <c r="Q374" s="42" t="n">
        <f aca="false">SUM(Q364:Q372)</f>
        <v>397150</v>
      </c>
      <c r="R374" s="42"/>
      <c r="S374" s="42" t="n">
        <f aca="false">SUM(R362:R373)</f>
        <v>397150</v>
      </c>
      <c r="T374" s="42" t="n">
        <f aca="false">SUM(T364:T372)</f>
        <v>409300</v>
      </c>
      <c r="U374" s="42"/>
      <c r="V374" s="43" t="n">
        <f aca="false">SUM(V364:V372)</f>
        <v>440100</v>
      </c>
      <c r="W374" s="42"/>
      <c r="X374" s="42"/>
      <c r="Y374" s="42"/>
      <c r="Z374" s="64"/>
      <c r="AA374" s="60" t="n">
        <v>5400000</v>
      </c>
      <c r="AB374" s="5"/>
      <c r="AF374" s="57"/>
    </row>
    <row r="375" customFormat="false" ht="14.25" hidden="false" customHeight="true" outlineLevel="0" collapsed="false">
      <c r="A375" s="28"/>
      <c r="B375" s="11"/>
      <c r="C375" s="11" t="s">
        <v>35</v>
      </c>
      <c r="D375" s="28"/>
      <c r="E375" s="4"/>
      <c r="H375" s="41"/>
      <c r="I375" s="42"/>
      <c r="J375" s="42"/>
      <c r="Q375" s="42"/>
      <c r="R375" s="42"/>
      <c r="S375" s="42"/>
      <c r="T375" s="42"/>
      <c r="U375" s="42"/>
      <c r="V375" s="43"/>
      <c r="W375" s="42"/>
      <c r="X375" s="42"/>
      <c r="Y375" s="42"/>
      <c r="Z375" s="64"/>
      <c r="AA375" s="43"/>
      <c r="AB375" s="5"/>
      <c r="AF375" s="57"/>
    </row>
    <row r="376" customFormat="false" ht="14.25" hidden="false" customHeight="true" outlineLevel="0" collapsed="false">
      <c r="A376" s="28"/>
      <c r="B376" s="11"/>
      <c r="C376" s="11" t="s">
        <v>35</v>
      </c>
      <c r="D376" s="28"/>
      <c r="E376" s="4"/>
      <c r="G376" s="38" t="s">
        <v>463</v>
      </c>
      <c r="I376" s="9"/>
      <c r="J376" s="9"/>
      <c r="K376" s="39"/>
      <c r="T376" s="11"/>
      <c r="U376" s="9"/>
      <c r="W376" s="9"/>
      <c r="X376" s="9"/>
      <c r="Y376" s="9"/>
      <c r="Z376" s="40"/>
      <c r="AA376" s="43"/>
      <c r="AB376" s="5"/>
      <c r="AF376" s="57"/>
    </row>
    <row r="377" customFormat="false" ht="14.25" hidden="false" customHeight="true" outlineLevel="0" collapsed="false">
      <c r="A377" s="28"/>
      <c r="B377" s="11"/>
      <c r="C377" s="11" t="s">
        <v>35</v>
      </c>
      <c r="D377" s="28"/>
      <c r="E377" s="4"/>
      <c r="G377" s="38"/>
      <c r="H377" s="72"/>
      <c r="I377" s="9"/>
      <c r="J377" s="9"/>
      <c r="K377" s="75"/>
      <c r="L377" s="76"/>
      <c r="T377" s="9"/>
      <c r="U377" s="9"/>
      <c r="V377" s="63"/>
      <c r="W377" s="9"/>
      <c r="X377" s="9"/>
      <c r="Y377" s="9"/>
      <c r="Z377" s="40"/>
      <c r="AA377" s="43"/>
      <c r="AB377" s="5"/>
      <c r="AF377" s="57"/>
    </row>
    <row r="378" customFormat="false" ht="22.5" hidden="false" customHeight="true" outlineLevel="0" collapsed="false">
      <c r="A378" s="28"/>
      <c r="B378" s="11" t="s">
        <v>44</v>
      </c>
      <c r="C378" s="11" t="s">
        <v>35</v>
      </c>
      <c r="D378" s="28" t="n">
        <v>550900</v>
      </c>
      <c r="E378" s="4" t="s">
        <v>463</v>
      </c>
      <c r="F378" s="4" t="s">
        <v>455</v>
      </c>
      <c r="G378" s="5" t="s">
        <v>37</v>
      </c>
      <c r="H378" s="6" t="n">
        <v>8445</v>
      </c>
      <c r="I378" s="9" t="n">
        <f aca="false">H378</f>
        <v>8445</v>
      </c>
      <c r="J378" s="9" t="n">
        <v>8500</v>
      </c>
      <c r="K378" s="4" t="s">
        <v>255</v>
      </c>
      <c r="L378" s="7" t="n">
        <v>44390</v>
      </c>
      <c r="M378" s="8" t="n">
        <v>48041</v>
      </c>
      <c r="O378" s="8" t="n">
        <v>46216</v>
      </c>
      <c r="P378" s="8" t="n">
        <v>46215</v>
      </c>
      <c r="Q378" s="9" t="n">
        <v>450500</v>
      </c>
      <c r="R378" s="9" t="n">
        <f aca="false">Q378</f>
        <v>450500</v>
      </c>
      <c r="T378" s="9" t="n">
        <v>450500</v>
      </c>
      <c r="U378" s="9" t="n">
        <f aca="false">T378</f>
        <v>450500</v>
      </c>
      <c r="V378" s="63" t="n">
        <v>495300</v>
      </c>
      <c r="W378" s="9" t="n">
        <f aca="false">V378</f>
        <v>495300</v>
      </c>
      <c r="X378" s="44" t="n">
        <f aca="false">T378/H378</f>
        <v>53.3451746595619</v>
      </c>
      <c r="Y378" s="9" t="s">
        <v>39</v>
      </c>
      <c r="Z378" s="40"/>
      <c r="AA378" s="43"/>
      <c r="AB378" s="5" t="s">
        <v>40</v>
      </c>
      <c r="AC378" s="4" t="s">
        <v>464</v>
      </c>
      <c r="AF378" s="57"/>
    </row>
    <row r="379" customFormat="false" ht="28.5" hidden="false" customHeight="true" outlineLevel="0" collapsed="false">
      <c r="A379" s="28"/>
      <c r="B379" s="11" t="s">
        <v>44</v>
      </c>
      <c r="C379" s="11" t="s">
        <v>35</v>
      </c>
      <c r="D379" s="28" t="n">
        <v>550900</v>
      </c>
      <c r="E379" s="4" t="s">
        <v>463</v>
      </c>
      <c r="F379" s="4" t="s">
        <v>465</v>
      </c>
      <c r="G379" s="5" t="s">
        <v>163</v>
      </c>
      <c r="H379" s="6" t="n">
        <v>0</v>
      </c>
      <c r="I379" s="9" t="n">
        <f aca="false">H379</f>
        <v>0</v>
      </c>
      <c r="J379" s="9"/>
      <c r="K379" s="4" t="s">
        <v>164</v>
      </c>
      <c r="L379" s="7" t="n">
        <v>38840</v>
      </c>
      <c r="M379" s="8" t="n">
        <v>46144</v>
      </c>
      <c r="Q379" s="9" t="n">
        <v>1100</v>
      </c>
      <c r="R379" s="9" t="n">
        <f aca="false">Q379</f>
        <v>1100</v>
      </c>
      <c r="T379" s="9" t="n">
        <v>1100</v>
      </c>
      <c r="U379" s="9" t="n">
        <f aca="false">T379</f>
        <v>1100</v>
      </c>
      <c r="V379" s="63" t="n">
        <v>1100</v>
      </c>
      <c r="W379" s="9" t="n">
        <f aca="false">V379</f>
        <v>1100</v>
      </c>
      <c r="X379" s="9"/>
      <c r="Y379" s="9"/>
      <c r="Z379" s="40"/>
      <c r="AA379" s="43"/>
      <c r="AB379" s="5" t="s">
        <v>40</v>
      </c>
      <c r="AC379" s="4" t="s">
        <v>466</v>
      </c>
      <c r="AF379" s="57"/>
    </row>
    <row r="380" customFormat="false" ht="14.25" hidden="false" customHeight="true" outlineLevel="0" collapsed="false">
      <c r="A380" s="28"/>
      <c r="B380" s="11"/>
      <c r="C380" s="11" t="s">
        <v>35</v>
      </c>
      <c r="D380" s="28"/>
      <c r="E380" s="4"/>
      <c r="I380" s="9"/>
      <c r="J380" s="9"/>
      <c r="T380" s="9"/>
      <c r="U380" s="9"/>
      <c r="V380" s="63"/>
      <c r="W380" s="9"/>
      <c r="X380" s="9"/>
      <c r="Y380" s="9"/>
      <c r="Z380" s="40"/>
      <c r="AA380" s="43"/>
      <c r="AB380" s="5"/>
      <c r="AF380" s="57"/>
    </row>
    <row r="381" customFormat="false" ht="14.25" hidden="false" customHeight="true" outlineLevel="0" collapsed="false">
      <c r="A381" s="28"/>
      <c r="B381" s="11"/>
      <c r="C381" s="11" t="s">
        <v>35</v>
      </c>
      <c r="D381" s="28"/>
      <c r="E381" s="4"/>
      <c r="F381" s="45" t="s">
        <v>463</v>
      </c>
      <c r="H381" s="41" t="n">
        <f aca="false">SUM(H378:H379)</f>
        <v>8445</v>
      </c>
      <c r="I381" s="42"/>
      <c r="J381" s="42"/>
      <c r="Q381" s="42" t="n">
        <f aca="false">SUM(Q378:Q379)</f>
        <v>451600</v>
      </c>
      <c r="R381" s="42"/>
      <c r="S381" s="42" t="n">
        <f aca="false">SUM(R376:R380)</f>
        <v>451600</v>
      </c>
      <c r="T381" s="42" t="n">
        <f aca="false">SUM(T378:T379)</f>
        <v>451600</v>
      </c>
      <c r="U381" s="42"/>
      <c r="V381" s="43" t="n">
        <f aca="false">SUM(V378:V379)</f>
        <v>496400</v>
      </c>
      <c r="W381" s="42"/>
      <c r="X381" s="42"/>
      <c r="Y381" s="42"/>
      <c r="Z381" s="64"/>
      <c r="AA381" s="43" t="n">
        <v>7275000</v>
      </c>
      <c r="AB381" s="5"/>
      <c r="AF381" s="57"/>
    </row>
    <row r="382" customFormat="false" ht="14.25" hidden="false" customHeight="true" outlineLevel="0" collapsed="false">
      <c r="A382" s="28"/>
      <c r="B382" s="11"/>
      <c r="C382" s="11" t="s">
        <v>35</v>
      </c>
      <c r="D382" s="28"/>
      <c r="E382" s="4"/>
      <c r="I382" s="9"/>
      <c r="J382" s="9"/>
      <c r="T382" s="9"/>
      <c r="U382" s="9"/>
      <c r="V382" s="63"/>
      <c r="W382" s="9"/>
      <c r="X382" s="9"/>
      <c r="Y382" s="9"/>
      <c r="Z382" s="40"/>
      <c r="AB382" s="5"/>
      <c r="AF382" s="57"/>
    </row>
    <row r="383" customFormat="false" ht="14.25" hidden="false" customHeight="true" outlineLevel="0" collapsed="false">
      <c r="A383" s="28"/>
      <c r="B383" s="11"/>
      <c r="C383" s="11" t="s">
        <v>35</v>
      </c>
      <c r="D383" s="28"/>
      <c r="E383" s="4"/>
      <c r="G383" s="38" t="s">
        <v>467</v>
      </c>
      <c r="I383" s="9"/>
      <c r="J383" s="9"/>
      <c r="K383" s="39"/>
      <c r="T383" s="11"/>
      <c r="U383" s="9"/>
      <c r="W383" s="9"/>
      <c r="X383" s="9"/>
      <c r="Y383" s="9"/>
      <c r="Z383" s="40"/>
      <c r="AB383" s="5"/>
      <c r="AF383" s="57"/>
    </row>
    <row r="384" customFormat="false" ht="14.25" hidden="false" customHeight="true" outlineLevel="0" collapsed="false">
      <c r="A384" s="28"/>
      <c r="B384" s="11"/>
      <c r="C384" s="11" t="s">
        <v>35</v>
      </c>
      <c r="D384" s="28"/>
      <c r="E384" s="4"/>
      <c r="I384" s="9"/>
      <c r="J384" s="9"/>
      <c r="T384" s="9"/>
      <c r="U384" s="9"/>
      <c r="V384" s="63"/>
      <c r="W384" s="9"/>
      <c r="X384" s="9"/>
      <c r="Y384" s="9"/>
      <c r="Z384" s="40"/>
      <c r="AB384" s="5"/>
      <c r="AF384" s="57"/>
    </row>
    <row r="385" customFormat="false" ht="30" hidden="false" customHeight="true" outlineLevel="0" collapsed="false">
      <c r="A385" s="28"/>
      <c r="B385" s="11" t="s">
        <v>44</v>
      </c>
      <c r="C385" s="11" t="s">
        <v>35</v>
      </c>
      <c r="D385" s="28" t="n">
        <v>550350</v>
      </c>
      <c r="E385" s="4" t="s">
        <v>467</v>
      </c>
      <c r="F385" s="4" t="s">
        <v>455</v>
      </c>
      <c r="G385" s="5" t="s">
        <v>37</v>
      </c>
      <c r="H385" s="41" t="n">
        <v>6563</v>
      </c>
      <c r="I385" s="9" t="n">
        <f aca="false">H385</f>
        <v>6563</v>
      </c>
      <c r="J385" s="9" t="n">
        <v>6500</v>
      </c>
      <c r="K385" s="4" t="s">
        <v>468</v>
      </c>
      <c r="L385" s="7" t="n">
        <v>45062</v>
      </c>
      <c r="M385" s="8" t="n">
        <v>48714</v>
      </c>
      <c r="O385" s="8" t="n">
        <v>46889</v>
      </c>
      <c r="Q385" s="42" t="n">
        <v>350000</v>
      </c>
      <c r="R385" s="9" t="n">
        <f aca="false">Q385</f>
        <v>350000</v>
      </c>
      <c r="S385" s="42" t="n">
        <f aca="false">R385</f>
        <v>350000</v>
      </c>
      <c r="T385" s="42" t="n">
        <v>350000</v>
      </c>
      <c r="U385" s="9" t="n">
        <f aca="false">T385</f>
        <v>350000</v>
      </c>
      <c r="V385" s="43" t="n">
        <v>372700</v>
      </c>
      <c r="W385" s="9" t="n">
        <f aca="false">V385</f>
        <v>372700</v>
      </c>
      <c r="X385" s="44" t="n">
        <f aca="false">T385/H385</f>
        <v>53.3292701508457</v>
      </c>
      <c r="Y385" s="9" t="s">
        <v>57</v>
      </c>
      <c r="Z385" s="40"/>
      <c r="AA385" s="108" t="n">
        <v>6300000</v>
      </c>
      <c r="AB385" s="5" t="s">
        <v>40</v>
      </c>
      <c r="AF385" s="57"/>
    </row>
    <row r="386" customFormat="false" ht="14.25" hidden="false" customHeight="true" outlineLevel="0" collapsed="false">
      <c r="A386" s="28"/>
      <c r="B386" s="11"/>
      <c r="C386" s="11" t="s">
        <v>35</v>
      </c>
      <c r="D386" s="28"/>
      <c r="E386" s="4"/>
      <c r="H386" s="41"/>
      <c r="I386" s="42"/>
      <c r="J386" s="42"/>
      <c r="Q386" s="42"/>
      <c r="R386" s="42"/>
      <c r="S386" s="42"/>
      <c r="T386" s="42"/>
      <c r="U386" s="42"/>
      <c r="V386" s="43"/>
      <c r="W386" s="42"/>
      <c r="X386" s="42"/>
      <c r="Y386" s="42"/>
      <c r="Z386" s="64"/>
      <c r="AA386" s="108"/>
      <c r="AB386" s="5"/>
      <c r="AF386" s="57"/>
    </row>
    <row r="387" customFormat="false" ht="14.25" hidden="false" customHeight="true" outlineLevel="0" collapsed="false">
      <c r="A387" s="28"/>
      <c r="B387" s="11"/>
      <c r="C387" s="11" t="s">
        <v>35</v>
      </c>
      <c r="D387" s="28"/>
      <c r="E387" s="4"/>
      <c r="F387" s="45" t="s">
        <v>469</v>
      </c>
      <c r="H387" s="46" t="n">
        <f aca="false">SUM(H385:H386)</f>
        <v>6563</v>
      </c>
      <c r="I387" s="41"/>
      <c r="J387" s="41"/>
      <c r="K387" s="47"/>
      <c r="L387" s="48"/>
      <c r="M387" s="49"/>
      <c r="N387" s="49"/>
      <c r="O387" s="49"/>
      <c r="P387" s="49"/>
      <c r="Q387" s="41"/>
      <c r="R387" s="41"/>
      <c r="S387" s="41"/>
      <c r="T387" s="46" t="n">
        <f aca="false">SUM(T385:T386)</f>
        <v>350000</v>
      </c>
      <c r="U387" s="46"/>
      <c r="V387" s="50"/>
      <c r="W387" s="46"/>
      <c r="X387" s="46"/>
      <c r="Y387" s="46"/>
      <c r="Z387" s="51"/>
      <c r="AA387" s="108"/>
      <c r="AB387" s="5"/>
      <c r="AF387" s="57"/>
    </row>
    <row r="388" customFormat="false" ht="14.25" hidden="false" customHeight="true" outlineLevel="0" collapsed="false">
      <c r="A388" s="28"/>
      <c r="B388" s="11"/>
      <c r="C388" s="11" t="s">
        <v>35</v>
      </c>
      <c r="D388" s="28"/>
      <c r="E388" s="4"/>
      <c r="H388" s="41"/>
      <c r="I388" s="42"/>
      <c r="J388" s="42"/>
      <c r="Q388" s="42"/>
      <c r="R388" s="42"/>
      <c r="S388" s="42"/>
      <c r="T388" s="42"/>
      <c r="U388" s="42"/>
      <c r="V388" s="43"/>
      <c r="W388" s="42"/>
      <c r="X388" s="42"/>
      <c r="Y388" s="42"/>
      <c r="Z388" s="64"/>
      <c r="AA388" s="108"/>
      <c r="AB388" s="5"/>
      <c r="AF388" s="57"/>
    </row>
    <row r="389" customFormat="false" ht="14.25" hidden="false" customHeight="true" outlineLevel="0" collapsed="false">
      <c r="A389" s="28"/>
      <c r="B389" s="11"/>
      <c r="C389" s="11" t="s">
        <v>35</v>
      </c>
      <c r="D389" s="28"/>
      <c r="E389" s="4"/>
      <c r="G389" s="38" t="s">
        <v>470</v>
      </c>
      <c r="I389" s="9"/>
      <c r="J389" s="9"/>
      <c r="K389" s="39"/>
      <c r="T389" s="11"/>
      <c r="U389" s="9"/>
      <c r="W389" s="9"/>
      <c r="X389" s="9"/>
      <c r="Y389" s="9"/>
      <c r="Z389" s="40"/>
      <c r="AA389" s="108"/>
      <c r="AB389" s="5"/>
      <c r="AF389" s="57"/>
    </row>
    <row r="390" customFormat="false" ht="14.25" hidden="false" customHeight="true" outlineLevel="0" collapsed="false">
      <c r="A390" s="28"/>
      <c r="B390" s="11"/>
      <c r="C390" s="11" t="s">
        <v>35</v>
      </c>
      <c r="D390" s="28"/>
      <c r="E390" s="4"/>
      <c r="I390" s="9"/>
      <c r="J390" s="9"/>
      <c r="T390" s="9"/>
      <c r="U390" s="9"/>
      <c r="V390" s="63"/>
      <c r="W390" s="9"/>
      <c r="X390" s="9"/>
      <c r="Y390" s="9"/>
      <c r="Z390" s="40"/>
      <c r="AA390" s="108"/>
      <c r="AB390" s="5"/>
      <c r="AF390" s="57"/>
    </row>
    <row r="391" customFormat="false" ht="17.25" hidden="false" customHeight="true" outlineLevel="0" collapsed="false">
      <c r="A391" s="28"/>
      <c r="B391" s="11" t="s">
        <v>102</v>
      </c>
      <c r="C391" s="11" t="s">
        <v>35</v>
      </c>
      <c r="D391" s="28" t="n">
        <v>550360</v>
      </c>
      <c r="E391" s="4" t="s">
        <v>470</v>
      </c>
      <c r="F391" s="4" t="s">
        <v>169</v>
      </c>
      <c r="G391" s="5" t="s">
        <v>46</v>
      </c>
      <c r="H391" s="6" t="n">
        <v>5735</v>
      </c>
      <c r="I391" s="9" t="n">
        <f aca="false">H391</f>
        <v>5735</v>
      </c>
      <c r="J391" s="9" t="n">
        <v>5750</v>
      </c>
      <c r="K391" s="4" t="s">
        <v>319</v>
      </c>
      <c r="L391" s="7" t="n">
        <v>45240</v>
      </c>
      <c r="M391" s="8" t="n">
        <v>48892</v>
      </c>
      <c r="O391" s="8" t="n">
        <v>47067</v>
      </c>
      <c r="P391" s="8" t="n">
        <v>47066</v>
      </c>
      <c r="Q391" s="9" t="n">
        <v>282288</v>
      </c>
      <c r="R391" s="9" t="n">
        <f aca="false">Q391</f>
        <v>282288</v>
      </c>
      <c r="S391" s="42"/>
      <c r="T391" s="9" t="n">
        <v>258600</v>
      </c>
      <c r="U391" s="9" t="n">
        <f aca="false">T391</f>
        <v>258600</v>
      </c>
      <c r="V391" s="63" t="n">
        <v>282288</v>
      </c>
      <c r="W391" s="9" t="n">
        <f aca="false">V391</f>
        <v>282288</v>
      </c>
      <c r="X391" s="44" t="n">
        <f aca="false">T391/H391</f>
        <v>45.0915431560593</v>
      </c>
      <c r="Y391" s="9" t="s">
        <v>39</v>
      </c>
      <c r="Z391" s="40"/>
      <c r="AA391" s="108"/>
      <c r="AB391" s="5" t="s">
        <v>40</v>
      </c>
      <c r="AC391" s="4" t="s">
        <v>471</v>
      </c>
      <c r="AF391" s="57"/>
    </row>
    <row r="392" customFormat="false" ht="13.5" hidden="false" customHeight="true" outlineLevel="0" collapsed="false">
      <c r="A392" s="28"/>
      <c r="B392" s="11" t="s">
        <v>102</v>
      </c>
      <c r="C392" s="11" t="s">
        <v>35</v>
      </c>
      <c r="D392" s="28" t="n">
        <v>550360</v>
      </c>
      <c r="E392" s="4" t="s">
        <v>470</v>
      </c>
      <c r="F392" s="4" t="s">
        <v>85</v>
      </c>
      <c r="G392" s="5" t="s">
        <v>37</v>
      </c>
      <c r="H392" s="6" t="n">
        <v>2400</v>
      </c>
      <c r="I392" s="9" t="n">
        <f aca="false">H392</f>
        <v>2400</v>
      </c>
      <c r="J392" s="9" t="n">
        <v>2500</v>
      </c>
      <c r="K392" s="4" t="s">
        <v>325</v>
      </c>
      <c r="L392" s="7" t="n">
        <v>44665</v>
      </c>
      <c r="M392" s="8" t="n">
        <v>48852</v>
      </c>
      <c r="O392" s="8" t="n">
        <v>46491</v>
      </c>
      <c r="P392" s="8" t="n">
        <v>47026</v>
      </c>
      <c r="Q392" s="9" t="n">
        <v>152500</v>
      </c>
      <c r="R392" s="9" t="n">
        <f aca="false">Q392</f>
        <v>152500</v>
      </c>
      <c r="S392" s="42"/>
      <c r="T392" s="9" t="n">
        <v>152400</v>
      </c>
      <c r="U392" s="9" t="n">
        <f aca="false">T392</f>
        <v>152400</v>
      </c>
      <c r="V392" s="63" t="n">
        <v>152400</v>
      </c>
      <c r="W392" s="9" t="n">
        <f aca="false">V392</f>
        <v>152400</v>
      </c>
      <c r="X392" s="44" t="n">
        <f aca="false">T392/H392</f>
        <v>63.5</v>
      </c>
      <c r="Y392" s="9" t="s">
        <v>123</v>
      </c>
      <c r="Z392" s="40"/>
      <c r="AA392" s="108"/>
      <c r="AB392" s="5" t="s">
        <v>40</v>
      </c>
      <c r="AC392" s="4" t="s">
        <v>283</v>
      </c>
      <c r="AF392" s="57"/>
    </row>
    <row r="393" customFormat="false" ht="13.5" hidden="false" customHeight="true" outlineLevel="0" collapsed="false">
      <c r="A393" s="28"/>
      <c r="B393" s="11" t="s">
        <v>102</v>
      </c>
      <c r="C393" s="11" t="s">
        <v>35</v>
      </c>
      <c r="D393" s="28" t="n">
        <v>550360</v>
      </c>
      <c r="E393" s="4" t="s">
        <v>470</v>
      </c>
      <c r="F393" s="4" t="s">
        <v>89</v>
      </c>
      <c r="G393" s="5" t="s">
        <v>37</v>
      </c>
      <c r="H393" s="6" t="n">
        <v>2516</v>
      </c>
      <c r="I393" s="9" t="n">
        <f aca="false">H393</f>
        <v>2516</v>
      </c>
      <c r="J393" s="9" t="n">
        <v>2500</v>
      </c>
      <c r="K393" s="4" t="s">
        <v>325</v>
      </c>
      <c r="L393" s="7" t="n">
        <v>44445</v>
      </c>
      <c r="M393" s="8" t="n">
        <v>47026</v>
      </c>
      <c r="O393" s="8" t="n">
        <v>46271</v>
      </c>
      <c r="Q393" s="9" t="n">
        <v>150000</v>
      </c>
      <c r="R393" s="9" t="n">
        <f aca="false">Q393</f>
        <v>150000</v>
      </c>
      <c r="S393" s="42"/>
      <c r="T393" s="9" t="n">
        <v>158800</v>
      </c>
      <c r="U393" s="9" t="n">
        <f aca="false">T393</f>
        <v>158800</v>
      </c>
      <c r="V393" s="63" t="n">
        <v>159800</v>
      </c>
      <c r="W393" s="9" t="n">
        <f aca="false">V393</f>
        <v>159800</v>
      </c>
      <c r="X393" s="44" t="n">
        <f aca="false">T393/H393</f>
        <v>63.1160572337043</v>
      </c>
      <c r="Y393" s="9" t="s">
        <v>123</v>
      </c>
      <c r="Z393" s="40"/>
      <c r="AA393" s="108"/>
      <c r="AB393" s="5" t="s">
        <v>40</v>
      </c>
      <c r="AF393" s="57"/>
    </row>
    <row r="394" customFormat="false" ht="13.5" hidden="false" customHeight="true" outlineLevel="0" collapsed="false">
      <c r="A394" s="28"/>
      <c r="B394" s="11" t="s">
        <v>102</v>
      </c>
      <c r="C394" s="11" t="s">
        <v>35</v>
      </c>
      <c r="D394" s="28" t="n">
        <v>550360</v>
      </c>
      <c r="E394" s="4" t="s">
        <v>470</v>
      </c>
      <c r="F394" s="4" t="s">
        <v>472</v>
      </c>
      <c r="G394" s="5" t="s">
        <v>37</v>
      </c>
      <c r="H394" s="6" t="n">
        <v>4902</v>
      </c>
      <c r="I394" s="9" t="n">
        <f aca="false">H394</f>
        <v>4902</v>
      </c>
      <c r="J394" s="9" t="n">
        <v>5000</v>
      </c>
      <c r="K394" s="4" t="s">
        <v>325</v>
      </c>
      <c r="L394" s="7" t="n">
        <v>45259</v>
      </c>
      <c r="M394" s="8" t="n">
        <v>47026</v>
      </c>
      <c r="Q394" s="9" t="n">
        <v>307687</v>
      </c>
      <c r="R394" s="9" t="n">
        <f aca="false">Q394</f>
        <v>307687</v>
      </c>
      <c r="S394" s="42"/>
      <c r="T394" s="9" t="n">
        <v>314300</v>
      </c>
      <c r="U394" s="9" t="n">
        <f aca="false">T394</f>
        <v>314300</v>
      </c>
      <c r="V394" s="63" t="n">
        <v>311300</v>
      </c>
      <c r="W394" s="9" t="n">
        <f aca="false">V394</f>
        <v>311300</v>
      </c>
      <c r="X394" s="44" t="n">
        <f aca="false">T394/H394</f>
        <v>64.1166870665035</v>
      </c>
      <c r="Y394" s="9" t="s">
        <v>123</v>
      </c>
      <c r="Z394" s="40"/>
      <c r="AA394" s="108"/>
      <c r="AB394" s="5" t="s">
        <v>40</v>
      </c>
      <c r="AF394" s="57"/>
    </row>
    <row r="395" customFormat="false" ht="24.75" hidden="false" customHeight="true" outlineLevel="0" collapsed="false">
      <c r="A395" s="28"/>
      <c r="B395" s="11" t="s">
        <v>102</v>
      </c>
      <c r="C395" s="11" t="s">
        <v>35</v>
      </c>
      <c r="D395" s="28" t="n">
        <v>550360</v>
      </c>
      <c r="E395" s="4" t="s">
        <v>470</v>
      </c>
      <c r="F395" s="4" t="s">
        <v>176</v>
      </c>
      <c r="G395" s="5" t="s">
        <v>37</v>
      </c>
      <c r="H395" s="6" t="n">
        <v>2251</v>
      </c>
      <c r="I395" s="9" t="n">
        <f aca="false">H395</f>
        <v>2251</v>
      </c>
      <c r="J395" s="9" t="n">
        <v>2250</v>
      </c>
      <c r="K395" s="4" t="s">
        <v>325</v>
      </c>
      <c r="L395" s="7" t="n">
        <v>45259</v>
      </c>
      <c r="M395" s="8" t="n">
        <v>47026</v>
      </c>
      <c r="Q395" s="9" t="n">
        <v>138500</v>
      </c>
      <c r="R395" s="9" t="n">
        <f aca="false">Q395</f>
        <v>138500</v>
      </c>
      <c r="S395" s="42"/>
      <c r="T395" s="9" t="n">
        <v>138500</v>
      </c>
      <c r="U395" s="9" t="n">
        <f aca="false">T395</f>
        <v>138500</v>
      </c>
      <c r="V395" s="63" t="n">
        <v>140700</v>
      </c>
      <c r="W395" s="9" t="n">
        <f aca="false">V395</f>
        <v>140700</v>
      </c>
      <c r="X395" s="44" t="n">
        <f aca="false">T395/H395</f>
        <v>61.5282096845846</v>
      </c>
      <c r="Y395" s="9" t="s">
        <v>123</v>
      </c>
      <c r="Z395" s="40"/>
      <c r="AA395" s="108"/>
      <c r="AB395" s="5" t="s">
        <v>40</v>
      </c>
      <c r="AF395" s="57"/>
    </row>
    <row r="396" customFormat="false" ht="14.25" hidden="false" customHeight="true" outlineLevel="0" collapsed="false">
      <c r="A396" s="28"/>
      <c r="B396" s="11"/>
      <c r="C396" s="11" t="s">
        <v>35</v>
      </c>
      <c r="D396" s="28"/>
      <c r="E396" s="4"/>
      <c r="F396" s="45" t="s">
        <v>473</v>
      </c>
      <c r="H396" s="46"/>
      <c r="I396" s="41"/>
      <c r="J396" s="41"/>
      <c r="K396" s="47"/>
      <c r="L396" s="48"/>
      <c r="M396" s="49"/>
      <c r="N396" s="49"/>
      <c r="O396" s="49"/>
      <c r="P396" s="49"/>
      <c r="Q396" s="46"/>
      <c r="R396" s="46"/>
      <c r="S396" s="46"/>
      <c r="T396" s="46"/>
      <c r="U396" s="46"/>
      <c r="V396" s="50"/>
      <c r="W396" s="46"/>
      <c r="X396" s="46"/>
      <c r="Y396" s="46"/>
      <c r="Z396" s="51"/>
      <c r="AA396" s="108"/>
      <c r="AB396" s="5"/>
      <c r="AF396" s="57"/>
    </row>
    <row r="397" customFormat="false" ht="14.25" hidden="false" customHeight="true" outlineLevel="0" collapsed="false">
      <c r="A397" s="28"/>
      <c r="B397" s="11"/>
      <c r="C397" s="11" t="s">
        <v>35</v>
      </c>
      <c r="D397" s="28"/>
      <c r="E397" s="4"/>
      <c r="F397" s="45"/>
      <c r="H397" s="109" t="n">
        <f aca="false">SUM(H391:H395)</f>
        <v>17804</v>
      </c>
      <c r="I397" s="41"/>
      <c r="J397" s="41"/>
      <c r="K397" s="47"/>
      <c r="L397" s="48"/>
      <c r="M397" s="49"/>
      <c r="N397" s="49"/>
      <c r="O397" s="49"/>
      <c r="P397" s="49"/>
      <c r="Q397" s="109" t="n">
        <f aca="false">SUM(Q391:Q395)</f>
        <v>1030975</v>
      </c>
      <c r="R397" s="109"/>
      <c r="S397" s="42" t="n">
        <f aca="false">SUM(R391:R396)</f>
        <v>1030975</v>
      </c>
      <c r="T397" s="109" t="n">
        <f aca="false">SUM(T391:T395)</f>
        <v>1022600</v>
      </c>
      <c r="U397" s="109"/>
      <c r="V397" s="108" t="n">
        <f aca="false">SUM(V391:V395)</f>
        <v>1046488</v>
      </c>
      <c r="W397" s="109"/>
      <c r="X397" s="109"/>
      <c r="Y397" s="109"/>
      <c r="Z397" s="110"/>
      <c r="AA397" s="108" t="n">
        <v>14675000</v>
      </c>
      <c r="AB397" s="5"/>
      <c r="AE397" s="58"/>
      <c r="AF397" s="59"/>
      <c r="AG397" s="58"/>
    </row>
    <row r="398" customFormat="false" ht="14.25" hidden="false" customHeight="true" outlineLevel="0" collapsed="false">
      <c r="A398" s="28"/>
      <c r="B398" s="11"/>
      <c r="C398" s="11" t="s">
        <v>35</v>
      </c>
      <c r="D398" s="28"/>
      <c r="E398" s="4"/>
      <c r="F398" s="45"/>
      <c r="H398" s="46"/>
      <c r="I398" s="41"/>
      <c r="J398" s="41"/>
      <c r="K398" s="47"/>
      <c r="L398" s="48"/>
      <c r="M398" s="49"/>
      <c r="N398" s="49"/>
      <c r="O398" s="49"/>
      <c r="P398" s="49"/>
      <c r="Q398" s="46"/>
      <c r="R398" s="46"/>
      <c r="S398" s="46"/>
      <c r="T398" s="46"/>
      <c r="U398" s="46"/>
      <c r="V398" s="50"/>
      <c r="W398" s="46"/>
      <c r="X398" s="46"/>
      <c r="Y398" s="46"/>
      <c r="Z398" s="51"/>
      <c r="AA398" s="108"/>
      <c r="AB398" s="5"/>
      <c r="AF398" s="57"/>
    </row>
    <row r="399" customFormat="false" ht="14.25" hidden="false" customHeight="true" outlineLevel="0" collapsed="false">
      <c r="A399" s="28"/>
      <c r="B399" s="11"/>
      <c r="C399" s="11" t="s">
        <v>35</v>
      </c>
      <c r="D399" s="28"/>
      <c r="E399" s="4"/>
      <c r="G399" s="38" t="s">
        <v>474</v>
      </c>
      <c r="I399" s="9"/>
      <c r="J399" s="9"/>
      <c r="K399" s="39"/>
      <c r="T399" s="11"/>
      <c r="U399" s="9"/>
      <c r="W399" s="9"/>
      <c r="X399" s="9"/>
      <c r="Y399" s="9"/>
      <c r="Z399" s="40"/>
      <c r="AA399" s="108"/>
      <c r="AB399" s="5"/>
      <c r="AF399" s="57"/>
    </row>
    <row r="400" customFormat="false" ht="14.25" hidden="false" customHeight="true" outlineLevel="0" collapsed="false">
      <c r="A400" s="28"/>
      <c r="B400" s="11"/>
      <c r="C400" s="11" t="s">
        <v>35</v>
      </c>
      <c r="D400" s="28"/>
      <c r="E400" s="4"/>
      <c r="I400" s="9"/>
      <c r="J400" s="9"/>
      <c r="T400" s="9"/>
      <c r="U400" s="9"/>
      <c r="V400" s="63"/>
      <c r="W400" s="9"/>
      <c r="X400" s="9"/>
      <c r="Y400" s="9"/>
      <c r="Z400" s="40"/>
      <c r="AA400" s="108"/>
      <c r="AB400" s="5"/>
      <c r="AF400" s="57"/>
    </row>
    <row r="401" customFormat="false" ht="33.75" hidden="false" customHeight="true" outlineLevel="0" collapsed="false">
      <c r="A401" s="28"/>
      <c r="B401" s="11" t="s">
        <v>102</v>
      </c>
      <c r="C401" s="11" t="s">
        <v>35</v>
      </c>
      <c r="D401" s="28" t="n">
        <v>550370</v>
      </c>
      <c r="E401" s="4" t="s">
        <v>474</v>
      </c>
      <c r="F401" s="4" t="s">
        <v>475</v>
      </c>
      <c r="G401" s="5" t="s">
        <v>37</v>
      </c>
      <c r="H401" s="6" t="n">
        <v>2161</v>
      </c>
      <c r="I401" s="6" t="n">
        <f aca="false">H401</f>
        <v>2161</v>
      </c>
      <c r="J401" s="6" t="n">
        <v>2000</v>
      </c>
      <c r="K401" s="58" t="s">
        <v>476</v>
      </c>
      <c r="L401" s="78" t="n">
        <v>45887</v>
      </c>
      <c r="M401" s="79" t="n">
        <v>49538</v>
      </c>
      <c r="N401" s="79"/>
      <c r="O401" s="79" t="n">
        <v>47713</v>
      </c>
      <c r="P401" s="79" t="n">
        <v>47712</v>
      </c>
      <c r="Q401" s="63" t="n">
        <v>0</v>
      </c>
      <c r="R401" s="9" t="n">
        <f aca="false">Q401</f>
        <v>0</v>
      </c>
      <c r="T401" s="9" t="n">
        <v>53800</v>
      </c>
      <c r="U401" s="9" t="n">
        <f aca="false">T401</f>
        <v>53800</v>
      </c>
      <c r="V401" s="63" t="n">
        <v>54000</v>
      </c>
      <c r="W401" s="9" t="n">
        <f aca="false">V401</f>
        <v>54000</v>
      </c>
      <c r="X401" s="44" t="n">
        <f aca="false">T401/H401</f>
        <v>24.8958815363258</v>
      </c>
      <c r="Y401" s="9" t="s">
        <v>123</v>
      </c>
      <c r="Z401" s="40"/>
      <c r="AA401" s="108"/>
      <c r="AB401" s="5" t="s">
        <v>40</v>
      </c>
      <c r="AC401" s="58" t="s">
        <v>477</v>
      </c>
      <c r="AE401" s="4" t="n">
        <v>2</v>
      </c>
      <c r="AF401" s="57" t="n">
        <v>8</v>
      </c>
      <c r="AG401" s="4" t="s">
        <v>54</v>
      </c>
    </row>
    <row r="402" customFormat="false" ht="13.5" hidden="false" customHeight="true" outlineLevel="0" collapsed="false">
      <c r="A402" s="28"/>
      <c r="B402" s="11" t="s">
        <v>102</v>
      </c>
      <c r="C402" s="11" t="s">
        <v>35</v>
      </c>
      <c r="D402" s="28" t="n">
        <v>550370</v>
      </c>
      <c r="E402" s="4" t="s">
        <v>474</v>
      </c>
      <c r="F402" s="4" t="s">
        <v>125</v>
      </c>
      <c r="G402" s="5" t="s">
        <v>37</v>
      </c>
      <c r="H402" s="6" t="n">
        <v>2185</v>
      </c>
      <c r="I402" s="6" t="n">
        <f aca="false">H402</f>
        <v>2185</v>
      </c>
      <c r="J402" s="6" t="n">
        <v>2000</v>
      </c>
      <c r="K402" s="4" t="s">
        <v>319</v>
      </c>
      <c r="L402" s="7" t="n">
        <v>45240</v>
      </c>
      <c r="M402" s="8" t="n">
        <v>48892</v>
      </c>
      <c r="O402" s="8" t="n">
        <v>47067</v>
      </c>
      <c r="P402" s="8" t="n">
        <v>47066</v>
      </c>
      <c r="Q402" s="9" t="n">
        <v>132000</v>
      </c>
      <c r="R402" s="9" t="n">
        <f aca="false">Q402</f>
        <v>132000</v>
      </c>
      <c r="T402" s="9" t="n">
        <v>130000</v>
      </c>
      <c r="U402" s="9" t="n">
        <f aca="false">T402</f>
        <v>130000</v>
      </c>
      <c r="V402" s="63" t="n">
        <v>132000</v>
      </c>
      <c r="W402" s="9" t="n">
        <f aca="false">V402</f>
        <v>132000</v>
      </c>
      <c r="X402" s="44" t="n">
        <f aca="false">T402/H402</f>
        <v>59.4965675057208</v>
      </c>
      <c r="Y402" s="9" t="s">
        <v>39</v>
      </c>
      <c r="Z402" s="40"/>
      <c r="AA402" s="108"/>
      <c r="AB402" s="5" t="s">
        <v>40</v>
      </c>
      <c r="AC402" s="4" t="s">
        <v>478</v>
      </c>
      <c r="AF402" s="57"/>
    </row>
    <row r="403" customFormat="false" ht="14.25" hidden="false" customHeight="true" outlineLevel="0" collapsed="false">
      <c r="A403" s="28"/>
      <c r="B403" s="11" t="s">
        <v>102</v>
      </c>
      <c r="C403" s="11" t="s">
        <v>35</v>
      </c>
      <c r="D403" s="28" t="n">
        <v>550370</v>
      </c>
      <c r="E403" s="4" t="s">
        <v>474</v>
      </c>
      <c r="F403" s="4" t="s">
        <v>85</v>
      </c>
      <c r="G403" s="5" t="s">
        <v>37</v>
      </c>
      <c r="H403" s="6" t="n">
        <v>1606</v>
      </c>
      <c r="I403" s="6" t="n">
        <f aca="false">H403</f>
        <v>1606</v>
      </c>
      <c r="J403" s="6" t="n">
        <v>1500</v>
      </c>
      <c r="K403" s="4" t="s">
        <v>63</v>
      </c>
      <c r="N403" s="8" t="n">
        <v>44403</v>
      </c>
      <c r="Q403" s="9" t="n">
        <v>0</v>
      </c>
      <c r="R403" s="9" t="n">
        <f aca="false">Q403</f>
        <v>0</v>
      </c>
      <c r="T403" s="9" t="n">
        <v>85800</v>
      </c>
      <c r="U403" s="9" t="n">
        <f aca="false">T403</f>
        <v>85800</v>
      </c>
      <c r="V403" s="63" t="n">
        <v>106800</v>
      </c>
      <c r="W403" s="9" t="n">
        <f aca="false">V403</f>
        <v>106800</v>
      </c>
      <c r="X403" s="44" t="n">
        <f aca="false">T403/H403</f>
        <v>53.4246575342466</v>
      </c>
      <c r="Y403" s="9" t="s">
        <v>57</v>
      </c>
      <c r="Z403" s="40"/>
      <c r="AA403" s="108"/>
      <c r="AB403" s="5" t="s">
        <v>40</v>
      </c>
      <c r="AC403" s="4" t="s">
        <v>334</v>
      </c>
      <c r="AD403" s="15" t="n">
        <v>65</v>
      </c>
      <c r="AF403" s="57" t="n">
        <v>1</v>
      </c>
      <c r="AG403" s="4" t="s">
        <v>54</v>
      </c>
    </row>
    <row r="404" customFormat="false" ht="13.5" hidden="false" customHeight="true" outlineLevel="0" collapsed="false">
      <c r="A404" s="28"/>
      <c r="B404" s="11" t="s">
        <v>102</v>
      </c>
      <c r="C404" s="11" t="s">
        <v>35</v>
      </c>
      <c r="D404" s="28" t="n">
        <v>550370</v>
      </c>
      <c r="E404" s="4" t="s">
        <v>474</v>
      </c>
      <c r="F404" s="4" t="s">
        <v>89</v>
      </c>
      <c r="G404" s="5" t="s">
        <v>37</v>
      </c>
      <c r="H404" s="6" t="n">
        <v>1296</v>
      </c>
      <c r="I404" s="6" t="n">
        <f aca="false">H404</f>
        <v>1296</v>
      </c>
      <c r="J404" s="6" t="n">
        <v>1250</v>
      </c>
      <c r="K404" s="4" t="s">
        <v>479</v>
      </c>
      <c r="L404" s="7" t="n">
        <v>44798</v>
      </c>
      <c r="M404" s="8" t="n">
        <v>46623</v>
      </c>
      <c r="Q404" s="9" t="n">
        <v>73700</v>
      </c>
      <c r="R404" s="9" t="n">
        <f aca="false">Q404</f>
        <v>73700</v>
      </c>
      <c r="T404" s="9" t="n">
        <v>73500</v>
      </c>
      <c r="U404" s="9" t="n">
        <f aca="false">T404</f>
        <v>73500</v>
      </c>
      <c r="V404" s="63" t="n">
        <v>86200</v>
      </c>
      <c r="W404" s="9" t="n">
        <f aca="false">V404</f>
        <v>86200</v>
      </c>
      <c r="X404" s="44" t="n">
        <f aca="false">T404/H404</f>
        <v>56.712962962963</v>
      </c>
      <c r="Y404" s="9" t="s">
        <v>57</v>
      </c>
      <c r="Z404" s="40"/>
      <c r="AA404" s="108"/>
      <c r="AB404" s="5" t="s">
        <v>40</v>
      </c>
      <c r="AF404" s="57"/>
    </row>
    <row r="405" customFormat="false" ht="14.25" hidden="false" customHeight="true" outlineLevel="0" collapsed="false">
      <c r="A405" s="28"/>
      <c r="B405" s="11" t="s">
        <v>102</v>
      </c>
      <c r="C405" s="11" t="s">
        <v>35</v>
      </c>
      <c r="D405" s="28" t="n">
        <v>550370</v>
      </c>
      <c r="E405" s="4" t="s">
        <v>474</v>
      </c>
      <c r="F405" s="4" t="s">
        <v>90</v>
      </c>
      <c r="G405" s="5" t="s">
        <v>37</v>
      </c>
      <c r="H405" s="6" t="n">
        <v>1129</v>
      </c>
      <c r="I405" s="6" t="n">
        <f aca="false">H405</f>
        <v>1129</v>
      </c>
      <c r="J405" s="6" t="n">
        <v>1000</v>
      </c>
      <c r="K405" s="4" t="s">
        <v>63</v>
      </c>
      <c r="N405" s="8" t="n">
        <v>44097</v>
      </c>
      <c r="Q405" s="9" t="n">
        <v>0</v>
      </c>
      <c r="R405" s="9" t="n">
        <f aca="false">Q405</f>
        <v>0</v>
      </c>
      <c r="T405" s="9" t="n">
        <v>65600</v>
      </c>
      <c r="U405" s="9" t="n">
        <f aca="false">T405</f>
        <v>65600</v>
      </c>
      <c r="V405" s="63" t="n">
        <v>75100</v>
      </c>
      <c r="W405" s="9" t="n">
        <f aca="false">V405</f>
        <v>75100</v>
      </c>
      <c r="X405" s="44" t="n">
        <f aca="false">T405/H405</f>
        <v>58.1045172719221</v>
      </c>
      <c r="Y405" s="9" t="s">
        <v>57</v>
      </c>
      <c r="Z405" s="40"/>
      <c r="AA405" s="108"/>
      <c r="AB405" s="5" t="s">
        <v>40</v>
      </c>
      <c r="AC405" s="4" t="s">
        <v>480</v>
      </c>
      <c r="AD405" s="15" t="n">
        <v>65</v>
      </c>
      <c r="AF405" s="57"/>
    </row>
    <row r="406" customFormat="false" ht="13.5" hidden="false" customHeight="true" outlineLevel="0" collapsed="false">
      <c r="A406" s="28"/>
      <c r="B406" s="11" t="s">
        <v>102</v>
      </c>
      <c r="C406" s="11" t="s">
        <v>35</v>
      </c>
      <c r="D406" s="28" t="n">
        <v>550370</v>
      </c>
      <c r="E406" s="4" t="s">
        <v>474</v>
      </c>
      <c r="F406" s="4" t="s">
        <v>114</v>
      </c>
      <c r="G406" s="5" t="s">
        <v>37</v>
      </c>
      <c r="H406" s="6" t="n">
        <v>856</v>
      </c>
      <c r="I406" s="6" t="n">
        <f aca="false">H406</f>
        <v>856</v>
      </c>
      <c r="J406" s="6" t="n">
        <v>1000</v>
      </c>
      <c r="K406" s="4" t="s">
        <v>63</v>
      </c>
      <c r="N406" s="8" t="n">
        <v>44814</v>
      </c>
      <c r="Q406" s="9" t="n">
        <v>0</v>
      </c>
      <c r="R406" s="9" t="n">
        <f aca="false">Q406</f>
        <v>0</v>
      </c>
      <c r="T406" s="9" t="n">
        <v>45000</v>
      </c>
      <c r="U406" s="9" t="n">
        <f aca="false">T406</f>
        <v>45000</v>
      </c>
      <c r="V406" s="63" t="n">
        <v>55200</v>
      </c>
      <c r="W406" s="9" t="n">
        <f aca="false">V406</f>
        <v>55200</v>
      </c>
      <c r="X406" s="44" t="n">
        <f aca="false">T406/H406</f>
        <v>52.5700934579439</v>
      </c>
      <c r="Y406" s="9" t="s">
        <v>123</v>
      </c>
      <c r="Z406" s="40"/>
      <c r="AA406" s="108"/>
      <c r="AB406" s="5" t="s">
        <v>40</v>
      </c>
      <c r="AC406" s="4" t="s">
        <v>480</v>
      </c>
      <c r="AD406" s="15" t="n">
        <v>65</v>
      </c>
      <c r="AF406" s="57"/>
    </row>
    <row r="407" customFormat="false" ht="13.5" hidden="false" customHeight="true" outlineLevel="0" collapsed="false">
      <c r="A407" s="28"/>
      <c r="B407" s="11" t="s">
        <v>102</v>
      </c>
      <c r="C407" s="11" t="s">
        <v>35</v>
      </c>
      <c r="D407" s="28" t="n">
        <v>550370</v>
      </c>
      <c r="E407" s="4" t="s">
        <v>474</v>
      </c>
      <c r="F407" s="4" t="s">
        <v>176</v>
      </c>
      <c r="G407" s="5" t="s">
        <v>37</v>
      </c>
      <c r="H407" s="6" t="n">
        <v>766</v>
      </c>
      <c r="I407" s="6" t="n">
        <f aca="false">H407</f>
        <v>766</v>
      </c>
      <c r="J407" s="6" t="n">
        <v>750</v>
      </c>
      <c r="K407" s="4" t="s">
        <v>63</v>
      </c>
      <c r="N407" s="8" t="n">
        <v>44063</v>
      </c>
      <c r="Q407" s="9" t="n">
        <v>0</v>
      </c>
      <c r="R407" s="9" t="n">
        <f aca="false">Q407</f>
        <v>0</v>
      </c>
      <c r="T407" s="9" t="n">
        <v>39300</v>
      </c>
      <c r="U407" s="9" t="n">
        <f aca="false">T407</f>
        <v>39300</v>
      </c>
      <c r="V407" s="63" t="n">
        <v>44500</v>
      </c>
      <c r="W407" s="9" t="n">
        <f aca="false">V407</f>
        <v>44500</v>
      </c>
      <c r="X407" s="44" t="n">
        <f aca="false">T407/H407</f>
        <v>51.3054830287206</v>
      </c>
      <c r="Y407" s="9" t="s">
        <v>123</v>
      </c>
      <c r="Z407" s="40"/>
      <c r="AA407" s="108"/>
      <c r="AB407" s="5" t="s">
        <v>40</v>
      </c>
      <c r="AC407" s="4" t="s">
        <v>480</v>
      </c>
      <c r="AD407" s="15" t="n">
        <v>65</v>
      </c>
      <c r="AF407" s="57"/>
    </row>
    <row r="408" customFormat="false" ht="14.25" hidden="false" customHeight="true" outlineLevel="0" collapsed="false">
      <c r="A408" s="28"/>
      <c r="B408" s="11"/>
      <c r="C408" s="11" t="s">
        <v>35</v>
      </c>
      <c r="D408" s="28"/>
      <c r="E408" s="4"/>
      <c r="I408" s="9"/>
      <c r="J408" s="9"/>
      <c r="T408" s="9"/>
      <c r="U408" s="9"/>
      <c r="V408" s="63"/>
      <c r="W408" s="9"/>
      <c r="X408" s="9"/>
      <c r="Y408" s="9"/>
      <c r="Z408" s="40"/>
      <c r="AA408" s="108"/>
      <c r="AB408" s="5"/>
      <c r="AF408" s="57"/>
    </row>
    <row r="409" customFormat="false" ht="14.25" hidden="false" customHeight="true" outlineLevel="0" collapsed="false">
      <c r="A409" s="28"/>
      <c r="B409" s="11"/>
      <c r="C409" s="11" t="s">
        <v>35</v>
      </c>
      <c r="D409" s="28"/>
      <c r="E409" s="4"/>
      <c r="F409" s="45" t="s">
        <v>481</v>
      </c>
      <c r="H409" s="41" t="n">
        <f aca="false">SUM(H401:H407)</f>
        <v>9999</v>
      </c>
      <c r="I409" s="42"/>
      <c r="J409" s="42"/>
      <c r="Q409" s="42" t="n">
        <f aca="false">SUM(Q401:Q408)</f>
        <v>205700</v>
      </c>
      <c r="R409" s="42"/>
      <c r="S409" s="42" t="n">
        <f aca="false">SUM(R399:R408)</f>
        <v>205700</v>
      </c>
      <c r="T409" s="42" t="n">
        <f aca="false">SUM(T401:T407)</f>
        <v>493000</v>
      </c>
      <c r="U409" s="42"/>
      <c r="V409" s="43" t="n">
        <f aca="false">SUM(V401:V407)</f>
        <v>553800</v>
      </c>
      <c r="W409" s="42"/>
      <c r="X409" s="42"/>
      <c r="Y409" s="42"/>
      <c r="Z409" s="64"/>
      <c r="AA409" s="108" t="n">
        <v>7750000</v>
      </c>
      <c r="AB409" s="5"/>
      <c r="AE409" s="58"/>
      <c r="AF409" s="59"/>
      <c r="AG409" s="58"/>
    </row>
    <row r="410" customFormat="false" ht="14.25" hidden="false" customHeight="true" outlineLevel="0" collapsed="false">
      <c r="A410" s="28"/>
      <c r="B410" s="11"/>
      <c r="C410" s="11" t="s">
        <v>35</v>
      </c>
      <c r="D410" s="28"/>
      <c r="E410" s="4"/>
      <c r="H410" s="41"/>
      <c r="I410" s="42"/>
      <c r="J410" s="42"/>
      <c r="Q410" s="42"/>
      <c r="R410" s="42"/>
      <c r="S410" s="42"/>
      <c r="T410" s="42"/>
      <c r="U410" s="42"/>
      <c r="V410" s="43"/>
      <c r="W410" s="42"/>
      <c r="X410" s="42"/>
      <c r="Y410" s="42"/>
      <c r="Z410" s="64"/>
      <c r="AA410" s="62"/>
      <c r="AB410" s="5"/>
      <c r="AF410" s="57"/>
    </row>
    <row r="411" customFormat="false" ht="14.25" hidden="false" customHeight="true" outlineLevel="0" collapsed="false">
      <c r="A411" s="28"/>
      <c r="B411" s="11"/>
      <c r="C411" s="11" t="s">
        <v>35</v>
      </c>
      <c r="D411" s="28"/>
      <c r="E411" s="4"/>
      <c r="G411" s="38" t="s">
        <v>482</v>
      </c>
      <c r="I411" s="9"/>
      <c r="J411" s="9"/>
      <c r="K411" s="39"/>
      <c r="T411" s="11"/>
      <c r="U411" s="9"/>
      <c r="W411" s="9"/>
      <c r="X411" s="9"/>
      <c r="Y411" s="9"/>
      <c r="Z411" s="40"/>
      <c r="AB411" s="5"/>
      <c r="AF411" s="57"/>
    </row>
    <row r="412" customFormat="false" ht="14.25" hidden="false" customHeight="true" outlineLevel="0" collapsed="false">
      <c r="A412" s="28"/>
      <c r="B412" s="11"/>
      <c r="C412" s="11" t="s">
        <v>35</v>
      </c>
      <c r="D412" s="28"/>
      <c r="E412" s="4"/>
      <c r="G412" s="38"/>
      <c r="H412" s="72"/>
      <c r="I412" s="9"/>
      <c r="J412" s="9"/>
      <c r="T412" s="9"/>
      <c r="U412" s="9"/>
      <c r="V412" s="63"/>
      <c r="W412" s="9"/>
      <c r="X412" s="9"/>
      <c r="Y412" s="9"/>
      <c r="Z412" s="40"/>
      <c r="AB412" s="5"/>
      <c r="AF412" s="57"/>
    </row>
    <row r="413" customFormat="false" ht="22.5" hidden="false" customHeight="true" outlineLevel="0" collapsed="false">
      <c r="A413" s="28"/>
      <c r="B413" s="11" t="s">
        <v>102</v>
      </c>
      <c r="C413" s="11" t="s">
        <v>35</v>
      </c>
      <c r="D413" s="28" t="n">
        <v>550380</v>
      </c>
      <c r="E413" s="4" t="s">
        <v>482</v>
      </c>
      <c r="F413" s="4" t="s">
        <v>177</v>
      </c>
      <c r="G413" s="5" t="s">
        <v>353</v>
      </c>
      <c r="H413" s="6" t="n">
        <v>2481</v>
      </c>
      <c r="I413" s="6" t="n">
        <f aca="false">H413</f>
        <v>2481</v>
      </c>
      <c r="J413" s="6" t="n">
        <v>2500</v>
      </c>
      <c r="K413" s="111" t="s">
        <v>483</v>
      </c>
      <c r="L413" s="7" t="n">
        <v>44758</v>
      </c>
      <c r="M413" s="8" t="n">
        <v>46583</v>
      </c>
      <c r="Q413" s="9" t="n">
        <v>69440</v>
      </c>
      <c r="R413" s="9" t="n">
        <f aca="false">Q413</f>
        <v>69440</v>
      </c>
      <c r="T413" s="9" t="n">
        <v>69500</v>
      </c>
      <c r="U413" s="9" t="n">
        <f aca="false">T413</f>
        <v>69500</v>
      </c>
      <c r="V413" s="63" t="n">
        <v>69500</v>
      </c>
      <c r="W413" s="9" t="n">
        <f aca="false">V413</f>
        <v>69500</v>
      </c>
      <c r="X413" s="44" t="n">
        <f aca="false">T413/H413</f>
        <v>28.0128980249899</v>
      </c>
      <c r="Y413" s="9" t="s">
        <v>123</v>
      </c>
      <c r="Z413" s="40"/>
      <c r="AB413" s="5" t="s">
        <v>40</v>
      </c>
      <c r="AF413" s="57"/>
    </row>
    <row r="414" customFormat="false" ht="13.5" hidden="false" customHeight="true" outlineLevel="0" collapsed="false">
      <c r="A414" s="28"/>
      <c r="B414" s="11" t="s">
        <v>102</v>
      </c>
      <c r="C414" s="11" t="s">
        <v>35</v>
      </c>
      <c r="D414" s="28" t="n">
        <v>550380</v>
      </c>
      <c r="E414" s="4" t="s">
        <v>482</v>
      </c>
      <c r="F414" s="4" t="s">
        <v>484</v>
      </c>
      <c r="G414" s="5" t="s">
        <v>229</v>
      </c>
      <c r="H414" s="6" t="n">
        <v>1616</v>
      </c>
      <c r="I414" s="6" t="n">
        <f aca="false">H414</f>
        <v>1616</v>
      </c>
      <c r="J414" s="6" t="n">
        <v>1500</v>
      </c>
      <c r="K414" s="4" t="s">
        <v>319</v>
      </c>
      <c r="L414" s="7" t="n">
        <v>45240</v>
      </c>
      <c r="M414" s="8" t="n">
        <v>48892</v>
      </c>
      <c r="O414" s="8" t="n">
        <v>47067</v>
      </c>
      <c r="P414" s="8" t="n">
        <v>47066</v>
      </c>
      <c r="Q414" s="9" t="n">
        <v>85500</v>
      </c>
      <c r="R414" s="9" t="n">
        <f aca="false">Q414</f>
        <v>85500</v>
      </c>
      <c r="T414" s="9" t="n">
        <v>84800</v>
      </c>
      <c r="U414" s="9" t="n">
        <f aca="false">T414</f>
        <v>84800</v>
      </c>
      <c r="V414" s="63" t="n">
        <v>85000</v>
      </c>
      <c r="W414" s="9" t="n">
        <f aca="false">V414</f>
        <v>85000</v>
      </c>
      <c r="X414" s="44" t="n">
        <f aca="false">T414/H414</f>
        <v>52.4752475247525</v>
      </c>
      <c r="Y414" s="9" t="s">
        <v>57</v>
      </c>
      <c r="Z414" s="40"/>
      <c r="AB414" s="5" t="s">
        <v>40</v>
      </c>
      <c r="AC414" s="4" t="s">
        <v>478</v>
      </c>
      <c r="AF414" s="57"/>
    </row>
    <row r="415" customFormat="false" ht="22.5" hidden="false" customHeight="true" outlineLevel="0" collapsed="false">
      <c r="A415" s="28"/>
      <c r="B415" s="11" t="s">
        <v>102</v>
      </c>
      <c r="C415" s="11" t="s">
        <v>35</v>
      </c>
      <c r="D415" s="28" t="n">
        <v>550380</v>
      </c>
      <c r="E415" s="4" t="s">
        <v>482</v>
      </c>
      <c r="F415" s="4" t="s">
        <v>485</v>
      </c>
      <c r="G415" s="5" t="s">
        <v>353</v>
      </c>
      <c r="H415" s="6" t="n">
        <v>1485</v>
      </c>
      <c r="I415" s="6" t="n">
        <f aca="false">H415</f>
        <v>1485</v>
      </c>
      <c r="J415" s="6" t="n">
        <v>1500</v>
      </c>
      <c r="K415" s="4" t="s">
        <v>486</v>
      </c>
      <c r="L415" s="7" t="n">
        <v>45525</v>
      </c>
      <c r="M415" s="8" t="n">
        <v>47350</v>
      </c>
      <c r="P415" s="8" t="n">
        <v>46620</v>
      </c>
      <c r="Q415" s="9" t="n">
        <v>90000</v>
      </c>
      <c r="R415" s="9" t="n">
        <f aca="false">Q415</f>
        <v>90000</v>
      </c>
      <c r="T415" s="9" t="n">
        <v>78000</v>
      </c>
      <c r="U415" s="9" t="n">
        <f aca="false">T415</f>
        <v>78000</v>
      </c>
      <c r="V415" s="63" t="n">
        <v>90000</v>
      </c>
      <c r="W415" s="9" t="n">
        <f aca="false">V415</f>
        <v>90000</v>
      </c>
      <c r="X415" s="44" t="n">
        <f aca="false">T415/H415</f>
        <v>52.5252525252525</v>
      </c>
      <c r="Y415" s="9" t="s">
        <v>123</v>
      </c>
      <c r="Z415" s="40"/>
      <c r="AB415" s="5" t="s">
        <v>40</v>
      </c>
      <c r="AC415" s="4" t="s">
        <v>283</v>
      </c>
      <c r="AF415" s="57"/>
    </row>
    <row r="416" customFormat="false" ht="13.5" hidden="false" customHeight="true" outlineLevel="0" collapsed="false">
      <c r="A416" s="28"/>
      <c r="B416" s="11" t="s">
        <v>102</v>
      </c>
      <c r="C416" s="11" t="s">
        <v>35</v>
      </c>
      <c r="D416" s="28" t="n">
        <v>550380</v>
      </c>
      <c r="E416" s="4" t="s">
        <v>482</v>
      </c>
      <c r="F416" s="4" t="s">
        <v>85</v>
      </c>
      <c r="G416" s="5" t="s">
        <v>37</v>
      </c>
      <c r="H416" s="6" t="n">
        <v>1855</v>
      </c>
      <c r="I416" s="6" t="n">
        <f aca="false">H416</f>
        <v>1855</v>
      </c>
      <c r="J416" s="6" t="n">
        <v>2000</v>
      </c>
      <c r="K416" s="4" t="s">
        <v>483</v>
      </c>
      <c r="L416" s="7" t="n">
        <v>44758</v>
      </c>
      <c r="M416" s="8" t="n">
        <v>46583</v>
      </c>
      <c r="Q416" s="9" t="n">
        <v>106663</v>
      </c>
      <c r="R416" s="9" t="n">
        <f aca="false">Q416</f>
        <v>106663</v>
      </c>
      <c r="T416" s="9" t="n">
        <v>106700</v>
      </c>
      <c r="U416" s="9" t="n">
        <f aca="false">T416</f>
        <v>106700</v>
      </c>
      <c r="V416" s="63" t="n">
        <v>108500</v>
      </c>
      <c r="W416" s="9" t="n">
        <f aca="false">V416</f>
        <v>108500</v>
      </c>
      <c r="X416" s="44" t="n">
        <f aca="false">T416/H416</f>
        <v>57.5202156334232</v>
      </c>
      <c r="Y416" s="9" t="s">
        <v>123</v>
      </c>
      <c r="Z416" s="40"/>
      <c r="AB416" s="5" t="s">
        <v>40</v>
      </c>
      <c r="AF416" s="57"/>
    </row>
    <row r="417" customFormat="false" ht="24" hidden="false" customHeight="true" outlineLevel="0" collapsed="false">
      <c r="A417" s="28"/>
      <c r="B417" s="11" t="s">
        <v>102</v>
      </c>
      <c r="C417" s="11" t="s">
        <v>35</v>
      </c>
      <c r="D417" s="28" t="n">
        <v>550380</v>
      </c>
      <c r="E417" s="4" t="s">
        <v>482</v>
      </c>
      <c r="F417" s="4" t="s">
        <v>487</v>
      </c>
      <c r="G417" s="5" t="s">
        <v>37</v>
      </c>
      <c r="H417" s="6" t="n">
        <v>726</v>
      </c>
      <c r="I417" s="6" t="n">
        <f aca="false">H417</f>
        <v>726</v>
      </c>
      <c r="J417" s="6" t="n">
        <v>750</v>
      </c>
      <c r="K417" s="4" t="s">
        <v>483</v>
      </c>
      <c r="L417" s="7" t="n">
        <v>44758</v>
      </c>
      <c r="M417" s="8" t="n">
        <v>46583</v>
      </c>
      <c r="Q417" s="9" t="n">
        <v>41975</v>
      </c>
      <c r="R417" s="9" t="n">
        <f aca="false">Q417</f>
        <v>41975</v>
      </c>
      <c r="T417" s="9" t="n">
        <v>41700</v>
      </c>
      <c r="U417" s="9" t="n">
        <f aca="false">T417</f>
        <v>41700</v>
      </c>
      <c r="V417" s="63" t="n">
        <v>42500</v>
      </c>
      <c r="W417" s="9" t="n">
        <f aca="false">V417</f>
        <v>42500</v>
      </c>
      <c r="X417" s="44" t="n">
        <f aca="false">T417/H417</f>
        <v>57.4380165289256</v>
      </c>
      <c r="Y417" s="9" t="s">
        <v>123</v>
      </c>
      <c r="Z417" s="40"/>
      <c r="AB417" s="5" t="s">
        <v>40</v>
      </c>
      <c r="AF417" s="57"/>
    </row>
    <row r="418" customFormat="false" ht="23.25" hidden="false" customHeight="true" outlineLevel="0" collapsed="false">
      <c r="A418" s="28"/>
      <c r="B418" s="11" t="s">
        <v>102</v>
      </c>
      <c r="C418" s="11" t="s">
        <v>35</v>
      </c>
      <c r="D418" s="28" t="n">
        <v>550380</v>
      </c>
      <c r="E418" s="4" t="s">
        <v>482</v>
      </c>
      <c r="F418" s="4" t="s">
        <v>488</v>
      </c>
      <c r="G418" s="11" t="s">
        <v>37</v>
      </c>
      <c r="H418" s="6" t="n">
        <v>1220</v>
      </c>
      <c r="I418" s="6" t="n">
        <f aca="false">H418</f>
        <v>1220</v>
      </c>
      <c r="J418" s="6" t="n">
        <v>1250</v>
      </c>
      <c r="K418" s="4" t="s">
        <v>489</v>
      </c>
      <c r="L418" s="7" t="n">
        <v>45438</v>
      </c>
      <c r="M418" s="8" t="n">
        <v>47263</v>
      </c>
      <c r="P418" s="8" t="n">
        <v>46532</v>
      </c>
      <c r="Q418" s="9" t="n">
        <v>70200</v>
      </c>
      <c r="R418" s="9" t="n">
        <f aca="false">Q418</f>
        <v>70200</v>
      </c>
      <c r="T418" s="9" t="n">
        <v>70200</v>
      </c>
      <c r="U418" s="9" t="n">
        <f aca="false">T418</f>
        <v>70200</v>
      </c>
      <c r="V418" s="63" t="n">
        <v>71400</v>
      </c>
      <c r="W418" s="9" t="n">
        <f aca="false">V418</f>
        <v>71400</v>
      </c>
      <c r="X418" s="44" t="n">
        <f aca="false">T418/H418</f>
        <v>57.5409836065574</v>
      </c>
      <c r="Y418" s="9" t="s">
        <v>57</v>
      </c>
      <c r="Z418" s="40"/>
      <c r="AB418" s="5" t="s">
        <v>40</v>
      </c>
      <c r="AC418" s="4" t="s">
        <v>490</v>
      </c>
      <c r="AF418" s="57"/>
    </row>
    <row r="419" customFormat="false" ht="13.5" hidden="false" customHeight="true" outlineLevel="0" collapsed="false">
      <c r="A419" s="28"/>
      <c r="B419" s="11" t="s">
        <v>102</v>
      </c>
      <c r="C419" s="11" t="s">
        <v>35</v>
      </c>
      <c r="D419" s="28" t="n">
        <v>550380</v>
      </c>
      <c r="E419" s="4" t="s">
        <v>482</v>
      </c>
      <c r="F419" s="4" t="s">
        <v>90</v>
      </c>
      <c r="G419" s="5" t="s">
        <v>37</v>
      </c>
      <c r="H419" s="6" t="n">
        <v>1963</v>
      </c>
      <c r="I419" s="6" t="n">
        <f aca="false">H419</f>
        <v>1963</v>
      </c>
      <c r="J419" s="6" t="n">
        <v>2000</v>
      </c>
      <c r="K419" s="4" t="s">
        <v>483</v>
      </c>
      <c r="L419" s="7" t="n">
        <v>44758</v>
      </c>
      <c r="M419" s="8" t="n">
        <v>46583</v>
      </c>
      <c r="Q419" s="9" t="n">
        <v>107965</v>
      </c>
      <c r="R419" s="9" t="n">
        <f aca="false">Q419</f>
        <v>107965</v>
      </c>
      <c r="T419" s="9" t="n">
        <v>108000</v>
      </c>
      <c r="U419" s="9" t="n">
        <f aca="false">T419</f>
        <v>108000</v>
      </c>
      <c r="V419" s="63" t="n">
        <v>108000</v>
      </c>
      <c r="W419" s="9" t="n">
        <f aca="false">V419</f>
        <v>108000</v>
      </c>
      <c r="X419" s="44" t="n">
        <f aca="false">T419/H419</f>
        <v>55.0178298522669</v>
      </c>
      <c r="Y419" s="9" t="s">
        <v>123</v>
      </c>
      <c r="Z419" s="40"/>
      <c r="AB419" s="5" t="s">
        <v>40</v>
      </c>
      <c r="AF419" s="57"/>
    </row>
    <row r="420" customFormat="false" ht="28.5" hidden="false" customHeight="true" outlineLevel="0" collapsed="false">
      <c r="A420" s="28"/>
      <c r="B420" s="11" t="s">
        <v>102</v>
      </c>
      <c r="C420" s="11" t="s">
        <v>35</v>
      </c>
      <c r="D420" s="28" t="n">
        <v>550380</v>
      </c>
      <c r="E420" s="4" t="s">
        <v>482</v>
      </c>
      <c r="F420" s="4" t="s">
        <v>491</v>
      </c>
      <c r="G420" s="5" t="s">
        <v>37</v>
      </c>
      <c r="H420" s="6" t="n">
        <v>94</v>
      </c>
      <c r="I420" s="6" t="n">
        <f aca="false">H420</f>
        <v>94</v>
      </c>
      <c r="J420" s="6" t="n">
        <v>100</v>
      </c>
      <c r="K420" s="4" t="s">
        <v>492</v>
      </c>
      <c r="L420" s="7" t="n">
        <v>45735</v>
      </c>
      <c r="M420" s="8" t="n">
        <v>47560</v>
      </c>
      <c r="Q420" s="9" t="n">
        <v>7200</v>
      </c>
      <c r="R420" s="9" t="n">
        <f aca="false">Q420</f>
        <v>7200</v>
      </c>
      <c r="T420" s="9" t="n">
        <v>5410</v>
      </c>
      <c r="U420" s="9" t="n">
        <f aca="false">T420</f>
        <v>5410</v>
      </c>
      <c r="V420" s="63" t="n">
        <v>7200</v>
      </c>
      <c r="W420" s="9" t="n">
        <f aca="false">V420</f>
        <v>7200</v>
      </c>
      <c r="X420" s="44" t="n">
        <f aca="false">T420/H420</f>
        <v>57.5531914893617</v>
      </c>
      <c r="Y420" s="9" t="s">
        <v>123</v>
      </c>
      <c r="Z420" s="40" t="s">
        <v>25</v>
      </c>
      <c r="AB420" s="5" t="s">
        <v>40</v>
      </c>
      <c r="AC420" s="4" t="s">
        <v>493</v>
      </c>
      <c r="AF420" s="57"/>
    </row>
    <row r="421" customFormat="false" ht="13.5" hidden="false" customHeight="true" outlineLevel="0" collapsed="false">
      <c r="A421" s="28"/>
      <c r="B421" s="11" t="s">
        <v>102</v>
      </c>
      <c r="C421" s="11" t="s">
        <v>35</v>
      </c>
      <c r="D421" s="28" t="n">
        <v>550380</v>
      </c>
      <c r="E421" s="4" t="s">
        <v>482</v>
      </c>
      <c r="F421" s="4" t="s">
        <v>494</v>
      </c>
      <c r="G421" s="5" t="s">
        <v>37</v>
      </c>
      <c r="H421" s="6" t="n">
        <v>284</v>
      </c>
      <c r="I421" s="6" t="n">
        <f aca="false">H421</f>
        <v>284</v>
      </c>
      <c r="J421" s="6" t="n">
        <v>250</v>
      </c>
      <c r="K421" s="4" t="s">
        <v>63</v>
      </c>
      <c r="N421" s="8" t="n">
        <v>43909</v>
      </c>
      <c r="Q421" s="9" t="n">
        <v>0</v>
      </c>
      <c r="R421" s="9" t="n">
        <f aca="false">Q421</f>
        <v>0</v>
      </c>
      <c r="T421" s="9" t="n">
        <v>16300</v>
      </c>
      <c r="U421" s="9" t="n">
        <f aca="false">T421</f>
        <v>16300</v>
      </c>
      <c r="V421" s="63" t="n">
        <v>16300</v>
      </c>
      <c r="W421" s="9" t="n">
        <f aca="false">V421</f>
        <v>16300</v>
      </c>
      <c r="X421" s="44" t="n">
        <f aca="false">T421/H421</f>
        <v>57.3943661971831</v>
      </c>
      <c r="Y421" s="9" t="s">
        <v>123</v>
      </c>
      <c r="Z421" s="40" t="s">
        <v>25</v>
      </c>
      <c r="AB421" s="5"/>
      <c r="AC421" s="4" t="s">
        <v>115</v>
      </c>
      <c r="AF421" s="57"/>
    </row>
    <row r="422" customFormat="false" ht="13.5" hidden="false" customHeight="true" outlineLevel="0" collapsed="false">
      <c r="A422" s="28"/>
      <c r="B422" s="11" t="s">
        <v>102</v>
      </c>
      <c r="C422" s="11" t="s">
        <v>35</v>
      </c>
      <c r="D422" s="28" t="n">
        <v>550380</v>
      </c>
      <c r="E422" s="4" t="s">
        <v>482</v>
      </c>
      <c r="F422" s="4" t="s">
        <v>495</v>
      </c>
      <c r="G422" s="5" t="s">
        <v>37</v>
      </c>
      <c r="H422" s="6" t="n">
        <v>619</v>
      </c>
      <c r="I422" s="6" t="n">
        <f aca="false">H422</f>
        <v>619</v>
      </c>
      <c r="J422" s="6" t="n">
        <v>500</v>
      </c>
      <c r="K422" s="4" t="s">
        <v>63</v>
      </c>
      <c r="N422" s="8" t="n">
        <v>45678</v>
      </c>
      <c r="Q422" s="9" t="n">
        <v>0</v>
      </c>
      <c r="R422" s="9" t="n">
        <f aca="false">Q422</f>
        <v>0</v>
      </c>
      <c r="T422" s="9" t="n">
        <v>35600</v>
      </c>
      <c r="U422" s="9" t="n">
        <f aca="false">T422</f>
        <v>35600</v>
      </c>
      <c r="V422" s="63" t="n">
        <v>35600</v>
      </c>
      <c r="W422" s="9" t="n">
        <f aca="false">V422</f>
        <v>35600</v>
      </c>
      <c r="X422" s="44" t="n">
        <f aca="false">T422/H422</f>
        <v>57.5121163166397</v>
      </c>
      <c r="Y422" s="9" t="s">
        <v>123</v>
      </c>
      <c r="Z422" s="40"/>
      <c r="AB422" s="5" t="s">
        <v>40</v>
      </c>
      <c r="AC422" s="4" t="s">
        <v>64</v>
      </c>
      <c r="AF422" s="57"/>
    </row>
    <row r="423" customFormat="false" ht="17.25" hidden="false" customHeight="true" outlineLevel="0" collapsed="false">
      <c r="A423" s="28"/>
      <c r="B423" s="11" t="s">
        <v>102</v>
      </c>
      <c r="C423" s="11" t="s">
        <v>35</v>
      </c>
      <c r="D423" s="28" t="n">
        <v>550380</v>
      </c>
      <c r="E423" s="4" t="s">
        <v>482</v>
      </c>
      <c r="F423" s="4" t="s">
        <v>496</v>
      </c>
      <c r="G423" s="5" t="s">
        <v>37</v>
      </c>
      <c r="H423" s="6" t="n">
        <v>653</v>
      </c>
      <c r="I423" s="6" t="n">
        <f aca="false">H423</f>
        <v>653</v>
      </c>
      <c r="J423" s="6" t="n">
        <v>750</v>
      </c>
      <c r="K423" s="4" t="s">
        <v>63</v>
      </c>
      <c r="N423" s="8" t="n">
        <v>44555</v>
      </c>
      <c r="Q423" s="9" t="n">
        <v>0</v>
      </c>
      <c r="R423" s="9" t="n">
        <f aca="false">Q423</f>
        <v>0</v>
      </c>
      <c r="T423" s="9" t="n">
        <v>37500</v>
      </c>
      <c r="U423" s="9" t="n">
        <f aca="false">T423</f>
        <v>37500</v>
      </c>
      <c r="V423" s="63" t="n">
        <v>37500</v>
      </c>
      <c r="W423" s="9" t="n">
        <f aca="false">V423</f>
        <v>37500</v>
      </c>
      <c r="X423" s="44" t="n">
        <f aca="false">T423/H423</f>
        <v>57.427258805513</v>
      </c>
      <c r="Y423" s="9" t="s">
        <v>123</v>
      </c>
      <c r="Z423" s="40"/>
      <c r="AB423" s="5" t="s">
        <v>40</v>
      </c>
      <c r="AC423" s="4" t="s">
        <v>115</v>
      </c>
      <c r="AD423" s="15" t="n">
        <v>62.5</v>
      </c>
      <c r="AF423" s="57" t="n">
        <v>1</v>
      </c>
      <c r="AG423" s="4" t="s">
        <v>54</v>
      </c>
    </row>
    <row r="424" customFormat="false" ht="14.25" hidden="false" customHeight="true" outlineLevel="0" collapsed="false">
      <c r="A424" s="28"/>
      <c r="B424" s="11"/>
      <c r="C424" s="11" t="s">
        <v>35</v>
      </c>
      <c r="D424" s="28"/>
      <c r="E424" s="4"/>
      <c r="I424" s="9"/>
      <c r="J424" s="9"/>
      <c r="T424" s="9"/>
      <c r="U424" s="9"/>
      <c r="V424" s="63"/>
      <c r="W424" s="9"/>
      <c r="X424" s="9"/>
      <c r="Y424" s="9"/>
      <c r="Z424" s="40"/>
      <c r="AB424" s="5"/>
      <c r="AF424" s="57"/>
    </row>
    <row r="425" customFormat="false" ht="14.25" hidden="false" customHeight="true" outlineLevel="0" collapsed="false">
      <c r="A425" s="28"/>
      <c r="B425" s="11"/>
      <c r="C425" s="11" t="s">
        <v>35</v>
      </c>
      <c r="D425" s="28"/>
      <c r="E425" s="4"/>
      <c r="F425" s="45" t="s">
        <v>497</v>
      </c>
      <c r="H425" s="41" t="n">
        <f aca="false">SUM(H413:H423)</f>
        <v>12996</v>
      </c>
      <c r="I425" s="42"/>
      <c r="J425" s="42"/>
      <c r="Q425" s="42" t="n">
        <f aca="false">SUM(Q413:Q423)</f>
        <v>578943</v>
      </c>
      <c r="R425" s="42"/>
      <c r="S425" s="42" t="n">
        <f aca="false">SUM(R413:R423)</f>
        <v>578943</v>
      </c>
      <c r="T425" s="42" t="n">
        <f aca="false">SUM(T413:T423)</f>
        <v>653710</v>
      </c>
      <c r="U425" s="42"/>
      <c r="V425" s="43" t="n">
        <f aca="false">SUM(V413:V423)</f>
        <v>671500</v>
      </c>
      <c r="W425" s="42"/>
      <c r="X425" s="42"/>
      <c r="Y425" s="42"/>
      <c r="Z425" s="64"/>
      <c r="AA425" s="43" t="n">
        <v>9900000</v>
      </c>
      <c r="AB425" s="5"/>
      <c r="AF425" s="57"/>
    </row>
    <row r="426" customFormat="false" ht="14.25" hidden="false" customHeight="true" outlineLevel="0" collapsed="false">
      <c r="A426" s="28"/>
      <c r="B426" s="11"/>
      <c r="C426" s="11" t="s">
        <v>35</v>
      </c>
      <c r="D426" s="28"/>
      <c r="E426" s="4"/>
      <c r="H426" s="41"/>
      <c r="I426" s="42"/>
      <c r="J426" s="42"/>
      <c r="Q426" s="42"/>
      <c r="R426" s="42"/>
      <c r="S426" s="42"/>
      <c r="T426" s="42"/>
      <c r="U426" s="42"/>
      <c r="V426" s="43"/>
      <c r="W426" s="42"/>
      <c r="X426" s="42"/>
      <c r="Y426" s="42"/>
      <c r="Z426" s="64"/>
      <c r="AA426" s="43"/>
      <c r="AB426" s="5"/>
      <c r="AF426" s="57"/>
    </row>
    <row r="427" customFormat="false" ht="14.25" hidden="false" customHeight="true" outlineLevel="0" collapsed="false">
      <c r="A427" s="28"/>
      <c r="B427" s="11"/>
      <c r="C427" s="11" t="s">
        <v>35</v>
      </c>
      <c r="D427" s="28"/>
      <c r="E427" s="4"/>
      <c r="G427" s="38" t="s">
        <v>498</v>
      </c>
      <c r="I427" s="9"/>
      <c r="J427" s="9"/>
      <c r="K427" s="39"/>
      <c r="T427" s="11"/>
      <c r="U427" s="9"/>
      <c r="W427" s="9"/>
      <c r="X427" s="9"/>
      <c r="Y427" s="9"/>
      <c r="Z427" s="40"/>
      <c r="AA427" s="43"/>
      <c r="AB427" s="5"/>
      <c r="AF427" s="57"/>
    </row>
    <row r="428" customFormat="false" ht="14.25" hidden="false" customHeight="true" outlineLevel="0" collapsed="false">
      <c r="A428" s="28"/>
      <c r="B428" s="11"/>
      <c r="C428" s="11" t="s">
        <v>35</v>
      </c>
      <c r="D428" s="28"/>
      <c r="E428" s="4"/>
      <c r="G428" s="75"/>
      <c r="H428" s="83"/>
      <c r="I428" s="42"/>
      <c r="J428" s="42"/>
      <c r="K428" s="83"/>
      <c r="Q428" s="42"/>
      <c r="R428" s="42"/>
      <c r="S428" s="42"/>
      <c r="T428" s="42"/>
      <c r="U428" s="42"/>
      <c r="V428" s="43"/>
      <c r="W428" s="42"/>
      <c r="X428" s="42"/>
      <c r="Y428" s="42"/>
      <c r="Z428" s="64"/>
      <c r="AA428" s="43"/>
      <c r="AB428" s="5"/>
      <c r="AF428" s="57"/>
    </row>
    <row r="429" customFormat="false" ht="33.75" hidden="false" customHeight="true" outlineLevel="0" collapsed="false">
      <c r="A429" s="28"/>
      <c r="B429" s="11" t="s">
        <v>102</v>
      </c>
      <c r="C429" s="11" t="s">
        <v>35</v>
      </c>
      <c r="D429" s="28" t="n">
        <v>550950</v>
      </c>
      <c r="E429" s="4" t="s">
        <v>498</v>
      </c>
      <c r="F429" s="4" t="s">
        <v>436</v>
      </c>
      <c r="G429" s="5" t="s">
        <v>37</v>
      </c>
      <c r="H429" s="6" t="n">
        <v>2370</v>
      </c>
      <c r="I429" s="6" t="n">
        <f aca="false">H429</f>
        <v>2370</v>
      </c>
      <c r="K429" s="4" t="s">
        <v>443</v>
      </c>
      <c r="L429" s="7" t="n">
        <v>43794</v>
      </c>
      <c r="M429" s="8" t="n">
        <v>47446</v>
      </c>
      <c r="O429" s="8" t="n">
        <v>45621</v>
      </c>
      <c r="Q429" s="9" t="n">
        <v>104885</v>
      </c>
      <c r="R429" s="9" t="n">
        <f aca="false">Q429</f>
        <v>104885</v>
      </c>
      <c r="T429" s="9" t="n">
        <v>100700</v>
      </c>
      <c r="U429" s="9" t="n">
        <f aca="false">T429</f>
        <v>100700</v>
      </c>
      <c r="V429" s="63" t="n">
        <v>142200</v>
      </c>
      <c r="W429" s="9" t="n">
        <f aca="false">V429</f>
        <v>142200</v>
      </c>
      <c r="X429" s="44" t="n">
        <f aca="false">T429/H429</f>
        <v>42.4894514767933</v>
      </c>
      <c r="Y429" s="9" t="s">
        <v>57</v>
      </c>
      <c r="Z429" s="40"/>
      <c r="AA429" s="43"/>
      <c r="AB429" s="5" t="s">
        <v>40</v>
      </c>
      <c r="AC429" s="4" t="s">
        <v>499</v>
      </c>
      <c r="AF429" s="57"/>
    </row>
    <row r="430" customFormat="false" ht="13.5" hidden="false" customHeight="true" outlineLevel="0" collapsed="false">
      <c r="A430" s="28"/>
      <c r="B430" s="11" t="s">
        <v>102</v>
      </c>
      <c r="C430" s="11" t="s">
        <v>35</v>
      </c>
      <c r="D430" s="28" t="n">
        <v>550950</v>
      </c>
      <c r="E430" s="4" t="s">
        <v>498</v>
      </c>
      <c r="F430" s="4" t="s">
        <v>85</v>
      </c>
      <c r="G430" s="5" t="s">
        <v>37</v>
      </c>
      <c r="H430" s="6" t="n">
        <v>980</v>
      </c>
      <c r="I430" s="6" t="n">
        <f aca="false">H430</f>
        <v>980</v>
      </c>
      <c r="J430" s="6" t="n">
        <v>1000</v>
      </c>
      <c r="K430" s="4" t="s">
        <v>63</v>
      </c>
      <c r="N430" s="8" t="n">
        <v>43323</v>
      </c>
      <c r="Q430" s="9" t="n">
        <v>0</v>
      </c>
      <c r="R430" s="9" t="n">
        <f aca="false">Q430</f>
        <v>0</v>
      </c>
      <c r="T430" s="9" t="n">
        <v>53900</v>
      </c>
      <c r="U430" s="9" t="n">
        <f aca="false">T430</f>
        <v>53900</v>
      </c>
      <c r="V430" s="63" t="n">
        <v>56400</v>
      </c>
      <c r="W430" s="9" t="n">
        <f aca="false">V430</f>
        <v>56400</v>
      </c>
      <c r="X430" s="44" t="n">
        <f aca="false">T430/H430</f>
        <v>55</v>
      </c>
      <c r="Y430" s="9" t="s">
        <v>57</v>
      </c>
      <c r="Z430" s="40"/>
      <c r="AA430" s="43"/>
      <c r="AB430" s="5" t="s">
        <v>40</v>
      </c>
      <c r="AC430" s="4" t="s">
        <v>500</v>
      </c>
      <c r="AD430" s="15" t="n">
        <v>61.5</v>
      </c>
      <c r="AF430" s="57"/>
    </row>
    <row r="431" customFormat="false" ht="13.5" hidden="false" customHeight="true" outlineLevel="0" collapsed="false">
      <c r="A431" s="28"/>
      <c r="B431" s="11" t="s">
        <v>102</v>
      </c>
      <c r="C431" s="11" t="s">
        <v>35</v>
      </c>
      <c r="D431" s="28" t="n">
        <v>550950</v>
      </c>
      <c r="E431" s="4" t="s">
        <v>498</v>
      </c>
      <c r="F431" s="4" t="s">
        <v>89</v>
      </c>
      <c r="G431" s="5" t="s">
        <v>37</v>
      </c>
      <c r="H431" s="6" t="n">
        <v>980</v>
      </c>
      <c r="I431" s="6" t="n">
        <f aca="false">H431</f>
        <v>980</v>
      </c>
      <c r="J431" s="6" t="n">
        <v>1000</v>
      </c>
      <c r="K431" s="4" t="s">
        <v>501</v>
      </c>
      <c r="L431" s="7" t="n">
        <v>45210</v>
      </c>
      <c r="M431" s="8" t="n">
        <v>46305</v>
      </c>
      <c r="Q431" s="9" t="n">
        <v>52800</v>
      </c>
      <c r="R431" s="9" t="n">
        <f aca="false">Q431</f>
        <v>52800</v>
      </c>
      <c r="T431" s="9" t="n">
        <v>53900</v>
      </c>
      <c r="U431" s="9" t="n">
        <f aca="false">T431</f>
        <v>53900</v>
      </c>
      <c r="V431" s="63" t="n">
        <v>56400</v>
      </c>
      <c r="W431" s="9" t="n">
        <f aca="false">V431</f>
        <v>56400</v>
      </c>
      <c r="X431" s="44" t="n">
        <f aca="false">T431/H431</f>
        <v>55</v>
      </c>
      <c r="Y431" s="9" t="s">
        <v>123</v>
      </c>
      <c r="Z431" s="40"/>
      <c r="AA431" s="43"/>
      <c r="AB431" s="5" t="s">
        <v>40</v>
      </c>
      <c r="AF431" s="57"/>
    </row>
    <row r="432" customFormat="false" ht="13.5" hidden="false" customHeight="true" outlineLevel="0" collapsed="false">
      <c r="A432" s="28"/>
      <c r="B432" s="11" t="s">
        <v>102</v>
      </c>
      <c r="C432" s="11" t="s">
        <v>35</v>
      </c>
      <c r="D432" s="28" t="n">
        <v>550950</v>
      </c>
      <c r="E432" s="4" t="s">
        <v>498</v>
      </c>
      <c r="F432" s="4" t="s">
        <v>90</v>
      </c>
      <c r="G432" s="5" t="s">
        <v>37</v>
      </c>
      <c r="H432" s="6" t="n">
        <v>836</v>
      </c>
      <c r="I432" s="6" t="n">
        <f aca="false">H432</f>
        <v>836</v>
      </c>
      <c r="J432" s="6" t="n">
        <v>1000</v>
      </c>
      <c r="K432" s="4" t="s">
        <v>502</v>
      </c>
      <c r="L432" s="7" t="n">
        <v>44869</v>
      </c>
      <c r="M432" s="8" t="n">
        <v>46694</v>
      </c>
      <c r="P432" s="8" t="n">
        <v>45964</v>
      </c>
      <c r="Q432" s="9" t="n">
        <v>48300</v>
      </c>
      <c r="R432" s="9" t="n">
        <f aca="false">Q432</f>
        <v>48300</v>
      </c>
      <c r="T432" s="9" t="n">
        <v>46000</v>
      </c>
      <c r="U432" s="9" t="n">
        <f aca="false">T432</f>
        <v>46000</v>
      </c>
      <c r="V432" s="63" t="n">
        <v>48100</v>
      </c>
      <c r="W432" s="9" t="n">
        <f aca="false">V432</f>
        <v>48100</v>
      </c>
      <c r="X432" s="44" t="n">
        <f aca="false">T432/H432</f>
        <v>55.0239234449761</v>
      </c>
      <c r="Y432" s="9" t="s">
        <v>123</v>
      </c>
      <c r="Z432" s="40"/>
      <c r="AA432" s="43"/>
      <c r="AB432" s="5" t="s">
        <v>40</v>
      </c>
      <c r="AC432" s="4" t="s">
        <v>73</v>
      </c>
      <c r="AF432" s="57"/>
    </row>
    <row r="433" customFormat="false" ht="13.5" hidden="false" customHeight="true" outlineLevel="0" collapsed="false">
      <c r="A433" s="28"/>
      <c r="B433" s="11" t="s">
        <v>102</v>
      </c>
      <c r="C433" s="11" t="s">
        <v>35</v>
      </c>
      <c r="D433" s="28" t="n">
        <v>550950</v>
      </c>
      <c r="E433" s="4" t="s">
        <v>498</v>
      </c>
      <c r="F433" s="4" t="s">
        <v>114</v>
      </c>
      <c r="G433" s="5" t="s">
        <v>37</v>
      </c>
      <c r="H433" s="6" t="n">
        <v>830</v>
      </c>
      <c r="I433" s="6" t="n">
        <f aca="false">H433</f>
        <v>830</v>
      </c>
      <c r="J433" s="6" t="n">
        <v>1000</v>
      </c>
      <c r="K433" s="4" t="s">
        <v>502</v>
      </c>
      <c r="L433" s="7" t="n">
        <v>45436</v>
      </c>
      <c r="M433" s="8" t="n">
        <v>46694</v>
      </c>
      <c r="P433" s="8" t="n">
        <v>45964</v>
      </c>
      <c r="Q433" s="9" t="n">
        <v>47725</v>
      </c>
      <c r="R433" s="9" t="n">
        <f aca="false">Q433</f>
        <v>47725</v>
      </c>
      <c r="T433" s="9" t="n">
        <v>45700</v>
      </c>
      <c r="U433" s="9" t="n">
        <f aca="false">T433</f>
        <v>45700</v>
      </c>
      <c r="V433" s="63" t="n">
        <v>47700</v>
      </c>
      <c r="W433" s="9" t="n">
        <f aca="false">V433</f>
        <v>47700</v>
      </c>
      <c r="X433" s="44" t="n">
        <f aca="false">T433/H433</f>
        <v>55.0602409638554</v>
      </c>
      <c r="Y433" s="9" t="s">
        <v>57</v>
      </c>
      <c r="Z433" s="40"/>
      <c r="AA433" s="43"/>
      <c r="AB433" s="5" t="s">
        <v>40</v>
      </c>
      <c r="AC433" s="4" t="s">
        <v>73</v>
      </c>
      <c r="AF433" s="57"/>
    </row>
    <row r="434" customFormat="false" ht="13.5" hidden="false" customHeight="true" outlineLevel="0" collapsed="false">
      <c r="A434" s="28"/>
      <c r="B434" s="11" t="s">
        <v>102</v>
      </c>
      <c r="C434" s="11" t="s">
        <v>35</v>
      </c>
      <c r="D434" s="28" t="n">
        <v>550950</v>
      </c>
      <c r="E434" s="4" t="s">
        <v>498</v>
      </c>
      <c r="F434" s="4" t="s">
        <v>176</v>
      </c>
      <c r="G434" s="5" t="s">
        <v>37</v>
      </c>
      <c r="H434" s="6" t="n">
        <v>685</v>
      </c>
      <c r="I434" s="6" t="n">
        <f aca="false">H434</f>
        <v>685</v>
      </c>
      <c r="J434" s="6" t="n">
        <v>750</v>
      </c>
      <c r="K434" s="4" t="s">
        <v>63</v>
      </c>
      <c r="N434" s="8" t="n">
        <v>45627</v>
      </c>
      <c r="Q434" s="9" t="n">
        <v>0</v>
      </c>
      <c r="R434" s="9" t="n">
        <f aca="false">Q434</f>
        <v>0</v>
      </c>
      <c r="T434" s="9" t="n">
        <v>37700</v>
      </c>
      <c r="U434" s="9" t="n">
        <f aca="false">T434</f>
        <v>37700</v>
      </c>
      <c r="V434" s="63" t="n">
        <v>39400</v>
      </c>
      <c r="W434" s="9" t="n">
        <f aca="false">V434</f>
        <v>39400</v>
      </c>
      <c r="X434" s="44" t="n">
        <f aca="false">T434/H434</f>
        <v>55.036496350365</v>
      </c>
      <c r="Y434" s="9" t="s">
        <v>123</v>
      </c>
      <c r="Z434" s="40"/>
      <c r="AA434" s="43"/>
      <c r="AB434" s="5" t="s">
        <v>40</v>
      </c>
      <c r="AC434" s="4" t="s">
        <v>64</v>
      </c>
      <c r="AF434" s="57"/>
    </row>
    <row r="435" customFormat="false" ht="14.25" hidden="false" customHeight="true" outlineLevel="0" collapsed="false">
      <c r="A435" s="28"/>
      <c r="B435" s="11"/>
      <c r="C435" s="11" t="s">
        <v>35</v>
      </c>
      <c r="D435" s="28"/>
      <c r="E435" s="4"/>
      <c r="I435" s="9"/>
      <c r="J435" s="9"/>
      <c r="T435" s="9"/>
      <c r="U435" s="9"/>
      <c r="V435" s="63"/>
      <c r="W435" s="9"/>
      <c r="X435" s="9"/>
      <c r="Y435" s="9"/>
      <c r="Z435" s="40"/>
      <c r="AA435" s="43"/>
      <c r="AB435" s="5"/>
      <c r="AF435" s="57"/>
    </row>
    <row r="436" customFormat="false" ht="14.25" hidden="false" customHeight="true" outlineLevel="0" collapsed="false">
      <c r="A436" s="28"/>
      <c r="B436" s="11"/>
      <c r="C436" s="11" t="s">
        <v>35</v>
      </c>
      <c r="D436" s="28"/>
      <c r="E436" s="4"/>
      <c r="F436" s="45" t="s">
        <v>498</v>
      </c>
      <c r="H436" s="41" t="n">
        <f aca="false">SUM(H429:H434)</f>
        <v>6681</v>
      </c>
      <c r="I436" s="42"/>
      <c r="J436" s="42"/>
      <c r="Q436" s="42" t="n">
        <f aca="false">SUM(Q429:Q434)</f>
        <v>253710</v>
      </c>
      <c r="R436" s="42"/>
      <c r="S436" s="42" t="n">
        <f aca="false">SUM(R428:R435)</f>
        <v>253710</v>
      </c>
      <c r="T436" s="42" t="n">
        <f aca="false">SUM(T429:T434)</f>
        <v>337900</v>
      </c>
      <c r="U436" s="42"/>
      <c r="V436" s="43" t="n">
        <f aca="false">SUM(V429:V434)</f>
        <v>390200</v>
      </c>
      <c r="W436" s="42"/>
      <c r="X436" s="42"/>
      <c r="Y436" s="42"/>
      <c r="Z436" s="64"/>
      <c r="AA436" s="43" t="n">
        <v>5725000</v>
      </c>
      <c r="AB436" s="5"/>
      <c r="AF436" s="57"/>
    </row>
    <row r="437" customFormat="false" ht="14.25" hidden="false" customHeight="true" outlineLevel="0" collapsed="false">
      <c r="A437" s="28"/>
      <c r="B437" s="11"/>
      <c r="C437" s="11" t="s">
        <v>35</v>
      </c>
      <c r="D437" s="28"/>
      <c r="E437" s="4"/>
      <c r="I437" s="42"/>
      <c r="J437" s="42"/>
      <c r="Q437" s="42"/>
      <c r="R437" s="42"/>
      <c r="S437" s="42"/>
      <c r="T437" s="42"/>
      <c r="U437" s="42"/>
      <c r="V437" s="43"/>
      <c r="W437" s="42"/>
      <c r="X437" s="42"/>
      <c r="Y437" s="42"/>
      <c r="Z437" s="64"/>
      <c r="AA437" s="62"/>
      <c r="AB437" s="5"/>
      <c r="AF437" s="57"/>
    </row>
    <row r="438" customFormat="false" ht="14.25" hidden="false" customHeight="true" outlineLevel="0" collapsed="false">
      <c r="A438" s="28"/>
      <c r="B438" s="11"/>
      <c r="C438" s="11" t="s">
        <v>35</v>
      </c>
      <c r="D438" s="28"/>
      <c r="E438" s="4"/>
      <c r="G438" s="38" t="s">
        <v>503</v>
      </c>
      <c r="I438" s="9"/>
      <c r="J438" s="9"/>
      <c r="K438" s="39"/>
      <c r="T438" s="11"/>
      <c r="U438" s="9"/>
      <c r="W438" s="9"/>
      <c r="X438" s="9"/>
      <c r="Y438" s="9"/>
      <c r="Z438" s="40"/>
      <c r="AB438" s="5"/>
      <c r="AF438" s="57"/>
    </row>
    <row r="439" customFormat="false" ht="14.25" hidden="false" customHeight="true" outlineLevel="0" collapsed="false">
      <c r="A439" s="28"/>
      <c r="B439" s="11"/>
      <c r="C439" s="11" t="s">
        <v>35</v>
      </c>
      <c r="D439" s="28"/>
      <c r="E439" s="4"/>
      <c r="I439" s="9"/>
      <c r="J439" s="9"/>
      <c r="T439" s="11"/>
      <c r="U439" s="9"/>
      <c r="W439" s="9"/>
      <c r="X439" s="9"/>
      <c r="Y439" s="9"/>
      <c r="Z439" s="40"/>
      <c r="AB439" s="5"/>
      <c r="AF439" s="57"/>
    </row>
    <row r="440" customFormat="false" ht="39" hidden="false" customHeight="true" outlineLevel="0" collapsed="false">
      <c r="A440" s="28"/>
      <c r="B440" s="11" t="s">
        <v>102</v>
      </c>
      <c r="C440" s="11" t="s">
        <v>35</v>
      </c>
      <c r="D440" s="28" t="n">
        <v>550730</v>
      </c>
      <c r="E440" s="4" t="s">
        <v>503</v>
      </c>
      <c r="F440" s="4" t="s">
        <v>108</v>
      </c>
      <c r="G440" s="5" t="s">
        <v>229</v>
      </c>
      <c r="H440" s="6" t="n">
        <v>1946</v>
      </c>
      <c r="I440" s="6" t="n">
        <f aca="false">H440</f>
        <v>1946</v>
      </c>
      <c r="J440" s="6" t="n">
        <v>2000</v>
      </c>
      <c r="K440" s="4" t="s">
        <v>504</v>
      </c>
      <c r="L440" s="7" t="n">
        <v>45457</v>
      </c>
      <c r="M440" s="8" t="n">
        <v>47282</v>
      </c>
      <c r="P440" s="8" t="n">
        <v>46186</v>
      </c>
      <c r="Q440" s="9" t="n">
        <v>94417</v>
      </c>
      <c r="R440" s="9" t="n">
        <f aca="false">Q440</f>
        <v>94417</v>
      </c>
      <c r="T440" s="9" t="n">
        <v>86800</v>
      </c>
      <c r="U440" s="9" t="n">
        <f aca="false">T440</f>
        <v>86800</v>
      </c>
      <c r="V440" s="63" t="n">
        <v>94000</v>
      </c>
      <c r="W440" s="9" t="n">
        <f aca="false">V440</f>
        <v>94000</v>
      </c>
      <c r="X440" s="44" t="n">
        <f aca="false">T440/H440</f>
        <v>44.6043165467626</v>
      </c>
      <c r="Y440" s="9" t="s">
        <v>123</v>
      </c>
      <c r="Z440" s="40"/>
      <c r="AB440" s="5" t="s">
        <v>40</v>
      </c>
      <c r="AC440" s="4" t="s">
        <v>505</v>
      </c>
      <c r="AF440" s="57"/>
    </row>
    <row r="441" customFormat="false" ht="14.25" hidden="false" customHeight="true" outlineLevel="0" collapsed="false">
      <c r="A441" s="28"/>
      <c r="B441" s="11" t="s">
        <v>102</v>
      </c>
      <c r="C441" s="11" t="s">
        <v>35</v>
      </c>
      <c r="D441" s="28" t="n">
        <v>550730</v>
      </c>
      <c r="E441" s="4" t="s">
        <v>503</v>
      </c>
      <c r="F441" s="4" t="s">
        <v>85</v>
      </c>
      <c r="G441" s="5" t="s">
        <v>37</v>
      </c>
      <c r="H441" s="6" t="n">
        <v>804</v>
      </c>
      <c r="I441" s="6" t="n">
        <f aca="false">H441</f>
        <v>804</v>
      </c>
      <c r="J441" s="6" t="n">
        <v>750</v>
      </c>
      <c r="K441" s="4" t="s">
        <v>63</v>
      </c>
      <c r="N441" s="8" t="n">
        <v>43132</v>
      </c>
      <c r="Q441" s="9" t="n">
        <v>0</v>
      </c>
      <c r="R441" s="9" t="n">
        <f aca="false">Q441</f>
        <v>0</v>
      </c>
      <c r="T441" s="9" t="n">
        <v>44200</v>
      </c>
      <c r="U441" s="9" t="n">
        <f aca="false">T441</f>
        <v>44200</v>
      </c>
      <c r="V441" s="63" t="n">
        <v>46200</v>
      </c>
      <c r="W441" s="9" t="n">
        <f aca="false">V441</f>
        <v>46200</v>
      </c>
      <c r="X441" s="44" t="n">
        <f aca="false">T441/H441</f>
        <v>54.9751243781095</v>
      </c>
      <c r="Y441" s="9" t="s">
        <v>123</v>
      </c>
      <c r="Z441" s="40"/>
      <c r="AB441" s="5" t="s">
        <v>40</v>
      </c>
      <c r="AC441" s="58" t="s">
        <v>506</v>
      </c>
      <c r="AD441" s="15" t="n">
        <v>62.5</v>
      </c>
      <c r="AE441" s="4" t="n">
        <v>1</v>
      </c>
      <c r="AF441" s="57" t="n">
        <v>2</v>
      </c>
      <c r="AG441" s="4" t="s">
        <v>54</v>
      </c>
    </row>
    <row r="442" customFormat="false" ht="14.25" hidden="false" customHeight="true" outlineLevel="0" collapsed="false">
      <c r="A442" s="28"/>
      <c r="B442" s="11" t="s">
        <v>102</v>
      </c>
      <c r="C442" s="11" t="s">
        <v>35</v>
      </c>
      <c r="D442" s="28" t="n">
        <v>550730</v>
      </c>
      <c r="E442" s="4" t="s">
        <v>503</v>
      </c>
      <c r="F442" s="4" t="s">
        <v>89</v>
      </c>
      <c r="G442" s="5" t="s">
        <v>37</v>
      </c>
      <c r="H442" s="6" t="n">
        <v>813</v>
      </c>
      <c r="I442" s="6" t="n">
        <f aca="false">H442</f>
        <v>813</v>
      </c>
      <c r="J442" s="6" t="n">
        <v>750</v>
      </c>
      <c r="K442" s="4" t="s">
        <v>63</v>
      </c>
      <c r="N442" s="8" t="n">
        <v>42819</v>
      </c>
      <c r="Q442" s="9" t="n">
        <v>0</v>
      </c>
      <c r="R442" s="9" t="n">
        <f aca="false">Q442</f>
        <v>0</v>
      </c>
      <c r="S442" s="94"/>
      <c r="T442" s="9" t="n">
        <v>44700</v>
      </c>
      <c r="U442" s="9" t="n">
        <f aca="false">T442</f>
        <v>44700</v>
      </c>
      <c r="V442" s="63" t="n">
        <v>46700</v>
      </c>
      <c r="W442" s="9" t="n">
        <f aca="false">V442</f>
        <v>46700</v>
      </c>
      <c r="X442" s="44" t="n">
        <f aca="false">T442/H442</f>
        <v>54.9815498154982</v>
      </c>
      <c r="Y442" s="9" t="s">
        <v>123</v>
      </c>
      <c r="Z442" s="40"/>
      <c r="AB442" s="5" t="s">
        <v>40</v>
      </c>
      <c r="AC442" s="58" t="s">
        <v>506</v>
      </c>
      <c r="AD442" s="15" t="n">
        <v>62.5</v>
      </c>
      <c r="AE442" s="4" t="n">
        <v>1</v>
      </c>
      <c r="AF442" s="57" t="n">
        <v>2</v>
      </c>
      <c r="AG442" s="4" t="s">
        <v>54</v>
      </c>
    </row>
    <row r="443" customFormat="false" ht="13.5" hidden="false" customHeight="true" outlineLevel="0" collapsed="false">
      <c r="A443" s="28"/>
      <c r="B443" s="11" t="s">
        <v>102</v>
      </c>
      <c r="C443" s="11" t="s">
        <v>35</v>
      </c>
      <c r="D443" s="28" t="n">
        <v>550730</v>
      </c>
      <c r="E443" s="4" t="s">
        <v>503</v>
      </c>
      <c r="F443" s="4" t="s">
        <v>90</v>
      </c>
      <c r="G443" s="5" t="s">
        <v>37</v>
      </c>
      <c r="H443" s="6" t="n">
        <v>791</v>
      </c>
      <c r="I443" s="6" t="n">
        <f aca="false">H443</f>
        <v>791</v>
      </c>
      <c r="J443" s="6" t="n">
        <v>750</v>
      </c>
      <c r="K443" s="4" t="s">
        <v>507</v>
      </c>
      <c r="L443" s="7" t="n">
        <v>45533</v>
      </c>
      <c r="M443" s="8" t="n">
        <v>47358</v>
      </c>
      <c r="Q443" s="9" t="n">
        <v>46273</v>
      </c>
      <c r="R443" s="9" t="n">
        <f aca="false">Q443</f>
        <v>46273</v>
      </c>
      <c r="T443" s="9" t="n">
        <v>43500</v>
      </c>
      <c r="U443" s="9" t="n">
        <f aca="false">T443</f>
        <v>43500</v>
      </c>
      <c r="V443" s="63" t="n">
        <v>45500</v>
      </c>
      <c r="W443" s="9" t="n">
        <f aca="false">V443</f>
        <v>45500</v>
      </c>
      <c r="X443" s="44" t="n">
        <f aca="false">T443/H443</f>
        <v>54.9936788874842</v>
      </c>
      <c r="Y443" s="9" t="s">
        <v>123</v>
      </c>
      <c r="Z443" s="40"/>
      <c r="AB443" s="5" t="s">
        <v>40</v>
      </c>
      <c r="AE443" s="58"/>
      <c r="AF443" s="59"/>
      <c r="AG443" s="58"/>
    </row>
    <row r="444" customFormat="false" ht="13.5" hidden="false" customHeight="true" outlineLevel="0" collapsed="false">
      <c r="A444" s="28"/>
      <c r="B444" s="11" t="s">
        <v>102</v>
      </c>
      <c r="C444" s="11" t="s">
        <v>35</v>
      </c>
      <c r="D444" s="28" t="n">
        <v>550730</v>
      </c>
      <c r="E444" s="4" t="s">
        <v>503</v>
      </c>
      <c r="F444" s="4" t="s">
        <v>114</v>
      </c>
      <c r="G444" s="5" t="s">
        <v>37</v>
      </c>
      <c r="H444" s="6" t="n">
        <v>797</v>
      </c>
      <c r="I444" s="6" t="n">
        <f aca="false">H444</f>
        <v>797</v>
      </c>
      <c r="J444" s="6" t="n">
        <v>750</v>
      </c>
      <c r="K444" s="4" t="s">
        <v>63</v>
      </c>
      <c r="N444" s="8" t="n">
        <v>44439</v>
      </c>
      <c r="Q444" s="9" t="n">
        <v>0</v>
      </c>
      <c r="R444" s="9" t="n">
        <f aca="false">Q444</f>
        <v>0</v>
      </c>
      <c r="T444" s="9" t="n">
        <v>43800</v>
      </c>
      <c r="U444" s="9" t="n">
        <f aca="false">T444</f>
        <v>43800</v>
      </c>
      <c r="V444" s="63" t="n">
        <v>45800</v>
      </c>
      <c r="W444" s="9" t="n">
        <f aca="false">V444</f>
        <v>45800</v>
      </c>
      <c r="X444" s="44" t="n">
        <f aca="false">T444/H444</f>
        <v>54.9560853199498</v>
      </c>
      <c r="Y444" s="9" t="s">
        <v>123</v>
      </c>
      <c r="Z444" s="40"/>
      <c r="AB444" s="5" t="s">
        <v>40</v>
      </c>
      <c r="AC444" s="58" t="s">
        <v>506</v>
      </c>
      <c r="AD444" s="15" t="n">
        <v>62.5</v>
      </c>
      <c r="AE444" s="4" t="n">
        <v>1</v>
      </c>
      <c r="AF444" s="57" t="n">
        <v>2</v>
      </c>
      <c r="AG444" s="4" t="s">
        <v>54</v>
      </c>
    </row>
    <row r="445" customFormat="false" ht="13.5" hidden="false" customHeight="true" outlineLevel="0" collapsed="false">
      <c r="A445" s="28"/>
      <c r="B445" s="11" t="s">
        <v>102</v>
      </c>
      <c r="C445" s="11" t="s">
        <v>35</v>
      </c>
      <c r="D445" s="28" t="n">
        <v>550730</v>
      </c>
      <c r="E445" s="4" t="s">
        <v>503</v>
      </c>
      <c r="F445" s="4" t="s">
        <v>176</v>
      </c>
      <c r="G445" s="5" t="s">
        <v>37</v>
      </c>
      <c r="H445" s="6" t="n">
        <v>747</v>
      </c>
      <c r="I445" s="6" t="n">
        <f aca="false">H445</f>
        <v>747</v>
      </c>
      <c r="J445" s="6" t="n">
        <v>750</v>
      </c>
      <c r="K445" s="4" t="s">
        <v>508</v>
      </c>
      <c r="L445" s="7" t="n">
        <v>45553</v>
      </c>
      <c r="M445" s="8" t="n">
        <v>46282</v>
      </c>
      <c r="Q445" s="9" t="n">
        <v>41250</v>
      </c>
      <c r="R445" s="9" t="n">
        <f aca="false">Q445</f>
        <v>41250</v>
      </c>
      <c r="T445" s="9" t="n">
        <v>39200</v>
      </c>
      <c r="U445" s="9" t="n">
        <f aca="false">T445</f>
        <v>39200</v>
      </c>
      <c r="V445" s="63" t="n">
        <v>41250</v>
      </c>
      <c r="W445" s="9" t="n">
        <f aca="false">V445</f>
        <v>41250</v>
      </c>
      <c r="X445" s="44" t="n">
        <f aca="false">T445/H445</f>
        <v>52.4765729585007</v>
      </c>
      <c r="Y445" s="9" t="s">
        <v>123</v>
      </c>
      <c r="Z445" s="40"/>
      <c r="AB445" s="5" t="s">
        <v>40</v>
      </c>
      <c r="AF445" s="57"/>
    </row>
    <row r="446" customFormat="false" ht="14.25" hidden="false" customHeight="true" outlineLevel="0" collapsed="false">
      <c r="A446" s="28"/>
      <c r="B446" s="11"/>
      <c r="C446" s="11" t="s">
        <v>35</v>
      </c>
      <c r="D446" s="28"/>
      <c r="E446" s="4"/>
      <c r="I446" s="9"/>
      <c r="J446" s="9"/>
      <c r="T446" s="9"/>
      <c r="U446" s="9" t="n">
        <f aca="false">T446</f>
        <v>0</v>
      </c>
      <c r="V446" s="63"/>
      <c r="W446" s="9" t="n">
        <f aca="false">V446</f>
        <v>0</v>
      </c>
      <c r="X446" s="9"/>
      <c r="Y446" s="9"/>
      <c r="Z446" s="40"/>
      <c r="AB446" s="5"/>
      <c r="AF446" s="57"/>
    </row>
    <row r="447" customFormat="false" ht="14.25" hidden="false" customHeight="true" outlineLevel="0" collapsed="false">
      <c r="A447" s="28"/>
      <c r="B447" s="11"/>
      <c r="C447" s="11" t="s">
        <v>35</v>
      </c>
      <c r="D447" s="28"/>
      <c r="E447" s="4"/>
      <c r="F447" s="45" t="s">
        <v>503</v>
      </c>
      <c r="H447" s="41" t="n">
        <f aca="false">SUM(H440:H445)</f>
        <v>5898</v>
      </c>
      <c r="I447" s="42"/>
      <c r="J447" s="42"/>
      <c r="Q447" s="42" t="n">
        <f aca="false">SUM(Q440:Q445)</f>
        <v>181940</v>
      </c>
      <c r="R447" s="42"/>
      <c r="S447" s="42" t="n">
        <f aca="false">SUM(R438:R446)</f>
        <v>181940</v>
      </c>
      <c r="T447" s="42" t="n">
        <f aca="false">SUM(T440:T446)</f>
        <v>302200</v>
      </c>
      <c r="U447" s="42"/>
      <c r="V447" s="43" t="n">
        <f aca="false">SUM(V440:V446)</f>
        <v>319450</v>
      </c>
      <c r="W447" s="42"/>
      <c r="X447" s="42"/>
      <c r="Y447" s="42"/>
      <c r="Z447" s="64"/>
      <c r="AA447" s="43" t="n">
        <v>4150000</v>
      </c>
      <c r="AB447" s="5"/>
      <c r="AE447" s="58"/>
      <c r="AF447" s="59"/>
      <c r="AG447" s="58"/>
    </row>
    <row r="448" customFormat="false" ht="14.25" hidden="false" customHeight="true" outlineLevel="0" collapsed="false">
      <c r="A448" s="28"/>
      <c r="B448" s="11"/>
      <c r="C448" s="11" t="s">
        <v>35</v>
      </c>
      <c r="D448" s="28"/>
      <c r="E448" s="4"/>
      <c r="H448" s="41"/>
      <c r="I448" s="42"/>
      <c r="J448" s="42"/>
      <c r="Q448" s="42"/>
      <c r="R448" s="42"/>
      <c r="S448" s="42"/>
      <c r="T448" s="42"/>
      <c r="U448" s="42"/>
      <c r="V448" s="43"/>
      <c r="W448" s="42"/>
      <c r="X448" s="42"/>
      <c r="Y448" s="42"/>
      <c r="Z448" s="64"/>
      <c r="AA448" s="43"/>
      <c r="AB448" s="5"/>
      <c r="AF448" s="57"/>
    </row>
    <row r="449" customFormat="false" ht="14.25" hidden="false" customHeight="true" outlineLevel="0" collapsed="false">
      <c r="A449" s="28"/>
      <c r="B449" s="11"/>
      <c r="C449" s="11" t="s">
        <v>35</v>
      </c>
      <c r="D449" s="28"/>
      <c r="E449" s="4"/>
      <c r="G449" s="38" t="s">
        <v>509</v>
      </c>
      <c r="I449" s="9"/>
      <c r="J449" s="9"/>
      <c r="K449" s="39"/>
      <c r="T449" s="11"/>
      <c r="U449" s="9"/>
      <c r="W449" s="9"/>
      <c r="X449" s="9"/>
      <c r="Y449" s="9"/>
      <c r="Z449" s="40"/>
      <c r="AA449" s="43"/>
      <c r="AB449" s="5"/>
      <c r="AF449" s="57"/>
    </row>
    <row r="450" customFormat="false" ht="14.25" hidden="false" customHeight="true" outlineLevel="0" collapsed="false">
      <c r="A450" s="28"/>
      <c r="B450" s="11"/>
      <c r="C450" s="11" t="s">
        <v>35</v>
      </c>
      <c r="D450" s="28"/>
      <c r="E450" s="4"/>
      <c r="G450" s="77"/>
      <c r="H450" s="72"/>
      <c r="I450" s="9"/>
      <c r="J450" s="9"/>
      <c r="L450" s="8"/>
      <c r="T450" s="9"/>
      <c r="U450" s="9"/>
      <c r="V450" s="63"/>
      <c r="W450" s="9"/>
      <c r="X450" s="9"/>
      <c r="Y450" s="9"/>
      <c r="Z450" s="40"/>
      <c r="AA450" s="43"/>
      <c r="AB450" s="5"/>
      <c r="AF450" s="57"/>
    </row>
    <row r="451" customFormat="false" ht="14.25" hidden="false" customHeight="true" outlineLevel="0" collapsed="false">
      <c r="A451" s="28"/>
      <c r="B451" s="11" t="s">
        <v>228</v>
      </c>
      <c r="C451" s="11" t="s">
        <v>35</v>
      </c>
      <c r="D451" s="28" t="n">
        <v>550800</v>
      </c>
      <c r="E451" s="4" t="s">
        <v>509</v>
      </c>
      <c r="F451" s="4" t="s">
        <v>177</v>
      </c>
      <c r="G451" s="5" t="s">
        <v>229</v>
      </c>
      <c r="H451" s="6" t="n">
        <v>424</v>
      </c>
      <c r="I451" s="6" t="n">
        <f aca="false">H451</f>
        <v>424</v>
      </c>
      <c r="J451" s="6" t="n">
        <v>500</v>
      </c>
      <c r="K451" s="4" t="s">
        <v>510</v>
      </c>
      <c r="L451" s="7" t="n">
        <v>45262</v>
      </c>
      <c r="M451" s="8" t="n">
        <v>47088</v>
      </c>
      <c r="Q451" s="9" t="n">
        <v>11872</v>
      </c>
      <c r="R451" s="9" t="n">
        <f aca="false">Q451</f>
        <v>11872</v>
      </c>
      <c r="T451" s="9" t="n">
        <v>11660</v>
      </c>
      <c r="U451" s="9" t="n">
        <f aca="false">T451</f>
        <v>11660</v>
      </c>
      <c r="V451" s="63" t="n">
        <v>11660</v>
      </c>
      <c r="W451" s="9" t="n">
        <f aca="false">V451</f>
        <v>11660</v>
      </c>
      <c r="X451" s="44" t="n">
        <f aca="false">T451/H451</f>
        <v>27.5</v>
      </c>
      <c r="Y451" s="9" t="s">
        <v>123</v>
      </c>
      <c r="Z451" s="40"/>
      <c r="AA451" s="43"/>
      <c r="AB451" s="5" t="s">
        <v>40</v>
      </c>
      <c r="AD451" s="56"/>
      <c r="AF451" s="57"/>
    </row>
    <row r="452" customFormat="false" ht="25.5" hidden="false" customHeight="true" outlineLevel="0" collapsed="false">
      <c r="A452" s="28"/>
      <c r="B452" s="11" t="s">
        <v>228</v>
      </c>
      <c r="C452" s="11" t="s">
        <v>35</v>
      </c>
      <c r="D452" s="28" t="n">
        <v>550800</v>
      </c>
      <c r="E452" s="4" t="s">
        <v>509</v>
      </c>
      <c r="F452" s="4" t="s">
        <v>511</v>
      </c>
      <c r="G452" s="5" t="s">
        <v>46</v>
      </c>
      <c r="H452" s="6" t="n">
        <v>515</v>
      </c>
      <c r="I452" s="6" t="n">
        <f aca="false">H452</f>
        <v>515</v>
      </c>
      <c r="J452" s="6" t="n">
        <v>500</v>
      </c>
      <c r="K452" s="4" t="s">
        <v>512</v>
      </c>
      <c r="L452" s="7" t="n">
        <v>44756</v>
      </c>
      <c r="M452" s="8" t="n">
        <v>47154</v>
      </c>
      <c r="O452" s="8" t="n">
        <v>45328</v>
      </c>
      <c r="Q452" s="9" t="n">
        <v>37500</v>
      </c>
      <c r="R452" s="9" t="n">
        <f aca="false">Q452</f>
        <v>37500</v>
      </c>
      <c r="T452" s="9" t="n">
        <v>37502</v>
      </c>
      <c r="U452" s="9" t="n">
        <f aca="false">T452</f>
        <v>37502</v>
      </c>
      <c r="V452" s="63" t="n">
        <v>37500</v>
      </c>
      <c r="W452" s="9" t="n">
        <f aca="false">V452</f>
        <v>37500</v>
      </c>
      <c r="X452" s="44" t="n">
        <f aca="false">T452/H452</f>
        <v>72.8194174757282</v>
      </c>
      <c r="Y452" s="9" t="s">
        <v>52</v>
      </c>
      <c r="Z452" s="40"/>
      <c r="AA452" s="43"/>
      <c r="AB452" s="5" t="s">
        <v>40</v>
      </c>
      <c r="AF452" s="57"/>
    </row>
    <row r="453" customFormat="false" ht="13.5" hidden="false" customHeight="true" outlineLevel="0" collapsed="false">
      <c r="A453" s="28"/>
      <c r="B453" s="11" t="s">
        <v>228</v>
      </c>
      <c r="C453" s="11" t="s">
        <v>35</v>
      </c>
      <c r="D453" s="28" t="n">
        <v>550800</v>
      </c>
      <c r="E453" s="4" t="s">
        <v>509</v>
      </c>
      <c r="F453" s="4" t="s">
        <v>513</v>
      </c>
      <c r="G453" s="5" t="s">
        <v>37</v>
      </c>
      <c r="H453" s="6" t="n">
        <v>172</v>
      </c>
      <c r="I453" s="6" t="n">
        <f aca="false">H453</f>
        <v>172</v>
      </c>
      <c r="J453" s="6" t="n">
        <v>250</v>
      </c>
      <c r="K453" s="4" t="s">
        <v>514</v>
      </c>
      <c r="L453" s="7" t="n">
        <v>44750</v>
      </c>
      <c r="M453" s="8" t="n">
        <v>46575</v>
      </c>
      <c r="Q453" s="9" t="n">
        <v>9400</v>
      </c>
      <c r="R453" s="9" t="n">
        <f aca="false">Q453</f>
        <v>9400</v>
      </c>
      <c r="T453" s="9" t="n">
        <v>9460</v>
      </c>
      <c r="U453" s="9" t="n">
        <f aca="false">T453</f>
        <v>9460</v>
      </c>
      <c r="V453" s="63" t="n">
        <v>11180</v>
      </c>
      <c r="W453" s="9" t="n">
        <f aca="false">V453</f>
        <v>11180</v>
      </c>
      <c r="X453" s="44" t="n">
        <f aca="false">T453/H453</f>
        <v>55</v>
      </c>
      <c r="Y453" s="9" t="s">
        <v>123</v>
      </c>
      <c r="Z453" s="40"/>
      <c r="AA453" s="43"/>
      <c r="AB453" s="5" t="s">
        <v>40</v>
      </c>
      <c r="AF453" s="57"/>
    </row>
    <row r="454" customFormat="false" ht="13.5" hidden="false" customHeight="true" outlineLevel="0" collapsed="false">
      <c r="A454" s="28"/>
      <c r="B454" s="11" t="s">
        <v>228</v>
      </c>
      <c r="C454" s="11" t="s">
        <v>35</v>
      </c>
      <c r="D454" s="28" t="n">
        <v>550800</v>
      </c>
      <c r="E454" s="4" t="s">
        <v>509</v>
      </c>
      <c r="F454" s="4" t="s">
        <v>515</v>
      </c>
      <c r="G454" s="5" t="s">
        <v>37</v>
      </c>
      <c r="H454" s="6" t="n">
        <v>117</v>
      </c>
      <c r="I454" s="6" t="n">
        <f aca="false">H454</f>
        <v>117</v>
      </c>
      <c r="J454" s="6" t="n">
        <v>250</v>
      </c>
      <c r="K454" s="4" t="s">
        <v>516</v>
      </c>
      <c r="L454" s="7" t="n">
        <v>45194</v>
      </c>
      <c r="M454" s="8" t="n">
        <v>47020</v>
      </c>
      <c r="P454" s="8" t="n">
        <v>46289</v>
      </c>
      <c r="Q454" s="9" t="n">
        <v>7100</v>
      </c>
      <c r="R454" s="9" t="n">
        <f aca="false">Q454</f>
        <v>7100</v>
      </c>
      <c r="T454" s="9" t="n">
        <v>7000</v>
      </c>
      <c r="U454" s="9" t="n">
        <f aca="false">T454</f>
        <v>7000</v>
      </c>
      <c r="V454" s="63" t="n">
        <v>7605</v>
      </c>
      <c r="W454" s="9" t="n">
        <f aca="false">V454</f>
        <v>7605</v>
      </c>
      <c r="X454" s="44" t="n">
        <f aca="false">T454/H454</f>
        <v>59.8290598290598</v>
      </c>
      <c r="Y454" s="9" t="s">
        <v>123</v>
      </c>
      <c r="Z454" s="40"/>
      <c r="AA454" s="43"/>
      <c r="AB454" s="5" t="s">
        <v>40</v>
      </c>
      <c r="AC454" s="4" t="s">
        <v>73</v>
      </c>
      <c r="AF454" s="57"/>
    </row>
    <row r="455" customFormat="false" ht="13.5" hidden="false" customHeight="true" outlineLevel="0" collapsed="false">
      <c r="A455" s="28"/>
      <c r="B455" s="11" t="s">
        <v>228</v>
      </c>
      <c r="C455" s="11" t="s">
        <v>35</v>
      </c>
      <c r="D455" s="28" t="n">
        <v>550800</v>
      </c>
      <c r="E455" s="4" t="s">
        <v>509</v>
      </c>
      <c r="F455" s="4" t="s">
        <v>517</v>
      </c>
      <c r="G455" s="5" t="s">
        <v>37</v>
      </c>
      <c r="H455" s="6" t="n">
        <v>170</v>
      </c>
      <c r="I455" s="6" t="n">
        <f aca="false">H455</f>
        <v>170</v>
      </c>
      <c r="J455" s="6" t="n">
        <v>250</v>
      </c>
      <c r="K455" s="4" t="s">
        <v>518</v>
      </c>
      <c r="L455" s="7" t="n">
        <v>45632</v>
      </c>
      <c r="M455" s="8" t="n">
        <v>47457</v>
      </c>
      <c r="P455" s="8" t="n">
        <v>46519</v>
      </c>
      <c r="Q455" s="9" t="n">
        <v>9400</v>
      </c>
      <c r="R455" s="9" t="n">
        <f aca="false">Q455</f>
        <v>9400</v>
      </c>
      <c r="T455" s="9" t="n">
        <v>8925</v>
      </c>
      <c r="U455" s="9" t="n">
        <f aca="false">T455</f>
        <v>8925</v>
      </c>
      <c r="V455" s="63" t="n">
        <v>11050</v>
      </c>
      <c r="W455" s="9" t="n">
        <f aca="false">V455</f>
        <v>11050</v>
      </c>
      <c r="X455" s="44" t="n">
        <f aca="false">T455/H455</f>
        <v>52.5</v>
      </c>
      <c r="Y455" s="9" t="s">
        <v>123</v>
      </c>
      <c r="Z455" s="40"/>
      <c r="AA455" s="43"/>
      <c r="AB455" s="5" t="s">
        <v>40</v>
      </c>
      <c r="AC455" s="4" t="s">
        <v>519</v>
      </c>
      <c r="AF455" s="57"/>
    </row>
    <row r="456" customFormat="false" ht="13.5" hidden="false" customHeight="true" outlineLevel="0" collapsed="false">
      <c r="A456" s="28"/>
      <c r="B456" s="11" t="s">
        <v>228</v>
      </c>
      <c r="C456" s="11" t="s">
        <v>35</v>
      </c>
      <c r="D456" s="28" t="n">
        <v>550800</v>
      </c>
      <c r="E456" s="4" t="s">
        <v>509</v>
      </c>
      <c r="F456" s="4" t="s">
        <v>520</v>
      </c>
      <c r="G456" s="5" t="s">
        <v>37</v>
      </c>
      <c r="H456" s="6" t="n">
        <v>130</v>
      </c>
      <c r="I456" s="6" t="n">
        <f aca="false">H456</f>
        <v>130</v>
      </c>
      <c r="J456" s="6" t="n">
        <v>250</v>
      </c>
      <c r="K456" s="4" t="s">
        <v>521</v>
      </c>
      <c r="L456" s="7" t="n">
        <v>44762</v>
      </c>
      <c r="M456" s="8" t="n">
        <v>46587</v>
      </c>
      <c r="Q456" s="9" t="n">
        <v>7605</v>
      </c>
      <c r="R456" s="9" t="n">
        <f aca="false">Q456</f>
        <v>7605</v>
      </c>
      <c r="T456" s="9" t="n">
        <v>7605</v>
      </c>
      <c r="U456" s="9" t="n">
        <f aca="false">T456</f>
        <v>7605</v>
      </c>
      <c r="V456" s="63" t="n">
        <v>8450</v>
      </c>
      <c r="W456" s="9" t="n">
        <f aca="false">V456</f>
        <v>8450</v>
      </c>
      <c r="X456" s="44" t="n">
        <f aca="false">T456/H456</f>
        <v>58.5</v>
      </c>
      <c r="Y456" s="9" t="s">
        <v>123</v>
      </c>
      <c r="Z456" s="40"/>
      <c r="AA456" s="43"/>
      <c r="AB456" s="5" t="s">
        <v>40</v>
      </c>
      <c r="AF456" s="57"/>
    </row>
    <row r="457" customFormat="false" ht="13.5" hidden="false" customHeight="true" outlineLevel="0" collapsed="false">
      <c r="A457" s="28"/>
      <c r="B457" s="11" t="s">
        <v>228</v>
      </c>
      <c r="C457" s="11" t="s">
        <v>35</v>
      </c>
      <c r="D457" s="28" t="n">
        <v>550800</v>
      </c>
      <c r="E457" s="4" t="s">
        <v>509</v>
      </c>
      <c r="F457" s="4" t="s">
        <v>522</v>
      </c>
      <c r="G457" s="5" t="s">
        <v>235</v>
      </c>
      <c r="H457" s="6" t="n">
        <v>600</v>
      </c>
      <c r="I457" s="6" t="n">
        <f aca="false">H457</f>
        <v>600</v>
      </c>
      <c r="J457" s="6" t="n">
        <v>500</v>
      </c>
      <c r="K457" s="4" t="s">
        <v>523</v>
      </c>
      <c r="L457" s="7" t="n">
        <v>45866</v>
      </c>
      <c r="M457" s="8" t="n">
        <v>46230</v>
      </c>
      <c r="Q457" s="9" t="n">
        <v>41600</v>
      </c>
      <c r="R457" s="9" t="n">
        <f aca="false">Q457</f>
        <v>41600</v>
      </c>
      <c r="T457" s="9" t="n">
        <v>36140</v>
      </c>
      <c r="U457" s="9" t="n">
        <f aca="false">T457</f>
        <v>36140</v>
      </c>
      <c r="V457" s="63" t="n">
        <v>41600</v>
      </c>
      <c r="W457" s="9" t="n">
        <f aca="false">V457</f>
        <v>41600</v>
      </c>
      <c r="X457" s="44" t="n">
        <f aca="false">T457/H457</f>
        <v>60.2333333333333</v>
      </c>
      <c r="Y457" s="9" t="s">
        <v>123</v>
      </c>
      <c r="Z457" s="40"/>
      <c r="AA457" s="43"/>
      <c r="AB457" s="5" t="s">
        <v>40</v>
      </c>
      <c r="AF457" s="57"/>
    </row>
    <row r="458" customFormat="false" ht="14.25" hidden="false" customHeight="true" outlineLevel="0" collapsed="false">
      <c r="A458" s="28"/>
      <c r="B458" s="11"/>
      <c r="C458" s="11" t="s">
        <v>35</v>
      </c>
      <c r="D458" s="28"/>
      <c r="E458" s="4"/>
      <c r="I458" s="9"/>
      <c r="J458" s="9"/>
      <c r="T458" s="9"/>
      <c r="U458" s="9"/>
      <c r="V458" s="63"/>
      <c r="W458" s="9"/>
      <c r="X458" s="9"/>
      <c r="Y458" s="9"/>
      <c r="Z458" s="40"/>
      <c r="AA458" s="43"/>
      <c r="AB458" s="5"/>
      <c r="AF458" s="57"/>
    </row>
    <row r="459" customFormat="false" ht="14.25" hidden="false" customHeight="true" outlineLevel="0" collapsed="false">
      <c r="A459" s="28"/>
      <c r="B459" s="11"/>
      <c r="C459" s="11" t="s">
        <v>35</v>
      </c>
      <c r="D459" s="28"/>
      <c r="E459" s="4"/>
      <c r="F459" s="45" t="s">
        <v>509</v>
      </c>
      <c r="H459" s="41" t="n">
        <f aca="false">SUM(H451:H457)</f>
        <v>2128</v>
      </c>
      <c r="I459" s="42"/>
      <c r="J459" s="42"/>
      <c r="Q459" s="42" t="n">
        <f aca="false">SUM(Q451:Q457)</f>
        <v>124477</v>
      </c>
      <c r="R459" s="42"/>
      <c r="S459" s="42" t="n">
        <f aca="false">SUM(R449:R458)</f>
        <v>124477</v>
      </c>
      <c r="T459" s="42" t="n">
        <f aca="false">SUM(T451:T457)</f>
        <v>118292</v>
      </c>
      <c r="U459" s="42"/>
      <c r="V459" s="43" t="n">
        <f aca="false">SUM(V451:V457)</f>
        <v>129045</v>
      </c>
      <c r="W459" s="42"/>
      <c r="X459" s="42"/>
      <c r="Y459" s="42"/>
      <c r="Z459" s="64"/>
      <c r="AA459" s="43" t="n">
        <v>2200000</v>
      </c>
      <c r="AB459" s="5"/>
      <c r="AF459" s="57"/>
    </row>
    <row r="460" customFormat="false" ht="14.25" hidden="false" customHeight="true" outlineLevel="0" collapsed="false">
      <c r="A460" s="28"/>
      <c r="B460" s="11"/>
      <c r="C460" s="11" t="s">
        <v>35</v>
      </c>
      <c r="D460" s="28"/>
      <c r="E460" s="4"/>
      <c r="H460" s="41"/>
      <c r="I460" s="42"/>
      <c r="J460" s="42"/>
      <c r="Q460" s="42"/>
      <c r="R460" s="42"/>
      <c r="S460" s="42"/>
      <c r="T460" s="42"/>
      <c r="U460" s="42"/>
      <c r="V460" s="43"/>
      <c r="W460" s="42"/>
      <c r="X460" s="42"/>
      <c r="Y460" s="42"/>
      <c r="Z460" s="64"/>
      <c r="AA460" s="62"/>
      <c r="AB460" s="5"/>
      <c r="AF460" s="57"/>
    </row>
    <row r="461" customFormat="false" ht="14.25" hidden="false" customHeight="true" outlineLevel="0" collapsed="false">
      <c r="A461" s="28"/>
      <c r="B461" s="11"/>
      <c r="C461" s="11" t="s">
        <v>35</v>
      </c>
      <c r="D461" s="28"/>
      <c r="E461" s="4"/>
      <c r="G461" s="38" t="s">
        <v>524</v>
      </c>
      <c r="I461" s="9"/>
      <c r="J461" s="9"/>
      <c r="K461" s="39"/>
      <c r="T461" s="11"/>
      <c r="U461" s="9"/>
      <c r="W461" s="9"/>
      <c r="X461" s="9"/>
      <c r="Y461" s="9"/>
      <c r="Z461" s="40"/>
      <c r="AB461" s="5"/>
      <c r="AF461" s="57"/>
    </row>
    <row r="462" customFormat="false" ht="14.25" hidden="false" customHeight="true" outlineLevel="0" collapsed="false">
      <c r="A462" s="28"/>
      <c r="B462" s="11"/>
      <c r="C462" s="11" t="s">
        <v>35</v>
      </c>
      <c r="D462" s="28"/>
      <c r="E462" s="4"/>
      <c r="G462" s="38"/>
      <c r="H462" s="99"/>
      <c r="I462" s="9"/>
      <c r="J462" s="9"/>
      <c r="T462" s="9"/>
      <c r="U462" s="9"/>
      <c r="V462" s="63"/>
      <c r="W462" s="9"/>
      <c r="X462" s="9"/>
      <c r="Y462" s="9"/>
      <c r="Z462" s="40"/>
      <c r="AB462" s="5"/>
      <c r="AF462" s="57"/>
    </row>
    <row r="463" customFormat="false" ht="13.5" hidden="false" customHeight="true" outlineLevel="0" collapsed="false">
      <c r="A463" s="28"/>
      <c r="B463" s="11" t="s">
        <v>44</v>
      </c>
      <c r="C463" s="11" t="s">
        <v>35</v>
      </c>
      <c r="D463" s="28" t="n">
        <v>550550</v>
      </c>
      <c r="E463" s="4" t="s">
        <v>524</v>
      </c>
      <c r="F463" s="4" t="s">
        <v>525</v>
      </c>
      <c r="G463" s="5" t="s">
        <v>526</v>
      </c>
      <c r="H463" s="6" t="n">
        <v>3664</v>
      </c>
      <c r="I463" s="6" t="n">
        <f aca="false">H463</f>
        <v>3664</v>
      </c>
      <c r="J463" s="6" t="n">
        <v>3500</v>
      </c>
      <c r="K463" s="4" t="s">
        <v>527</v>
      </c>
      <c r="L463" s="7" t="n">
        <v>40946</v>
      </c>
      <c r="M463" s="7" t="n">
        <v>46424</v>
      </c>
      <c r="N463" s="7"/>
      <c r="Q463" s="9" t="n">
        <v>230000</v>
      </c>
      <c r="R463" s="9" t="n">
        <f aca="false">Q463</f>
        <v>230000</v>
      </c>
      <c r="T463" s="9" t="n">
        <v>225000</v>
      </c>
      <c r="U463" s="9" t="n">
        <f aca="false">T463</f>
        <v>225000</v>
      </c>
      <c r="V463" s="63" t="n">
        <v>201500</v>
      </c>
      <c r="W463" s="9" t="n">
        <f aca="false">V463</f>
        <v>201500</v>
      </c>
      <c r="X463" s="44" t="n">
        <f aca="false">T463/H463</f>
        <v>61.4082969432314</v>
      </c>
      <c r="Y463" s="9" t="s">
        <v>52</v>
      </c>
      <c r="Z463" s="40"/>
      <c r="AB463" s="5" t="s">
        <v>40</v>
      </c>
      <c r="AC463" s="4" t="s">
        <v>528</v>
      </c>
      <c r="AF463" s="57"/>
    </row>
    <row r="464" customFormat="false" ht="13.5" hidden="false" customHeight="true" outlineLevel="0" collapsed="false">
      <c r="A464" s="28"/>
      <c r="B464" s="11" t="s">
        <v>44</v>
      </c>
      <c r="C464" s="11" t="s">
        <v>35</v>
      </c>
      <c r="D464" s="28" t="n">
        <v>550550</v>
      </c>
      <c r="E464" s="4" t="s">
        <v>524</v>
      </c>
      <c r="F464" s="4" t="s">
        <v>529</v>
      </c>
      <c r="G464" s="5" t="s">
        <v>46</v>
      </c>
      <c r="H464" s="6" t="n">
        <v>1496</v>
      </c>
      <c r="I464" s="6" t="n">
        <f aca="false">H464</f>
        <v>1496</v>
      </c>
      <c r="J464" s="6" t="n">
        <v>1500</v>
      </c>
      <c r="K464" s="4" t="s">
        <v>530</v>
      </c>
      <c r="L464" s="7" t="n">
        <v>45178</v>
      </c>
      <c r="M464" s="8" t="n">
        <v>47004</v>
      </c>
      <c r="Q464" s="9" t="n">
        <v>53200</v>
      </c>
      <c r="R464" s="9" t="n">
        <f aca="false">Q464</f>
        <v>53200</v>
      </c>
      <c r="T464" s="9" t="n">
        <v>53200</v>
      </c>
      <c r="U464" s="9" t="n">
        <f aca="false">T464</f>
        <v>53200</v>
      </c>
      <c r="V464" s="63" t="n">
        <v>58000</v>
      </c>
      <c r="W464" s="9" t="n">
        <f aca="false">V464</f>
        <v>58000</v>
      </c>
      <c r="X464" s="44" t="n">
        <f aca="false">T464/H464</f>
        <v>35.5614973262032</v>
      </c>
      <c r="Y464" s="9" t="s">
        <v>52</v>
      </c>
      <c r="Z464" s="40"/>
      <c r="AB464" s="5" t="s">
        <v>40</v>
      </c>
      <c r="AC464" s="4" t="s">
        <v>531</v>
      </c>
      <c r="AF464" s="57"/>
    </row>
    <row r="465" customFormat="false" ht="13.5" hidden="false" customHeight="true" outlineLevel="0" collapsed="false">
      <c r="A465" s="28"/>
      <c r="B465" s="11" t="s">
        <v>44</v>
      </c>
      <c r="C465" s="11" t="s">
        <v>35</v>
      </c>
      <c r="D465" s="28" t="n">
        <v>550550</v>
      </c>
      <c r="E465" s="4" t="s">
        <v>524</v>
      </c>
      <c r="F465" s="4" t="s">
        <v>532</v>
      </c>
      <c r="G465" s="5" t="s">
        <v>130</v>
      </c>
      <c r="H465" s="6" t="n">
        <v>1592</v>
      </c>
      <c r="I465" s="6" t="n">
        <f aca="false">H465</f>
        <v>1592</v>
      </c>
      <c r="J465" s="6" t="n">
        <v>1500</v>
      </c>
      <c r="K465" s="4" t="s">
        <v>533</v>
      </c>
      <c r="L465" s="7" t="n">
        <v>44663</v>
      </c>
      <c r="M465" s="8" t="n">
        <v>50141</v>
      </c>
      <c r="O465" s="8" t="n">
        <v>46489</v>
      </c>
      <c r="P465" s="8" t="n">
        <v>48315</v>
      </c>
      <c r="Q465" s="9" t="n">
        <v>95000</v>
      </c>
      <c r="R465" s="9" t="n">
        <f aca="false">Q465</f>
        <v>95000</v>
      </c>
      <c r="T465" s="9" t="n">
        <v>100500</v>
      </c>
      <c r="U465" s="9" t="n">
        <f aca="false">T465</f>
        <v>100500</v>
      </c>
      <c r="V465" s="63" t="n">
        <v>95500</v>
      </c>
      <c r="W465" s="9" t="n">
        <f aca="false">V465</f>
        <v>95500</v>
      </c>
      <c r="X465" s="44" t="n">
        <f aca="false">T465/H465</f>
        <v>63.1281407035176</v>
      </c>
      <c r="Y465" s="63" t="s">
        <v>52</v>
      </c>
      <c r="Z465" s="40"/>
      <c r="AB465" s="5" t="s">
        <v>40</v>
      </c>
      <c r="AC465" s="4" t="s">
        <v>534</v>
      </c>
      <c r="AF465" s="57"/>
    </row>
    <row r="466" customFormat="false" ht="13.5" hidden="false" customHeight="true" outlineLevel="0" collapsed="false">
      <c r="A466" s="28"/>
      <c r="B466" s="11" t="s">
        <v>44</v>
      </c>
      <c r="C466" s="11" t="s">
        <v>35</v>
      </c>
      <c r="D466" s="28" t="n">
        <v>550550</v>
      </c>
      <c r="E466" s="4" t="s">
        <v>524</v>
      </c>
      <c r="F466" s="4" t="s">
        <v>535</v>
      </c>
      <c r="G466" s="5" t="s">
        <v>46</v>
      </c>
      <c r="H466" s="6" t="n">
        <v>1704</v>
      </c>
      <c r="I466" s="6" t="n">
        <f aca="false">H466</f>
        <v>1704</v>
      </c>
      <c r="J466" s="6" t="n">
        <v>1750</v>
      </c>
      <c r="K466" s="4" t="s">
        <v>536</v>
      </c>
      <c r="L466" s="7" t="n">
        <v>45111</v>
      </c>
      <c r="M466" s="8" t="n">
        <v>48763</v>
      </c>
      <c r="O466" s="8" t="n">
        <v>46938</v>
      </c>
      <c r="Q466" s="9" t="n">
        <v>105000</v>
      </c>
      <c r="R466" s="9" t="n">
        <f aca="false">Q466</f>
        <v>105000</v>
      </c>
      <c r="T466" s="9" t="n">
        <v>96300</v>
      </c>
      <c r="U466" s="9" t="n">
        <f aca="false">T466</f>
        <v>96300</v>
      </c>
      <c r="V466" s="63" t="n">
        <v>102200</v>
      </c>
      <c r="W466" s="9" t="n">
        <f aca="false">V466</f>
        <v>102200</v>
      </c>
      <c r="X466" s="44" t="n">
        <f aca="false">T466/H466</f>
        <v>56.5140845070423</v>
      </c>
      <c r="Y466" s="9" t="s">
        <v>52</v>
      </c>
      <c r="Z466" s="40"/>
      <c r="AB466" s="5" t="s">
        <v>40</v>
      </c>
      <c r="AF466" s="57"/>
    </row>
    <row r="467" customFormat="false" ht="13.5" hidden="false" customHeight="true" outlineLevel="0" collapsed="false">
      <c r="A467" s="28"/>
      <c r="B467" s="11" t="s">
        <v>44</v>
      </c>
      <c r="C467" s="11" t="s">
        <v>35</v>
      </c>
      <c r="D467" s="28" t="n">
        <v>550550</v>
      </c>
      <c r="E467" s="4" t="s">
        <v>524</v>
      </c>
      <c r="F467" s="4" t="s">
        <v>135</v>
      </c>
      <c r="G467" s="5" t="s">
        <v>537</v>
      </c>
      <c r="H467" s="6" t="n">
        <v>2955</v>
      </c>
      <c r="I467" s="6" t="n">
        <f aca="false">H467</f>
        <v>2955</v>
      </c>
      <c r="J467" s="6" t="n">
        <v>3000</v>
      </c>
      <c r="K467" s="4" t="s">
        <v>538</v>
      </c>
      <c r="L467" s="7" t="n">
        <v>45329</v>
      </c>
      <c r="M467" s="8" t="n">
        <v>46059</v>
      </c>
      <c r="Q467" s="9" t="n">
        <v>150000</v>
      </c>
      <c r="R467" s="9" t="n">
        <f aca="false">Q467</f>
        <v>150000</v>
      </c>
      <c r="T467" s="9" t="n">
        <v>180000</v>
      </c>
      <c r="U467" s="9" t="n">
        <f aca="false">T467</f>
        <v>180000</v>
      </c>
      <c r="V467" s="63" t="n">
        <v>177300</v>
      </c>
      <c r="W467" s="9" t="n">
        <f aca="false">V467</f>
        <v>177300</v>
      </c>
      <c r="X467" s="44" t="n">
        <f aca="false">T467/H467</f>
        <v>60.9137055837564</v>
      </c>
      <c r="Y467" s="9" t="s">
        <v>39</v>
      </c>
      <c r="Z467" s="40"/>
      <c r="AB467" s="5" t="s">
        <v>40</v>
      </c>
      <c r="AF467" s="57"/>
    </row>
    <row r="468" customFormat="false" ht="13.5" hidden="false" customHeight="true" outlineLevel="0" collapsed="false">
      <c r="A468" s="28"/>
      <c r="B468" s="11" t="s">
        <v>44</v>
      </c>
      <c r="C468" s="11" t="s">
        <v>35</v>
      </c>
      <c r="D468" s="28" t="n">
        <v>550550</v>
      </c>
      <c r="E468" s="4" t="s">
        <v>524</v>
      </c>
      <c r="F468" s="4" t="s">
        <v>133</v>
      </c>
      <c r="G468" s="5" t="s">
        <v>37</v>
      </c>
      <c r="H468" s="6" t="n">
        <v>388</v>
      </c>
      <c r="I468" s="6" t="n">
        <f aca="false">H468</f>
        <v>388</v>
      </c>
      <c r="J468" s="6" t="n">
        <v>500</v>
      </c>
      <c r="K468" s="4" t="s">
        <v>539</v>
      </c>
      <c r="L468" s="7" t="n">
        <v>45429</v>
      </c>
      <c r="M468" s="8" t="n">
        <v>47254</v>
      </c>
      <c r="P468" s="8" t="n">
        <v>46158</v>
      </c>
      <c r="Q468" s="9" t="n">
        <v>20520</v>
      </c>
      <c r="R468" s="9" t="n">
        <f aca="false">Q468</f>
        <v>20520</v>
      </c>
      <c r="T468" s="9" t="n">
        <v>19000</v>
      </c>
      <c r="U468" s="9" t="n">
        <f aca="false">T468</f>
        <v>19000</v>
      </c>
      <c r="V468" s="63" t="n">
        <v>21000</v>
      </c>
      <c r="W468" s="9" t="n">
        <f aca="false">V468</f>
        <v>21000</v>
      </c>
      <c r="X468" s="44" t="n">
        <f aca="false">T468/H468</f>
        <v>48.9690721649485</v>
      </c>
      <c r="Y468" s="9" t="s">
        <v>39</v>
      </c>
      <c r="Z468" s="40"/>
      <c r="AB468" s="5" t="s">
        <v>40</v>
      </c>
      <c r="AC468" s="4" t="s">
        <v>73</v>
      </c>
      <c r="AF468" s="57"/>
    </row>
    <row r="469" customFormat="false" ht="24" hidden="false" customHeight="true" outlineLevel="0" collapsed="false">
      <c r="A469" s="28"/>
      <c r="B469" s="11" t="s">
        <v>44</v>
      </c>
      <c r="C469" s="11" t="s">
        <v>35</v>
      </c>
      <c r="D469" s="28" t="n">
        <v>550550</v>
      </c>
      <c r="E469" s="4" t="s">
        <v>524</v>
      </c>
      <c r="F469" s="4" t="s">
        <v>540</v>
      </c>
      <c r="G469" s="5" t="s">
        <v>37</v>
      </c>
      <c r="H469" s="6" t="n">
        <v>395</v>
      </c>
      <c r="I469" s="6" t="n">
        <f aca="false">H469</f>
        <v>395</v>
      </c>
      <c r="J469" s="6" t="n">
        <v>500</v>
      </c>
      <c r="K469" s="4" t="s">
        <v>541</v>
      </c>
      <c r="L469" s="7" t="n">
        <v>45450</v>
      </c>
      <c r="M469" s="8" t="n">
        <v>47275</v>
      </c>
      <c r="P469" s="8" t="n">
        <v>46574</v>
      </c>
      <c r="Q469" s="9" t="n">
        <v>21850</v>
      </c>
      <c r="R469" s="9" t="n">
        <f aca="false">Q469</f>
        <v>21850</v>
      </c>
      <c r="T469" s="9" t="n">
        <v>18900</v>
      </c>
      <c r="U469" s="9" t="n">
        <f aca="false">T469</f>
        <v>18900</v>
      </c>
      <c r="V469" s="63" t="n">
        <v>22700</v>
      </c>
      <c r="W469" s="9" t="n">
        <f aca="false">V469</f>
        <v>22700</v>
      </c>
      <c r="X469" s="44" t="n">
        <f aca="false">T469/H469</f>
        <v>47.8481012658228</v>
      </c>
      <c r="Y469" s="9" t="s">
        <v>39</v>
      </c>
      <c r="Z469" s="40"/>
      <c r="AB469" s="5" t="s">
        <v>40</v>
      </c>
      <c r="AC469" s="4" t="s">
        <v>542</v>
      </c>
      <c r="AF469" s="57"/>
    </row>
    <row r="470" customFormat="false" ht="22.5" hidden="false" customHeight="true" outlineLevel="0" collapsed="false">
      <c r="A470" s="28"/>
      <c r="B470" s="11" t="s">
        <v>44</v>
      </c>
      <c r="C470" s="11" t="s">
        <v>35</v>
      </c>
      <c r="D470" s="28" t="n">
        <v>550550</v>
      </c>
      <c r="E470" s="4" t="s">
        <v>524</v>
      </c>
      <c r="F470" s="4" t="s">
        <v>138</v>
      </c>
      <c r="G470" s="5" t="s">
        <v>37</v>
      </c>
      <c r="H470" s="6" t="n">
        <v>2610</v>
      </c>
      <c r="I470" s="6" t="n">
        <f aca="false">H470</f>
        <v>2610</v>
      </c>
      <c r="J470" s="6" t="n">
        <v>2500</v>
      </c>
      <c r="K470" s="4" t="s">
        <v>543</v>
      </c>
      <c r="L470" s="7" t="n">
        <v>45846</v>
      </c>
      <c r="M470" s="8" t="n">
        <v>48402</v>
      </c>
      <c r="O470" s="8" t="n">
        <v>47672</v>
      </c>
      <c r="P470" s="8" t="n">
        <v>47671</v>
      </c>
      <c r="Q470" s="9" t="n">
        <v>0</v>
      </c>
      <c r="R470" s="9" t="n">
        <f aca="false">Q470</f>
        <v>0</v>
      </c>
      <c r="T470" s="9" t="n">
        <v>182500</v>
      </c>
      <c r="U470" s="9" t="n">
        <f aca="false">T470</f>
        <v>182500</v>
      </c>
      <c r="V470" s="63" t="n">
        <v>151400</v>
      </c>
      <c r="W470" s="9" t="n">
        <f aca="false">V470</f>
        <v>151400</v>
      </c>
      <c r="X470" s="44" t="n">
        <f aca="false">T470/H470</f>
        <v>69.9233716475096</v>
      </c>
      <c r="Y470" s="9" t="s">
        <v>39</v>
      </c>
      <c r="Z470" s="40"/>
      <c r="AB470" s="5" t="s">
        <v>40</v>
      </c>
      <c r="AC470" s="4" t="s">
        <v>544</v>
      </c>
      <c r="AD470" s="15" t="n">
        <v>72.5</v>
      </c>
      <c r="AE470" s="4" t="n">
        <v>1</v>
      </c>
      <c r="AF470" s="57" t="n">
        <v>1</v>
      </c>
    </row>
    <row r="471" customFormat="false" ht="13.5" hidden="false" customHeight="true" outlineLevel="0" collapsed="false">
      <c r="A471" s="28"/>
      <c r="B471" s="11" t="s">
        <v>44</v>
      </c>
      <c r="C471" s="11" t="s">
        <v>35</v>
      </c>
      <c r="D471" s="28" t="n">
        <v>550550</v>
      </c>
      <c r="E471" s="4" t="s">
        <v>524</v>
      </c>
      <c r="F471" s="4" t="s">
        <v>545</v>
      </c>
      <c r="G471" s="5" t="s">
        <v>37</v>
      </c>
      <c r="H471" s="6" t="n">
        <v>2508</v>
      </c>
      <c r="I471" s="6" t="n">
        <f aca="false">H471</f>
        <v>2508</v>
      </c>
      <c r="J471" s="6" t="n">
        <v>2500</v>
      </c>
      <c r="K471" s="4" t="s">
        <v>63</v>
      </c>
      <c r="N471" s="8" t="n">
        <v>45504</v>
      </c>
      <c r="Q471" s="9" t="n">
        <v>0</v>
      </c>
      <c r="R471" s="9" t="n">
        <f aca="false">Q471</f>
        <v>0</v>
      </c>
      <c r="T471" s="9" t="n">
        <v>138800</v>
      </c>
      <c r="U471" s="9" t="n">
        <f aca="false">T471</f>
        <v>138800</v>
      </c>
      <c r="V471" s="63" t="n">
        <v>141700</v>
      </c>
      <c r="W471" s="9" t="n">
        <f aca="false">V471</f>
        <v>141700</v>
      </c>
      <c r="X471" s="44" t="n">
        <f aca="false">T471/H471</f>
        <v>55.3429027113238</v>
      </c>
      <c r="Y471" s="9" t="s">
        <v>39</v>
      </c>
      <c r="Z471" s="40"/>
      <c r="AB471" s="5" t="s">
        <v>40</v>
      </c>
      <c r="AD471" s="15" t="n">
        <v>72.5</v>
      </c>
      <c r="AE471" s="58" t="n">
        <v>1</v>
      </c>
      <c r="AF471" s="59" t="n">
        <v>3</v>
      </c>
      <c r="AG471" s="58" t="s">
        <v>546</v>
      </c>
    </row>
    <row r="472" customFormat="false" ht="13.5" hidden="false" customHeight="true" outlineLevel="0" collapsed="false">
      <c r="A472" s="28"/>
      <c r="B472" s="11" t="s">
        <v>44</v>
      </c>
      <c r="C472" s="11" t="s">
        <v>35</v>
      </c>
      <c r="D472" s="28" t="n">
        <v>550550</v>
      </c>
      <c r="E472" s="4" t="s">
        <v>524</v>
      </c>
      <c r="F472" s="4" t="s">
        <v>142</v>
      </c>
      <c r="G472" s="5" t="s">
        <v>37</v>
      </c>
      <c r="H472" s="6" t="n">
        <v>389</v>
      </c>
      <c r="I472" s="6" t="n">
        <f aca="false">H472</f>
        <v>389</v>
      </c>
      <c r="J472" s="6" t="n">
        <v>500</v>
      </c>
      <c r="K472" s="4" t="s">
        <v>63</v>
      </c>
      <c r="N472" s="8" t="n">
        <v>45635</v>
      </c>
      <c r="Q472" s="9" t="n">
        <v>0</v>
      </c>
      <c r="R472" s="9" t="n">
        <f aca="false">Q472</f>
        <v>0</v>
      </c>
      <c r="T472" s="9" t="n">
        <v>19500</v>
      </c>
      <c r="U472" s="9" t="n">
        <f aca="false">T472</f>
        <v>19500</v>
      </c>
      <c r="V472" s="63" t="n">
        <v>22400</v>
      </c>
      <c r="W472" s="9" t="n">
        <f aca="false">V472</f>
        <v>22400</v>
      </c>
      <c r="X472" s="44" t="n">
        <f aca="false">T472/H472</f>
        <v>50.1285347043702</v>
      </c>
      <c r="Y472" s="9" t="s">
        <v>39</v>
      </c>
      <c r="Z472" s="40"/>
      <c r="AB472" s="5" t="s">
        <v>40</v>
      </c>
      <c r="AC472" s="4" t="s">
        <v>64</v>
      </c>
      <c r="AD472" s="56"/>
      <c r="AF472" s="57"/>
    </row>
    <row r="473" s="69" customFormat="true" ht="25.5" hidden="false" customHeight="true" outlineLevel="0" collapsed="false">
      <c r="A473" s="28"/>
      <c r="B473" s="11" t="s">
        <v>44</v>
      </c>
      <c r="C473" s="11" t="s">
        <v>35</v>
      </c>
      <c r="D473" s="28" t="n">
        <v>550550</v>
      </c>
      <c r="E473" s="4" t="s">
        <v>524</v>
      </c>
      <c r="F473" s="4" t="s">
        <v>148</v>
      </c>
      <c r="G473" s="5" t="s">
        <v>37</v>
      </c>
      <c r="H473" s="6" t="n">
        <v>390</v>
      </c>
      <c r="I473" s="6" t="n">
        <f aca="false">H473</f>
        <v>390</v>
      </c>
      <c r="J473" s="6" t="n">
        <v>500</v>
      </c>
      <c r="K473" s="4" t="s">
        <v>547</v>
      </c>
      <c r="L473" s="7" t="n">
        <v>45680</v>
      </c>
      <c r="M473" s="8" t="n">
        <v>47505</v>
      </c>
      <c r="N473" s="8"/>
      <c r="O473" s="8"/>
      <c r="P473" s="8" t="n">
        <v>46774</v>
      </c>
      <c r="Q473" s="9" t="n">
        <v>21060</v>
      </c>
      <c r="R473" s="9" t="n">
        <f aca="false">Q473</f>
        <v>21060</v>
      </c>
      <c r="S473" s="9"/>
      <c r="T473" s="9" t="n">
        <v>0</v>
      </c>
      <c r="U473" s="9" t="n">
        <f aca="false">T473</f>
        <v>0</v>
      </c>
      <c r="V473" s="63" t="n">
        <v>19500</v>
      </c>
      <c r="W473" s="9" t="n">
        <f aca="false">V473</f>
        <v>19500</v>
      </c>
      <c r="X473" s="44" t="n">
        <f aca="false">T473/H473</f>
        <v>0</v>
      </c>
      <c r="Y473" s="9" t="s">
        <v>39</v>
      </c>
      <c r="Z473" s="40"/>
      <c r="AA473" s="13"/>
      <c r="AB473" s="5" t="s">
        <v>40</v>
      </c>
      <c r="AC473" s="4" t="s">
        <v>73</v>
      </c>
      <c r="AD473" s="15"/>
      <c r="AE473" s="4"/>
      <c r="AF473" s="57"/>
      <c r="AG473" s="4"/>
    </row>
    <row r="474" s="69" customFormat="true" ht="13.5" hidden="false" customHeight="true" outlineLevel="0" collapsed="false">
      <c r="A474" s="28"/>
      <c r="B474" s="11" t="s">
        <v>44</v>
      </c>
      <c r="C474" s="11" t="s">
        <v>35</v>
      </c>
      <c r="D474" s="28" t="n">
        <v>550550</v>
      </c>
      <c r="E474" s="4" t="s">
        <v>524</v>
      </c>
      <c r="F474" s="4" t="s">
        <v>151</v>
      </c>
      <c r="G474" s="5" t="s">
        <v>537</v>
      </c>
      <c r="H474" s="6" t="n">
        <v>691</v>
      </c>
      <c r="I474" s="6" t="n">
        <f aca="false">H474</f>
        <v>691</v>
      </c>
      <c r="J474" s="6" t="n">
        <v>750</v>
      </c>
      <c r="K474" s="4" t="s">
        <v>63</v>
      </c>
      <c r="L474" s="7"/>
      <c r="M474" s="8"/>
      <c r="N474" s="8" t="n">
        <v>45434</v>
      </c>
      <c r="O474" s="8"/>
      <c r="P474" s="8"/>
      <c r="Q474" s="9" t="n">
        <v>0</v>
      </c>
      <c r="R474" s="9" t="n">
        <f aca="false">Q474</f>
        <v>0</v>
      </c>
      <c r="S474" s="9"/>
      <c r="T474" s="9" t="n">
        <v>42000</v>
      </c>
      <c r="U474" s="9" t="n">
        <f aca="false">T474</f>
        <v>42000</v>
      </c>
      <c r="V474" s="63" t="n">
        <v>41500</v>
      </c>
      <c r="W474" s="9" t="n">
        <f aca="false">V474</f>
        <v>41500</v>
      </c>
      <c r="X474" s="44" t="n">
        <f aca="false">T474/H474</f>
        <v>60.781476121563</v>
      </c>
      <c r="Y474" s="9" t="s">
        <v>39</v>
      </c>
      <c r="Z474" s="40"/>
      <c r="AA474" s="13"/>
      <c r="AB474" s="5" t="s">
        <v>40</v>
      </c>
      <c r="AC474" s="4" t="s">
        <v>64</v>
      </c>
      <c r="AD474" s="15" t="n">
        <v>62.5</v>
      </c>
      <c r="AE474" s="4"/>
      <c r="AF474" s="57"/>
      <c r="AG474" s="4"/>
    </row>
    <row r="475" customFormat="false" ht="14.25" hidden="false" customHeight="true" outlineLevel="0" collapsed="false">
      <c r="A475" s="28"/>
      <c r="B475" s="11"/>
      <c r="C475" s="11" t="s">
        <v>35</v>
      </c>
      <c r="D475" s="28"/>
      <c r="E475" s="4"/>
      <c r="I475" s="9"/>
      <c r="J475" s="9"/>
      <c r="T475" s="9"/>
      <c r="U475" s="9"/>
      <c r="V475" s="63"/>
      <c r="W475" s="9"/>
      <c r="X475" s="9"/>
      <c r="Y475" s="9"/>
      <c r="Z475" s="40"/>
      <c r="AB475" s="5"/>
      <c r="AF475" s="57"/>
    </row>
    <row r="476" customFormat="false" ht="14.25" hidden="false" customHeight="true" outlineLevel="0" collapsed="false">
      <c r="A476" s="28"/>
      <c r="B476" s="11"/>
      <c r="C476" s="11" t="s">
        <v>35</v>
      </c>
      <c r="D476" s="28"/>
      <c r="E476" s="4"/>
      <c r="F476" s="45" t="s">
        <v>524</v>
      </c>
      <c r="H476" s="41" t="n">
        <f aca="false">SUM(H463:H474)</f>
        <v>18782</v>
      </c>
      <c r="I476" s="42"/>
      <c r="J476" s="42"/>
      <c r="Q476" s="42" t="n">
        <f aca="false">SUM(Q463:Q474)</f>
        <v>696630</v>
      </c>
      <c r="R476" s="42"/>
      <c r="S476" s="42" t="n">
        <f aca="false">SUM(R461:R475)</f>
        <v>696630</v>
      </c>
      <c r="T476" s="42" t="n">
        <f aca="false">SUM(T463:T474)</f>
        <v>1075700</v>
      </c>
      <c r="U476" s="42"/>
      <c r="V476" s="43" t="n">
        <f aca="false">SUM(V463:V474)</f>
        <v>1054700</v>
      </c>
      <c r="W476" s="42"/>
      <c r="X476" s="42"/>
      <c r="Y476" s="42"/>
      <c r="Z476" s="64"/>
      <c r="AA476" s="43" t="n">
        <v>16325000</v>
      </c>
      <c r="AB476" s="5"/>
      <c r="AE476" s="58"/>
      <c r="AF476" s="59"/>
      <c r="AG476" s="58"/>
    </row>
    <row r="477" customFormat="false" ht="14.25" hidden="false" customHeight="true" outlineLevel="0" collapsed="false">
      <c r="A477" s="28"/>
      <c r="B477" s="11"/>
      <c r="C477" s="11" t="s">
        <v>35</v>
      </c>
      <c r="D477" s="28"/>
      <c r="E477" s="4"/>
      <c r="H477" s="28"/>
      <c r="I477" s="11"/>
      <c r="J477" s="11"/>
      <c r="Q477" s="11"/>
      <c r="R477" s="11"/>
      <c r="S477" s="11"/>
      <c r="T477" s="11"/>
      <c r="AB477" s="5"/>
      <c r="AF477" s="57"/>
    </row>
    <row r="478" customFormat="false" ht="14.25" hidden="false" customHeight="true" outlineLevel="0" collapsed="false">
      <c r="A478" s="28"/>
      <c r="B478" s="11"/>
      <c r="C478" s="11" t="s">
        <v>35</v>
      </c>
      <c r="D478" s="28"/>
      <c r="E478" s="4"/>
      <c r="G478" s="38" t="s">
        <v>548</v>
      </c>
      <c r="I478" s="9"/>
      <c r="J478" s="9"/>
      <c r="K478" s="39"/>
      <c r="T478" s="11"/>
      <c r="U478" s="9"/>
      <c r="W478" s="9"/>
      <c r="X478" s="9"/>
      <c r="Y478" s="9"/>
      <c r="Z478" s="40"/>
      <c r="AB478" s="5"/>
      <c r="AF478" s="57"/>
    </row>
    <row r="479" customFormat="false" ht="13.5" hidden="false" customHeight="true" outlineLevel="0" collapsed="false">
      <c r="A479" s="28"/>
      <c r="B479" s="11"/>
      <c r="C479" s="11" t="s">
        <v>35</v>
      </c>
      <c r="D479" s="28"/>
      <c r="E479" s="4"/>
      <c r="I479" s="9"/>
      <c r="J479" s="9"/>
      <c r="T479" s="9"/>
      <c r="U479" s="9"/>
      <c r="V479" s="63"/>
      <c r="W479" s="9"/>
      <c r="X479" s="9"/>
      <c r="Y479" s="9"/>
      <c r="Z479" s="40"/>
      <c r="AB479" s="5"/>
      <c r="AF479" s="57"/>
    </row>
    <row r="480" customFormat="false" ht="13.5" hidden="false" customHeight="true" outlineLevel="0" collapsed="false">
      <c r="A480" s="28"/>
      <c r="B480" s="11" t="s">
        <v>44</v>
      </c>
      <c r="C480" s="11" t="s">
        <v>35</v>
      </c>
      <c r="D480" s="28" t="n">
        <v>550510</v>
      </c>
      <c r="E480" s="4" t="s">
        <v>548</v>
      </c>
      <c r="F480" s="4" t="s">
        <v>549</v>
      </c>
      <c r="G480" s="5" t="s">
        <v>161</v>
      </c>
      <c r="H480" s="6" t="n">
        <v>120</v>
      </c>
      <c r="I480" s="6" t="n">
        <f aca="false">H480</f>
        <v>120</v>
      </c>
      <c r="J480" s="6" t="n">
        <v>250</v>
      </c>
      <c r="K480" s="4" t="s">
        <v>550</v>
      </c>
      <c r="L480" s="7" t="n">
        <v>43881</v>
      </c>
      <c r="M480" s="7" t="n">
        <v>47240</v>
      </c>
      <c r="N480" s="7"/>
      <c r="Q480" s="9" t="n">
        <v>0</v>
      </c>
      <c r="R480" s="9" t="n">
        <f aca="false">Q480</f>
        <v>0</v>
      </c>
      <c r="T480" s="9" t="n">
        <v>0</v>
      </c>
      <c r="U480" s="9" t="n">
        <f aca="false">T480</f>
        <v>0</v>
      </c>
      <c r="V480" s="63" t="n">
        <v>0</v>
      </c>
      <c r="W480" s="9" t="n">
        <f aca="false">V480</f>
        <v>0</v>
      </c>
      <c r="X480" s="44" t="n">
        <f aca="false">T480/H480</f>
        <v>0</v>
      </c>
      <c r="Y480" s="9"/>
      <c r="Z480" s="40" t="s">
        <v>25</v>
      </c>
      <c r="AB480" s="5" t="s">
        <v>40</v>
      </c>
      <c r="AC480" s="4" t="s">
        <v>551</v>
      </c>
      <c r="AF480" s="57"/>
    </row>
    <row r="481" customFormat="false" ht="22.5" hidden="false" customHeight="true" outlineLevel="0" collapsed="false">
      <c r="A481" s="28"/>
      <c r="B481" s="11" t="s">
        <v>44</v>
      </c>
      <c r="C481" s="11" t="s">
        <v>35</v>
      </c>
      <c r="D481" s="28" t="n">
        <v>550510</v>
      </c>
      <c r="E481" s="4" t="s">
        <v>548</v>
      </c>
      <c r="F481" s="4" t="s">
        <v>552</v>
      </c>
      <c r="G481" s="5" t="s">
        <v>244</v>
      </c>
      <c r="H481" s="6" t="n">
        <v>1032</v>
      </c>
      <c r="I481" s="6" t="n">
        <f aca="false">H481</f>
        <v>1032</v>
      </c>
      <c r="J481" s="6" t="n">
        <f aca="false">I481</f>
        <v>1032</v>
      </c>
      <c r="K481" s="4" t="s">
        <v>550</v>
      </c>
      <c r="L481" s="7" t="n">
        <v>43588</v>
      </c>
      <c r="M481" s="7" t="n">
        <v>47240</v>
      </c>
      <c r="N481" s="7"/>
      <c r="Q481" s="9" t="n">
        <v>70000</v>
      </c>
      <c r="R481" s="9" t="n">
        <f aca="false">Q481</f>
        <v>70000</v>
      </c>
      <c r="T481" s="9" t="n">
        <v>57500</v>
      </c>
      <c r="U481" s="9" t="n">
        <f aca="false">T481</f>
        <v>57500</v>
      </c>
      <c r="V481" s="63" t="n">
        <v>57500</v>
      </c>
      <c r="W481" s="9" t="n">
        <f aca="false">V481</f>
        <v>57500</v>
      </c>
      <c r="X481" s="44" t="n">
        <f aca="false">T481/H481</f>
        <v>55.7170542635659</v>
      </c>
      <c r="Y481" s="9" t="s">
        <v>453</v>
      </c>
      <c r="Z481" s="40"/>
      <c r="AB481" s="5" t="s">
        <v>40</v>
      </c>
      <c r="AF481" s="57"/>
    </row>
    <row r="482" customFormat="false" ht="13.5" hidden="false" customHeight="true" outlineLevel="0" collapsed="false">
      <c r="A482" s="28"/>
      <c r="B482" s="11" t="s">
        <v>44</v>
      </c>
      <c r="C482" s="11" t="s">
        <v>35</v>
      </c>
      <c r="D482" s="28" t="n">
        <v>550510</v>
      </c>
      <c r="E482" s="4" t="s">
        <v>548</v>
      </c>
      <c r="F482" s="4" t="s">
        <v>549</v>
      </c>
      <c r="G482" s="5" t="s">
        <v>161</v>
      </c>
      <c r="H482" s="6" t="n">
        <v>90</v>
      </c>
      <c r="I482" s="6" t="n">
        <f aca="false">H482</f>
        <v>90</v>
      </c>
      <c r="J482" s="6" t="n">
        <f aca="false">I482</f>
        <v>90</v>
      </c>
      <c r="K482" s="4" t="s">
        <v>77</v>
      </c>
      <c r="N482" s="8" t="n">
        <v>44681</v>
      </c>
      <c r="Q482" s="9" t="n">
        <v>0</v>
      </c>
      <c r="R482" s="9" t="n">
        <f aca="false">Q482</f>
        <v>0</v>
      </c>
      <c r="T482" s="9" t="n">
        <v>5665</v>
      </c>
      <c r="U482" s="9" t="n">
        <f aca="false">T482</f>
        <v>5665</v>
      </c>
      <c r="V482" s="63" t="n">
        <v>900</v>
      </c>
      <c r="W482" s="9" t="n">
        <f aca="false">V482</f>
        <v>900</v>
      </c>
      <c r="X482" s="44" t="n">
        <f aca="false">T482/H482</f>
        <v>62.9444444444444</v>
      </c>
      <c r="Y482" s="9"/>
      <c r="Z482" s="40"/>
      <c r="AB482" s="5" t="s">
        <v>40</v>
      </c>
      <c r="AF482" s="57"/>
    </row>
    <row r="483" customFormat="false" ht="22.5" hidden="false" customHeight="true" outlineLevel="0" collapsed="false">
      <c r="A483" s="28"/>
      <c r="B483" s="112" t="s">
        <v>44</v>
      </c>
      <c r="C483" s="112" t="s">
        <v>35</v>
      </c>
      <c r="D483" s="113" t="n">
        <v>550510</v>
      </c>
      <c r="E483" s="114" t="s">
        <v>548</v>
      </c>
      <c r="F483" s="4" t="s">
        <v>553</v>
      </c>
      <c r="G483" s="115" t="s">
        <v>244</v>
      </c>
      <c r="H483" s="54" t="n">
        <v>1922</v>
      </c>
      <c r="I483" s="6" t="n">
        <f aca="false">H483</f>
        <v>1922</v>
      </c>
      <c r="J483" s="6" t="n">
        <f aca="false">I483</f>
        <v>1922</v>
      </c>
      <c r="K483" s="4" t="s">
        <v>554</v>
      </c>
      <c r="L483" s="7" t="n">
        <v>45845</v>
      </c>
      <c r="M483" s="8" t="n">
        <v>51323</v>
      </c>
      <c r="O483" s="8" t="n">
        <v>47671</v>
      </c>
      <c r="P483" s="8" t="n">
        <v>47670</v>
      </c>
      <c r="Q483" s="9" t="n">
        <v>0</v>
      </c>
      <c r="R483" s="9" t="n">
        <f aca="false">Q483</f>
        <v>0</v>
      </c>
      <c r="T483" s="9" t="n">
        <v>126000</v>
      </c>
      <c r="U483" s="9" t="n">
        <f aca="false">T483</f>
        <v>126000</v>
      </c>
      <c r="V483" s="63" t="n">
        <v>132000</v>
      </c>
      <c r="W483" s="9" t="n">
        <f aca="false">V483</f>
        <v>132000</v>
      </c>
      <c r="X483" s="44" t="n">
        <f aca="false">T483/H483</f>
        <v>65.5567117585848</v>
      </c>
      <c r="Y483" s="9" t="s">
        <v>57</v>
      </c>
      <c r="Z483" s="40"/>
      <c r="AB483" s="5" t="s">
        <v>40</v>
      </c>
      <c r="AC483" s="4" t="s">
        <v>555</v>
      </c>
      <c r="AF483" s="57"/>
    </row>
    <row r="484" customFormat="false" ht="13.5" hidden="false" customHeight="true" outlineLevel="0" collapsed="false">
      <c r="A484" s="28"/>
      <c r="B484" s="11" t="s">
        <v>44</v>
      </c>
      <c r="C484" s="11" t="s">
        <v>35</v>
      </c>
      <c r="D484" s="28" t="n">
        <v>550510</v>
      </c>
      <c r="E484" s="4" t="s">
        <v>548</v>
      </c>
      <c r="F484" s="4" t="s">
        <v>135</v>
      </c>
      <c r="G484" s="115" t="s">
        <v>37</v>
      </c>
      <c r="H484" s="6" t="n">
        <v>635</v>
      </c>
      <c r="I484" s="6" t="n">
        <f aca="false">H484</f>
        <v>635</v>
      </c>
      <c r="J484" s="6" t="n">
        <v>750</v>
      </c>
      <c r="K484" s="4" t="s">
        <v>556</v>
      </c>
      <c r="L484" s="7" t="n">
        <v>45431</v>
      </c>
      <c r="M484" s="8" t="n">
        <v>46525</v>
      </c>
      <c r="Q484" s="9" t="n">
        <v>36500</v>
      </c>
      <c r="R484" s="9" t="n">
        <f aca="false">Q484</f>
        <v>36500</v>
      </c>
      <c r="T484" s="9" t="n">
        <v>36500</v>
      </c>
      <c r="U484" s="9" t="n">
        <f aca="false">T484</f>
        <v>36500</v>
      </c>
      <c r="V484" s="63" t="n">
        <v>38100</v>
      </c>
      <c r="W484" s="9" t="n">
        <f aca="false">V484</f>
        <v>38100</v>
      </c>
      <c r="X484" s="44" t="n">
        <f aca="false">T484/H484</f>
        <v>57.4803149606299</v>
      </c>
      <c r="Y484" s="9" t="s">
        <v>123</v>
      </c>
      <c r="Z484" s="40"/>
      <c r="AB484" s="5" t="s">
        <v>40</v>
      </c>
      <c r="AF484" s="57"/>
    </row>
    <row r="485" customFormat="false" ht="18" hidden="false" customHeight="true" outlineLevel="0" collapsed="false">
      <c r="A485" s="28"/>
      <c r="B485" s="11" t="s">
        <v>44</v>
      </c>
      <c r="C485" s="11" t="s">
        <v>35</v>
      </c>
      <c r="D485" s="28" t="n">
        <v>550510</v>
      </c>
      <c r="E485" s="4" t="s">
        <v>548</v>
      </c>
      <c r="F485" s="4" t="s">
        <v>133</v>
      </c>
      <c r="G485" s="5" t="s">
        <v>37</v>
      </c>
      <c r="H485" s="93" t="n">
        <v>450</v>
      </c>
      <c r="I485" s="6" t="n">
        <f aca="false">H485</f>
        <v>450</v>
      </c>
      <c r="J485" s="6" t="n">
        <v>500</v>
      </c>
      <c r="K485" s="4" t="s">
        <v>63</v>
      </c>
      <c r="N485" s="8" t="n">
        <v>42943</v>
      </c>
      <c r="Q485" s="9" t="n">
        <v>0</v>
      </c>
      <c r="R485" s="9" t="n">
        <f aca="false">Q485</f>
        <v>0</v>
      </c>
      <c r="T485" s="9" t="n">
        <v>23600</v>
      </c>
      <c r="U485" s="9" t="n">
        <f aca="false">T485</f>
        <v>23600</v>
      </c>
      <c r="V485" s="63" t="n">
        <v>25900</v>
      </c>
      <c r="W485" s="9" t="n">
        <f aca="false">V485</f>
        <v>25900</v>
      </c>
      <c r="X485" s="44" t="n">
        <f aca="false">T485/H485</f>
        <v>52.4444444444444</v>
      </c>
      <c r="Y485" s="9" t="s">
        <v>52</v>
      </c>
      <c r="Z485" s="40"/>
      <c r="AB485" s="5" t="s">
        <v>40</v>
      </c>
      <c r="AF485" s="57" t="n">
        <v>2</v>
      </c>
      <c r="AG485" s="4" t="s">
        <v>200</v>
      </c>
    </row>
    <row r="486" customFormat="false" ht="24.75" hidden="false" customHeight="true" outlineLevel="0" collapsed="false">
      <c r="A486" s="28"/>
      <c r="B486" s="11" t="s">
        <v>44</v>
      </c>
      <c r="C486" s="11" t="s">
        <v>35</v>
      </c>
      <c r="D486" s="28" t="n">
        <v>550510</v>
      </c>
      <c r="E486" s="4" t="s">
        <v>548</v>
      </c>
      <c r="F486" s="4" t="s">
        <v>138</v>
      </c>
      <c r="G486" s="5" t="s">
        <v>37</v>
      </c>
      <c r="H486" s="6" t="n">
        <v>615</v>
      </c>
      <c r="I486" s="6" t="n">
        <f aca="false">H486</f>
        <v>615</v>
      </c>
      <c r="J486" s="6" t="n">
        <v>500</v>
      </c>
      <c r="K486" s="4" t="s">
        <v>557</v>
      </c>
      <c r="L486" s="7" t="n">
        <v>45092</v>
      </c>
      <c r="M486" s="8" t="n">
        <v>46918</v>
      </c>
      <c r="P486" s="8" t="n">
        <v>46187</v>
      </c>
      <c r="Q486" s="9" t="n">
        <v>35363</v>
      </c>
      <c r="R486" s="9" t="n">
        <f aca="false">Q486</f>
        <v>35363</v>
      </c>
      <c r="T486" s="9" t="n">
        <v>32300</v>
      </c>
      <c r="U486" s="9" t="n">
        <f aca="false">T486</f>
        <v>32300</v>
      </c>
      <c r="V486" s="63" t="n">
        <v>35363</v>
      </c>
      <c r="W486" s="9" t="n">
        <f aca="false">V486</f>
        <v>35363</v>
      </c>
      <c r="X486" s="44" t="n">
        <f aca="false">T486/H486</f>
        <v>52.520325203252</v>
      </c>
      <c r="Y486" s="9"/>
      <c r="Z486" s="40"/>
      <c r="AB486" s="5" t="s">
        <v>40</v>
      </c>
      <c r="AC486" s="4" t="s">
        <v>558</v>
      </c>
      <c r="AF486" s="57"/>
    </row>
    <row r="487" customFormat="false" ht="13.5" hidden="false" customHeight="true" outlineLevel="0" collapsed="false">
      <c r="A487" s="28"/>
      <c r="B487" s="11" t="s">
        <v>44</v>
      </c>
      <c r="C487" s="11" t="s">
        <v>35</v>
      </c>
      <c r="D487" s="28" t="n">
        <v>550510</v>
      </c>
      <c r="E487" s="4" t="s">
        <v>548</v>
      </c>
      <c r="F487" s="4" t="s">
        <v>140</v>
      </c>
      <c r="G487" s="5" t="s">
        <v>37</v>
      </c>
      <c r="H487" s="6" t="n">
        <v>500</v>
      </c>
      <c r="I487" s="6" t="n">
        <f aca="false">H487</f>
        <v>500</v>
      </c>
      <c r="J487" s="6" t="n">
        <v>500</v>
      </c>
      <c r="K487" s="4" t="s">
        <v>63</v>
      </c>
      <c r="N487" s="8" t="n">
        <v>43820</v>
      </c>
      <c r="Q487" s="9" t="n">
        <v>0</v>
      </c>
      <c r="R487" s="9" t="n">
        <f aca="false">Q487</f>
        <v>0</v>
      </c>
      <c r="T487" s="9" t="n">
        <v>26300</v>
      </c>
      <c r="U487" s="9" t="n">
        <f aca="false">T487</f>
        <v>26300</v>
      </c>
      <c r="V487" s="63" t="n">
        <v>28800</v>
      </c>
      <c r="W487" s="9" t="n">
        <f aca="false">V487</f>
        <v>28800</v>
      </c>
      <c r="X487" s="44" t="n">
        <f aca="false">T487/H487</f>
        <v>52.6</v>
      </c>
      <c r="Y487" s="9" t="s">
        <v>123</v>
      </c>
      <c r="Z487" s="40"/>
      <c r="AB487" s="5" t="s">
        <v>40</v>
      </c>
      <c r="AC487" s="4" t="s">
        <v>64</v>
      </c>
      <c r="AD487" s="15" t="n">
        <v>58.5</v>
      </c>
      <c r="AF487" s="57" t="n">
        <v>1</v>
      </c>
      <c r="AG487" s="4" t="s">
        <v>200</v>
      </c>
    </row>
    <row r="488" customFormat="false" ht="13.5" hidden="false" customHeight="true" outlineLevel="0" collapsed="false">
      <c r="A488" s="28"/>
      <c r="B488" s="11" t="s">
        <v>44</v>
      </c>
      <c r="C488" s="11" t="s">
        <v>35</v>
      </c>
      <c r="D488" s="28" t="n">
        <v>550510</v>
      </c>
      <c r="E488" s="4" t="s">
        <v>548</v>
      </c>
      <c r="F488" s="4" t="s">
        <v>142</v>
      </c>
      <c r="G488" s="5" t="s">
        <v>37</v>
      </c>
      <c r="H488" s="6" t="n">
        <v>504</v>
      </c>
      <c r="I488" s="6" t="n">
        <f aca="false">H488</f>
        <v>504</v>
      </c>
      <c r="J488" s="6" t="n">
        <v>500</v>
      </c>
      <c r="K488" s="4" t="s">
        <v>559</v>
      </c>
      <c r="L488" s="7" t="n">
        <v>45601</v>
      </c>
      <c r="M488" s="8" t="n">
        <v>47426</v>
      </c>
      <c r="P488" s="8" t="n">
        <v>46330</v>
      </c>
      <c r="Q488" s="9" t="n">
        <v>28050</v>
      </c>
      <c r="R488" s="9" t="n">
        <f aca="false">Q488</f>
        <v>28050</v>
      </c>
      <c r="T488" s="9" t="n">
        <v>26500</v>
      </c>
      <c r="U488" s="9" t="n">
        <f aca="false">T488</f>
        <v>26500</v>
      </c>
      <c r="V488" s="63" t="n">
        <v>29000</v>
      </c>
      <c r="W488" s="9" t="n">
        <f aca="false">V488</f>
        <v>29000</v>
      </c>
      <c r="X488" s="44" t="n">
        <f aca="false">T488/H488</f>
        <v>52.5793650793651</v>
      </c>
      <c r="Y488" s="9" t="s">
        <v>123</v>
      </c>
      <c r="Z488" s="40"/>
      <c r="AB488" s="5" t="s">
        <v>40</v>
      </c>
      <c r="AC488" s="4" t="s">
        <v>73</v>
      </c>
      <c r="AD488" s="56"/>
      <c r="AF488" s="57"/>
    </row>
    <row r="489" customFormat="false" ht="13.5" hidden="false" customHeight="true" outlineLevel="0" collapsed="false">
      <c r="A489" s="28"/>
      <c r="B489" s="11" t="s">
        <v>44</v>
      </c>
      <c r="C489" s="11" t="s">
        <v>35</v>
      </c>
      <c r="D489" s="28" t="n">
        <v>550510</v>
      </c>
      <c r="E489" s="4" t="s">
        <v>548</v>
      </c>
      <c r="F489" s="4" t="s">
        <v>545</v>
      </c>
      <c r="G489" s="5" t="s">
        <v>37</v>
      </c>
      <c r="H489" s="6" t="n">
        <v>591</v>
      </c>
      <c r="I489" s="6" t="n">
        <f aca="false">H489</f>
        <v>591</v>
      </c>
      <c r="J489" s="6" t="n">
        <v>500</v>
      </c>
      <c r="K489" s="4" t="s">
        <v>63</v>
      </c>
      <c r="N489" s="8" t="n">
        <v>44119</v>
      </c>
      <c r="Q489" s="9" t="n">
        <v>0</v>
      </c>
      <c r="R489" s="9" t="n">
        <f aca="false">Q489</f>
        <v>0</v>
      </c>
      <c r="T489" s="9" t="n">
        <v>31000</v>
      </c>
      <c r="U489" s="9" t="n">
        <f aca="false">T489</f>
        <v>31000</v>
      </c>
      <c r="V489" s="63" t="n">
        <v>34000</v>
      </c>
      <c r="W489" s="9" t="n">
        <f aca="false">V489</f>
        <v>34000</v>
      </c>
      <c r="X489" s="44" t="n">
        <f aca="false">T489/H489</f>
        <v>52.4534686971235</v>
      </c>
      <c r="Y489" s="9" t="s">
        <v>123</v>
      </c>
      <c r="Z489" s="40"/>
      <c r="AB489" s="5" t="s">
        <v>40</v>
      </c>
      <c r="AC489" s="4" t="s">
        <v>64</v>
      </c>
      <c r="AD489" s="15" t="n">
        <v>58.5</v>
      </c>
      <c r="AF489" s="57" t="n">
        <v>1</v>
      </c>
      <c r="AG489" s="4" t="s">
        <v>141</v>
      </c>
    </row>
    <row r="490" customFormat="false" ht="13.5" hidden="false" customHeight="true" outlineLevel="0" collapsed="false">
      <c r="A490" s="28"/>
      <c r="B490" s="11" t="s">
        <v>44</v>
      </c>
      <c r="C490" s="11" t="s">
        <v>35</v>
      </c>
      <c r="D490" s="28" t="n">
        <v>550510</v>
      </c>
      <c r="E490" s="4" t="s">
        <v>548</v>
      </c>
      <c r="F490" s="4" t="s">
        <v>148</v>
      </c>
      <c r="G490" s="5" t="s">
        <v>37</v>
      </c>
      <c r="H490" s="6" t="n">
        <v>450</v>
      </c>
      <c r="I490" s="6" t="n">
        <f aca="false">H490</f>
        <v>450</v>
      </c>
      <c r="J490" s="6" t="n">
        <v>500</v>
      </c>
      <c r="K490" s="4" t="s">
        <v>63</v>
      </c>
      <c r="N490" s="8" t="n">
        <v>43389</v>
      </c>
      <c r="Q490" s="9" t="n">
        <v>0</v>
      </c>
      <c r="R490" s="9" t="n">
        <f aca="false">Q490</f>
        <v>0</v>
      </c>
      <c r="T490" s="9" t="n">
        <v>23600</v>
      </c>
      <c r="U490" s="9" t="n">
        <f aca="false">T490</f>
        <v>23600</v>
      </c>
      <c r="V490" s="63" t="n">
        <v>25900</v>
      </c>
      <c r="W490" s="9" t="n">
        <f aca="false">V490</f>
        <v>25900</v>
      </c>
      <c r="X490" s="44" t="n">
        <f aca="false">T490/H490</f>
        <v>52.4444444444444</v>
      </c>
      <c r="Y490" s="9" t="s">
        <v>123</v>
      </c>
      <c r="Z490" s="40"/>
      <c r="AB490" s="5" t="s">
        <v>40</v>
      </c>
      <c r="AC490" s="4" t="s">
        <v>64</v>
      </c>
      <c r="AD490" s="15" t="n">
        <v>58.5</v>
      </c>
      <c r="AF490" s="57"/>
    </row>
    <row r="491" customFormat="false" ht="13.5" hidden="false" customHeight="true" outlineLevel="0" collapsed="false">
      <c r="A491" s="28"/>
      <c r="B491" s="11" t="s">
        <v>44</v>
      </c>
      <c r="C491" s="11" t="s">
        <v>35</v>
      </c>
      <c r="D491" s="28" t="n">
        <v>550510</v>
      </c>
      <c r="E491" s="4" t="s">
        <v>548</v>
      </c>
      <c r="F491" s="4" t="s">
        <v>151</v>
      </c>
      <c r="G491" s="5" t="s">
        <v>37</v>
      </c>
      <c r="H491" s="6" t="n">
        <v>582</v>
      </c>
      <c r="I491" s="6" t="n">
        <f aca="false">H491</f>
        <v>582</v>
      </c>
      <c r="J491" s="6" t="n">
        <v>500</v>
      </c>
      <c r="K491" s="4" t="s">
        <v>560</v>
      </c>
      <c r="L491" s="7" t="n">
        <v>45614</v>
      </c>
      <c r="M491" s="8" t="n">
        <v>46343</v>
      </c>
      <c r="Q491" s="9" t="n">
        <v>42282</v>
      </c>
      <c r="R491" s="9" t="n">
        <f aca="false">Q491</f>
        <v>42282</v>
      </c>
      <c r="T491" s="9" t="n">
        <v>34000</v>
      </c>
      <c r="U491" s="9" t="n">
        <f aca="false">T491</f>
        <v>34000</v>
      </c>
      <c r="V491" s="63" t="n">
        <v>35500</v>
      </c>
      <c r="W491" s="9" t="n">
        <f aca="false">V491</f>
        <v>35500</v>
      </c>
      <c r="X491" s="44" t="n">
        <f aca="false">T491/H491</f>
        <v>58.4192439862543</v>
      </c>
      <c r="Y491" s="9" t="s">
        <v>123</v>
      </c>
      <c r="Z491" s="40"/>
      <c r="AB491" s="5" t="s">
        <v>40</v>
      </c>
      <c r="AC491" s="4" t="s">
        <v>561</v>
      </c>
      <c r="AD491" s="56"/>
      <c r="AF491" s="57"/>
    </row>
    <row r="492" customFormat="false" ht="14.25" hidden="false" customHeight="true" outlineLevel="0" collapsed="false">
      <c r="A492" s="28"/>
      <c r="B492" s="11"/>
      <c r="C492" s="11" t="s">
        <v>35</v>
      </c>
      <c r="D492" s="28"/>
      <c r="E492" s="4"/>
      <c r="T492" s="9"/>
      <c r="U492" s="9"/>
      <c r="V492" s="63"/>
      <c r="W492" s="9"/>
      <c r="X492" s="9"/>
      <c r="Y492" s="9"/>
      <c r="Z492" s="40"/>
      <c r="AB492" s="5"/>
      <c r="AF492" s="57"/>
    </row>
    <row r="493" customFormat="false" ht="14.25" hidden="false" customHeight="true" outlineLevel="0" collapsed="false">
      <c r="A493" s="28"/>
      <c r="B493" s="11"/>
      <c r="C493" s="11" t="s">
        <v>35</v>
      </c>
      <c r="D493" s="28"/>
      <c r="E493" s="4"/>
      <c r="F493" s="45" t="s">
        <v>562</v>
      </c>
      <c r="H493" s="41" t="n">
        <f aca="false">SUM(H480:H491)</f>
        <v>7491</v>
      </c>
      <c r="I493" s="42"/>
      <c r="J493" s="42"/>
      <c r="Q493" s="42" t="n">
        <f aca="false">SUM(Q480:Q491)</f>
        <v>212195</v>
      </c>
      <c r="R493" s="42"/>
      <c r="S493" s="42" t="n">
        <f aca="false">SUM(R479:R491)</f>
        <v>212195</v>
      </c>
      <c r="T493" s="42" t="n">
        <f aca="false">SUM(T480:T491)</f>
        <v>422965</v>
      </c>
      <c r="U493" s="42"/>
      <c r="V493" s="43" t="n">
        <f aca="false">SUM(V480:V491)</f>
        <v>442963</v>
      </c>
      <c r="W493" s="42"/>
      <c r="X493" s="42"/>
      <c r="Y493" s="42"/>
      <c r="Z493" s="64"/>
      <c r="AA493" s="43" t="n">
        <v>6275000</v>
      </c>
      <c r="AB493" s="5"/>
      <c r="AE493" s="58"/>
      <c r="AF493" s="59"/>
      <c r="AG493" s="58"/>
    </row>
    <row r="494" customFormat="false" ht="14.25" hidden="false" customHeight="true" outlineLevel="0" collapsed="false">
      <c r="A494" s="28"/>
      <c r="B494" s="11"/>
      <c r="C494" s="11" t="s">
        <v>35</v>
      </c>
      <c r="D494" s="28"/>
      <c r="E494" s="4"/>
      <c r="H494" s="41"/>
      <c r="I494" s="42"/>
      <c r="J494" s="42"/>
      <c r="Q494" s="42"/>
      <c r="R494" s="42"/>
      <c r="S494" s="42"/>
      <c r="T494" s="42"/>
      <c r="U494" s="42"/>
      <c r="V494" s="43"/>
      <c r="W494" s="42"/>
      <c r="X494" s="42"/>
      <c r="Y494" s="42"/>
      <c r="Z494" s="64"/>
      <c r="AA494" s="62"/>
      <c r="AB494" s="5"/>
      <c r="AF494" s="57"/>
    </row>
    <row r="495" customFormat="false" ht="14.25" hidden="false" customHeight="true" outlineLevel="0" collapsed="false">
      <c r="A495" s="28"/>
      <c r="B495" s="11"/>
      <c r="C495" s="11" t="s">
        <v>35</v>
      </c>
      <c r="D495" s="28"/>
      <c r="E495" s="4"/>
      <c r="G495" s="38" t="s">
        <v>563</v>
      </c>
      <c r="I495" s="9"/>
      <c r="J495" s="9"/>
      <c r="K495" s="39"/>
      <c r="T495" s="11"/>
      <c r="U495" s="9"/>
      <c r="W495" s="9"/>
      <c r="X495" s="9"/>
      <c r="Y495" s="9"/>
      <c r="Z495" s="40"/>
      <c r="AB495" s="5"/>
      <c r="AF495" s="57"/>
    </row>
    <row r="496" customFormat="false" ht="14.25" hidden="false" customHeight="true" outlineLevel="0" collapsed="false">
      <c r="A496" s="28"/>
      <c r="B496" s="11"/>
      <c r="C496" s="11" t="s">
        <v>35</v>
      </c>
      <c r="D496" s="28"/>
      <c r="E496" s="4"/>
      <c r="G496" s="83"/>
      <c r="I496" s="9"/>
      <c r="J496" s="9"/>
      <c r="K496" s="39"/>
      <c r="T496" s="11"/>
      <c r="U496" s="9"/>
      <c r="W496" s="9"/>
      <c r="X496" s="9"/>
      <c r="Y496" s="9"/>
      <c r="Z496" s="40"/>
      <c r="AB496" s="5"/>
      <c r="AF496" s="57"/>
    </row>
    <row r="497" customFormat="false" ht="22.5" hidden="false" customHeight="true" outlineLevel="0" collapsed="false">
      <c r="A497" s="28"/>
      <c r="B497" s="11" t="s">
        <v>228</v>
      </c>
      <c r="C497" s="11" t="s">
        <v>35</v>
      </c>
      <c r="D497" s="28" t="n">
        <v>550610</v>
      </c>
      <c r="E497" s="4" t="s">
        <v>563</v>
      </c>
      <c r="F497" s="4" t="s">
        <v>564</v>
      </c>
      <c r="G497" s="5" t="s">
        <v>565</v>
      </c>
      <c r="H497" s="6" t="n">
        <v>2047</v>
      </c>
      <c r="I497" s="6" t="n">
        <f aca="false">H497</f>
        <v>2047</v>
      </c>
      <c r="J497" s="6" t="n">
        <v>2000</v>
      </c>
      <c r="K497" s="4" t="s">
        <v>566</v>
      </c>
      <c r="L497" s="7" t="n">
        <v>45100</v>
      </c>
      <c r="M497" s="8" t="n">
        <v>48752</v>
      </c>
      <c r="O497" s="8" t="n">
        <v>46926</v>
      </c>
      <c r="P497" s="8" t="n">
        <v>46195</v>
      </c>
      <c r="Q497" s="9" t="n">
        <v>105000</v>
      </c>
      <c r="R497" s="9" t="n">
        <f aca="false">Q497</f>
        <v>105000</v>
      </c>
      <c r="T497" s="9" t="n">
        <v>100000</v>
      </c>
      <c r="U497" s="9" t="n">
        <f aca="false">T497</f>
        <v>100000</v>
      </c>
      <c r="V497" s="63" t="n">
        <v>105000</v>
      </c>
      <c r="W497" s="9" t="n">
        <f aca="false">V497</f>
        <v>105000</v>
      </c>
      <c r="X497" s="44" t="n">
        <f aca="false">T497/H497</f>
        <v>48.8519785051295</v>
      </c>
      <c r="Y497" s="9" t="s">
        <v>123</v>
      </c>
      <c r="Z497" s="40"/>
      <c r="AB497" s="5" t="s">
        <v>40</v>
      </c>
      <c r="AC497" s="4" t="s">
        <v>73</v>
      </c>
      <c r="AF497" s="57"/>
    </row>
    <row r="498" customFormat="false" ht="22.5" hidden="false" customHeight="true" outlineLevel="0" collapsed="false">
      <c r="A498" s="28"/>
      <c r="B498" s="11" t="s">
        <v>228</v>
      </c>
      <c r="C498" s="11" t="s">
        <v>35</v>
      </c>
      <c r="D498" s="28" t="n">
        <v>550610</v>
      </c>
      <c r="E498" s="4" t="s">
        <v>563</v>
      </c>
      <c r="F498" s="4" t="s">
        <v>567</v>
      </c>
      <c r="G498" s="5" t="s">
        <v>46</v>
      </c>
      <c r="H498" s="6" t="n">
        <v>2185</v>
      </c>
      <c r="I498" s="6" t="n">
        <f aca="false">H498</f>
        <v>2185</v>
      </c>
      <c r="J498" s="6" t="n">
        <v>2000</v>
      </c>
      <c r="K498" s="4" t="s">
        <v>568</v>
      </c>
      <c r="L498" s="7" t="n">
        <v>42655</v>
      </c>
      <c r="M498" s="8" t="n">
        <v>46306</v>
      </c>
      <c r="Q498" s="9" t="n">
        <v>100000</v>
      </c>
      <c r="R498" s="9" t="n">
        <f aca="false">Q498</f>
        <v>100000</v>
      </c>
      <c r="T498" s="9" t="n">
        <v>90000</v>
      </c>
      <c r="U498" s="9" t="n">
        <f aca="false">T498</f>
        <v>90000</v>
      </c>
      <c r="V498" s="63" t="n">
        <v>100000</v>
      </c>
      <c r="W498" s="9" t="n">
        <f aca="false">V498</f>
        <v>100000</v>
      </c>
      <c r="X498" s="44" t="n">
        <f aca="false">T498/H498</f>
        <v>41.1899313501144</v>
      </c>
      <c r="Y498" s="9" t="s">
        <v>39</v>
      </c>
      <c r="Z498" s="40"/>
      <c r="AB498" s="5" t="s">
        <v>40</v>
      </c>
      <c r="AC498" s="4" t="s">
        <v>569</v>
      </c>
      <c r="AF498" s="57"/>
    </row>
    <row r="499" customFormat="false" ht="24.75" hidden="false" customHeight="true" outlineLevel="0" collapsed="false">
      <c r="A499" s="28"/>
      <c r="B499" s="11" t="s">
        <v>228</v>
      </c>
      <c r="C499" s="11" t="s">
        <v>35</v>
      </c>
      <c r="D499" s="28" t="n">
        <v>550610</v>
      </c>
      <c r="E499" s="4" t="s">
        <v>563</v>
      </c>
      <c r="F499" s="4" t="s">
        <v>135</v>
      </c>
      <c r="G499" s="5" t="s">
        <v>37</v>
      </c>
      <c r="H499" s="6" t="n">
        <v>727</v>
      </c>
      <c r="I499" s="6" t="n">
        <f aca="false">H499</f>
        <v>727</v>
      </c>
      <c r="J499" s="6" t="n">
        <v>250</v>
      </c>
      <c r="K499" s="4" t="s">
        <v>570</v>
      </c>
      <c r="L499" s="7" t="n">
        <v>44703</v>
      </c>
      <c r="M499" s="8" t="n">
        <v>46528</v>
      </c>
      <c r="Q499" s="9" t="n">
        <v>42350</v>
      </c>
      <c r="R499" s="9" t="n">
        <f aca="false">Q499</f>
        <v>42350</v>
      </c>
      <c r="T499" s="9" t="n">
        <v>40000</v>
      </c>
      <c r="U499" s="9" t="n">
        <f aca="false">T499</f>
        <v>40000</v>
      </c>
      <c r="V499" s="63" t="n">
        <v>48700</v>
      </c>
      <c r="W499" s="9" t="n">
        <f aca="false">V499</f>
        <v>48700</v>
      </c>
      <c r="X499" s="44" t="n">
        <f aca="false">T499/H499</f>
        <v>55.0206327372765</v>
      </c>
      <c r="Y499" s="9" t="s">
        <v>57</v>
      </c>
      <c r="Z499" s="40"/>
      <c r="AB499" s="5" t="s">
        <v>40</v>
      </c>
      <c r="AF499" s="57"/>
    </row>
    <row r="500" customFormat="false" ht="13.5" hidden="false" customHeight="true" outlineLevel="0" collapsed="false">
      <c r="A500" s="28"/>
      <c r="B500" s="11" t="s">
        <v>228</v>
      </c>
      <c r="C500" s="11" t="s">
        <v>35</v>
      </c>
      <c r="D500" s="28" t="n">
        <v>550610</v>
      </c>
      <c r="E500" s="4" t="s">
        <v>563</v>
      </c>
      <c r="F500" s="4" t="s">
        <v>571</v>
      </c>
      <c r="G500" s="5" t="s">
        <v>37</v>
      </c>
      <c r="H500" s="6" t="n">
        <v>710</v>
      </c>
      <c r="I500" s="6" t="n">
        <f aca="false">H500</f>
        <v>710</v>
      </c>
      <c r="J500" s="6" t="n">
        <v>750</v>
      </c>
      <c r="K500" s="4" t="s">
        <v>572</v>
      </c>
      <c r="L500" s="7" t="n">
        <v>45551</v>
      </c>
      <c r="M500" s="8" t="n">
        <v>46645</v>
      </c>
      <c r="P500" s="8" t="n">
        <v>46280</v>
      </c>
      <c r="Q500" s="9" t="n">
        <v>47250</v>
      </c>
      <c r="R500" s="9" t="n">
        <f aca="false">Q500</f>
        <v>47250</v>
      </c>
      <c r="T500" s="9" t="n">
        <v>35000</v>
      </c>
      <c r="U500" s="9" t="n">
        <f aca="false">T500</f>
        <v>35000</v>
      </c>
      <c r="V500" s="63" t="n">
        <v>47600</v>
      </c>
      <c r="W500" s="9" t="n">
        <f aca="false">V500</f>
        <v>47600</v>
      </c>
      <c r="X500" s="44" t="n">
        <f aca="false">T500/H500</f>
        <v>49.2957746478873</v>
      </c>
      <c r="Y500" s="9" t="s">
        <v>57</v>
      </c>
      <c r="Z500" s="40"/>
      <c r="AB500" s="5" t="s">
        <v>40</v>
      </c>
      <c r="AC500" s="4" t="s">
        <v>573</v>
      </c>
      <c r="AE500" s="58"/>
      <c r="AF500" s="59"/>
      <c r="AG500" s="58"/>
    </row>
    <row r="501" customFormat="false" ht="23.25" hidden="false" customHeight="true" outlineLevel="0" collapsed="false">
      <c r="A501" s="28"/>
      <c r="B501" s="11" t="s">
        <v>228</v>
      </c>
      <c r="C501" s="11" t="s">
        <v>35</v>
      </c>
      <c r="D501" s="28" t="n">
        <v>550610</v>
      </c>
      <c r="E501" s="4" t="s">
        <v>563</v>
      </c>
      <c r="F501" s="4" t="s">
        <v>574</v>
      </c>
      <c r="G501" s="5" t="s">
        <v>37</v>
      </c>
      <c r="H501" s="6" t="n">
        <v>130</v>
      </c>
      <c r="I501" s="6" t="n">
        <f aca="false">H501</f>
        <v>130</v>
      </c>
      <c r="J501" s="6" t="n">
        <v>250</v>
      </c>
      <c r="K501" s="4" t="s">
        <v>575</v>
      </c>
      <c r="L501" s="7" t="n">
        <v>45456</v>
      </c>
      <c r="M501" s="8" t="n">
        <v>47085</v>
      </c>
      <c r="P501" s="8" t="n">
        <v>46354</v>
      </c>
      <c r="Q501" s="9" t="n">
        <v>7320</v>
      </c>
      <c r="R501" s="9" t="n">
        <f aca="false">Q501</f>
        <v>7320</v>
      </c>
      <c r="T501" s="9" t="n">
        <v>7000</v>
      </c>
      <c r="U501" s="9" t="n">
        <f aca="false">T501</f>
        <v>7000</v>
      </c>
      <c r="V501" s="63" t="n">
        <v>7360</v>
      </c>
      <c r="W501" s="9" t="n">
        <f aca="false">V501</f>
        <v>7360</v>
      </c>
      <c r="X501" s="44" t="n">
        <f aca="false">T501/H501</f>
        <v>53.8461538461539</v>
      </c>
      <c r="Y501" s="9" t="s">
        <v>57</v>
      </c>
      <c r="Z501" s="40"/>
      <c r="AB501" s="5" t="s">
        <v>40</v>
      </c>
      <c r="AC501" s="4" t="s">
        <v>73</v>
      </c>
      <c r="AF501" s="57"/>
    </row>
    <row r="502" customFormat="false" ht="23.25" hidden="false" customHeight="true" outlineLevel="0" collapsed="false">
      <c r="A502" s="28"/>
      <c r="B502" s="11" t="s">
        <v>228</v>
      </c>
      <c r="C502" s="11" t="s">
        <v>35</v>
      </c>
      <c r="D502" s="28" t="n">
        <v>550610</v>
      </c>
      <c r="E502" s="4" t="s">
        <v>563</v>
      </c>
      <c r="F502" s="4" t="s">
        <v>138</v>
      </c>
      <c r="G502" s="106" t="s">
        <v>37</v>
      </c>
      <c r="H502" s="6" t="n">
        <v>710</v>
      </c>
      <c r="I502" s="6" t="n">
        <f aca="false">H502</f>
        <v>710</v>
      </c>
      <c r="J502" s="6" t="n">
        <v>750</v>
      </c>
      <c r="K502" s="4" t="s">
        <v>576</v>
      </c>
      <c r="L502" s="7" t="n">
        <v>45253</v>
      </c>
      <c r="M502" s="8" t="n">
        <v>46348</v>
      </c>
      <c r="Q502" s="9" t="n">
        <v>42350</v>
      </c>
      <c r="R502" s="9" t="n">
        <f aca="false">Q502</f>
        <v>42350</v>
      </c>
      <c r="T502" s="9" t="n">
        <v>38700</v>
      </c>
      <c r="U502" s="9" t="n">
        <f aca="false">T502</f>
        <v>38700</v>
      </c>
      <c r="V502" s="63" t="n">
        <v>45100</v>
      </c>
      <c r="W502" s="9" t="n">
        <f aca="false">V502</f>
        <v>45100</v>
      </c>
      <c r="X502" s="44" t="n">
        <f aca="false">T502/H502</f>
        <v>54.5070422535211</v>
      </c>
      <c r="Y502" s="9" t="s">
        <v>57</v>
      </c>
      <c r="Z502" s="40"/>
      <c r="AB502" s="5" t="s">
        <v>40</v>
      </c>
      <c r="AF502" s="57"/>
    </row>
    <row r="503" customFormat="false" ht="13.5" hidden="false" customHeight="true" outlineLevel="0" collapsed="false">
      <c r="A503" s="28"/>
      <c r="B503" s="11" t="s">
        <v>228</v>
      </c>
      <c r="C503" s="11" t="s">
        <v>35</v>
      </c>
      <c r="D503" s="28" t="n">
        <v>550610</v>
      </c>
      <c r="E503" s="4" t="s">
        <v>563</v>
      </c>
      <c r="F503" s="4" t="s">
        <v>577</v>
      </c>
      <c r="G503" s="106" t="s">
        <v>37</v>
      </c>
      <c r="H503" s="6" t="n">
        <v>130</v>
      </c>
      <c r="I503" s="6" t="n">
        <f aca="false">H503</f>
        <v>130</v>
      </c>
      <c r="J503" s="6" t="n">
        <v>250</v>
      </c>
      <c r="K503" s="4" t="s">
        <v>575</v>
      </c>
      <c r="L503" s="7" t="n">
        <v>45259</v>
      </c>
      <c r="M503" s="8" t="n">
        <v>47085</v>
      </c>
      <c r="P503" s="8" t="n">
        <v>46354</v>
      </c>
      <c r="Q503" s="9" t="n">
        <v>7320</v>
      </c>
      <c r="R503" s="9" t="n">
        <f aca="false">Q503</f>
        <v>7320</v>
      </c>
      <c r="T503" s="9" t="n">
        <v>6300</v>
      </c>
      <c r="U503" s="9" t="n">
        <f aca="false">T503</f>
        <v>6300</v>
      </c>
      <c r="V503" s="63" t="n">
        <v>8700</v>
      </c>
      <c r="W503" s="9" t="n">
        <f aca="false">V503</f>
        <v>8700</v>
      </c>
      <c r="X503" s="44" t="n">
        <f aca="false">T503/H503</f>
        <v>48.4615384615385</v>
      </c>
      <c r="Y503" s="9" t="s">
        <v>57</v>
      </c>
      <c r="Z503" s="40"/>
      <c r="AB503" s="5" t="s">
        <v>40</v>
      </c>
      <c r="AC503" s="4" t="s">
        <v>73</v>
      </c>
      <c r="AF503" s="57"/>
    </row>
    <row r="504" customFormat="false" ht="13.5" hidden="false" customHeight="true" outlineLevel="0" collapsed="false">
      <c r="A504" s="28"/>
      <c r="B504" s="11" t="s">
        <v>228</v>
      </c>
      <c r="C504" s="11" t="s">
        <v>35</v>
      </c>
      <c r="D504" s="28" t="n">
        <v>550610</v>
      </c>
      <c r="E504" s="4" t="s">
        <v>563</v>
      </c>
      <c r="F504" s="4" t="s">
        <v>140</v>
      </c>
      <c r="G504" s="5" t="s">
        <v>37</v>
      </c>
      <c r="H504" s="6" t="n">
        <v>727</v>
      </c>
      <c r="I504" s="6" t="n">
        <f aca="false">H504</f>
        <v>727</v>
      </c>
      <c r="J504" s="6" t="n">
        <v>750</v>
      </c>
      <c r="K504" s="4" t="s">
        <v>63</v>
      </c>
      <c r="N504" s="8" t="n">
        <v>43080</v>
      </c>
      <c r="Q504" s="9" t="n">
        <v>0</v>
      </c>
      <c r="R504" s="9" t="n">
        <f aca="false">Q504</f>
        <v>0</v>
      </c>
      <c r="T504" s="9" t="n">
        <v>35000</v>
      </c>
      <c r="U504" s="9" t="n">
        <f aca="false">T504</f>
        <v>35000</v>
      </c>
      <c r="V504" s="63" t="n">
        <v>41800</v>
      </c>
      <c r="W504" s="9" t="n">
        <f aca="false">V504</f>
        <v>41800</v>
      </c>
      <c r="X504" s="44" t="n">
        <f aca="false">T504/H504</f>
        <v>48.1430536451169</v>
      </c>
      <c r="Y504" s="9" t="s">
        <v>57</v>
      </c>
      <c r="Z504" s="40"/>
      <c r="AB504" s="5" t="s">
        <v>40</v>
      </c>
      <c r="AC504" s="4" t="s">
        <v>115</v>
      </c>
      <c r="AD504" s="15" t="n">
        <v>62.5</v>
      </c>
      <c r="AF504" s="57"/>
    </row>
    <row r="505" customFormat="false" ht="13.5" hidden="false" customHeight="true" outlineLevel="0" collapsed="false">
      <c r="A505" s="28"/>
      <c r="B505" s="11" t="s">
        <v>228</v>
      </c>
      <c r="C505" s="11" t="s">
        <v>35</v>
      </c>
      <c r="D505" s="28" t="n">
        <v>550610</v>
      </c>
      <c r="E505" s="4" t="s">
        <v>563</v>
      </c>
      <c r="F505" s="4" t="s">
        <v>545</v>
      </c>
      <c r="G505" s="5" t="s">
        <v>37</v>
      </c>
      <c r="H505" s="6" t="n">
        <v>760</v>
      </c>
      <c r="I505" s="6" t="n">
        <f aca="false">H505</f>
        <v>760</v>
      </c>
      <c r="J505" s="6" t="n">
        <v>750</v>
      </c>
      <c r="K505" s="4" t="s">
        <v>63</v>
      </c>
      <c r="N505" s="8" t="n">
        <v>43593</v>
      </c>
      <c r="Q505" s="9" t="n">
        <v>0</v>
      </c>
      <c r="R505" s="9" t="n">
        <f aca="false">Q505</f>
        <v>0</v>
      </c>
      <c r="T505" s="9" t="n">
        <v>40000</v>
      </c>
      <c r="U505" s="9" t="n">
        <f aca="false">T505</f>
        <v>40000</v>
      </c>
      <c r="V505" s="63" t="n">
        <v>43700</v>
      </c>
      <c r="W505" s="9" t="n">
        <f aca="false">V505</f>
        <v>43700</v>
      </c>
      <c r="X505" s="44" t="n">
        <f aca="false">T505/H505</f>
        <v>52.6315789473684</v>
      </c>
      <c r="Y505" s="9" t="s">
        <v>57</v>
      </c>
      <c r="Z505" s="40"/>
      <c r="AB505" s="5" t="s">
        <v>40</v>
      </c>
      <c r="AC505" s="4" t="s">
        <v>115</v>
      </c>
      <c r="AD505" s="15" t="n">
        <v>62.5</v>
      </c>
      <c r="AE505" s="4" t="n">
        <v>2</v>
      </c>
      <c r="AF505" s="57" t="n">
        <v>3</v>
      </c>
      <c r="AG505" s="4" t="s">
        <v>54</v>
      </c>
    </row>
    <row r="506" customFormat="false" ht="14.25" hidden="false" customHeight="true" outlineLevel="0" collapsed="false">
      <c r="A506" s="28"/>
      <c r="B506" s="11" t="s">
        <v>228</v>
      </c>
      <c r="C506" s="11" t="s">
        <v>35</v>
      </c>
      <c r="D506" s="28" t="n">
        <v>550610</v>
      </c>
      <c r="E506" s="4" t="s">
        <v>563</v>
      </c>
      <c r="F506" s="4" t="s">
        <v>142</v>
      </c>
      <c r="G506" s="5" t="s">
        <v>37</v>
      </c>
      <c r="H506" s="6" t="n">
        <v>666</v>
      </c>
      <c r="I506" s="6" t="n">
        <f aca="false">H506</f>
        <v>666</v>
      </c>
      <c r="J506" s="6" t="n">
        <v>750</v>
      </c>
      <c r="K506" s="4" t="s">
        <v>63</v>
      </c>
      <c r="N506" s="8" t="n">
        <v>42905</v>
      </c>
      <c r="Q506" s="9" t="n">
        <v>0</v>
      </c>
      <c r="R506" s="9" t="n">
        <f aca="false">Q506</f>
        <v>0</v>
      </c>
      <c r="T506" s="9" t="n">
        <v>35000</v>
      </c>
      <c r="U506" s="9" t="n">
        <f aca="false">T506</f>
        <v>35000</v>
      </c>
      <c r="V506" s="63" t="n">
        <v>38300</v>
      </c>
      <c r="W506" s="9" t="n">
        <f aca="false">V506</f>
        <v>38300</v>
      </c>
      <c r="X506" s="44" t="n">
        <f aca="false">T506/H506</f>
        <v>52.5525525525526</v>
      </c>
      <c r="Y506" s="9" t="s">
        <v>57</v>
      </c>
      <c r="Z506" s="40"/>
      <c r="AB506" s="5" t="s">
        <v>40</v>
      </c>
      <c r="AC506" s="4" t="s">
        <v>115</v>
      </c>
      <c r="AD506" s="15" t="n">
        <v>62.5</v>
      </c>
      <c r="AE506" s="4" t="n">
        <v>0</v>
      </c>
      <c r="AF506" s="57" t="n">
        <v>1</v>
      </c>
      <c r="AG506" s="4" t="s">
        <v>54</v>
      </c>
    </row>
    <row r="507" customFormat="false" ht="13.5" hidden="false" customHeight="true" outlineLevel="0" collapsed="false">
      <c r="A507" s="28"/>
      <c r="B507" s="11" t="s">
        <v>228</v>
      </c>
      <c r="C507" s="11" t="s">
        <v>35</v>
      </c>
      <c r="D507" s="28" t="n">
        <v>550610</v>
      </c>
      <c r="E507" s="4" t="s">
        <v>563</v>
      </c>
      <c r="F507" s="4" t="s">
        <v>151</v>
      </c>
      <c r="G507" s="5" t="s">
        <v>37</v>
      </c>
      <c r="H507" s="6" t="n">
        <v>767</v>
      </c>
      <c r="I507" s="6" t="n">
        <f aca="false">H507</f>
        <v>767</v>
      </c>
      <c r="J507" s="6" t="n">
        <v>750</v>
      </c>
      <c r="K507" s="4" t="s">
        <v>63</v>
      </c>
      <c r="N507" s="8" t="n">
        <v>45719</v>
      </c>
      <c r="Q507" s="9" t="n">
        <v>0</v>
      </c>
      <c r="R507" s="9" t="n">
        <f aca="false">Q507</f>
        <v>0</v>
      </c>
      <c r="T507" s="9" t="n">
        <v>40000</v>
      </c>
      <c r="U507" s="9" t="n">
        <f aca="false">T507</f>
        <v>40000</v>
      </c>
      <c r="V507" s="63" t="n">
        <v>44100</v>
      </c>
      <c r="W507" s="9" t="n">
        <f aca="false">V507</f>
        <v>44100</v>
      </c>
      <c r="X507" s="44" t="n">
        <f aca="false">T507/H507</f>
        <v>52.1512385919166</v>
      </c>
      <c r="Y507" s="9" t="s">
        <v>57</v>
      </c>
      <c r="Z507" s="40"/>
      <c r="AB507" s="5" t="s">
        <v>40</v>
      </c>
      <c r="AC507" s="4" t="s">
        <v>115</v>
      </c>
      <c r="AE507" s="58"/>
      <c r="AF507" s="59"/>
      <c r="AG507" s="58"/>
    </row>
    <row r="508" customFormat="false" ht="13.5" hidden="false" customHeight="true" outlineLevel="0" collapsed="false">
      <c r="A508" s="28"/>
      <c r="B508" s="11" t="s">
        <v>228</v>
      </c>
      <c r="C508" s="11" t="s">
        <v>35</v>
      </c>
      <c r="D508" s="28" t="n">
        <v>550610</v>
      </c>
      <c r="E508" s="4" t="s">
        <v>563</v>
      </c>
      <c r="F508" s="4" t="s">
        <v>148</v>
      </c>
      <c r="G508" s="5" t="s">
        <v>37</v>
      </c>
      <c r="H508" s="6" t="n">
        <v>645</v>
      </c>
      <c r="I508" s="6" t="n">
        <f aca="false">H508</f>
        <v>645</v>
      </c>
      <c r="J508" s="6" t="n">
        <v>750</v>
      </c>
      <c r="K508" s="4" t="s">
        <v>63</v>
      </c>
      <c r="N508" s="8" t="n">
        <v>44263</v>
      </c>
      <c r="Q508" s="9" t="n">
        <v>0</v>
      </c>
      <c r="R508" s="9" t="n">
        <f aca="false">Q508</f>
        <v>0</v>
      </c>
      <c r="T508" s="9" t="n">
        <v>35000</v>
      </c>
      <c r="U508" s="9" t="n">
        <f aca="false">T508</f>
        <v>35000</v>
      </c>
      <c r="V508" s="63" t="n">
        <v>37100</v>
      </c>
      <c r="W508" s="9" t="n">
        <f aca="false">V508</f>
        <v>37100</v>
      </c>
      <c r="X508" s="44" t="n">
        <f aca="false">T508/H508</f>
        <v>54.2635658914729</v>
      </c>
      <c r="Y508" s="9" t="s">
        <v>57</v>
      </c>
      <c r="Z508" s="40"/>
      <c r="AB508" s="5" t="s">
        <v>40</v>
      </c>
      <c r="AC508" s="4" t="s">
        <v>115</v>
      </c>
      <c r="AD508" s="15" t="n">
        <v>60</v>
      </c>
      <c r="AF508" s="57"/>
    </row>
    <row r="509" customFormat="false" ht="13.5" hidden="false" customHeight="true" outlineLevel="0" collapsed="false">
      <c r="A509" s="28"/>
      <c r="B509" s="11" t="s">
        <v>228</v>
      </c>
      <c r="C509" s="11" t="s">
        <v>35</v>
      </c>
      <c r="D509" s="28" t="n">
        <v>550610</v>
      </c>
      <c r="E509" s="4" t="s">
        <v>563</v>
      </c>
      <c r="F509" s="4" t="s">
        <v>152</v>
      </c>
      <c r="G509" s="5" t="s">
        <v>37</v>
      </c>
      <c r="H509" s="6" t="n">
        <v>767</v>
      </c>
      <c r="I509" s="6" t="n">
        <f aca="false">H509</f>
        <v>767</v>
      </c>
      <c r="J509" s="6" t="n">
        <v>750</v>
      </c>
      <c r="K509" s="4" t="s">
        <v>63</v>
      </c>
      <c r="N509" s="8" t="n">
        <v>44263</v>
      </c>
      <c r="Q509" s="9" t="n">
        <v>0</v>
      </c>
      <c r="R509" s="9" t="n">
        <f aca="false">Q509</f>
        <v>0</v>
      </c>
      <c r="T509" s="9" t="n">
        <v>40000</v>
      </c>
      <c r="U509" s="9" t="n">
        <f aca="false">T509</f>
        <v>40000</v>
      </c>
      <c r="V509" s="63" t="n">
        <v>44100</v>
      </c>
      <c r="W509" s="9" t="n">
        <f aca="false">V509</f>
        <v>44100</v>
      </c>
      <c r="X509" s="44" t="n">
        <f aca="false">T509/H509</f>
        <v>52.1512385919166</v>
      </c>
      <c r="Y509" s="9" t="s">
        <v>57</v>
      </c>
      <c r="Z509" s="40"/>
      <c r="AB509" s="5" t="s">
        <v>40</v>
      </c>
      <c r="AC509" s="4" t="s">
        <v>115</v>
      </c>
      <c r="AD509" s="15" t="n">
        <v>60</v>
      </c>
      <c r="AF509" s="57"/>
    </row>
    <row r="510" customFormat="false" ht="14.25" hidden="false" customHeight="true" outlineLevel="0" collapsed="false">
      <c r="A510" s="28"/>
      <c r="B510" s="11" t="s">
        <v>228</v>
      </c>
      <c r="C510" s="11" t="s">
        <v>35</v>
      </c>
      <c r="D510" s="28" t="n">
        <v>550610</v>
      </c>
      <c r="E510" s="4" t="s">
        <v>563</v>
      </c>
      <c r="F510" s="4" t="s">
        <v>154</v>
      </c>
      <c r="G510" s="5" t="s">
        <v>37</v>
      </c>
      <c r="H510" s="6" t="n">
        <v>534</v>
      </c>
      <c r="I510" s="6" t="n">
        <f aca="false">H510</f>
        <v>534</v>
      </c>
      <c r="J510" s="6" t="n">
        <v>500</v>
      </c>
      <c r="K510" s="4" t="s">
        <v>63</v>
      </c>
      <c r="N510" s="8" t="n">
        <v>43061</v>
      </c>
      <c r="Q510" s="9" t="n">
        <v>0</v>
      </c>
      <c r="R510" s="9" t="n">
        <f aca="false">Q510</f>
        <v>0</v>
      </c>
      <c r="T510" s="9" t="n">
        <v>0</v>
      </c>
      <c r="U510" s="9" t="n">
        <f aca="false">T510</f>
        <v>0</v>
      </c>
      <c r="V510" s="63" t="n">
        <v>30700</v>
      </c>
      <c r="W510" s="9" t="n">
        <f aca="false">V510</f>
        <v>30700</v>
      </c>
      <c r="X510" s="44" t="n">
        <f aca="false">T510/H510</f>
        <v>0</v>
      </c>
      <c r="Y510" s="9" t="s">
        <v>57</v>
      </c>
      <c r="Z510" s="40"/>
      <c r="AB510" s="5" t="s">
        <v>40</v>
      </c>
      <c r="AC510" s="4" t="s">
        <v>115</v>
      </c>
      <c r="AD510" s="15" t="n">
        <v>60</v>
      </c>
      <c r="AF510" s="57"/>
    </row>
    <row r="511" customFormat="false" ht="14.25" hidden="false" customHeight="true" outlineLevel="0" collapsed="false">
      <c r="A511" s="28"/>
      <c r="B511" s="11"/>
      <c r="C511" s="11" t="s">
        <v>35</v>
      </c>
      <c r="D511" s="28"/>
      <c r="E511" s="4"/>
      <c r="T511" s="9"/>
      <c r="U511" s="9" t="n">
        <f aca="false">T511</f>
        <v>0</v>
      </c>
      <c r="V511" s="63"/>
      <c r="W511" s="9" t="n">
        <f aca="false">V511</f>
        <v>0</v>
      </c>
      <c r="X511" s="9"/>
      <c r="Y511" s="9"/>
      <c r="Z511" s="40"/>
      <c r="AB511" s="5"/>
      <c r="AF511" s="57"/>
    </row>
    <row r="512" customFormat="false" ht="14.25" hidden="false" customHeight="true" outlineLevel="0" collapsed="false">
      <c r="A512" s="28"/>
      <c r="B512" s="11"/>
      <c r="C512" s="11" t="s">
        <v>35</v>
      </c>
      <c r="D512" s="28"/>
      <c r="E512" s="4"/>
      <c r="F512" s="45" t="s">
        <v>578</v>
      </c>
      <c r="H512" s="41" t="n">
        <f aca="false">SUM(H497:H510)</f>
        <v>11505</v>
      </c>
      <c r="I512" s="42"/>
      <c r="J512" s="42"/>
      <c r="Q512" s="41" t="n">
        <f aca="false">SUM(Q497:Q510)</f>
        <v>351590</v>
      </c>
      <c r="R512" s="41"/>
      <c r="S512" s="41" t="n">
        <f aca="false">SUM(R496:R510)</f>
        <v>351590</v>
      </c>
      <c r="T512" s="41" t="n">
        <f aca="false">SUM(T497:T510)</f>
        <v>542000</v>
      </c>
      <c r="U512" s="9"/>
      <c r="V512" s="60" t="n">
        <f aca="false">SUM(V497:V510)</f>
        <v>642260</v>
      </c>
      <c r="W512" s="9"/>
      <c r="X512" s="9"/>
      <c r="Y512" s="9"/>
      <c r="Z512" s="40"/>
      <c r="AA512" s="43" t="n">
        <v>8050000</v>
      </c>
      <c r="AB512" s="5"/>
      <c r="AE512" s="58"/>
      <c r="AF512" s="59"/>
      <c r="AG512" s="58"/>
    </row>
    <row r="513" customFormat="false" ht="14.25" hidden="false" customHeight="true" outlineLevel="0" collapsed="false">
      <c r="A513" s="28"/>
      <c r="B513" s="11"/>
      <c r="C513" s="11" t="s">
        <v>35</v>
      </c>
      <c r="D513" s="28"/>
      <c r="E513" s="4"/>
      <c r="H513" s="41"/>
      <c r="I513" s="42"/>
      <c r="J513" s="42"/>
      <c r="Q513" s="42"/>
      <c r="R513" s="42"/>
      <c r="S513" s="42"/>
      <c r="T513" s="41"/>
      <c r="U513" s="42"/>
      <c r="V513" s="60"/>
      <c r="W513" s="42"/>
      <c r="X513" s="42"/>
      <c r="Y513" s="42"/>
      <c r="Z513" s="64"/>
      <c r="AA513" s="43"/>
      <c r="AB513" s="5"/>
      <c r="AF513" s="57"/>
    </row>
    <row r="514" customFormat="false" ht="14.25" hidden="false" customHeight="true" outlineLevel="0" collapsed="false">
      <c r="A514" s="28"/>
      <c r="B514" s="11"/>
      <c r="C514" s="11" t="s">
        <v>35</v>
      </c>
      <c r="D514" s="28"/>
      <c r="E514" s="4"/>
      <c r="G514" s="38" t="s">
        <v>579</v>
      </c>
      <c r="I514" s="9"/>
      <c r="J514" s="9"/>
      <c r="K514" s="39"/>
      <c r="T514" s="42"/>
      <c r="U514" s="42"/>
      <c r="V514" s="43"/>
      <c r="W514" s="42"/>
      <c r="X514" s="42"/>
      <c r="Y514" s="42"/>
      <c r="Z514" s="64"/>
      <c r="AA514" s="43"/>
      <c r="AB514" s="5"/>
      <c r="AF514" s="57"/>
    </row>
    <row r="515" customFormat="false" ht="14.25" hidden="false" customHeight="true" outlineLevel="0" collapsed="false">
      <c r="A515" s="28"/>
      <c r="B515" s="11"/>
      <c r="C515" s="11" t="s">
        <v>35</v>
      </c>
      <c r="D515" s="28"/>
      <c r="E515" s="4"/>
      <c r="G515" s="83"/>
      <c r="H515" s="72"/>
      <c r="I515" s="9"/>
      <c r="J515" s="9"/>
      <c r="K515" s="75"/>
      <c r="L515" s="76"/>
      <c r="T515" s="11"/>
      <c r="U515" s="9"/>
      <c r="W515" s="9"/>
      <c r="X515" s="9"/>
      <c r="Y515" s="9"/>
      <c r="Z515" s="40"/>
      <c r="AA515" s="43"/>
      <c r="AB515" s="5"/>
      <c r="AF515" s="57"/>
    </row>
    <row r="516" customFormat="false" ht="23.25" hidden="false" customHeight="true" outlineLevel="0" collapsed="false">
      <c r="A516" s="28"/>
      <c r="B516" s="11" t="s">
        <v>228</v>
      </c>
      <c r="C516" s="11" t="s">
        <v>35</v>
      </c>
      <c r="D516" s="28" t="n">
        <v>550620</v>
      </c>
      <c r="E516" s="4" t="s">
        <v>579</v>
      </c>
      <c r="F516" s="4" t="s">
        <v>258</v>
      </c>
      <c r="G516" s="5" t="s">
        <v>252</v>
      </c>
      <c r="H516" s="6" t="n">
        <v>930</v>
      </c>
      <c r="I516" s="6" t="n">
        <f aca="false">H516</f>
        <v>930</v>
      </c>
      <c r="J516" s="6" t="n">
        <v>1000</v>
      </c>
      <c r="K516" s="4" t="s">
        <v>580</v>
      </c>
      <c r="L516" s="7" t="n">
        <v>45588</v>
      </c>
      <c r="M516" s="8" t="n">
        <v>46132</v>
      </c>
      <c r="Q516" s="9" t="n">
        <v>46500</v>
      </c>
      <c r="R516" s="9" t="n">
        <f aca="false">Q516</f>
        <v>46500</v>
      </c>
      <c r="T516" s="9" t="n">
        <v>45350</v>
      </c>
      <c r="U516" s="9" t="n">
        <f aca="false">T516</f>
        <v>45350</v>
      </c>
      <c r="V516" s="63" t="n">
        <v>45350</v>
      </c>
      <c r="W516" s="9" t="n">
        <f aca="false">V516</f>
        <v>45350</v>
      </c>
      <c r="X516" s="44" t="n">
        <f aca="false">T516/H516</f>
        <v>48.7634408602151</v>
      </c>
      <c r="Y516" s="63" t="s">
        <v>52</v>
      </c>
      <c r="Z516" s="40"/>
      <c r="AA516" s="43"/>
      <c r="AB516" s="5" t="s">
        <v>40</v>
      </c>
      <c r="AF516" s="57"/>
    </row>
    <row r="517" customFormat="false" ht="13.5" hidden="false" customHeight="true" outlineLevel="0" collapsed="false">
      <c r="A517" s="28"/>
      <c r="B517" s="11" t="s">
        <v>228</v>
      </c>
      <c r="C517" s="11" t="s">
        <v>35</v>
      </c>
      <c r="D517" s="28" t="n">
        <v>550620</v>
      </c>
      <c r="E517" s="4" t="s">
        <v>579</v>
      </c>
      <c r="F517" s="4" t="s">
        <v>85</v>
      </c>
      <c r="G517" s="5" t="s">
        <v>37</v>
      </c>
      <c r="H517" s="6" t="n">
        <v>360</v>
      </c>
      <c r="I517" s="6" t="n">
        <f aca="false">H517</f>
        <v>360</v>
      </c>
      <c r="J517" s="6" t="n">
        <v>250</v>
      </c>
      <c r="K517" s="4" t="s">
        <v>580</v>
      </c>
      <c r="L517" s="7" t="n">
        <v>44307</v>
      </c>
      <c r="M517" s="8" t="n">
        <v>46132</v>
      </c>
      <c r="Q517" s="9" t="n">
        <v>18500</v>
      </c>
      <c r="R517" s="9" t="n">
        <f aca="false">Q517</f>
        <v>18500</v>
      </c>
      <c r="T517" s="9" t="n">
        <v>20200</v>
      </c>
      <c r="U517" s="9" t="n">
        <f aca="false">T517</f>
        <v>20200</v>
      </c>
      <c r="V517" s="63" t="n">
        <v>21200</v>
      </c>
      <c r="W517" s="9" t="n">
        <f aca="false">V517</f>
        <v>21200</v>
      </c>
      <c r="X517" s="44" t="n">
        <f aca="false">T517/H517</f>
        <v>56.1111111111111</v>
      </c>
      <c r="Y517" s="9" t="s">
        <v>57</v>
      </c>
      <c r="Z517" s="40"/>
      <c r="AA517" s="43"/>
      <c r="AB517" s="5" t="s">
        <v>40</v>
      </c>
      <c r="AF517" s="57"/>
    </row>
    <row r="518" customFormat="false" ht="33.75" hidden="false" customHeight="true" outlineLevel="0" collapsed="false">
      <c r="A518" s="28"/>
      <c r="B518" s="11" t="s">
        <v>228</v>
      </c>
      <c r="C518" s="11" t="s">
        <v>35</v>
      </c>
      <c r="D518" s="28" t="n">
        <v>550620</v>
      </c>
      <c r="E518" s="4" t="s">
        <v>579</v>
      </c>
      <c r="F518" s="4" t="s">
        <v>89</v>
      </c>
      <c r="G518" s="5" t="s">
        <v>37</v>
      </c>
      <c r="H518" s="6" t="n">
        <v>375</v>
      </c>
      <c r="I518" s="6" t="n">
        <f aca="false">H518</f>
        <v>375</v>
      </c>
      <c r="J518" s="6" t="n">
        <v>500</v>
      </c>
      <c r="K518" s="58" t="s">
        <v>581</v>
      </c>
      <c r="L518" s="78" t="n">
        <v>45891</v>
      </c>
      <c r="M518" s="79" t="n">
        <v>46986</v>
      </c>
      <c r="N518" s="79"/>
      <c r="O518" s="79"/>
      <c r="P518" s="79" t="n">
        <v>46440</v>
      </c>
      <c r="Q518" s="63" t="n">
        <v>0</v>
      </c>
      <c r="R518" s="9" t="n">
        <f aca="false">Q518</f>
        <v>0</v>
      </c>
      <c r="T518" s="9" t="n">
        <v>21000</v>
      </c>
      <c r="U518" s="9" t="n">
        <f aca="false">T518</f>
        <v>21000</v>
      </c>
      <c r="V518" s="63" t="n">
        <v>22100</v>
      </c>
      <c r="W518" s="9" t="n">
        <f aca="false">V518</f>
        <v>22100</v>
      </c>
      <c r="X518" s="44" t="n">
        <f aca="false">T518/H518</f>
        <v>56</v>
      </c>
      <c r="Y518" s="9" t="s">
        <v>57</v>
      </c>
      <c r="Z518" s="40"/>
      <c r="AA518" s="43"/>
      <c r="AB518" s="5" t="s">
        <v>40</v>
      </c>
      <c r="AC518" s="58" t="s">
        <v>582</v>
      </c>
      <c r="AF518" s="57"/>
    </row>
    <row r="519" customFormat="false" ht="23.25" hidden="false" customHeight="true" outlineLevel="0" collapsed="false">
      <c r="A519" s="28"/>
      <c r="B519" s="11" t="s">
        <v>228</v>
      </c>
      <c r="C519" s="11" t="s">
        <v>35</v>
      </c>
      <c r="D519" s="28" t="n">
        <v>550620</v>
      </c>
      <c r="E519" s="4" t="s">
        <v>579</v>
      </c>
      <c r="F519" s="4" t="s">
        <v>90</v>
      </c>
      <c r="G519" s="5" t="s">
        <v>37</v>
      </c>
      <c r="H519" s="6" t="n">
        <v>350</v>
      </c>
      <c r="I519" s="6" t="n">
        <f aca="false">H519</f>
        <v>350</v>
      </c>
      <c r="J519" s="6" t="n">
        <v>500</v>
      </c>
      <c r="K519" s="4" t="s">
        <v>583</v>
      </c>
      <c r="L519" s="7" t="n">
        <v>44974</v>
      </c>
      <c r="M519" s="8" t="n">
        <v>46799</v>
      </c>
      <c r="P519" s="8" t="n">
        <v>46069</v>
      </c>
      <c r="Q519" s="9" t="n">
        <v>19600</v>
      </c>
      <c r="R519" s="9" t="n">
        <f aca="false">Q519</f>
        <v>19600</v>
      </c>
      <c r="T519" s="9" t="n">
        <v>19600</v>
      </c>
      <c r="U519" s="9" t="n">
        <f aca="false">T519</f>
        <v>19600</v>
      </c>
      <c r="V519" s="63" t="n">
        <v>20700</v>
      </c>
      <c r="W519" s="9" t="n">
        <f aca="false">V519</f>
        <v>20700</v>
      </c>
      <c r="X519" s="44" t="n">
        <f aca="false">T519/H519</f>
        <v>56</v>
      </c>
      <c r="Y519" s="9" t="s">
        <v>57</v>
      </c>
      <c r="Z519" s="40"/>
      <c r="AA519" s="43"/>
      <c r="AB519" s="5" t="s">
        <v>40</v>
      </c>
      <c r="AC519" s="4" t="s">
        <v>73</v>
      </c>
      <c r="AF519" s="57"/>
    </row>
    <row r="520" customFormat="false" ht="22.5" hidden="false" customHeight="true" outlineLevel="0" collapsed="false">
      <c r="A520" s="28"/>
      <c r="B520" s="11" t="s">
        <v>228</v>
      </c>
      <c r="C520" s="11" t="s">
        <v>35</v>
      </c>
      <c r="D520" s="28" t="n">
        <v>550620</v>
      </c>
      <c r="E520" s="4" t="s">
        <v>579</v>
      </c>
      <c r="F520" s="4" t="s">
        <v>114</v>
      </c>
      <c r="G520" s="5" t="s">
        <v>37</v>
      </c>
      <c r="H520" s="6" t="n">
        <v>350</v>
      </c>
      <c r="I520" s="6" t="n">
        <f aca="false">H520</f>
        <v>350</v>
      </c>
      <c r="J520" s="6" t="n">
        <v>500</v>
      </c>
      <c r="K520" s="4" t="s">
        <v>584</v>
      </c>
      <c r="L520" s="7" t="n">
        <v>45359</v>
      </c>
      <c r="M520" s="8" t="n">
        <v>46453</v>
      </c>
      <c r="P520" s="8" t="n">
        <v>45907</v>
      </c>
      <c r="Q520" s="9" t="n">
        <v>19600</v>
      </c>
      <c r="R520" s="9" t="n">
        <f aca="false">Q520</f>
        <v>19600</v>
      </c>
      <c r="T520" s="9" t="n">
        <v>17500</v>
      </c>
      <c r="U520" s="9" t="n">
        <f aca="false">T520</f>
        <v>17500</v>
      </c>
      <c r="V520" s="63" t="n">
        <v>20000</v>
      </c>
      <c r="W520" s="9" t="n">
        <f aca="false">V520</f>
        <v>20000</v>
      </c>
      <c r="X520" s="44" t="n">
        <f aca="false">T520/H520</f>
        <v>50</v>
      </c>
      <c r="Y520" s="9" t="s">
        <v>57</v>
      </c>
      <c r="Z520" s="40"/>
      <c r="AA520" s="43"/>
      <c r="AB520" s="5" t="s">
        <v>40</v>
      </c>
      <c r="AC520" s="4" t="s">
        <v>585</v>
      </c>
      <c r="AF520" s="57"/>
    </row>
    <row r="521" customFormat="false" ht="22.5" hidden="false" customHeight="true" outlineLevel="0" collapsed="false">
      <c r="A521" s="28"/>
      <c r="B521" s="11" t="s">
        <v>228</v>
      </c>
      <c r="C521" s="11" t="s">
        <v>35</v>
      </c>
      <c r="D521" s="28" t="n">
        <v>550620</v>
      </c>
      <c r="E521" s="4" t="s">
        <v>579</v>
      </c>
      <c r="F521" s="4" t="s">
        <v>176</v>
      </c>
      <c r="G521" s="5" t="s">
        <v>37</v>
      </c>
      <c r="H521" s="6" t="n">
        <v>350</v>
      </c>
      <c r="I521" s="6" t="n">
        <f aca="false">H521</f>
        <v>350</v>
      </c>
      <c r="J521" s="6" t="n">
        <v>500</v>
      </c>
      <c r="K521" s="4" t="s">
        <v>586</v>
      </c>
      <c r="L521" s="7" t="n">
        <v>45744</v>
      </c>
      <c r="M521" s="8" t="n">
        <v>47569</v>
      </c>
      <c r="P521" s="8" t="n">
        <v>46839</v>
      </c>
      <c r="Q521" s="9" t="n">
        <v>19950</v>
      </c>
      <c r="R521" s="9" t="n">
        <f aca="false">Q521</f>
        <v>19950</v>
      </c>
      <c r="T521" s="9" t="n">
        <v>17500</v>
      </c>
      <c r="U521" s="9" t="n">
        <f aca="false">T521</f>
        <v>17500</v>
      </c>
      <c r="V521" s="63" t="n">
        <v>20300</v>
      </c>
      <c r="W521" s="9" t="n">
        <f aca="false">V521</f>
        <v>20300</v>
      </c>
      <c r="X521" s="44" t="n">
        <f aca="false">T521/H521</f>
        <v>50</v>
      </c>
      <c r="Y521" s="9" t="s">
        <v>57</v>
      </c>
      <c r="Z521" s="40"/>
      <c r="AA521" s="43"/>
      <c r="AB521" s="5" t="s">
        <v>40</v>
      </c>
      <c r="AC521" s="4" t="s">
        <v>558</v>
      </c>
      <c r="AE521" s="4" t="n">
        <v>1</v>
      </c>
      <c r="AF521" s="57" t="n">
        <v>3</v>
      </c>
      <c r="AG521" s="4" t="s">
        <v>54</v>
      </c>
    </row>
    <row r="522" customFormat="false" ht="14.25" hidden="false" customHeight="true" outlineLevel="0" collapsed="false">
      <c r="A522" s="28"/>
      <c r="B522" s="11"/>
      <c r="C522" s="11" t="s">
        <v>35</v>
      </c>
      <c r="D522" s="28"/>
      <c r="E522" s="4"/>
      <c r="I522" s="9"/>
      <c r="J522" s="9"/>
      <c r="T522" s="9"/>
      <c r="U522" s="9" t="n">
        <f aca="false">T522</f>
        <v>0</v>
      </c>
      <c r="V522" s="63"/>
      <c r="W522" s="9" t="n">
        <f aca="false">V522</f>
        <v>0</v>
      </c>
      <c r="X522" s="9"/>
      <c r="Y522" s="9"/>
      <c r="Z522" s="40"/>
      <c r="AA522" s="43"/>
      <c r="AB522" s="5"/>
      <c r="AF522" s="57"/>
    </row>
    <row r="523" customFormat="false" ht="14.25" hidden="false" customHeight="true" outlineLevel="0" collapsed="false">
      <c r="A523" s="28"/>
      <c r="B523" s="11"/>
      <c r="C523" s="11" t="s">
        <v>35</v>
      </c>
      <c r="D523" s="28"/>
      <c r="E523" s="4"/>
      <c r="F523" s="45" t="s">
        <v>579</v>
      </c>
      <c r="H523" s="41" t="n">
        <f aca="false">SUM(H516:H521)</f>
        <v>2715</v>
      </c>
      <c r="I523" s="42"/>
      <c r="J523" s="42"/>
      <c r="Q523" s="42" t="n">
        <f aca="false">SUM(Q516:Q521)</f>
        <v>124150</v>
      </c>
      <c r="R523" s="42"/>
      <c r="S523" s="42" t="n">
        <f aca="false">SUM(R516:R521)</f>
        <v>124150</v>
      </c>
      <c r="T523" s="42" t="n">
        <f aca="false">SUM(T516:T521)</f>
        <v>141150</v>
      </c>
      <c r="U523" s="9"/>
      <c r="V523" s="43" t="n">
        <f aca="false">SUM(V516:V521)</f>
        <v>149650</v>
      </c>
      <c r="W523" s="9"/>
      <c r="X523" s="9"/>
      <c r="Y523" s="9"/>
      <c r="Z523" s="40"/>
      <c r="AA523" s="43" t="n">
        <v>2100000</v>
      </c>
      <c r="AB523" s="5"/>
      <c r="AE523" s="58"/>
      <c r="AF523" s="59"/>
      <c r="AG523" s="58"/>
    </row>
    <row r="524" customFormat="false" ht="14.25" hidden="false" customHeight="true" outlineLevel="0" collapsed="false">
      <c r="A524" s="28"/>
      <c r="B524" s="11"/>
      <c r="C524" s="11" t="s">
        <v>35</v>
      </c>
      <c r="D524" s="28"/>
      <c r="E524" s="4"/>
      <c r="I524" s="9"/>
      <c r="J524" s="9"/>
      <c r="T524" s="9"/>
      <c r="U524" s="9"/>
      <c r="V524" s="63"/>
      <c r="W524" s="9"/>
      <c r="X524" s="9"/>
      <c r="Y524" s="9"/>
      <c r="Z524" s="40"/>
      <c r="AB524" s="5"/>
      <c r="AF524" s="57"/>
    </row>
    <row r="525" customFormat="false" ht="14.25" hidden="false" customHeight="true" outlineLevel="0" collapsed="false">
      <c r="A525" s="28"/>
      <c r="B525" s="11"/>
      <c r="C525" s="11" t="s">
        <v>35</v>
      </c>
      <c r="D525" s="28"/>
      <c r="E525" s="4"/>
      <c r="G525" s="38" t="s">
        <v>587</v>
      </c>
      <c r="I525" s="9"/>
      <c r="J525" s="9"/>
      <c r="K525" s="39"/>
      <c r="T525" s="11"/>
      <c r="U525" s="9"/>
      <c r="W525" s="9"/>
      <c r="X525" s="9"/>
      <c r="Y525" s="9"/>
      <c r="Z525" s="40"/>
      <c r="AB525" s="5"/>
      <c r="AF525" s="57"/>
    </row>
    <row r="526" customFormat="false" ht="14.25" hidden="false" customHeight="true" outlineLevel="0" collapsed="false">
      <c r="A526" s="28"/>
      <c r="B526" s="11"/>
      <c r="C526" s="11" t="s">
        <v>35</v>
      </c>
      <c r="D526" s="28"/>
      <c r="E526" s="4"/>
      <c r="I526" s="9"/>
      <c r="J526" s="9"/>
      <c r="T526" s="9"/>
      <c r="U526" s="9"/>
      <c r="V526" s="63"/>
      <c r="W526" s="9"/>
      <c r="X526" s="9"/>
      <c r="Y526" s="9"/>
      <c r="Z526" s="40"/>
      <c r="AB526" s="5"/>
      <c r="AF526" s="57"/>
    </row>
    <row r="527" customFormat="false" ht="23.25" hidden="false" customHeight="true" outlineLevel="0" collapsed="false">
      <c r="A527" s="28"/>
      <c r="B527" s="11" t="s">
        <v>185</v>
      </c>
      <c r="C527" s="11" t="s">
        <v>35</v>
      </c>
      <c r="D527" s="28" t="n">
        <v>550640</v>
      </c>
      <c r="E527" s="4" t="s">
        <v>587</v>
      </c>
      <c r="F527" s="4" t="s">
        <v>588</v>
      </c>
      <c r="G527" s="5" t="s">
        <v>37</v>
      </c>
      <c r="H527" s="6" t="n">
        <v>3760</v>
      </c>
      <c r="I527" s="6" t="n">
        <f aca="false">H527</f>
        <v>3760</v>
      </c>
      <c r="J527" s="6" t="n">
        <v>2750</v>
      </c>
      <c r="K527" s="4" t="s">
        <v>589</v>
      </c>
      <c r="L527" s="7" t="n">
        <v>44769</v>
      </c>
      <c r="M527" s="8" t="n">
        <v>46594</v>
      </c>
      <c r="Q527" s="9" t="n">
        <v>95000</v>
      </c>
      <c r="R527" s="9" t="n">
        <f aca="false">Q527</f>
        <v>95000</v>
      </c>
      <c r="T527" s="9" t="n">
        <v>95000</v>
      </c>
      <c r="U527" s="9" t="n">
        <f aca="false">T527</f>
        <v>95000</v>
      </c>
      <c r="V527" s="63" t="n">
        <v>95000</v>
      </c>
      <c r="W527" s="9" t="n">
        <f aca="false">V527</f>
        <v>95000</v>
      </c>
      <c r="X527" s="44" t="n">
        <f aca="false">T527/H527</f>
        <v>25.2659574468085</v>
      </c>
      <c r="Y527" s="9" t="s">
        <v>123</v>
      </c>
      <c r="Z527" s="40"/>
      <c r="AB527" s="5" t="s">
        <v>40</v>
      </c>
      <c r="AF527" s="57"/>
    </row>
    <row r="528" customFormat="false" ht="22.5" hidden="false" customHeight="true" outlineLevel="0" collapsed="false">
      <c r="A528" s="28"/>
      <c r="B528" s="11" t="s">
        <v>185</v>
      </c>
      <c r="C528" s="11" t="s">
        <v>35</v>
      </c>
      <c r="D528" s="28" t="n">
        <v>550640</v>
      </c>
      <c r="E528" s="4" t="s">
        <v>587</v>
      </c>
      <c r="F528" s="4" t="s">
        <v>590</v>
      </c>
      <c r="G528" s="5" t="s">
        <v>591</v>
      </c>
      <c r="H528" s="6" t="n">
        <v>7994</v>
      </c>
      <c r="I528" s="6" t="n">
        <f aca="false">H528</f>
        <v>7994</v>
      </c>
      <c r="J528" s="6" t="n">
        <v>8000</v>
      </c>
      <c r="K528" s="4" t="s">
        <v>592</v>
      </c>
      <c r="L528" s="7" t="n">
        <v>45417</v>
      </c>
      <c r="M528" s="8" t="n">
        <v>49068</v>
      </c>
      <c r="O528" s="8" t="n">
        <v>47243</v>
      </c>
      <c r="P528" s="8" t="n">
        <v>47242</v>
      </c>
      <c r="Q528" s="9" t="n">
        <v>424275</v>
      </c>
      <c r="R528" s="9" t="n">
        <f aca="false">Q528</f>
        <v>424275</v>
      </c>
      <c r="T528" s="9" t="n">
        <v>379100</v>
      </c>
      <c r="U528" s="9" t="n">
        <f aca="false">T528</f>
        <v>379100</v>
      </c>
      <c r="V528" s="63" t="n">
        <v>424275</v>
      </c>
      <c r="W528" s="9" t="n">
        <f aca="false">V528</f>
        <v>424275</v>
      </c>
      <c r="X528" s="44" t="n">
        <f aca="false">T528/H528</f>
        <v>47.4230673004754</v>
      </c>
      <c r="Y528" s="9" t="s">
        <v>52</v>
      </c>
      <c r="Z528" s="40"/>
      <c r="AB528" s="5" t="s">
        <v>40</v>
      </c>
      <c r="AC528" s="4" t="s">
        <v>593</v>
      </c>
      <c r="AF528" s="57"/>
    </row>
    <row r="529" customFormat="false" ht="13.5" hidden="false" customHeight="true" outlineLevel="0" collapsed="false">
      <c r="A529" s="28"/>
      <c r="B529" s="11" t="s">
        <v>185</v>
      </c>
      <c r="C529" s="11" t="s">
        <v>35</v>
      </c>
      <c r="D529" s="28" t="n">
        <v>550640</v>
      </c>
      <c r="E529" s="4" t="s">
        <v>587</v>
      </c>
      <c r="F529" s="4" t="s">
        <v>321</v>
      </c>
      <c r="G529" s="5" t="s">
        <v>37</v>
      </c>
      <c r="H529" s="6" t="n">
        <v>2106</v>
      </c>
      <c r="I529" s="6" t="n">
        <f aca="false">H529</f>
        <v>2106</v>
      </c>
      <c r="J529" s="6" t="n">
        <v>2000</v>
      </c>
      <c r="K529" s="4" t="s">
        <v>594</v>
      </c>
      <c r="L529" s="7" t="n">
        <v>44317</v>
      </c>
      <c r="M529" s="8" t="n">
        <v>46142</v>
      </c>
      <c r="Q529" s="9" t="n">
        <v>115500</v>
      </c>
      <c r="R529" s="9" t="n">
        <f aca="false">Q529</f>
        <v>115500</v>
      </c>
      <c r="T529" s="9" t="n">
        <v>120700</v>
      </c>
      <c r="U529" s="9" t="n">
        <f aca="false">T529</f>
        <v>120700</v>
      </c>
      <c r="V529" s="63" t="n">
        <v>133700</v>
      </c>
      <c r="W529" s="9" t="n">
        <f aca="false">V529</f>
        <v>133700</v>
      </c>
      <c r="X529" s="44" t="n">
        <f aca="false">T529/H529</f>
        <v>57.312440645774</v>
      </c>
      <c r="Y529" s="9" t="s">
        <v>57</v>
      </c>
      <c r="Z529" s="40"/>
      <c r="AB529" s="5" t="s">
        <v>40</v>
      </c>
      <c r="AF529" s="57"/>
    </row>
    <row r="530" customFormat="false" ht="14.25" hidden="false" customHeight="true" outlineLevel="0" collapsed="false">
      <c r="A530" s="28"/>
      <c r="B530" s="11" t="s">
        <v>185</v>
      </c>
      <c r="C530" s="11" t="s">
        <v>35</v>
      </c>
      <c r="D530" s="28" t="n">
        <v>550640</v>
      </c>
      <c r="E530" s="4" t="s">
        <v>587</v>
      </c>
      <c r="F530" s="4" t="s">
        <v>324</v>
      </c>
      <c r="G530" s="5" t="s">
        <v>37</v>
      </c>
      <c r="H530" s="6" t="n">
        <v>1218</v>
      </c>
      <c r="I530" s="6" t="n">
        <f aca="false">H530</f>
        <v>1218</v>
      </c>
      <c r="J530" s="6" t="n">
        <v>1250</v>
      </c>
      <c r="K530" s="4" t="s">
        <v>63</v>
      </c>
      <c r="N530" s="8" t="n">
        <v>42705</v>
      </c>
      <c r="Q530" s="9" t="n">
        <v>0</v>
      </c>
      <c r="R530" s="9" t="n">
        <f aca="false">Q530</f>
        <v>0</v>
      </c>
      <c r="T530" s="9" t="n">
        <v>61500</v>
      </c>
      <c r="U530" s="9" t="n">
        <f aca="false">T530</f>
        <v>61500</v>
      </c>
      <c r="V530" s="63" t="n">
        <v>67000</v>
      </c>
      <c r="W530" s="9" t="n">
        <f aca="false">V530</f>
        <v>67000</v>
      </c>
      <c r="X530" s="44" t="n">
        <f aca="false">T530/H530</f>
        <v>50.4926108374384</v>
      </c>
      <c r="Y530" s="9" t="s">
        <v>57</v>
      </c>
      <c r="Z530" s="40"/>
      <c r="AB530" s="5" t="s">
        <v>40</v>
      </c>
      <c r="AC530" s="4" t="s">
        <v>115</v>
      </c>
      <c r="AD530" s="15" t="n">
        <v>62.5</v>
      </c>
      <c r="AF530" s="57"/>
    </row>
    <row r="531" customFormat="false" ht="13.5" hidden="false" customHeight="true" outlineLevel="0" collapsed="false">
      <c r="A531" s="28"/>
      <c r="B531" s="11" t="s">
        <v>185</v>
      </c>
      <c r="C531" s="11" t="s">
        <v>35</v>
      </c>
      <c r="D531" s="28" t="n">
        <v>550640</v>
      </c>
      <c r="E531" s="4" t="s">
        <v>587</v>
      </c>
      <c r="F531" s="4" t="s">
        <v>595</v>
      </c>
      <c r="G531" s="5" t="s">
        <v>37</v>
      </c>
      <c r="H531" s="6" t="n">
        <v>2256</v>
      </c>
      <c r="I531" s="6" t="n">
        <f aca="false">H531</f>
        <v>2256</v>
      </c>
      <c r="J531" s="6" t="n">
        <v>2250</v>
      </c>
      <c r="K531" s="4" t="s">
        <v>63</v>
      </c>
      <c r="N531" s="8" t="n">
        <v>44782</v>
      </c>
      <c r="Q531" s="9" t="n">
        <v>0</v>
      </c>
      <c r="R531" s="9" t="n">
        <f aca="false">Q531</f>
        <v>0</v>
      </c>
      <c r="T531" s="9" t="n">
        <v>129200</v>
      </c>
      <c r="U531" s="9" t="n">
        <f aca="false">T531</f>
        <v>129200</v>
      </c>
      <c r="V531" s="63" t="n">
        <v>135400</v>
      </c>
      <c r="W531" s="9" t="n">
        <f aca="false">V531</f>
        <v>135400</v>
      </c>
      <c r="X531" s="44" t="n">
        <f aca="false">T531/H531</f>
        <v>57.2695035460993</v>
      </c>
      <c r="Y531" s="9" t="s">
        <v>57</v>
      </c>
      <c r="Z531" s="40"/>
      <c r="AB531" s="5" t="s">
        <v>40</v>
      </c>
      <c r="AC531" s="4" t="s">
        <v>115</v>
      </c>
      <c r="AD531" s="15" t="n">
        <v>62.5</v>
      </c>
      <c r="AE531" s="4" t="n">
        <v>1</v>
      </c>
      <c r="AF531" s="57" t="n">
        <v>1</v>
      </c>
    </row>
    <row r="532" customFormat="false" ht="13.5" hidden="false" customHeight="true" outlineLevel="0" collapsed="false">
      <c r="A532" s="28"/>
      <c r="B532" s="11" t="s">
        <v>185</v>
      </c>
      <c r="C532" s="11" t="s">
        <v>35</v>
      </c>
      <c r="D532" s="28" t="n">
        <v>550640</v>
      </c>
      <c r="E532" s="4" t="s">
        <v>587</v>
      </c>
      <c r="F532" s="4" t="s">
        <v>577</v>
      </c>
      <c r="G532" s="5" t="s">
        <v>37</v>
      </c>
      <c r="H532" s="6" t="n">
        <v>1218</v>
      </c>
      <c r="I532" s="6" t="n">
        <f aca="false">H532</f>
        <v>1218</v>
      </c>
      <c r="J532" s="6" t="n">
        <v>1250</v>
      </c>
      <c r="K532" s="4" t="s">
        <v>63</v>
      </c>
      <c r="N532" s="8" t="n">
        <v>42513</v>
      </c>
      <c r="Q532" s="9" t="n">
        <v>0</v>
      </c>
      <c r="R532" s="9" t="n">
        <f aca="false">Q532</f>
        <v>0</v>
      </c>
      <c r="T532" s="9" t="n">
        <v>59700</v>
      </c>
      <c r="U532" s="9" t="n">
        <f aca="false">T532</f>
        <v>59700</v>
      </c>
      <c r="V532" s="63" t="n">
        <v>67000</v>
      </c>
      <c r="W532" s="9" t="n">
        <f aca="false">V532</f>
        <v>67000</v>
      </c>
      <c r="X532" s="44" t="n">
        <f aca="false">T532/H532</f>
        <v>49.0147783251232</v>
      </c>
      <c r="Y532" s="9" t="s">
        <v>123</v>
      </c>
      <c r="Z532" s="40"/>
      <c r="AB532" s="5" t="s">
        <v>40</v>
      </c>
      <c r="AC532" s="4" t="s">
        <v>115</v>
      </c>
      <c r="AD532" s="15" t="n">
        <v>62.5</v>
      </c>
      <c r="AF532" s="57"/>
    </row>
    <row r="533" customFormat="false" ht="13.5" hidden="false" customHeight="true" outlineLevel="0" collapsed="false">
      <c r="A533" s="28"/>
      <c r="B533" s="11" t="s">
        <v>185</v>
      </c>
      <c r="C533" s="11" t="s">
        <v>35</v>
      </c>
      <c r="D533" s="28" t="n">
        <v>550640</v>
      </c>
      <c r="E533" s="4" t="s">
        <v>587</v>
      </c>
      <c r="F533" s="4" t="s">
        <v>90</v>
      </c>
      <c r="G533" s="5" t="s">
        <v>37</v>
      </c>
      <c r="H533" s="6" t="n">
        <v>2194</v>
      </c>
      <c r="I533" s="6" t="n">
        <f aca="false">H533</f>
        <v>2194</v>
      </c>
      <c r="J533" s="6" t="n">
        <v>2000</v>
      </c>
      <c r="K533" s="4" t="s">
        <v>596</v>
      </c>
      <c r="L533" s="7" t="n">
        <v>45082</v>
      </c>
      <c r="M533" s="8" t="n">
        <v>46908</v>
      </c>
      <c r="P533" s="8" t="n">
        <v>46177</v>
      </c>
      <c r="Q533" s="9" t="n">
        <v>130980</v>
      </c>
      <c r="R533" s="9" t="n">
        <f aca="false">Q533</f>
        <v>130980</v>
      </c>
      <c r="T533" s="9" t="n">
        <v>122200</v>
      </c>
      <c r="U533" s="9" t="n">
        <f aca="false">T533</f>
        <v>122200</v>
      </c>
      <c r="V533" s="63" t="n">
        <v>134900</v>
      </c>
      <c r="W533" s="9" t="n">
        <f aca="false">V533</f>
        <v>134900</v>
      </c>
      <c r="X533" s="44" t="n">
        <f aca="false">T533/H533</f>
        <v>55.6973564266181</v>
      </c>
      <c r="Y533" s="9" t="s">
        <v>39</v>
      </c>
      <c r="Z533" s="40"/>
      <c r="AB533" s="5" t="s">
        <v>40</v>
      </c>
      <c r="AC533" s="4" t="s">
        <v>73</v>
      </c>
      <c r="AE533" s="58"/>
      <c r="AF533" s="59"/>
      <c r="AG533" s="58"/>
    </row>
    <row r="534" customFormat="false" ht="21" hidden="false" customHeight="true" outlineLevel="0" collapsed="false">
      <c r="A534" s="28"/>
      <c r="B534" s="11" t="s">
        <v>185</v>
      </c>
      <c r="C534" s="11" t="s">
        <v>35</v>
      </c>
      <c r="D534" s="28" t="n">
        <v>550640</v>
      </c>
      <c r="E534" s="4" t="s">
        <v>587</v>
      </c>
      <c r="F534" s="4" t="s">
        <v>114</v>
      </c>
      <c r="G534" s="5" t="s">
        <v>37</v>
      </c>
      <c r="H534" s="6" t="n">
        <v>2080</v>
      </c>
      <c r="I534" s="6" t="n">
        <f aca="false">H534</f>
        <v>2080</v>
      </c>
      <c r="J534" s="6" t="n">
        <v>2000</v>
      </c>
      <c r="K534" s="4" t="s">
        <v>63</v>
      </c>
      <c r="N534" s="8" t="n">
        <v>44647</v>
      </c>
      <c r="Q534" s="9" t="n">
        <v>0</v>
      </c>
      <c r="R534" s="9" t="n">
        <f aca="false">Q534</f>
        <v>0</v>
      </c>
      <c r="T534" s="9" t="n">
        <v>117900</v>
      </c>
      <c r="U534" s="9" t="n">
        <f aca="false">T534</f>
        <v>117900</v>
      </c>
      <c r="V534" s="63" t="n">
        <v>127900</v>
      </c>
      <c r="W534" s="9" t="n">
        <f aca="false">V534</f>
        <v>127900</v>
      </c>
      <c r="X534" s="44" t="n">
        <f aca="false">T534/H534</f>
        <v>56.6826923076923</v>
      </c>
      <c r="Y534" s="9" t="s">
        <v>57</v>
      </c>
      <c r="Z534" s="40"/>
      <c r="AB534" s="5" t="s">
        <v>40</v>
      </c>
      <c r="AC534" s="4" t="s">
        <v>115</v>
      </c>
      <c r="AD534" s="15" t="n">
        <v>63</v>
      </c>
      <c r="AE534" s="4" t="n">
        <v>1</v>
      </c>
      <c r="AF534" s="57" t="n">
        <v>4</v>
      </c>
      <c r="AG534" s="4" t="s">
        <v>597</v>
      </c>
    </row>
    <row r="535" customFormat="false" ht="13.5" hidden="false" customHeight="true" outlineLevel="0" collapsed="false">
      <c r="A535" s="28"/>
      <c r="B535" s="11" t="s">
        <v>185</v>
      </c>
      <c r="C535" s="11" t="s">
        <v>35</v>
      </c>
      <c r="D535" s="28" t="n">
        <v>550640</v>
      </c>
      <c r="E535" s="4" t="s">
        <v>587</v>
      </c>
      <c r="F535" s="4" t="s">
        <v>176</v>
      </c>
      <c r="G535" s="5" t="s">
        <v>37</v>
      </c>
      <c r="H535" s="6" t="n">
        <v>1713</v>
      </c>
      <c r="I535" s="6" t="n">
        <f aca="false">H535</f>
        <v>1713</v>
      </c>
      <c r="J535" s="6" t="n">
        <v>1750</v>
      </c>
      <c r="K535" s="4" t="s">
        <v>63</v>
      </c>
      <c r="N535" s="8" t="n">
        <v>45195</v>
      </c>
      <c r="Q535" s="9" t="n">
        <v>0</v>
      </c>
      <c r="R535" s="9" t="n">
        <f aca="false">Q535</f>
        <v>0</v>
      </c>
      <c r="T535" s="9" t="n">
        <v>94300</v>
      </c>
      <c r="U535" s="9" t="n">
        <f aca="false">T535</f>
        <v>94300</v>
      </c>
      <c r="V535" s="63" t="n">
        <v>105300</v>
      </c>
      <c r="W535" s="9" t="n">
        <f aca="false">V535</f>
        <v>105300</v>
      </c>
      <c r="X535" s="44" t="n">
        <f aca="false">T535/H535</f>
        <v>55.0496205487449</v>
      </c>
      <c r="Y535" s="9" t="s">
        <v>123</v>
      </c>
      <c r="Z535" s="40"/>
      <c r="AB535" s="5" t="s">
        <v>40</v>
      </c>
      <c r="AC535" s="4" t="s">
        <v>115</v>
      </c>
      <c r="AD535" s="15" t="n">
        <v>65</v>
      </c>
      <c r="AE535" s="4" t="n">
        <v>1</v>
      </c>
      <c r="AF535" s="57" t="n">
        <v>1</v>
      </c>
    </row>
    <row r="536" customFormat="false" ht="14.25" hidden="false" customHeight="true" outlineLevel="0" collapsed="false">
      <c r="A536" s="28"/>
      <c r="B536" s="11"/>
      <c r="C536" s="11" t="s">
        <v>35</v>
      </c>
      <c r="D536" s="28"/>
      <c r="E536" s="4"/>
      <c r="I536" s="9"/>
      <c r="J536" s="9"/>
      <c r="T536" s="9"/>
      <c r="U536" s="9"/>
      <c r="V536" s="63"/>
      <c r="W536" s="9"/>
      <c r="X536" s="9"/>
      <c r="Y536" s="9"/>
      <c r="Z536" s="40"/>
      <c r="AB536" s="5"/>
      <c r="AF536" s="57"/>
    </row>
    <row r="537" customFormat="false" ht="14.25" hidden="false" customHeight="true" outlineLevel="0" collapsed="false">
      <c r="A537" s="28"/>
      <c r="B537" s="11"/>
      <c r="C537" s="11" t="s">
        <v>35</v>
      </c>
      <c r="D537" s="28"/>
      <c r="E537" s="4"/>
      <c r="F537" s="45" t="s">
        <v>598</v>
      </c>
      <c r="H537" s="41" t="n">
        <f aca="false">SUM(H527:H535)</f>
        <v>24539</v>
      </c>
      <c r="I537" s="42"/>
      <c r="J537" s="42"/>
      <c r="Q537" s="42" t="n">
        <f aca="false">SUM(Q527:Q535)</f>
        <v>765755</v>
      </c>
      <c r="R537" s="42"/>
      <c r="S537" s="42" t="n">
        <f aca="false">SUM(R525:R536)</f>
        <v>765755</v>
      </c>
      <c r="T537" s="42" t="n">
        <f aca="false">SUM(T527:T535)</f>
        <v>1179600</v>
      </c>
      <c r="U537" s="42"/>
      <c r="V537" s="43" t="n">
        <f aca="false">SUM(V527:V535)</f>
        <v>1290475</v>
      </c>
      <c r="W537" s="42"/>
      <c r="X537" s="42"/>
      <c r="Y537" s="42"/>
      <c r="Z537" s="64"/>
      <c r="AA537" s="43" t="n">
        <v>16875000</v>
      </c>
      <c r="AB537" s="5"/>
      <c r="AE537" s="58"/>
      <c r="AF537" s="59"/>
      <c r="AG537" s="58"/>
    </row>
    <row r="538" customFormat="false" ht="14.25" hidden="false" customHeight="true" outlineLevel="0" collapsed="false">
      <c r="A538" s="28"/>
      <c r="B538" s="11"/>
      <c r="C538" s="11" t="s">
        <v>35</v>
      </c>
      <c r="D538" s="28"/>
      <c r="E538" s="4"/>
      <c r="I538" s="9"/>
      <c r="J538" s="9"/>
      <c r="T538" s="9"/>
      <c r="U538" s="9"/>
      <c r="V538" s="63"/>
      <c r="W538" s="9"/>
      <c r="X538" s="9"/>
      <c r="Y538" s="9"/>
      <c r="Z538" s="40"/>
      <c r="AA538" s="43"/>
      <c r="AB538" s="5"/>
      <c r="AF538" s="57"/>
    </row>
    <row r="539" customFormat="false" ht="14.25" hidden="false" customHeight="true" outlineLevel="0" collapsed="false">
      <c r="A539" s="28"/>
      <c r="B539" s="11"/>
      <c r="C539" s="11" t="s">
        <v>35</v>
      </c>
      <c r="D539" s="28"/>
      <c r="E539" s="4"/>
      <c r="G539" s="38" t="s">
        <v>599</v>
      </c>
      <c r="I539" s="9"/>
      <c r="J539" s="9"/>
      <c r="K539" s="39"/>
      <c r="T539" s="11"/>
      <c r="U539" s="9"/>
      <c r="W539" s="9"/>
      <c r="X539" s="9"/>
      <c r="Y539" s="9"/>
      <c r="Z539" s="40"/>
      <c r="AA539" s="43"/>
      <c r="AB539" s="5"/>
      <c r="AF539" s="57"/>
    </row>
    <row r="540" customFormat="false" ht="14.25" hidden="false" customHeight="true" outlineLevel="0" collapsed="false">
      <c r="A540" s="28"/>
      <c r="B540" s="11"/>
      <c r="C540" s="11" t="s">
        <v>35</v>
      </c>
      <c r="D540" s="28"/>
      <c r="E540" s="4"/>
      <c r="G540" s="38"/>
      <c r="H540" s="72"/>
      <c r="I540" s="9"/>
      <c r="J540" s="9"/>
      <c r="T540" s="9"/>
      <c r="U540" s="9"/>
      <c r="V540" s="63"/>
      <c r="W540" s="9"/>
      <c r="X540" s="9"/>
      <c r="Y540" s="9"/>
      <c r="Z540" s="40"/>
      <c r="AA540" s="43"/>
      <c r="AB540" s="5"/>
      <c r="AF540" s="57"/>
    </row>
    <row r="541" customFormat="false" ht="13.5" hidden="false" customHeight="true" outlineLevel="0" collapsed="false">
      <c r="A541" s="28"/>
      <c r="B541" s="11" t="s">
        <v>34</v>
      </c>
      <c r="C541" s="11" t="s">
        <v>35</v>
      </c>
      <c r="D541" s="28" t="n">
        <v>550630</v>
      </c>
      <c r="E541" s="4" t="s">
        <v>599</v>
      </c>
      <c r="F541" s="4" t="s">
        <v>177</v>
      </c>
      <c r="G541" s="5" t="s">
        <v>161</v>
      </c>
      <c r="H541" s="6" t="n">
        <v>927</v>
      </c>
      <c r="I541" s="6" t="n">
        <f aca="false">H541</f>
        <v>927</v>
      </c>
      <c r="J541" s="6" t="n">
        <v>1000</v>
      </c>
      <c r="K541" s="4" t="s">
        <v>63</v>
      </c>
      <c r="L541" s="4"/>
      <c r="M541" s="4"/>
      <c r="N541" s="8" t="n">
        <v>45785</v>
      </c>
      <c r="Q541" s="9" t="n">
        <v>0</v>
      </c>
      <c r="R541" s="9" t="n">
        <f aca="false">Q541</f>
        <v>0</v>
      </c>
      <c r="T541" s="9" t="n">
        <v>13900</v>
      </c>
      <c r="U541" s="9" t="n">
        <f aca="false">T541</f>
        <v>13900</v>
      </c>
      <c r="V541" s="63" t="n">
        <v>18500</v>
      </c>
      <c r="W541" s="9" t="n">
        <f aca="false">V541</f>
        <v>18500</v>
      </c>
      <c r="X541" s="44" t="n">
        <f aca="false">T541/H541</f>
        <v>14.9946062567422</v>
      </c>
      <c r="Y541" s="9" t="s">
        <v>57</v>
      </c>
      <c r="Z541" s="40"/>
      <c r="AA541" s="43"/>
      <c r="AB541" s="5" t="s">
        <v>40</v>
      </c>
      <c r="AC541" s="4" t="s">
        <v>220</v>
      </c>
      <c r="AE541" s="58"/>
      <c r="AF541" s="59"/>
      <c r="AG541" s="58"/>
    </row>
    <row r="542" customFormat="false" ht="14.25" hidden="false" customHeight="true" outlineLevel="0" collapsed="false">
      <c r="A542" s="28"/>
      <c r="B542" s="11" t="s">
        <v>34</v>
      </c>
      <c r="C542" s="11" t="s">
        <v>35</v>
      </c>
      <c r="D542" s="28" t="n">
        <v>550630</v>
      </c>
      <c r="E542" s="4" t="s">
        <v>599</v>
      </c>
      <c r="F542" s="4" t="s">
        <v>600</v>
      </c>
      <c r="G542" s="5" t="s">
        <v>37</v>
      </c>
      <c r="H542" s="6" t="n">
        <v>1010</v>
      </c>
      <c r="I542" s="6" t="n">
        <f aca="false">H542</f>
        <v>1010</v>
      </c>
      <c r="J542" s="6" t="n">
        <v>1000</v>
      </c>
      <c r="K542" s="4" t="s">
        <v>63</v>
      </c>
      <c r="N542" s="8" t="n">
        <v>42794</v>
      </c>
      <c r="Q542" s="9" t="n">
        <v>0</v>
      </c>
      <c r="R542" s="9" t="n">
        <f aca="false">Q542</f>
        <v>0</v>
      </c>
      <c r="T542" s="9" t="n">
        <v>55600</v>
      </c>
      <c r="U542" s="9" t="n">
        <f aca="false">T542</f>
        <v>55600</v>
      </c>
      <c r="V542" s="63" t="n">
        <v>60600</v>
      </c>
      <c r="W542" s="9" t="n">
        <f aca="false">V542</f>
        <v>60600</v>
      </c>
      <c r="X542" s="44" t="n">
        <f aca="false">T542/H542</f>
        <v>55.0495049504951</v>
      </c>
      <c r="Y542" s="9" t="s">
        <v>57</v>
      </c>
      <c r="Z542" s="40"/>
      <c r="AA542" s="43"/>
      <c r="AB542" s="5" t="s">
        <v>40</v>
      </c>
      <c r="AC542" s="4" t="s">
        <v>220</v>
      </c>
      <c r="AE542" s="58"/>
      <c r="AF542" s="59"/>
      <c r="AG542" s="58"/>
    </row>
    <row r="543" customFormat="false" ht="13.5" hidden="false" customHeight="true" outlineLevel="0" collapsed="false">
      <c r="A543" s="28"/>
      <c r="B543" s="11" t="s">
        <v>34</v>
      </c>
      <c r="C543" s="11" t="s">
        <v>35</v>
      </c>
      <c r="D543" s="28" t="n">
        <v>550630</v>
      </c>
      <c r="E543" s="4" t="s">
        <v>599</v>
      </c>
      <c r="F543" s="4" t="s">
        <v>85</v>
      </c>
      <c r="G543" s="5" t="s">
        <v>37</v>
      </c>
      <c r="H543" s="6" t="n">
        <v>971</v>
      </c>
      <c r="I543" s="6" t="n">
        <f aca="false">H543</f>
        <v>971</v>
      </c>
      <c r="J543" s="6" t="n">
        <v>1000</v>
      </c>
      <c r="K543" s="4" t="s">
        <v>63</v>
      </c>
      <c r="N543" s="8" t="n">
        <v>44071</v>
      </c>
      <c r="Q543" s="9" t="n">
        <v>0</v>
      </c>
      <c r="R543" s="9" t="n">
        <f aca="false">Q543</f>
        <v>0</v>
      </c>
      <c r="T543" s="9" t="n">
        <v>53400</v>
      </c>
      <c r="U543" s="9" t="n">
        <f aca="false">T543</f>
        <v>53400</v>
      </c>
      <c r="V543" s="63" t="n">
        <v>58300</v>
      </c>
      <c r="W543" s="9" t="n">
        <f aca="false">V543</f>
        <v>58300</v>
      </c>
      <c r="X543" s="44" t="n">
        <f aca="false">T543/H543</f>
        <v>54.994850669413</v>
      </c>
      <c r="Y543" s="9" t="s">
        <v>57</v>
      </c>
      <c r="Z543" s="40"/>
      <c r="AA543" s="43"/>
      <c r="AB543" s="5" t="s">
        <v>40</v>
      </c>
      <c r="AC543" s="4" t="s">
        <v>220</v>
      </c>
      <c r="AE543" s="58"/>
      <c r="AF543" s="59"/>
      <c r="AG543" s="58"/>
    </row>
    <row r="544" customFormat="false" ht="14.25" hidden="false" customHeight="true" outlineLevel="0" collapsed="false">
      <c r="A544" s="28"/>
      <c r="B544" s="11" t="s">
        <v>34</v>
      </c>
      <c r="C544" s="11" t="s">
        <v>35</v>
      </c>
      <c r="D544" s="28" t="n">
        <v>550630</v>
      </c>
      <c r="E544" s="4" t="s">
        <v>599</v>
      </c>
      <c r="F544" s="4" t="s">
        <v>89</v>
      </c>
      <c r="G544" s="5" t="s">
        <v>37</v>
      </c>
      <c r="H544" s="6" t="n">
        <v>1000</v>
      </c>
      <c r="I544" s="6" t="n">
        <f aca="false">H544</f>
        <v>1000</v>
      </c>
      <c r="J544" s="6" t="n">
        <v>1000</v>
      </c>
      <c r="K544" s="4" t="s">
        <v>63</v>
      </c>
      <c r="N544" s="8" t="n">
        <v>43261</v>
      </c>
      <c r="Q544" s="9" t="n">
        <v>0</v>
      </c>
      <c r="R544" s="9" t="n">
        <f aca="false">Q544</f>
        <v>0</v>
      </c>
      <c r="T544" s="9" t="n">
        <v>52500</v>
      </c>
      <c r="U544" s="9" t="n">
        <f aca="false">T544</f>
        <v>52500</v>
      </c>
      <c r="V544" s="63" t="n">
        <v>57500</v>
      </c>
      <c r="W544" s="9" t="n">
        <f aca="false">V544</f>
        <v>57500</v>
      </c>
      <c r="X544" s="44" t="n">
        <f aca="false">T544/H544</f>
        <v>52.5</v>
      </c>
      <c r="Y544" s="9" t="s">
        <v>57</v>
      </c>
      <c r="Z544" s="40"/>
      <c r="AA544" s="43"/>
      <c r="AB544" s="5" t="s">
        <v>40</v>
      </c>
      <c r="AC544" s="4" t="s">
        <v>220</v>
      </c>
      <c r="AE544" s="58"/>
      <c r="AF544" s="59"/>
      <c r="AG544" s="58"/>
    </row>
    <row r="545" customFormat="false" ht="14.25" hidden="false" customHeight="true" outlineLevel="0" collapsed="false">
      <c r="A545" s="28"/>
      <c r="B545" s="11"/>
      <c r="C545" s="11" t="s">
        <v>35</v>
      </c>
      <c r="D545" s="28"/>
      <c r="E545" s="4"/>
      <c r="I545" s="9"/>
      <c r="J545" s="9"/>
      <c r="T545" s="9"/>
      <c r="U545" s="9"/>
      <c r="V545" s="63"/>
      <c r="W545" s="9"/>
      <c r="X545" s="9"/>
      <c r="Y545" s="9"/>
      <c r="Z545" s="40"/>
      <c r="AA545" s="43"/>
      <c r="AB545" s="5"/>
      <c r="AF545" s="57"/>
    </row>
    <row r="546" customFormat="false" ht="14.25" hidden="false" customHeight="true" outlineLevel="0" collapsed="false">
      <c r="A546" s="28"/>
      <c r="B546" s="11"/>
      <c r="C546" s="11" t="s">
        <v>35</v>
      </c>
      <c r="D546" s="28"/>
      <c r="E546" s="4"/>
      <c r="F546" s="45" t="s">
        <v>601</v>
      </c>
      <c r="H546" s="41" t="n">
        <f aca="false">SUM(H541:H544)</f>
        <v>3908</v>
      </c>
      <c r="I546" s="42"/>
      <c r="J546" s="42"/>
      <c r="Q546" s="42" t="n">
        <f aca="false">SUM(Q541:Q544)</f>
        <v>0</v>
      </c>
      <c r="R546" s="42"/>
      <c r="S546" s="42" t="n">
        <f aca="false">SUM(R540:R545)</f>
        <v>0</v>
      </c>
      <c r="T546" s="42" t="n">
        <f aca="false">SUM(T541:T544)</f>
        <v>175400</v>
      </c>
      <c r="U546" s="42"/>
      <c r="V546" s="43" t="n">
        <f aca="false">SUM(V541:V544)</f>
        <v>194900</v>
      </c>
      <c r="W546" s="42"/>
      <c r="X546" s="42"/>
      <c r="Y546" s="42"/>
      <c r="Z546" s="64"/>
      <c r="AA546" s="43" t="n">
        <v>2075000</v>
      </c>
      <c r="AB546" s="5"/>
      <c r="AF546" s="57"/>
    </row>
    <row r="547" customFormat="false" ht="14.25" hidden="false" customHeight="true" outlineLevel="0" collapsed="false">
      <c r="A547" s="28"/>
      <c r="B547" s="11"/>
      <c r="C547" s="11" t="s">
        <v>35</v>
      </c>
      <c r="D547" s="28"/>
      <c r="E547" s="4"/>
      <c r="H547" s="41"/>
      <c r="I547" s="42"/>
      <c r="J547" s="42"/>
      <c r="Q547" s="42"/>
      <c r="R547" s="42"/>
      <c r="S547" s="42"/>
      <c r="T547" s="42"/>
      <c r="U547" s="42"/>
      <c r="V547" s="43"/>
      <c r="W547" s="42"/>
      <c r="X547" s="42"/>
      <c r="Y547" s="42"/>
      <c r="Z547" s="64"/>
      <c r="AA547" s="62"/>
      <c r="AB547" s="5"/>
      <c r="AF547" s="57"/>
    </row>
    <row r="548" customFormat="false" ht="14.25" hidden="false" customHeight="true" outlineLevel="0" collapsed="false">
      <c r="A548" s="28"/>
      <c r="B548" s="11"/>
      <c r="C548" s="11" t="s">
        <v>35</v>
      </c>
      <c r="D548" s="28"/>
      <c r="E548" s="4"/>
      <c r="G548" s="38" t="s">
        <v>602</v>
      </c>
      <c r="I548" s="9"/>
      <c r="J548" s="9"/>
      <c r="K548" s="39"/>
      <c r="T548" s="11"/>
      <c r="U548" s="9"/>
      <c r="W548" s="9"/>
      <c r="X548" s="9"/>
      <c r="Y548" s="9"/>
      <c r="Z548" s="40"/>
      <c r="AB548" s="5"/>
      <c r="AF548" s="57"/>
    </row>
    <row r="549" customFormat="false" ht="14.25" hidden="false" customHeight="true" outlineLevel="0" collapsed="false">
      <c r="A549" s="28"/>
      <c r="B549" s="11"/>
      <c r="C549" s="11" t="s">
        <v>35</v>
      </c>
      <c r="D549" s="28"/>
      <c r="E549" s="4"/>
      <c r="G549" s="38"/>
      <c r="I549" s="9"/>
      <c r="J549" s="9"/>
      <c r="K549" s="39"/>
      <c r="T549" s="11"/>
      <c r="U549" s="9"/>
      <c r="W549" s="9"/>
      <c r="X549" s="9"/>
      <c r="Y549" s="9"/>
      <c r="Z549" s="40"/>
      <c r="AB549" s="5"/>
    </row>
    <row r="550" customFormat="false" ht="23.25" hidden="false" customHeight="true" outlineLevel="0" collapsed="false">
      <c r="A550" s="28"/>
      <c r="B550" s="11" t="s">
        <v>34</v>
      </c>
      <c r="C550" s="11" t="s">
        <v>35</v>
      </c>
      <c r="D550" s="28" t="n">
        <v>550690</v>
      </c>
      <c r="E550" s="4" t="s">
        <v>602</v>
      </c>
      <c r="F550" s="4" t="s">
        <v>603</v>
      </c>
      <c r="G550" s="106" t="s">
        <v>37</v>
      </c>
      <c r="H550" s="6" t="n">
        <v>1519</v>
      </c>
      <c r="I550" s="6" t="n">
        <f aca="false">H550</f>
        <v>1519</v>
      </c>
      <c r="J550" s="6" t="n">
        <v>1500</v>
      </c>
      <c r="K550" s="4" t="s">
        <v>604</v>
      </c>
      <c r="L550" s="7" t="n">
        <v>45824</v>
      </c>
      <c r="M550" s="8" t="n">
        <v>46188</v>
      </c>
      <c r="Q550" s="9" t="n">
        <v>61812</v>
      </c>
      <c r="R550" s="9" t="n">
        <f aca="false">Q550</f>
        <v>61812</v>
      </c>
      <c r="T550" s="9" t="n">
        <v>53600</v>
      </c>
      <c r="U550" s="9" t="n">
        <f aca="false">T550</f>
        <v>53600</v>
      </c>
      <c r="V550" s="63" t="n">
        <v>54700</v>
      </c>
      <c r="W550" s="9" t="n">
        <f aca="false">V550</f>
        <v>54700</v>
      </c>
      <c r="X550" s="44" t="n">
        <f aca="false">T550/H550</f>
        <v>35.2863726135616</v>
      </c>
      <c r="Y550" s="9" t="s">
        <v>123</v>
      </c>
      <c r="Z550" s="40" t="s">
        <v>25</v>
      </c>
      <c r="AB550" s="5" t="s">
        <v>40</v>
      </c>
      <c r="AC550" s="4" t="s">
        <v>271</v>
      </c>
      <c r="AE550" s="4" t="n">
        <v>1</v>
      </c>
      <c r="AF550" s="57" t="n">
        <v>4</v>
      </c>
      <c r="AG550" s="4" t="s">
        <v>54</v>
      </c>
    </row>
    <row r="551" customFormat="false" ht="33.75" hidden="false" customHeight="true" outlineLevel="0" collapsed="false">
      <c r="A551" s="28"/>
      <c r="B551" s="11" t="s">
        <v>34</v>
      </c>
      <c r="C551" s="11" t="s">
        <v>35</v>
      </c>
      <c r="D551" s="28" t="n">
        <v>550690</v>
      </c>
      <c r="E551" s="4" t="s">
        <v>602</v>
      </c>
      <c r="F551" s="4" t="s">
        <v>605</v>
      </c>
      <c r="G551" s="5" t="s">
        <v>37</v>
      </c>
      <c r="H551" s="6" t="n">
        <v>1525</v>
      </c>
      <c r="I551" s="6" t="n">
        <f aca="false">H551</f>
        <v>1525</v>
      </c>
      <c r="J551" s="6" t="n">
        <v>1500</v>
      </c>
      <c r="K551" s="4" t="s">
        <v>606</v>
      </c>
      <c r="L551" s="7" t="n">
        <v>45834</v>
      </c>
      <c r="M551" s="8" t="n">
        <v>47659</v>
      </c>
      <c r="Q551" s="9" t="n">
        <v>0</v>
      </c>
      <c r="R551" s="9" t="n">
        <f aca="false">Q551</f>
        <v>0</v>
      </c>
      <c r="T551" s="9" t="n">
        <v>90600</v>
      </c>
      <c r="U551" s="9" t="n">
        <f aca="false">T551</f>
        <v>90600</v>
      </c>
      <c r="V551" s="63" t="n">
        <v>91500</v>
      </c>
      <c r="W551" s="9" t="n">
        <f aca="false">V551</f>
        <v>91500</v>
      </c>
      <c r="X551" s="44" t="n">
        <f aca="false">T551/H551</f>
        <v>59.4098360655738</v>
      </c>
      <c r="Y551" s="9" t="s">
        <v>123</v>
      </c>
      <c r="Z551" s="40"/>
      <c r="AB551" s="5" t="s">
        <v>40</v>
      </c>
      <c r="AC551" s="4" t="s">
        <v>607</v>
      </c>
      <c r="AF551" s="57"/>
    </row>
    <row r="552" customFormat="false" ht="28.5" hidden="false" customHeight="true" outlineLevel="0" collapsed="false">
      <c r="A552" s="28"/>
      <c r="B552" s="11" t="s">
        <v>34</v>
      </c>
      <c r="C552" s="11" t="s">
        <v>35</v>
      </c>
      <c r="D552" s="28" t="n">
        <v>550690</v>
      </c>
      <c r="E552" s="4" t="s">
        <v>602</v>
      </c>
      <c r="F552" s="4" t="s">
        <v>608</v>
      </c>
      <c r="G552" s="5" t="s">
        <v>229</v>
      </c>
      <c r="H552" s="6" t="n">
        <v>1989</v>
      </c>
      <c r="I552" s="6" t="n">
        <f aca="false">H552</f>
        <v>1989</v>
      </c>
      <c r="J552" s="6" t="n">
        <v>2000</v>
      </c>
      <c r="K552" s="4" t="s">
        <v>609</v>
      </c>
      <c r="L552" s="7" t="n">
        <v>42874</v>
      </c>
      <c r="M552" s="8" t="n">
        <v>46525</v>
      </c>
      <c r="O552" s="8" t="n">
        <v>44700</v>
      </c>
      <c r="Q552" s="9" t="n">
        <v>82575</v>
      </c>
      <c r="R552" s="9" t="n">
        <f aca="false">Q552</f>
        <v>82575</v>
      </c>
      <c r="T552" s="9" t="n">
        <v>75000</v>
      </c>
      <c r="U552" s="9" t="n">
        <f aca="false">T552</f>
        <v>75000</v>
      </c>
      <c r="V552" s="63" t="n">
        <v>87300</v>
      </c>
      <c r="W552" s="9" t="n">
        <f aca="false">V552</f>
        <v>87300</v>
      </c>
      <c r="X552" s="44" t="n">
        <f aca="false">T552/H552</f>
        <v>37.7073906485671</v>
      </c>
      <c r="Y552" s="9" t="s">
        <v>39</v>
      </c>
      <c r="Z552" s="40"/>
      <c r="AB552" s="5" t="s">
        <v>40</v>
      </c>
      <c r="AF552" s="57"/>
    </row>
    <row r="553" customFormat="false" ht="22.5" hidden="false" customHeight="true" outlineLevel="0" collapsed="false">
      <c r="A553" s="28"/>
      <c r="B553" s="11" t="s">
        <v>34</v>
      </c>
      <c r="C553" s="11" t="s">
        <v>35</v>
      </c>
      <c r="D553" s="28" t="n">
        <v>550690</v>
      </c>
      <c r="E553" s="4" t="s">
        <v>602</v>
      </c>
      <c r="F553" s="4" t="s">
        <v>135</v>
      </c>
      <c r="G553" s="5" t="s">
        <v>304</v>
      </c>
      <c r="H553" s="6" t="n">
        <v>1143</v>
      </c>
      <c r="I553" s="6" t="n">
        <f aca="false">H553</f>
        <v>1143</v>
      </c>
      <c r="J553" s="6" t="n">
        <v>1000</v>
      </c>
      <c r="K553" s="4" t="s">
        <v>63</v>
      </c>
      <c r="N553" s="8" t="n">
        <v>44293</v>
      </c>
      <c r="Q553" s="9" t="n">
        <v>0</v>
      </c>
      <c r="R553" s="9" t="n">
        <f aca="false">Q553</f>
        <v>0</v>
      </c>
      <c r="T553" s="9" t="n">
        <v>73600</v>
      </c>
      <c r="U553" s="9" t="n">
        <f aca="false">T553</f>
        <v>73600</v>
      </c>
      <c r="V553" s="63" t="n">
        <v>74300</v>
      </c>
      <c r="W553" s="9" t="n">
        <f aca="false">V553</f>
        <v>74300</v>
      </c>
      <c r="X553" s="44" t="n">
        <f aca="false">T553/H553</f>
        <v>64.3919510061242</v>
      </c>
      <c r="Y553" s="9" t="s">
        <v>57</v>
      </c>
      <c r="Z553" s="40"/>
      <c r="AB553" s="5" t="s">
        <v>40</v>
      </c>
      <c r="AC553" s="4" t="s">
        <v>220</v>
      </c>
      <c r="AE553" s="58"/>
      <c r="AF553" s="59"/>
      <c r="AG553" s="58"/>
    </row>
    <row r="554" customFormat="false" ht="22.5" hidden="false" customHeight="true" outlineLevel="0" collapsed="false">
      <c r="A554" s="28"/>
      <c r="B554" s="11" t="s">
        <v>34</v>
      </c>
      <c r="C554" s="11" t="s">
        <v>35</v>
      </c>
      <c r="D554" s="28" t="n">
        <v>550690</v>
      </c>
      <c r="E554" s="4" t="s">
        <v>602</v>
      </c>
      <c r="F554" s="4" t="s">
        <v>133</v>
      </c>
      <c r="G554" s="5" t="s">
        <v>37</v>
      </c>
      <c r="H554" s="6" t="n">
        <v>805</v>
      </c>
      <c r="I554" s="6" t="n">
        <f aca="false">H554</f>
        <v>805</v>
      </c>
      <c r="J554" s="6" t="n">
        <v>1000</v>
      </c>
      <c r="K554" s="4" t="s">
        <v>63</v>
      </c>
      <c r="N554" s="8" t="n">
        <v>44336</v>
      </c>
      <c r="Q554" s="9" t="n">
        <v>0</v>
      </c>
      <c r="R554" s="9" t="n">
        <f aca="false">Q554</f>
        <v>0</v>
      </c>
      <c r="T554" s="9" t="n">
        <v>45600</v>
      </c>
      <c r="U554" s="9" t="n">
        <f aca="false">T554</f>
        <v>45600</v>
      </c>
      <c r="V554" s="63" t="n">
        <v>52300</v>
      </c>
      <c r="W554" s="9" t="n">
        <f aca="false">V554</f>
        <v>52300</v>
      </c>
      <c r="X554" s="44" t="n">
        <f aca="false">T554/H554</f>
        <v>56.6459627329193</v>
      </c>
      <c r="Y554" s="9" t="s">
        <v>57</v>
      </c>
      <c r="Z554" s="40"/>
      <c r="AB554" s="5" t="s">
        <v>40</v>
      </c>
      <c r="AC554" s="4" t="s">
        <v>220</v>
      </c>
      <c r="AE554" s="58"/>
      <c r="AF554" s="59"/>
      <c r="AG554" s="58"/>
    </row>
    <row r="555" customFormat="false" ht="28.5" hidden="false" customHeight="true" outlineLevel="0" collapsed="false">
      <c r="A555" s="28"/>
      <c r="B555" s="11" t="s">
        <v>34</v>
      </c>
      <c r="C555" s="11" t="s">
        <v>35</v>
      </c>
      <c r="D555" s="28" t="n">
        <v>550690</v>
      </c>
      <c r="E555" s="4" t="s">
        <v>602</v>
      </c>
      <c r="F555" s="4" t="s">
        <v>138</v>
      </c>
      <c r="G555" s="5" t="s">
        <v>37</v>
      </c>
      <c r="H555" s="6" t="n">
        <v>1171</v>
      </c>
      <c r="I555" s="6" t="n">
        <f aca="false">H555</f>
        <v>1171</v>
      </c>
      <c r="J555" s="6" t="n">
        <v>1000</v>
      </c>
      <c r="K555" s="4" t="s">
        <v>63</v>
      </c>
      <c r="N555" s="8" t="n">
        <v>44049</v>
      </c>
      <c r="Q555" s="9" t="n">
        <v>0</v>
      </c>
      <c r="R555" s="9" t="n">
        <f aca="false">Q555</f>
        <v>0</v>
      </c>
      <c r="T555" s="9" t="n">
        <v>72300</v>
      </c>
      <c r="U555" s="9" t="n">
        <f aca="false">T555</f>
        <v>72300</v>
      </c>
      <c r="V555" s="63" t="n">
        <v>76100</v>
      </c>
      <c r="W555" s="9" t="n">
        <f aca="false">V555</f>
        <v>76100</v>
      </c>
      <c r="X555" s="44" t="n">
        <f aca="false">T555/H555</f>
        <v>61.7421007685739</v>
      </c>
      <c r="Y555" s="9" t="s">
        <v>57</v>
      </c>
      <c r="Z555" s="40"/>
      <c r="AB555" s="5" t="s">
        <v>40</v>
      </c>
      <c r="AC555" s="4" t="s">
        <v>220</v>
      </c>
      <c r="AE555" s="58"/>
      <c r="AF555" s="59"/>
      <c r="AG555" s="58"/>
    </row>
    <row r="556" customFormat="false" ht="25.5" hidden="false" customHeight="true" outlineLevel="0" collapsed="false">
      <c r="A556" s="28"/>
      <c r="B556" s="11" t="s">
        <v>34</v>
      </c>
      <c r="C556" s="11" t="s">
        <v>35</v>
      </c>
      <c r="D556" s="28" t="n">
        <v>550690</v>
      </c>
      <c r="E556" s="4" t="s">
        <v>602</v>
      </c>
      <c r="F556" s="4" t="s">
        <v>140</v>
      </c>
      <c r="G556" s="5" t="s">
        <v>37</v>
      </c>
      <c r="H556" s="6" t="n">
        <v>793</v>
      </c>
      <c r="I556" s="6" t="n">
        <f aca="false">H556</f>
        <v>793</v>
      </c>
      <c r="J556" s="6" t="n">
        <v>750</v>
      </c>
      <c r="K556" s="4" t="s">
        <v>63</v>
      </c>
      <c r="N556" s="8" t="n">
        <v>44805</v>
      </c>
      <c r="Q556" s="9" t="n">
        <v>0</v>
      </c>
      <c r="R556" s="9" t="n">
        <f aca="false">Q556</f>
        <v>0</v>
      </c>
      <c r="T556" s="9" t="n">
        <v>46300</v>
      </c>
      <c r="U556" s="9" t="n">
        <f aca="false">T556</f>
        <v>46300</v>
      </c>
      <c r="V556" s="63" t="n">
        <v>51500</v>
      </c>
      <c r="W556" s="9" t="n">
        <f aca="false">V556</f>
        <v>51500</v>
      </c>
      <c r="X556" s="44" t="n">
        <f aca="false">T556/H556</f>
        <v>58.3858764186633</v>
      </c>
      <c r="Y556" s="9" t="s">
        <v>57</v>
      </c>
      <c r="Z556" s="40"/>
      <c r="AB556" s="5" t="s">
        <v>40</v>
      </c>
      <c r="AC556" s="4" t="s">
        <v>220</v>
      </c>
      <c r="AE556" s="58"/>
      <c r="AF556" s="59"/>
      <c r="AG556" s="58"/>
    </row>
    <row r="557" customFormat="false" ht="16.5" hidden="false" customHeight="true" outlineLevel="0" collapsed="false">
      <c r="A557" s="28"/>
      <c r="B557" s="11" t="s">
        <v>34</v>
      </c>
      <c r="C557" s="11" t="s">
        <v>35</v>
      </c>
      <c r="D557" s="28" t="n">
        <v>550690</v>
      </c>
      <c r="E557" s="4" t="s">
        <v>602</v>
      </c>
      <c r="F557" s="4" t="s">
        <v>545</v>
      </c>
      <c r="G557" s="5" t="s">
        <v>37</v>
      </c>
      <c r="H557" s="6" t="n">
        <v>1030</v>
      </c>
      <c r="I557" s="6" t="n">
        <f aca="false">H557</f>
        <v>1030</v>
      </c>
      <c r="J557" s="6" t="n">
        <v>1000</v>
      </c>
      <c r="K557" s="4" t="s">
        <v>63</v>
      </c>
      <c r="N557" s="8" t="n">
        <v>43914</v>
      </c>
      <c r="Q557" s="9" t="n">
        <v>0</v>
      </c>
      <c r="R557" s="9" t="n">
        <f aca="false">Q557</f>
        <v>0</v>
      </c>
      <c r="T557" s="9" t="n">
        <v>63800</v>
      </c>
      <c r="U557" s="9" t="n">
        <f aca="false">T557</f>
        <v>63800</v>
      </c>
      <c r="V557" s="63" t="n">
        <v>67000</v>
      </c>
      <c r="W557" s="9" t="n">
        <f aca="false">V557</f>
        <v>67000</v>
      </c>
      <c r="X557" s="44" t="n">
        <f aca="false">T557/H557</f>
        <v>61.9417475728155</v>
      </c>
      <c r="Y557" s="9" t="s">
        <v>57</v>
      </c>
      <c r="Z557" s="40"/>
      <c r="AB557" s="5" t="s">
        <v>40</v>
      </c>
      <c r="AC557" s="4" t="s">
        <v>220</v>
      </c>
      <c r="AE557" s="58"/>
      <c r="AF557" s="59"/>
      <c r="AG557" s="58"/>
    </row>
    <row r="558" customFormat="false" ht="22.5" hidden="false" customHeight="true" outlineLevel="0" collapsed="false">
      <c r="A558" s="28"/>
      <c r="B558" s="11" t="s">
        <v>34</v>
      </c>
      <c r="C558" s="11" t="s">
        <v>35</v>
      </c>
      <c r="D558" s="28" t="n">
        <v>550690</v>
      </c>
      <c r="E558" s="4" t="s">
        <v>602</v>
      </c>
      <c r="F558" s="4" t="s">
        <v>142</v>
      </c>
      <c r="G558" s="5" t="s">
        <v>37</v>
      </c>
      <c r="H558" s="6" t="n">
        <v>731</v>
      </c>
      <c r="I558" s="6" t="n">
        <f aca="false">H558</f>
        <v>731</v>
      </c>
      <c r="J558" s="6" t="n">
        <v>750</v>
      </c>
      <c r="K558" s="4" t="s">
        <v>63</v>
      </c>
      <c r="N558" s="8" t="n">
        <v>44321</v>
      </c>
      <c r="Q558" s="9" t="n">
        <v>0</v>
      </c>
      <c r="R558" s="9" t="n">
        <f aca="false">Q558</f>
        <v>0</v>
      </c>
      <c r="T558" s="9" t="n">
        <v>46100</v>
      </c>
      <c r="U558" s="9" t="n">
        <f aca="false">T558</f>
        <v>46100</v>
      </c>
      <c r="V558" s="63" t="n">
        <v>47500</v>
      </c>
      <c r="W558" s="9" t="n">
        <f aca="false">V558</f>
        <v>47500</v>
      </c>
      <c r="X558" s="44" t="n">
        <f aca="false">T558/H558</f>
        <v>63.0642954856361</v>
      </c>
      <c r="Y558" s="9" t="s">
        <v>57</v>
      </c>
      <c r="Z558" s="40"/>
      <c r="AB558" s="5" t="s">
        <v>40</v>
      </c>
      <c r="AC558" s="4" t="s">
        <v>220</v>
      </c>
      <c r="AE558" s="58"/>
      <c r="AF558" s="59"/>
      <c r="AG558" s="58"/>
    </row>
    <row r="559" customFormat="false" ht="14.25" hidden="false" customHeight="true" outlineLevel="0" collapsed="false">
      <c r="A559" s="28"/>
      <c r="B559" s="11" t="s">
        <v>34</v>
      </c>
      <c r="C559" s="11" t="s">
        <v>35</v>
      </c>
      <c r="D559" s="28" t="n">
        <v>550690</v>
      </c>
      <c r="E559" s="4" t="s">
        <v>602</v>
      </c>
      <c r="F559" s="4" t="s">
        <v>151</v>
      </c>
      <c r="G559" s="5" t="s">
        <v>37</v>
      </c>
      <c r="H559" s="6" t="n">
        <v>949</v>
      </c>
      <c r="I559" s="6" t="n">
        <f aca="false">H559</f>
        <v>949</v>
      </c>
      <c r="J559" s="6" t="n">
        <v>1000</v>
      </c>
      <c r="K559" s="4" t="s">
        <v>63</v>
      </c>
      <c r="N559" s="8" t="n">
        <v>42550</v>
      </c>
      <c r="Q559" s="9" t="n">
        <v>0</v>
      </c>
      <c r="R559" s="9" t="n">
        <f aca="false">Q559</f>
        <v>0</v>
      </c>
      <c r="T559" s="9" t="n">
        <v>55600</v>
      </c>
      <c r="U559" s="9" t="n">
        <f aca="false">T559</f>
        <v>55600</v>
      </c>
      <c r="V559" s="63" t="n">
        <v>59300</v>
      </c>
      <c r="W559" s="9" t="n">
        <f aca="false">V559</f>
        <v>59300</v>
      </c>
      <c r="X559" s="44" t="n">
        <f aca="false">T559/H559</f>
        <v>58.5879873551106</v>
      </c>
      <c r="Y559" s="9" t="s">
        <v>57</v>
      </c>
      <c r="Z559" s="40"/>
      <c r="AB559" s="5" t="s">
        <v>40</v>
      </c>
      <c r="AC559" s="4" t="s">
        <v>220</v>
      </c>
      <c r="AE559" s="58"/>
      <c r="AF559" s="59"/>
      <c r="AG559" s="58"/>
    </row>
    <row r="560" customFormat="false" ht="28.5" hidden="false" customHeight="true" outlineLevel="0" collapsed="false">
      <c r="A560" s="28"/>
      <c r="B560" s="11" t="s">
        <v>34</v>
      </c>
      <c r="C560" s="11" t="s">
        <v>35</v>
      </c>
      <c r="D560" s="28" t="n">
        <v>550690</v>
      </c>
      <c r="E560" s="4" t="s">
        <v>602</v>
      </c>
      <c r="F560" s="4" t="s">
        <v>148</v>
      </c>
      <c r="G560" s="5" t="s">
        <v>37</v>
      </c>
      <c r="H560" s="6" t="n">
        <v>601</v>
      </c>
      <c r="I560" s="6" t="n">
        <f aca="false">H560</f>
        <v>601</v>
      </c>
      <c r="J560" s="6" t="n">
        <v>500</v>
      </c>
      <c r="K560" s="4" t="s">
        <v>63</v>
      </c>
      <c r="N560" s="8" t="n">
        <v>44027</v>
      </c>
      <c r="Q560" s="9" t="n">
        <v>0</v>
      </c>
      <c r="R560" s="9" t="n">
        <f aca="false">Q560</f>
        <v>0</v>
      </c>
      <c r="T560" s="9" t="n">
        <v>36800</v>
      </c>
      <c r="U560" s="9" t="n">
        <f aca="false">T560</f>
        <v>36800</v>
      </c>
      <c r="V560" s="63" t="n">
        <v>37600</v>
      </c>
      <c r="W560" s="9" t="n">
        <f aca="false">V560</f>
        <v>37600</v>
      </c>
      <c r="X560" s="44" t="n">
        <f aca="false">T560/H560</f>
        <v>61.2312811980033</v>
      </c>
      <c r="Y560" s="9" t="s">
        <v>57</v>
      </c>
      <c r="Z560" s="40"/>
      <c r="AB560" s="5" t="s">
        <v>40</v>
      </c>
      <c r="AC560" s="4" t="s">
        <v>220</v>
      </c>
      <c r="AE560" s="58"/>
      <c r="AF560" s="59"/>
      <c r="AG560" s="58"/>
    </row>
    <row r="561" customFormat="false" ht="14.25" hidden="false" customHeight="true" outlineLevel="0" collapsed="false">
      <c r="A561" s="28"/>
      <c r="B561" s="11" t="s">
        <v>34</v>
      </c>
      <c r="C561" s="11" t="s">
        <v>35</v>
      </c>
      <c r="D561" s="28" t="n">
        <v>550690</v>
      </c>
      <c r="E561" s="4" t="s">
        <v>602</v>
      </c>
      <c r="F561" s="4" t="s">
        <v>152</v>
      </c>
      <c r="G561" s="5" t="s">
        <v>37</v>
      </c>
      <c r="H561" s="6" t="n">
        <v>730</v>
      </c>
      <c r="I561" s="6" t="n">
        <f aca="false">H561</f>
        <v>730</v>
      </c>
      <c r="J561" s="6" t="n">
        <v>750</v>
      </c>
      <c r="K561" s="4" t="s">
        <v>63</v>
      </c>
      <c r="N561" s="8" t="n">
        <v>42723</v>
      </c>
      <c r="Q561" s="9" t="n">
        <v>0</v>
      </c>
      <c r="R561" s="9" t="n">
        <f aca="false">Q561</f>
        <v>0</v>
      </c>
      <c r="T561" s="9" t="n">
        <v>44700</v>
      </c>
      <c r="U561" s="9" t="n">
        <f aca="false">T561</f>
        <v>44700</v>
      </c>
      <c r="V561" s="63" t="n">
        <v>45600</v>
      </c>
      <c r="W561" s="9" t="n">
        <f aca="false">V561</f>
        <v>45600</v>
      </c>
      <c r="X561" s="44" t="n">
        <f aca="false">T561/H561</f>
        <v>61.2328767123288</v>
      </c>
      <c r="Y561" s="9" t="s">
        <v>57</v>
      </c>
      <c r="Z561" s="40"/>
      <c r="AB561" s="5" t="s">
        <v>40</v>
      </c>
      <c r="AC561" s="4" t="s">
        <v>220</v>
      </c>
      <c r="AE561" s="58"/>
      <c r="AF561" s="59"/>
      <c r="AG561" s="58"/>
    </row>
    <row r="562" customFormat="false" ht="14.25" hidden="false" customHeight="true" outlineLevel="0" collapsed="false">
      <c r="A562" s="28"/>
      <c r="B562" s="11" t="s">
        <v>34</v>
      </c>
      <c r="C562" s="11" t="s">
        <v>35</v>
      </c>
      <c r="D562" s="28" t="n">
        <v>550690</v>
      </c>
      <c r="E562" s="4" t="s">
        <v>602</v>
      </c>
      <c r="F562" s="4" t="s">
        <v>154</v>
      </c>
      <c r="G562" s="5" t="s">
        <v>37</v>
      </c>
      <c r="H562" s="6" t="n">
        <v>462</v>
      </c>
      <c r="I562" s="6" t="n">
        <f aca="false">H562</f>
        <v>462</v>
      </c>
      <c r="J562" s="6" t="n">
        <v>500</v>
      </c>
      <c r="K562" s="4" t="s">
        <v>63</v>
      </c>
      <c r="N562" s="8" t="n">
        <v>43824</v>
      </c>
      <c r="Q562" s="9" t="n">
        <v>0</v>
      </c>
      <c r="R562" s="9" t="n">
        <f aca="false">Q562</f>
        <v>0</v>
      </c>
      <c r="T562" s="9" t="n">
        <v>27300</v>
      </c>
      <c r="U562" s="9" t="n">
        <f aca="false">T562</f>
        <v>27300</v>
      </c>
      <c r="V562" s="63" t="n">
        <v>28900</v>
      </c>
      <c r="W562" s="9" t="n">
        <f aca="false">V562</f>
        <v>28900</v>
      </c>
      <c r="X562" s="44" t="n">
        <f aca="false">T562/H562</f>
        <v>59.0909090909091</v>
      </c>
      <c r="Y562" s="9" t="s">
        <v>57</v>
      </c>
      <c r="Z562" s="40"/>
      <c r="AB562" s="5" t="s">
        <v>40</v>
      </c>
      <c r="AC562" s="4" t="s">
        <v>220</v>
      </c>
      <c r="AE562" s="58"/>
      <c r="AF562" s="59"/>
      <c r="AG562" s="58"/>
    </row>
    <row r="563" customFormat="false" ht="14.25" hidden="false" customHeight="true" outlineLevel="0" collapsed="false">
      <c r="A563" s="28"/>
      <c r="B563" s="11"/>
      <c r="C563" s="11" t="s">
        <v>35</v>
      </c>
      <c r="D563" s="28"/>
      <c r="E563" s="4"/>
      <c r="I563" s="9"/>
      <c r="J563" s="9"/>
      <c r="T563" s="9"/>
      <c r="U563" s="9"/>
      <c r="V563" s="63"/>
      <c r="W563" s="9"/>
      <c r="X563" s="9"/>
      <c r="Y563" s="9"/>
      <c r="Z563" s="40"/>
      <c r="AB563" s="5"/>
      <c r="AF563" s="57"/>
    </row>
    <row r="564" customFormat="false" ht="14.25" hidden="false" customHeight="true" outlineLevel="0" collapsed="false">
      <c r="A564" s="28"/>
      <c r="B564" s="11"/>
      <c r="C564" s="11" t="s">
        <v>35</v>
      </c>
      <c r="D564" s="28"/>
      <c r="E564" s="4"/>
      <c r="F564" s="45" t="s">
        <v>610</v>
      </c>
      <c r="H564" s="41" t="n">
        <f aca="false">SUM(H550:H562)</f>
        <v>13448</v>
      </c>
      <c r="I564" s="42"/>
      <c r="J564" s="42"/>
      <c r="Q564" s="42" t="n">
        <f aca="false">SUM(Q550:Q563)</f>
        <v>144387</v>
      </c>
      <c r="R564" s="42"/>
      <c r="S564" s="42" t="n">
        <f aca="false">SUM(R548:R563)</f>
        <v>144387</v>
      </c>
      <c r="T564" s="42" t="n">
        <f aca="false">SUM(T550:T562)</f>
        <v>731300</v>
      </c>
      <c r="U564" s="42"/>
      <c r="V564" s="43" t="n">
        <f aca="false">SUM(V550:V562)</f>
        <v>773600</v>
      </c>
      <c r="W564" s="42"/>
      <c r="X564" s="42"/>
      <c r="Y564" s="42"/>
      <c r="Z564" s="64"/>
      <c r="AA564" s="43" t="n">
        <v>8875000</v>
      </c>
      <c r="AB564" s="5"/>
      <c r="AE564" s="58"/>
      <c r="AF564" s="59"/>
      <c r="AG564" s="58"/>
    </row>
    <row r="565" customFormat="false" ht="14.25" hidden="false" customHeight="true" outlineLevel="0" collapsed="false">
      <c r="A565" s="28"/>
      <c r="B565" s="11"/>
      <c r="C565" s="11" t="s">
        <v>35</v>
      </c>
      <c r="D565" s="28"/>
      <c r="E565" s="4"/>
      <c r="H565" s="41"/>
      <c r="I565" s="42"/>
      <c r="J565" s="42"/>
      <c r="Q565" s="42"/>
      <c r="R565" s="42"/>
      <c r="S565" s="42"/>
      <c r="T565" s="42"/>
      <c r="U565" s="42"/>
      <c r="V565" s="43"/>
      <c r="W565" s="42"/>
      <c r="X565" s="42"/>
      <c r="Y565" s="42"/>
      <c r="Z565" s="64"/>
      <c r="AA565" s="43"/>
      <c r="AB565" s="5"/>
      <c r="AF565" s="57"/>
    </row>
    <row r="566" customFormat="false" ht="14.25" hidden="false" customHeight="true" outlineLevel="0" collapsed="false">
      <c r="A566" s="28"/>
      <c r="B566" s="11"/>
      <c r="C566" s="11" t="s">
        <v>35</v>
      </c>
      <c r="D566" s="28"/>
      <c r="E566" s="4"/>
      <c r="G566" s="38" t="s">
        <v>611</v>
      </c>
      <c r="I566" s="9"/>
      <c r="J566" s="9"/>
      <c r="K566" s="39"/>
      <c r="T566" s="11"/>
      <c r="U566" s="9"/>
      <c r="W566" s="9"/>
      <c r="X566" s="9"/>
      <c r="Y566" s="9"/>
      <c r="Z566" s="40"/>
      <c r="AA566" s="43"/>
      <c r="AB566" s="5"/>
      <c r="AF566" s="57"/>
    </row>
    <row r="567" customFormat="false" ht="14.25" hidden="false" customHeight="true" outlineLevel="0" collapsed="false">
      <c r="A567" s="28"/>
      <c r="B567" s="11"/>
      <c r="C567" s="11" t="s">
        <v>35</v>
      </c>
      <c r="D567" s="28"/>
      <c r="E567" s="4"/>
      <c r="G567" s="38"/>
      <c r="H567" s="72"/>
      <c r="I567" s="9"/>
      <c r="J567" s="9"/>
      <c r="T567" s="9"/>
      <c r="U567" s="9"/>
      <c r="V567" s="63"/>
      <c r="W567" s="9"/>
      <c r="X567" s="9"/>
      <c r="Y567" s="9"/>
      <c r="Z567" s="40"/>
      <c r="AA567" s="43"/>
      <c r="AB567" s="5"/>
      <c r="AF567" s="57"/>
    </row>
    <row r="568" customFormat="false" ht="13.5" hidden="false" customHeight="true" outlineLevel="0" collapsed="false">
      <c r="A568" s="28"/>
      <c r="B568" s="11" t="s">
        <v>102</v>
      </c>
      <c r="C568" s="11" t="s">
        <v>35</v>
      </c>
      <c r="D568" s="28" t="n">
        <v>550810</v>
      </c>
      <c r="E568" s="4" t="s">
        <v>611</v>
      </c>
      <c r="F568" s="4" t="s">
        <v>612</v>
      </c>
      <c r="G568" s="5" t="s">
        <v>130</v>
      </c>
      <c r="H568" s="6" t="n">
        <v>1190</v>
      </c>
      <c r="I568" s="6" t="n">
        <f aca="false">H568</f>
        <v>1190</v>
      </c>
      <c r="J568" s="6" t="n">
        <v>1000</v>
      </c>
      <c r="K568" s="4" t="s">
        <v>613</v>
      </c>
      <c r="L568" s="7" t="n">
        <v>41673</v>
      </c>
      <c r="M568" s="8" t="n">
        <v>47151</v>
      </c>
      <c r="Q568" s="9" t="n">
        <v>115000</v>
      </c>
      <c r="R568" s="9" t="n">
        <f aca="false">Q568</f>
        <v>115000</v>
      </c>
      <c r="T568" s="9" t="n">
        <v>106000</v>
      </c>
      <c r="U568" s="9" t="n">
        <f aca="false">T568</f>
        <v>106000</v>
      </c>
      <c r="V568" s="63" t="n">
        <v>115000</v>
      </c>
      <c r="W568" s="9" t="n">
        <f aca="false">V568</f>
        <v>115000</v>
      </c>
      <c r="X568" s="44" t="n">
        <f aca="false">T568/H568</f>
        <v>89.0756302521008</v>
      </c>
      <c r="Y568" s="9" t="s">
        <v>57</v>
      </c>
      <c r="Z568" s="40"/>
      <c r="AA568" s="43"/>
      <c r="AB568" s="5" t="s">
        <v>40</v>
      </c>
      <c r="AC568" s="4" t="s">
        <v>614</v>
      </c>
      <c r="AF568" s="57"/>
    </row>
    <row r="569" customFormat="false" ht="13.5" hidden="false" customHeight="true" outlineLevel="0" collapsed="false">
      <c r="A569" s="28"/>
      <c r="B569" s="11" t="s">
        <v>102</v>
      </c>
      <c r="C569" s="11" t="s">
        <v>35</v>
      </c>
      <c r="D569" s="28" t="n">
        <v>550810</v>
      </c>
      <c r="E569" s="4" t="s">
        <v>611</v>
      </c>
      <c r="F569" s="4" t="s">
        <v>426</v>
      </c>
      <c r="G569" s="5" t="s">
        <v>37</v>
      </c>
      <c r="H569" s="6" t="n">
        <v>1044</v>
      </c>
      <c r="I569" s="6" t="n">
        <f aca="false">H569</f>
        <v>1044</v>
      </c>
      <c r="J569" s="6" t="n">
        <v>1000</v>
      </c>
      <c r="K569" s="4" t="s">
        <v>615</v>
      </c>
      <c r="L569" s="7" t="n">
        <v>45413</v>
      </c>
      <c r="M569" s="8" t="n">
        <v>47238</v>
      </c>
      <c r="P569" s="8" t="n">
        <v>46326</v>
      </c>
      <c r="Q569" s="9" t="n">
        <v>52500</v>
      </c>
      <c r="R569" s="9" t="n">
        <f aca="false">Q569</f>
        <v>52500</v>
      </c>
      <c r="T569" s="9" t="n">
        <v>53800</v>
      </c>
      <c r="U569" s="9" t="n">
        <f aca="false">T569</f>
        <v>53800</v>
      </c>
      <c r="V569" s="63" t="n">
        <v>53800</v>
      </c>
      <c r="W569" s="9" t="n">
        <f aca="false">V569</f>
        <v>53800</v>
      </c>
      <c r="X569" s="44" t="n">
        <f aca="false">T569/H569</f>
        <v>51.5325670498084</v>
      </c>
      <c r="Y569" s="9" t="s">
        <v>57</v>
      </c>
      <c r="Z569" s="40"/>
      <c r="AA569" s="43"/>
      <c r="AB569" s="5" t="s">
        <v>40</v>
      </c>
      <c r="AC569" s="4" t="s">
        <v>73</v>
      </c>
      <c r="AF569" s="57"/>
    </row>
    <row r="570" customFormat="false" ht="14.25" hidden="false" customHeight="true" outlineLevel="0" collapsed="false">
      <c r="A570" s="28"/>
      <c r="B570" s="11"/>
      <c r="C570" s="11" t="s">
        <v>35</v>
      </c>
      <c r="D570" s="28"/>
      <c r="E570" s="4"/>
      <c r="I570" s="9"/>
      <c r="J570" s="9"/>
      <c r="T570" s="9"/>
      <c r="U570" s="9"/>
      <c r="V570" s="63"/>
      <c r="W570" s="9"/>
      <c r="X570" s="9"/>
      <c r="Y570" s="9"/>
      <c r="Z570" s="40"/>
      <c r="AA570" s="43"/>
      <c r="AB570" s="5"/>
      <c r="AF570" s="57"/>
    </row>
    <row r="571" customFormat="false" ht="14.25" hidden="false" customHeight="true" outlineLevel="0" collapsed="false">
      <c r="A571" s="28"/>
      <c r="B571" s="11"/>
      <c r="C571" s="11" t="s">
        <v>35</v>
      </c>
      <c r="D571" s="28"/>
      <c r="E571" s="4"/>
      <c r="F571" s="45" t="s">
        <v>611</v>
      </c>
      <c r="H571" s="41" t="n">
        <f aca="false">SUM(H568:H569)</f>
        <v>2234</v>
      </c>
      <c r="I571" s="42"/>
      <c r="J571" s="42"/>
      <c r="Q571" s="42" t="n">
        <f aca="false">SUM(Q568:Q569)</f>
        <v>167500</v>
      </c>
      <c r="R571" s="42"/>
      <c r="S571" s="42" t="n">
        <f aca="false">SUM(R566:R570)</f>
        <v>167500</v>
      </c>
      <c r="T571" s="42" t="n">
        <f aca="false">SUM(T568:T569)</f>
        <v>159800</v>
      </c>
      <c r="U571" s="42"/>
      <c r="V571" s="43" t="n">
        <f aca="false">SUM(V568:V569)</f>
        <v>168800</v>
      </c>
      <c r="W571" s="42"/>
      <c r="X571" s="42"/>
      <c r="Y571" s="42"/>
      <c r="Z571" s="64"/>
      <c r="AA571" s="43" t="n">
        <v>3000000</v>
      </c>
      <c r="AB571" s="5"/>
      <c r="AE571" s="58"/>
      <c r="AF571" s="59"/>
      <c r="AG571" s="58"/>
    </row>
    <row r="572" customFormat="false" ht="14.25" hidden="false" customHeight="true" outlineLevel="0" collapsed="false">
      <c r="A572" s="28"/>
      <c r="B572" s="11"/>
      <c r="C572" s="11" t="s">
        <v>35</v>
      </c>
      <c r="D572" s="28"/>
      <c r="E572" s="4"/>
      <c r="I572" s="9"/>
      <c r="J572" s="9"/>
      <c r="T572" s="9"/>
      <c r="U572" s="9"/>
      <c r="V572" s="63"/>
      <c r="W572" s="9"/>
      <c r="X572" s="9"/>
      <c r="Y572" s="9"/>
      <c r="Z572" s="40"/>
      <c r="AA572" s="43"/>
      <c r="AB572" s="5"/>
      <c r="AF572" s="57"/>
    </row>
    <row r="573" customFormat="false" ht="14.25" hidden="false" customHeight="true" outlineLevel="0" collapsed="false">
      <c r="A573" s="28"/>
      <c r="B573" s="11"/>
      <c r="C573" s="11" t="s">
        <v>35</v>
      </c>
      <c r="D573" s="28"/>
      <c r="E573" s="4"/>
      <c r="G573" s="38" t="s">
        <v>616</v>
      </c>
      <c r="I573" s="9"/>
      <c r="J573" s="9"/>
      <c r="K573" s="39"/>
      <c r="T573" s="11"/>
      <c r="U573" s="9"/>
      <c r="W573" s="9"/>
      <c r="X573" s="9"/>
      <c r="Y573" s="9"/>
      <c r="Z573" s="40"/>
      <c r="AA573" s="43"/>
      <c r="AB573" s="5"/>
      <c r="AF573" s="57"/>
    </row>
    <row r="574" customFormat="false" ht="14.25" hidden="false" customHeight="true" outlineLevel="0" collapsed="false">
      <c r="A574" s="28"/>
      <c r="B574" s="11"/>
      <c r="C574" s="11" t="s">
        <v>35</v>
      </c>
      <c r="D574" s="28"/>
      <c r="E574" s="4"/>
      <c r="I574" s="9"/>
      <c r="J574" s="9"/>
      <c r="T574" s="9"/>
      <c r="U574" s="9"/>
      <c r="V574" s="63"/>
      <c r="W574" s="9"/>
      <c r="X574" s="9"/>
      <c r="Y574" s="9"/>
      <c r="Z574" s="40"/>
      <c r="AA574" s="43"/>
      <c r="AB574" s="5"/>
      <c r="AF574" s="57"/>
    </row>
    <row r="575" customFormat="false" ht="28.5" hidden="false" customHeight="true" outlineLevel="0" collapsed="false">
      <c r="A575" s="28"/>
      <c r="B575" s="11" t="s">
        <v>102</v>
      </c>
      <c r="C575" s="11" t="s">
        <v>35</v>
      </c>
      <c r="D575" s="28" t="n">
        <v>550490</v>
      </c>
      <c r="E575" s="4" t="s">
        <v>616</v>
      </c>
      <c r="F575" s="4" t="s">
        <v>36</v>
      </c>
      <c r="G575" s="5" t="s">
        <v>617</v>
      </c>
      <c r="H575" s="41" t="n">
        <v>6979</v>
      </c>
      <c r="I575" s="9" t="n">
        <f aca="false">H575</f>
        <v>6979</v>
      </c>
      <c r="J575" s="9" t="n">
        <v>7000</v>
      </c>
      <c r="K575" s="4" t="s">
        <v>618</v>
      </c>
      <c r="L575" s="7" t="n">
        <v>44185</v>
      </c>
      <c r="M575" s="8" t="n">
        <v>47836</v>
      </c>
      <c r="O575" s="8" t="n">
        <v>46011</v>
      </c>
      <c r="Q575" s="42" t="n">
        <v>420000</v>
      </c>
      <c r="R575" s="9" t="n">
        <f aca="false">Q575</f>
        <v>420000</v>
      </c>
      <c r="S575" s="42" t="n">
        <f aca="false">R575</f>
        <v>420000</v>
      </c>
      <c r="T575" s="42" t="n">
        <v>364600</v>
      </c>
      <c r="U575" s="9" t="n">
        <f aca="false">T575</f>
        <v>364600</v>
      </c>
      <c r="V575" s="43" t="n">
        <v>420000</v>
      </c>
      <c r="W575" s="9" t="n">
        <f aca="false">V575</f>
        <v>420000</v>
      </c>
      <c r="X575" s="44" t="n">
        <f aca="false">T575/H575</f>
        <v>52.2424416105459</v>
      </c>
      <c r="Y575" s="9" t="s">
        <v>123</v>
      </c>
      <c r="Z575" s="40"/>
      <c r="AA575" s="43" t="n">
        <v>7550000</v>
      </c>
      <c r="AB575" s="5" t="s">
        <v>40</v>
      </c>
      <c r="AC575" s="4" t="s">
        <v>619</v>
      </c>
      <c r="AF575" s="57"/>
    </row>
    <row r="576" customFormat="false" ht="14.25" hidden="false" customHeight="true" outlineLevel="0" collapsed="false">
      <c r="A576" s="28"/>
      <c r="B576" s="11"/>
      <c r="C576" s="11" t="s">
        <v>35</v>
      </c>
      <c r="D576" s="28"/>
      <c r="E576" s="4"/>
      <c r="G576" s="116"/>
      <c r="H576" s="41"/>
      <c r="I576" s="42"/>
      <c r="J576" s="42"/>
      <c r="Q576" s="42"/>
      <c r="R576" s="42"/>
      <c r="S576" s="42"/>
      <c r="T576" s="42"/>
      <c r="U576" s="42"/>
      <c r="V576" s="43"/>
      <c r="W576" s="42"/>
      <c r="X576" s="42"/>
      <c r="Y576" s="42"/>
      <c r="Z576" s="64"/>
      <c r="AA576" s="62"/>
      <c r="AB576" s="5"/>
      <c r="AF576" s="57"/>
    </row>
    <row r="577" customFormat="false" ht="14.25" hidden="false" customHeight="true" outlineLevel="0" collapsed="false">
      <c r="A577" s="28"/>
      <c r="B577" s="11"/>
      <c r="C577" s="11" t="s">
        <v>35</v>
      </c>
      <c r="D577" s="28"/>
      <c r="E577" s="4"/>
      <c r="G577" s="38" t="s">
        <v>620</v>
      </c>
      <c r="I577" s="9"/>
      <c r="J577" s="9"/>
      <c r="K577" s="39"/>
      <c r="T577" s="11"/>
      <c r="U577" s="9"/>
      <c r="W577" s="9"/>
      <c r="X577" s="9"/>
      <c r="Y577" s="9"/>
      <c r="Z577" s="40"/>
      <c r="AB577" s="5"/>
      <c r="AF577" s="57"/>
    </row>
    <row r="578" customFormat="false" ht="14.25" hidden="false" customHeight="true" outlineLevel="0" collapsed="false">
      <c r="A578" s="28"/>
      <c r="B578" s="11"/>
      <c r="C578" s="11" t="s">
        <v>35</v>
      </c>
      <c r="D578" s="28"/>
      <c r="E578" s="4"/>
      <c r="F578" s="92"/>
      <c r="G578" s="107"/>
      <c r="H578" s="66"/>
      <c r="I578" s="117"/>
      <c r="J578" s="117"/>
      <c r="K578" s="66"/>
      <c r="L578" s="67"/>
      <c r="M578" s="118"/>
      <c r="N578" s="118"/>
      <c r="O578" s="118"/>
      <c r="Q578" s="117"/>
      <c r="R578" s="117"/>
      <c r="S578" s="117"/>
      <c r="T578" s="117"/>
      <c r="U578" s="117"/>
      <c r="V578" s="119"/>
      <c r="W578" s="117"/>
      <c r="X578" s="117"/>
      <c r="Y578" s="117"/>
      <c r="Z578" s="120"/>
      <c r="AA578" s="121"/>
      <c r="AB578" s="5"/>
      <c r="AF578" s="57"/>
    </row>
    <row r="579" customFormat="false" ht="28.5" hidden="false" customHeight="true" outlineLevel="0" collapsed="false">
      <c r="A579" s="28"/>
      <c r="B579" s="11" t="s">
        <v>34</v>
      </c>
      <c r="C579" s="11" t="s">
        <v>35</v>
      </c>
      <c r="D579" s="28" t="n">
        <v>550940</v>
      </c>
      <c r="E579" s="4" t="s">
        <v>620</v>
      </c>
      <c r="F579" s="4" t="s">
        <v>621</v>
      </c>
      <c r="G579" s="5" t="s">
        <v>622</v>
      </c>
      <c r="H579" s="122" t="n">
        <v>2662</v>
      </c>
      <c r="I579" s="6" t="n">
        <f aca="false">H579</f>
        <v>2662</v>
      </c>
      <c r="J579" s="6" t="n">
        <v>2500</v>
      </c>
      <c r="K579" s="4" t="s">
        <v>623</v>
      </c>
      <c r="L579" s="7" t="n">
        <v>44942</v>
      </c>
      <c r="M579" s="8" t="n">
        <v>46767</v>
      </c>
      <c r="P579" s="8" t="n">
        <v>46037</v>
      </c>
      <c r="Q579" s="9" t="n">
        <v>100000</v>
      </c>
      <c r="R579" s="9" t="n">
        <f aca="false">Q579</f>
        <v>100000</v>
      </c>
      <c r="T579" s="122" t="n">
        <v>100000</v>
      </c>
      <c r="U579" s="9" t="n">
        <f aca="false">T579</f>
        <v>100000</v>
      </c>
      <c r="V579" s="123" t="n">
        <v>100000</v>
      </c>
      <c r="W579" s="9" t="n">
        <f aca="false">V579</f>
        <v>100000</v>
      </c>
      <c r="X579" s="44" t="n">
        <f aca="false">T579/H579</f>
        <v>37.5657400450789</v>
      </c>
      <c r="Y579" s="9" t="s">
        <v>123</v>
      </c>
      <c r="Z579" s="40"/>
      <c r="AB579" s="5" t="s">
        <v>40</v>
      </c>
      <c r="AC579" s="4" t="s">
        <v>71</v>
      </c>
      <c r="AF579" s="57"/>
    </row>
    <row r="580" customFormat="false" ht="24" hidden="false" customHeight="true" outlineLevel="0" collapsed="false">
      <c r="A580" s="28"/>
      <c r="B580" s="11" t="s">
        <v>34</v>
      </c>
      <c r="C580" s="11" t="s">
        <v>35</v>
      </c>
      <c r="D580" s="28" t="n">
        <v>550940</v>
      </c>
      <c r="E580" s="4" t="s">
        <v>620</v>
      </c>
      <c r="F580" s="4" t="s">
        <v>624</v>
      </c>
      <c r="G580" s="5" t="s">
        <v>37</v>
      </c>
      <c r="H580" s="122" t="n">
        <v>3452</v>
      </c>
      <c r="I580" s="6" t="n">
        <f aca="false">H580</f>
        <v>3452</v>
      </c>
      <c r="J580" s="6" t="n">
        <v>3500</v>
      </c>
      <c r="K580" s="4" t="s">
        <v>625</v>
      </c>
      <c r="L580" s="7" t="n">
        <v>45707</v>
      </c>
      <c r="M580" s="8" t="n">
        <v>46071</v>
      </c>
      <c r="P580" s="8" t="n">
        <v>45887</v>
      </c>
      <c r="Q580" s="122" t="n">
        <v>138440</v>
      </c>
      <c r="R580" s="9" t="n">
        <f aca="false">Q580</f>
        <v>138440</v>
      </c>
      <c r="T580" s="122" t="n">
        <v>109600</v>
      </c>
      <c r="U580" s="9" t="n">
        <f aca="false">T580</f>
        <v>109600</v>
      </c>
      <c r="V580" s="123" t="n">
        <v>112000</v>
      </c>
      <c r="W580" s="9" t="n">
        <f aca="false">V580</f>
        <v>112000</v>
      </c>
      <c r="X580" s="44" t="n">
        <f aca="false">T580/H580</f>
        <v>31.7497103128621</v>
      </c>
      <c r="Y580" s="9" t="s">
        <v>123</v>
      </c>
      <c r="Z580" s="40"/>
      <c r="AB580" s="5" t="s">
        <v>40</v>
      </c>
      <c r="AC580" s="4" t="s">
        <v>73</v>
      </c>
      <c r="AF580" s="57"/>
    </row>
    <row r="581" customFormat="false" ht="28.5" hidden="false" customHeight="true" outlineLevel="0" collapsed="false">
      <c r="A581" s="28"/>
      <c r="B581" s="11" t="s">
        <v>34</v>
      </c>
      <c r="C581" s="11" t="s">
        <v>35</v>
      </c>
      <c r="D581" s="28" t="n">
        <v>550940</v>
      </c>
      <c r="E581" s="4" t="s">
        <v>620</v>
      </c>
      <c r="F581" s="4" t="s">
        <v>626</v>
      </c>
      <c r="G581" s="5" t="s">
        <v>37</v>
      </c>
      <c r="H581" s="122" t="n">
        <v>2274</v>
      </c>
      <c r="I581" s="6" t="n">
        <f aca="false">H581</f>
        <v>2274</v>
      </c>
      <c r="J581" s="6" t="n">
        <v>2250</v>
      </c>
      <c r="K581" s="4" t="s">
        <v>63</v>
      </c>
      <c r="N581" s="8" t="n">
        <v>44280</v>
      </c>
      <c r="Q581" s="9" t="n">
        <v>0</v>
      </c>
      <c r="R581" s="9" t="n">
        <f aca="false">Q581</f>
        <v>0</v>
      </c>
      <c r="T581" s="122" t="n">
        <v>124700</v>
      </c>
      <c r="U581" s="9" t="n">
        <f aca="false">T581</f>
        <v>124700</v>
      </c>
      <c r="V581" s="123" t="n">
        <v>125100</v>
      </c>
      <c r="W581" s="9" t="n">
        <f aca="false">V581</f>
        <v>125100</v>
      </c>
      <c r="X581" s="44" t="n">
        <f aca="false">T581/H581</f>
        <v>54.8372911169745</v>
      </c>
      <c r="Y581" s="9" t="s">
        <v>123</v>
      </c>
      <c r="Z581" s="40"/>
      <c r="AB581" s="5" t="s">
        <v>165</v>
      </c>
      <c r="AC581" s="4" t="s">
        <v>64</v>
      </c>
      <c r="AD581" s="56"/>
      <c r="AF581" s="57"/>
    </row>
    <row r="582" customFormat="false" ht="22.5" hidden="false" customHeight="true" outlineLevel="0" collapsed="false">
      <c r="A582" s="28"/>
      <c r="B582" s="11" t="s">
        <v>34</v>
      </c>
      <c r="C582" s="11" t="s">
        <v>35</v>
      </c>
      <c r="D582" s="28" t="n">
        <v>550940</v>
      </c>
      <c r="E582" s="4" t="s">
        <v>620</v>
      </c>
      <c r="F582" s="4" t="s">
        <v>627</v>
      </c>
      <c r="G582" s="5" t="s">
        <v>37</v>
      </c>
      <c r="H582" s="122" t="n">
        <v>1201</v>
      </c>
      <c r="I582" s="6" t="n">
        <f aca="false">H582</f>
        <v>1201</v>
      </c>
      <c r="J582" s="6" t="n">
        <v>1250</v>
      </c>
      <c r="K582" s="4" t="s">
        <v>63</v>
      </c>
      <c r="N582" s="8" t="n">
        <v>45521</v>
      </c>
      <c r="Q582" s="9" t="n">
        <v>0</v>
      </c>
      <c r="R582" s="9" t="n">
        <f aca="false">Q582</f>
        <v>0</v>
      </c>
      <c r="T582" s="122" t="n">
        <v>64100</v>
      </c>
      <c r="U582" s="9" t="n">
        <f aca="false">T582</f>
        <v>64100</v>
      </c>
      <c r="V582" s="123" t="n">
        <v>63100</v>
      </c>
      <c r="W582" s="9" t="n">
        <f aca="false">V582</f>
        <v>63100</v>
      </c>
      <c r="X582" s="44" t="n">
        <f aca="false">T582/H582</f>
        <v>53.3721898417985</v>
      </c>
      <c r="Y582" s="9" t="s">
        <v>57</v>
      </c>
      <c r="Z582" s="40"/>
      <c r="AB582" s="5" t="s">
        <v>40</v>
      </c>
      <c r="AC582" s="4" t="s">
        <v>64</v>
      </c>
      <c r="AE582" s="58"/>
      <c r="AF582" s="59"/>
      <c r="AG582" s="58"/>
    </row>
    <row r="583" customFormat="false" ht="22.5" hidden="false" customHeight="true" outlineLevel="0" collapsed="false">
      <c r="A583" s="28"/>
      <c r="B583" s="11" t="s">
        <v>34</v>
      </c>
      <c r="C583" s="11" t="s">
        <v>35</v>
      </c>
      <c r="D583" s="28" t="n">
        <v>550940</v>
      </c>
      <c r="E583" s="4" t="s">
        <v>620</v>
      </c>
      <c r="F583" s="4" t="s">
        <v>628</v>
      </c>
      <c r="G583" s="5" t="s">
        <v>37</v>
      </c>
      <c r="H583" s="122" t="n">
        <v>1255</v>
      </c>
      <c r="I583" s="6" t="n">
        <f aca="false">H583</f>
        <v>1255</v>
      </c>
      <c r="J583" s="6" t="n">
        <v>1250</v>
      </c>
      <c r="K583" s="4" t="s">
        <v>63</v>
      </c>
      <c r="N583" s="8" t="n">
        <v>44320</v>
      </c>
      <c r="Q583" s="9" t="n">
        <v>0</v>
      </c>
      <c r="R583" s="9" t="n">
        <f aca="false">Q583</f>
        <v>0</v>
      </c>
      <c r="T583" s="122" t="n">
        <v>67300</v>
      </c>
      <c r="U583" s="9" t="n">
        <f aca="false">T583</f>
        <v>67300</v>
      </c>
      <c r="V583" s="123" t="n">
        <v>69000</v>
      </c>
      <c r="W583" s="9" t="n">
        <f aca="false">V583</f>
        <v>69000</v>
      </c>
      <c r="X583" s="44" t="n">
        <f aca="false">T583/H583</f>
        <v>53.6254980079681</v>
      </c>
      <c r="Y583" s="9" t="s">
        <v>57</v>
      </c>
      <c r="Z583" s="40"/>
      <c r="AB583" s="5" t="s">
        <v>40</v>
      </c>
      <c r="AC583" s="4" t="s">
        <v>115</v>
      </c>
      <c r="AF583" s="57"/>
    </row>
    <row r="584" customFormat="false" ht="22.5" hidden="false" customHeight="true" outlineLevel="0" collapsed="false">
      <c r="A584" s="28"/>
      <c r="B584" s="11" t="s">
        <v>34</v>
      </c>
      <c r="C584" s="11" t="s">
        <v>35</v>
      </c>
      <c r="D584" s="28" t="n">
        <v>550940</v>
      </c>
      <c r="E584" s="4" t="s">
        <v>620</v>
      </c>
      <c r="F584" s="4" t="s">
        <v>629</v>
      </c>
      <c r="G584" s="5" t="s">
        <v>37</v>
      </c>
      <c r="H584" s="122" t="n">
        <v>1252</v>
      </c>
      <c r="I584" s="6" t="n">
        <f aca="false">H584</f>
        <v>1252</v>
      </c>
      <c r="J584" s="6" t="n">
        <v>1250</v>
      </c>
      <c r="K584" s="4" t="s">
        <v>63</v>
      </c>
      <c r="N584" s="8" t="n">
        <v>44622</v>
      </c>
      <c r="Q584" s="9" t="n">
        <v>0</v>
      </c>
      <c r="R584" s="9" t="n">
        <f aca="false">Q584</f>
        <v>0</v>
      </c>
      <c r="T584" s="122" t="n">
        <v>67600</v>
      </c>
      <c r="U584" s="9" t="n">
        <f aca="false">T584</f>
        <v>67600</v>
      </c>
      <c r="V584" s="123" t="n">
        <v>68900</v>
      </c>
      <c r="W584" s="9" t="n">
        <f aca="false">V584</f>
        <v>68900</v>
      </c>
      <c r="X584" s="44" t="n">
        <f aca="false">T584/H584</f>
        <v>53.9936102236422</v>
      </c>
      <c r="Y584" s="9" t="s">
        <v>123</v>
      </c>
      <c r="Z584" s="40"/>
      <c r="AB584" s="5" t="s">
        <v>40</v>
      </c>
      <c r="AC584" s="4" t="s">
        <v>115</v>
      </c>
      <c r="AF584" s="57"/>
    </row>
    <row r="585" customFormat="false" ht="16.5" hidden="false" customHeight="true" outlineLevel="0" collapsed="false">
      <c r="A585" s="28"/>
      <c r="B585" s="11" t="s">
        <v>34</v>
      </c>
      <c r="C585" s="11" t="s">
        <v>35</v>
      </c>
      <c r="D585" s="28" t="n">
        <v>550940</v>
      </c>
      <c r="E585" s="4" t="s">
        <v>620</v>
      </c>
      <c r="F585" s="4" t="s">
        <v>630</v>
      </c>
      <c r="G585" s="5" t="s">
        <v>37</v>
      </c>
      <c r="H585" s="122" t="n">
        <v>1055</v>
      </c>
      <c r="I585" s="6" t="n">
        <f aca="false">H585</f>
        <v>1055</v>
      </c>
      <c r="J585" s="6" t="n">
        <v>1000</v>
      </c>
      <c r="K585" s="4" t="s">
        <v>631</v>
      </c>
      <c r="L585" s="7" t="n">
        <v>44887</v>
      </c>
      <c r="M585" s="8" t="n">
        <v>46712</v>
      </c>
      <c r="O585" s="8" t="n">
        <v>45983</v>
      </c>
      <c r="P585" s="8" t="n">
        <v>45982</v>
      </c>
      <c r="Q585" s="122" t="n">
        <v>63070</v>
      </c>
      <c r="R585" s="9" t="n">
        <f aca="false">Q585</f>
        <v>63070</v>
      </c>
      <c r="T585" s="122" t="n">
        <v>61000</v>
      </c>
      <c r="U585" s="9" t="n">
        <f aca="false">T585</f>
        <v>61000</v>
      </c>
      <c r="V585" s="123" t="n">
        <v>60700</v>
      </c>
      <c r="W585" s="9" t="n">
        <f aca="false">V585</f>
        <v>60700</v>
      </c>
      <c r="X585" s="44" t="n">
        <f aca="false">T585/H585</f>
        <v>57.8199052132701</v>
      </c>
      <c r="Y585" s="9" t="s">
        <v>57</v>
      </c>
      <c r="Z585" s="40"/>
      <c r="AB585" s="5" t="s">
        <v>40</v>
      </c>
      <c r="AC585" s="4" t="s">
        <v>632</v>
      </c>
      <c r="AF585" s="57"/>
    </row>
    <row r="586" customFormat="false" ht="23.25" hidden="false" customHeight="true" outlineLevel="0" collapsed="false">
      <c r="A586" s="28"/>
      <c r="B586" s="11" t="s">
        <v>34</v>
      </c>
      <c r="C586" s="11" t="s">
        <v>35</v>
      </c>
      <c r="D586" s="28" t="n">
        <v>550940</v>
      </c>
      <c r="E586" s="4" t="s">
        <v>620</v>
      </c>
      <c r="F586" s="4" t="s">
        <v>633</v>
      </c>
      <c r="G586" s="11" t="s">
        <v>37</v>
      </c>
      <c r="H586" s="122" t="n">
        <v>1167</v>
      </c>
      <c r="I586" s="6" t="n">
        <f aca="false">H586</f>
        <v>1167</v>
      </c>
      <c r="J586" s="6" t="n">
        <v>1000</v>
      </c>
      <c r="K586" s="4" t="s">
        <v>634</v>
      </c>
      <c r="L586" s="7" t="n">
        <v>45573</v>
      </c>
      <c r="M586" s="8" t="n">
        <v>47398</v>
      </c>
      <c r="Q586" s="9" t="n">
        <v>46800</v>
      </c>
      <c r="R586" s="9" t="n">
        <f aca="false">Q586</f>
        <v>46800</v>
      </c>
      <c r="T586" s="122" t="n">
        <v>37700</v>
      </c>
      <c r="U586" s="9" t="n">
        <f aca="false">T586</f>
        <v>37700</v>
      </c>
      <c r="V586" s="123" t="n">
        <v>49600</v>
      </c>
      <c r="W586" s="9" t="n">
        <f aca="false">V586</f>
        <v>49600</v>
      </c>
      <c r="X586" s="44" t="n">
        <f aca="false">T586/H586</f>
        <v>32.3050556983719</v>
      </c>
      <c r="Y586" s="9" t="s">
        <v>52</v>
      </c>
      <c r="Z586" s="40" t="s">
        <v>25</v>
      </c>
      <c r="AB586" s="5" t="s">
        <v>40</v>
      </c>
      <c r="AF586" s="57"/>
    </row>
    <row r="587" customFormat="false" ht="22.5" hidden="false" customHeight="true" outlineLevel="0" collapsed="false">
      <c r="A587" s="28"/>
      <c r="B587" s="11" t="s">
        <v>34</v>
      </c>
      <c r="C587" s="11" t="s">
        <v>35</v>
      </c>
      <c r="D587" s="28" t="n">
        <v>550940</v>
      </c>
      <c r="E587" s="4" t="s">
        <v>620</v>
      </c>
      <c r="F587" s="4" t="s">
        <v>635</v>
      </c>
      <c r="G587" s="11" t="s">
        <v>37</v>
      </c>
      <c r="H587" s="122" t="n">
        <v>922</v>
      </c>
      <c r="I587" s="6" t="n">
        <f aca="false">H587</f>
        <v>922</v>
      </c>
      <c r="J587" s="6" t="n">
        <v>1000</v>
      </c>
      <c r="K587" s="4" t="s">
        <v>636</v>
      </c>
      <c r="L587" s="7" t="n">
        <v>45204</v>
      </c>
      <c r="M587" s="8" t="n">
        <v>46299</v>
      </c>
      <c r="Q587" s="122" t="n">
        <v>45800</v>
      </c>
      <c r="R587" s="9" t="n">
        <f aca="false">Q587</f>
        <v>45800</v>
      </c>
      <c r="T587" s="122" t="n">
        <v>39100</v>
      </c>
      <c r="U587" s="9" t="n">
        <f aca="false">T587</f>
        <v>39100</v>
      </c>
      <c r="V587" s="123" t="n">
        <v>39200</v>
      </c>
      <c r="W587" s="9" t="n">
        <f aca="false">V587</f>
        <v>39200</v>
      </c>
      <c r="X587" s="44" t="n">
        <f aca="false">T587/H587</f>
        <v>42.4078091106291</v>
      </c>
      <c r="Y587" s="9" t="s">
        <v>52</v>
      </c>
      <c r="Z587" s="40" t="s">
        <v>25</v>
      </c>
      <c r="AB587" s="5" t="s">
        <v>40</v>
      </c>
      <c r="AF587" s="57"/>
    </row>
    <row r="588" customFormat="false" ht="22.5" hidden="false" customHeight="true" outlineLevel="0" collapsed="false">
      <c r="A588" s="28"/>
      <c r="B588" s="11" t="s">
        <v>34</v>
      </c>
      <c r="C588" s="11" t="s">
        <v>35</v>
      </c>
      <c r="D588" s="28" t="n">
        <v>550940</v>
      </c>
      <c r="E588" s="4" t="s">
        <v>620</v>
      </c>
      <c r="F588" s="4" t="s">
        <v>637</v>
      </c>
      <c r="G588" s="11" t="s">
        <v>37</v>
      </c>
      <c r="H588" s="122" t="n">
        <v>781</v>
      </c>
      <c r="I588" s="6" t="n">
        <f aca="false">H588</f>
        <v>781</v>
      </c>
      <c r="J588" s="6" t="n">
        <v>750</v>
      </c>
      <c r="K588" s="4" t="s">
        <v>63</v>
      </c>
      <c r="N588" s="8" t="n">
        <v>45383</v>
      </c>
      <c r="Q588" s="9" t="n">
        <v>0</v>
      </c>
      <c r="R588" s="9" t="n">
        <f aca="false">Q588</f>
        <v>0</v>
      </c>
      <c r="T588" s="122" t="n">
        <v>37300</v>
      </c>
      <c r="U588" s="9" t="n">
        <f aca="false">T588</f>
        <v>37300</v>
      </c>
      <c r="V588" s="123" t="n">
        <v>33200</v>
      </c>
      <c r="W588" s="9" t="n">
        <f aca="false">V588</f>
        <v>33200</v>
      </c>
      <c r="X588" s="44" t="n">
        <f aca="false">T588/H588</f>
        <v>47.7592829705506</v>
      </c>
      <c r="Y588" s="9" t="s">
        <v>52</v>
      </c>
      <c r="Z588" s="40" t="s">
        <v>25</v>
      </c>
      <c r="AB588" s="5" t="s">
        <v>40</v>
      </c>
      <c r="AC588" s="4" t="s">
        <v>64</v>
      </c>
      <c r="AF588" s="57"/>
    </row>
    <row r="589" customFormat="false" ht="14.25" hidden="false" customHeight="true" outlineLevel="0" collapsed="false">
      <c r="A589" s="28"/>
      <c r="B589" s="11"/>
      <c r="C589" s="11" t="s">
        <v>35</v>
      </c>
      <c r="D589" s="28"/>
      <c r="E589" s="4"/>
      <c r="G589" s="11"/>
      <c r="H589" s="122"/>
      <c r="I589" s="122"/>
      <c r="J589" s="122"/>
      <c r="Q589" s="122"/>
      <c r="R589" s="122"/>
      <c r="S589" s="122"/>
      <c r="T589" s="122"/>
      <c r="U589" s="122"/>
      <c r="V589" s="123"/>
      <c r="W589" s="122"/>
      <c r="X589" s="122"/>
      <c r="Y589" s="122"/>
      <c r="Z589" s="124"/>
      <c r="AB589" s="5"/>
      <c r="AF589" s="57"/>
    </row>
    <row r="590" customFormat="false" ht="14.25" hidden="false" customHeight="true" outlineLevel="0" collapsed="false">
      <c r="A590" s="28"/>
      <c r="B590" s="11"/>
      <c r="C590" s="11" t="s">
        <v>35</v>
      </c>
      <c r="D590" s="28"/>
      <c r="E590" s="4"/>
      <c r="F590" s="45" t="s">
        <v>638</v>
      </c>
      <c r="H590" s="125" t="n">
        <f aca="false">SUM(H579:H588)</f>
        <v>16021</v>
      </c>
      <c r="I590" s="125"/>
      <c r="J590" s="125"/>
      <c r="Q590" s="125" t="n">
        <f aca="false">SUM(Q579:Q588)</f>
        <v>394110</v>
      </c>
      <c r="R590" s="125"/>
      <c r="S590" s="42" t="n">
        <f aca="false">SUM(R578:R589)</f>
        <v>394110</v>
      </c>
      <c r="T590" s="125" t="n">
        <f aca="false">SUM(T579:T588)</f>
        <v>708400</v>
      </c>
      <c r="U590" s="125"/>
      <c r="V590" s="126" t="n">
        <f aca="false">SUM(V579:V588)</f>
        <v>720800</v>
      </c>
      <c r="W590" s="125"/>
      <c r="X590" s="125"/>
      <c r="Y590" s="125"/>
      <c r="Z590" s="127"/>
      <c r="AA590" s="126" t="n">
        <v>9375000</v>
      </c>
      <c r="AB590" s="5"/>
      <c r="AE590" s="58"/>
      <c r="AF590" s="59"/>
      <c r="AG590" s="58"/>
    </row>
    <row r="591" customFormat="false" ht="14.25" hidden="false" customHeight="true" outlineLevel="0" collapsed="false">
      <c r="A591" s="28"/>
      <c r="B591" s="11"/>
      <c r="C591" s="11" t="s">
        <v>35</v>
      </c>
      <c r="D591" s="28"/>
      <c r="E591" s="4"/>
      <c r="H591" s="125"/>
      <c r="I591" s="125"/>
      <c r="J591" s="125"/>
      <c r="Q591" s="125"/>
      <c r="R591" s="125"/>
      <c r="S591" s="125"/>
      <c r="T591" s="125"/>
      <c r="U591" s="125"/>
      <c r="V591" s="126"/>
      <c r="W591" s="125"/>
      <c r="X591" s="125"/>
      <c r="Y591" s="125"/>
      <c r="Z591" s="127"/>
      <c r="AA591" s="126"/>
      <c r="AB591" s="5"/>
      <c r="AF591" s="57"/>
    </row>
    <row r="592" customFormat="false" ht="14.25" hidden="false" customHeight="true" outlineLevel="0" collapsed="false">
      <c r="A592" s="28"/>
      <c r="B592" s="11"/>
      <c r="C592" s="11" t="s">
        <v>35</v>
      </c>
      <c r="D592" s="28"/>
      <c r="E592" s="4"/>
      <c r="G592" s="38" t="s">
        <v>639</v>
      </c>
      <c r="I592" s="9"/>
      <c r="J592" s="9"/>
      <c r="K592" s="39"/>
      <c r="T592" s="11"/>
      <c r="U592" s="9"/>
      <c r="W592" s="9"/>
      <c r="X592" s="9"/>
      <c r="Y592" s="9"/>
      <c r="Z592" s="40"/>
      <c r="AA592" s="126"/>
      <c r="AB592" s="5"/>
      <c r="AF592" s="57"/>
    </row>
    <row r="593" customFormat="false" ht="14.25" hidden="false" customHeight="true" outlineLevel="0" collapsed="false">
      <c r="A593" s="28"/>
      <c r="B593" s="11"/>
      <c r="C593" s="11" t="s">
        <v>35</v>
      </c>
      <c r="D593" s="28"/>
      <c r="E593" s="4"/>
      <c r="G593" s="38"/>
      <c r="H593" s="99"/>
      <c r="I593" s="9"/>
      <c r="J593" s="9"/>
      <c r="K593" s="68"/>
      <c r="L593" s="8"/>
      <c r="M593" s="7"/>
      <c r="N593" s="7"/>
      <c r="T593" s="9"/>
      <c r="U593" s="9"/>
      <c r="V593" s="63"/>
      <c r="W593" s="9"/>
      <c r="X593" s="9"/>
      <c r="Y593" s="9"/>
      <c r="Z593" s="40"/>
      <c r="AA593" s="126"/>
      <c r="AB593" s="5"/>
      <c r="AF593" s="57"/>
    </row>
    <row r="594" customFormat="false" ht="22.5" hidden="false" customHeight="true" outlineLevel="0" collapsed="false">
      <c r="A594" s="28"/>
      <c r="B594" s="11" t="s">
        <v>228</v>
      </c>
      <c r="C594" s="11" t="s">
        <v>35</v>
      </c>
      <c r="D594" s="28" t="n">
        <v>550390</v>
      </c>
      <c r="E594" s="4" t="s">
        <v>639</v>
      </c>
      <c r="F594" s="4" t="s">
        <v>640</v>
      </c>
      <c r="G594" s="5" t="s">
        <v>641</v>
      </c>
      <c r="H594" s="6" t="n">
        <v>6542</v>
      </c>
      <c r="I594" s="9" t="n">
        <f aca="false">H594</f>
        <v>6542</v>
      </c>
      <c r="J594" s="9" t="n">
        <v>6500</v>
      </c>
      <c r="K594" s="4" t="s">
        <v>642</v>
      </c>
      <c r="L594" s="7" t="n">
        <v>44609</v>
      </c>
      <c r="M594" s="8" t="n">
        <v>50087</v>
      </c>
      <c r="O594" s="7" t="n">
        <v>46435</v>
      </c>
      <c r="P594" s="7" t="n">
        <v>48260</v>
      </c>
      <c r="Q594" s="9" t="n">
        <v>210000</v>
      </c>
      <c r="R594" s="9" t="n">
        <f aca="false">Q594</f>
        <v>210000</v>
      </c>
      <c r="T594" s="128" t="n">
        <v>210000</v>
      </c>
      <c r="U594" s="9" t="n">
        <f aca="false">T594</f>
        <v>210000</v>
      </c>
      <c r="V594" s="129" t="n">
        <v>232000</v>
      </c>
      <c r="W594" s="9" t="n">
        <f aca="false">V594</f>
        <v>232000</v>
      </c>
      <c r="X594" s="44" t="n">
        <f aca="false">T594/H594</f>
        <v>32.1002751452155</v>
      </c>
      <c r="Y594" s="9" t="s">
        <v>453</v>
      </c>
      <c r="Z594" s="40"/>
      <c r="AA594" s="126"/>
      <c r="AB594" s="5" t="s">
        <v>40</v>
      </c>
      <c r="AC594" s="4" t="s">
        <v>128</v>
      </c>
      <c r="AF594" s="57"/>
    </row>
    <row r="595" customFormat="false" ht="28.5" hidden="false" customHeight="true" outlineLevel="0" collapsed="false">
      <c r="A595" s="28"/>
      <c r="B595" s="11" t="s">
        <v>228</v>
      </c>
      <c r="C595" s="11" t="s">
        <v>35</v>
      </c>
      <c r="D595" s="28" t="n">
        <v>550390</v>
      </c>
      <c r="E595" s="4" t="s">
        <v>639</v>
      </c>
      <c r="F595" s="4" t="s">
        <v>643</v>
      </c>
      <c r="G595" s="5" t="s">
        <v>37</v>
      </c>
      <c r="H595" s="6" t="n">
        <v>20993</v>
      </c>
      <c r="I595" s="9" t="n">
        <f aca="false">H595</f>
        <v>20993</v>
      </c>
      <c r="J595" s="9" t="n">
        <v>21000</v>
      </c>
      <c r="K595" s="4" t="s">
        <v>644</v>
      </c>
      <c r="L595" s="7" t="n">
        <v>45564</v>
      </c>
      <c r="M595" s="8" t="n">
        <v>47389</v>
      </c>
      <c r="Q595" s="9" t="n">
        <v>1000000</v>
      </c>
      <c r="R595" s="9" t="n">
        <f aca="false">Q595</f>
        <v>1000000</v>
      </c>
      <c r="T595" s="9" t="n">
        <v>1688000</v>
      </c>
      <c r="U595" s="9" t="n">
        <f aca="false">T595</f>
        <v>1688000</v>
      </c>
      <c r="V595" s="63" t="n">
        <v>2005000</v>
      </c>
      <c r="W595" s="9" t="n">
        <f aca="false">V595</f>
        <v>2005000</v>
      </c>
      <c r="X595" s="44" t="n">
        <f aca="false">T595/H595</f>
        <v>80.407754965941</v>
      </c>
      <c r="Y595" s="9" t="s">
        <v>123</v>
      </c>
      <c r="Z595" s="40"/>
      <c r="AA595" s="126"/>
      <c r="AB595" s="5" t="s">
        <v>40</v>
      </c>
      <c r="AC595" s="4" t="s">
        <v>645</v>
      </c>
      <c r="AF595" s="57"/>
    </row>
    <row r="596" customFormat="false" ht="14.25" hidden="false" customHeight="true" outlineLevel="0" collapsed="false">
      <c r="A596" s="28"/>
      <c r="B596" s="11"/>
      <c r="C596" s="11" t="s">
        <v>35</v>
      </c>
      <c r="D596" s="28"/>
      <c r="E596" s="4"/>
      <c r="I596" s="9"/>
      <c r="J596" s="9"/>
      <c r="T596" s="9"/>
      <c r="U596" s="9"/>
      <c r="V596" s="63"/>
      <c r="W596" s="9"/>
      <c r="X596" s="9"/>
      <c r="Y596" s="9"/>
      <c r="Z596" s="40"/>
      <c r="AA596" s="126"/>
      <c r="AB596" s="5"/>
      <c r="AF596" s="57"/>
    </row>
    <row r="597" customFormat="false" ht="14.25" hidden="false" customHeight="true" outlineLevel="0" collapsed="false">
      <c r="A597" s="28"/>
      <c r="B597" s="11"/>
      <c r="C597" s="11" t="s">
        <v>35</v>
      </c>
      <c r="D597" s="28"/>
      <c r="E597" s="4"/>
      <c r="F597" s="45" t="s">
        <v>646</v>
      </c>
      <c r="H597" s="41" t="n">
        <f aca="false">SUM(H594:H595)</f>
        <v>27535</v>
      </c>
      <c r="I597" s="42"/>
      <c r="J597" s="42"/>
      <c r="Q597" s="42" t="n">
        <f aca="false">SUM(Q594:Q595)</f>
        <v>1210000</v>
      </c>
      <c r="R597" s="42"/>
      <c r="S597" s="42" t="n">
        <f aca="false">SUM(R593:R596)</f>
        <v>1210000</v>
      </c>
      <c r="T597" s="125" t="n">
        <f aca="false">SUM(T594:T595)</f>
        <v>1898000</v>
      </c>
      <c r="U597" s="42"/>
      <c r="V597" s="126" t="n">
        <f aca="false">SUM(V594:V595)</f>
        <v>2237000</v>
      </c>
      <c r="W597" s="42"/>
      <c r="X597" s="42"/>
      <c r="Y597" s="42"/>
      <c r="Z597" s="64"/>
      <c r="AA597" s="126" t="n">
        <v>24550000</v>
      </c>
      <c r="AB597" s="5"/>
      <c r="AE597" s="58"/>
      <c r="AF597" s="59"/>
      <c r="AG597" s="58"/>
    </row>
    <row r="598" customFormat="false" ht="14.25" hidden="false" customHeight="true" outlineLevel="0" collapsed="false">
      <c r="A598" s="28"/>
      <c r="B598" s="11"/>
      <c r="C598" s="11" t="s">
        <v>35</v>
      </c>
      <c r="D598" s="28"/>
      <c r="E598" s="4"/>
      <c r="H598" s="41"/>
      <c r="I598" s="42"/>
      <c r="J598" s="42"/>
      <c r="Q598" s="42"/>
      <c r="R598" s="42"/>
      <c r="S598" s="42"/>
      <c r="T598" s="42"/>
      <c r="U598" s="42"/>
      <c r="V598" s="43"/>
      <c r="W598" s="42"/>
      <c r="X598" s="42"/>
      <c r="Y598" s="42"/>
      <c r="Z598" s="64"/>
      <c r="AA598" s="126"/>
      <c r="AB598" s="5"/>
      <c r="AF598" s="57"/>
    </row>
    <row r="599" customFormat="false" ht="14.25" hidden="false" customHeight="true" outlineLevel="0" collapsed="false">
      <c r="A599" s="28"/>
      <c r="B599" s="11"/>
      <c r="C599" s="11" t="s">
        <v>35</v>
      </c>
      <c r="D599" s="28"/>
      <c r="E599" s="4"/>
      <c r="H599" s="41"/>
      <c r="I599" s="42"/>
      <c r="J599" s="42"/>
      <c r="Q599" s="42"/>
      <c r="R599" s="42"/>
      <c r="S599" s="42"/>
      <c r="T599" s="42"/>
      <c r="U599" s="42"/>
      <c r="V599" s="43"/>
      <c r="W599" s="42"/>
      <c r="X599" s="42"/>
      <c r="Y599" s="42"/>
      <c r="Z599" s="64"/>
      <c r="AA599" s="62"/>
      <c r="AB599" s="5"/>
      <c r="AF599" s="57"/>
    </row>
    <row r="600" customFormat="false" ht="14.25" hidden="false" customHeight="true" outlineLevel="0" collapsed="false">
      <c r="A600" s="28"/>
      <c r="B600" s="11"/>
      <c r="C600" s="11" t="s">
        <v>35</v>
      </c>
      <c r="D600" s="28"/>
      <c r="E600" s="4"/>
      <c r="G600" s="38" t="s">
        <v>647</v>
      </c>
      <c r="I600" s="9"/>
      <c r="J600" s="9"/>
      <c r="K600" s="39"/>
      <c r="T600" s="11"/>
      <c r="U600" s="9"/>
      <c r="W600" s="9"/>
      <c r="X600" s="9"/>
      <c r="Y600" s="9"/>
      <c r="Z600" s="40"/>
      <c r="AB600" s="5"/>
      <c r="AF600" s="57"/>
    </row>
    <row r="601" customFormat="false" ht="14.25" hidden="false" customHeight="true" outlineLevel="0" collapsed="false">
      <c r="A601" s="28"/>
      <c r="B601" s="11"/>
      <c r="C601" s="11" t="s">
        <v>35</v>
      </c>
      <c r="D601" s="28"/>
      <c r="E601" s="4"/>
      <c r="G601" s="38"/>
      <c r="I601" s="9"/>
      <c r="J601" s="9"/>
      <c r="K601" s="68"/>
      <c r="L601" s="8"/>
      <c r="T601" s="9"/>
      <c r="U601" s="9"/>
      <c r="V601" s="63"/>
      <c r="W601" s="9"/>
      <c r="X601" s="9"/>
      <c r="Y601" s="9"/>
      <c r="Z601" s="40"/>
      <c r="AB601" s="5"/>
      <c r="AF601" s="57"/>
    </row>
    <row r="602" customFormat="false" ht="22.5" hidden="false" customHeight="true" outlineLevel="0" collapsed="false">
      <c r="A602" s="28"/>
      <c r="B602" s="11" t="s">
        <v>102</v>
      </c>
      <c r="C602" s="11" t="s">
        <v>35</v>
      </c>
      <c r="D602" s="28" t="n">
        <v>550870</v>
      </c>
      <c r="E602" s="4" t="s">
        <v>647</v>
      </c>
      <c r="F602" s="4" t="s">
        <v>648</v>
      </c>
      <c r="G602" s="5" t="s">
        <v>244</v>
      </c>
      <c r="H602" s="6" t="n">
        <v>1330</v>
      </c>
      <c r="I602" s="6" t="n">
        <f aca="false">H602</f>
        <v>1330</v>
      </c>
      <c r="J602" s="6" t="n">
        <v>1250</v>
      </c>
      <c r="K602" s="4" t="s">
        <v>649</v>
      </c>
      <c r="L602" s="7" t="n">
        <v>44936</v>
      </c>
      <c r="M602" s="8" t="n">
        <v>46761</v>
      </c>
      <c r="P602" s="8" t="n">
        <v>46031</v>
      </c>
      <c r="Q602" s="9" t="n">
        <v>70000</v>
      </c>
      <c r="R602" s="9" t="n">
        <f aca="false">Q602</f>
        <v>70000</v>
      </c>
      <c r="T602" s="9" t="n">
        <v>69900</v>
      </c>
      <c r="U602" s="9" t="n">
        <f aca="false">T602</f>
        <v>69900</v>
      </c>
      <c r="V602" s="63" t="n">
        <v>69900</v>
      </c>
      <c r="W602" s="9" t="n">
        <f aca="false">V602</f>
        <v>69900</v>
      </c>
      <c r="X602" s="44" t="n">
        <f aca="false">T602/H602</f>
        <v>52.5563909774436</v>
      </c>
      <c r="Y602" s="9" t="s">
        <v>57</v>
      </c>
      <c r="Z602" s="40"/>
      <c r="AB602" s="5" t="s">
        <v>40</v>
      </c>
      <c r="AC602" s="4" t="s">
        <v>650</v>
      </c>
      <c r="AF602" s="57"/>
    </row>
    <row r="603" customFormat="false" ht="22.5" hidden="false" customHeight="true" outlineLevel="0" collapsed="false">
      <c r="A603" s="28"/>
      <c r="B603" s="11" t="s">
        <v>102</v>
      </c>
      <c r="C603" s="11" t="s">
        <v>35</v>
      </c>
      <c r="D603" s="28" t="n">
        <v>550870</v>
      </c>
      <c r="E603" s="4" t="s">
        <v>647</v>
      </c>
      <c r="F603" s="4" t="s">
        <v>651</v>
      </c>
      <c r="G603" s="5" t="s">
        <v>652</v>
      </c>
      <c r="H603" s="6" t="n">
        <v>1486</v>
      </c>
      <c r="I603" s="6" t="n">
        <f aca="false">H603</f>
        <v>1486</v>
      </c>
      <c r="J603" s="6" t="n">
        <v>1500</v>
      </c>
      <c r="K603" s="4" t="s">
        <v>653</v>
      </c>
      <c r="L603" s="7" t="n">
        <v>44314</v>
      </c>
      <c r="M603" s="8" t="n">
        <v>47965</v>
      </c>
      <c r="P603" s="8" t="n">
        <v>46139</v>
      </c>
      <c r="Q603" s="9" t="n">
        <v>59500</v>
      </c>
      <c r="R603" s="9" t="n">
        <f aca="false">Q603</f>
        <v>59500</v>
      </c>
      <c r="T603" s="9" t="n">
        <v>64900</v>
      </c>
      <c r="U603" s="9" t="n">
        <f aca="false">T603</f>
        <v>64900</v>
      </c>
      <c r="V603" s="63" t="n">
        <v>64900</v>
      </c>
      <c r="W603" s="9" t="n">
        <f aca="false">V603</f>
        <v>64900</v>
      </c>
      <c r="X603" s="44" t="n">
        <f aca="false">T603/H603</f>
        <v>43.6742934051144</v>
      </c>
      <c r="Y603" s="9" t="s">
        <v>39</v>
      </c>
      <c r="Z603" s="40"/>
      <c r="AB603" s="5" t="s">
        <v>40</v>
      </c>
      <c r="AC603" s="4" t="s">
        <v>654</v>
      </c>
      <c r="AF603" s="57"/>
    </row>
    <row r="604" customFormat="false" ht="30" hidden="false" customHeight="true" outlineLevel="0" collapsed="false">
      <c r="A604" s="28"/>
      <c r="B604" s="11" t="s">
        <v>102</v>
      </c>
      <c r="C604" s="11" t="s">
        <v>35</v>
      </c>
      <c r="D604" s="28" t="n">
        <v>550870</v>
      </c>
      <c r="E604" s="4" t="s">
        <v>647</v>
      </c>
      <c r="F604" s="4" t="s">
        <v>655</v>
      </c>
      <c r="G604" s="5" t="s">
        <v>652</v>
      </c>
      <c r="H604" s="6" t="n">
        <v>1204</v>
      </c>
      <c r="I604" s="6" t="n">
        <f aca="false">H604</f>
        <v>1204</v>
      </c>
      <c r="J604" s="6" t="n">
        <v>1250</v>
      </c>
      <c r="K604" s="4" t="s">
        <v>656</v>
      </c>
      <c r="L604" s="7" t="n">
        <v>45741</v>
      </c>
      <c r="M604" s="8" t="n">
        <v>46836</v>
      </c>
      <c r="P604" s="8" t="n">
        <v>46106</v>
      </c>
      <c r="Q604" s="9" t="n">
        <v>0</v>
      </c>
      <c r="R604" s="9" t="n">
        <f aca="false">Q604</f>
        <v>0</v>
      </c>
      <c r="T604" s="9" t="n">
        <v>53100</v>
      </c>
      <c r="U604" s="9" t="n">
        <f aca="false">T604</f>
        <v>53100</v>
      </c>
      <c r="V604" s="63" t="n">
        <v>55800</v>
      </c>
      <c r="W604" s="9" t="n">
        <f aca="false">V604</f>
        <v>55800</v>
      </c>
      <c r="X604" s="44" t="n">
        <f aca="false">T604/H604</f>
        <v>44.1029900332226</v>
      </c>
      <c r="Y604" s="9" t="s">
        <v>39</v>
      </c>
      <c r="Z604" s="40"/>
      <c r="AB604" s="5" t="s">
        <v>40</v>
      </c>
      <c r="AC604" s="4" t="s">
        <v>657</v>
      </c>
      <c r="AF604" s="57"/>
    </row>
    <row r="605" customFormat="false" ht="27" hidden="false" customHeight="true" outlineLevel="0" collapsed="false">
      <c r="A605" s="28"/>
      <c r="B605" s="11" t="s">
        <v>102</v>
      </c>
      <c r="C605" s="11" t="s">
        <v>35</v>
      </c>
      <c r="D605" s="28" t="n">
        <v>550870</v>
      </c>
      <c r="E605" s="4" t="s">
        <v>647</v>
      </c>
      <c r="F605" s="4" t="s">
        <v>658</v>
      </c>
      <c r="G605" s="5" t="s">
        <v>652</v>
      </c>
      <c r="H605" s="6" t="n">
        <v>1119</v>
      </c>
      <c r="I605" s="6" t="n">
        <f aca="false">H605</f>
        <v>1119</v>
      </c>
      <c r="J605" s="6" t="n">
        <v>1250</v>
      </c>
      <c r="K605" s="4" t="s">
        <v>656</v>
      </c>
      <c r="L605" s="7" t="n">
        <v>45741</v>
      </c>
      <c r="M605" s="8" t="n">
        <v>46836</v>
      </c>
      <c r="Q605" s="9" t="n">
        <v>55000</v>
      </c>
      <c r="R605" s="9" t="n">
        <f aca="false">Q605</f>
        <v>55000</v>
      </c>
      <c r="T605" s="9" t="n">
        <v>51200</v>
      </c>
      <c r="U605" s="9" t="n">
        <f aca="false">T605</f>
        <v>51200</v>
      </c>
      <c r="V605" s="63" t="n">
        <v>53900</v>
      </c>
      <c r="W605" s="9" t="n">
        <f aca="false">V605</f>
        <v>53900</v>
      </c>
      <c r="X605" s="44" t="n">
        <f aca="false">T605/H605</f>
        <v>45.7551385165326</v>
      </c>
      <c r="Y605" s="9" t="s">
        <v>57</v>
      </c>
      <c r="Z605" s="40"/>
      <c r="AB605" s="5" t="s">
        <v>40</v>
      </c>
      <c r="AF605" s="57"/>
    </row>
    <row r="606" customFormat="false" ht="28.5" hidden="false" customHeight="true" outlineLevel="0" collapsed="false">
      <c r="A606" s="28"/>
      <c r="B606" s="11" t="s">
        <v>102</v>
      </c>
      <c r="C606" s="11" t="s">
        <v>35</v>
      </c>
      <c r="D606" s="28" t="n">
        <v>550870</v>
      </c>
      <c r="E606" s="4" t="s">
        <v>647</v>
      </c>
      <c r="F606" s="4" t="s">
        <v>659</v>
      </c>
      <c r="G606" s="5" t="s">
        <v>130</v>
      </c>
      <c r="H606" s="6" t="n">
        <v>3114</v>
      </c>
      <c r="I606" s="6" t="n">
        <f aca="false">H606</f>
        <v>3114</v>
      </c>
      <c r="J606" s="6" t="n">
        <v>3000</v>
      </c>
      <c r="K606" s="4" t="s">
        <v>660</v>
      </c>
      <c r="L606" s="7" t="n">
        <v>44143</v>
      </c>
      <c r="M606" s="8" t="n">
        <v>49620</v>
      </c>
      <c r="O606" s="8" t="n">
        <v>45969</v>
      </c>
      <c r="Q606" s="9" t="n">
        <v>175000</v>
      </c>
      <c r="R606" s="9" t="n">
        <f aca="false">Q606</f>
        <v>175000</v>
      </c>
      <c r="T606" s="9" t="n">
        <v>146200</v>
      </c>
      <c r="U606" s="9" t="n">
        <f aca="false">T606</f>
        <v>146200</v>
      </c>
      <c r="V606" s="63" t="n">
        <v>146200</v>
      </c>
      <c r="W606" s="9" t="n">
        <f aca="false">V606</f>
        <v>146200</v>
      </c>
      <c r="X606" s="44" t="n">
        <f aca="false">T606/H606</f>
        <v>46.9492614001285</v>
      </c>
      <c r="Y606" s="9" t="s">
        <v>57</v>
      </c>
      <c r="Z606" s="40"/>
      <c r="AB606" s="5" t="s">
        <v>165</v>
      </c>
      <c r="AC606" s="4" t="s">
        <v>661</v>
      </c>
      <c r="AF606" s="57"/>
    </row>
    <row r="607" customFormat="false" ht="13.5" hidden="false" customHeight="true" outlineLevel="0" collapsed="false">
      <c r="A607" s="28"/>
      <c r="B607" s="11" t="s">
        <v>102</v>
      </c>
      <c r="C607" s="11" t="s">
        <v>35</v>
      </c>
      <c r="D607" s="28" t="n">
        <v>550870</v>
      </c>
      <c r="E607" s="4" t="s">
        <v>647</v>
      </c>
      <c r="F607" s="4" t="s">
        <v>135</v>
      </c>
      <c r="G607" s="5" t="s">
        <v>37</v>
      </c>
      <c r="H607" s="6" t="n">
        <v>1560</v>
      </c>
      <c r="I607" s="6" t="n">
        <f aca="false">H607</f>
        <v>1560</v>
      </c>
      <c r="J607" s="6" t="n">
        <v>1500</v>
      </c>
      <c r="K607" s="4" t="s">
        <v>615</v>
      </c>
      <c r="L607" s="7" t="n">
        <v>44732</v>
      </c>
      <c r="M607" s="8" t="n">
        <v>46557</v>
      </c>
      <c r="O607" s="7"/>
      <c r="P607" s="7"/>
      <c r="Q607" s="9" t="n">
        <v>67146</v>
      </c>
      <c r="R607" s="9" t="n">
        <f aca="false">Q607</f>
        <v>67146</v>
      </c>
      <c r="T607" s="9" t="n">
        <v>85800</v>
      </c>
      <c r="U607" s="9" t="n">
        <f aca="false">T607</f>
        <v>85800</v>
      </c>
      <c r="V607" s="63" t="n">
        <v>85800</v>
      </c>
      <c r="W607" s="9" t="n">
        <f aca="false">V607</f>
        <v>85800</v>
      </c>
      <c r="X607" s="44" t="n">
        <f aca="false">T607/H607</f>
        <v>55</v>
      </c>
      <c r="Y607" s="9" t="s">
        <v>39</v>
      </c>
      <c r="Z607" s="40"/>
      <c r="AB607" s="5" t="s">
        <v>40</v>
      </c>
      <c r="AC607" s="4" t="s">
        <v>662</v>
      </c>
      <c r="AF607" s="57"/>
    </row>
    <row r="608" customFormat="false" ht="13.5" hidden="false" customHeight="true" outlineLevel="0" collapsed="false">
      <c r="A608" s="28"/>
      <c r="B608" s="11" t="s">
        <v>102</v>
      </c>
      <c r="C608" s="11" t="s">
        <v>35</v>
      </c>
      <c r="D608" s="28" t="n">
        <v>550870</v>
      </c>
      <c r="E608" s="4" t="s">
        <v>647</v>
      </c>
      <c r="F608" s="4" t="s">
        <v>133</v>
      </c>
      <c r="G608" s="5" t="s">
        <v>37</v>
      </c>
      <c r="H608" s="6" t="n">
        <v>1454</v>
      </c>
      <c r="I608" s="6" t="n">
        <f aca="false">H608</f>
        <v>1454</v>
      </c>
      <c r="J608" s="6" t="n">
        <v>1500</v>
      </c>
      <c r="K608" s="4" t="s">
        <v>615</v>
      </c>
      <c r="L608" s="7" t="n">
        <v>44419</v>
      </c>
      <c r="M608" s="8" t="n">
        <v>46244</v>
      </c>
      <c r="O608" s="7"/>
      <c r="P608" s="7"/>
      <c r="Q608" s="63" t="n">
        <v>83950</v>
      </c>
      <c r="R608" s="9" t="n">
        <f aca="false">Q608</f>
        <v>83950</v>
      </c>
      <c r="T608" s="9" t="n">
        <v>80000</v>
      </c>
      <c r="U608" s="9" t="n">
        <f aca="false">T608</f>
        <v>80000</v>
      </c>
      <c r="V608" s="63" t="n">
        <v>80000</v>
      </c>
      <c r="W608" s="9" t="n">
        <f aca="false">V608</f>
        <v>80000</v>
      </c>
      <c r="X608" s="44" t="n">
        <f aca="false">T608/H608</f>
        <v>55.0206327372765</v>
      </c>
      <c r="Y608" s="9" t="s">
        <v>57</v>
      </c>
      <c r="Z608" s="40"/>
      <c r="AB608" s="5" t="s">
        <v>40</v>
      </c>
      <c r="AF608" s="57"/>
    </row>
    <row r="609" customFormat="false" ht="13.5" hidden="false" customHeight="true" outlineLevel="0" collapsed="false">
      <c r="A609" s="28"/>
      <c r="B609" s="11" t="s">
        <v>102</v>
      </c>
      <c r="C609" s="11" t="s">
        <v>35</v>
      </c>
      <c r="D609" s="28" t="n">
        <v>550870</v>
      </c>
      <c r="E609" s="4" t="s">
        <v>647</v>
      </c>
      <c r="F609" s="4" t="s">
        <v>140</v>
      </c>
      <c r="G609" s="5" t="s">
        <v>37</v>
      </c>
      <c r="H609" s="6" t="n">
        <v>1395</v>
      </c>
      <c r="I609" s="6" t="n">
        <f aca="false">H609</f>
        <v>1395</v>
      </c>
      <c r="J609" s="6" t="n">
        <v>1500</v>
      </c>
      <c r="K609" s="4" t="s">
        <v>63</v>
      </c>
      <c r="N609" s="8" t="n">
        <v>45837</v>
      </c>
      <c r="O609" s="7"/>
      <c r="P609" s="7"/>
      <c r="Q609" s="9" t="n">
        <v>0</v>
      </c>
      <c r="R609" s="9" t="n">
        <f aca="false">Q609</f>
        <v>0</v>
      </c>
      <c r="T609" s="9" t="n">
        <v>76700</v>
      </c>
      <c r="U609" s="9" t="n">
        <f aca="false">T609</f>
        <v>76700</v>
      </c>
      <c r="V609" s="63" t="n">
        <v>76700</v>
      </c>
      <c r="W609" s="9" t="n">
        <f aca="false">V609</f>
        <v>76700</v>
      </c>
      <c r="X609" s="44" t="n">
        <f aca="false">T609/H609</f>
        <v>54.9820788530466</v>
      </c>
      <c r="Y609" s="9" t="s">
        <v>123</v>
      </c>
      <c r="Z609" s="40"/>
      <c r="AB609" s="5" t="s">
        <v>40</v>
      </c>
      <c r="AC609" s="4" t="s">
        <v>663</v>
      </c>
      <c r="AF609" s="57"/>
    </row>
    <row r="610" customFormat="false" ht="22.5" hidden="false" customHeight="true" outlineLevel="0" collapsed="false">
      <c r="A610" s="28"/>
      <c r="B610" s="11" t="s">
        <v>102</v>
      </c>
      <c r="C610" s="11" t="s">
        <v>35</v>
      </c>
      <c r="D610" s="28" t="n">
        <v>550870</v>
      </c>
      <c r="E610" s="4" t="s">
        <v>647</v>
      </c>
      <c r="F610" s="4" t="s">
        <v>138</v>
      </c>
      <c r="G610" s="5" t="s">
        <v>37</v>
      </c>
      <c r="H610" s="6" t="n">
        <v>1281</v>
      </c>
      <c r="I610" s="6" t="n">
        <f aca="false">H610</f>
        <v>1281</v>
      </c>
      <c r="J610" s="6" t="n">
        <v>1250</v>
      </c>
      <c r="K610" s="4" t="s">
        <v>615</v>
      </c>
      <c r="L610" s="7" t="n">
        <v>45393</v>
      </c>
      <c r="M610" s="8" t="n">
        <v>47218</v>
      </c>
      <c r="P610" s="8" t="n">
        <v>46488</v>
      </c>
      <c r="Q610" s="9" t="n">
        <v>72800</v>
      </c>
      <c r="R610" s="9" t="n">
        <f aca="false">Q610</f>
        <v>72800</v>
      </c>
      <c r="T610" s="9" t="n">
        <v>70500</v>
      </c>
      <c r="U610" s="9" t="n">
        <f aca="false">T610</f>
        <v>70500</v>
      </c>
      <c r="V610" s="63" t="n">
        <v>70500</v>
      </c>
      <c r="W610" s="9" t="n">
        <f aca="false">V610</f>
        <v>70500</v>
      </c>
      <c r="X610" s="44" t="n">
        <f aca="false">T610/H610</f>
        <v>55.0351288056206</v>
      </c>
      <c r="Y610" s="9" t="s">
        <v>57</v>
      </c>
      <c r="Z610" s="40"/>
      <c r="AB610" s="5" t="s">
        <v>40</v>
      </c>
      <c r="AC610" s="4" t="s">
        <v>664</v>
      </c>
      <c r="AF610" s="57"/>
    </row>
    <row r="611" customFormat="false" ht="13.5" hidden="false" customHeight="true" outlineLevel="0" collapsed="false">
      <c r="A611" s="28"/>
      <c r="B611" s="11" t="s">
        <v>102</v>
      </c>
      <c r="C611" s="11" t="s">
        <v>35</v>
      </c>
      <c r="D611" s="28" t="n">
        <v>550870</v>
      </c>
      <c r="E611" s="4" t="s">
        <v>647</v>
      </c>
      <c r="F611" s="4" t="s">
        <v>545</v>
      </c>
      <c r="G611" s="5" t="s">
        <v>37</v>
      </c>
      <c r="H611" s="6" t="n">
        <v>1371</v>
      </c>
      <c r="I611" s="6" t="n">
        <f aca="false">H611</f>
        <v>1371</v>
      </c>
      <c r="J611" s="6" t="n">
        <v>1250</v>
      </c>
      <c r="K611" s="4" t="s">
        <v>63</v>
      </c>
      <c r="N611" s="8" t="n">
        <v>44647</v>
      </c>
      <c r="O611" s="7"/>
      <c r="P611" s="7"/>
      <c r="Q611" s="9" t="n">
        <v>0</v>
      </c>
      <c r="R611" s="9" t="n">
        <f aca="false">Q611</f>
        <v>0</v>
      </c>
      <c r="T611" s="9" t="n">
        <v>75400</v>
      </c>
      <c r="U611" s="9" t="n">
        <f aca="false">T611</f>
        <v>75400</v>
      </c>
      <c r="V611" s="63" t="n">
        <v>75400</v>
      </c>
      <c r="W611" s="9" t="n">
        <f aca="false">V611</f>
        <v>75400</v>
      </c>
      <c r="X611" s="44" t="n">
        <f aca="false">T611/H611</f>
        <v>54.9963530269876</v>
      </c>
      <c r="Y611" s="63" t="s">
        <v>52</v>
      </c>
      <c r="Z611" s="40"/>
      <c r="AB611" s="5" t="s">
        <v>40</v>
      </c>
      <c r="AC611" s="4" t="s">
        <v>269</v>
      </c>
      <c r="AD611" s="15" t="n">
        <v>62</v>
      </c>
      <c r="AF611" s="57"/>
    </row>
    <row r="612" customFormat="false" ht="16.5" hidden="false" customHeight="true" outlineLevel="0" collapsed="false">
      <c r="A612" s="28"/>
      <c r="B612" s="11" t="s">
        <v>102</v>
      </c>
      <c r="C612" s="11" t="s">
        <v>35</v>
      </c>
      <c r="D612" s="28" t="n">
        <v>550870</v>
      </c>
      <c r="E612" s="4" t="s">
        <v>647</v>
      </c>
      <c r="F612" s="4" t="s">
        <v>142</v>
      </c>
      <c r="G612" s="5" t="s">
        <v>37</v>
      </c>
      <c r="H612" s="6" t="n">
        <v>1204</v>
      </c>
      <c r="I612" s="6" t="n">
        <f aca="false">H612</f>
        <v>1204</v>
      </c>
      <c r="J612" s="6" t="n">
        <v>1250</v>
      </c>
      <c r="K612" s="4" t="s">
        <v>63</v>
      </c>
      <c r="N612" s="8" t="n">
        <v>42983</v>
      </c>
      <c r="O612" s="7"/>
      <c r="P612" s="7"/>
      <c r="Q612" s="9" t="n">
        <v>0</v>
      </c>
      <c r="R612" s="9" t="n">
        <f aca="false">Q612</f>
        <v>0</v>
      </c>
      <c r="T612" s="9" t="n">
        <v>66200</v>
      </c>
      <c r="U612" s="9" t="n">
        <f aca="false">T612</f>
        <v>66200</v>
      </c>
      <c r="V612" s="63" t="n">
        <v>66200</v>
      </c>
      <c r="W612" s="9" t="n">
        <f aca="false">V612</f>
        <v>66200</v>
      </c>
      <c r="X612" s="44" t="n">
        <f aca="false">T612/H612</f>
        <v>54.9833887043189</v>
      </c>
      <c r="Y612" s="63" t="s">
        <v>52</v>
      </c>
      <c r="Z612" s="40"/>
      <c r="AB612" s="5" t="s">
        <v>40</v>
      </c>
      <c r="AC612" s="4" t="s">
        <v>269</v>
      </c>
      <c r="AD612" s="15" t="n">
        <v>62</v>
      </c>
      <c r="AF612" s="57"/>
    </row>
    <row r="613" customFormat="false" ht="14.25" hidden="false" customHeight="true" outlineLevel="0" collapsed="false">
      <c r="A613" s="28"/>
      <c r="B613" s="11"/>
      <c r="C613" s="11" t="s">
        <v>35</v>
      </c>
      <c r="D613" s="28"/>
      <c r="E613" s="4"/>
      <c r="I613" s="9"/>
      <c r="J613" s="9"/>
      <c r="T613" s="9"/>
      <c r="U613" s="9"/>
      <c r="V613" s="63"/>
      <c r="W613" s="9"/>
      <c r="X613" s="9"/>
      <c r="Y613" s="9"/>
      <c r="Z613" s="40"/>
      <c r="AB613" s="5"/>
      <c r="AF613" s="57"/>
    </row>
    <row r="614" customFormat="false" ht="14.25" hidden="false" customHeight="true" outlineLevel="0" collapsed="false">
      <c r="A614" s="28"/>
      <c r="B614" s="11"/>
      <c r="C614" s="11" t="s">
        <v>35</v>
      </c>
      <c r="D614" s="28"/>
      <c r="E614" s="4"/>
      <c r="F614" s="45" t="s">
        <v>665</v>
      </c>
      <c r="H614" s="41" t="n">
        <f aca="false">SUM(H602:H612)</f>
        <v>16518</v>
      </c>
      <c r="I614" s="42"/>
      <c r="J614" s="42"/>
      <c r="Q614" s="42" t="n">
        <f aca="false">SUM(Q602:Q612)</f>
        <v>583396</v>
      </c>
      <c r="R614" s="42"/>
      <c r="S614" s="42" t="n">
        <f aca="false">SUM(R600:R613)</f>
        <v>583396</v>
      </c>
      <c r="T614" s="42" t="n">
        <f aca="false">SUM(T602:T612)</f>
        <v>839900</v>
      </c>
      <c r="U614" s="42"/>
      <c r="V614" s="43" t="n">
        <f aca="false">SUM(V602:V612)</f>
        <v>845300</v>
      </c>
      <c r="W614" s="42"/>
      <c r="X614" s="42"/>
      <c r="Y614" s="42"/>
      <c r="Z614" s="64"/>
      <c r="AA614" s="43" t="n">
        <v>12350000</v>
      </c>
      <c r="AB614" s="5"/>
      <c r="AE614" s="58"/>
      <c r="AF614" s="59"/>
      <c r="AG614" s="58"/>
    </row>
    <row r="615" customFormat="false" ht="14.25" hidden="false" customHeight="true" outlineLevel="0" collapsed="false">
      <c r="A615" s="28"/>
      <c r="B615" s="11"/>
      <c r="C615" s="11" t="s">
        <v>35</v>
      </c>
      <c r="D615" s="28"/>
      <c r="E615" s="4"/>
      <c r="G615" s="106"/>
      <c r="H615" s="41"/>
      <c r="I615" s="42"/>
      <c r="J615" s="42"/>
      <c r="Q615" s="42"/>
      <c r="R615" s="42"/>
      <c r="S615" s="42"/>
      <c r="T615" s="42"/>
      <c r="U615" s="42"/>
      <c r="V615" s="43"/>
      <c r="W615" s="42"/>
      <c r="X615" s="42"/>
      <c r="Y615" s="42"/>
      <c r="Z615" s="64"/>
      <c r="AA615" s="62"/>
      <c r="AB615" s="5"/>
      <c r="AF615" s="57"/>
    </row>
    <row r="616" customFormat="false" ht="14.25" hidden="false" customHeight="true" outlineLevel="0" collapsed="false">
      <c r="A616" s="28"/>
      <c r="B616" s="11"/>
      <c r="C616" s="11" t="s">
        <v>35</v>
      </c>
      <c r="D616" s="28"/>
      <c r="E616" s="4"/>
      <c r="G616" s="38" t="s">
        <v>666</v>
      </c>
      <c r="I616" s="9"/>
      <c r="J616" s="9"/>
      <c r="K616" s="39"/>
      <c r="T616" s="11"/>
      <c r="U616" s="9"/>
      <c r="W616" s="9"/>
      <c r="X616" s="9"/>
      <c r="Y616" s="9"/>
      <c r="Z616" s="40"/>
      <c r="AB616" s="5"/>
      <c r="AF616" s="57"/>
    </row>
    <row r="617" customFormat="false" ht="14.25" hidden="false" customHeight="true" outlineLevel="0" collapsed="false">
      <c r="A617" s="28"/>
      <c r="B617" s="11"/>
      <c r="C617" s="11" t="s">
        <v>35</v>
      </c>
      <c r="D617" s="28"/>
      <c r="E617" s="4"/>
      <c r="G617" s="106"/>
      <c r="H617" s="41"/>
      <c r="I617" s="42"/>
      <c r="J617" s="42"/>
      <c r="Q617" s="42"/>
      <c r="R617" s="42"/>
      <c r="S617" s="42"/>
      <c r="T617" s="42"/>
      <c r="U617" s="42"/>
      <c r="V617" s="43"/>
      <c r="W617" s="42"/>
      <c r="X617" s="42"/>
      <c r="Y617" s="42"/>
      <c r="Z617" s="64"/>
      <c r="AA617" s="62"/>
      <c r="AB617" s="5"/>
      <c r="AF617" s="57"/>
    </row>
    <row r="618" customFormat="false" ht="22.5" hidden="false" customHeight="true" outlineLevel="0" collapsed="false">
      <c r="A618" s="28"/>
      <c r="B618" s="11" t="s">
        <v>102</v>
      </c>
      <c r="C618" s="11" t="s">
        <v>35</v>
      </c>
      <c r="D618" s="28" t="n">
        <v>550980</v>
      </c>
      <c r="E618" s="4" t="s">
        <v>666</v>
      </c>
      <c r="F618" s="4" t="s">
        <v>455</v>
      </c>
      <c r="G618" s="5" t="s">
        <v>50</v>
      </c>
      <c r="H618" s="41" t="n">
        <v>10112</v>
      </c>
      <c r="I618" s="42" t="n">
        <f aca="false">H618</f>
        <v>10112</v>
      </c>
      <c r="J618" s="42"/>
      <c r="K618" s="4" t="s">
        <v>667</v>
      </c>
      <c r="L618" s="7" t="n">
        <v>45708</v>
      </c>
      <c r="M618" s="8" t="n">
        <v>51185</v>
      </c>
      <c r="O618" s="8" t="n">
        <v>47534</v>
      </c>
      <c r="P618" s="8" t="n">
        <v>47898</v>
      </c>
      <c r="Q618" s="42" t="n">
        <v>550000</v>
      </c>
      <c r="R618" s="42" t="n">
        <f aca="false">Q618</f>
        <v>550000</v>
      </c>
      <c r="S618" s="42" t="n">
        <f aca="false">R618</f>
        <v>550000</v>
      </c>
      <c r="T618" s="42" t="n">
        <v>750000</v>
      </c>
      <c r="U618" s="42" t="n">
        <f aca="false">T618</f>
        <v>750000</v>
      </c>
      <c r="V618" s="43" t="n">
        <v>700000</v>
      </c>
      <c r="W618" s="42" t="n">
        <f aca="false">V618</f>
        <v>700000</v>
      </c>
      <c r="X618" s="44" t="n">
        <f aca="false">T618/H618</f>
        <v>74.1693037974684</v>
      </c>
      <c r="Y618" s="42" t="s">
        <v>453</v>
      </c>
      <c r="Z618" s="64"/>
      <c r="AA618" s="43" t="n">
        <v>11850000</v>
      </c>
      <c r="AB618" s="5" t="s">
        <v>40</v>
      </c>
      <c r="AC618" s="4" t="s">
        <v>668</v>
      </c>
      <c r="AE618" s="4" t="n">
        <v>1</v>
      </c>
      <c r="AF618" s="57" t="n">
        <v>1</v>
      </c>
    </row>
    <row r="619" customFormat="false" ht="14.25" hidden="false" customHeight="true" outlineLevel="0" collapsed="false">
      <c r="A619" s="28"/>
      <c r="B619" s="11"/>
      <c r="C619" s="11" t="s">
        <v>35</v>
      </c>
      <c r="D619" s="28"/>
      <c r="E619" s="4"/>
      <c r="H619" s="41"/>
      <c r="I619" s="42"/>
      <c r="J619" s="42"/>
      <c r="Q619" s="42"/>
      <c r="R619" s="42"/>
      <c r="S619" s="42"/>
      <c r="T619" s="42"/>
      <c r="U619" s="42"/>
      <c r="V619" s="43"/>
      <c r="W619" s="42"/>
      <c r="X619" s="42"/>
      <c r="Y619" s="42"/>
      <c r="Z619" s="64"/>
      <c r="AA619" s="43"/>
      <c r="AB619" s="5"/>
      <c r="AF619" s="57"/>
    </row>
    <row r="620" customFormat="false" ht="14.25" hidden="false" customHeight="true" outlineLevel="0" collapsed="false">
      <c r="A620" s="28"/>
      <c r="B620" s="11"/>
      <c r="C620" s="11" t="s">
        <v>35</v>
      </c>
      <c r="D620" s="28"/>
      <c r="E620" s="4"/>
      <c r="F620" s="45" t="s">
        <v>669</v>
      </c>
      <c r="H620" s="46" t="n">
        <f aca="false">SUM(H618:H619)</f>
        <v>10112</v>
      </c>
      <c r="I620" s="41"/>
      <c r="J620" s="41"/>
      <c r="K620" s="47"/>
      <c r="L620" s="48"/>
      <c r="M620" s="49"/>
      <c r="N620" s="49"/>
      <c r="O620" s="49"/>
      <c r="P620" s="49"/>
      <c r="Q620" s="46" t="n">
        <f aca="false">SUM(Q618:Q619)</f>
        <v>550000</v>
      </c>
      <c r="R620" s="46"/>
      <c r="S620" s="46"/>
      <c r="T620" s="46" t="n">
        <f aca="false">SUM(T618:T619)</f>
        <v>750000</v>
      </c>
      <c r="U620" s="46"/>
      <c r="V620" s="50"/>
      <c r="W620" s="46"/>
      <c r="X620" s="46"/>
      <c r="Y620" s="46"/>
      <c r="Z620" s="51"/>
      <c r="AA620" s="43"/>
      <c r="AB620" s="5"/>
      <c r="AF620" s="57"/>
    </row>
    <row r="621" customFormat="false" ht="14.25" hidden="false" customHeight="true" outlineLevel="0" collapsed="false">
      <c r="A621" s="28"/>
      <c r="B621" s="11"/>
      <c r="C621" s="11" t="s">
        <v>35</v>
      </c>
      <c r="D621" s="28"/>
      <c r="E621" s="4"/>
      <c r="G621" s="38" t="s">
        <v>670</v>
      </c>
      <c r="I621" s="9"/>
      <c r="J621" s="9"/>
      <c r="K621" s="39"/>
      <c r="T621" s="11"/>
      <c r="U621" s="9"/>
      <c r="W621" s="9"/>
      <c r="X621" s="9"/>
      <c r="Y621" s="9"/>
      <c r="Z621" s="40"/>
      <c r="AA621" s="43"/>
      <c r="AB621" s="5"/>
      <c r="AF621" s="57"/>
    </row>
    <row r="622" customFormat="false" ht="14.25" hidden="false" customHeight="true" outlineLevel="0" collapsed="false">
      <c r="A622" s="28"/>
      <c r="B622" s="11"/>
      <c r="C622" s="11" t="s">
        <v>35</v>
      </c>
      <c r="D622" s="28"/>
      <c r="E622" s="4"/>
      <c r="G622" s="38"/>
      <c r="H622" s="83"/>
      <c r="I622" s="9"/>
      <c r="J622" s="9"/>
      <c r="K622" s="83"/>
      <c r="L622" s="130"/>
      <c r="M622" s="130"/>
      <c r="N622" s="130"/>
      <c r="O622" s="73"/>
      <c r="P622" s="73"/>
      <c r="T622" s="122"/>
      <c r="U622" s="9"/>
      <c r="V622" s="123"/>
      <c r="W622" s="9"/>
      <c r="X622" s="9"/>
      <c r="Y622" s="9"/>
      <c r="Z622" s="40"/>
      <c r="AA622" s="43"/>
      <c r="AB622" s="5"/>
      <c r="AC622" s="39"/>
      <c r="AE622" s="39"/>
      <c r="AF622" s="131"/>
      <c r="AG622" s="39"/>
    </row>
    <row r="623" customFormat="false" ht="22.5" hidden="false" customHeight="true" outlineLevel="0" collapsed="false">
      <c r="A623" s="28"/>
      <c r="B623" s="11" t="s">
        <v>34</v>
      </c>
      <c r="C623" s="11" t="s">
        <v>35</v>
      </c>
      <c r="D623" s="28" t="n">
        <v>100850</v>
      </c>
      <c r="E623" s="4" t="s">
        <v>670</v>
      </c>
      <c r="F623" s="4" t="s">
        <v>187</v>
      </c>
      <c r="G623" s="5" t="s">
        <v>671</v>
      </c>
      <c r="H623" s="6" t="n">
        <v>5200</v>
      </c>
      <c r="I623" s="6" t="n">
        <f aca="false">H623</f>
        <v>5200</v>
      </c>
      <c r="J623" s="6" t="n">
        <v>5000</v>
      </c>
      <c r="K623" s="4" t="s">
        <v>672</v>
      </c>
      <c r="L623" s="7" t="n">
        <v>45776</v>
      </c>
      <c r="M623" s="8" t="n">
        <v>49427</v>
      </c>
      <c r="O623" s="8" t="n">
        <v>47602</v>
      </c>
      <c r="P623" s="8" t="n">
        <v>47601</v>
      </c>
      <c r="Q623" s="9" t="n">
        <v>352500</v>
      </c>
      <c r="R623" s="9" t="n">
        <f aca="false">Q623</f>
        <v>352500</v>
      </c>
      <c r="T623" s="122" t="n">
        <v>616000</v>
      </c>
      <c r="U623" s="9" t="n">
        <f aca="false">T623</f>
        <v>616000</v>
      </c>
      <c r="V623" s="123" t="n">
        <v>746500</v>
      </c>
      <c r="W623" s="9" t="n">
        <f aca="false">V623</f>
        <v>746500</v>
      </c>
      <c r="X623" s="44" t="n">
        <f aca="false">T623/H623</f>
        <v>118.461538461538</v>
      </c>
      <c r="Y623" s="9" t="s">
        <v>52</v>
      </c>
      <c r="Z623" s="40"/>
      <c r="AA623" s="43"/>
      <c r="AB623" s="5" t="s">
        <v>40</v>
      </c>
      <c r="AC623" s="4" t="s">
        <v>673</v>
      </c>
      <c r="AE623" s="4" t="n">
        <v>1</v>
      </c>
      <c r="AF623" s="57" t="n">
        <v>1</v>
      </c>
      <c r="AG623" s="4" t="s">
        <v>54</v>
      </c>
    </row>
    <row r="624" customFormat="false" ht="33.75" hidden="false" customHeight="true" outlineLevel="0" collapsed="false">
      <c r="A624" s="28"/>
      <c r="B624" s="11" t="s">
        <v>34</v>
      </c>
      <c r="C624" s="11" t="s">
        <v>35</v>
      </c>
      <c r="D624" s="28" t="n">
        <v>100850</v>
      </c>
      <c r="E624" s="4" t="s">
        <v>670</v>
      </c>
      <c r="F624" s="4" t="s">
        <v>674</v>
      </c>
      <c r="G624" s="5" t="s">
        <v>277</v>
      </c>
      <c r="H624" s="93" t="n">
        <v>85</v>
      </c>
      <c r="I624" s="6" t="n">
        <f aca="false">H624</f>
        <v>85</v>
      </c>
      <c r="K624" s="132" t="s">
        <v>675</v>
      </c>
      <c r="L624" s="7" t="n">
        <v>45589</v>
      </c>
      <c r="M624" s="7" t="n">
        <v>45953</v>
      </c>
      <c r="N624" s="7"/>
      <c r="Q624" s="9" t="n">
        <v>68250</v>
      </c>
      <c r="R624" s="9" t="n">
        <f aca="false">Q624</f>
        <v>68250</v>
      </c>
      <c r="T624" s="122" t="n">
        <v>65000</v>
      </c>
      <c r="U624" s="9" t="n">
        <f aca="false">T624</f>
        <v>65000</v>
      </c>
      <c r="V624" s="123" t="n">
        <v>0</v>
      </c>
      <c r="W624" s="9" t="n">
        <f aca="false">V624</f>
        <v>0</v>
      </c>
      <c r="X624" s="44" t="n">
        <f aca="false">T624/H624</f>
        <v>764.705882352941</v>
      </c>
      <c r="Y624" s="9"/>
      <c r="Z624" s="40"/>
      <c r="AA624" s="43"/>
      <c r="AB624" s="5" t="s">
        <v>40</v>
      </c>
      <c r="AC624" s="39" t="s">
        <v>676</v>
      </c>
      <c r="AE624" s="39"/>
      <c r="AF624" s="131"/>
      <c r="AG624" s="39"/>
    </row>
    <row r="625" customFormat="false" ht="13.5" hidden="false" customHeight="true" outlineLevel="0" collapsed="false">
      <c r="A625" s="28"/>
      <c r="B625" s="11" t="s">
        <v>34</v>
      </c>
      <c r="C625" s="11" t="s">
        <v>35</v>
      </c>
      <c r="D625" s="28" t="n">
        <v>100850</v>
      </c>
      <c r="E625" s="4" t="s">
        <v>670</v>
      </c>
      <c r="F625" s="4" t="s">
        <v>677</v>
      </c>
      <c r="G625" s="5" t="s">
        <v>235</v>
      </c>
      <c r="H625" s="93" t="n">
        <v>4011</v>
      </c>
      <c r="I625" s="6" t="n">
        <f aca="false">H625</f>
        <v>4011</v>
      </c>
      <c r="J625" s="6" t="n">
        <v>4000</v>
      </c>
      <c r="K625" s="4" t="s">
        <v>678</v>
      </c>
      <c r="L625" s="7" t="n">
        <v>44204</v>
      </c>
      <c r="M625" s="8" t="n">
        <v>47855</v>
      </c>
      <c r="O625" s="8" t="n">
        <v>46030</v>
      </c>
      <c r="Q625" s="9" t="n">
        <v>130000</v>
      </c>
      <c r="R625" s="9" t="n">
        <f aca="false">Q625</f>
        <v>130000</v>
      </c>
      <c r="T625" s="122" t="n">
        <v>130000</v>
      </c>
      <c r="U625" s="9" t="n">
        <f aca="false">T625</f>
        <v>130000</v>
      </c>
      <c r="V625" s="123" t="n">
        <v>130000</v>
      </c>
      <c r="W625" s="9" t="n">
        <f aca="false">V625</f>
        <v>130000</v>
      </c>
      <c r="X625" s="44" t="n">
        <f aca="false">T625/H625</f>
        <v>32.4108701072052</v>
      </c>
      <c r="Y625" s="9" t="s">
        <v>52</v>
      </c>
      <c r="Z625" s="40"/>
      <c r="AA625" s="43"/>
      <c r="AB625" s="5" t="s">
        <v>40</v>
      </c>
      <c r="AC625" s="39"/>
      <c r="AE625" s="39"/>
      <c r="AF625" s="131"/>
      <c r="AG625" s="39"/>
    </row>
    <row r="626" customFormat="false" ht="14.25" hidden="false" customHeight="true" outlineLevel="0" collapsed="false">
      <c r="A626" s="28"/>
      <c r="B626" s="11"/>
      <c r="C626" s="11" t="s">
        <v>35</v>
      </c>
      <c r="D626" s="28"/>
      <c r="E626" s="4"/>
      <c r="G626" s="4"/>
      <c r="H626" s="93"/>
      <c r="I626" s="9"/>
      <c r="J626" s="9"/>
      <c r="K626" s="132"/>
      <c r="M626" s="7"/>
      <c r="N626" s="7"/>
      <c r="T626" s="122"/>
      <c r="U626" s="9"/>
      <c r="V626" s="123"/>
      <c r="W626" s="9"/>
      <c r="X626" s="9"/>
      <c r="Y626" s="9"/>
      <c r="Z626" s="40"/>
      <c r="AA626" s="43"/>
      <c r="AB626" s="5"/>
      <c r="AC626" s="39"/>
      <c r="AE626" s="39"/>
      <c r="AF626" s="131"/>
      <c r="AG626" s="39"/>
    </row>
    <row r="627" customFormat="false" ht="14.25" hidden="false" customHeight="true" outlineLevel="0" collapsed="false">
      <c r="A627" s="28"/>
      <c r="B627" s="11"/>
      <c r="C627" s="11" t="s">
        <v>35</v>
      </c>
      <c r="D627" s="28"/>
      <c r="E627" s="4"/>
      <c r="F627" s="45" t="s">
        <v>670</v>
      </c>
      <c r="G627" s="4"/>
      <c r="H627" s="74" t="n">
        <f aca="false">SUM(H623:H625)</f>
        <v>9296</v>
      </c>
      <c r="I627" s="42"/>
      <c r="J627" s="42"/>
      <c r="K627" s="132"/>
      <c r="M627" s="7"/>
      <c r="N627" s="7"/>
      <c r="Q627" s="42" t="n">
        <f aca="false">SUM(Q623:Q625)</f>
        <v>550750</v>
      </c>
      <c r="R627" s="42"/>
      <c r="S627" s="42" t="n">
        <f aca="false">SUM(R621:R626)</f>
        <v>550750</v>
      </c>
      <c r="T627" s="125" t="n">
        <f aca="false">SUM(T623:T625)</f>
        <v>811000</v>
      </c>
      <c r="U627" s="42"/>
      <c r="V627" s="126" t="n">
        <f aca="false">SUM(V623:V625)</f>
        <v>876500</v>
      </c>
      <c r="W627" s="42"/>
      <c r="X627" s="42"/>
      <c r="Y627" s="42"/>
      <c r="Z627" s="64"/>
      <c r="AA627" s="43" t="n">
        <v>16300000</v>
      </c>
      <c r="AB627" s="5"/>
      <c r="AE627" s="58"/>
      <c r="AF627" s="59"/>
      <c r="AG627" s="58"/>
    </row>
    <row r="628" customFormat="false" ht="14.25" hidden="false" customHeight="true" outlineLevel="0" collapsed="false">
      <c r="A628" s="28"/>
      <c r="B628" s="11"/>
      <c r="C628" s="11" t="s">
        <v>35</v>
      </c>
      <c r="D628" s="28"/>
      <c r="E628" s="4"/>
      <c r="F628" s="47"/>
      <c r="G628" s="4"/>
      <c r="H628" s="74"/>
      <c r="I628" s="42"/>
      <c r="J628" s="42"/>
      <c r="K628" s="132"/>
      <c r="M628" s="7"/>
      <c r="N628" s="7"/>
      <c r="Q628" s="42"/>
      <c r="R628" s="42"/>
      <c r="S628" s="42"/>
      <c r="T628" s="125"/>
      <c r="U628" s="42"/>
      <c r="V628" s="126"/>
      <c r="W628" s="42"/>
      <c r="X628" s="42"/>
      <c r="Y628" s="42"/>
      <c r="Z628" s="64"/>
      <c r="AA628" s="62"/>
      <c r="AB628" s="5"/>
      <c r="AC628" s="39"/>
      <c r="AE628" s="39"/>
      <c r="AF628" s="131"/>
      <c r="AG628" s="39"/>
    </row>
    <row r="629" customFormat="false" ht="14.25" hidden="false" customHeight="true" outlineLevel="0" collapsed="false">
      <c r="A629" s="28"/>
      <c r="B629" s="11"/>
      <c r="C629" s="11" t="s">
        <v>35</v>
      </c>
      <c r="D629" s="28"/>
      <c r="E629" s="4"/>
      <c r="G629" s="4"/>
      <c r="H629" s="74"/>
      <c r="I629" s="42"/>
      <c r="J629" s="42"/>
      <c r="K629" s="132"/>
      <c r="M629" s="7"/>
      <c r="N629" s="7"/>
      <c r="Q629" s="42"/>
      <c r="R629" s="42"/>
      <c r="S629" s="42"/>
      <c r="T629" s="125"/>
      <c r="U629" s="42"/>
      <c r="V629" s="126"/>
      <c r="W629" s="42"/>
      <c r="X629" s="42"/>
      <c r="Y629" s="42"/>
      <c r="Z629" s="64"/>
      <c r="AA629" s="62"/>
      <c r="AB629" s="5"/>
      <c r="AC629" s="39"/>
      <c r="AE629" s="39"/>
      <c r="AF629" s="131"/>
      <c r="AG629" s="39"/>
    </row>
    <row r="630" customFormat="false" ht="14.25" hidden="false" customHeight="true" outlineLevel="0" collapsed="false">
      <c r="A630" s="28"/>
      <c r="B630" s="11"/>
      <c r="C630" s="11" t="s">
        <v>35</v>
      </c>
      <c r="D630" s="28"/>
      <c r="E630" s="4"/>
      <c r="G630" s="38" t="s">
        <v>679</v>
      </c>
      <c r="I630" s="9"/>
      <c r="J630" s="9"/>
      <c r="K630" s="39"/>
      <c r="T630" s="11"/>
      <c r="U630" s="9"/>
      <c r="W630" s="9"/>
      <c r="X630" s="9"/>
      <c r="Y630" s="9"/>
      <c r="Z630" s="40"/>
      <c r="AB630" s="5"/>
      <c r="AF630" s="57"/>
    </row>
    <row r="631" customFormat="false" ht="14.25" hidden="false" customHeight="true" outlineLevel="0" collapsed="false">
      <c r="A631" s="28"/>
      <c r="B631" s="11"/>
      <c r="C631" s="11" t="s">
        <v>35</v>
      </c>
      <c r="D631" s="28"/>
      <c r="E631" s="4"/>
      <c r="G631" s="107"/>
      <c r="H631" s="83"/>
      <c r="I631" s="42"/>
      <c r="J631" s="42"/>
      <c r="K631" s="133"/>
      <c r="Q631" s="42"/>
      <c r="R631" s="42"/>
      <c r="S631" s="42"/>
      <c r="T631" s="42"/>
      <c r="U631" s="42"/>
      <c r="V631" s="43"/>
      <c r="W631" s="42"/>
      <c r="X631" s="42"/>
      <c r="Y631" s="42"/>
      <c r="Z631" s="64"/>
      <c r="AA631" s="62"/>
      <c r="AB631" s="5"/>
      <c r="AF631" s="57"/>
    </row>
    <row r="632" customFormat="false" ht="28.5" hidden="false" customHeight="true" outlineLevel="0" collapsed="false">
      <c r="A632" s="28"/>
      <c r="B632" s="11" t="s">
        <v>34</v>
      </c>
      <c r="C632" s="11" t="s">
        <v>35</v>
      </c>
      <c r="D632" s="28" t="n">
        <v>100670</v>
      </c>
      <c r="E632" s="4" t="s">
        <v>679</v>
      </c>
      <c r="F632" s="4" t="s">
        <v>680</v>
      </c>
      <c r="G632" s="5" t="s">
        <v>46</v>
      </c>
      <c r="H632" s="6" t="n">
        <v>3348</v>
      </c>
      <c r="I632" s="9" t="n">
        <f aca="false">H632</f>
        <v>3348</v>
      </c>
      <c r="J632" s="9" t="n">
        <v>3250</v>
      </c>
      <c r="K632" s="4" t="s">
        <v>681</v>
      </c>
      <c r="L632" s="7" t="n">
        <v>45600</v>
      </c>
      <c r="M632" s="8" t="n">
        <v>49251</v>
      </c>
      <c r="O632" s="8" t="n">
        <v>47426</v>
      </c>
      <c r="P632" s="8" t="n">
        <v>47790</v>
      </c>
      <c r="Q632" s="9" t="n">
        <v>260000</v>
      </c>
      <c r="R632" s="9" t="n">
        <f aca="false">Q632</f>
        <v>260000</v>
      </c>
      <c r="T632" s="9" t="n">
        <v>522500</v>
      </c>
      <c r="U632" s="9" t="n">
        <f aca="false">T632</f>
        <v>522500</v>
      </c>
      <c r="V632" s="63" t="n">
        <v>661800</v>
      </c>
      <c r="W632" s="9" t="n">
        <f aca="false">V632</f>
        <v>661800</v>
      </c>
      <c r="X632" s="44" t="n">
        <f aca="false">T632/H632</f>
        <v>156.063321385902</v>
      </c>
      <c r="Y632" s="9" t="s">
        <v>52</v>
      </c>
      <c r="Z632" s="40"/>
      <c r="AA632" s="62"/>
      <c r="AB632" s="5" t="s">
        <v>40</v>
      </c>
      <c r="AC632" s="4" t="s">
        <v>682</v>
      </c>
      <c r="AD632" s="56"/>
      <c r="AE632" s="58"/>
      <c r="AF632" s="59"/>
      <c r="AG632" s="58"/>
    </row>
    <row r="633" customFormat="false" ht="13.5" hidden="false" customHeight="true" outlineLevel="0" collapsed="false">
      <c r="A633" s="28"/>
      <c r="B633" s="11" t="s">
        <v>34</v>
      </c>
      <c r="C633" s="11" t="s">
        <v>35</v>
      </c>
      <c r="D633" s="28" t="n">
        <v>100670</v>
      </c>
      <c r="E633" s="4" t="s">
        <v>679</v>
      </c>
      <c r="F633" s="4" t="s">
        <v>225</v>
      </c>
      <c r="G633" s="5" t="s">
        <v>683</v>
      </c>
      <c r="H633" s="6" t="n">
        <v>2964</v>
      </c>
      <c r="I633" s="9" t="n">
        <f aca="false">H633</f>
        <v>2964</v>
      </c>
      <c r="J633" s="9" t="n">
        <v>3000</v>
      </c>
      <c r="K633" s="4" t="s">
        <v>63</v>
      </c>
      <c r="N633" s="8" t="n">
        <v>42593</v>
      </c>
      <c r="Q633" s="9" t="n">
        <v>0</v>
      </c>
      <c r="R633" s="9" t="n">
        <f aca="false">Q633</f>
        <v>0</v>
      </c>
      <c r="T633" s="9" t="n">
        <v>115000</v>
      </c>
      <c r="U633" s="9" t="n">
        <f aca="false">T633</f>
        <v>115000</v>
      </c>
      <c r="V633" s="63" t="n">
        <v>115000</v>
      </c>
      <c r="W633" s="9" t="n">
        <f aca="false">V633</f>
        <v>115000</v>
      </c>
      <c r="X633" s="44" t="n">
        <f aca="false">T633/H633</f>
        <v>38.7989203778677</v>
      </c>
      <c r="Y633" s="9" t="s">
        <v>123</v>
      </c>
      <c r="Z633" s="40"/>
      <c r="AA633" s="62"/>
      <c r="AB633" s="5" t="s">
        <v>40</v>
      </c>
      <c r="AC633" s="4" t="s">
        <v>684</v>
      </c>
      <c r="AF633" s="57"/>
    </row>
    <row r="634" customFormat="false" ht="14.25" hidden="false" customHeight="true" outlineLevel="0" collapsed="false">
      <c r="A634" s="28"/>
      <c r="B634" s="11"/>
      <c r="C634" s="11" t="s">
        <v>35</v>
      </c>
      <c r="D634" s="28"/>
      <c r="E634" s="4"/>
      <c r="I634" s="9"/>
      <c r="J634" s="9"/>
      <c r="T634" s="9"/>
      <c r="U634" s="9"/>
      <c r="V634" s="63"/>
      <c r="W634" s="9"/>
      <c r="X634" s="44"/>
      <c r="Y634" s="9"/>
      <c r="Z634" s="40"/>
      <c r="AA634" s="62"/>
      <c r="AB634" s="5"/>
      <c r="AF634" s="57"/>
    </row>
    <row r="635" customFormat="false" ht="14.25" hidden="false" customHeight="true" outlineLevel="0" collapsed="false">
      <c r="A635" s="28"/>
      <c r="B635" s="11"/>
      <c r="C635" s="11" t="s">
        <v>35</v>
      </c>
      <c r="D635" s="28"/>
      <c r="E635" s="4"/>
      <c r="F635" s="45" t="s">
        <v>685</v>
      </c>
      <c r="G635" s="106"/>
      <c r="H635" s="41" t="n">
        <f aca="false">SUM(H632:H633)</f>
        <v>6312</v>
      </c>
      <c r="I635" s="42"/>
      <c r="J635" s="42"/>
      <c r="Q635" s="42" t="n">
        <f aca="false">SUM(Q632:Q633)</f>
        <v>260000</v>
      </c>
      <c r="R635" s="42"/>
      <c r="S635" s="42" t="n">
        <f aca="false">SUM(R631:R634)</f>
        <v>260000</v>
      </c>
      <c r="T635" s="42" t="n">
        <f aca="false">SUM(T632:T633)</f>
        <v>637500</v>
      </c>
      <c r="U635" s="42"/>
      <c r="V635" s="43" t="n">
        <f aca="false">SUM(V632:V633)</f>
        <v>776800</v>
      </c>
      <c r="W635" s="42"/>
      <c r="X635" s="42"/>
      <c r="Y635" s="42"/>
      <c r="Z635" s="64"/>
      <c r="AA635" s="43" t="n">
        <v>12300000</v>
      </c>
      <c r="AB635" s="5"/>
      <c r="AE635" s="58"/>
      <c r="AF635" s="59"/>
      <c r="AG635" s="58"/>
    </row>
    <row r="636" customFormat="false" ht="14.25" hidden="false" customHeight="true" outlineLevel="0" collapsed="false">
      <c r="A636" s="28"/>
      <c r="B636" s="11"/>
      <c r="C636" s="11" t="s">
        <v>35</v>
      </c>
      <c r="D636" s="28"/>
      <c r="E636" s="4"/>
      <c r="G636" s="106"/>
      <c r="H636" s="41"/>
      <c r="I636" s="42"/>
      <c r="J636" s="42"/>
      <c r="Q636" s="42"/>
      <c r="R636" s="42"/>
      <c r="S636" s="42"/>
      <c r="T636" s="42"/>
      <c r="U636" s="42"/>
      <c r="V636" s="43"/>
      <c r="W636" s="42"/>
      <c r="X636" s="42"/>
      <c r="Y636" s="42"/>
      <c r="Z636" s="64"/>
      <c r="AA636" s="43"/>
      <c r="AB636" s="5"/>
      <c r="AF636" s="57"/>
    </row>
    <row r="637" customFormat="false" ht="14.25" hidden="false" customHeight="true" outlineLevel="0" collapsed="false">
      <c r="A637" s="28"/>
      <c r="B637" s="11"/>
      <c r="C637" s="11" t="s">
        <v>35</v>
      </c>
      <c r="D637" s="28"/>
      <c r="E637" s="4"/>
      <c r="G637" s="38" t="s">
        <v>686</v>
      </c>
      <c r="I637" s="9"/>
      <c r="J637" s="9"/>
      <c r="K637" s="39"/>
      <c r="T637" s="11"/>
      <c r="U637" s="9"/>
      <c r="W637" s="9"/>
      <c r="X637" s="9"/>
      <c r="Y637" s="9"/>
      <c r="Z637" s="40"/>
      <c r="AA637" s="43"/>
      <c r="AB637" s="5"/>
      <c r="AF637" s="57"/>
    </row>
    <row r="638" customFormat="false" ht="14.25" hidden="false" customHeight="true" outlineLevel="0" collapsed="false">
      <c r="A638" s="28"/>
      <c r="B638" s="11"/>
      <c r="C638" s="11" t="s">
        <v>35</v>
      </c>
      <c r="D638" s="28"/>
      <c r="E638" s="4"/>
      <c r="G638" s="107"/>
      <c r="H638" s="83"/>
      <c r="I638" s="42"/>
      <c r="J638" s="42"/>
      <c r="K638" s="133"/>
      <c r="Q638" s="42"/>
      <c r="R638" s="42"/>
      <c r="S638" s="42"/>
      <c r="T638" s="42"/>
      <c r="U638" s="42"/>
      <c r="V638" s="43"/>
      <c r="W638" s="42"/>
      <c r="X638" s="42"/>
      <c r="Y638" s="42"/>
      <c r="Z638" s="64"/>
      <c r="AA638" s="43"/>
      <c r="AB638" s="5"/>
      <c r="AF638" s="57"/>
    </row>
    <row r="639" customFormat="false" ht="33.75" hidden="false" customHeight="true" outlineLevel="0" collapsed="false">
      <c r="A639" s="28"/>
      <c r="B639" s="11" t="s">
        <v>34</v>
      </c>
      <c r="C639" s="11" t="s">
        <v>35</v>
      </c>
      <c r="D639" s="28" t="n">
        <v>100650</v>
      </c>
      <c r="E639" s="4" t="s">
        <v>686</v>
      </c>
      <c r="F639" s="4" t="s">
        <v>687</v>
      </c>
      <c r="G639" s="5" t="s">
        <v>46</v>
      </c>
      <c r="H639" s="41" t="n">
        <v>61433</v>
      </c>
      <c r="I639" s="9" t="n">
        <f aca="false">H639</f>
        <v>61433</v>
      </c>
      <c r="J639" s="9" t="n">
        <v>60000</v>
      </c>
      <c r="K639" s="4" t="s">
        <v>688</v>
      </c>
      <c r="L639" s="7" t="n">
        <v>40925</v>
      </c>
      <c r="M639" s="8" t="n">
        <v>46403</v>
      </c>
      <c r="O639" s="8" t="n">
        <v>44578</v>
      </c>
      <c r="Q639" s="42" t="n">
        <v>4275000</v>
      </c>
      <c r="R639" s="9" t="n">
        <f aca="false">Q639</f>
        <v>4275000</v>
      </c>
      <c r="S639" s="42" t="n">
        <f aca="false">R639</f>
        <v>4275000</v>
      </c>
      <c r="T639" s="42" t="n">
        <v>2569000</v>
      </c>
      <c r="U639" s="9" t="n">
        <f aca="false">T639</f>
        <v>2569000</v>
      </c>
      <c r="V639" s="43" t="n">
        <v>3490000</v>
      </c>
      <c r="W639" s="9" t="n">
        <f aca="false">V639</f>
        <v>3490000</v>
      </c>
      <c r="X639" s="44" t="n">
        <f aca="false">T639/H639</f>
        <v>41.8179154526069</v>
      </c>
      <c r="Y639" s="9" t="s">
        <v>52</v>
      </c>
      <c r="Z639" s="40"/>
      <c r="AA639" s="43" t="n">
        <v>72800000</v>
      </c>
      <c r="AB639" s="5" t="s">
        <v>165</v>
      </c>
      <c r="AC639" s="4" t="s">
        <v>689</v>
      </c>
      <c r="AF639" s="57"/>
    </row>
    <row r="640" customFormat="false" ht="14.25" hidden="false" customHeight="true" outlineLevel="0" collapsed="false">
      <c r="A640" s="28"/>
      <c r="B640" s="11"/>
      <c r="C640" s="11" t="s">
        <v>35</v>
      </c>
      <c r="D640" s="28"/>
      <c r="E640" s="4"/>
      <c r="H640" s="41"/>
      <c r="I640" s="42"/>
      <c r="J640" s="42"/>
      <c r="Q640" s="42"/>
      <c r="R640" s="42"/>
      <c r="S640" s="42"/>
      <c r="T640" s="42"/>
      <c r="U640" s="42"/>
      <c r="V640" s="43"/>
      <c r="W640" s="42"/>
      <c r="X640" s="42"/>
      <c r="Y640" s="42"/>
      <c r="Z640" s="64"/>
      <c r="AA640" s="62"/>
      <c r="AB640" s="5"/>
      <c r="AF640" s="57"/>
    </row>
    <row r="641" customFormat="false" ht="14.25" hidden="false" customHeight="true" outlineLevel="0" collapsed="false">
      <c r="A641" s="28"/>
      <c r="B641" s="11"/>
      <c r="C641" s="11" t="s">
        <v>35</v>
      </c>
      <c r="D641" s="28"/>
      <c r="E641" s="4"/>
      <c r="F641" s="92"/>
      <c r="H641" s="46"/>
      <c r="I641" s="41"/>
      <c r="J641" s="41"/>
      <c r="K641" s="47"/>
      <c r="L641" s="48"/>
      <c r="M641" s="49"/>
      <c r="N641" s="49"/>
      <c r="O641" s="49"/>
      <c r="P641" s="49"/>
      <c r="Q641" s="46" t="n">
        <f aca="false">SUM(Q639:Q640)</f>
        <v>4275000</v>
      </c>
      <c r="R641" s="46"/>
      <c r="S641" s="46"/>
      <c r="T641" s="46" t="n">
        <f aca="false">SUM(T639:T640)</f>
        <v>2569000</v>
      </c>
      <c r="U641" s="46"/>
      <c r="V641" s="50"/>
      <c r="W641" s="46"/>
      <c r="X641" s="46"/>
      <c r="Y641" s="46"/>
      <c r="Z641" s="51"/>
      <c r="AA641" s="52"/>
      <c r="AB641" s="5"/>
      <c r="AF641" s="57"/>
    </row>
    <row r="642" customFormat="false" ht="14.25" hidden="false" customHeight="true" outlineLevel="0" collapsed="false">
      <c r="A642" s="28"/>
      <c r="B642" s="11"/>
      <c r="C642" s="11" t="s">
        <v>35</v>
      </c>
      <c r="D642" s="28"/>
      <c r="E642" s="4"/>
      <c r="G642" s="38" t="s">
        <v>690</v>
      </c>
      <c r="I642" s="9"/>
      <c r="J642" s="9"/>
      <c r="K642" s="39"/>
      <c r="L642" s="134"/>
      <c r="T642" s="11"/>
      <c r="U642" s="9"/>
      <c r="W642" s="9"/>
      <c r="X642" s="9"/>
      <c r="Y642" s="9"/>
      <c r="Z642" s="40"/>
      <c r="AB642" s="5"/>
      <c r="AF642" s="57"/>
    </row>
    <row r="643" customFormat="false" ht="14.25" hidden="false" customHeight="true" outlineLevel="0" collapsed="false">
      <c r="A643" s="28"/>
      <c r="B643" s="11"/>
      <c r="C643" s="11" t="s">
        <v>35</v>
      </c>
      <c r="D643" s="28"/>
      <c r="E643" s="4"/>
      <c r="F643" s="75"/>
      <c r="G643" s="107"/>
      <c r="H643" s="83"/>
      <c r="I643" s="135"/>
      <c r="J643" s="135"/>
      <c r="K643" s="83"/>
      <c r="L643" s="76"/>
      <c r="M643" s="76"/>
      <c r="N643" s="76"/>
      <c r="O643" s="76"/>
      <c r="P643" s="76"/>
      <c r="Q643" s="135"/>
      <c r="R643" s="135"/>
      <c r="S643" s="135"/>
      <c r="T643" s="135"/>
      <c r="U643" s="135"/>
      <c r="V643" s="136"/>
      <c r="W643" s="135"/>
      <c r="X643" s="135"/>
      <c r="Y643" s="135"/>
      <c r="Z643" s="64"/>
      <c r="AA643" s="137"/>
      <c r="AB643" s="5"/>
      <c r="AC643" s="75"/>
      <c r="AD643" s="138"/>
      <c r="AE643" s="75"/>
      <c r="AF643" s="139"/>
      <c r="AG643" s="75"/>
    </row>
    <row r="644" customFormat="false" ht="28.5" hidden="false" customHeight="true" outlineLevel="0" collapsed="false">
      <c r="A644" s="28"/>
      <c r="B644" s="11" t="s">
        <v>34</v>
      </c>
      <c r="C644" s="11" t="s">
        <v>35</v>
      </c>
      <c r="D644" s="28" t="n">
        <v>100650</v>
      </c>
      <c r="E644" s="4" t="s">
        <v>691</v>
      </c>
      <c r="F644" s="4" t="s">
        <v>692</v>
      </c>
      <c r="G644" s="5" t="s">
        <v>161</v>
      </c>
      <c r="H644" s="6" t="n">
        <v>114</v>
      </c>
      <c r="I644" s="6" t="n">
        <f aca="false">H644</f>
        <v>114</v>
      </c>
      <c r="K644" s="4" t="s">
        <v>693</v>
      </c>
      <c r="Q644" s="9" t="n">
        <v>0</v>
      </c>
      <c r="R644" s="9" t="n">
        <f aca="false">Q644</f>
        <v>0</v>
      </c>
      <c r="T644" s="9" t="n">
        <v>2007</v>
      </c>
      <c r="U644" s="9" t="n">
        <f aca="false">T644</f>
        <v>2007</v>
      </c>
      <c r="V644" s="63" t="n">
        <v>2000</v>
      </c>
      <c r="W644" s="9" t="n">
        <f aca="false">V644</f>
        <v>2000</v>
      </c>
      <c r="X644" s="44" t="n">
        <f aca="false">T644/H644</f>
        <v>17.6052631578947</v>
      </c>
      <c r="Y644" s="9"/>
      <c r="Z644" s="40"/>
      <c r="AB644" s="5" t="s">
        <v>40</v>
      </c>
      <c r="AF644" s="57"/>
    </row>
    <row r="645" customFormat="false" ht="28.5" hidden="false" customHeight="true" outlineLevel="0" collapsed="false">
      <c r="A645" s="28"/>
      <c r="B645" s="11" t="s">
        <v>34</v>
      </c>
      <c r="C645" s="11" t="s">
        <v>35</v>
      </c>
      <c r="D645" s="28" t="n">
        <v>100650</v>
      </c>
      <c r="E645" s="4" t="s">
        <v>691</v>
      </c>
      <c r="F645" s="4" t="s">
        <v>694</v>
      </c>
      <c r="G645" s="5" t="s">
        <v>161</v>
      </c>
      <c r="H645" s="6" t="n">
        <v>454</v>
      </c>
      <c r="I645" s="6" t="n">
        <f aca="false">H645</f>
        <v>454</v>
      </c>
      <c r="K645" s="4" t="s">
        <v>695</v>
      </c>
      <c r="L645" s="7" t="n">
        <v>45685</v>
      </c>
      <c r="M645" s="8" t="n">
        <v>47358</v>
      </c>
      <c r="P645" s="8" t="n">
        <v>46627</v>
      </c>
      <c r="Q645" s="9" t="n">
        <v>18000</v>
      </c>
      <c r="R645" s="9" t="n">
        <f aca="false">Q645</f>
        <v>18000</v>
      </c>
      <c r="T645" s="9" t="n">
        <v>7993</v>
      </c>
      <c r="U645" s="9"/>
      <c r="V645" s="63" t="n">
        <v>18000</v>
      </c>
      <c r="W645" s="9" t="n">
        <f aca="false">V645</f>
        <v>18000</v>
      </c>
      <c r="X645" s="44" t="n">
        <f aca="false">T645/H645</f>
        <v>17.6057268722467</v>
      </c>
      <c r="Y645" s="9"/>
      <c r="Z645" s="40"/>
      <c r="AB645" s="5"/>
      <c r="AC645" s="4" t="s">
        <v>73</v>
      </c>
      <c r="AF645" s="57"/>
    </row>
    <row r="646" customFormat="false" ht="22.5" hidden="false" customHeight="true" outlineLevel="0" collapsed="false">
      <c r="A646" s="28"/>
      <c r="B646" s="11" t="s">
        <v>34</v>
      </c>
      <c r="C646" s="11" t="s">
        <v>35</v>
      </c>
      <c r="D646" s="28" t="n">
        <v>100650</v>
      </c>
      <c r="E646" s="4" t="s">
        <v>691</v>
      </c>
      <c r="F646" s="4" t="s">
        <v>120</v>
      </c>
      <c r="G646" s="5" t="s">
        <v>696</v>
      </c>
      <c r="H646" s="6" t="n">
        <v>780</v>
      </c>
      <c r="I646" s="6" t="n">
        <f aca="false">H646</f>
        <v>780</v>
      </c>
      <c r="J646" s="6" t="n">
        <v>750</v>
      </c>
      <c r="K646" s="4" t="s">
        <v>410</v>
      </c>
      <c r="L646" s="7" t="n">
        <v>44562</v>
      </c>
      <c r="M646" s="8" t="n">
        <v>46752</v>
      </c>
      <c r="O646" s="8" t="n">
        <v>45292</v>
      </c>
      <c r="Q646" s="9" t="n">
        <v>17100</v>
      </c>
      <c r="R646" s="9" t="n">
        <f aca="false">Q646</f>
        <v>17100</v>
      </c>
      <c r="T646" s="9" t="n">
        <v>12500</v>
      </c>
      <c r="U646" s="9" t="n">
        <f aca="false">T646</f>
        <v>12500</v>
      </c>
      <c r="V646" s="63" t="n">
        <v>12500</v>
      </c>
      <c r="W646" s="9" t="n">
        <f aca="false">V646</f>
        <v>12500</v>
      </c>
      <c r="X646" s="44" t="n">
        <f aca="false">T646/H646</f>
        <v>16.025641025641</v>
      </c>
      <c r="Y646" s="9" t="s">
        <v>57</v>
      </c>
      <c r="Z646" s="40"/>
      <c r="AB646" s="5" t="s">
        <v>40</v>
      </c>
      <c r="AC646" s="4" t="s">
        <v>697</v>
      </c>
      <c r="AF646" s="57"/>
    </row>
    <row r="647" customFormat="false" ht="28.5" hidden="false" customHeight="true" outlineLevel="0" collapsed="false">
      <c r="A647" s="28"/>
      <c r="B647" s="11" t="s">
        <v>34</v>
      </c>
      <c r="C647" s="11" t="s">
        <v>35</v>
      </c>
      <c r="D647" s="28" t="n">
        <v>100650</v>
      </c>
      <c r="E647" s="4" t="s">
        <v>691</v>
      </c>
      <c r="F647" s="4" t="s">
        <v>698</v>
      </c>
      <c r="G647" s="5" t="s">
        <v>130</v>
      </c>
      <c r="H647" s="6" t="n">
        <v>3661</v>
      </c>
      <c r="I647" s="6" t="n">
        <f aca="false">H647</f>
        <v>3661</v>
      </c>
      <c r="J647" s="6" t="n">
        <v>3500</v>
      </c>
      <c r="K647" s="4" t="s">
        <v>699</v>
      </c>
      <c r="L647" s="7" t="n">
        <v>44115</v>
      </c>
      <c r="M647" s="8" t="n">
        <v>46670</v>
      </c>
      <c r="Q647" s="9" t="n">
        <v>170000</v>
      </c>
      <c r="R647" s="9" t="n">
        <f aca="false">Q647</f>
        <v>170000</v>
      </c>
      <c r="T647" s="9" t="n">
        <v>216700</v>
      </c>
      <c r="U647" s="9" t="n">
        <f aca="false">T647</f>
        <v>216700</v>
      </c>
      <c r="V647" s="63" t="n">
        <v>216700</v>
      </c>
      <c r="W647" s="9" t="n">
        <f aca="false">V647</f>
        <v>216700</v>
      </c>
      <c r="X647" s="44" t="n">
        <f aca="false">T647/H647</f>
        <v>59.1914777383229</v>
      </c>
      <c r="Y647" s="9" t="s">
        <v>57</v>
      </c>
      <c r="Z647" s="40"/>
      <c r="AB647" s="5" t="s">
        <v>40</v>
      </c>
      <c r="AF647" s="57"/>
    </row>
    <row r="648" customFormat="false" ht="22.5" hidden="false" customHeight="true" outlineLevel="0" collapsed="false">
      <c r="A648" s="28"/>
      <c r="B648" s="11" t="s">
        <v>34</v>
      </c>
      <c r="C648" s="11" t="s">
        <v>35</v>
      </c>
      <c r="D648" s="28" t="n">
        <v>100650</v>
      </c>
      <c r="E648" s="4" t="s">
        <v>691</v>
      </c>
      <c r="F648" s="4" t="s">
        <v>700</v>
      </c>
      <c r="G648" s="5" t="s">
        <v>229</v>
      </c>
      <c r="H648" s="6" t="n">
        <v>1716</v>
      </c>
      <c r="I648" s="6" t="n">
        <f aca="false">H648</f>
        <v>1716</v>
      </c>
      <c r="J648" s="6" t="n">
        <v>1750</v>
      </c>
      <c r="K648" s="4" t="s">
        <v>63</v>
      </c>
      <c r="Q648" s="9" t="n">
        <v>0</v>
      </c>
      <c r="R648" s="9" t="n">
        <f aca="false">Q648</f>
        <v>0</v>
      </c>
      <c r="T648" s="9" t="n">
        <v>107600</v>
      </c>
      <c r="U648" s="9" t="n">
        <f aca="false">T648</f>
        <v>107600</v>
      </c>
      <c r="V648" s="63" t="n">
        <v>0</v>
      </c>
      <c r="W648" s="9" t="n">
        <f aca="false">V648</f>
        <v>0</v>
      </c>
      <c r="X648" s="44" t="n">
        <f aca="false">T648/H648</f>
        <v>62.7039627039627</v>
      </c>
      <c r="Y648" s="9"/>
      <c r="Z648" s="40"/>
      <c r="AB648" s="5" t="s">
        <v>40</v>
      </c>
      <c r="AC648" s="4" t="s">
        <v>220</v>
      </c>
      <c r="AF648" s="57"/>
    </row>
    <row r="649" customFormat="false" ht="22.5" hidden="false" customHeight="true" outlineLevel="0" collapsed="false">
      <c r="A649" s="28"/>
      <c r="B649" s="11" t="s">
        <v>34</v>
      </c>
      <c r="C649" s="11" t="s">
        <v>35</v>
      </c>
      <c r="D649" s="28" t="n">
        <v>100650</v>
      </c>
      <c r="E649" s="4" t="s">
        <v>691</v>
      </c>
      <c r="F649" s="4" t="s">
        <v>701</v>
      </c>
      <c r="G649" s="5" t="s">
        <v>229</v>
      </c>
      <c r="H649" s="6" t="n">
        <v>1952</v>
      </c>
      <c r="I649" s="6" t="n">
        <f aca="false">H649</f>
        <v>1952</v>
      </c>
      <c r="J649" s="6" t="n">
        <v>2000</v>
      </c>
      <c r="K649" s="4" t="s">
        <v>702</v>
      </c>
      <c r="L649" s="7" t="n">
        <v>45450</v>
      </c>
      <c r="M649" s="8" t="n">
        <v>49101</v>
      </c>
      <c r="O649" s="8" t="n">
        <v>47276</v>
      </c>
      <c r="P649" s="8" t="n">
        <v>47275</v>
      </c>
      <c r="Q649" s="9" t="n">
        <v>159500</v>
      </c>
      <c r="R649" s="9" t="n">
        <f aca="false">Q649</f>
        <v>159500</v>
      </c>
      <c r="T649" s="9" t="n">
        <v>122400</v>
      </c>
      <c r="U649" s="9" t="n">
        <f aca="false">T649</f>
        <v>122400</v>
      </c>
      <c r="V649" s="63" t="n">
        <v>136600</v>
      </c>
      <c r="W649" s="9" t="n">
        <f aca="false">V649</f>
        <v>136600</v>
      </c>
      <c r="X649" s="44" t="n">
        <f aca="false">T649/H649</f>
        <v>62.7049180327869</v>
      </c>
      <c r="Y649" s="9" t="s">
        <v>39</v>
      </c>
      <c r="Z649" s="40"/>
      <c r="AB649" s="5" t="s">
        <v>40</v>
      </c>
      <c r="AC649" s="4" t="s">
        <v>703</v>
      </c>
      <c r="AF649" s="57"/>
    </row>
    <row r="650" customFormat="false" ht="28.5" hidden="false" customHeight="true" outlineLevel="0" collapsed="false">
      <c r="A650" s="28"/>
      <c r="B650" s="11" t="s">
        <v>34</v>
      </c>
      <c r="C650" s="11" t="s">
        <v>35</v>
      </c>
      <c r="D650" s="28" t="n">
        <v>100650</v>
      </c>
      <c r="E650" s="4" t="s">
        <v>691</v>
      </c>
      <c r="F650" s="4" t="s">
        <v>704</v>
      </c>
      <c r="G650" s="5" t="s">
        <v>705</v>
      </c>
      <c r="H650" s="6" t="n">
        <v>1710</v>
      </c>
      <c r="I650" s="6" t="n">
        <f aca="false">H650</f>
        <v>1710</v>
      </c>
      <c r="J650" s="6" t="n">
        <v>1750</v>
      </c>
      <c r="K650" s="58" t="s">
        <v>63</v>
      </c>
      <c r="L650" s="78"/>
      <c r="M650" s="79"/>
      <c r="N650" s="79" t="n">
        <v>45874</v>
      </c>
      <c r="O650" s="79"/>
      <c r="P650" s="79"/>
      <c r="Q650" s="63" t="n">
        <v>0</v>
      </c>
      <c r="R650" s="9" t="n">
        <f aca="false">Q650</f>
        <v>0</v>
      </c>
      <c r="T650" s="9" t="n">
        <v>85500</v>
      </c>
      <c r="U650" s="9" t="n">
        <f aca="false">T650</f>
        <v>85500</v>
      </c>
      <c r="V650" s="63" t="n">
        <v>100000</v>
      </c>
      <c r="W650" s="9" t="n">
        <f aca="false">V650</f>
        <v>100000</v>
      </c>
      <c r="X650" s="44" t="n">
        <f aca="false">T650/H650</f>
        <v>50</v>
      </c>
      <c r="Y650" s="9" t="s">
        <v>57</v>
      </c>
      <c r="Z650" s="40"/>
      <c r="AB650" s="5" t="s">
        <v>40</v>
      </c>
      <c r="AC650" s="58" t="s">
        <v>64</v>
      </c>
      <c r="AF650" s="57"/>
    </row>
    <row r="651" customFormat="false" ht="37.5" hidden="false" customHeight="true" outlineLevel="0" collapsed="false">
      <c r="A651" s="28"/>
      <c r="B651" s="11" t="s">
        <v>34</v>
      </c>
      <c r="C651" s="11" t="s">
        <v>35</v>
      </c>
      <c r="D651" s="28" t="n">
        <v>100650</v>
      </c>
      <c r="E651" s="4" t="s">
        <v>691</v>
      </c>
      <c r="F651" s="4" t="s">
        <v>706</v>
      </c>
      <c r="G651" s="5" t="s">
        <v>705</v>
      </c>
      <c r="H651" s="6" t="n">
        <v>3601</v>
      </c>
      <c r="I651" s="6" t="n">
        <f aca="false">H651</f>
        <v>3601</v>
      </c>
      <c r="J651" s="6" t="n">
        <v>3500</v>
      </c>
      <c r="K651" s="4" t="s">
        <v>695</v>
      </c>
      <c r="L651" s="7" t="n">
        <v>45533</v>
      </c>
      <c r="M651" s="8" t="n">
        <v>49184</v>
      </c>
      <c r="O651" s="8" t="n">
        <v>47359</v>
      </c>
      <c r="P651" s="8" t="n">
        <v>46627</v>
      </c>
      <c r="Q651" s="9" t="n">
        <v>83500</v>
      </c>
      <c r="R651" s="9" t="n">
        <f aca="false">Q651</f>
        <v>83500</v>
      </c>
      <c r="T651" s="9" t="n">
        <v>144000</v>
      </c>
      <c r="U651" s="9" t="n">
        <f aca="false">T651</f>
        <v>144000</v>
      </c>
      <c r="V651" s="63" t="n">
        <v>167400</v>
      </c>
      <c r="W651" s="9" t="n">
        <f aca="false">V651</f>
        <v>167400</v>
      </c>
      <c r="X651" s="44" t="n">
        <f aca="false">T651/H651</f>
        <v>39.9888919744515</v>
      </c>
      <c r="Y651" s="9" t="s">
        <v>57</v>
      </c>
      <c r="Z651" s="40"/>
      <c r="AA651" s="62"/>
      <c r="AB651" s="5" t="s">
        <v>40</v>
      </c>
      <c r="AC651" s="4" t="s">
        <v>707</v>
      </c>
      <c r="AE651" s="58"/>
      <c r="AF651" s="59"/>
      <c r="AG651" s="58"/>
    </row>
    <row r="652" customFormat="false" ht="22.5" hidden="false" customHeight="true" outlineLevel="0" collapsed="false">
      <c r="A652" s="28"/>
      <c r="B652" s="11" t="s">
        <v>34</v>
      </c>
      <c r="C652" s="11" t="s">
        <v>35</v>
      </c>
      <c r="D652" s="28" t="n">
        <v>100650</v>
      </c>
      <c r="E652" s="4" t="s">
        <v>691</v>
      </c>
      <c r="F652" s="4" t="s">
        <v>708</v>
      </c>
      <c r="G652" s="5" t="s">
        <v>130</v>
      </c>
      <c r="H652" s="6" t="n">
        <v>6889</v>
      </c>
      <c r="I652" s="6" t="n">
        <f aca="false">H652</f>
        <v>6889</v>
      </c>
      <c r="J652" s="6" t="n">
        <v>7000</v>
      </c>
      <c r="K652" s="4" t="s">
        <v>709</v>
      </c>
      <c r="L652" s="7" t="n">
        <v>44630</v>
      </c>
      <c r="M652" s="8" t="n">
        <v>48282</v>
      </c>
      <c r="O652" s="8" t="n">
        <v>46456</v>
      </c>
      <c r="Q652" s="9" t="n">
        <v>385000</v>
      </c>
      <c r="R652" s="9" t="n">
        <f aca="false">Q652</f>
        <v>385000</v>
      </c>
      <c r="T652" s="9" t="n">
        <v>390000</v>
      </c>
      <c r="U652" s="9" t="n">
        <f aca="false">T652</f>
        <v>390000</v>
      </c>
      <c r="V652" s="63" t="n">
        <v>390000</v>
      </c>
      <c r="W652" s="9" t="n">
        <f aca="false">V652</f>
        <v>390000</v>
      </c>
      <c r="X652" s="44" t="n">
        <f aca="false">T652/H652</f>
        <v>56.6119901291915</v>
      </c>
      <c r="Y652" s="9" t="s">
        <v>453</v>
      </c>
      <c r="Z652" s="40"/>
      <c r="AA652" s="62"/>
      <c r="AB652" s="5" t="s">
        <v>40</v>
      </c>
      <c r="AC652" s="4" t="s">
        <v>710</v>
      </c>
      <c r="AF652" s="57"/>
    </row>
    <row r="653" customFormat="false" ht="28.5" hidden="false" customHeight="true" outlineLevel="0" collapsed="false">
      <c r="A653" s="28"/>
      <c r="B653" s="11" t="s">
        <v>34</v>
      </c>
      <c r="C653" s="11" t="s">
        <v>35</v>
      </c>
      <c r="D653" s="28" t="n">
        <v>100650</v>
      </c>
      <c r="E653" s="4" t="s">
        <v>691</v>
      </c>
      <c r="F653" s="58" t="s">
        <v>85</v>
      </c>
      <c r="G653" s="5" t="s">
        <v>304</v>
      </c>
      <c r="H653" s="54" t="n">
        <v>13294</v>
      </c>
      <c r="I653" s="6" t="n">
        <f aca="false">H653</f>
        <v>13294</v>
      </c>
      <c r="J653" s="6" t="n">
        <v>13294</v>
      </c>
      <c r="K653" s="4" t="s">
        <v>63</v>
      </c>
      <c r="N653" s="8" t="n">
        <v>44682</v>
      </c>
      <c r="Q653" s="9" t="n">
        <v>0</v>
      </c>
      <c r="R653" s="9" t="n">
        <f aca="false">Q653</f>
        <v>0</v>
      </c>
      <c r="T653" s="6" t="n">
        <v>670700</v>
      </c>
      <c r="U653" s="9" t="n">
        <f aca="false">T653</f>
        <v>670700</v>
      </c>
      <c r="V653" s="63" t="n">
        <v>897300</v>
      </c>
      <c r="W653" s="9" t="n">
        <f aca="false">V653</f>
        <v>897300</v>
      </c>
      <c r="X653" s="44" t="n">
        <f aca="false">T653/H653</f>
        <v>50.4513314277118</v>
      </c>
      <c r="Y653" s="9" t="s">
        <v>57</v>
      </c>
      <c r="Z653" s="40"/>
      <c r="AA653" s="62"/>
      <c r="AB653" s="5" t="s">
        <v>40</v>
      </c>
      <c r="AC653" s="58" t="s">
        <v>711</v>
      </c>
      <c r="AF653" s="57"/>
    </row>
    <row r="654" s="69" customFormat="true" ht="13.5" hidden="false" customHeight="true" outlineLevel="0" collapsed="false">
      <c r="A654" s="28"/>
      <c r="B654" s="11" t="s">
        <v>34</v>
      </c>
      <c r="C654" s="11" t="s">
        <v>35</v>
      </c>
      <c r="D654" s="28" t="n">
        <v>100650</v>
      </c>
      <c r="E654" s="4" t="s">
        <v>691</v>
      </c>
      <c r="F654" s="58" t="s">
        <v>440</v>
      </c>
      <c r="G654" s="5" t="s">
        <v>37</v>
      </c>
      <c r="H654" s="54" t="n">
        <v>18378</v>
      </c>
      <c r="I654" s="6" t="n">
        <f aca="false">H654</f>
        <v>18378</v>
      </c>
      <c r="J654" s="6" t="n">
        <f aca="false">I654</f>
        <v>18378</v>
      </c>
      <c r="K654" s="4" t="s">
        <v>63</v>
      </c>
      <c r="L654" s="7"/>
      <c r="M654" s="8"/>
      <c r="N654" s="8" t="n">
        <v>44849</v>
      </c>
      <c r="O654" s="8"/>
      <c r="P654" s="8"/>
      <c r="Q654" s="9" t="n">
        <v>0</v>
      </c>
      <c r="R654" s="9" t="n">
        <f aca="false">Q654</f>
        <v>0</v>
      </c>
      <c r="S654" s="9"/>
      <c r="T654" s="9" t="n">
        <v>1161100</v>
      </c>
      <c r="U654" s="9" t="n">
        <f aca="false">T654</f>
        <v>1161100</v>
      </c>
      <c r="V654" s="63" t="n">
        <v>1294400</v>
      </c>
      <c r="W654" s="9" t="n">
        <f aca="false">V654</f>
        <v>1294400</v>
      </c>
      <c r="X654" s="44" t="n">
        <f aca="false">T654/H654</f>
        <v>63.1788007400152</v>
      </c>
      <c r="Y654" s="9" t="s">
        <v>57</v>
      </c>
      <c r="Z654" s="40"/>
      <c r="AA654" s="62"/>
      <c r="AB654" s="5" t="s">
        <v>40</v>
      </c>
      <c r="AC654" s="58" t="s">
        <v>712</v>
      </c>
      <c r="AD654" s="15"/>
      <c r="AE654" s="4"/>
      <c r="AF654" s="57" t="n">
        <v>1</v>
      </c>
      <c r="AG654" s="4" t="s">
        <v>54</v>
      </c>
    </row>
    <row r="655" customFormat="false" ht="28.5" hidden="false" customHeight="true" outlineLevel="0" collapsed="false">
      <c r="A655" s="28"/>
      <c r="B655" s="11" t="s">
        <v>34</v>
      </c>
      <c r="C655" s="11" t="s">
        <v>35</v>
      </c>
      <c r="D655" s="28" t="n">
        <v>100650</v>
      </c>
      <c r="E655" s="4" t="s">
        <v>691</v>
      </c>
      <c r="F655" s="4" t="s">
        <v>713</v>
      </c>
      <c r="G655" s="5" t="s">
        <v>37</v>
      </c>
      <c r="H655" s="6" t="n">
        <v>5350</v>
      </c>
      <c r="I655" s="6" t="n">
        <f aca="false">H655</f>
        <v>5350</v>
      </c>
      <c r="J655" s="6" t="n">
        <v>5250</v>
      </c>
      <c r="K655" s="4" t="s">
        <v>714</v>
      </c>
      <c r="L655" s="7" t="n">
        <v>44986</v>
      </c>
      <c r="M655" s="8" t="n">
        <v>46081</v>
      </c>
      <c r="Q655" s="9" t="n">
        <v>320000</v>
      </c>
      <c r="R655" s="9" t="n">
        <f aca="false">Q655</f>
        <v>320000</v>
      </c>
      <c r="T655" s="9" t="n">
        <v>321000</v>
      </c>
      <c r="U655" s="9" t="n">
        <f aca="false">T655</f>
        <v>321000</v>
      </c>
      <c r="V655" s="63" t="n">
        <v>307600</v>
      </c>
      <c r="W655" s="9" t="n">
        <f aca="false">V655</f>
        <v>307600</v>
      </c>
      <c r="X655" s="44" t="n">
        <f aca="false">T655/H655</f>
        <v>60</v>
      </c>
      <c r="Y655" s="9" t="s">
        <v>57</v>
      </c>
      <c r="Z655" s="40"/>
      <c r="AA655" s="140"/>
      <c r="AB655" s="5" t="s">
        <v>40</v>
      </c>
      <c r="AF655" s="57"/>
    </row>
    <row r="656" customFormat="false" ht="13.5" hidden="false" customHeight="true" outlineLevel="0" collapsed="false">
      <c r="A656" s="28"/>
      <c r="B656" s="11" t="s">
        <v>34</v>
      </c>
      <c r="C656" s="11" t="s">
        <v>35</v>
      </c>
      <c r="D656" s="28" t="n">
        <v>100650</v>
      </c>
      <c r="E656" s="4" t="s">
        <v>691</v>
      </c>
      <c r="F656" s="4" t="s">
        <v>715</v>
      </c>
      <c r="G656" s="5" t="s">
        <v>37</v>
      </c>
      <c r="H656" s="6" t="n">
        <v>1929</v>
      </c>
      <c r="I656" s="6" t="n">
        <f aca="false">H656</f>
        <v>1929</v>
      </c>
      <c r="J656" s="6" t="n">
        <v>2000</v>
      </c>
      <c r="K656" s="111" t="s">
        <v>716</v>
      </c>
      <c r="L656" s="7" t="n">
        <v>45096</v>
      </c>
      <c r="M656" s="8" t="n">
        <v>46191</v>
      </c>
      <c r="Q656" s="9" t="n">
        <v>111825</v>
      </c>
      <c r="R656" s="9" t="n">
        <f aca="false">Q656</f>
        <v>111825</v>
      </c>
      <c r="T656" s="9" t="n">
        <v>110900</v>
      </c>
      <c r="U656" s="9" t="n">
        <f aca="false">T656</f>
        <v>110900</v>
      </c>
      <c r="V656" s="63" t="n">
        <v>144700</v>
      </c>
      <c r="W656" s="9" t="n">
        <f aca="false">V656</f>
        <v>144700</v>
      </c>
      <c r="X656" s="44" t="n">
        <f aca="false">T656/H656</f>
        <v>57.4909279419388</v>
      </c>
      <c r="Y656" s="9" t="s">
        <v>123</v>
      </c>
      <c r="Z656" s="40"/>
      <c r="AA656" s="62"/>
      <c r="AB656" s="5" t="s">
        <v>40</v>
      </c>
      <c r="AC656" s="4" t="s">
        <v>115</v>
      </c>
      <c r="AF656" s="57"/>
    </row>
    <row r="657" customFormat="false" ht="28.5" hidden="false" customHeight="true" outlineLevel="0" collapsed="false">
      <c r="A657" s="28"/>
      <c r="B657" s="11" t="s">
        <v>34</v>
      </c>
      <c r="C657" s="11" t="s">
        <v>35</v>
      </c>
      <c r="D657" s="28" t="n">
        <v>100650</v>
      </c>
      <c r="E657" s="4" t="s">
        <v>691</v>
      </c>
      <c r="F657" s="58" t="s">
        <v>717</v>
      </c>
      <c r="G657" s="5" t="s">
        <v>86</v>
      </c>
      <c r="H657" s="54" t="n">
        <v>7676</v>
      </c>
      <c r="I657" s="6" t="n">
        <f aca="false">H657</f>
        <v>7676</v>
      </c>
      <c r="J657" s="6" t="n">
        <v>7676</v>
      </c>
      <c r="K657" s="4" t="s">
        <v>63</v>
      </c>
      <c r="N657" s="8" t="n">
        <v>44340</v>
      </c>
      <c r="Q657" s="9" t="n">
        <v>0</v>
      </c>
      <c r="R657" s="9" t="n">
        <f aca="false">Q657</f>
        <v>0</v>
      </c>
      <c r="T657" s="9" t="n">
        <v>441300</v>
      </c>
      <c r="U657" s="9" t="n">
        <f aca="false">T657</f>
        <v>441300</v>
      </c>
      <c r="V657" s="63" t="n">
        <v>518100</v>
      </c>
      <c r="W657" s="9" t="n">
        <f aca="false">V657</f>
        <v>518100</v>
      </c>
      <c r="X657" s="44" t="n">
        <f aca="false">T657/H657</f>
        <v>57.4908806670141</v>
      </c>
      <c r="Y657" s="9" t="s">
        <v>123</v>
      </c>
      <c r="Z657" s="40"/>
      <c r="AA657" s="62"/>
      <c r="AB657" s="5" t="s">
        <v>40</v>
      </c>
      <c r="AC657" s="58" t="s">
        <v>718</v>
      </c>
      <c r="AE657" s="4" t="n">
        <v>1</v>
      </c>
      <c r="AF657" s="57" t="n">
        <v>1</v>
      </c>
      <c r="AG657" s="4" t="s">
        <v>54</v>
      </c>
    </row>
    <row r="658" customFormat="false" ht="22.5" hidden="false" customHeight="true" outlineLevel="0" collapsed="false">
      <c r="A658" s="28"/>
      <c r="B658" s="11" t="s">
        <v>34</v>
      </c>
      <c r="C658" s="11" t="s">
        <v>35</v>
      </c>
      <c r="D658" s="28" t="n">
        <v>100650</v>
      </c>
      <c r="E658" s="4" t="s">
        <v>691</v>
      </c>
      <c r="F658" s="4" t="s">
        <v>719</v>
      </c>
      <c r="G658" s="5" t="s">
        <v>304</v>
      </c>
      <c r="H658" s="6" t="n">
        <v>363</v>
      </c>
      <c r="I658" s="6" t="n">
        <f aca="false">H658</f>
        <v>363</v>
      </c>
      <c r="J658" s="6" t="n">
        <v>500</v>
      </c>
      <c r="K658" s="4" t="s">
        <v>63</v>
      </c>
      <c r="N658" s="8" t="n">
        <v>45139</v>
      </c>
      <c r="Q658" s="9" t="n">
        <v>0</v>
      </c>
      <c r="R658" s="9" t="n">
        <f aca="false">Q658</f>
        <v>0</v>
      </c>
      <c r="T658" s="9" t="n">
        <v>20900</v>
      </c>
      <c r="U658" s="9" t="n">
        <f aca="false">T658</f>
        <v>20900</v>
      </c>
      <c r="V658" s="63" t="n">
        <v>27200</v>
      </c>
      <c r="W658" s="9" t="n">
        <f aca="false">V658</f>
        <v>27200</v>
      </c>
      <c r="X658" s="44" t="n">
        <f aca="false">T658/H658</f>
        <v>57.5757575757576</v>
      </c>
      <c r="Y658" s="9" t="s">
        <v>57</v>
      </c>
      <c r="Z658" s="40"/>
      <c r="AA658" s="62"/>
      <c r="AB658" s="5" t="s">
        <v>40</v>
      </c>
      <c r="AC658" s="4" t="s">
        <v>115</v>
      </c>
      <c r="AF658" s="57"/>
    </row>
    <row r="659" customFormat="false" ht="22.5" hidden="false" customHeight="true" outlineLevel="0" collapsed="false">
      <c r="A659" s="28"/>
      <c r="B659" s="11" t="s">
        <v>34</v>
      </c>
      <c r="C659" s="11" t="s">
        <v>35</v>
      </c>
      <c r="D659" s="28" t="n">
        <v>100650</v>
      </c>
      <c r="E659" s="4" t="s">
        <v>691</v>
      </c>
      <c r="F659" s="4" t="s">
        <v>720</v>
      </c>
      <c r="G659" s="5" t="s">
        <v>304</v>
      </c>
      <c r="H659" s="6" t="n">
        <v>933</v>
      </c>
      <c r="I659" s="6" t="n">
        <f aca="false">H659</f>
        <v>933</v>
      </c>
      <c r="J659" s="6" t="n">
        <v>1000</v>
      </c>
      <c r="K659" s="4" t="s">
        <v>63</v>
      </c>
      <c r="N659" s="8" t="n">
        <v>44340</v>
      </c>
      <c r="Q659" s="9" t="n">
        <v>0</v>
      </c>
      <c r="R659" s="9" t="n">
        <f aca="false">Q659</f>
        <v>0</v>
      </c>
      <c r="T659" s="9" t="n">
        <v>53600</v>
      </c>
      <c r="U659" s="9" t="n">
        <f aca="false">T659</f>
        <v>53600</v>
      </c>
      <c r="V659" s="63" t="n">
        <v>70000</v>
      </c>
      <c r="W659" s="9" t="n">
        <f aca="false">V659</f>
        <v>70000</v>
      </c>
      <c r="X659" s="44" t="n">
        <f aca="false">T659/H659</f>
        <v>57.449088960343</v>
      </c>
      <c r="Y659" s="9" t="s">
        <v>123</v>
      </c>
      <c r="Z659" s="40"/>
      <c r="AA659" s="62"/>
      <c r="AB659" s="5" t="s">
        <v>40</v>
      </c>
      <c r="AC659" s="4" t="s">
        <v>115</v>
      </c>
      <c r="AF659" s="57" t="n">
        <v>1</v>
      </c>
      <c r="AG659" s="4" t="s">
        <v>54</v>
      </c>
    </row>
    <row r="660" customFormat="false" ht="22.5" hidden="false" customHeight="true" outlineLevel="0" collapsed="false">
      <c r="A660" s="28"/>
      <c r="B660" s="11" t="s">
        <v>34</v>
      </c>
      <c r="C660" s="11" t="s">
        <v>35</v>
      </c>
      <c r="D660" s="28" t="n">
        <v>100650</v>
      </c>
      <c r="E660" s="4" t="s">
        <v>691</v>
      </c>
      <c r="F660" s="4" t="s">
        <v>721</v>
      </c>
      <c r="G660" s="5" t="s">
        <v>304</v>
      </c>
      <c r="H660" s="6" t="n">
        <v>1350</v>
      </c>
      <c r="I660" s="6" t="n">
        <f aca="false">H660</f>
        <v>1350</v>
      </c>
      <c r="J660" s="6" t="n">
        <v>1350</v>
      </c>
      <c r="K660" s="4" t="s">
        <v>722</v>
      </c>
      <c r="L660" s="7" t="n">
        <v>44501</v>
      </c>
      <c r="M660" s="8" t="n">
        <v>46326</v>
      </c>
      <c r="Q660" s="9" t="n">
        <v>74250</v>
      </c>
      <c r="R660" s="9" t="n">
        <f aca="false">Q660</f>
        <v>74250</v>
      </c>
      <c r="T660" s="6" t="n">
        <v>77600</v>
      </c>
      <c r="U660" s="9" t="n">
        <f aca="false">T660</f>
        <v>77600</v>
      </c>
      <c r="V660" s="63" t="n">
        <v>101300</v>
      </c>
      <c r="W660" s="9" t="n">
        <f aca="false">V660</f>
        <v>101300</v>
      </c>
      <c r="X660" s="44" t="n">
        <f aca="false">T660/H660</f>
        <v>57.4814814814815</v>
      </c>
      <c r="Y660" s="9" t="s">
        <v>123</v>
      </c>
      <c r="Z660" s="40"/>
      <c r="AA660" s="62"/>
      <c r="AB660" s="5" t="s">
        <v>40</v>
      </c>
      <c r="AF660" s="57"/>
    </row>
    <row r="661" customFormat="false" ht="13.5" hidden="false" customHeight="true" outlineLevel="0" collapsed="false">
      <c r="A661" s="28"/>
      <c r="B661" s="11" t="s">
        <v>34</v>
      </c>
      <c r="C661" s="11" t="s">
        <v>35</v>
      </c>
      <c r="D661" s="28" t="n">
        <v>100650</v>
      </c>
      <c r="E661" s="4" t="s">
        <v>691</v>
      </c>
      <c r="F661" s="4" t="s">
        <v>723</v>
      </c>
      <c r="G661" s="5" t="s">
        <v>37</v>
      </c>
      <c r="H661" s="6" t="n">
        <v>688</v>
      </c>
      <c r="I661" s="6" t="n">
        <f aca="false">H661</f>
        <v>688</v>
      </c>
      <c r="J661" s="6" t="n">
        <v>750</v>
      </c>
      <c r="K661" s="4" t="s">
        <v>63</v>
      </c>
      <c r="N661" s="8" t="n">
        <v>45139</v>
      </c>
      <c r="Q661" s="9" t="n">
        <v>0</v>
      </c>
      <c r="R661" s="9" t="n">
        <f aca="false">Q661</f>
        <v>0</v>
      </c>
      <c r="T661" s="9" t="n">
        <v>39600</v>
      </c>
      <c r="U661" s="9" t="n">
        <f aca="false">T661</f>
        <v>39600</v>
      </c>
      <c r="V661" s="63" t="n">
        <v>51600</v>
      </c>
      <c r="W661" s="9" t="n">
        <f aca="false">V661</f>
        <v>51600</v>
      </c>
      <c r="X661" s="44" t="n">
        <f aca="false">T661/H661</f>
        <v>57.5581395348837</v>
      </c>
      <c r="Y661" s="9" t="s">
        <v>123</v>
      </c>
      <c r="Z661" s="40"/>
      <c r="AA661" s="62"/>
      <c r="AB661" s="5" t="s">
        <v>40</v>
      </c>
      <c r="AC661" s="4" t="s">
        <v>115</v>
      </c>
      <c r="AF661" s="57"/>
    </row>
    <row r="662" customFormat="false" ht="13.5" hidden="false" customHeight="true" outlineLevel="0" collapsed="false">
      <c r="A662" s="28"/>
      <c r="B662" s="11" t="s">
        <v>34</v>
      </c>
      <c r="C662" s="11" t="s">
        <v>35</v>
      </c>
      <c r="D662" s="28" t="n">
        <v>100650</v>
      </c>
      <c r="E662" s="4" t="s">
        <v>691</v>
      </c>
      <c r="F662" s="4" t="s">
        <v>724</v>
      </c>
      <c r="G662" s="5" t="s">
        <v>37</v>
      </c>
      <c r="H662" s="6" t="n">
        <v>325</v>
      </c>
      <c r="I662" s="6" t="n">
        <f aca="false">H662</f>
        <v>325</v>
      </c>
      <c r="J662" s="6" t="n">
        <v>500</v>
      </c>
      <c r="K662" s="4" t="s">
        <v>63</v>
      </c>
      <c r="N662" s="8" t="n">
        <v>44340</v>
      </c>
      <c r="Q662" s="9" t="n">
        <v>0</v>
      </c>
      <c r="R662" s="9" t="n">
        <f aca="false">Q662</f>
        <v>0</v>
      </c>
      <c r="T662" s="9" t="n">
        <v>18700</v>
      </c>
      <c r="U662" s="9" t="n">
        <f aca="false">T662</f>
        <v>18700</v>
      </c>
      <c r="V662" s="63" t="n">
        <v>24400</v>
      </c>
      <c r="W662" s="9" t="n">
        <f aca="false">V662</f>
        <v>24400</v>
      </c>
      <c r="X662" s="44" t="n">
        <f aca="false">T662/H662</f>
        <v>57.5384615384615</v>
      </c>
      <c r="Y662" s="9" t="s">
        <v>123</v>
      </c>
      <c r="Z662" s="40"/>
      <c r="AA662" s="62"/>
      <c r="AB662" s="5" t="s">
        <v>40</v>
      </c>
      <c r="AC662" s="4" t="s">
        <v>115</v>
      </c>
      <c r="AF662" s="57"/>
    </row>
    <row r="663" customFormat="false" ht="21.75" hidden="false" customHeight="true" outlineLevel="0" collapsed="false">
      <c r="A663" s="28"/>
      <c r="B663" s="11" t="s">
        <v>34</v>
      </c>
      <c r="C663" s="11" t="s">
        <v>35</v>
      </c>
      <c r="D663" s="28" t="n">
        <v>100650</v>
      </c>
      <c r="E663" s="4" t="s">
        <v>691</v>
      </c>
      <c r="F663" s="4" t="s">
        <v>725</v>
      </c>
      <c r="G663" s="5" t="s">
        <v>37</v>
      </c>
      <c r="H663" s="6" t="n">
        <v>489</v>
      </c>
      <c r="I663" s="6" t="n">
        <f aca="false">H663</f>
        <v>489</v>
      </c>
      <c r="J663" s="6" t="n">
        <v>500</v>
      </c>
      <c r="K663" s="4" t="s">
        <v>604</v>
      </c>
      <c r="L663" s="7" t="n">
        <v>45770</v>
      </c>
      <c r="M663" s="8" t="n">
        <v>46088</v>
      </c>
      <c r="Q663" s="9" t="n">
        <v>36529</v>
      </c>
      <c r="R663" s="9" t="n">
        <f aca="false">Q663</f>
        <v>36529</v>
      </c>
      <c r="T663" s="9" t="n">
        <v>28100</v>
      </c>
      <c r="U663" s="9" t="n">
        <f aca="false">T663</f>
        <v>28100</v>
      </c>
      <c r="V663" s="63" t="n">
        <v>36700</v>
      </c>
      <c r="W663" s="9" t="n">
        <f aca="false">V663</f>
        <v>36700</v>
      </c>
      <c r="X663" s="44" t="n">
        <f aca="false">T663/H663</f>
        <v>57.4642126789366</v>
      </c>
      <c r="Y663" s="9" t="s">
        <v>123</v>
      </c>
      <c r="Z663" s="40"/>
      <c r="AA663" s="62"/>
      <c r="AB663" s="5" t="s">
        <v>40</v>
      </c>
      <c r="AC663" s="4" t="s">
        <v>726</v>
      </c>
      <c r="AF663" s="57"/>
    </row>
    <row r="664" customFormat="false" ht="23.25" hidden="false" customHeight="true" outlineLevel="0" collapsed="false">
      <c r="A664" s="28"/>
      <c r="B664" s="11" t="s">
        <v>34</v>
      </c>
      <c r="C664" s="11" t="s">
        <v>35</v>
      </c>
      <c r="D664" s="28" t="n">
        <v>100650</v>
      </c>
      <c r="E664" s="4" t="s">
        <v>691</v>
      </c>
      <c r="F664" s="4" t="s">
        <v>727</v>
      </c>
      <c r="G664" s="5" t="s">
        <v>37</v>
      </c>
      <c r="H664" s="6" t="n">
        <v>3558</v>
      </c>
      <c r="I664" s="6" t="n">
        <f aca="false">H664</f>
        <v>3558</v>
      </c>
      <c r="J664" s="6" t="n">
        <v>3500</v>
      </c>
      <c r="K664" s="4" t="s">
        <v>728</v>
      </c>
      <c r="L664" s="7" t="n">
        <v>45072</v>
      </c>
      <c r="M664" s="8" t="n">
        <v>46898</v>
      </c>
      <c r="P664" s="8" t="n">
        <v>46167</v>
      </c>
      <c r="Q664" s="9" t="n">
        <v>202920</v>
      </c>
      <c r="R664" s="9" t="n">
        <f aca="false">Q664</f>
        <v>202920</v>
      </c>
      <c r="T664" s="9" t="n">
        <v>204600</v>
      </c>
      <c r="U664" s="9" t="n">
        <f aca="false">T664</f>
        <v>204600</v>
      </c>
      <c r="V664" s="63" t="n">
        <v>266900</v>
      </c>
      <c r="W664" s="9" t="n">
        <f aca="false">V664</f>
        <v>266900</v>
      </c>
      <c r="X664" s="44" t="n">
        <f aca="false">T664/H664</f>
        <v>57.504215851602</v>
      </c>
      <c r="Y664" s="9" t="s">
        <v>57</v>
      </c>
      <c r="Z664" s="40"/>
      <c r="AA664" s="62"/>
      <c r="AB664" s="5" t="s">
        <v>40</v>
      </c>
      <c r="AC664" s="4" t="s">
        <v>558</v>
      </c>
      <c r="AF664" s="57"/>
    </row>
    <row r="665" customFormat="false" ht="13.5" hidden="false" customHeight="true" outlineLevel="0" collapsed="false">
      <c r="A665" s="28"/>
      <c r="B665" s="11" t="s">
        <v>34</v>
      </c>
      <c r="C665" s="11" t="s">
        <v>35</v>
      </c>
      <c r="D665" s="28" t="n">
        <v>100650</v>
      </c>
      <c r="E665" s="4" t="s">
        <v>691</v>
      </c>
      <c r="F665" s="4" t="s">
        <v>729</v>
      </c>
      <c r="G665" s="5" t="s">
        <v>37</v>
      </c>
      <c r="H665" s="6" t="n">
        <v>3500</v>
      </c>
      <c r="I665" s="6" t="n">
        <f aca="false">H665</f>
        <v>3500</v>
      </c>
      <c r="J665" s="6" t="n">
        <v>3500</v>
      </c>
      <c r="K665" s="4" t="s">
        <v>730</v>
      </c>
      <c r="L665" s="7" t="n">
        <v>44879</v>
      </c>
      <c r="M665" s="8" t="n">
        <v>46704</v>
      </c>
      <c r="Q665" s="9" t="n">
        <v>200000</v>
      </c>
      <c r="R665" s="9" t="n">
        <f aca="false">Q665</f>
        <v>200000</v>
      </c>
      <c r="T665" s="9" t="n">
        <v>201300</v>
      </c>
      <c r="U665" s="9" t="n">
        <f aca="false">T665</f>
        <v>201300</v>
      </c>
      <c r="V665" s="63" t="n">
        <v>262500</v>
      </c>
      <c r="W665" s="9" t="n">
        <f aca="false">V665</f>
        <v>262500</v>
      </c>
      <c r="X665" s="44" t="n">
        <f aca="false">T665/H665</f>
        <v>57.5142857142857</v>
      </c>
      <c r="Y665" s="9" t="s">
        <v>57</v>
      </c>
      <c r="Z665" s="40"/>
      <c r="AA665" s="62"/>
      <c r="AB665" s="5" t="s">
        <v>40</v>
      </c>
      <c r="AF665" s="57"/>
    </row>
    <row r="666" customFormat="false" ht="18" hidden="false" customHeight="true" outlineLevel="0" collapsed="false">
      <c r="A666" s="28"/>
      <c r="B666" s="11" t="s">
        <v>34</v>
      </c>
      <c r="C666" s="11" t="s">
        <v>35</v>
      </c>
      <c r="D666" s="28" t="n">
        <v>100650</v>
      </c>
      <c r="E666" s="4" t="s">
        <v>691</v>
      </c>
      <c r="F666" s="4" t="s">
        <v>731</v>
      </c>
      <c r="G666" s="5" t="s">
        <v>37</v>
      </c>
      <c r="H666" s="6" t="n">
        <v>416</v>
      </c>
      <c r="I666" s="6" t="n">
        <f aca="false">H666</f>
        <v>416</v>
      </c>
      <c r="J666" s="6" t="n">
        <v>500</v>
      </c>
      <c r="K666" s="4" t="s">
        <v>730</v>
      </c>
      <c r="L666" s="7" t="n">
        <v>45701</v>
      </c>
      <c r="M666" s="8" t="n">
        <v>46704</v>
      </c>
      <c r="Q666" s="9" t="n">
        <v>15000</v>
      </c>
      <c r="R666" s="9" t="n">
        <f aca="false">Q666</f>
        <v>15000</v>
      </c>
      <c r="T666" s="9" t="n">
        <v>23900</v>
      </c>
      <c r="U666" s="9" t="n">
        <f aca="false">T666</f>
        <v>23900</v>
      </c>
      <c r="V666" s="63" t="n">
        <v>31200</v>
      </c>
      <c r="W666" s="9" t="n">
        <f aca="false">V666</f>
        <v>31200</v>
      </c>
      <c r="X666" s="44" t="n">
        <f aca="false">T666/H666</f>
        <v>57.4519230769231</v>
      </c>
      <c r="Y666" s="9" t="s">
        <v>123</v>
      </c>
      <c r="Z666" s="40"/>
      <c r="AA666" s="62"/>
      <c r="AB666" s="5" t="s">
        <v>40</v>
      </c>
      <c r="AC666" s="4" t="s">
        <v>732</v>
      </c>
      <c r="AF666" s="57"/>
    </row>
    <row r="667" customFormat="false" ht="22.5" hidden="false" customHeight="true" outlineLevel="0" collapsed="false">
      <c r="A667" s="28"/>
      <c r="B667" s="11" t="s">
        <v>34</v>
      </c>
      <c r="C667" s="11" t="s">
        <v>35</v>
      </c>
      <c r="D667" s="28" t="n">
        <v>100650</v>
      </c>
      <c r="E667" s="4" t="s">
        <v>691</v>
      </c>
      <c r="F667" s="4" t="s">
        <v>733</v>
      </c>
      <c r="G667" s="5" t="s">
        <v>304</v>
      </c>
      <c r="H667" s="6" t="n">
        <v>1400</v>
      </c>
      <c r="I667" s="6" t="n">
        <f aca="false">H667</f>
        <v>1400</v>
      </c>
      <c r="J667" s="6" t="n">
        <v>1500</v>
      </c>
      <c r="K667" s="4" t="s">
        <v>734</v>
      </c>
      <c r="L667" s="7" t="n">
        <v>45359</v>
      </c>
      <c r="M667" s="8" t="n">
        <v>46088</v>
      </c>
      <c r="Q667" s="9" t="n">
        <v>81900</v>
      </c>
      <c r="R667" s="9" t="n">
        <f aca="false">Q667</f>
        <v>81900</v>
      </c>
      <c r="T667" s="9" t="n">
        <v>80500</v>
      </c>
      <c r="U667" s="9" t="n">
        <f aca="false">T667</f>
        <v>80500</v>
      </c>
      <c r="V667" s="63" t="n">
        <v>105000</v>
      </c>
      <c r="W667" s="9" t="n">
        <f aca="false">V667</f>
        <v>105000</v>
      </c>
      <c r="X667" s="44" t="n">
        <f aca="false">T667/H667</f>
        <v>57.5</v>
      </c>
      <c r="Y667" s="9" t="s">
        <v>123</v>
      </c>
      <c r="Z667" s="40"/>
      <c r="AA667" s="62"/>
      <c r="AB667" s="5" t="s">
        <v>40</v>
      </c>
      <c r="AF667" s="57"/>
    </row>
    <row r="668" customFormat="false" ht="22.5" hidden="false" customHeight="true" outlineLevel="0" collapsed="false">
      <c r="A668" s="28"/>
      <c r="B668" s="11" t="s">
        <v>34</v>
      </c>
      <c r="C668" s="11" t="s">
        <v>35</v>
      </c>
      <c r="D668" s="28" t="n">
        <v>100650</v>
      </c>
      <c r="E668" s="4" t="s">
        <v>691</v>
      </c>
      <c r="F668" s="4" t="s">
        <v>735</v>
      </c>
      <c r="G668" s="5" t="s">
        <v>304</v>
      </c>
      <c r="H668" s="6" t="n">
        <v>1277</v>
      </c>
      <c r="I668" s="6" t="n">
        <f aca="false">H668</f>
        <v>1277</v>
      </c>
      <c r="J668" s="6" t="n">
        <v>750</v>
      </c>
      <c r="K668" s="4" t="s">
        <v>604</v>
      </c>
      <c r="L668" s="7" t="n">
        <v>45714</v>
      </c>
      <c r="M668" s="8" t="n">
        <v>46088</v>
      </c>
      <c r="Q668" s="9" t="n">
        <v>95395</v>
      </c>
      <c r="R668" s="9" t="n">
        <f aca="false">Q668</f>
        <v>95395</v>
      </c>
      <c r="T668" s="9" t="n">
        <v>73400</v>
      </c>
      <c r="U668" s="9" t="n">
        <f aca="false">T668</f>
        <v>73400</v>
      </c>
      <c r="V668" s="63" t="n">
        <v>95800</v>
      </c>
      <c r="W668" s="9" t="n">
        <f aca="false">V668</f>
        <v>95800</v>
      </c>
      <c r="X668" s="44" t="n">
        <f aca="false">T668/H668</f>
        <v>57.4784651527016</v>
      </c>
      <c r="Y668" s="9" t="s">
        <v>123</v>
      </c>
      <c r="Z668" s="40"/>
      <c r="AA668" s="62"/>
      <c r="AB668" s="5" t="s">
        <v>40</v>
      </c>
      <c r="AC668" s="4" t="s">
        <v>736</v>
      </c>
      <c r="AE668" s="4" t="n">
        <v>1</v>
      </c>
      <c r="AF668" s="57" t="n">
        <v>2</v>
      </c>
      <c r="AG668" s="4" t="s">
        <v>54</v>
      </c>
    </row>
    <row r="669" customFormat="false" ht="28.5" hidden="false" customHeight="true" outlineLevel="0" collapsed="false">
      <c r="A669" s="28"/>
      <c r="B669" s="11" t="s">
        <v>34</v>
      </c>
      <c r="C669" s="11" t="s">
        <v>35</v>
      </c>
      <c r="D669" s="28" t="n">
        <v>100650</v>
      </c>
      <c r="E669" s="4" t="s">
        <v>691</v>
      </c>
      <c r="F669" s="4" t="s">
        <v>737</v>
      </c>
      <c r="G669" s="5" t="s">
        <v>738</v>
      </c>
      <c r="H669" s="6" t="n">
        <v>0</v>
      </c>
      <c r="I669" s="6" t="n">
        <f aca="false">H669</f>
        <v>0</v>
      </c>
      <c r="K669" s="4" t="s">
        <v>164</v>
      </c>
      <c r="L669" s="7" t="n">
        <v>39295</v>
      </c>
      <c r="M669" s="8" t="n">
        <v>46599</v>
      </c>
      <c r="O669" s="8" t="n">
        <v>44409</v>
      </c>
      <c r="Q669" s="9" t="n">
        <v>681</v>
      </c>
      <c r="R669" s="9" t="n">
        <f aca="false">Q669</f>
        <v>681</v>
      </c>
      <c r="T669" s="9" t="n">
        <v>700</v>
      </c>
      <c r="U669" s="9" t="n">
        <f aca="false">T669</f>
        <v>700</v>
      </c>
      <c r="V669" s="63" t="n">
        <v>700</v>
      </c>
      <c r="W669" s="9" t="n">
        <f aca="false">V669</f>
        <v>700</v>
      </c>
      <c r="X669" s="44"/>
      <c r="Y669" s="9"/>
      <c r="Z669" s="40"/>
      <c r="AA669" s="62"/>
      <c r="AB669" s="5" t="s">
        <v>40</v>
      </c>
      <c r="AC669" s="4" t="s">
        <v>739</v>
      </c>
      <c r="AF669" s="57"/>
    </row>
    <row r="670" customFormat="false" ht="28.5" hidden="false" customHeight="true" outlineLevel="0" collapsed="false">
      <c r="A670" s="28"/>
      <c r="B670" s="11" t="s">
        <v>34</v>
      </c>
      <c r="C670" s="11" t="s">
        <v>35</v>
      </c>
      <c r="D670" s="28" t="n">
        <v>100650</v>
      </c>
      <c r="E670" s="4" t="s">
        <v>691</v>
      </c>
      <c r="F670" s="4" t="s">
        <v>740</v>
      </c>
      <c r="G670" s="5" t="s">
        <v>738</v>
      </c>
      <c r="H670" s="6" t="n">
        <v>0</v>
      </c>
      <c r="I670" s="6" t="n">
        <f aca="false">H670</f>
        <v>0</v>
      </c>
      <c r="K670" s="4" t="s">
        <v>164</v>
      </c>
      <c r="L670" s="7" t="n">
        <v>39295</v>
      </c>
      <c r="M670" s="8" t="n">
        <v>46599</v>
      </c>
      <c r="O670" s="8" t="n">
        <v>44409</v>
      </c>
      <c r="Q670" s="9" t="n">
        <v>681</v>
      </c>
      <c r="R670" s="9" t="n">
        <f aca="false">Q670</f>
        <v>681</v>
      </c>
      <c r="T670" s="9" t="n">
        <v>700</v>
      </c>
      <c r="U670" s="9" t="n">
        <f aca="false">T670</f>
        <v>700</v>
      </c>
      <c r="V670" s="63" t="n">
        <v>700</v>
      </c>
      <c r="W670" s="9" t="n">
        <f aca="false">V670</f>
        <v>700</v>
      </c>
      <c r="X670" s="44"/>
      <c r="Y670" s="9"/>
      <c r="Z670" s="40"/>
      <c r="AA670" s="62"/>
      <c r="AB670" s="5" t="s">
        <v>40</v>
      </c>
      <c r="AC670" s="4" t="s">
        <v>739</v>
      </c>
      <c r="AF670" s="57"/>
    </row>
    <row r="671" customFormat="false" ht="13.5" hidden="false" customHeight="true" outlineLevel="0" collapsed="false">
      <c r="A671" s="28"/>
      <c r="B671" s="11"/>
      <c r="C671" s="11"/>
      <c r="D671" s="28"/>
      <c r="E671" s="4"/>
      <c r="T671" s="9"/>
      <c r="U671" s="9"/>
      <c r="V671" s="63"/>
      <c r="W671" s="9"/>
      <c r="X671" s="9"/>
      <c r="Y671" s="9"/>
      <c r="Z671" s="40"/>
      <c r="AA671" s="62"/>
      <c r="AB671" s="5"/>
      <c r="AF671" s="57"/>
    </row>
    <row r="672" customFormat="false" ht="14.25" hidden="false" customHeight="true" outlineLevel="0" collapsed="false">
      <c r="A672" s="28"/>
      <c r="B672" s="11"/>
      <c r="C672" s="11" t="s">
        <v>35</v>
      </c>
      <c r="D672" s="28"/>
      <c r="E672" s="4"/>
      <c r="F672" s="45" t="s">
        <v>741</v>
      </c>
      <c r="H672" s="60" t="n">
        <f aca="false">SUM(H644:H670)</f>
        <v>81803</v>
      </c>
      <c r="I672" s="42"/>
      <c r="J672" s="42"/>
      <c r="Q672" s="43" t="n">
        <f aca="false">SUM(Q644:Q670)</f>
        <v>1972281</v>
      </c>
      <c r="R672" s="42"/>
      <c r="S672" s="42" t="n">
        <f aca="false">SUM(R642:R670)</f>
        <v>1972281</v>
      </c>
      <c r="T672" s="42" t="n">
        <f aca="false">SUM(T644:T670)</f>
        <v>4617300</v>
      </c>
      <c r="U672" s="42"/>
      <c r="V672" s="43" t="n">
        <f aca="false">SUM(V644:V670)</f>
        <v>5279300</v>
      </c>
      <c r="W672" s="42"/>
      <c r="X672" s="42"/>
      <c r="Y672" s="42"/>
      <c r="Z672" s="64"/>
      <c r="AA672" s="43" t="n">
        <v>67225000</v>
      </c>
      <c r="AB672" s="5"/>
      <c r="AE672" s="58"/>
      <c r="AF672" s="59"/>
      <c r="AG672" s="58"/>
    </row>
    <row r="673" customFormat="false" ht="14.25" hidden="false" customHeight="true" outlineLevel="0" collapsed="false">
      <c r="A673" s="28"/>
      <c r="B673" s="11"/>
      <c r="C673" s="11" t="s">
        <v>35</v>
      </c>
      <c r="D673" s="28"/>
      <c r="E673" s="4"/>
      <c r="H673" s="41"/>
      <c r="I673" s="42"/>
      <c r="J673" s="42"/>
      <c r="Q673" s="42"/>
      <c r="R673" s="42"/>
      <c r="S673" s="42"/>
      <c r="T673" s="42"/>
      <c r="U673" s="42"/>
      <c r="V673" s="43"/>
      <c r="W673" s="42"/>
      <c r="X673" s="42"/>
      <c r="Y673" s="42"/>
      <c r="Z673" s="64"/>
      <c r="AA673" s="62"/>
      <c r="AB673" s="5"/>
      <c r="AF673" s="57"/>
    </row>
    <row r="674" customFormat="false" ht="14.25" hidden="false" customHeight="true" outlineLevel="0" collapsed="false">
      <c r="A674" s="28"/>
      <c r="B674" s="11"/>
      <c r="C674" s="11" t="s">
        <v>35</v>
      </c>
      <c r="D674" s="28"/>
      <c r="E674" s="4"/>
      <c r="G674" s="38" t="s">
        <v>742</v>
      </c>
      <c r="I674" s="9"/>
      <c r="J674" s="9"/>
      <c r="K674" s="39"/>
      <c r="T674" s="11"/>
      <c r="U674" s="9"/>
      <c r="W674" s="9"/>
      <c r="X674" s="9"/>
      <c r="Y674" s="9"/>
      <c r="Z674" s="40"/>
      <c r="AB674" s="5"/>
      <c r="AF674" s="57"/>
    </row>
    <row r="675" customFormat="false" ht="14.25" hidden="false" customHeight="true" outlineLevel="0" collapsed="false">
      <c r="A675" s="28"/>
      <c r="B675" s="11"/>
      <c r="C675" s="11" t="s">
        <v>35</v>
      </c>
      <c r="D675" s="28"/>
      <c r="E675" s="4"/>
      <c r="G675" s="83"/>
      <c r="I675" s="9"/>
      <c r="J675" s="9"/>
      <c r="K675" s="39"/>
      <c r="T675" s="11"/>
      <c r="U675" s="9"/>
      <c r="W675" s="9"/>
      <c r="X675" s="9"/>
      <c r="Y675" s="9"/>
      <c r="Z675" s="40"/>
      <c r="AB675" s="5"/>
      <c r="AF675" s="57"/>
    </row>
    <row r="676" customFormat="false" ht="14.25" hidden="false" customHeight="true" outlineLevel="0" collapsed="false">
      <c r="A676" s="28"/>
      <c r="B676" s="11" t="s">
        <v>34</v>
      </c>
      <c r="C676" s="11" t="s">
        <v>35</v>
      </c>
      <c r="D676" s="28" t="n">
        <v>100680</v>
      </c>
      <c r="E676" s="4" t="s">
        <v>742</v>
      </c>
      <c r="F676" s="4" t="s">
        <v>743</v>
      </c>
      <c r="G676" s="5" t="s">
        <v>161</v>
      </c>
      <c r="H676" s="11" t="n">
        <v>0</v>
      </c>
      <c r="I676" s="6" t="n">
        <f aca="false">H676</f>
        <v>0</v>
      </c>
      <c r="K676" s="4" t="s">
        <v>744</v>
      </c>
      <c r="L676" s="7" t="n">
        <v>44736</v>
      </c>
      <c r="M676" s="8" t="n">
        <v>46657</v>
      </c>
      <c r="Q676" s="9" t="n">
        <v>1000</v>
      </c>
      <c r="R676" s="9" t="n">
        <f aca="false">Q676</f>
        <v>1000</v>
      </c>
      <c r="T676" s="9" t="n">
        <v>1000</v>
      </c>
      <c r="U676" s="9" t="n">
        <f aca="false">T676</f>
        <v>1000</v>
      </c>
      <c r="V676" s="63" t="n">
        <v>0</v>
      </c>
      <c r="W676" s="9" t="n">
        <f aca="false">V676</f>
        <v>0</v>
      </c>
      <c r="X676" s="44"/>
      <c r="Y676" s="9"/>
      <c r="Z676" s="40"/>
      <c r="AB676" s="5" t="s">
        <v>40</v>
      </c>
      <c r="AC676" s="4" t="s">
        <v>745</v>
      </c>
      <c r="AF676" s="57"/>
    </row>
    <row r="677" customFormat="false" ht="22.5" hidden="false" customHeight="true" outlineLevel="0" collapsed="false">
      <c r="A677" s="28"/>
      <c r="B677" s="11" t="s">
        <v>34</v>
      </c>
      <c r="C677" s="11" t="s">
        <v>35</v>
      </c>
      <c r="D677" s="28" t="n">
        <v>100680</v>
      </c>
      <c r="E677" s="4" t="s">
        <v>742</v>
      </c>
      <c r="F677" s="4" t="s">
        <v>746</v>
      </c>
      <c r="G677" s="5" t="s">
        <v>526</v>
      </c>
      <c r="H677" s="6" t="n">
        <v>7079</v>
      </c>
      <c r="I677" s="6" t="n">
        <f aca="false">H677</f>
        <v>7079</v>
      </c>
      <c r="J677" s="6" t="n">
        <v>7000</v>
      </c>
      <c r="K677" s="4" t="s">
        <v>744</v>
      </c>
      <c r="L677" s="7" t="n">
        <v>41180</v>
      </c>
      <c r="M677" s="8" t="n">
        <v>46657</v>
      </c>
      <c r="Q677" s="9" t="n">
        <v>425033</v>
      </c>
      <c r="R677" s="9" t="n">
        <f aca="false">Q677</f>
        <v>425033</v>
      </c>
      <c r="T677" s="9" t="n">
        <v>447350</v>
      </c>
      <c r="U677" s="9" t="n">
        <f aca="false">T677</f>
        <v>447350</v>
      </c>
      <c r="V677" s="63" t="n">
        <v>425600</v>
      </c>
      <c r="W677" s="9" t="n">
        <f aca="false">V677</f>
        <v>425600</v>
      </c>
      <c r="X677" s="44" t="n">
        <f aca="false">T677/H677</f>
        <v>63.1939539482978</v>
      </c>
      <c r="Y677" s="9" t="s">
        <v>52</v>
      </c>
      <c r="Z677" s="40"/>
      <c r="AA677" s="62"/>
      <c r="AB677" s="5" t="s">
        <v>165</v>
      </c>
      <c r="AF677" s="57"/>
    </row>
    <row r="678" customFormat="false" ht="13.5" hidden="false" customHeight="true" outlineLevel="0" collapsed="false">
      <c r="A678" s="28"/>
      <c r="B678" s="11" t="s">
        <v>34</v>
      </c>
      <c r="C678" s="11" t="s">
        <v>35</v>
      </c>
      <c r="D678" s="28" t="n">
        <v>100680</v>
      </c>
      <c r="E678" s="4" t="s">
        <v>742</v>
      </c>
      <c r="F678" s="4" t="s">
        <v>747</v>
      </c>
      <c r="G678" s="5" t="s">
        <v>161</v>
      </c>
      <c r="H678" s="6" t="n">
        <v>0</v>
      </c>
      <c r="I678" s="6" t="n">
        <f aca="false">H678</f>
        <v>0</v>
      </c>
      <c r="K678" s="4" t="s">
        <v>744</v>
      </c>
      <c r="L678" s="7" t="n">
        <v>42114</v>
      </c>
      <c r="M678" s="8" t="n">
        <v>46657</v>
      </c>
      <c r="Q678" s="9" t="n">
        <v>22317</v>
      </c>
      <c r="R678" s="9" t="n">
        <f aca="false">Q678</f>
        <v>22317</v>
      </c>
      <c r="T678" s="9" t="n">
        <v>21000</v>
      </c>
      <c r="U678" s="9" t="n">
        <f aca="false">T678</f>
        <v>21000</v>
      </c>
      <c r="V678" s="63" t="n">
        <v>0</v>
      </c>
      <c r="W678" s="9" t="n">
        <f aca="false">V678</f>
        <v>0</v>
      </c>
      <c r="X678" s="44"/>
      <c r="Y678" s="9"/>
      <c r="Z678" s="40"/>
      <c r="AA678" s="62"/>
      <c r="AB678" s="5" t="s">
        <v>40</v>
      </c>
      <c r="AF678" s="57"/>
    </row>
    <row r="679" customFormat="false" ht="30" hidden="false" customHeight="true" outlineLevel="0" collapsed="false">
      <c r="A679" s="28"/>
      <c r="B679" s="11" t="s">
        <v>34</v>
      </c>
      <c r="C679" s="11" t="s">
        <v>35</v>
      </c>
      <c r="D679" s="28" t="n">
        <v>100680</v>
      </c>
      <c r="E679" s="4" t="s">
        <v>742</v>
      </c>
      <c r="F679" s="4" t="s">
        <v>748</v>
      </c>
      <c r="G679" s="11" t="s">
        <v>46</v>
      </c>
      <c r="H679" s="6" t="n">
        <v>3030</v>
      </c>
      <c r="I679" s="6" t="n">
        <f aca="false">H679</f>
        <v>3030</v>
      </c>
      <c r="J679" s="6" t="n">
        <v>3000</v>
      </c>
      <c r="K679" s="4" t="s">
        <v>749</v>
      </c>
      <c r="L679" s="7" t="n">
        <v>45711</v>
      </c>
      <c r="M679" s="8" t="n">
        <v>49362</v>
      </c>
      <c r="Q679" s="9" t="n">
        <v>500000</v>
      </c>
      <c r="R679" s="9" t="n">
        <f aca="false">Q679</f>
        <v>500000</v>
      </c>
      <c r="T679" s="9" t="n">
        <v>393300</v>
      </c>
      <c r="U679" s="9" t="n">
        <f aca="false">T679</f>
        <v>393300</v>
      </c>
      <c r="V679" s="63" t="n">
        <v>604900</v>
      </c>
      <c r="W679" s="9" t="n">
        <f aca="false">V679</f>
        <v>604900</v>
      </c>
      <c r="X679" s="44" t="n">
        <f aca="false">T679/H679</f>
        <v>129.80198019802</v>
      </c>
      <c r="Y679" s="9" t="s">
        <v>39</v>
      </c>
      <c r="Z679" s="40"/>
      <c r="AA679" s="62"/>
      <c r="AB679" s="5" t="s">
        <v>40</v>
      </c>
      <c r="AC679" s="4" t="s">
        <v>73</v>
      </c>
      <c r="AF679" s="57"/>
    </row>
    <row r="680" customFormat="false" ht="28.5" hidden="false" customHeight="true" outlineLevel="0" collapsed="false">
      <c r="A680" s="28"/>
      <c r="B680" s="11" t="s">
        <v>34</v>
      </c>
      <c r="C680" s="11" t="s">
        <v>35</v>
      </c>
      <c r="D680" s="28" t="n">
        <v>100680</v>
      </c>
      <c r="E680" s="4" t="s">
        <v>742</v>
      </c>
      <c r="F680" s="4" t="s">
        <v>750</v>
      </c>
      <c r="G680" s="5" t="s">
        <v>46</v>
      </c>
      <c r="H680" s="6" t="n">
        <v>1296</v>
      </c>
      <c r="I680" s="6" t="n">
        <f aca="false">H680</f>
        <v>1296</v>
      </c>
      <c r="J680" s="6" t="n">
        <v>1250</v>
      </c>
      <c r="K680" s="4" t="s">
        <v>751</v>
      </c>
      <c r="L680" s="7" t="n">
        <v>44908</v>
      </c>
      <c r="M680" s="8" t="n">
        <v>46003</v>
      </c>
      <c r="Q680" s="9" t="n">
        <v>295000</v>
      </c>
      <c r="R680" s="9" t="n">
        <f aca="false">Q680</f>
        <v>295000</v>
      </c>
      <c r="T680" s="9" t="n">
        <v>275300</v>
      </c>
      <c r="U680" s="9" t="n">
        <f aca="false">T680</f>
        <v>275300</v>
      </c>
      <c r="V680" s="63" t="n">
        <v>402000</v>
      </c>
      <c r="W680" s="9" t="n">
        <f aca="false">V680</f>
        <v>402000</v>
      </c>
      <c r="X680" s="44" t="n">
        <f aca="false">T680/H680</f>
        <v>212.422839506173</v>
      </c>
      <c r="Y680" s="9" t="s">
        <v>52</v>
      </c>
      <c r="Z680" s="40"/>
      <c r="AA680" s="62"/>
      <c r="AB680" s="5" t="s">
        <v>40</v>
      </c>
      <c r="AF680" s="57"/>
    </row>
    <row r="681" customFormat="false" ht="22.5" hidden="false" customHeight="true" outlineLevel="0" collapsed="false">
      <c r="A681" s="28"/>
      <c r="B681" s="11" t="s">
        <v>34</v>
      </c>
      <c r="C681" s="11" t="s">
        <v>35</v>
      </c>
      <c r="D681" s="28" t="n">
        <v>100680</v>
      </c>
      <c r="E681" s="4" t="s">
        <v>742</v>
      </c>
      <c r="F681" s="4" t="s">
        <v>752</v>
      </c>
      <c r="G681" s="5" t="s">
        <v>46</v>
      </c>
      <c r="H681" s="6" t="n">
        <v>1690</v>
      </c>
      <c r="I681" s="6" t="n">
        <f aca="false">H681</f>
        <v>1690</v>
      </c>
      <c r="J681" s="6" t="n">
        <v>1500</v>
      </c>
      <c r="K681" s="4" t="s">
        <v>753</v>
      </c>
      <c r="L681" s="7" t="n">
        <v>42388</v>
      </c>
      <c r="M681" s="8" t="n">
        <v>46040</v>
      </c>
      <c r="Q681" s="9" t="n">
        <v>500000</v>
      </c>
      <c r="R681" s="9" t="n">
        <f aca="false">Q681</f>
        <v>500000</v>
      </c>
      <c r="T681" s="9" t="n">
        <v>337700</v>
      </c>
      <c r="U681" s="9" t="n">
        <f aca="false">T681</f>
        <v>337700</v>
      </c>
      <c r="V681" s="63" t="n">
        <v>501900</v>
      </c>
      <c r="W681" s="9" t="n">
        <f aca="false">V681</f>
        <v>501900</v>
      </c>
      <c r="X681" s="44" t="n">
        <f aca="false">T681/H681</f>
        <v>199.822485207101</v>
      </c>
      <c r="Y681" s="9" t="s">
        <v>52</v>
      </c>
      <c r="Z681" s="40"/>
      <c r="AA681" s="62"/>
      <c r="AB681" s="5" t="s">
        <v>40</v>
      </c>
      <c r="AF681" s="57"/>
    </row>
    <row r="682" customFormat="false" ht="24.75" hidden="false" customHeight="true" outlineLevel="0" collapsed="false">
      <c r="A682" s="28"/>
      <c r="B682" s="11" t="s">
        <v>34</v>
      </c>
      <c r="C682" s="11" t="s">
        <v>35</v>
      </c>
      <c r="D682" s="28" t="n">
        <v>100680</v>
      </c>
      <c r="E682" s="4" t="s">
        <v>742</v>
      </c>
      <c r="F682" s="4" t="s">
        <v>754</v>
      </c>
      <c r="G682" s="5" t="s">
        <v>46</v>
      </c>
      <c r="H682" s="6" t="n">
        <v>2304</v>
      </c>
      <c r="I682" s="6" t="n">
        <f aca="false">H682</f>
        <v>2304</v>
      </c>
      <c r="J682" s="6" t="n">
        <v>2250</v>
      </c>
      <c r="K682" s="4" t="s">
        <v>755</v>
      </c>
      <c r="L682" s="7" t="n">
        <v>45748</v>
      </c>
      <c r="M682" s="8" t="n">
        <v>49399</v>
      </c>
      <c r="O682" s="8" t="n">
        <v>47574</v>
      </c>
      <c r="P682" s="8" t="n">
        <v>47574</v>
      </c>
      <c r="Q682" s="9" t="n">
        <v>237500</v>
      </c>
      <c r="R682" s="9" t="n">
        <f aca="false">Q682</f>
        <v>237500</v>
      </c>
      <c r="T682" s="9" t="n">
        <v>371300</v>
      </c>
      <c r="U682" s="9" t="n">
        <f aca="false">T682</f>
        <v>371300</v>
      </c>
      <c r="V682" s="63" t="n">
        <v>515100</v>
      </c>
      <c r="W682" s="9" t="n">
        <f aca="false">V682</f>
        <v>515100</v>
      </c>
      <c r="X682" s="44" t="n">
        <f aca="false">T682/H682</f>
        <v>161.154513888889</v>
      </c>
      <c r="Y682" s="9" t="s">
        <v>39</v>
      </c>
      <c r="Z682" s="40"/>
      <c r="AA682" s="62"/>
      <c r="AB682" s="5" t="s">
        <v>40</v>
      </c>
      <c r="AC682" s="4" t="s">
        <v>756</v>
      </c>
      <c r="AF682" s="57"/>
    </row>
    <row r="683" customFormat="false" ht="24.75" hidden="false" customHeight="true" outlineLevel="0" collapsed="false">
      <c r="A683" s="28"/>
      <c r="B683" s="11" t="s">
        <v>34</v>
      </c>
      <c r="C683" s="11" t="s">
        <v>35</v>
      </c>
      <c r="D683" s="28" t="n">
        <v>100680</v>
      </c>
      <c r="E683" s="4" t="s">
        <v>742</v>
      </c>
      <c r="F683" s="4" t="s">
        <v>757</v>
      </c>
      <c r="G683" s="5" t="s">
        <v>37</v>
      </c>
      <c r="H683" s="6" t="n">
        <v>7519</v>
      </c>
      <c r="I683" s="6" t="n">
        <f aca="false">H683</f>
        <v>7519</v>
      </c>
      <c r="J683" s="6" t="n">
        <v>7500</v>
      </c>
      <c r="K683" s="4" t="s">
        <v>758</v>
      </c>
      <c r="L683" s="7" t="n">
        <v>45231</v>
      </c>
      <c r="M683" s="8" t="n">
        <v>45961</v>
      </c>
      <c r="Q683" s="9" t="n">
        <v>450600</v>
      </c>
      <c r="R683" s="9" t="n">
        <f aca="false">Q683</f>
        <v>450600</v>
      </c>
      <c r="S683" s="141"/>
      <c r="T683" s="9" t="n">
        <v>489500</v>
      </c>
      <c r="U683" s="9" t="n">
        <f aca="false">T683</f>
        <v>489500</v>
      </c>
      <c r="V683" s="63" t="n">
        <v>469900</v>
      </c>
      <c r="W683" s="9" t="n">
        <f aca="false">V683</f>
        <v>469900</v>
      </c>
      <c r="X683" s="44" t="n">
        <f aca="false">T683/H683</f>
        <v>65.1017422529592</v>
      </c>
      <c r="Y683" s="9" t="s">
        <v>57</v>
      </c>
      <c r="Z683" s="40"/>
      <c r="AA683" s="62"/>
      <c r="AB683" s="5" t="s">
        <v>40</v>
      </c>
      <c r="AC683" s="58" t="s">
        <v>759</v>
      </c>
      <c r="AF683" s="57"/>
    </row>
    <row r="684" customFormat="false" ht="37.5" hidden="false" customHeight="true" outlineLevel="0" collapsed="false">
      <c r="A684" s="28"/>
      <c r="B684" s="11" t="s">
        <v>34</v>
      </c>
      <c r="C684" s="11" t="s">
        <v>35</v>
      </c>
      <c r="D684" s="28" t="n">
        <v>100680</v>
      </c>
      <c r="E684" s="4" t="s">
        <v>742</v>
      </c>
      <c r="F684" s="4" t="s">
        <v>85</v>
      </c>
      <c r="G684" s="5" t="s">
        <v>37</v>
      </c>
      <c r="H684" s="6" t="n">
        <v>6890</v>
      </c>
      <c r="I684" s="6" t="n">
        <f aca="false">H684</f>
        <v>6890</v>
      </c>
      <c r="J684" s="6" t="n">
        <v>7000</v>
      </c>
      <c r="K684" s="4" t="s">
        <v>760</v>
      </c>
      <c r="L684" s="7" t="n">
        <v>45672</v>
      </c>
      <c r="M684" s="8" t="n">
        <v>46766</v>
      </c>
      <c r="P684" s="8" t="n">
        <v>46218</v>
      </c>
      <c r="Q684" s="9" t="n">
        <v>241776</v>
      </c>
      <c r="R684" s="9" t="n">
        <f aca="false">Q684</f>
        <v>241776</v>
      </c>
      <c r="S684" s="71"/>
      <c r="T684" s="9" t="n">
        <v>438000</v>
      </c>
      <c r="U684" s="9" t="n">
        <f aca="false">T684</f>
        <v>438000</v>
      </c>
      <c r="V684" s="63" t="n">
        <v>551200</v>
      </c>
      <c r="W684" s="9" t="n">
        <f aca="false">V684</f>
        <v>551200</v>
      </c>
      <c r="X684" s="44" t="n">
        <f aca="false">T684/H684</f>
        <v>63.5703918722787</v>
      </c>
      <c r="Y684" s="9" t="s">
        <v>52</v>
      </c>
      <c r="Z684" s="40"/>
      <c r="AA684" s="62"/>
      <c r="AB684" s="5" t="s">
        <v>40</v>
      </c>
      <c r="AC684" s="4" t="s">
        <v>761</v>
      </c>
      <c r="AF684" s="57"/>
    </row>
    <row r="685" customFormat="false" ht="37.5" hidden="false" customHeight="true" outlineLevel="0" collapsed="false">
      <c r="A685" s="28"/>
      <c r="B685" s="11" t="s">
        <v>34</v>
      </c>
      <c r="C685" s="11" t="s">
        <v>35</v>
      </c>
      <c r="D685" s="28" t="n">
        <v>100680</v>
      </c>
      <c r="E685" s="4" t="s">
        <v>742</v>
      </c>
      <c r="F685" s="4" t="s">
        <v>89</v>
      </c>
      <c r="G685" s="5" t="s">
        <v>37</v>
      </c>
      <c r="H685" s="6" t="n">
        <v>6973</v>
      </c>
      <c r="I685" s="6" t="n">
        <f aca="false">H685</f>
        <v>6973</v>
      </c>
      <c r="J685" s="6" t="n">
        <v>7000</v>
      </c>
      <c r="K685" s="4" t="s">
        <v>760</v>
      </c>
      <c r="L685" s="7" t="n">
        <v>45672</v>
      </c>
      <c r="M685" s="8" t="n">
        <v>46766</v>
      </c>
      <c r="P685" s="8" t="n">
        <v>46218</v>
      </c>
      <c r="Q685" s="9" t="n">
        <v>242259</v>
      </c>
      <c r="R685" s="9" t="n">
        <f aca="false">Q685</f>
        <v>242259</v>
      </c>
      <c r="S685" s="71"/>
      <c r="T685" s="9" t="n">
        <v>438900</v>
      </c>
      <c r="U685" s="9" t="n">
        <f aca="false">T685</f>
        <v>438900</v>
      </c>
      <c r="V685" s="63" t="n">
        <v>557800</v>
      </c>
      <c r="W685" s="9" t="n">
        <f aca="false">V685</f>
        <v>557800</v>
      </c>
      <c r="X685" s="44" t="n">
        <f aca="false">T685/H685</f>
        <v>62.9427792915531</v>
      </c>
      <c r="Y685" s="9" t="s">
        <v>52</v>
      </c>
      <c r="Z685" s="40"/>
      <c r="AA685" s="62"/>
      <c r="AB685" s="5" t="s">
        <v>40</v>
      </c>
      <c r="AC685" s="4" t="s">
        <v>762</v>
      </c>
      <c r="AF685" s="57"/>
    </row>
    <row r="686" customFormat="false" ht="22.5" hidden="false" customHeight="true" outlineLevel="0" collapsed="false">
      <c r="A686" s="28"/>
      <c r="B686" s="11" t="s">
        <v>34</v>
      </c>
      <c r="C686" s="11" t="s">
        <v>35</v>
      </c>
      <c r="D686" s="28" t="n">
        <v>100680</v>
      </c>
      <c r="E686" s="4" t="s">
        <v>742</v>
      </c>
      <c r="F686" s="4" t="s">
        <v>90</v>
      </c>
      <c r="G686" s="5" t="s">
        <v>37</v>
      </c>
      <c r="H686" s="6" t="n">
        <v>6999</v>
      </c>
      <c r="I686" s="6" t="n">
        <f aca="false">H686</f>
        <v>6999</v>
      </c>
      <c r="J686" s="6" t="n">
        <v>7000</v>
      </c>
      <c r="K686" s="4" t="s">
        <v>63</v>
      </c>
      <c r="N686" s="8" t="n">
        <v>45673</v>
      </c>
      <c r="Q686" s="9" t="n">
        <v>0</v>
      </c>
      <c r="R686" s="9" t="n">
        <f aca="false">Q686</f>
        <v>0</v>
      </c>
      <c r="S686" s="71"/>
      <c r="T686" s="9" t="n">
        <v>448100</v>
      </c>
      <c r="U686" s="9" t="n">
        <f aca="false">T686</f>
        <v>448100</v>
      </c>
      <c r="V686" s="63" t="n">
        <v>489900</v>
      </c>
      <c r="W686" s="9" t="n">
        <f aca="false">V686</f>
        <v>489900</v>
      </c>
      <c r="X686" s="44" t="n">
        <f aca="false">T686/H686</f>
        <v>64.0234319188456</v>
      </c>
      <c r="Y686" s="9" t="s">
        <v>57</v>
      </c>
      <c r="Z686" s="40"/>
      <c r="AA686" s="62"/>
      <c r="AB686" s="5" t="s">
        <v>40</v>
      </c>
      <c r="AC686" s="4" t="s">
        <v>480</v>
      </c>
      <c r="AE686" s="4" t="n">
        <v>1</v>
      </c>
      <c r="AF686" s="57" t="n">
        <v>1</v>
      </c>
      <c r="AG686" s="4" t="s">
        <v>54</v>
      </c>
    </row>
    <row r="687" customFormat="false" ht="30" hidden="false" customHeight="true" outlineLevel="0" collapsed="false">
      <c r="A687" s="28"/>
      <c r="B687" s="11" t="s">
        <v>34</v>
      </c>
      <c r="C687" s="11" t="s">
        <v>35</v>
      </c>
      <c r="D687" s="28" t="n">
        <v>100680</v>
      </c>
      <c r="E687" s="4" t="s">
        <v>742</v>
      </c>
      <c r="F687" s="4" t="s">
        <v>114</v>
      </c>
      <c r="G687" s="5" t="s">
        <v>37</v>
      </c>
      <c r="H687" s="6" t="n">
        <v>7007</v>
      </c>
      <c r="I687" s="6" t="n">
        <f aca="false">H687</f>
        <v>7007</v>
      </c>
      <c r="J687" s="6" t="n">
        <v>7000</v>
      </c>
      <c r="K687" s="4" t="s">
        <v>760</v>
      </c>
      <c r="L687" s="7" t="n">
        <v>45672</v>
      </c>
      <c r="M687" s="8" t="n">
        <v>46766</v>
      </c>
      <c r="P687" s="8" t="n">
        <v>46218</v>
      </c>
      <c r="Q687" s="9" t="n">
        <v>252885</v>
      </c>
      <c r="R687" s="9" t="n">
        <f aca="false">Q687</f>
        <v>252885</v>
      </c>
      <c r="S687" s="71"/>
      <c r="T687" s="9" t="n">
        <v>458100</v>
      </c>
      <c r="U687" s="9" t="n">
        <f aca="false">T687</f>
        <v>458100</v>
      </c>
      <c r="V687" s="63" t="n">
        <v>560600</v>
      </c>
      <c r="W687" s="9" t="n">
        <f aca="false">V687</f>
        <v>560600</v>
      </c>
      <c r="X687" s="44" t="n">
        <f aca="false">T687/H687</f>
        <v>65.377479663194</v>
      </c>
      <c r="Y687" s="9" t="s">
        <v>52</v>
      </c>
      <c r="Z687" s="40"/>
      <c r="AA687" s="62"/>
      <c r="AB687" s="5" t="s">
        <v>40</v>
      </c>
      <c r="AC687" s="4" t="s">
        <v>763</v>
      </c>
      <c r="AF687" s="57"/>
    </row>
    <row r="688" customFormat="false" ht="30" hidden="false" customHeight="true" outlineLevel="0" collapsed="false">
      <c r="A688" s="28"/>
      <c r="B688" s="11" t="s">
        <v>34</v>
      </c>
      <c r="C688" s="11" t="s">
        <v>35</v>
      </c>
      <c r="D688" s="28" t="n">
        <v>100680</v>
      </c>
      <c r="E688" s="4" t="s">
        <v>742</v>
      </c>
      <c r="F688" s="4" t="s">
        <v>176</v>
      </c>
      <c r="G688" s="5" t="s">
        <v>37</v>
      </c>
      <c r="H688" s="6" t="n">
        <v>6662</v>
      </c>
      <c r="I688" s="6" t="n">
        <f aca="false">H688</f>
        <v>6662</v>
      </c>
      <c r="J688" s="6" t="n">
        <v>6500</v>
      </c>
      <c r="K688" s="4" t="s">
        <v>760</v>
      </c>
      <c r="L688" s="7" t="n">
        <v>45672</v>
      </c>
      <c r="M688" s="8" t="n">
        <v>46766</v>
      </c>
      <c r="P688" s="8" t="n">
        <v>46218</v>
      </c>
      <c r="Q688" s="9" t="n">
        <v>252394</v>
      </c>
      <c r="R688" s="9" t="n">
        <f aca="false">Q688</f>
        <v>252394</v>
      </c>
      <c r="S688" s="71"/>
      <c r="T688" s="9" t="n">
        <v>434600</v>
      </c>
      <c r="U688" s="9" t="n">
        <f aca="false">T688</f>
        <v>434600</v>
      </c>
      <c r="V688" s="63" t="n">
        <v>533000</v>
      </c>
      <c r="W688" s="9" t="n">
        <f aca="false">V688</f>
        <v>533000</v>
      </c>
      <c r="X688" s="44" t="n">
        <f aca="false">T688/H688</f>
        <v>65.2356649654758</v>
      </c>
      <c r="Y688" s="9" t="s">
        <v>52</v>
      </c>
      <c r="Z688" s="40"/>
      <c r="AA688" s="62"/>
      <c r="AB688" s="5" t="s">
        <v>40</v>
      </c>
      <c r="AC688" s="4" t="s">
        <v>764</v>
      </c>
      <c r="AF688" s="57"/>
    </row>
    <row r="689" customFormat="false" ht="14.25" hidden="false" customHeight="true" outlineLevel="0" collapsed="false">
      <c r="A689" s="28"/>
      <c r="B689" s="11"/>
      <c r="C689" s="11" t="s">
        <v>35</v>
      </c>
      <c r="D689" s="28"/>
      <c r="E689" s="4"/>
      <c r="I689" s="9"/>
      <c r="J689" s="9"/>
      <c r="P689" s="73"/>
      <c r="T689" s="9"/>
      <c r="U689" s="9"/>
      <c r="V689" s="63"/>
      <c r="W689" s="9"/>
      <c r="X689" s="9"/>
      <c r="Y689" s="9"/>
      <c r="Z689" s="40"/>
      <c r="AA689" s="62"/>
      <c r="AB689" s="5"/>
      <c r="AF689" s="57"/>
    </row>
    <row r="690" customFormat="false" ht="14.25" hidden="false" customHeight="true" outlineLevel="0" collapsed="false">
      <c r="A690" s="28"/>
      <c r="B690" s="11"/>
      <c r="C690" s="11" t="s">
        <v>35</v>
      </c>
      <c r="D690" s="28"/>
      <c r="E690" s="4"/>
      <c r="F690" s="45" t="s">
        <v>765</v>
      </c>
      <c r="H690" s="41" t="n">
        <f aca="false">SUM(H676:H688)</f>
        <v>57449</v>
      </c>
      <c r="I690" s="42"/>
      <c r="J690" s="42"/>
      <c r="O690" s="73"/>
      <c r="Q690" s="42" t="n">
        <f aca="false">SUM(Q676:Q689)</f>
        <v>3420764</v>
      </c>
      <c r="R690" s="42"/>
      <c r="S690" s="42" t="n">
        <f aca="false">SUM(R675:R689)</f>
        <v>3420764</v>
      </c>
      <c r="T690" s="42" t="n">
        <f aca="false">SUM(T676:T688)</f>
        <v>4554150</v>
      </c>
      <c r="U690" s="42"/>
      <c r="V690" s="43" t="n">
        <f aca="false">SUM(V676:V688)</f>
        <v>5611900</v>
      </c>
      <c r="W690" s="42"/>
      <c r="X690" s="42"/>
      <c r="Y690" s="42"/>
      <c r="Z690" s="64"/>
      <c r="AA690" s="43" t="n">
        <v>90600000</v>
      </c>
      <c r="AB690" s="5"/>
      <c r="AE690" s="58"/>
      <c r="AF690" s="59"/>
      <c r="AG690" s="58"/>
    </row>
    <row r="691" customFormat="false" ht="14.25" hidden="false" customHeight="true" outlineLevel="0" collapsed="false">
      <c r="A691" s="28"/>
      <c r="B691" s="11"/>
      <c r="C691" s="11" t="s">
        <v>35</v>
      </c>
      <c r="D691" s="28"/>
      <c r="E691" s="4"/>
      <c r="G691" s="106"/>
      <c r="H691" s="41"/>
      <c r="I691" s="42"/>
      <c r="J691" s="42"/>
      <c r="O691" s="73"/>
      <c r="P691" s="7"/>
      <c r="Q691" s="42"/>
      <c r="R691" s="42"/>
      <c r="S691" s="42"/>
      <c r="T691" s="42"/>
      <c r="U691" s="42"/>
      <c r="V691" s="43"/>
      <c r="W691" s="42"/>
      <c r="X691" s="42"/>
      <c r="Y691" s="42"/>
      <c r="Z691" s="64"/>
      <c r="AA691" s="62"/>
      <c r="AB691" s="5"/>
      <c r="AF691" s="57"/>
    </row>
    <row r="692" customFormat="false" ht="14.25" hidden="false" customHeight="true" outlineLevel="0" collapsed="false">
      <c r="A692" s="28"/>
      <c r="B692" s="11"/>
      <c r="C692" s="11" t="s">
        <v>35</v>
      </c>
      <c r="D692" s="28"/>
      <c r="E692" s="4"/>
      <c r="G692" s="38" t="s">
        <v>766</v>
      </c>
      <c r="I692" s="9"/>
      <c r="J692" s="9"/>
      <c r="K692" s="39"/>
      <c r="T692" s="11"/>
      <c r="U692" s="9"/>
      <c r="W692" s="9"/>
      <c r="X692" s="9"/>
      <c r="Y692" s="9"/>
      <c r="Z692" s="40"/>
      <c r="AB692" s="5"/>
      <c r="AF692" s="57"/>
    </row>
    <row r="693" customFormat="false" ht="14.25" hidden="false" customHeight="true" outlineLevel="0" collapsed="false">
      <c r="A693" s="28"/>
      <c r="B693" s="11"/>
      <c r="C693" s="11" t="s">
        <v>35</v>
      </c>
      <c r="D693" s="28"/>
      <c r="E693" s="4"/>
      <c r="H693" s="41"/>
      <c r="I693" s="42"/>
      <c r="J693" s="42"/>
      <c r="Q693" s="42"/>
      <c r="R693" s="42"/>
      <c r="S693" s="42"/>
      <c r="T693" s="42"/>
      <c r="U693" s="42"/>
      <c r="V693" s="43"/>
      <c r="W693" s="42"/>
      <c r="X693" s="42"/>
      <c r="Y693" s="42"/>
      <c r="Z693" s="64"/>
      <c r="AA693" s="62"/>
      <c r="AB693" s="5"/>
      <c r="AF693" s="57"/>
    </row>
    <row r="694" customFormat="false" ht="14.25" hidden="false" customHeight="true" outlineLevel="0" collapsed="false">
      <c r="A694" s="28"/>
      <c r="B694" s="11" t="s">
        <v>228</v>
      </c>
      <c r="C694" s="11" t="s">
        <v>35</v>
      </c>
      <c r="D694" s="28" t="n">
        <v>550030</v>
      </c>
      <c r="E694" s="4" t="s">
        <v>766</v>
      </c>
      <c r="F694" s="4" t="s">
        <v>590</v>
      </c>
      <c r="G694" s="5" t="s">
        <v>37</v>
      </c>
      <c r="H694" s="6" t="n">
        <v>825</v>
      </c>
      <c r="I694" s="9" t="n">
        <f aca="false">H694</f>
        <v>825</v>
      </c>
      <c r="J694" s="9" t="n">
        <v>1000</v>
      </c>
      <c r="K694" s="4" t="s">
        <v>63</v>
      </c>
      <c r="N694" s="8" t="n">
        <v>44709</v>
      </c>
      <c r="Q694" s="9" t="n">
        <v>0</v>
      </c>
      <c r="R694" s="9" t="n">
        <f aca="false">Q694</f>
        <v>0</v>
      </c>
      <c r="T694" s="9" t="n">
        <v>27200</v>
      </c>
      <c r="U694" s="9" t="n">
        <f aca="false">T694</f>
        <v>27200</v>
      </c>
      <c r="V694" s="63" t="n">
        <v>33000</v>
      </c>
      <c r="W694" s="9" t="n">
        <f aca="false">V694</f>
        <v>33000</v>
      </c>
      <c r="X694" s="44" t="n">
        <f aca="false">T694/H694</f>
        <v>32.969696969697</v>
      </c>
      <c r="Y694" s="9" t="s">
        <v>52</v>
      </c>
      <c r="Z694" s="40"/>
      <c r="AA694" s="62"/>
      <c r="AB694" s="5" t="s">
        <v>40</v>
      </c>
      <c r="AF694" s="57"/>
    </row>
    <row r="695" customFormat="false" ht="13.5" hidden="false" customHeight="true" outlineLevel="0" collapsed="false">
      <c r="A695" s="28"/>
      <c r="B695" s="11" t="s">
        <v>228</v>
      </c>
      <c r="C695" s="11" t="s">
        <v>35</v>
      </c>
      <c r="D695" s="28" t="n">
        <v>550030</v>
      </c>
      <c r="E695" s="4" t="s">
        <v>766</v>
      </c>
      <c r="F695" s="4" t="s">
        <v>767</v>
      </c>
      <c r="G695" s="5" t="s">
        <v>768</v>
      </c>
      <c r="H695" s="6" t="n">
        <v>0</v>
      </c>
      <c r="I695" s="9" t="n">
        <f aca="false">H695</f>
        <v>0</v>
      </c>
      <c r="J695" s="9"/>
      <c r="K695" s="4" t="s">
        <v>769</v>
      </c>
      <c r="L695" s="7" t="n">
        <v>30310</v>
      </c>
      <c r="M695" s="142" t="n">
        <v>66469</v>
      </c>
      <c r="N695" s="142"/>
      <c r="O695" s="8" t="n">
        <v>54417</v>
      </c>
      <c r="Q695" s="9" t="n">
        <v>150</v>
      </c>
      <c r="R695" s="9" t="n">
        <f aca="false">Q695</f>
        <v>150</v>
      </c>
      <c r="T695" s="9" t="n">
        <v>150</v>
      </c>
      <c r="U695" s="9" t="n">
        <f aca="false">T695</f>
        <v>150</v>
      </c>
      <c r="V695" s="63" t="n">
        <v>150</v>
      </c>
      <c r="W695" s="9" t="n">
        <f aca="false">V695</f>
        <v>150</v>
      </c>
      <c r="X695" s="44"/>
      <c r="Y695" s="9"/>
      <c r="Z695" s="40"/>
      <c r="AA695" s="62"/>
      <c r="AB695" s="5"/>
      <c r="AC695" s="4" t="s">
        <v>770</v>
      </c>
      <c r="AF695" s="57"/>
    </row>
    <row r="696" customFormat="false" ht="22.5" hidden="false" customHeight="true" outlineLevel="0" collapsed="false">
      <c r="A696" s="28"/>
      <c r="B696" s="11" t="s">
        <v>228</v>
      </c>
      <c r="C696" s="11" t="s">
        <v>35</v>
      </c>
      <c r="D696" s="28" t="n">
        <v>550030</v>
      </c>
      <c r="E696" s="4" t="s">
        <v>766</v>
      </c>
      <c r="F696" s="4" t="s">
        <v>771</v>
      </c>
      <c r="G696" s="5" t="s">
        <v>768</v>
      </c>
      <c r="H696" s="6" t="n">
        <v>0</v>
      </c>
      <c r="I696" s="9" t="n">
        <f aca="false">H696</f>
        <v>0</v>
      </c>
      <c r="J696" s="9"/>
      <c r="K696" s="4" t="s">
        <v>772</v>
      </c>
      <c r="L696" s="7" t="n">
        <v>30310</v>
      </c>
      <c r="M696" s="142" t="n">
        <v>66469</v>
      </c>
      <c r="N696" s="142"/>
      <c r="O696" s="8" t="n">
        <v>54417</v>
      </c>
      <c r="Q696" s="9" t="n">
        <v>150</v>
      </c>
      <c r="R696" s="9" t="n">
        <f aca="false">Q696</f>
        <v>150</v>
      </c>
      <c r="T696" s="9" t="n">
        <v>150</v>
      </c>
      <c r="U696" s="9" t="n">
        <f aca="false">T696</f>
        <v>150</v>
      </c>
      <c r="V696" s="63" t="n">
        <v>150</v>
      </c>
      <c r="W696" s="9" t="n">
        <f aca="false">V696</f>
        <v>150</v>
      </c>
      <c r="X696" s="44"/>
      <c r="Y696" s="9"/>
      <c r="Z696" s="40"/>
      <c r="AA696" s="62"/>
      <c r="AB696" s="5"/>
      <c r="AC696" s="4" t="s">
        <v>770</v>
      </c>
      <c r="AF696" s="57"/>
    </row>
    <row r="697" customFormat="false" ht="22.5" hidden="false" customHeight="true" outlineLevel="0" collapsed="false">
      <c r="A697" s="28"/>
      <c r="B697" s="11" t="s">
        <v>228</v>
      </c>
      <c r="C697" s="11" t="s">
        <v>35</v>
      </c>
      <c r="D697" s="28" t="n">
        <v>550030</v>
      </c>
      <c r="E697" s="4" t="s">
        <v>766</v>
      </c>
      <c r="F697" s="4" t="s">
        <v>773</v>
      </c>
      <c r="G697" s="5" t="s">
        <v>768</v>
      </c>
      <c r="H697" s="6" t="n">
        <v>0</v>
      </c>
      <c r="I697" s="9" t="n">
        <f aca="false">H697</f>
        <v>0</v>
      </c>
      <c r="J697" s="9"/>
      <c r="K697" s="4" t="s">
        <v>774</v>
      </c>
      <c r="L697" s="7" t="n">
        <v>30310</v>
      </c>
      <c r="M697" s="142" t="n">
        <v>99340</v>
      </c>
      <c r="N697" s="142"/>
      <c r="Q697" s="9" t="n">
        <v>0</v>
      </c>
      <c r="R697" s="9" t="n">
        <f aca="false">Q697</f>
        <v>0</v>
      </c>
      <c r="T697" s="9" t="n">
        <v>150</v>
      </c>
      <c r="U697" s="9" t="n">
        <f aca="false">T697</f>
        <v>150</v>
      </c>
      <c r="V697" s="63" t="n">
        <v>150</v>
      </c>
      <c r="W697" s="9" t="n">
        <f aca="false">V697</f>
        <v>150</v>
      </c>
      <c r="X697" s="44"/>
      <c r="Y697" s="9"/>
      <c r="Z697" s="40"/>
      <c r="AA697" s="62"/>
      <c r="AB697" s="5"/>
      <c r="AC697" s="4" t="s">
        <v>775</v>
      </c>
      <c r="AF697" s="57"/>
    </row>
    <row r="698" customFormat="false" ht="22.5" hidden="false" customHeight="true" outlineLevel="0" collapsed="false">
      <c r="A698" s="28"/>
      <c r="B698" s="11" t="s">
        <v>228</v>
      </c>
      <c r="C698" s="11" t="s">
        <v>35</v>
      </c>
      <c r="D698" s="28" t="n">
        <v>550030</v>
      </c>
      <c r="E698" s="4" t="s">
        <v>766</v>
      </c>
      <c r="F698" s="4" t="s">
        <v>776</v>
      </c>
      <c r="G698" s="5" t="s">
        <v>768</v>
      </c>
      <c r="H698" s="6" t="n">
        <v>0</v>
      </c>
      <c r="I698" s="9" t="n">
        <f aca="false">H698</f>
        <v>0</v>
      </c>
      <c r="J698" s="9"/>
      <c r="K698" s="4" t="s">
        <v>777</v>
      </c>
      <c r="L698" s="7" t="n">
        <v>30310</v>
      </c>
      <c r="M698" s="142" t="n">
        <v>66469</v>
      </c>
      <c r="N698" s="142"/>
      <c r="O698" s="8" t="n">
        <v>54417</v>
      </c>
      <c r="Q698" s="9" t="n">
        <v>0</v>
      </c>
      <c r="R698" s="9" t="n">
        <f aca="false">Q698</f>
        <v>0</v>
      </c>
      <c r="T698" s="9" t="n">
        <v>150</v>
      </c>
      <c r="U698" s="9" t="n">
        <f aca="false">T698</f>
        <v>150</v>
      </c>
      <c r="V698" s="63" t="n">
        <v>150</v>
      </c>
      <c r="W698" s="9" t="n">
        <f aca="false">V698</f>
        <v>150</v>
      </c>
      <c r="X698" s="44"/>
      <c r="Y698" s="9"/>
      <c r="Z698" s="40"/>
      <c r="AA698" s="62"/>
      <c r="AB698" s="5"/>
      <c r="AC698" s="4" t="s">
        <v>775</v>
      </c>
      <c r="AF698" s="57"/>
    </row>
    <row r="699" customFormat="false" ht="14.25" hidden="false" customHeight="true" outlineLevel="0" collapsed="false">
      <c r="A699" s="28"/>
      <c r="B699" s="11"/>
      <c r="C699" s="11" t="s">
        <v>35</v>
      </c>
      <c r="D699" s="28"/>
      <c r="E699" s="4"/>
      <c r="G699" s="106"/>
      <c r="H699" s="28"/>
      <c r="I699" s="9"/>
      <c r="J699" s="9"/>
      <c r="Q699" s="42"/>
      <c r="R699" s="42"/>
      <c r="S699" s="42"/>
      <c r="T699" s="42"/>
      <c r="U699" s="42"/>
      <c r="V699" s="43"/>
      <c r="W699" s="42"/>
      <c r="X699" s="42"/>
      <c r="Y699" s="42"/>
      <c r="Z699" s="64"/>
      <c r="AA699" s="62"/>
      <c r="AB699" s="5"/>
      <c r="AF699" s="57"/>
    </row>
    <row r="700" customFormat="false" ht="14.25" hidden="false" customHeight="true" outlineLevel="0" collapsed="false">
      <c r="A700" s="28"/>
      <c r="B700" s="11"/>
      <c r="C700" s="11" t="s">
        <v>35</v>
      </c>
      <c r="D700" s="28"/>
      <c r="E700" s="4"/>
      <c r="F700" s="45" t="s">
        <v>766</v>
      </c>
      <c r="G700" s="119"/>
      <c r="H700" s="41" t="n">
        <f aca="false">SUM(H694:H698)</f>
        <v>825</v>
      </c>
      <c r="I700" s="42"/>
      <c r="J700" s="42"/>
      <c r="K700" s="92"/>
      <c r="L700" s="130"/>
      <c r="Q700" s="42" t="n">
        <f aca="false">SUM(Q694:Q698)</f>
        <v>300</v>
      </c>
      <c r="R700" s="42"/>
      <c r="S700" s="42" t="n">
        <f aca="false">SUM(R693:R699)</f>
        <v>300</v>
      </c>
      <c r="T700" s="42" t="n">
        <f aca="false">SUM(T694:T698)</f>
        <v>27800</v>
      </c>
      <c r="U700" s="42"/>
      <c r="V700" s="43" t="n">
        <f aca="false">SUM(V694:V698)</f>
        <v>33600</v>
      </c>
      <c r="W700" s="42"/>
      <c r="X700" s="42"/>
      <c r="Y700" s="42"/>
      <c r="Z700" s="64"/>
      <c r="AA700" s="43" t="n">
        <v>360000</v>
      </c>
      <c r="AB700" s="5"/>
      <c r="AF700" s="57"/>
    </row>
    <row r="701" customFormat="false" ht="14.25" hidden="false" customHeight="true" outlineLevel="0" collapsed="false">
      <c r="A701" s="28"/>
      <c r="B701" s="11"/>
      <c r="C701" s="11" t="s">
        <v>35</v>
      </c>
      <c r="D701" s="28"/>
      <c r="E701" s="4"/>
      <c r="G701" s="106"/>
      <c r="H701" s="41"/>
      <c r="I701" s="42"/>
      <c r="J701" s="42"/>
      <c r="Q701" s="42"/>
      <c r="R701" s="42"/>
      <c r="S701" s="42"/>
      <c r="T701" s="42"/>
      <c r="U701" s="42"/>
      <c r="V701" s="43"/>
      <c r="W701" s="42"/>
      <c r="X701" s="42"/>
      <c r="Y701" s="42"/>
      <c r="Z701" s="64"/>
      <c r="AA701" s="62"/>
      <c r="AB701" s="5"/>
      <c r="AF701" s="57"/>
    </row>
    <row r="702" customFormat="false" ht="14.25" hidden="false" customHeight="true" outlineLevel="0" collapsed="false">
      <c r="A702" s="28"/>
      <c r="B702" s="11"/>
      <c r="C702" s="11" t="s">
        <v>35</v>
      </c>
      <c r="D702" s="28"/>
      <c r="E702" s="4"/>
      <c r="G702" s="38" t="s">
        <v>778</v>
      </c>
      <c r="I702" s="9"/>
      <c r="J702" s="9"/>
      <c r="K702" s="39"/>
      <c r="P702" s="49"/>
      <c r="T702" s="11"/>
      <c r="U702" s="9"/>
      <c r="W702" s="9"/>
      <c r="X702" s="9"/>
      <c r="Y702" s="9"/>
      <c r="Z702" s="40"/>
      <c r="AB702" s="5"/>
      <c r="AF702" s="57"/>
    </row>
    <row r="703" customFormat="false" ht="14.25" hidden="false" customHeight="true" outlineLevel="0" collapsed="false">
      <c r="A703" s="28"/>
      <c r="B703" s="11"/>
      <c r="C703" s="11" t="s">
        <v>35</v>
      </c>
      <c r="D703" s="28"/>
      <c r="E703" s="4"/>
      <c r="I703" s="9"/>
      <c r="J703" s="9"/>
      <c r="P703" s="49"/>
      <c r="T703" s="9"/>
      <c r="U703" s="9"/>
      <c r="V703" s="63"/>
      <c r="W703" s="9"/>
      <c r="X703" s="9"/>
      <c r="Y703" s="9"/>
      <c r="Z703" s="40"/>
      <c r="AB703" s="5"/>
      <c r="AF703" s="57"/>
    </row>
    <row r="704" customFormat="false" ht="22.5" hidden="false" customHeight="true" outlineLevel="0" collapsed="false">
      <c r="A704" s="28"/>
      <c r="B704" s="11" t="s">
        <v>228</v>
      </c>
      <c r="C704" s="11" t="s">
        <v>35</v>
      </c>
      <c r="D704" s="28" t="n">
        <v>550760</v>
      </c>
      <c r="E704" s="4" t="s">
        <v>778</v>
      </c>
      <c r="F704" s="4" t="s">
        <v>36</v>
      </c>
      <c r="G704" s="5" t="s">
        <v>779</v>
      </c>
      <c r="H704" s="41" t="n">
        <v>2085</v>
      </c>
      <c r="I704" s="9" t="n">
        <f aca="false">H704</f>
        <v>2085</v>
      </c>
      <c r="J704" s="9" t="n">
        <v>2000</v>
      </c>
      <c r="K704" s="4" t="s">
        <v>780</v>
      </c>
      <c r="L704" s="7" t="n">
        <v>45741</v>
      </c>
      <c r="M704" s="8" t="n">
        <v>46836</v>
      </c>
      <c r="P704" s="8" t="n">
        <v>46289</v>
      </c>
      <c r="Q704" s="42" t="n">
        <v>90000</v>
      </c>
      <c r="R704" s="9" t="n">
        <f aca="false">Q704</f>
        <v>90000</v>
      </c>
      <c r="S704" s="42" t="n">
        <f aca="false">R704</f>
        <v>90000</v>
      </c>
      <c r="T704" s="42" t="n">
        <v>80000</v>
      </c>
      <c r="U704" s="9" t="n">
        <f aca="false">T704</f>
        <v>80000</v>
      </c>
      <c r="V704" s="43" t="n">
        <v>90000</v>
      </c>
      <c r="W704" s="9" t="n">
        <f aca="false">V704</f>
        <v>90000</v>
      </c>
      <c r="X704" s="9"/>
      <c r="Y704" s="9" t="s">
        <v>57</v>
      </c>
      <c r="Z704" s="40"/>
      <c r="AA704" s="43" t="n">
        <v>1400000</v>
      </c>
      <c r="AB704" s="5" t="s">
        <v>40</v>
      </c>
      <c r="AC704" s="4" t="s">
        <v>781</v>
      </c>
      <c r="AF704" s="57"/>
    </row>
    <row r="705" customFormat="false" ht="14.25" hidden="false" customHeight="true" outlineLevel="0" collapsed="false">
      <c r="A705" s="28"/>
      <c r="B705" s="11"/>
      <c r="C705" s="11"/>
      <c r="D705" s="28"/>
      <c r="E705" s="4"/>
      <c r="F705" s="45" t="s">
        <v>778</v>
      </c>
      <c r="H705" s="46"/>
      <c r="I705" s="41"/>
      <c r="J705" s="41"/>
      <c r="K705" s="47"/>
      <c r="L705" s="48"/>
      <c r="M705" s="49"/>
      <c r="N705" s="49"/>
      <c r="O705" s="49"/>
      <c r="Q705" s="41"/>
      <c r="R705" s="46"/>
      <c r="S705" s="46"/>
      <c r="T705" s="46" t="n">
        <f aca="false">SUM(T704)</f>
        <v>80000</v>
      </c>
      <c r="U705" s="46"/>
      <c r="V705" s="50"/>
      <c r="W705" s="46"/>
      <c r="X705" s="46"/>
      <c r="Y705" s="46"/>
      <c r="Z705" s="51"/>
      <c r="AA705" s="43"/>
      <c r="AB705" s="5"/>
      <c r="AF705" s="57"/>
    </row>
    <row r="706" customFormat="false" ht="14.25" hidden="false" customHeight="true" outlineLevel="0" collapsed="false">
      <c r="H706" s="41"/>
      <c r="I706" s="41"/>
      <c r="J706" s="41"/>
      <c r="Q706" s="42"/>
      <c r="R706" s="42"/>
      <c r="S706" s="42"/>
      <c r="T706" s="42"/>
      <c r="U706" s="42"/>
      <c r="V706" s="43"/>
      <c r="W706" s="42"/>
      <c r="X706" s="42"/>
      <c r="Y706" s="42"/>
      <c r="Z706" s="64"/>
      <c r="AA706" s="62"/>
      <c r="AB706" s="140"/>
      <c r="AF706" s="57"/>
    </row>
    <row r="707" customFormat="false" ht="14.25" hidden="false" customHeight="true" outlineLevel="0" collapsed="false">
      <c r="F707" s="143" t="s">
        <v>782</v>
      </c>
      <c r="G707" s="144"/>
      <c r="H707" s="145" t="n">
        <f aca="false">I707</f>
        <v>806373</v>
      </c>
      <c r="I707" s="145" t="n">
        <f aca="false">SUM(I6:I706)</f>
        <v>806373</v>
      </c>
      <c r="J707" s="145"/>
      <c r="K707" s="146"/>
      <c r="L707" s="147"/>
      <c r="M707" s="148"/>
      <c r="N707" s="148"/>
      <c r="O707" s="148"/>
      <c r="P707" s="148"/>
      <c r="Q707" s="145" t="n">
        <f aca="false">SUM(R8:R704)</f>
        <v>35164661</v>
      </c>
      <c r="R707" s="149"/>
      <c r="S707" s="149"/>
      <c r="T707" s="145" t="n">
        <f aca="false">SUM(U5:U705)</f>
        <v>44299916</v>
      </c>
      <c r="U707" s="149"/>
      <c r="V707" s="150" t="n">
        <f aca="false">SUM(W7:W704)</f>
        <v>49487431</v>
      </c>
      <c r="W707" s="149"/>
      <c r="X707" s="149"/>
      <c r="Y707" s="149"/>
      <c r="Z707" s="151"/>
      <c r="AA707" s="150" t="n">
        <f aca="false">SUM(AA7:AA704)</f>
        <v>770660000</v>
      </c>
      <c r="AB707" s="152"/>
      <c r="AC707" s="146"/>
      <c r="AD707" s="153"/>
      <c r="AE707" s="154"/>
      <c r="AF707" s="155"/>
      <c r="AG707" s="154"/>
    </row>
    <row r="708" customFormat="false" ht="14.25" hidden="false" customHeight="true" outlineLevel="0" collapsed="false">
      <c r="T708" s="9"/>
      <c r="U708" s="9"/>
      <c r="V708" s="63"/>
      <c r="W708" s="9"/>
      <c r="X708" s="9"/>
      <c r="Y708" s="9"/>
      <c r="Z708" s="40"/>
      <c r="AF708" s="57"/>
    </row>
    <row r="709" customFormat="false" ht="12.75" hidden="false" customHeight="true" outlineLevel="0" collapsed="false">
      <c r="F709" s="156"/>
      <c r="G709" s="157"/>
      <c r="H709" s="158"/>
      <c r="I709" s="158"/>
      <c r="J709" s="158"/>
      <c r="K709" s="156"/>
      <c r="L709" s="159"/>
      <c r="M709" s="159"/>
      <c r="N709" s="159"/>
      <c r="O709" s="159"/>
      <c r="P709" s="159"/>
      <c r="Q709" s="160"/>
      <c r="R709" s="160"/>
      <c r="T709" s="160"/>
      <c r="U709" s="160"/>
      <c r="V709" s="161"/>
      <c r="W709" s="160"/>
      <c r="X709" s="160"/>
      <c r="Y709" s="160"/>
      <c r="Z709" s="157"/>
      <c r="AA709" s="162"/>
      <c r="AB709" s="157"/>
      <c r="AC709" s="156"/>
      <c r="AD709" s="163"/>
      <c r="AE709" s="156"/>
      <c r="AF709" s="164"/>
      <c r="AG709" s="156"/>
    </row>
    <row r="710" customFormat="false" ht="12.75" hidden="false" customHeight="true" outlineLevel="0" collapsed="false">
      <c r="F710" s="156"/>
      <c r="G710" s="165" t="s">
        <v>783</v>
      </c>
      <c r="H710" s="158"/>
      <c r="I710" s="158"/>
      <c r="J710" s="158"/>
      <c r="K710" s="156"/>
      <c r="L710" s="159"/>
      <c r="M710" s="159"/>
      <c r="N710" s="159"/>
      <c r="O710" s="159"/>
      <c r="P710" s="159"/>
      <c r="Q710" s="160"/>
      <c r="R710" s="160"/>
      <c r="T710" s="160"/>
      <c r="U710" s="160"/>
      <c r="V710" s="161"/>
      <c r="W710" s="160"/>
      <c r="X710" s="160"/>
      <c r="Y710" s="160"/>
      <c r="Z710" s="157"/>
      <c r="AA710" s="162"/>
      <c r="AB710" s="157"/>
      <c r="AC710" s="156"/>
      <c r="AD710" s="163"/>
      <c r="AE710" s="156"/>
      <c r="AF710" s="164"/>
      <c r="AG710" s="156"/>
    </row>
    <row r="711" customFormat="false" ht="12.75" hidden="false" customHeight="true" outlineLevel="0" collapsed="false">
      <c r="F711" s="156"/>
      <c r="G711" s="157"/>
      <c r="H711" s="158"/>
      <c r="I711" s="158"/>
      <c r="J711" s="158"/>
      <c r="K711" s="156"/>
      <c r="L711" s="159"/>
      <c r="M711" s="159"/>
      <c r="N711" s="159"/>
      <c r="O711" s="159"/>
      <c r="P711" s="159"/>
      <c r="Q711" s="160"/>
      <c r="R711" s="160"/>
      <c r="T711" s="160"/>
      <c r="U711" s="160"/>
      <c r="V711" s="161"/>
      <c r="W711" s="160"/>
      <c r="X711" s="160"/>
      <c r="Y711" s="160"/>
      <c r="Z711" s="157"/>
      <c r="AA711" s="162"/>
      <c r="AB711" s="157"/>
      <c r="AC711" s="156"/>
      <c r="AD711" s="163"/>
      <c r="AE711" s="156"/>
      <c r="AF711" s="164"/>
      <c r="AG711" s="156"/>
    </row>
    <row r="712" s="166" customFormat="true" ht="16.5" hidden="false" customHeight="true" outlineLevel="0" collapsed="false">
      <c r="B712" s="11" t="s">
        <v>185</v>
      </c>
      <c r="C712" s="11" t="s">
        <v>784</v>
      </c>
      <c r="D712" s="167" t="n">
        <v>800200</v>
      </c>
      <c r="E712" s="167" t="s">
        <v>783</v>
      </c>
      <c r="F712" s="167" t="s">
        <v>36</v>
      </c>
      <c r="G712" s="168" t="s">
        <v>785</v>
      </c>
      <c r="H712" s="169" t="n">
        <v>3122</v>
      </c>
      <c r="I712" s="170" t="n">
        <f aca="false">H712</f>
        <v>3122</v>
      </c>
      <c r="J712" s="170" t="n">
        <v>3000</v>
      </c>
      <c r="K712" s="167" t="s">
        <v>786</v>
      </c>
      <c r="L712" s="171" t="n">
        <v>42580</v>
      </c>
      <c r="M712" s="171" t="n">
        <v>46231</v>
      </c>
      <c r="N712" s="171"/>
      <c r="O712" s="171" t="n">
        <v>44406</v>
      </c>
      <c r="P712" s="171"/>
      <c r="Q712" s="172" t="n">
        <v>170000</v>
      </c>
      <c r="R712" s="169" t="n">
        <f aca="false">Q712</f>
        <v>170000</v>
      </c>
      <c r="S712" s="9"/>
      <c r="T712" s="172" t="n">
        <v>124100</v>
      </c>
      <c r="U712" s="170" t="n">
        <f aca="false">T712</f>
        <v>124100</v>
      </c>
      <c r="V712" s="173" t="n">
        <v>134000</v>
      </c>
      <c r="W712" s="170" t="n">
        <f aca="false">V712</f>
        <v>134000</v>
      </c>
      <c r="X712" s="44" t="n">
        <f aca="false">T712/H712</f>
        <v>39.7501601537476</v>
      </c>
      <c r="Y712" s="170" t="s">
        <v>123</v>
      </c>
      <c r="Z712" s="168"/>
      <c r="AA712" s="174" t="n">
        <v>1325000</v>
      </c>
      <c r="AB712" s="175" t="s">
        <v>40</v>
      </c>
      <c r="AC712" s="167"/>
      <c r="AD712" s="176"/>
      <c r="AE712" s="167"/>
      <c r="AF712" s="177"/>
      <c r="AG712" s="167"/>
    </row>
    <row r="713" customFormat="false" ht="12.75" hidden="false" customHeight="true" outlineLevel="0" collapsed="false">
      <c r="D713" s="178"/>
      <c r="E713" s="178"/>
      <c r="F713" s="156"/>
      <c r="G713" s="157"/>
      <c r="H713" s="158"/>
      <c r="I713" s="158"/>
      <c r="J713" s="158"/>
      <c r="K713" s="156"/>
      <c r="L713" s="159"/>
      <c r="M713" s="159"/>
      <c r="N713" s="159"/>
      <c r="O713" s="159"/>
      <c r="P713" s="159"/>
      <c r="Q713" s="160"/>
      <c r="R713" s="158"/>
      <c r="T713" s="160"/>
      <c r="U713" s="158"/>
      <c r="V713" s="161"/>
      <c r="W713" s="158"/>
      <c r="X713" s="158"/>
      <c r="Y713" s="158"/>
      <c r="Z713" s="179"/>
      <c r="AA713" s="162"/>
      <c r="AB713" s="179"/>
      <c r="AC713" s="156"/>
      <c r="AD713" s="163"/>
      <c r="AE713" s="156"/>
      <c r="AF713" s="164"/>
      <c r="AG713" s="156"/>
    </row>
    <row r="714" customFormat="false" ht="12.75" hidden="false" customHeight="true" outlineLevel="0" collapsed="false">
      <c r="D714" s="178"/>
      <c r="E714" s="178"/>
      <c r="F714" s="156"/>
      <c r="G714" s="157"/>
      <c r="H714" s="158"/>
      <c r="I714" s="158"/>
      <c r="J714" s="158"/>
      <c r="K714" s="156"/>
      <c r="L714" s="159"/>
      <c r="M714" s="159"/>
      <c r="N714" s="159"/>
      <c r="O714" s="159"/>
      <c r="P714" s="159"/>
      <c r="Q714" s="160"/>
      <c r="R714" s="158"/>
      <c r="T714" s="160"/>
      <c r="U714" s="158"/>
      <c r="V714" s="161"/>
      <c r="W714" s="158"/>
      <c r="X714" s="158"/>
      <c r="Y714" s="158"/>
      <c r="Z714" s="157"/>
      <c r="AA714" s="162"/>
      <c r="AB714" s="157"/>
      <c r="AC714" s="156"/>
      <c r="AD714" s="163"/>
      <c r="AE714" s="156"/>
      <c r="AF714" s="164"/>
      <c r="AG714" s="156"/>
    </row>
    <row r="715" customFormat="false" ht="12.75" hidden="false" customHeight="true" outlineLevel="0" collapsed="false">
      <c r="D715" s="178"/>
      <c r="E715" s="178"/>
      <c r="F715" s="156"/>
      <c r="G715" s="165" t="s">
        <v>787</v>
      </c>
      <c r="H715" s="158"/>
      <c r="I715" s="158"/>
      <c r="J715" s="158"/>
      <c r="K715" s="156"/>
      <c r="L715" s="159"/>
      <c r="M715" s="159"/>
      <c r="N715" s="159"/>
      <c r="O715" s="159"/>
      <c r="P715" s="159"/>
      <c r="Q715" s="160"/>
      <c r="R715" s="158"/>
      <c r="T715" s="160"/>
      <c r="U715" s="158"/>
      <c r="V715" s="161"/>
      <c r="W715" s="158"/>
      <c r="X715" s="158"/>
      <c r="Y715" s="158"/>
      <c r="Z715" s="157"/>
      <c r="AA715" s="162"/>
      <c r="AB715" s="157"/>
      <c r="AC715" s="156"/>
      <c r="AD715" s="163"/>
      <c r="AE715" s="156"/>
      <c r="AF715" s="164"/>
      <c r="AG715" s="156"/>
    </row>
    <row r="716" customFormat="false" ht="12.75" hidden="false" customHeight="true" outlineLevel="0" collapsed="false">
      <c r="D716" s="178"/>
      <c r="E716" s="178"/>
      <c r="F716" s="156"/>
      <c r="G716" s="157"/>
      <c r="H716" s="158"/>
      <c r="I716" s="158"/>
      <c r="J716" s="158"/>
      <c r="K716" s="156"/>
      <c r="L716" s="159"/>
      <c r="M716" s="159"/>
      <c r="N716" s="159"/>
      <c r="O716" s="159"/>
      <c r="P716" s="159"/>
      <c r="Q716" s="160"/>
      <c r="R716" s="158"/>
      <c r="T716" s="160"/>
      <c r="U716" s="158"/>
      <c r="V716" s="161"/>
      <c r="W716" s="158"/>
      <c r="X716" s="158"/>
      <c r="Y716" s="158"/>
      <c r="Z716" s="157"/>
      <c r="AA716" s="162"/>
      <c r="AB716" s="157"/>
      <c r="AC716" s="156"/>
      <c r="AD716" s="163"/>
      <c r="AE716" s="156"/>
      <c r="AF716" s="164"/>
      <c r="AG716" s="156"/>
    </row>
    <row r="717" s="166" customFormat="true" ht="22.5" hidden="false" customHeight="true" outlineLevel="0" collapsed="false">
      <c r="B717" s="11" t="s">
        <v>185</v>
      </c>
      <c r="C717" s="11" t="s">
        <v>784</v>
      </c>
      <c r="D717" s="167" t="n">
        <v>800100</v>
      </c>
      <c r="E717" s="167" t="s">
        <v>787</v>
      </c>
      <c r="F717" s="167" t="s">
        <v>258</v>
      </c>
      <c r="G717" s="168" t="s">
        <v>130</v>
      </c>
      <c r="H717" s="170" t="n">
        <v>4332</v>
      </c>
      <c r="I717" s="170" t="n">
        <f aca="false">H717</f>
        <v>4332</v>
      </c>
      <c r="J717" s="170" t="n">
        <v>4250</v>
      </c>
      <c r="K717" s="105" t="s">
        <v>427</v>
      </c>
      <c r="L717" s="171" t="n">
        <v>41789</v>
      </c>
      <c r="M717" s="171" t="n">
        <v>47267</v>
      </c>
      <c r="N717" s="171"/>
      <c r="O717" s="171" t="n">
        <v>45442</v>
      </c>
      <c r="P717" s="171"/>
      <c r="Q717" s="175" t="n">
        <v>255000</v>
      </c>
      <c r="R717" s="170" t="n">
        <f aca="false">Q717</f>
        <v>255000</v>
      </c>
      <c r="S717" s="9"/>
      <c r="T717" s="175" t="n">
        <v>290500</v>
      </c>
      <c r="U717" s="170" t="n">
        <f aca="false">T717</f>
        <v>290500</v>
      </c>
      <c r="V717" s="180" t="n">
        <v>255000</v>
      </c>
      <c r="W717" s="170" t="n">
        <f aca="false">V717</f>
        <v>255000</v>
      </c>
      <c r="X717" s="44" t="n">
        <f aca="false">T717/H717</f>
        <v>67.0590951061865</v>
      </c>
      <c r="Y717" s="170" t="s">
        <v>52</v>
      </c>
      <c r="Z717" s="181" t="s">
        <v>25</v>
      </c>
      <c r="AA717" s="182"/>
      <c r="AB717" s="175" t="s">
        <v>40</v>
      </c>
      <c r="AC717" s="167" t="s">
        <v>788</v>
      </c>
      <c r="AD717" s="176"/>
      <c r="AE717" s="167"/>
      <c r="AF717" s="177"/>
      <c r="AG717" s="167"/>
    </row>
    <row r="718" s="166" customFormat="true" ht="22.5" hidden="false" customHeight="true" outlineLevel="0" collapsed="false">
      <c r="B718" s="11" t="s">
        <v>185</v>
      </c>
      <c r="C718" s="11" t="s">
        <v>784</v>
      </c>
      <c r="D718" s="167" t="n">
        <v>800100</v>
      </c>
      <c r="E718" s="167" t="s">
        <v>787</v>
      </c>
      <c r="F718" s="167" t="s">
        <v>85</v>
      </c>
      <c r="G718" s="168" t="s">
        <v>86</v>
      </c>
      <c r="H718" s="170" t="n">
        <v>1818</v>
      </c>
      <c r="I718" s="170" t="n">
        <f aca="false">H718</f>
        <v>1818</v>
      </c>
      <c r="J718" s="170" t="n">
        <v>2000</v>
      </c>
      <c r="K718" s="105" t="s">
        <v>789</v>
      </c>
      <c r="L718" s="171" t="n">
        <v>44280</v>
      </c>
      <c r="M718" s="171" t="n">
        <v>46105</v>
      </c>
      <c r="N718" s="171"/>
      <c r="O718" s="171"/>
      <c r="P718" s="171"/>
      <c r="Q718" s="175" t="n">
        <v>83000</v>
      </c>
      <c r="R718" s="170" t="n">
        <f aca="false">Q718</f>
        <v>83000</v>
      </c>
      <c r="S718" s="9"/>
      <c r="T718" s="175" t="n">
        <v>111800</v>
      </c>
      <c r="U718" s="170" t="n">
        <f aca="false">T718</f>
        <v>111800</v>
      </c>
      <c r="V718" s="180" t="n">
        <v>118200</v>
      </c>
      <c r="W718" s="170" t="n">
        <f aca="false">V718</f>
        <v>118200</v>
      </c>
      <c r="X718" s="44" t="n">
        <f aca="false">T718/H718</f>
        <v>61.4961496149615</v>
      </c>
      <c r="Y718" s="170" t="s">
        <v>57</v>
      </c>
      <c r="Z718" s="181"/>
      <c r="AA718" s="182"/>
      <c r="AB718" s="175" t="s">
        <v>165</v>
      </c>
      <c r="AC718" s="167"/>
      <c r="AD718" s="176"/>
      <c r="AE718" s="167"/>
      <c r="AF718" s="177"/>
      <c r="AG718" s="167"/>
    </row>
    <row r="719" s="166" customFormat="true" ht="22.5" hidden="false" customHeight="true" outlineLevel="0" collapsed="false">
      <c r="B719" s="11" t="s">
        <v>185</v>
      </c>
      <c r="C719" s="11" t="s">
        <v>784</v>
      </c>
      <c r="D719" s="167" t="n">
        <v>800100</v>
      </c>
      <c r="E719" s="167" t="s">
        <v>787</v>
      </c>
      <c r="F719" s="167" t="s">
        <v>89</v>
      </c>
      <c r="G719" s="168" t="s">
        <v>86</v>
      </c>
      <c r="H719" s="170" t="n">
        <v>1829</v>
      </c>
      <c r="I719" s="170" t="n">
        <f aca="false">H719</f>
        <v>1829</v>
      </c>
      <c r="J719" s="170" t="n">
        <v>2000</v>
      </c>
      <c r="K719" s="105" t="s">
        <v>790</v>
      </c>
      <c r="L719" s="171" t="n">
        <v>45715</v>
      </c>
      <c r="M719" s="171" t="n">
        <v>47540</v>
      </c>
      <c r="N719" s="171"/>
      <c r="O719" s="171"/>
      <c r="P719" s="171" t="n">
        <v>46809</v>
      </c>
      <c r="Q719" s="175" t="n">
        <v>120700</v>
      </c>
      <c r="R719" s="170" t="n">
        <f aca="false">Q719</f>
        <v>120700</v>
      </c>
      <c r="S719" s="9"/>
      <c r="T719" s="175" t="n">
        <v>112500</v>
      </c>
      <c r="U719" s="170" t="n">
        <f aca="false">T719</f>
        <v>112500</v>
      </c>
      <c r="V719" s="180" t="n">
        <v>118900</v>
      </c>
      <c r="W719" s="170" t="n">
        <f aca="false">V719</f>
        <v>118900</v>
      </c>
      <c r="X719" s="44" t="n">
        <f aca="false">T719/H719</f>
        <v>61.5090213231274</v>
      </c>
      <c r="Y719" s="170" t="s">
        <v>57</v>
      </c>
      <c r="Z719" s="181"/>
      <c r="AA719" s="182"/>
      <c r="AB719" s="175" t="s">
        <v>40</v>
      </c>
      <c r="AC719" s="167" t="s">
        <v>558</v>
      </c>
      <c r="AD719" s="176"/>
      <c r="AE719" s="167"/>
      <c r="AF719" s="177"/>
      <c r="AG719" s="167"/>
    </row>
    <row r="720" s="166" customFormat="true" ht="22.5" hidden="false" customHeight="true" outlineLevel="0" collapsed="false">
      <c r="B720" s="11" t="s">
        <v>185</v>
      </c>
      <c r="C720" s="11" t="s">
        <v>784</v>
      </c>
      <c r="D720" s="167" t="n">
        <v>800100</v>
      </c>
      <c r="E720" s="167" t="s">
        <v>787</v>
      </c>
      <c r="F720" s="167" t="s">
        <v>90</v>
      </c>
      <c r="G720" s="168" t="s">
        <v>86</v>
      </c>
      <c r="H720" s="170" t="n">
        <v>1837</v>
      </c>
      <c r="I720" s="170" t="n">
        <f aca="false">H720</f>
        <v>1837</v>
      </c>
      <c r="J720" s="170" t="n">
        <v>2000</v>
      </c>
      <c r="K720" s="105" t="s">
        <v>791</v>
      </c>
      <c r="L720" s="171" t="n">
        <v>44900</v>
      </c>
      <c r="M720" s="171" t="n">
        <v>46725</v>
      </c>
      <c r="N720" s="171"/>
      <c r="O720" s="171"/>
      <c r="P720" s="171" t="n">
        <v>45995</v>
      </c>
      <c r="Q720" s="175" t="n">
        <v>115731</v>
      </c>
      <c r="R720" s="170" t="n">
        <f aca="false">Q720</f>
        <v>115731</v>
      </c>
      <c r="S720" s="9"/>
      <c r="T720" s="175" t="n">
        <v>116600</v>
      </c>
      <c r="U720" s="170" t="n">
        <f aca="false">T720</f>
        <v>116600</v>
      </c>
      <c r="V720" s="180" t="n">
        <v>123100</v>
      </c>
      <c r="W720" s="170" t="n">
        <f aca="false">V720</f>
        <v>123100</v>
      </c>
      <c r="X720" s="44" t="n">
        <f aca="false">T720/H720</f>
        <v>63.4730538922156</v>
      </c>
      <c r="Y720" s="170" t="s">
        <v>39</v>
      </c>
      <c r="Z720" s="181"/>
      <c r="AA720" s="182"/>
      <c r="AB720" s="175" t="s">
        <v>40</v>
      </c>
      <c r="AC720" s="167" t="s">
        <v>792</v>
      </c>
      <c r="AD720" s="176"/>
      <c r="AE720" s="167"/>
      <c r="AF720" s="177"/>
      <c r="AG720" s="167"/>
    </row>
    <row r="721" s="166" customFormat="true" ht="22.5" hidden="false" customHeight="true" outlineLevel="0" collapsed="false">
      <c r="B721" s="11" t="s">
        <v>185</v>
      </c>
      <c r="C721" s="11" t="s">
        <v>784</v>
      </c>
      <c r="D721" s="167" t="n">
        <v>800100</v>
      </c>
      <c r="E721" s="167" t="s">
        <v>787</v>
      </c>
      <c r="F721" s="167" t="s">
        <v>114</v>
      </c>
      <c r="G721" s="168" t="s">
        <v>86</v>
      </c>
      <c r="H721" s="170" t="n">
        <v>1815</v>
      </c>
      <c r="I721" s="170" t="n">
        <f aca="false">H721</f>
        <v>1815</v>
      </c>
      <c r="J721" s="170" t="n">
        <v>2000</v>
      </c>
      <c r="K721" s="105" t="s">
        <v>793</v>
      </c>
      <c r="L721" s="171" t="n">
        <v>44627</v>
      </c>
      <c r="M721" s="171" t="n">
        <v>46452</v>
      </c>
      <c r="N721" s="171"/>
      <c r="O721" s="171"/>
      <c r="P721" s="171"/>
      <c r="Q721" s="175" t="n">
        <v>149742</v>
      </c>
      <c r="R721" s="170" t="n">
        <f aca="false">Q721</f>
        <v>149742</v>
      </c>
      <c r="S721" s="9"/>
      <c r="T721" s="175" t="n">
        <v>115300</v>
      </c>
      <c r="U721" s="170" t="n">
        <f aca="false">T721</f>
        <v>115300</v>
      </c>
      <c r="V721" s="180" t="n">
        <v>121600</v>
      </c>
      <c r="W721" s="170" t="n">
        <f aca="false">V721</f>
        <v>121600</v>
      </c>
      <c r="X721" s="44" t="n">
        <f aca="false">T721/H721</f>
        <v>63.5261707988981</v>
      </c>
      <c r="Y721" s="170" t="s">
        <v>39</v>
      </c>
      <c r="Z721" s="181"/>
      <c r="AA721" s="182"/>
      <c r="AB721" s="175" t="s">
        <v>40</v>
      </c>
      <c r="AC721" s="167" t="s">
        <v>794</v>
      </c>
      <c r="AD721" s="176"/>
      <c r="AE721" s="167"/>
      <c r="AF721" s="177"/>
      <c r="AG721" s="167"/>
    </row>
    <row r="722" s="166" customFormat="true" ht="22.5" hidden="false" customHeight="true" outlineLevel="0" collapsed="false">
      <c r="B722" s="11" t="s">
        <v>185</v>
      </c>
      <c r="C722" s="11" t="s">
        <v>784</v>
      </c>
      <c r="D722" s="167" t="n">
        <v>800100</v>
      </c>
      <c r="E722" s="167" t="s">
        <v>787</v>
      </c>
      <c r="F722" s="167" t="s">
        <v>176</v>
      </c>
      <c r="G722" s="168" t="s">
        <v>86</v>
      </c>
      <c r="H722" s="170" t="n">
        <v>1815</v>
      </c>
      <c r="I722" s="170" t="n">
        <f aca="false">H722</f>
        <v>1815</v>
      </c>
      <c r="J722" s="170" t="n">
        <v>2000</v>
      </c>
      <c r="K722" s="105" t="s">
        <v>795</v>
      </c>
      <c r="L722" s="171" t="n">
        <v>45408</v>
      </c>
      <c r="M722" s="171" t="n">
        <v>47233</v>
      </c>
      <c r="N722" s="171"/>
      <c r="O722" s="171"/>
      <c r="P722" s="171"/>
      <c r="Q722" s="175" t="n">
        <v>122513</v>
      </c>
      <c r="R722" s="170" t="n">
        <f aca="false">Q722</f>
        <v>122513</v>
      </c>
      <c r="S722" s="9"/>
      <c r="T722" s="175" t="n">
        <v>115300</v>
      </c>
      <c r="U722" s="170" t="n">
        <f aca="false">T722</f>
        <v>115300</v>
      </c>
      <c r="V722" s="180" t="n">
        <v>121600</v>
      </c>
      <c r="W722" s="170" t="n">
        <f aca="false">V722</f>
        <v>121600</v>
      </c>
      <c r="X722" s="44" t="n">
        <f aca="false">T722/H722</f>
        <v>63.5261707988981</v>
      </c>
      <c r="Y722" s="170" t="s">
        <v>57</v>
      </c>
      <c r="Z722" s="181"/>
      <c r="AA722" s="180"/>
      <c r="AB722" s="175" t="s">
        <v>40</v>
      </c>
      <c r="AC722" s="167"/>
      <c r="AD722" s="176"/>
      <c r="AE722" s="167"/>
      <c r="AF722" s="177"/>
      <c r="AG722" s="167"/>
    </row>
    <row r="723" s="166" customFormat="true" ht="22.5" hidden="false" customHeight="true" outlineLevel="0" collapsed="false">
      <c r="B723" s="11" t="s">
        <v>185</v>
      </c>
      <c r="C723" s="11" t="s">
        <v>784</v>
      </c>
      <c r="D723" s="167" t="n">
        <v>800100</v>
      </c>
      <c r="E723" s="167" t="s">
        <v>787</v>
      </c>
      <c r="F723" s="167" t="s">
        <v>378</v>
      </c>
      <c r="G723" s="168" t="s">
        <v>86</v>
      </c>
      <c r="H723" s="170" t="n">
        <v>790</v>
      </c>
      <c r="I723" s="170" t="n">
        <f aca="false">H723</f>
        <v>790</v>
      </c>
      <c r="J723" s="170" t="n">
        <v>750</v>
      </c>
      <c r="K723" s="105" t="s">
        <v>796</v>
      </c>
      <c r="L723" s="171" t="n">
        <v>44442</v>
      </c>
      <c r="M723" s="171" t="n">
        <v>46267</v>
      </c>
      <c r="N723" s="171"/>
      <c r="O723" s="171"/>
      <c r="P723" s="171"/>
      <c r="Q723" s="175" t="n">
        <v>41080</v>
      </c>
      <c r="R723" s="170" t="n">
        <f aca="false">Q723</f>
        <v>41080</v>
      </c>
      <c r="S723" s="9"/>
      <c r="T723" s="175" t="n">
        <v>46200</v>
      </c>
      <c r="U723" s="170" t="n">
        <f aca="false">T723</f>
        <v>46200</v>
      </c>
      <c r="V723" s="180" t="n">
        <v>48600</v>
      </c>
      <c r="W723" s="170" t="n">
        <f aca="false">V723</f>
        <v>48600</v>
      </c>
      <c r="X723" s="44" t="n">
        <f aca="false">T723/H723</f>
        <v>58.4810126582279</v>
      </c>
      <c r="Y723" s="170" t="s">
        <v>123</v>
      </c>
      <c r="Z723" s="181"/>
      <c r="AA723" s="182"/>
      <c r="AB723" s="175" t="s">
        <v>40</v>
      </c>
      <c r="AC723" s="167"/>
      <c r="AD723" s="176"/>
      <c r="AE723" s="167"/>
      <c r="AF723" s="177"/>
      <c r="AG723" s="167"/>
    </row>
    <row r="724" s="166" customFormat="true" ht="22.5" hidden="false" customHeight="true" outlineLevel="0" collapsed="false">
      <c r="B724" s="11" t="s">
        <v>185</v>
      </c>
      <c r="C724" s="11" t="s">
        <v>784</v>
      </c>
      <c r="D724" s="167" t="n">
        <v>800100</v>
      </c>
      <c r="E724" s="167" t="s">
        <v>787</v>
      </c>
      <c r="F724" s="167" t="s">
        <v>797</v>
      </c>
      <c r="G724" s="183" t="s">
        <v>419</v>
      </c>
      <c r="H724" s="170" t="n">
        <v>0</v>
      </c>
      <c r="I724" s="170" t="n">
        <f aca="false">H724</f>
        <v>0</v>
      </c>
      <c r="J724" s="170"/>
      <c r="K724" s="105" t="s">
        <v>164</v>
      </c>
      <c r="L724" s="171" t="n">
        <v>42552</v>
      </c>
      <c r="M724" s="171" t="n">
        <v>47267</v>
      </c>
      <c r="N724" s="171"/>
      <c r="O724" s="171" t="n">
        <v>46204</v>
      </c>
      <c r="P724" s="171"/>
      <c r="Q724" s="175" t="n">
        <v>1160</v>
      </c>
      <c r="R724" s="170" t="n">
        <f aca="false">Q724</f>
        <v>1160</v>
      </c>
      <c r="S724" s="9"/>
      <c r="T724" s="175" t="n">
        <v>1160</v>
      </c>
      <c r="U724" s="170" t="n">
        <f aca="false">T724</f>
        <v>1160</v>
      </c>
      <c r="V724" s="180" t="n">
        <v>1160</v>
      </c>
      <c r="W724" s="170" t="n">
        <f aca="false">V724</f>
        <v>1160</v>
      </c>
      <c r="X724" s="44"/>
      <c r="Y724" s="170"/>
      <c r="Z724" s="181"/>
      <c r="AA724" s="182"/>
      <c r="AB724" s="175" t="s">
        <v>165</v>
      </c>
      <c r="AC724" s="167" t="s">
        <v>798</v>
      </c>
      <c r="AD724" s="176"/>
      <c r="AE724" s="167"/>
      <c r="AF724" s="177"/>
      <c r="AG724" s="167"/>
    </row>
    <row r="725" customFormat="false" ht="12.75" hidden="false" customHeight="true" outlineLevel="0" collapsed="false">
      <c r="D725" s="178"/>
      <c r="E725" s="178"/>
      <c r="F725" s="156"/>
      <c r="G725" s="157"/>
      <c r="H725" s="158"/>
      <c r="I725" s="184"/>
      <c r="J725" s="184"/>
      <c r="K725" s="185"/>
      <c r="L725" s="186"/>
      <c r="M725" s="186"/>
      <c r="N725" s="186"/>
      <c r="O725" s="186"/>
      <c r="P725" s="186"/>
      <c r="Q725" s="187"/>
      <c r="R725" s="187"/>
      <c r="T725" s="187"/>
      <c r="U725" s="188"/>
      <c r="V725" s="189"/>
      <c r="W725" s="188"/>
      <c r="X725" s="188"/>
      <c r="Y725" s="188"/>
      <c r="Z725" s="157"/>
      <c r="AA725" s="162"/>
      <c r="AB725" s="157"/>
      <c r="AC725" s="178"/>
      <c r="AD725" s="190"/>
      <c r="AE725" s="178"/>
      <c r="AF725" s="191"/>
      <c r="AG725" s="178"/>
    </row>
    <row r="726" s="192" customFormat="true" ht="11.25" hidden="false" customHeight="true" outlineLevel="0" collapsed="false">
      <c r="D726" s="167"/>
      <c r="E726" s="167"/>
      <c r="F726" s="193"/>
      <c r="G726" s="194"/>
      <c r="H726" s="169" t="n">
        <f aca="false">SUM(H717:H724)</f>
        <v>14236</v>
      </c>
      <c r="I726" s="169"/>
      <c r="J726" s="169"/>
      <c r="K726" s="195"/>
      <c r="L726" s="196"/>
      <c r="M726" s="196"/>
      <c r="N726" s="196"/>
      <c r="O726" s="196"/>
      <c r="P726" s="196"/>
      <c r="Q726" s="169" t="n">
        <f aca="false">SUM(Q717:Q724)</f>
        <v>888926</v>
      </c>
      <c r="R726" s="169"/>
      <c r="T726" s="169" t="n">
        <f aca="false">SUM(T717:T724)</f>
        <v>909360</v>
      </c>
      <c r="U726" s="170"/>
      <c r="V726" s="174" t="n">
        <f aca="false">SUM(V717:V724)</f>
        <v>908160</v>
      </c>
      <c r="W726" s="170"/>
      <c r="X726" s="170"/>
      <c r="Y726" s="170"/>
      <c r="Z726" s="197"/>
      <c r="AA726" s="174" t="n">
        <v>13500000</v>
      </c>
      <c r="AB726" s="197"/>
      <c r="AC726" s="4"/>
      <c r="AD726" s="15"/>
      <c r="AE726" s="58"/>
      <c r="AF726" s="59"/>
      <c r="AG726" s="58"/>
    </row>
    <row r="727" customFormat="false" ht="12.75" hidden="false" customHeight="true" outlineLevel="0" collapsed="false">
      <c r="D727" s="178"/>
      <c r="E727" s="178"/>
      <c r="F727" s="156"/>
      <c r="G727" s="157"/>
      <c r="H727" s="158"/>
      <c r="I727" s="184"/>
      <c r="J727" s="184"/>
      <c r="K727" s="185"/>
      <c r="L727" s="159"/>
      <c r="M727" s="159"/>
      <c r="N727" s="159"/>
      <c r="O727" s="159"/>
      <c r="P727" s="159"/>
      <c r="Q727" s="160"/>
      <c r="R727" s="160"/>
      <c r="T727" s="160"/>
      <c r="U727" s="188"/>
      <c r="V727" s="161"/>
      <c r="W727" s="188"/>
      <c r="X727" s="188"/>
      <c r="Y727" s="188"/>
      <c r="Z727" s="157"/>
      <c r="AA727" s="162"/>
      <c r="AB727" s="157"/>
      <c r="AC727" s="178"/>
      <c r="AD727" s="190"/>
      <c r="AE727" s="178"/>
      <c r="AF727" s="191"/>
      <c r="AG727" s="178"/>
    </row>
    <row r="728" customFormat="false" ht="12.75" hidden="false" customHeight="true" outlineLevel="0" collapsed="false">
      <c r="D728" s="178"/>
      <c r="E728" s="178"/>
      <c r="F728" s="156"/>
      <c r="G728" s="157"/>
      <c r="H728" s="158"/>
      <c r="I728" s="184"/>
      <c r="J728" s="184"/>
      <c r="K728" s="185"/>
      <c r="L728" s="159"/>
      <c r="M728" s="159"/>
      <c r="N728" s="159"/>
      <c r="O728" s="159"/>
      <c r="P728" s="159"/>
      <c r="Q728" s="160"/>
      <c r="R728" s="160"/>
      <c r="T728" s="160"/>
      <c r="U728" s="188"/>
      <c r="V728" s="161"/>
      <c r="W728" s="188"/>
      <c r="X728" s="188"/>
      <c r="Y728" s="188"/>
      <c r="Z728" s="157"/>
      <c r="AA728" s="162"/>
      <c r="AB728" s="157"/>
      <c r="AC728" s="178"/>
      <c r="AD728" s="190"/>
      <c r="AE728" s="178"/>
      <c r="AF728" s="191"/>
      <c r="AG728" s="178"/>
    </row>
    <row r="729" customFormat="false" ht="12.75" hidden="false" customHeight="true" outlineLevel="0" collapsed="false">
      <c r="D729" s="178"/>
      <c r="E729" s="178"/>
      <c r="F729" s="156"/>
      <c r="G729" s="165" t="s">
        <v>799</v>
      </c>
      <c r="H729" s="158"/>
      <c r="I729" s="184"/>
      <c r="J729" s="184"/>
      <c r="K729" s="185"/>
      <c r="L729" s="159"/>
      <c r="M729" s="159"/>
      <c r="N729" s="159"/>
      <c r="O729" s="159"/>
      <c r="P729" s="159"/>
      <c r="Q729" s="160"/>
      <c r="R729" s="160"/>
      <c r="T729" s="160"/>
      <c r="U729" s="188"/>
      <c r="V729" s="161"/>
      <c r="W729" s="188"/>
      <c r="X729" s="188"/>
      <c r="Y729" s="188"/>
      <c r="Z729" s="157"/>
      <c r="AA729" s="162"/>
      <c r="AB729" s="157"/>
      <c r="AC729" s="178"/>
      <c r="AD729" s="190"/>
      <c r="AE729" s="178"/>
      <c r="AF729" s="191"/>
      <c r="AG729" s="178"/>
    </row>
    <row r="730" customFormat="false" ht="12.75" hidden="false" customHeight="true" outlineLevel="0" collapsed="false">
      <c r="D730" s="178"/>
      <c r="E730" s="178"/>
      <c r="F730" s="156"/>
      <c r="G730" s="157"/>
      <c r="H730" s="158"/>
      <c r="I730" s="184"/>
      <c r="J730" s="184"/>
      <c r="K730" s="185"/>
      <c r="L730" s="159"/>
      <c r="M730" s="159"/>
      <c r="N730" s="159"/>
      <c r="O730" s="159"/>
      <c r="P730" s="159"/>
      <c r="Q730" s="160"/>
      <c r="R730" s="160"/>
      <c r="T730" s="160"/>
      <c r="U730" s="188"/>
      <c r="V730" s="161"/>
      <c r="W730" s="188"/>
      <c r="X730" s="188"/>
      <c r="Y730" s="188"/>
      <c r="Z730" s="157"/>
      <c r="AA730" s="162"/>
      <c r="AB730" s="157"/>
      <c r="AC730" s="178"/>
      <c r="AD730" s="190"/>
      <c r="AE730" s="178"/>
      <c r="AF730" s="191"/>
      <c r="AG730" s="178"/>
    </row>
    <row r="731" s="166" customFormat="true" ht="11.25" hidden="false" customHeight="true" outlineLevel="0" collapsed="false">
      <c r="B731" s="11" t="s">
        <v>185</v>
      </c>
      <c r="C731" s="11" t="s">
        <v>784</v>
      </c>
      <c r="D731" s="167" t="n">
        <v>800400</v>
      </c>
      <c r="E731" s="167" t="s">
        <v>799</v>
      </c>
      <c r="F731" s="167" t="s">
        <v>36</v>
      </c>
      <c r="G731" s="168" t="s">
        <v>785</v>
      </c>
      <c r="H731" s="169" t="n">
        <v>2598</v>
      </c>
      <c r="I731" s="170" t="n">
        <f aca="false">H731</f>
        <v>2598</v>
      </c>
      <c r="J731" s="170" t="n">
        <v>2500</v>
      </c>
      <c r="K731" s="105" t="s">
        <v>800</v>
      </c>
      <c r="L731" s="171" t="n">
        <v>43070</v>
      </c>
      <c r="M731" s="171" t="n">
        <v>46721</v>
      </c>
      <c r="N731" s="171"/>
      <c r="O731" s="171" t="n">
        <v>44896</v>
      </c>
      <c r="P731" s="171"/>
      <c r="Q731" s="169" t="n">
        <v>155000</v>
      </c>
      <c r="R731" s="169" t="n">
        <f aca="false">Q731</f>
        <v>155000</v>
      </c>
      <c r="S731" s="9"/>
      <c r="T731" s="169" t="n">
        <v>118500</v>
      </c>
      <c r="U731" s="170" t="n">
        <f aca="false">T731</f>
        <v>118500</v>
      </c>
      <c r="V731" s="174" t="n">
        <v>142400</v>
      </c>
      <c r="W731" s="170" t="n">
        <f aca="false">V731</f>
        <v>142400</v>
      </c>
      <c r="X731" s="170"/>
      <c r="Y731" s="170" t="s">
        <v>453</v>
      </c>
      <c r="Z731" s="198"/>
      <c r="AA731" s="174" t="n">
        <v>2300000</v>
      </c>
      <c r="AB731" s="175" t="s">
        <v>40</v>
      </c>
      <c r="AC731" s="4"/>
      <c r="AD731" s="15"/>
      <c r="AE731" s="58"/>
      <c r="AF731" s="59"/>
      <c r="AG731" s="58"/>
    </row>
    <row r="732" customFormat="false" ht="12.75" hidden="false" customHeight="true" outlineLevel="0" collapsed="false">
      <c r="F732" s="178"/>
      <c r="G732" s="157"/>
      <c r="H732" s="199"/>
      <c r="I732" s="200"/>
      <c r="J732" s="200"/>
      <c r="K732" s="185"/>
      <c r="L732" s="159"/>
      <c r="M732" s="159"/>
      <c r="N732" s="159"/>
      <c r="O732" s="159"/>
      <c r="P732" s="159"/>
      <c r="Q732" s="160"/>
      <c r="R732" s="160"/>
      <c r="T732" s="160"/>
      <c r="U732" s="160"/>
      <c r="V732" s="161"/>
      <c r="W732" s="160"/>
      <c r="X732" s="160"/>
      <c r="Y732" s="160"/>
      <c r="Z732" s="157"/>
      <c r="AA732" s="201"/>
      <c r="AB732" s="157"/>
      <c r="AC732" s="178"/>
      <c r="AD732" s="190"/>
      <c r="AE732" s="178"/>
      <c r="AF732" s="191"/>
      <c r="AG732" s="178"/>
    </row>
    <row r="733" customFormat="false" ht="12.75" hidden="false" customHeight="true" outlineLevel="0" collapsed="false">
      <c r="F733" s="156"/>
      <c r="G733" s="157"/>
      <c r="H733" s="158"/>
      <c r="I733" s="158"/>
      <c r="J733" s="158"/>
      <c r="K733" s="185"/>
      <c r="L733" s="159"/>
      <c r="M733" s="159"/>
      <c r="N733" s="159"/>
      <c r="O733" s="159"/>
      <c r="P733" s="159"/>
      <c r="Q733" s="160"/>
      <c r="R733" s="160"/>
      <c r="T733" s="160"/>
      <c r="U733" s="160"/>
      <c r="V733" s="161"/>
      <c r="W733" s="160"/>
      <c r="X733" s="160"/>
      <c r="Y733" s="160"/>
      <c r="Z733" s="157"/>
      <c r="AA733" s="162"/>
      <c r="AB733" s="157"/>
      <c r="AC733" s="178"/>
      <c r="AD733" s="190"/>
      <c r="AE733" s="178"/>
      <c r="AF733" s="191"/>
      <c r="AG733" s="178"/>
    </row>
    <row r="734" customFormat="false" ht="12.75" hidden="false" customHeight="true" outlineLevel="0" collapsed="false">
      <c r="F734" s="156"/>
      <c r="G734" s="165" t="s">
        <v>801</v>
      </c>
      <c r="H734" s="158"/>
      <c r="I734" s="158"/>
      <c r="J734" s="158"/>
      <c r="K734" s="185"/>
      <c r="L734" s="159"/>
      <c r="M734" s="159"/>
      <c r="N734" s="159"/>
      <c r="O734" s="159"/>
      <c r="P734" s="159"/>
      <c r="Q734" s="160"/>
      <c r="R734" s="160"/>
      <c r="T734" s="160"/>
      <c r="U734" s="160"/>
      <c r="V734" s="161"/>
      <c r="W734" s="160"/>
      <c r="X734" s="160"/>
      <c r="Y734" s="160"/>
      <c r="Z734" s="157"/>
      <c r="AA734" s="162"/>
      <c r="AB734" s="157"/>
      <c r="AC734" s="178"/>
      <c r="AD734" s="190"/>
      <c r="AE734" s="178"/>
      <c r="AF734" s="191"/>
      <c r="AG734" s="178"/>
    </row>
    <row r="735" customFormat="false" ht="12.75" hidden="false" customHeight="true" outlineLevel="0" collapsed="false">
      <c r="F735" s="156"/>
      <c r="G735" s="157"/>
      <c r="H735" s="158"/>
      <c r="I735" s="200"/>
      <c r="J735" s="200"/>
      <c r="K735" s="185"/>
      <c r="L735" s="159"/>
      <c r="M735" s="159"/>
      <c r="N735" s="159"/>
      <c r="O735" s="159"/>
      <c r="P735" s="159"/>
      <c r="Q735" s="160"/>
      <c r="R735" s="160"/>
      <c r="T735" s="160"/>
      <c r="U735" s="160"/>
      <c r="V735" s="161"/>
      <c r="W735" s="160"/>
      <c r="X735" s="160"/>
      <c r="Y735" s="160"/>
      <c r="Z735" s="157"/>
      <c r="AA735" s="162"/>
      <c r="AB735" s="157"/>
      <c r="AC735" s="178"/>
      <c r="AD735" s="190"/>
      <c r="AE735" s="178"/>
      <c r="AF735" s="191"/>
      <c r="AG735" s="178"/>
    </row>
    <row r="736" s="192" customFormat="true" ht="11.25" hidden="false" customHeight="true" outlineLevel="0" collapsed="false">
      <c r="B736" s="11" t="s">
        <v>228</v>
      </c>
      <c r="C736" s="11" t="s">
        <v>784</v>
      </c>
      <c r="D736" s="167" t="n">
        <v>800300</v>
      </c>
      <c r="E736" s="167" t="s">
        <v>801</v>
      </c>
      <c r="F736" s="167" t="s">
        <v>36</v>
      </c>
      <c r="G736" s="202" t="s">
        <v>86</v>
      </c>
      <c r="H736" s="169" t="n">
        <v>19812</v>
      </c>
      <c r="I736" s="203" t="n">
        <f aca="false">H736</f>
        <v>19812</v>
      </c>
      <c r="J736" s="203" t="n">
        <v>20000</v>
      </c>
      <c r="K736" s="105" t="s">
        <v>802</v>
      </c>
      <c r="L736" s="171" t="n">
        <v>44986</v>
      </c>
      <c r="M736" s="171" t="n">
        <v>50464</v>
      </c>
      <c r="N736" s="171"/>
      <c r="O736" s="171" t="n">
        <v>46813</v>
      </c>
      <c r="P736" s="171"/>
      <c r="Q736" s="172" t="n">
        <v>729167</v>
      </c>
      <c r="R736" s="170" t="n">
        <f aca="false">Q736</f>
        <v>729167</v>
      </c>
      <c r="T736" s="172" t="n">
        <v>1250000</v>
      </c>
      <c r="U736" s="170" t="n">
        <f aca="false">T736</f>
        <v>1250000</v>
      </c>
      <c r="V736" s="173" t="n">
        <v>1305000</v>
      </c>
      <c r="W736" s="170" t="n">
        <f aca="false">V736</f>
        <v>1305000</v>
      </c>
      <c r="X736" s="170"/>
      <c r="Y736" s="170" t="s">
        <v>52</v>
      </c>
      <c r="Z736" s="204"/>
      <c r="AA736" s="174" t="n">
        <v>22350000</v>
      </c>
      <c r="AB736" s="175" t="s">
        <v>40</v>
      </c>
      <c r="AC736" s="167" t="s">
        <v>803</v>
      </c>
      <c r="AD736" s="176"/>
      <c r="AE736" s="167"/>
      <c r="AF736" s="177"/>
      <c r="AG736" s="167"/>
    </row>
    <row r="737" customFormat="false" ht="12.75" hidden="false" customHeight="true" outlineLevel="0" collapsed="false">
      <c r="F737" s="178"/>
      <c r="G737" s="179"/>
      <c r="H737" s="188"/>
      <c r="I737" s="205"/>
      <c r="J737" s="205"/>
      <c r="K737" s="185"/>
      <c r="L737" s="206"/>
      <c r="M737" s="206"/>
      <c r="N737" s="206"/>
      <c r="O737" s="206"/>
      <c r="P737" s="206"/>
      <c r="Q737" s="207"/>
      <c r="R737" s="207"/>
      <c r="T737" s="207"/>
      <c r="U737" s="207"/>
      <c r="V737" s="208"/>
      <c r="W737" s="207"/>
      <c r="X737" s="207"/>
      <c r="Y737" s="207"/>
      <c r="Z737" s="209"/>
      <c r="AA737" s="210"/>
      <c r="AB737" s="209"/>
      <c r="AC737" s="178"/>
      <c r="AD737" s="190"/>
      <c r="AE737" s="178"/>
      <c r="AF737" s="191"/>
      <c r="AG737" s="178"/>
    </row>
    <row r="738" customFormat="false" ht="12.75" hidden="false" customHeight="true" outlineLevel="0" collapsed="false">
      <c r="F738" s="178"/>
      <c r="G738" s="179"/>
      <c r="H738" s="188"/>
      <c r="I738" s="205"/>
      <c r="J738" s="205"/>
      <c r="K738" s="185"/>
      <c r="L738" s="206"/>
      <c r="M738" s="206"/>
      <c r="N738" s="206"/>
      <c r="O738" s="206"/>
      <c r="P738" s="206"/>
      <c r="Q738" s="207"/>
      <c r="R738" s="207"/>
      <c r="T738" s="207"/>
      <c r="U738" s="207"/>
      <c r="V738" s="208"/>
      <c r="W738" s="207"/>
      <c r="X738" s="207"/>
      <c r="Y738" s="207"/>
      <c r="Z738" s="209"/>
      <c r="AA738" s="210"/>
      <c r="AB738" s="209"/>
      <c r="AC738" s="178"/>
      <c r="AD738" s="190"/>
      <c r="AE738" s="178"/>
      <c r="AF738" s="191"/>
      <c r="AG738" s="178"/>
    </row>
    <row r="739" customFormat="false" ht="12.75" hidden="false" customHeight="true" outlineLevel="0" collapsed="false">
      <c r="F739" s="178"/>
      <c r="G739" s="165" t="s">
        <v>804</v>
      </c>
      <c r="H739" s="188"/>
      <c r="I739" s="205"/>
      <c r="J739" s="205"/>
      <c r="K739" s="185"/>
      <c r="L739" s="206"/>
      <c r="M739" s="206"/>
      <c r="N739" s="206"/>
      <c r="O739" s="206"/>
      <c r="P739" s="206"/>
      <c r="Q739" s="207"/>
      <c r="R739" s="207"/>
      <c r="T739" s="207"/>
      <c r="U739" s="207"/>
      <c r="V739" s="208"/>
      <c r="W739" s="207"/>
      <c r="X739" s="207"/>
      <c r="Y739" s="207"/>
      <c r="Z739" s="209"/>
      <c r="AA739" s="210"/>
      <c r="AB739" s="209"/>
      <c r="AC739" s="178"/>
      <c r="AD739" s="190"/>
      <c r="AE739" s="178"/>
      <c r="AF739" s="191"/>
      <c r="AG739" s="178"/>
    </row>
    <row r="740" customFormat="false" ht="12.75" hidden="false" customHeight="true" outlineLevel="0" collapsed="false">
      <c r="F740" s="178"/>
      <c r="G740" s="179"/>
      <c r="H740" s="188"/>
      <c r="I740" s="205"/>
      <c r="J740" s="205"/>
      <c r="K740" s="185"/>
      <c r="L740" s="206"/>
      <c r="M740" s="206"/>
      <c r="N740" s="206"/>
      <c r="O740" s="206"/>
      <c r="P740" s="206"/>
      <c r="Q740" s="207"/>
      <c r="R740" s="207"/>
      <c r="T740" s="207"/>
      <c r="U740" s="207"/>
      <c r="V740" s="208"/>
      <c r="W740" s="207"/>
      <c r="X740" s="207"/>
      <c r="Y740" s="207"/>
      <c r="Z740" s="209"/>
      <c r="AA740" s="210"/>
      <c r="AB740" s="209"/>
      <c r="AC740" s="178"/>
      <c r="AD740" s="190"/>
      <c r="AE740" s="178"/>
      <c r="AF740" s="191"/>
      <c r="AG740" s="178"/>
    </row>
    <row r="741" s="166" customFormat="true" ht="23.25" hidden="false" customHeight="true" outlineLevel="0" collapsed="false">
      <c r="B741" s="11" t="s">
        <v>102</v>
      </c>
      <c r="C741" s="11" t="s">
        <v>784</v>
      </c>
      <c r="D741" s="167" t="n">
        <v>800500</v>
      </c>
      <c r="E741" s="167" t="s">
        <v>804</v>
      </c>
      <c r="F741" s="167" t="s">
        <v>169</v>
      </c>
      <c r="G741" s="168" t="s">
        <v>229</v>
      </c>
      <c r="H741" s="170" t="n">
        <v>1582</v>
      </c>
      <c r="I741" s="203" t="n">
        <f aca="false">H741</f>
        <v>1582</v>
      </c>
      <c r="J741" s="203" t="n">
        <v>1500</v>
      </c>
      <c r="K741" s="105" t="s">
        <v>805</v>
      </c>
      <c r="L741" s="171" t="n">
        <v>43514</v>
      </c>
      <c r="M741" s="171" t="n">
        <v>46982</v>
      </c>
      <c r="N741" s="171"/>
      <c r="O741" s="171" t="n">
        <v>45340</v>
      </c>
      <c r="P741" s="171"/>
      <c r="Q741" s="175" t="n">
        <v>70000</v>
      </c>
      <c r="R741" s="170" t="n">
        <f aca="false">Q741</f>
        <v>70000</v>
      </c>
      <c r="S741" s="9"/>
      <c r="T741" s="175" t="n">
        <v>63300</v>
      </c>
      <c r="U741" s="170" t="n">
        <f aca="false">T741</f>
        <v>63300</v>
      </c>
      <c r="V741" s="180" t="n">
        <v>63300</v>
      </c>
      <c r="W741" s="170" t="n">
        <f aca="false">V741</f>
        <v>63300</v>
      </c>
      <c r="X741" s="44" t="n">
        <f aca="false">T741/H741</f>
        <v>40.0126422250316</v>
      </c>
      <c r="Y741" s="170" t="s">
        <v>39</v>
      </c>
      <c r="Z741" s="204"/>
      <c r="AA741" s="174"/>
      <c r="AB741" s="175" t="s">
        <v>40</v>
      </c>
      <c r="AC741" s="167"/>
      <c r="AD741" s="176"/>
      <c r="AE741" s="167"/>
      <c r="AF741" s="177"/>
      <c r="AG741" s="167"/>
    </row>
    <row r="742" s="166" customFormat="true" ht="24" hidden="false" customHeight="true" outlineLevel="0" collapsed="false">
      <c r="B742" s="11" t="s">
        <v>102</v>
      </c>
      <c r="C742" s="11" t="s">
        <v>784</v>
      </c>
      <c r="D742" s="167" t="n">
        <v>800500</v>
      </c>
      <c r="E742" s="167" t="s">
        <v>804</v>
      </c>
      <c r="F742" s="167" t="s">
        <v>426</v>
      </c>
      <c r="G742" s="168" t="s">
        <v>86</v>
      </c>
      <c r="H742" s="170" t="n">
        <v>1248</v>
      </c>
      <c r="I742" s="203" t="n">
        <f aca="false">H742</f>
        <v>1248</v>
      </c>
      <c r="J742" s="203" t="n">
        <v>1250</v>
      </c>
      <c r="K742" s="105" t="s">
        <v>63</v>
      </c>
      <c r="L742" s="171"/>
      <c r="M742" s="171"/>
      <c r="N742" s="171" t="n">
        <v>44550</v>
      </c>
      <c r="O742" s="171"/>
      <c r="P742" s="171"/>
      <c r="Q742" s="175" t="n">
        <v>0</v>
      </c>
      <c r="R742" s="170" t="n">
        <f aca="false">Q742</f>
        <v>0</v>
      </c>
      <c r="S742" s="9"/>
      <c r="T742" s="175" t="n">
        <v>66800</v>
      </c>
      <c r="U742" s="170" t="n">
        <f aca="false">T742</f>
        <v>66800</v>
      </c>
      <c r="V742" s="180" t="n">
        <v>68600</v>
      </c>
      <c r="W742" s="170" t="n">
        <f aca="false">V742</f>
        <v>68600</v>
      </c>
      <c r="X742" s="44" t="n">
        <f aca="false">T742/H742</f>
        <v>53.525641025641</v>
      </c>
      <c r="Y742" s="170" t="s">
        <v>52</v>
      </c>
      <c r="Z742" s="204"/>
      <c r="AA742" s="174"/>
      <c r="AB742" s="175" t="s">
        <v>40</v>
      </c>
      <c r="AC742" s="167" t="s">
        <v>115</v>
      </c>
      <c r="AD742" s="176" t="n">
        <v>58</v>
      </c>
      <c r="AE742" s="167"/>
      <c r="AF742" s="177"/>
      <c r="AG742" s="167"/>
    </row>
    <row r="743" customFormat="false" ht="12.75" hidden="false" customHeight="true" outlineLevel="0" collapsed="false">
      <c r="F743" s="178"/>
      <c r="G743" s="179"/>
      <c r="H743" s="188"/>
      <c r="I743" s="205"/>
      <c r="J743" s="205"/>
      <c r="K743" s="185"/>
      <c r="L743" s="206"/>
      <c r="M743" s="206"/>
      <c r="N743" s="206"/>
      <c r="O743" s="206"/>
      <c r="P743" s="206"/>
      <c r="Q743" s="207"/>
      <c r="R743" s="207"/>
      <c r="T743" s="207"/>
      <c r="U743" s="207"/>
      <c r="V743" s="208"/>
      <c r="W743" s="207"/>
      <c r="X743" s="207"/>
      <c r="Y743" s="207"/>
      <c r="Z743" s="209"/>
      <c r="AA743" s="210"/>
      <c r="AB743" s="209"/>
      <c r="AC743" s="178"/>
      <c r="AD743" s="190"/>
      <c r="AE743" s="178"/>
      <c r="AF743" s="191"/>
      <c r="AG743" s="178"/>
    </row>
    <row r="744" s="192" customFormat="true" ht="11.25" hidden="false" customHeight="true" outlineLevel="0" collapsed="false">
      <c r="D744" s="167"/>
      <c r="E744" s="167"/>
      <c r="F744" s="193"/>
      <c r="G744" s="194"/>
      <c r="H744" s="169" t="n">
        <f aca="false">SUM(H741:H742)</f>
        <v>2830</v>
      </c>
      <c r="I744" s="169"/>
      <c r="J744" s="169"/>
      <c r="K744" s="195"/>
      <c r="L744" s="196"/>
      <c r="M744" s="196"/>
      <c r="N744" s="196"/>
      <c r="O744" s="196"/>
      <c r="P744" s="196"/>
      <c r="Q744" s="169" t="n">
        <f aca="false">SUM(Q741:Q742)</f>
        <v>70000</v>
      </c>
      <c r="R744" s="169"/>
      <c r="T744" s="169" t="n">
        <f aca="false">SUM(T741:T742)</f>
        <v>130100</v>
      </c>
      <c r="U744" s="170"/>
      <c r="V744" s="174" t="n">
        <f aca="false">SUM(V741:V742)</f>
        <v>131900</v>
      </c>
      <c r="W744" s="170"/>
      <c r="X744" s="170"/>
      <c r="Y744" s="170"/>
      <c r="Z744" s="197"/>
      <c r="AA744" s="174" t="n">
        <v>1785000</v>
      </c>
      <c r="AB744" s="197"/>
      <c r="AC744" s="211"/>
      <c r="AD744" s="212"/>
      <c r="AE744" s="211"/>
      <c r="AF744" s="213"/>
      <c r="AG744" s="211"/>
    </row>
    <row r="745" customFormat="false" ht="12.75" hidden="false" customHeight="true" outlineLevel="0" collapsed="false">
      <c r="F745" s="178"/>
      <c r="G745" s="179"/>
      <c r="H745" s="188"/>
      <c r="I745" s="205"/>
      <c r="J745" s="205"/>
      <c r="K745" s="185"/>
      <c r="L745" s="206"/>
      <c r="M745" s="206"/>
      <c r="N745" s="206"/>
      <c r="O745" s="206"/>
      <c r="P745" s="206"/>
      <c r="Q745" s="207"/>
      <c r="R745" s="207"/>
      <c r="T745" s="207"/>
      <c r="U745" s="207"/>
      <c r="V745" s="208"/>
      <c r="W745" s="207"/>
      <c r="X745" s="207"/>
      <c r="Y745" s="207"/>
      <c r="Z745" s="209"/>
      <c r="AA745" s="210"/>
      <c r="AB745" s="209"/>
      <c r="AC745" s="178"/>
      <c r="AD745" s="190"/>
      <c r="AE745" s="178"/>
      <c r="AF745" s="191"/>
      <c r="AG745" s="178"/>
    </row>
    <row r="746" customFormat="false" ht="12.75" hidden="false" customHeight="true" outlineLevel="0" collapsed="false">
      <c r="F746" s="178"/>
      <c r="G746" s="179"/>
      <c r="H746" s="188"/>
      <c r="I746" s="205"/>
      <c r="J746" s="205"/>
      <c r="K746" s="185"/>
      <c r="L746" s="206"/>
      <c r="M746" s="206"/>
      <c r="N746" s="206"/>
      <c r="O746" s="206"/>
      <c r="P746" s="206"/>
      <c r="Q746" s="207"/>
      <c r="R746" s="207"/>
      <c r="T746" s="207"/>
      <c r="U746" s="207"/>
      <c r="V746" s="208"/>
      <c r="W746" s="207"/>
      <c r="X746" s="207"/>
      <c r="Y746" s="207"/>
      <c r="Z746" s="209"/>
      <c r="AA746" s="210"/>
      <c r="AB746" s="209"/>
      <c r="AC746" s="178"/>
      <c r="AD746" s="190"/>
      <c r="AE746" s="178"/>
      <c r="AF746" s="191"/>
      <c r="AG746" s="178"/>
    </row>
    <row r="747" customFormat="false" ht="12.75" hidden="false" customHeight="true" outlineLevel="0" collapsed="false">
      <c r="F747" s="178"/>
      <c r="G747" s="165" t="s">
        <v>806</v>
      </c>
      <c r="H747" s="188"/>
      <c r="I747" s="205"/>
      <c r="J747" s="205"/>
      <c r="K747" s="185"/>
      <c r="L747" s="206"/>
      <c r="M747" s="206"/>
      <c r="N747" s="206"/>
      <c r="O747" s="206"/>
      <c r="P747" s="206"/>
      <c r="Q747" s="207"/>
      <c r="R747" s="207"/>
      <c r="T747" s="207"/>
      <c r="U747" s="207"/>
      <c r="V747" s="208"/>
      <c r="W747" s="207"/>
      <c r="X747" s="207"/>
      <c r="Y747" s="207"/>
      <c r="Z747" s="209"/>
      <c r="AA747" s="210"/>
      <c r="AB747" s="209"/>
      <c r="AC747" s="178"/>
      <c r="AD747" s="190"/>
      <c r="AE747" s="178"/>
      <c r="AF747" s="191"/>
      <c r="AG747" s="178"/>
    </row>
    <row r="748" customFormat="false" ht="12.75" hidden="false" customHeight="true" outlineLevel="0" collapsed="false">
      <c r="F748" s="178"/>
      <c r="G748" s="179"/>
      <c r="H748" s="188"/>
      <c r="I748" s="205"/>
      <c r="J748" s="205"/>
      <c r="K748" s="185"/>
      <c r="L748" s="206"/>
      <c r="M748" s="206"/>
      <c r="N748" s="206"/>
      <c r="O748" s="206"/>
      <c r="P748" s="206"/>
      <c r="Q748" s="207"/>
      <c r="R748" s="207"/>
      <c r="T748" s="207"/>
      <c r="U748" s="207"/>
      <c r="V748" s="208"/>
      <c r="W748" s="207"/>
      <c r="X748" s="207"/>
      <c r="Y748" s="207"/>
      <c r="Z748" s="209"/>
      <c r="AA748" s="210"/>
      <c r="AB748" s="209"/>
      <c r="AC748" s="178"/>
      <c r="AD748" s="190"/>
      <c r="AE748" s="178"/>
      <c r="AF748" s="191"/>
      <c r="AG748" s="178"/>
    </row>
    <row r="749" s="166" customFormat="true" ht="23.25" hidden="false" customHeight="true" outlineLevel="0" collapsed="false">
      <c r="B749" s="11" t="s">
        <v>102</v>
      </c>
      <c r="C749" s="11" t="s">
        <v>784</v>
      </c>
      <c r="D749" s="167" t="n">
        <v>800600</v>
      </c>
      <c r="E749" s="167" t="s">
        <v>806</v>
      </c>
      <c r="F749" s="167" t="s">
        <v>807</v>
      </c>
      <c r="G749" s="183" t="s">
        <v>808</v>
      </c>
      <c r="H749" s="170" t="n">
        <v>0</v>
      </c>
      <c r="I749" s="203" t="n">
        <f aca="false">H749</f>
        <v>0</v>
      </c>
      <c r="J749" s="203"/>
      <c r="K749" s="105" t="s">
        <v>164</v>
      </c>
      <c r="L749" s="171" t="n">
        <v>18170</v>
      </c>
      <c r="M749" s="171" t="n">
        <v>54329</v>
      </c>
      <c r="N749" s="171"/>
      <c r="O749" s="171"/>
      <c r="P749" s="171"/>
      <c r="Q749" s="175" t="n">
        <v>0</v>
      </c>
      <c r="R749" s="170" t="n">
        <f aca="false">Q749</f>
        <v>0</v>
      </c>
      <c r="S749" s="9"/>
      <c r="T749" s="175" t="n">
        <v>0</v>
      </c>
      <c r="U749" s="170" t="n">
        <f aca="false">T749</f>
        <v>0</v>
      </c>
      <c r="V749" s="180" t="n">
        <v>0</v>
      </c>
      <c r="W749" s="170" t="n">
        <f aca="false">V749</f>
        <v>0</v>
      </c>
      <c r="X749" s="44"/>
      <c r="Y749" s="170"/>
      <c r="Z749" s="204"/>
      <c r="AA749" s="174"/>
      <c r="AB749" s="175" t="s">
        <v>165</v>
      </c>
      <c r="AC749" s="167" t="s">
        <v>809</v>
      </c>
      <c r="AD749" s="176"/>
      <c r="AE749" s="167"/>
      <c r="AF749" s="177"/>
      <c r="AG749" s="167"/>
    </row>
    <row r="750" s="166" customFormat="true" ht="31.5" hidden="false" customHeight="true" outlineLevel="0" collapsed="false">
      <c r="B750" s="11" t="s">
        <v>102</v>
      </c>
      <c r="C750" s="11" t="s">
        <v>784</v>
      </c>
      <c r="D750" s="167" t="n">
        <v>800600</v>
      </c>
      <c r="E750" s="167" t="s">
        <v>806</v>
      </c>
      <c r="F750" s="167" t="s">
        <v>810</v>
      </c>
      <c r="G750" s="168" t="s">
        <v>811</v>
      </c>
      <c r="H750" s="170" t="n">
        <v>3356</v>
      </c>
      <c r="I750" s="203" t="n">
        <f aca="false">H750</f>
        <v>3356</v>
      </c>
      <c r="J750" s="203" t="n">
        <v>3500</v>
      </c>
      <c r="K750" s="105" t="s">
        <v>63</v>
      </c>
      <c r="L750" s="171"/>
      <c r="M750" s="171"/>
      <c r="N750" s="171" t="n">
        <v>45457</v>
      </c>
      <c r="O750" s="171"/>
      <c r="P750" s="171"/>
      <c r="Q750" s="175" t="n">
        <v>0</v>
      </c>
      <c r="R750" s="170" t="n">
        <f aca="false">Q750</f>
        <v>0</v>
      </c>
      <c r="S750" s="9"/>
      <c r="T750" s="175" t="n">
        <v>174600</v>
      </c>
      <c r="U750" s="170" t="n">
        <f aca="false">T750</f>
        <v>174600</v>
      </c>
      <c r="V750" s="180" t="n">
        <v>177700</v>
      </c>
      <c r="W750" s="170" t="n">
        <f aca="false">V750</f>
        <v>177700</v>
      </c>
      <c r="X750" s="44" t="n">
        <f aca="false">T750/H750</f>
        <v>52.0262216924911</v>
      </c>
      <c r="Y750" s="170" t="s">
        <v>52</v>
      </c>
      <c r="Z750" s="204"/>
      <c r="AA750" s="174"/>
      <c r="AB750" s="175" t="s">
        <v>40</v>
      </c>
      <c r="AC750" s="167"/>
      <c r="AD750" s="176" t="n">
        <v>45</v>
      </c>
      <c r="AE750" s="167" t="n">
        <v>2</v>
      </c>
      <c r="AF750" s="177" t="n">
        <v>2</v>
      </c>
      <c r="AG750" s="167" t="s">
        <v>54</v>
      </c>
    </row>
    <row r="751" s="166" customFormat="true" ht="22.5" hidden="false" customHeight="true" outlineLevel="0" collapsed="false">
      <c r="B751" s="11" t="s">
        <v>102</v>
      </c>
      <c r="C751" s="11" t="s">
        <v>784</v>
      </c>
      <c r="D751" s="167" t="n">
        <v>800600</v>
      </c>
      <c r="E751" s="167" t="s">
        <v>806</v>
      </c>
      <c r="F751" s="167" t="s">
        <v>812</v>
      </c>
      <c r="G751" s="168" t="s">
        <v>244</v>
      </c>
      <c r="H751" s="170" t="n">
        <v>1157</v>
      </c>
      <c r="I751" s="203" t="n">
        <f aca="false">H751</f>
        <v>1157</v>
      </c>
      <c r="J751" s="203" t="n">
        <v>1000</v>
      </c>
      <c r="K751" s="105" t="s">
        <v>813</v>
      </c>
      <c r="L751" s="171" t="n">
        <v>45230</v>
      </c>
      <c r="M751" s="171" t="n">
        <v>46325</v>
      </c>
      <c r="N751" s="171"/>
      <c r="O751" s="171"/>
      <c r="P751" s="171"/>
      <c r="Q751" s="175" t="n">
        <v>46000</v>
      </c>
      <c r="R751" s="170" t="n">
        <f aca="false">Q751</f>
        <v>46000</v>
      </c>
      <c r="S751" s="9"/>
      <c r="T751" s="175" t="n">
        <v>52800</v>
      </c>
      <c r="U751" s="170" t="n">
        <f aca="false">T751</f>
        <v>52800</v>
      </c>
      <c r="V751" s="180" t="n">
        <v>52800</v>
      </c>
      <c r="W751" s="170" t="n">
        <f aca="false">V751</f>
        <v>52800</v>
      </c>
      <c r="X751" s="44" t="n">
        <f aca="false">T751/H751</f>
        <v>45.6352636127917</v>
      </c>
      <c r="Y751" s="170" t="s">
        <v>57</v>
      </c>
      <c r="Z751" s="204"/>
      <c r="AA751" s="174"/>
      <c r="AB751" s="175" t="s">
        <v>40</v>
      </c>
      <c r="AC751" s="167" t="s">
        <v>814</v>
      </c>
      <c r="AD751" s="176"/>
      <c r="AE751" s="167"/>
      <c r="AF751" s="177"/>
      <c r="AG751" s="167"/>
    </row>
    <row r="752" s="166" customFormat="true" ht="23.25" hidden="false" customHeight="true" outlineLevel="0" collapsed="false">
      <c r="B752" s="11" t="s">
        <v>102</v>
      </c>
      <c r="C752" s="11" t="s">
        <v>784</v>
      </c>
      <c r="D752" s="167" t="n">
        <v>800600</v>
      </c>
      <c r="E752" s="167" t="s">
        <v>806</v>
      </c>
      <c r="F752" s="167" t="s">
        <v>321</v>
      </c>
      <c r="G752" s="168" t="s">
        <v>86</v>
      </c>
      <c r="H752" s="170" t="n">
        <v>1015</v>
      </c>
      <c r="I752" s="203" t="n">
        <f aca="false">H752</f>
        <v>1015</v>
      </c>
      <c r="J752" s="203" t="n">
        <v>1000</v>
      </c>
      <c r="K752" s="105" t="s">
        <v>63</v>
      </c>
      <c r="L752" s="171"/>
      <c r="M752" s="171"/>
      <c r="N752" s="171" t="n">
        <v>43840</v>
      </c>
      <c r="O752" s="171"/>
      <c r="P752" s="171"/>
      <c r="Q752" s="175" t="n">
        <v>0</v>
      </c>
      <c r="R752" s="170" t="n">
        <f aca="false">Q752</f>
        <v>0</v>
      </c>
      <c r="S752" s="9"/>
      <c r="T752" s="175" t="n">
        <v>53300</v>
      </c>
      <c r="U752" s="170" t="n">
        <f aca="false">T752</f>
        <v>53300</v>
      </c>
      <c r="V752" s="180" t="n">
        <v>53300</v>
      </c>
      <c r="W752" s="170" t="n">
        <f aca="false">V752</f>
        <v>53300</v>
      </c>
      <c r="X752" s="44" t="n">
        <f aca="false">T752/H752</f>
        <v>52.512315270936</v>
      </c>
      <c r="Y752" s="170" t="s">
        <v>57</v>
      </c>
      <c r="Z752" s="204"/>
      <c r="AA752" s="174"/>
      <c r="AB752" s="175" t="s">
        <v>40</v>
      </c>
      <c r="AC752" s="4" t="s">
        <v>220</v>
      </c>
      <c r="AD752" s="15"/>
      <c r="AE752" s="58"/>
      <c r="AF752" s="59"/>
      <c r="AG752" s="58"/>
    </row>
    <row r="753" s="166" customFormat="true" ht="23.25" hidden="false" customHeight="true" outlineLevel="0" collapsed="false">
      <c r="B753" s="11" t="s">
        <v>102</v>
      </c>
      <c r="C753" s="11" t="s">
        <v>784</v>
      </c>
      <c r="D753" s="167" t="n">
        <v>800600</v>
      </c>
      <c r="E753" s="167" t="s">
        <v>806</v>
      </c>
      <c r="F753" s="167" t="s">
        <v>324</v>
      </c>
      <c r="G753" s="168" t="s">
        <v>86</v>
      </c>
      <c r="H753" s="170" t="n">
        <v>250</v>
      </c>
      <c r="I753" s="203" t="n">
        <f aca="false">H753</f>
        <v>250</v>
      </c>
      <c r="J753" s="203" t="n">
        <v>250</v>
      </c>
      <c r="K753" s="105" t="s">
        <v>63</v>
      </c>
      <c r="L753" s="171"/>
      <c r="M753" s="171"/>
      <c r="N753" s="171" t="n">
        <v>45682</v>
      </c>
      <c r="O753" s="171"/>
      <c r="P753" s="171"/>
      <c r="Q753" s="175" t="n">
        <v>0</v>
      </c>
      <c r="R753" s="170" t="n">
        <f aca="false">Q753</f>
        <v>0</v>
      </c>
      <c r="S753" s="9"/>
      <c r="T753" s="175" t="n">
        <v>14500</v>
      </c>
      <c r="U753" s="170" t="n">
        <f aca="false">T753</f>
        <v>14500</v>
      </c>
      <c r="V753" s="180" t="n">
        <v>14500</v>
      </c>
      <c r="W753" s="170" t="n">
        <f aca="false">V753</f>
        <v>14500</v>
      </c>
      <c r="X753" s="44" t="n">
        <f aca="false">T753/H753</f>
        <v>58</v>
      </c>
      <c r="Y753" s="170" t="s">
        <v>57</v>
      </c>
      <c r="Z753" s="204"/>
      <c r="AA753" s="174"/>
      <c r="AB753" s="175" t="s">
        <v>40</v>
      </c>
      <c r="AC753" s="167" t="s">
        <v>64</v>
      </c>
      <c r="AD753" s="176"/>
      <c r="AE753" s="167"/>
      <c r="AF753" s="177"/>
      <c r="AG753" s="167"/>
    </row>
    <row r="754" s="166" customFormat="true" ht="11.25" hidden="false" customHeight="true" outlineLevel="0" collapsed="false">
      <c r="B754" s="11" t="s">
        <v>102</v>
      </c>
      <c r="C754" s="11" t="s">
        <v>784</v>
      </c>
      <c r="D754" s="167" t="n">
        <v>800600</v>
      </c>
      <c r="E754" s="167" t="s">
        <v>806</v>
      </c>
      <c r="F754" s="167" t="s">
        <v>595</v>
      </c>
      <c r="G754" s="168" t="s">
        <v>86</v>
      </c>
      <c r="H754" s="170" t="n">
        <v>1026</v>
      </c>
      <c r="I754" s="203" t="n">
        <f aca="false">H754</f>
        <v>1026</v>
      </c>
      <c r="J754" s="203" t="n">
        <v>1000</v>
      </c>
      <c r="K754" s="105" t="s">
        <v>63</v>
      </c>
      <c r="L754" s="171"/>
      <c r="M754" s="171"/>
      <c r="N754" s="171" t="n">
        <v>44500</v>
      </c>
      <c r="O754" s="171"/>
      <c r="P754" s="171"/>
      <c r="Q754" s="175" t="n">
        <v>0</v>
      </c>
      <c r="R754" s="170" t="n">
        <f aca="false">Q754</f>
        <v>0</v>
      </c>
      <c r="S754" s="9"/>
      <c r="T754" s="175" t="n">
        <v>53900</v>
      </c>
      <c r="U754" s="170" t="n">
        <f aca="false">T754</f>
        <v>53900</v>
      </c>
      <c r="V754" s="180" t="n">
        <v>53900</v>
      </c>
      <c r="W754" s="170" t="n">
        <f aca="false">V754</f>
        <v>53900</v>
      </c>
      <c r="X754" s="44" t="n">
        <f aca="false">T754/H754</f>
        <v>52.5341130604289</v>
      </c>
      <c r="Y754" s="170" t="s">
        <v>39</v>
      </c>
      <c r="Z754" s="204"/>
      <c r="AA754" s="174"/>
      <c r="AB754" s="175" t="s">
        <v>40</v>
      </c>
      <c r="AC754" s="4" t="s">
        <v>220</v>
      </c>
      <c r="AD754" s="15"/>
      <c r="AE754" s="58"/>
      <c r="AF754" s="59"/>
      <c r="AG754" s="58"/>
    </row>
    <row r="755" s="166" customFormat="true" ht="23.25" hidden="false" customHeight="true" outlineLevel="0" collapsed="false">
      <c r="B755" s="11" t="s">
        <v>102</v>
      </c>
      <c r="C755" s="11" t="s">
        <v>784</v>
      </c>
      <c r="D755" s="167" t="n">
        <v>800600</v>
      </c>
      <c r="E755" s="167" t="s">
        <v>806</v>
      </c>
      <c r="F755" s="167" t="s">
        <v>577</v>
      </c>
      <c r="G755" s="168" t="s">
        <v>86</v>
      </c>
      <c r="H755" s="170" t="n">
        <v>242</v>
      </c>
      <c r="I755" s="203" t="n">
        <f aca="false">H755</f>
        <v>242</v>
      </c>
      <c r="J755" s="203" t="n">
        <v>250</v>
      </c>
      <c r="K755" s="105" t="s">
        <v>63</v>
      </c>
      <c r="L755" s="171"/>
      <c r="M755" s="171"/>
      <c r="N755" s="171" t="n">
        <v>44135</v>
      </c>
      <c r="O755" s="171"/>
      <c r="P755" s="171"/>
      <c r="Q755" s="175" t="n">
        <v>0</v>
      </c>
      <c r="R755" s="170" t="n">
        <f aca="false">Q755</f>
        <v>0</v>
      </c>
      <c r="S755" s="9"/>
      <c r="T755" s="175" t="n">
        <v>14000</v>
      </c>
      <c r="U755" s="170" t="n">
        <f aca="false">T755</f>
        <v>14000</v>
      </c>
      <c r="V755" s="180" t="n">
        <v>14000</v>
      </c>
      <c r="W755" s="170" t="n">
        <f aca="false">V755</f>
        <v>14000</v>
      </c>
      <c r="X755" s="44" t="n">
        <f aca="false">T755/H755</f>
        <v>57.8512396694215</v>
      </c>
      <c r="Y755" s="170" t="s">
        <v>123</v>
      </c>
      <c r="Z755" s="204"/>
      <c r="AA755" s="174"/>
      <c r="AB755" s="175" t="s">
        <v>40</v>
      </c>
      <c r="AC755" s="4" t="s">
        <v>220</v>
      </c>
      <c r="AD755" s="15"/>
      <c r="AE755" s="58"/>
      <c r="AF755" s="59"/>
      <c r="AG755" s="58"/>
    </row>
    <row r="756" s="166" customFormat="true" ht="11.25" hidden="false" customHeight="true" outlineLevel="0" collapsed="false">
      <c r="B756" s="11" t="s">
        <v>102</v>
      </c>
      <c r="C756" s="11" t="s">
        <v>784</v>
      </c>
      <c r="D756" s="167" t="n">
        <v>800600</v>
      </c>
      <c r="E756" s="167" t="s">
        <v>806</v>
      </c>
      <c r="F756" s="167" t="s">
        <v>90</v>
      </c>
      <c r="G756" s="168" t="s">
        <v>86</v>
      </c>
      <c r="H756" s="170" t="n">
        <v>1028</v>
      </c>
      <c r="I756" s="203" t="n">
        <f aca="false">H756</f>
        <v>1028</v>
      </c>
      <c r="J756" s="203" t="n">
        <v>1000</v>
      </c>
      <c r="K756" s="105" t="s">
        <v>815</v>
      </c>
      <c r="L756" s="171" t="n">
        <v>44135</v>
      </c>
      <c r="M756" s="171" t="n">
        <v>45960</v>
      </c>
      <c r="N756" s="171"/>
      <c r="O756" s="171"/>
      <c r="P756" s="171"/>
      <c r="Q756" s="175" t="n">
        <v>52572</v>
      </c>
      <c r="R756" s="170" t="n">
        <f aca="false">Q756</f>
        <v>52572</v>
      </c>
      <c r="S756" s="9"/>
      <c r="T756" s="175" t="n">
        <v>51400</v>
      </c>
      <c r="U756" s="170" t="n">
        <f aca="false">T756</f>
        <v>51400</v>
      </c>
      <c r="V756" s="180" t="n">
        <v>51400</v>
      </c>
      <c r="W756" s="170" t="n">
        <f aca="false">V756</f>
        <v>51400</v>
      </c>
      <c r="X756" s="44" t="n">
        <f aca="false">T756/H756</f>
        <v>50</v>
      </c>
      <c r="Y756" s="170" t="s">
        <v>57</v>
      </c>
      <c r="Z756" s="204"/>
      <c r="AA756" s="174"/>
      <c r="AB756" s="175" t="s">
        <v>40</v>
      </c>
      <c r="AC756" s="4" t="s">
        <v>220</v>
      </c>
      <c r="AD756" s="15"/>
      <c r="AE756" s="58"/>
      <c r="AF756" s="59"/>
      <c r="AG756" s="58"/>
    </row>
    <row r="757" s="166" customFormat="true" ht="23.25" hidden="false" customHeight="true" outlineLevel="0" collapsed="false">
      <c r="B757" s="11" t="s">
        <v>102</v>
      </c>
      <c r="C757" s="11" t="s">
        <v>784</v>
      </c>
      <c r="D757" s="167" t="n">
        <v>800600</v>
      </c>
      <c r="E757" s="167" t="s">
        <v>806</v>
      </c>
      <c r="F757" s="167" t="s">
        <v>114</v>
      </c>
      <c r="G757" s="168" t="s">
        <v>86</v>
      </c>
      <c r="H757" s="170" t="n">
        <v>834</v>
      </c>
      <c r="I757" s="203" t="n">
        <f aca="false">H757</f>
        <v>834</v>
      </c>
      <c r="J757" s="203" t="n">
        <v>1000</v>
      </c>
      <c r="K757" s="105" t="s">
        <v>63</v>
      </c>
      <c r="L757" s="171"/>
      <c r="M757" s="171"/>
      <c r="N757" s="171" t="n">
        <v>43840</v>
      </c>
      <c r="O757" s="171"/>
      <c r="P757" s="171"/>
      <c r="Q757" s="175" t="n">
        <v>0</v>
      </c>
      <c r="R757" s="170" t="n">
        <f aca="false">Q757</f>
        <v>0</v>
      </c>
      <c r="S757" s="9"/>
      <c r="T757" s="175" t="n">
        <v>43800</v>
      </c>
      <c r="U757" s="170" t="n">
        <f aca="false">T757</f>
        <v>43800</v>
      </c>
      <c r="V757" s="180" t="n">
        <v>43800</v>
      </c>
      <c r="W757" s="170" t="n">
        <f aca="false">V757</f>
        <v>43800</v>
      </c>
      <c r="X757" s="44" t="n">
        <f aca="false">T757/H757</f>
        <v>52.5179856115108</v>
      </c>
      <c r="Y757" s="170" t="s">
        <v>57</v>
      </c>
      <c r="Z757" s="204"/>
      <c r="AA757" s="174"/>
      <c r="AB757" s="175" t="s">
        <v>40</v>
      </c>
      <c r="AC757" s="4" t="s">
        <v>220</v>
      </c>
      <c r="AD757" s="15"/>
      <c r="AE757" s="58"/>
      <c r="AF757" s="59"/>
      <c r="AG757" s="58"/>
    </row>
    <row r="758" s="166" customFormat="true" ht="11.25" hidden="false" customHeight="true" outlineLevel="0" collapsed="false">
      <c r="F758" s="167"/>
      <c r="G758" s="168"/>
      <c r="H758" s="170"/>
      <c r="I758" s="214"/>
      <c r="J758" s="214"/>
      <c r="K758" s="105"/>
      <c r="L758" s="215"/>
      <c r="M758" s="215"/>
      <c r="N758" s="215"/>
      <c r="O758" s="215"/>
      <c r="P758" s="215"/>
      <c r="Q758" s="216"/>
      <c r="R758" s="216"/>
      <c r="S758" s="9"/>
      <c r="T758" s="216"/>
      <c r="U758" s="216"/>
      <c r="V758" s="217"/>
      <c r="W758" s="216"/>
      <c r="X758" s="216"/>
      <c r="Y758" s="216"/>
      <c r="Z758" s="181"/>
      <c r="AA758" s="182"/>
      <c r="AB758" s="181"/>
      <c r="AC758" s="167"/>
      <c r="AD758" s="176"/>
      <c r="AE758" s="167"/>
      <c r="AF758" s="177"/>
      <c r="AG758" s="167"/>
    </row>
    <row r="759" s="166" customFormat="true" ht="11.25" hidden="false" customHeight="true" outlineLevel="0" collapsed="false">
      <c r="F759" s="167"/>
      <c r="G759" s="168"/>
      <c r="H759" s="169" t="n">
        <f aca="false">SUM(H749:H757)</f>
        <v>8908</v>
      </c>
      <c r="I759" s="214"/>
      <c r="J759" s="214"/>
      <c r="K759" s="105"/>
      <c r="L759" s="215"/>
      <c r="M759" s="215"/>
      <c r="N759" s="215"/>
      <c r="O759" s="215"/>
      <c r="P759" s="215"/>
      <c r="Q759" s="169" t="n">
        <f aca="false">SUM(Q749:Q757)</f>
        <v>98572</v>
      </c>
      <c r="R759" s="169"/>
      <c r="S759" s="9"/>
      <c r="T759" s="169" t="n">
        <f aca="false">SUM(T749:T757)</f>
        <v>458300</v>
      </c>
      <c r="U759" s="216"/>
      <c r="V759" s="174" t="n">
        <f aca="false">SUM(V749:V757)</f>
        <v>461400</v>
      </c>
      <c r="W759" s="216"/>
      <c r="X759" s="216"/>
      <c r="Y759" s="216"/>
      <c r="Z759" s="181"/>
      <c r="AA759" s="174" t="n">
        <v>4785000</v>
      </c>
      <c r="AB759" s="181"/>
      <c r="AC759" s="4"/>
      <c r="AD759" s="15"/>
      <c r="AE759" s="58"/>
      <c r="AF759" s="59"/>
      <c r="AG759" s="58"/>
    </row>
    <row r="760" customFormat="false" ht="12.75" hidden="false" customHeight="true" outlineLevel="0" collapsed="false">
      <c r="F760" s="178"/>
      <c r="G760" s="179"/>
      <c r="H760" s="199"/>
      <c r="I760" s="205"/>
      <c r="J760" s="205"/>
      <c r="K760" s="185"/>
      <c r="L760" s="206"/>
      <c r="M760" s="206"/>
      <c r="N760" s="206"/>
      <c r="O760" s="206"/>
      <c r="P760" s="206"/>
      <c r="Q760" s="199"/>
      <c r="R760" s="199"/>
      <c r="T760" s="199"/>
      <c r="U760" s="207"/>
      <c r="V760" s="201"/>
      <c r="W760" s="207"/>
      <c r="X760" s="207"/>
      <c r="Y760" s="207"/>
      <c r="Z760" s="209"/>
      <c r="AA760" s="201"/>
      <c r="AB760" s="209"/>
      <c r="AC760" s="178"/>
      <c r="AD760" s="190"/>
      <c r="AE760" s="178"/>
      <c r="AF760" s="191"/>
      <c r="AG760" s="178"/>
    </row>
    <row r="761" customFormat="false" ht="12.75" hidden="false" customHeight="true" outlineLevel="0" collapsed="false">
      <c r="F761" s="178"/>
      <c r="G761" s="179"/>
      <c r="H761" s="199"/>
      <c r="I761" s="205"/>
      <c r="J761" s="205"/>
      <c r="K761" s="185"/>
      <c r="L761" s="206"/>
      <c r="M761" s="206"/>
      <c r="N761" s="206"/>
      <c r="O761" s="206"/>
      <c r="P761" s="206"/>
      <c r="Q761" s="207"/>
      <c r="R761" s="207"/>
      <c r="T761" s="207"/>
      <c r="U761" s="207"/>
      <c r="V761" s="208"/>
      <c r="W761" s="207"/>
      <c r="X761" s="207"/>
      <c r="Y761" s="207"/>
      <c r="Z761" s="209"/>
      <c r="AA761" s="210"/>
      <c r="AB761" s="209"/>
      <c r="AC761" s="178"/>
      <c r="AD761" s="190"/>
      <c r="AE761" s="178"/>
      <c r="AF761" s="191"/>
      <c r="AG761" s="178"/>
    </row>
    <row r="762" customFormat="false" ht="12.75" hidden="false" customHeight="true" outlineLevel="0" collapsed="false">
      <c r="D762" s="178"/>
      <c r="E762" s="178"/>
      <c r="F762" s="156"/>
      <c r="G762" s="165" t="s">
        <v>816</v>
      </c>
      <c r="H762" s="218"/>
      <c r="I762" s="158"/>
      <c r="J762" s="158"/>
      <c r="K762" s="156"/>
      <c r="L762" s="159"/>
      <c r="M762" s="159"/>
      <c r="N762" s="159"/>
      <c r="O762" s="159"/>
      <c r="P762" s="159"/>
      <c r="Q762" s="160"/>
      <c r="R762" s="158"/>
      <c r="T762" s="160"/>
      <c r="U762" s="158"/>
      <c r="V762" s="161"/>
      <c r="W762" s="158"/>
      <c r="X762" s="158"/>
      <c r="Y762" s="158"/>
      <c r="Z762" s="157"/>
      <c r="AA762" s="162"/>
      <c r="AB762" s="157"/>
      <c r="AC762" s="156"/>
      <c r="AD762" s="163"/>
      <c r="AE762" s="156"/>
      <c r="AF762" s="164"/>
      <c r="AG762" s="156"/>
    </row>
    <row r="763" customFormat="false" ht="12.75" hidden="false" customHeight="true" outlineLevel="0" collapsed="false">
      <c r="D763" s="178"/>
      <c r="E763" s="178"/>
      <c r="F763" s="156"/>
      <c r="G763" s="157"/>
      <c r="H763" s="158"/>
      <c r="I763" s="158"/>
      <c r="J763" s="158"/>
      <c r="K763" s="156"/>
      <c r="L763" s="159"/>
      <c r="M763" s="159"/>
      <c r="N763" s="159"/>
      <c r="O763" s="159"/>
      <c r="P763" s="159"/>
      <c r="Q763" s="160"/>
      <c r="R763" s="158"/>
      <c r="T763" s="160"/>
      <c r="U763" s="158"/>
      <c r="V763" s="161"/>
      <c r="W763" s="158"/>
      <c r="X763" s="158"/>
      <c r="Y763" s="158"/>
      <c r="Z763" s="157"/>
      <c r="AA763" s="162"/>
      <c r="AB763" s="157"/>
      <c r="AC763" s="167"/>
      <c r="AD763" s="176"/>
      <c r="AE763" s="219"/>
      <c r="AF763" s="220"/>
      <c r="AG763" s="221"/>
    </row>
    <row r="764" s="166" customFormat="true" ht="22.5" hidden="false" customHeight="true" outlineLevel="0" collapsed="false">
      <c r="B764" s="11" t="s">
        <v>185</v>
      </c>
      <c r="C764" s="11" t="s">
        <v>817</v>
      </c>
      <c r="D764" s="167" t="n">
        <v>111010</v>
      </c>
      <c r="E764" s="167" t="s">
        <v>816</v>
      </c>
      <c r="F764" s="167" t="s">
        <v>258</v>
      </c>
      <c r="G764" s="183" t="s">
        <v>591</v>
      </c>
      <c r="H764" s="170" t="n">
        <v>4289</v>
      </c>
      <c r="I764" s="170" t="n">
        <f aca="false">H764</f>
        <v>4289</v>
      </c>
      <c r="J764" s="170" t="n">
        <v>4250</v>
      </c>
      <c r="K764" s="105" t="s">
        <v>818</v>
      </c>
      <c r="L764" s="171" t="n">
        <v>45510</v>
      </c>
      <c r="M764" s="171" t="n">
        <v>50987</v>
      </c>
      <c r="N764" s="171"/>
      <c r="O764" s="171" t="n">
        <v>47336</v>
      </c>
      <c r="P764" s="171" t="n">
        <v>49162</v>
      </c>
      <c r="Q764" s="175" t="n">
        <v>110000</v>
      </c>
      <c r="R764" s="170" t="n">
        <f aca="false">Q764</f>
        <v>110000</v>
      </c>
      <c r="S764" s="9"/>
      <c r="T764" s="175" t="n">
        <v>220100</v>
      </c>
      <c r="U764" s="170" t="n">
        <f aca="false">T764</f>
        <v>220100</v>
      </c>
      <c r="V764" s="180" t="n">
        <v>220100</v>
      </c>
      <c r="W764" s="170" t="n">
        <f aca="false">V764</f>
        <v>220100</v>
      </c>
      <c r="X764" s="44" t="n">
        <f aca="false">T764/H764</f>
        <v>51.3173233854045</v>
      </c>
      <c r="Y764" s="170" t="s">
        <v>39</v>
      </c>
      <c r="Z764" s="181" t="s">
        <v>25</v>
      </c>
      <c r="AA764" s="182"/>
      <c r="AB764" s="175" t="s">
        <v>40</v>
      </c>
      <c r="AC764" s="167" t="s">
        <v>819</v>
      </c>
      <c r="AD764" s="176"/>
      <c r="AE764" s="219"/>
      <c r="AF764" s="220"/>
      <c r="AG764" s="221"/>
    </row>
    <row r="765" s="166" customFormat="true" ht="12" hidden="false" customHeight="true" outlineLevel="0" collapsed="false">
      <c r="B765" s="11" t="s">
        <v>185</v>
      </c>
      <c r="C765" s="11" t="s">
        <v>817</v>
      </c>
      <c r="D765" s="167" t="n">
        <v>111010</v>
      </c>
      <c r="E765" s="167" t="s">
        <v>816</v>
      </c>
      <c r="F765" s="167" t="s">
        <v>85</v>
      </c>
      <c r="G765" s="168" t="s">
        <v>86</v>
      </c>
      <c r="H765" s="170" t="n">
        <v>2279</v>
      </c>
      <c r="I765" s="170" t="n">
        <f aca="false">H765</f>
        <v>2279</v>
      </c>
      <c r="J765" s="170" t="n">
        <v>2250</v>
      </c>
      <c r="K765" s="105" t="s">
        <v>63</v>
      </c>
      <c r="L765" s="171"/>
      <c r="M765" s="171"/>
      <c r="N765" s="171" t="n">
        <v>44577</v>
      </c>
      <c r="O765" s="171"/>
      <c r="P765" s="171"/>
      <c r="Q765" s="175" t="n">
        <v>0</v>
      </c>
      <c r="R765" s="170" t="n">
        <f aca="false">Q765</f>
        <v>0</v>
      </c>
      <c r="S765" s="9"/>
      <c r="T765" s="175"/>
      <c r="U765" s="170" t="n">
        <f aca="false">T765</f>
        <v>0</v>
      </c>
      <c r="V765" s="180" t="n">
        <v>159500</v>
      </c>
      <c r="W765" s="170" t="n">
        <f aca="false">V765</f>
        <v>159500</v>
      </c>
      <c r="X765" s="44" t="n">
        <f aca="false">T765/H765</f>
        <v>0</v>
      </c>
      <c r="Y765" s="170" t="s">
        <v>39</v>
      </c>
      <c r="Z765" s="181" t="s">
        <v>25</v>
      </c>
      <c r="AA765" s="182"/>
      <c r="AB765" s="175" t="s">
        <v>40</v>
      </c>
      <c r="AC765" s="167" t="s">
        <v>64</v>
      </c>
      <c r="AD765" s="176" t="n">
        <v>75</v>
      </c>
      <c r="AE765" s="167" t="n">
        <v>1</v>
      </c>
      <c r="AF765" s="177" t="n">
        <v>1</v>
      </c>
      <c r="AG765" s="178" t="s">
        <v>54</v>
      </c>
    </row>
    <row r="766" s="166" customFormat="true" ht="12" hidden="false" customHeight="true" outlineLevel="0" collapsed="false">
      <c r="B766" s="11" t="s">
        <v>185</v>
      </c>
      <c r="C766" s="11" t="s">
        <v>817</v>
      </c>
      <c r="D766" s="167" t="n">
        <v>111010</v>
      </c>
      <c r="E766" s="167" t="s">
        <v>816</v>
      </c>
      <c r="F766" s="167" t="s">
        <v>89</v>
      </c>
      <c r="G766" s="168" t="s">
        <v>86</v>
      </c>
      <c r="H766" s="170" t="n">
        <v>1640</v>
      </c>
      <c r="I766" s="170" t="n">
        <f aca="false">H766</f>
        <v>1640</v>
      </c>
      <c r="J766" s="170" t="n">
        <v>1500</v>
      </c>
      <c r="K766" s="105" t="s">
        <v>820</v>
      </c>
      <c r="L766" s="171" t="n">
        <v>44710</v>
      </c>
      <c r="M766" s="171" t="n">
        <v>45805</v>
      </c>
      <c r="N766" s="171"/>
      <c r="O766" s="171"/>
      <c r="P766" s="171"/>
      <c r="Q766" s="175" t="n">
        <v>101000</v>
      </c>
      <c r="R766" s="170" t="n">
        <f aca="false">Q766</f>
        <v>101000</v>
      </c>
      <c r="S766" s="9"/>
      <c r="T766" s="175" t="n">
        <v>104100</v>
      </c>
      <c r="U766" s="170" t="n">
        <f aca="false">T766</f>
        <v>104100</v>
      </c>
      <c r="V766" s="180" t="n">
        <v>114800</v>
      </c>
      <c r="W766" s="170" t="n">
        <f aca="false">V766</f>
        <v>114800</v>
      </c>
      <c r="X766" s="44" t="n">
        <f aca="false">T766/H766</f>
        <v>63.4756097560976</v>
      </c>
      <c r="Y766" s="170" t="s">
        <v>39</v>
      </c>
      <c r="Z766" s="181" t="s">
        <v>25</v>
      </c>
      <c r="AA766" s="182"/>
      <c r="AB766" s="175" t="s">
        <v>40</v>
      </c>
      <c r="AC766" s="167" t="s">
        <v>821</v>
      </c>
      <c r="AE766" s="167"/>
      <c r="AF766" s="177"/>
      <c r="AG766" s="178"/>
    </row>
    <row r="767" s="166" customFormat="true" ht="12" hidden="false" customHeight="true" outlineLevel="0" collapsed="false">
      <c r="B767" s="11" t="s">
        <v>185</v>
      </c>
      <c r="C767" s="11" t="s">
        <v>817</v>
      </c>
      <c r="D767" s="167" t="n">
        <v>111010</v>
      </c>
      <c r="E767" s="167" t="s">
        <v>816</v>
      </c>
      <c r="F767" s="167" t="s">
        <v>90</v>
      </c>
      <c r="G767" s="168" t="s">
        <v>86</v>
      </c>
      <c r="H767" s="170" t="n">
        <v>1641</v>
      </c>
      <c r="I767" s="170" t="n">
        <f aca="false">H767</f>
        <v>1641</v>
      </c>
      <c r="J767" s="170" t="n">
        <v>1500</v>
      </c>
      <c r="K767" s="105" t="s">
        <v>63</v>
      </c>
      <c r="L767" s="171"/>
      <c r="M767" s="171"/>
      <c r="N767" s="171" t="n">
        <v>44603</v>
      </c>
      <c r="O767" s="171"/>
      <c r="P767" s="171"/>
      <c r="Q767" s="175" t="n">
        <v>0</v>
      </c>
      <c r="R767" s="170" t="n">
        <f aca="false">Q767</f>
        <v>0</v>
      </c>
      <c r="S767" s="9"/>
      <c r="T767" s="175" t="n">
        <v>120000</v>
      </c>
      <c r="U767" s="170" t="n">
        <f aca="false">T767</f>
        <v>120000</v>
      </c>
      <c r="V767" s="180" t="n">
        <v>114900</v>
      </c>
      <c r="W767" s="170" t="n">
        <f aca="false">V767</f>
        <v>114900</v>
      </c>
      <c r="X767" s="44" t="n">
        <f aca="false">T767/H767</f>
        <v>73.1261425959781</v>
      </c>
      <c r="Y767" s="170" t="s">
        <v>39</v>
      </c>
      <c r="Z767" s="181" t="s">
        <v>25</v>
      </c>
      <c r="AA767" s="182"/>
      <c r="AB767" s="175" t="s">
        <v>40</v>
      </c>
      <c r="AC767" s="167" t="s">
        <v>64</v>
      </c>
      <c r="AD767" s="176" t="n">
        <v>75</v>
      </c>
      <c r="AE767" s="167" t="n">
        <v>1</v>
      </c>
      <c r="AF767" s="177" t="n">
        <v>1</v>
      </c>
      <c r="AG767" s="178" t="s">
        <v>54</v>
      </c>
    </row>
    <row r="768" s="166" customFormat="true" ht="12" hidden="false" customHeight="true" outlineLevel="0" collapsed="false">
      <c r="B768" s="11" t="s">
        <v>185</v>
      </c>
      <c r="C768" s="11" t="s">
        <v>817</v>
      </c>
      <c r="D768" s="167" t="n">
        <v>111010</v>
      </c>
      <c r="E768" s="167" t="s">
        <v>816</v>
      </c>
      <c r="F768" s="167" t="s">
        <v>822</v>
      </c>
      <c r="G768" s="168" t="s">
        <v>86</v>
      </c>
      <c r="H768" s="170" t="n">
        <v>1636</v>
      </c>
      <c r="I768" s="170" t="n">
        <f aca="false">H768</f>
        <v>1636</v>
      </c>
      <c r="J768" s="170" t="n">
        <v>1500</v>
      </c>
      <c r="K768" s="105" t="s">
        <v>63</v>
      </c>
      <c r="L768" s="171"/>
      <c r="M768" s="171"/>
      <c r="N768" s="171" t="n">
        <v>45579</v>
      </c>
      <c r="O768" s="171"/>
      <c r="P768" s="171"/>
      <c r="Q768" s="175" t="n">
        <v>0</v>
      </c>
      <c r="R768" s="170" t="n">
        <f aca="false">Q768</f>
        <v>0</v>
      </c>
      <c r="S768" s="9"/>
      <c r="T768" s="175" t="n">
        <v>103900</v>
      </c>
      <c r="U768" s="170" t="n">
        <f aca="false">T768</f>
        <v>103900</v>
      </c>
      <c r="V768" s="180" t="n">
        <v>118600</v>
      </c>
      <c r="W768" s="170" t="n">
        <f aca="false">V768</f>
        <v>118600</v>
      </c>
      <c r="X768" s="44" t="n">
        <f aca="false">T768/H768</f>
        <v>63.5085574572127</v>
      </c>
      <c r="Y768" s="170" t="s">
        <v>52</v>
      </c>
      <c r="Z768" s="181" t="s">
        <v>25</v>
      </c>
      <c r="AA768" s="182"/>
      <c r="AB768" s="175" t="s">
        <v>40</v>
      </c>
      <c r="AC768" s="167" t="s">
        <v>64</v>
      </c>
      <c r="AD768" s="176" t="n">
        <v>75</v>
      </c>
      <c r="AE768" s="167" t="n">
        <v>1</v>
      </c>
      <c r="AF768" s="177" t="n">
        <v>1</v>
      </c>
      <c r="AG768" s="178" t="s">
        <v>597</v>
      </c>
    </row>
    <row r="769" s="166" customFormat="true" ht="30" hidden="false" customHeight="true" outlineLevel="0" collapsed="false">
      <c r="B769" s="11" t="s">
        <v>185</v>
      </c>
      <c r="C769" s="11" t="s">
        <v>817</v>
      </c>
      <c r="D769" s="167" t="n">
        <v>111010</v>
      </c>
      <c r="E769" s="167" t="s">
        <v>816</v>
      </c>
      <c r="F769" s="167" t="s">
        <v>176</v>
      </c>
      <c r="G769" s="168" t="s">
        <v>86</v>
      </c>
      <c r="H769" s="170" t="n">
        <v>1536</v>
      </c>
      <c r="I769" s="170" t="n">
        <f aca="false">H769</f>
        <v>1536</v>
      </c>
      <c r="J769" s="170" t="n">
        <v>1500</v>
      </c>
      <c r="K769" s="105" t="s">
        <v>823</v>
      </c>
      <c r="L769" s="171" t="n">
        <v>45464</v>
      </c>
      <c r="M769" s="171" t="n">
        <v>49115</v>
      </c>
      <c r="N769" s="171"/>
      <c r="O769" s="171" t="n">
        <v>47290</v>
      </c>
      <c r="P769" s="171" t="n">
        <v>47289</v>
      </c>
      <c r="Q769" s="175" t="n">
        <v>52745</v>
      </c>
      <c r="R769" s="170" t="n">
        <f aca="false">Q769</f>
        <v>52745</v>
      </c>
      <c r="S769" s="9"/>
      <c r="T769" s="175" t="n">
        <v>97500</v>
      </c>
      <c r="U769" s="170" t="n">
        <f aca="false">T769</f>
        <v>97500</v>
      </c>
      <c r="V769" s="180" t="n">
        <v>105200</v>
      </c>
      <c r="W769" s="170" t="n">
        <f aca="false">V769</f>
        <v>105200</v>
      </c>
      <c r="X769" s="44" t="n">
        <f aca="false">T769/H769</f>
        <v>63.4765625</v>
      </c>
      <c r="Y769" s="170" t="s">
        <v>39</v>
      </c>
      <c r="Z769" s="181" t="s">
        <v>25</v>
      </c>
      <c r="AA769" s="182"/>
      <c r="AB769" s="175" t="s">
        <v>40</v>
      </c>
      <c r="AC769" s="167" t="s">
        <v>824</v>
      </c>
      <c r="AD769" s="176"/>
      <c r="AE769" s="167"/>
      <c r="AF769" s="177"/>
      <c r="AG769" s="178"/>
    </row>
    <row r="770" s="166" customFormat="true" ht="12" hidden="false" customHeight="true" outlineLevel="0" collapsed="false">
      <c r="F770" s="167"/>
      <c r="G770" s="168"/>
      <c r="H770" s="170"/>
      <c r="I770" s="214"/>
      <c r="J770" s="214"/>
      <c r="K770" s="105"/>
      <c r="L770" s="215"/>
      <c r="M770" s="215"/>
      <c r="N770" s="215"/>
      <c r="O770" s="215"/>
      <c r="P770" s="215"/>
      <c r="Q770" s="216"/>
      <c r="R770" s="216"/>
      <c r="S770" s="9"/>
      <c r="T770" s="216"/>
      <c r="U770" s="216"/>
      <c r="V770" s="217"/>
      <c r="W770" s="216"/>
      <c r="X770" s="216"/>
      <c r="Y770" s="216"/>
      <c r="Z770" s="181"/>
      <c r="AA770" s="182"/>
      <c r="AB770" s="181"/>
      <c r="AC770" s="167"/>
      <c r="AD770" s="176"/>
      <c r="AE770" s="167"/>
      <c r="AF770" s="177"/>
      <c r="AG770" s="178"/>
    </row>
    <row r="771" s="166" customFormat="true" ht="12" hidden="false" customHeight="true" outlineLevel="0" collapsed="false">
      <c r="F771" s="211" t="s">
        <v>825</v>
      </c>
      <c r="G771" s="168"/>
      <c r="H771" s="169" t="n">
        <f aca="false">SUM(H764:H769)</f>
        <v>13021</v>
      </c>
      <c r="I771" s="170"/>
      <c r="J771" s="170"/>
      <c r="K771" s="105"/>
      <c r="L771" s="215"/>
      <c r="M771" s="215"/>
      <c r="N771" s="215"/>
      <c r="O771" s="215"/>
      <c r="P771" s="215"/>
      <c r="Q771" s="169" t="n">
        <f aca="false">SUM(Q764:Q770)</f>
        <v>263745</v>
      </c>
      <c r="R771" s="170"/>
      <c r="S771" s="9"/>
      <c r="T771" s="169" t="n">
        <f aca="false">SUM(T764:T770)</f>
        <v>645600</v>
      </c>
      <c r="U771" s="170"/>
      <c r="V771" s="174" t="n">
        <f aca="false">SUM(V764:V770)</f>
        <v>833100</v>
      </c>
      <c r="W771" s="170"/>
      <c r="X771" s="170"/>
      <c r="Y771" s="170"/>
      <c r="Z771" s="168"/>
      <c r="AA771" s="174" t="n">
        <v>12900000</v>
      </c>
      <c r="AB771" s="168"/>
      <c r="AC771" s="167"/>
      <c r="AD771" s="176"/>
      <c r="AE771" s="167"/>
      <c r="AF771" s="177"/>
      <c r="AG771" s="178"/>
    </row>
    <row r="772" customFormat="false" ht="12.75" hidden="false" customHeight="true" outlineLevel="0" collapsed="false">
      <c r="F772" s="178"/>
      <c r="G772" s="179"/>
      <c r="H772" s="199"/>
      <c r="I772" s="205"/>
      <c r="J772" s="205"/>
      <c r="K772" s="185"/>
      <c r="L772" s="206"/>
      <c r="M772" s="206"/>
      <c r="N772" s="206"/>
      <c r="O772" s="206"/>
      <c r="P772" s="206"/>
      <c r="Q772" s="207"/>
      <c r="R772" s="207"/>
      <c r="T772" s="207"/>
      <c r="U772" s="207"/>
      <c r="V772" s="208"/>
      <c r="W772" s="207"/>
      <c r="X772" s="207"/>
      <c r="Y772" s="207"/>
      <c r="Z772" s="209"/>
      <c r="AA772" s="210"/>
      <c r="AB772" s="209"/>
      <c r="AC772" s="178"/>
      <c r="AD772" s="190"/>
      <c r="AE772" s="178"/>
      <c r="AF772" s="191"/>
      <c r="AG772" s="178"/>
    </row>
    <row r="773" customFormat="false" ht="12.75" hidden="false" customHeight="true" outlineLevel="0" collapsed="false">
      <c r="F773" s="178"/>
      <c r="G773" s="179"/>
      <c r="H773" s="199"/>
      <c r="I773" s="205"/>
      <c r="J773" s="205"/>
      <c r="K773" s="185"/>
      <c r="L773" s="206"/>
      <c r="M773" s="206"/>
      <c r="N773" s="206"/>
      <c r="O773" s="206"/>
      <c r="P773" s="206"/>
      <c r="Q773" s="207"/>
      <c r="R773" s="207"/>
      <c r="T773" s="207"/>
      <c r="U773" s="207"/>
      <c r="V773" s="208"/>
      <c r="W773" s="207"/>
      <c r="X773" s="207"/>
      <c r="Y773" s="207"/>
      <c r="Z773" s="209"/>
      <c r="AA773" s="210"/>
      <c r="AB773" s="209"/>
      <c r="AC773" s="178"/>
      <c r="AD773" s="190"/>
      <c r="AE773" s="178"/>
      <c r="AF773" s="191"/>
      <c r="AG773" s="178"/>
    </row>
    <row r="774" customFormat="false" ht="13.5" hidden="false" customHeight="true" outlineLevel="0" collapsed="false">
      <c r="F774" s="143" t="s">
        <v>826</v>
      </c>
      <c r="G774" s="222"/>
      <c r="H774" s="223" t="n">
        <f aca="false">I774</f>
        <v>64527</v>
      </c>
      <c r="I774" s="224" t="n">
        <f aca="false">SUM(I709:I773)</f>
        <v>64527</v>
      </c>
      <c r="J774" s="224"/>
      <c r="K774" s="225"/>
      <c r="L774" s="226"/>
      <c r="M774" s="226"/>
      <c r="N774" s="226"/>
      <c r="O774" s="226"/>
      <c r="P774" s="226"/>
      <c r="Q774" s="223" t="n">
        <f aca="false">R774</f>
        <v>2375410</v>
      </c>
      <c r="R774" s="224" t="n">
        <f aca="false">SUM(R709:R773)</f>
        <v>2375410</v>
      </c>
      <c r="S774" s="227"/>
      <c r="T774" s="145" t="n">
        <f aca="false">SUM(U712:U771)</f>
        <v>3635960</v>
      </c>
      <c r="U774" s="224"/>
      <c r="V774" s="150" t="n">
        <f aca="false">SUM(W712:W771)</f>
        <v>3915960</v>
      </c>
      <c r="W774" s="224"/>
      <c r="X774" s="224"/>
      <c r="Y774" s="224"/>
      <c r="Z774" s="222"/>
      <c r="AA774" s="228" t="n">
        <f aca="false">SUM(AA709:AA773)</f>
        <v>58945000</v>
      </c>
      <c r="AB774" s="222"/>
      <c r="AC774" s="229"/>
      <c r="AD774" s="230"/>
      <c r="AE774" s="231"/>
      <c r="AF774" s="232"/>
      <c r="AG774" s="231"/>
    </row>
    <row r="775" customFormat="false" ht="13.5" hidden="false" customHeight="true" outlineLevel="0" collapsed="false">
      <c r="E775" s="233"/>
      <c r="F775" s="179"/>
      <c r="G775" s="199"/>
      <c r="H775" s="188"/>
      <c r="I775" s="185"/>
      <c r="J775" s="185"/>
      <c r="K775" s="185"/>
      <c r="L775" s="206"/>
      <c r="M775" s="206"/>
      <c r="N775" s="206"/>
      <c r="O775" s="206"/>
      <c r="P775" s="199"/>
      <c r="Q775" s="71"/>
      <c r="T775" s="199"/>
      <c r="U775" s="179"/>
      <c r="V775" s="201"/>
      <c r="W775" s="179"/>
      <c r="X775" s="179"/>
      <c r="Y775" s="179"/>
      <c r="Z775" s="178"/>
      <c r="AA775" s="234"/>
      <c r="AB775" s="235"/>
      <c r="AC775" s="3"/>
      <c r="AD775" s="236"/>
      <c r="AE775" s="3"/>
      <c r="AF775" s="237"/>
      <c r="AG775" s="238"/>
    </row>
    <row r="776" customFormat="false" ht="12.75" hidden="false" customHeight="true" outlineLevel="0" collapsed="false">
      <c r="F776" s="178"/>
      <c r="G776" s="165" t="s">
        <v>827</v>
      </c>
      <c r="H776" s="188"/>
      <c r="I776" s="205"/>
      <c r="J776" s="205"/>
      <c r="K776" s="185"/>
      <c r="L776" s="206"/>
      <c r="M776" s="206"/>
      <c r="N776" s="206"/>
      <c r="O776" s="206"/>
      <c r="P776" s="206"/>
      <c r="Q776" s="207"/>
      <c r="R776" s="207"/>
      <c r="S776" s="207"/>
      <c r="T776" s="207"/>
      <c r="U776" s="207"/>
      <c r="V776" s="208"/>
      <c r="W776" s="207"/>
      <c r="X776" s="207"/>
      <c r="Y776" s="207"/>
      <c r="Z776" s="209"/>
      <c r="AA776" s="210"/>
      <c r="AB776" s="209"/>
      <c r="AC776" s="178"/>
      <c r="AD776" s="190"/>
      <c r="AE776" s="178"/>
      <c r="AF776" s="191"/>
      <c r="AG776" s="178"/>
    </row>
    <row r="777" customFormat="false" ht="12.75" hidden="false" customHeight="true" outlineLevel="0" collapsed="false">
      <c r="F777" s="178"/>
      <c r="G777" s="179"/>
      <c r="H777" s="188"/>
      <c r="I777" s="205"/>
      <c r="J777" s="205"/>
      <c r="K777" s="185"/>
      <c r="L777" s="206"/>
      <c r="M777" s="206"/>
      <c r="N777" s="206"/>
      <c r="O777" s="206"/>
      <c r="P777" s="206"/>
      <c r="Q777" s="207"/>
      <c r="R777" s="207"/>
      <c r="S777" s="207"/>
      <c r="T777" s="207"/>
      <c r="U777" s="207"/>
      <c r="V777" s="208"/>
      <c r="W777" s="207"/>
      <c r="X777" s="207"/>
      <c r="Y777" s="207"/>
      <c r="Z777" s="209"/>
      <c r="AA777" s="210"/>
      <c r="AB777" s="209"/>
      <c r="AC777" s="178"/>
      <c r="AD777" s="190"/>
      <c r="AE777" s="178"/>
      <c r="AF777" s="191"/>
      <c r="AG777" s="178"/>
    </row>
    <row r="778" s="166" customFormat="true" ht="22.5" hidden="false" customHeight="true" outlineLevel="0" collapsed="false">
      <c r="B778" s="11" t="s">
        <v>185</v>
      </c>
      <c r="C778" s="166" t="s">
        <v>828</v>
      </c>
      <c r="D778" s="167" t="n">
        <v>888010</v>
      </c>
      <c r="E778" s="167" t="s">
        <v>827</v>
      </c>
      <c r="F778" s="167" t="s">
        <v>829</v>
      </c>
      <c r="G778" s="168" t="s">
        <v>46</v>
      </c>
      <c r="H778" s="170" t="n">
        <v>5662</v>
      </c>
      <c r="I778" s="170" t="n">
        <f aca="false">H778</f>
        <v>5662</v>
      </c>
      <c r="J778" s="170" t="n">
        <v>5500</v>
      </c>
      <c r="K778" s="105" t="s">
        <v>830</v>
      </c>
      <c r="L778" s="171" t="n">
        <v>45192</v>
      </c>
      <c r="M778" s="171" t="n">
        <v>48844</v>
      </c>
      <c r="N778" s="171"/>
      <c r="O778" s="171" t="n">
        <v>47019</v>
      </c>
      <c r="P778" s="171" t="n">
        <v>47018</v>
      </c>
      <c r="Q778" s="175" t="n">
        <v>325000</v>
      </c>
      <c r="R778" s="170" t="n">
        <f aca="false">Q778</f>
        <v>325000</v>
      </c>
      <c r="S778" s="170"/>
      <c r="T778" s="175" t="n">
        <v>650000</v>
      </c>
      <c r="U778" s="170" t="n">
        <f aca="false">T778</f>
        <v>650000</v>
      </c>
      <c r="V778" s="180" t="n">
        <v>1230000</v>
      </c>
      <c r="W778" s="170" t="n">
        <f aca="false">V778</f>
        <v>1230000</v>
      </c>
      <c r="X778" s="44" t="n">
        <f aca="false">T778/H778</f>
        <v>114.800423878488</v>
      </c>
      <c r="Y778" s="170" t="s">
        <v>39</v>
      </c>
      <c r="Z778" s="181"/>
      <c r="AA778" s="182"/>
      <c r="AB778" s="14" t="s">
        <v>40</v>
      </c>
      <c r="AC778" s="167" t="s">
        <v>831</v>
      </c>
      <c r="AD778" s="176"/>
      <c r="AE778" s="167"/>
      <c r="AF778" s="177"/>
      <c r="AG778" s="178"/>
    </row>
    <row r="779" s="166" customFormat="true" ht="22.5" hidden="false" customHeight="true" outlineLevel="0" collapsed="false">
      <c r="B779" s="11" t="s">
        <v>185</v>
      </c>
      <c r="C779" s="166" t="s">
        <v>828</v>
      </c>
      <c r="D779" s="167" t="n">
        <v>888010</v>
      </c>
      <c r="E779" s="167" t="s">
        <v>827</v>
      </c>
      <c r="F779" s="105" t="s">
        <v>832</v>
      </c>
      <c r="G779" s="168" t="s">
        <v>46</v>
      </c>
      <c r="H779" s="170" t="n">
        <v>5350</v>
      </c>
      <c r="I779" s="170" t="n">
        <f aca="false">H779</f>
        <v>5350</v>
      </c>
      <c r="J779" s="170" t="n">
        <v>5500</v>
      </c>
      <c r="K779" s="105" t="s">
        <v>833</v>
      </c>
      <c r="L779" s="171" t="n">
        <v>40651</v>
      </c>
      <c r="M779" s="171" t="n">
        <v>46129</v>
      </c>
      <c r="N779" s="171"/>
      <c r="O779" s="171" t="n">
        <v>44304</v>
      </c>
      <c r="P779" s="171"/>
      <c r="Q779" s="175" t="n">
        <v>730000</v>
      </c>
      <c r="R779" s="170" t="n">
        <f aca="false">Q779</f>
        <v>730000</v>
      </c>
      <c r="S779" s="170"/>
      <c r="T779" s="175" t="n">
        <v>400000</v>
      </c>
      <c r="U779" s="170" t="n">
        <f aca="false">T779</f>
        <v>400000</v>
      </c>
      <c r="V779" s="180" t="n">
        <v>710000</v>
      </c>
      <c r="W779" s="170" t="n">
        <f aca="false">V779</f>
        <v>710000</v>
      </c>
      <c r="X779" s="44" t="n">
        <f aca="false">T779/H779</f>
        <v>74.7663551401869</v>
      </c>
      <c r="Y779" s="170" t="s">
        <v>39</v>
      </c>
      <c r="Z779" s="181"/>
      <c r="AA779" s="182"/>
      <c r="AB779" s="14" t="s">
        <v>165</v>
      </c>
      <c r="AC779" s="167"/>
      <c r="AD779" s="176"/>
      <c r="AE779" s="167"/>
      <c r="AF779" s="177"/>
      <c r="AG779" s="178"/>
    </row>
    <row r="780" s="166" customFormat="true" ht="32.25" hidden="false" customHeight="true" outlineLevel="0" collapsed="false">
      <c r="B780" s="11" t="s">
        <v>185</v>
      </c>
      <c r="C780" s="166" t="s">
        <v>828</v>
      </c>
      <c r="D780" s="167" t="n">
        <v>888010</v>
      </c>
      <c r="E780" s="167" t="s">
        <v>827</v>
      </c>
      <c r="F780" s="167" t="s">
        <v>834</v>
      </c>
      <c r="G780" s="168" t="s">
        <v>46</v>
      </c>
      <c r="H780" s="170" t="n">
        <v>2044</v>
      </c>
      <c r="I780" s="170" t="n">
        <f aca="false">H780</f>
        <v>2044</v>
      </c>
      <c r="J780" s="170" t="n">
        <v>2000</v>
      </c>
      <c r="K780" s="105" t="s">
        <v>835</v>
      </c>
      <c r="L780" s="171" t="n">
        <v>42650</v>
      </c>
      <c r="M780" s="171" t="n">
        <v>46301</v>
      </c>
      <c r="N780" s="171"/>
      <c r="O780" s="171" t="n">
        <v>45885</v>
      </c>
      <c r="P780" s="171"/>
      <c r="Q780" s="175" t="n">
        <v>115701</v>
      </c>
      <c r="R780" s="170" t="n">
        <f aca="false">Q780</f>
        <v>115701</v>
      </c>
      <c r="S780" s="170"/>
      <c r="T780" s="175" t="n">
        <v>110000</v>
      </c>
      <c r="U780" s="170" t="n">
        <f aca="false">T780</f>
        <v>110000</v>
      </c>
      <c r="V780" s="180" t="n">
        <v>112000</v>
      </c>
      <c r="W780" s="170" t="n">
        <f aca="false">V780</f>
        <v>112000</v>
      </c>
      <c r="X780" s="44" t="n">
        <f aca="false">T780/H780</f>
        <v>53.8160469667319</v>
      </c>
      <c r="Y780" s="170" t="s">
        <v>52</v>
      </c>
      <c r="Z780" s="181"/>
      <c r="AA780" s="182"/>
      <c r="AB780" s="14" t="s">
        <v>40</v>
      </c>
      <c r="AC780" s="167" t="s">
        <v>836</v>
      </c>
      <c r="AD780" s="176"/>
      <c r="AE780" s="167"/>
      <c r="AF780" s="177"/>
      <c r="AG780" s="178"/>
    </row>
    <row r="781" s="166" customFormat="true" ht="22.5" hidden="false" customHeight="true" outlineLevel="0" collapsed="false">
      <c r="B781" s="11" t="s">
        <v>185</v>
      </c>
      <c r="C781" s="166" t="s">
        <v>828</v>
      </c>
      <c r="D781" s="167" t="n">
        <v>888010</v>
      </c>
      <c r="E781" s="167" t="s">
        <v>827</v>
      </c>
      <c r="F781" s="167" t="s">
        <v>837</v>
      </c>
      <c r="G781" s="168" t="s">
        <v>37</v>
      </c>
      <c r="H781" s="170" t="n">
        <v>4463</v>
      </c>
      <c r="I781" s="170" t="n">
        <f aca="false">H781</f>
        <v>4463</v>
      </c>
      <c r="J781" s="170" t="n">
        <v>4500</v>
      </c>
      <c r="K781" s="105" t="s">
        <v>838</v>
      </c>
      <c r="L781" s="171" t="n">
        <v>42286</v>
      </c>
      <c r="M781" s="171" t="n">
        <v>45938</v>
      </c>
      <c r="N781" s="171"/>
      <c r="O781" s="171" t="n">
        <v>44113</v>
      </c>
      <c r="P781" s="171"/>
      <c r="Q781" s="175" t="n">
        <v>367290</v>
      </c>
      <c r="R781" s="170" t="n">
        <f aca="false">Q781</f>
        <v>367290</v>
      </c>
      <c r="S781" s="170"/>
      <c r="T781" s="175" t="n">
        <v>345000</v>
      </c>
      <c r="U781" s="170" t="n">
        <f aca="false">T781</f>
        <v>345000</v>
      </c>
      <c r="V781" s="180" t="n">
        <v>368000</v>
      </c>
      <c r="W781" s="170" t="n">
        <f aca="false">V781</f>
        <v>368000</v>
      </c>
      <c r="X781" s="44" t="n">
        <f aca="false">T781/H781</f>
        <v>77.3022630517589</v>
      </c>
      <c r="Y781" s="170" t="s">
        <v>52</v>
      </c>
      <c r="Z781" s="181"/>
      <c r="AA781" s="182"/>
      <c r="AB781" s="14" t="s">
        <v>40</v>
      </c>
      <c r="AC781" s="219" t="s">
        <v>839</v>
      </c>
      <c r="AD781" s="176"/>
      <c r="AE781" s="167"/>
      <c r="AF781" s="177"/>
      <c r="AG781" s="178"/>
    </row>
    <row r="782" s="166" customFormat="true" ht="22.5" hidden="false" customHeight="true" outlineLevel="0" collapsed="false">
      <c r="B782" s="11" t="s">
        <v>185</v>
      </c>
      <c r="C782" s="166" t="s">
        <v>828</v>
      </c>
      <c r="D782" s="167" t="n">
        <v>888010</v>
      </c>
      <c r="E782" s="167" t="s">
        <v>827</v>
      </c>
      <c r="F782" s="167" t="s">
        <v>840</v>
      </c>
      <c r="G782" s="168" t="s">
        <v>37</v>
      </c>
      <c r="H782" s="170" t="n">
        <v>4462</v>
      </c>
      <c r="I782" s="170" t="n">
        <f aca="false">H782</f>
        <v>4462</v>
      </c>
      <c r="J782" s="170" t="n">
        <v>4500</v>
      </c>
      <c r="K782" s="105" t="s">
        <v>63</v>
      </c>
      <c r="L782" s="171"/>
      <c r="M782" s="171"/>
      <c r="N782" s="171" t="n">
        <v>45490</v>
      </c>
      <c r="O782" s="171"/>
      <c r="P782" s="171"/>
      <c r="Q782" s="175" t="n">
        <v>0</v>
      </c>
      <c r="R782" s="170" t="n">
        <f aca="false">Q782</f>
        <v>0</v>
      </c>
      <c r="S782" s="170"/>
      <c r="T782" s="175" t="n">
        <v>357800</v>
      </c>
      <c r="U782" s="170" t="n">
        <f aca="false">T782</f>
        <v>357800</v>
      </c>
      <c r="V782" s="180" t="n">
        <v>379000</v>
      </c>
      <c r="W782" s="170" t="n">
        <f aca="false">V782</f>
        <v>379000</v>
      </c>
      <c r="X782" s="44" t="n">
        <f aca="false">T782/H782</f>
        <v>80.1882563872703</v>
      </c>
      <c r="Y782" s="170" t="s">
        <v>453</v>
      </c>
      <c r="Z782" s="181"/>
      <c r="AA782" s="182"/>
      <c r="AB782" s="181"/>
      <c r="AC782" s="4" t="s">
        <v>64</v>
      </c>
      <c r="AD782" s="239" t="n">
        <v>85</v>
      </c>
      <c r="AE782" s="240" t="n">
        <v>1</v>
      </c>
      <c r="AF782" s="241" t="n">
        <v>4</v>
      </c>
      <c r="AG782" s="238" t="s">
        <v>841</v>
      </c>
    </row>
    <row r="783" s="166" customFormat="true" ht="33.75" hidden="false" customHeight="true" outlineLevel="0" collapsed="false">
      <c r="B783" s="11" t="s">
        <v>185</v>
      </c>
      <c r="C783" s="166" t="s">
        <v>828</v>
      </c>
      <c r="D783" s="167" t="n">
        <v>888010</v>
      </c>
      <c r="E783" s="167" t="s">
        <v>827</v>
      </c>
      <c r="F783" s="167" t="s">
        <v>842</v>
      </c>
      <c r="G783" s="168" t="s">
        <v>37</v>
      </c>
      <c r="H783" s="170" t="n">
        <v>4250</v>
      </c>
      <c r="I783" s="170" t="n">
        <f aca="false">H783</f>
        <v>4250</v>
      </c>
      <c r="J783" s="170" t="n">
        <v>4500</v>
      </c>
      <c r="K783" s="105" t="s">
        <v>843</v>
      </c>
      <c r="L783" s="171" t="n">
        <v>45786</v>
      </c>
      <c r="M783" s="171" t="n">
        <v>49437</v>
      </c>
      <c r="N783" s="171"/>
      <c r="O783" s="171" t="n">
        <v>47612</v>
      </c>
      <c r="P783" s="171" t="n">
        <v>47611</v>
      </c>
      <c r="Q783" s="175" t="n">
        <v>0</v>
      </c>
      <c r="R783" s="170" t="n">
        <f aca="false">Q783</f>
        <v>0</v>
      </c>
      <c r="S783" s="170"/>
      <c r="T783" s="175" t="n">
        <v>358600</v>
      </c>
      <c r="U783" s="170" t="n">
        <f aca="false">T783</f>
        <v>358600</v>
      </c>
      <c r="V783" s="180" t="n">
        <v>361000</v>
      </c>
      <c r="W783" s="170" t="n">
        <f aca="false">V783</f>
        <v>361000</v>
      </c>
      <c r="X783" s="44" t="n">
        <f aca="false">T783/H783</f>
        <v>84.3764705882353</v>
      </c>
      <c r="Y783" s="170" t="s">
        <v>453</v>
      </c>
      <c r="Z783" s="181"/>
      <c r="AA783" s="182"/>
      <c r="AB783" s="181"/>
      <c r="AC783" s="167" t="s">
        <v>844</v>
      </c>
      <c r="AD783" s="176" t="n">
        <v>85</v>
      </c>
      <c r="AE783" s="242" t="n">
        <v>1</v>
      </c>
      <c r="AF783" s="241" t="n">
        <v>3</v>
      </c>
      <c r="AG783" s="238" t="s">
        <v>841</v>
      </c>
    </row>
    <row r="784" s="166" customFormat="true" ht="22.5" hidden="false" customHeight="true" outlineLevel="0" collapsed="false">
      <c r="B784" s="11" t="s">
        <v>185</v>
      </c>
      <c r="C784" s="166" t="s">
        <v>828</v>
      </c>
      <c r="D784" s="167" t="n">
        <v>888010</v>
      </c>
      <c r="E784" s="167" t="s">
        <v>827</v>
      </c>
      <c r="F784" s="167" t="s">
        <v>845</v>
      </c>
      <c r="G784" s="168" t="s">
        <v>37</v>
      </c>
      <c r="H784" s="170" t="n">
        <v>3999</v>
      </c>
      <c r="I784" s="170" t="n">
        <f aca="false">H784</f>
        <v>3999</v>
      </c>
      <c r="J784" s="170" t="n">
        <v>4000</v>
      </c>
      <c r="K784" s="105" t="s">
        <v>846</v>
      </c>
      <c r="L784" s="171" t="n">
        <v>44183</v>
      </c>
      <c r="M784" s="171" t="n">
        <v>46373</v>
      </c>
      <c r="N784" s="171"/>
      <c r="O784" s="171"/>
      <c r="P784" s="171"/>
      <c r="Q784" s="175" t="n">
        <v>348163</v>
      </c>
      <c r="R784" s="170" t="n">
        <f aca="false">Q784</f>
        <v>348163</v>
      </c>
      <c r="S784" s="170"/>
      <c r="T784" s="175" t="n">
        <v>352000</v>
      </c>
      <c r="U784" s="170" t="n">
        <f aca="false">T784</f>
        <v>352000</v>
      </c>
      <c r="V784" s="180" t="n">
        <v>350000</v>
      </c>
      <c r="W784" s="170" t="n">
        <f aca="false">V784</f>
        <v>350000</v>
      </c>
      <c r="X784" s="44" t="n">
        <f aca="false">T784/H784</f>
        <v>88.0220055013754</v>
      </c>
      <c r="Y784" s="170" t="s">
        <v>52</v>
      </c>
      <c r="Z784" s="181"/>
      <c r="AA784" s="182"/>
      <c r="AB784" s="14" t="s">
        <v>40</v>
      </c>
      <c r="AC784" s="167" t="s">
        <v>847</v>
      </c>
      <c r="AD784" s="176"/>
      <c r="AE784" s="167"/>
      <c r="AF784" s="177"/>
      <c r="AG784" s="178"/>
    </row>
    <row r="785" s="166" customFormat="true" ht="22.5" hidden="false" customHeight="true" outlineLevel="0" collapsed="false">
      <c r="B785" s="11" t="s">
        <v>185</v>
      </c>
      <c r="C785" s="166" t="s">
        <v>828</v>
      </c>
      <c r="D785" s="167" t="n">
        <v>888010</v>
      </c>
      <c r="E785" s="167" t="s">
        <v>827</v>
      </c>
      <c r="F785" s="167" t="s">
        <v>848</v>
      </c>
      <c r="G785" s="168" t="s">
        <v>37</v>
      </c>
      <c r="H785" s="170" t="n">
        <v>3145</v>
      </c>
      <c r="I785" s="170" t="n">
        <f aca="false">H785</f>
        <v>3145</v>
      </c>
      <c r="J785" s="170" t="n">
        <v>3000</v>
      </c>
      <c r="K785" s="105" t="s">
        <v>846</v>
      </c>
      <c r="L785" s="171" t="n">
        <v>44217</v>
      </c>
      <c r="M785" s="171" t="n">
        <v>46373</v>
      </c>
      <c r="N785" s="171"/>
      <c r="O785" s="171"/>
      <c r="P785" s="171"/>
      <c r="Q785" s="175" t="n">
        <v>281873</v>
      </c>
      <c r="R785" s="170" t="n">
        <f aca="false">Q785</f>
        <v>281873</v>
      </c>
      <c r="S785" s="170"/>
      <c r="T785" s="175" t="n">
        <v>284800</v>
      </c>
      <c r="U785" s="170" t="n">
        <f aca="false">T785</f>
        <v>284800</v>
      </c>
      <c r="V785" s="180" t="n">
        <v>283000</v>
      </c>
      <c r="W785" s="170" t="n">
        <f aca="false">V785</f>
        <v>283000</v>
      </c>
      <c r="X785" s="44" t="n">
        <f aca="false">T785/H785</f>
        <v>90.5564387917329</v>
      </c>
      <c r="Y785" s="170" t="s">
        <v>52</v>
      </c>
      <c r="Z785" s="181"/>
      <c r="AA785" s="182"/>
      <c r="AB785" s="14" t="s">
        <v>40</v>
      </c>
      <c r="AC785" s="167" t="s">
        <v>847</v>
      </c>
      <c r="AD785" s="176"/>
      <c r="AE785" s="167"/>
      <c r="AF785" s="177"/>
      <c r="AG785" s="167"/>
    </row>
    <row r="786" s="166" customFormat="true" ht="22.5" hidden="false" customHeight="true" outlineLevel="0" collapsed="false">
      <c r="B786" s="11" t="s">
        <v>185</v>
      </c>
      <c r="C786" s="166" t="s">
        <v>828</v>
      </c>
      <c r="D786" s="167" t="n">
        <v>888010</v>
      </c>
      <c r="E786" s="167" t="s">
        <v>827</v>
      </c>
      <c r="F786" s="167" t="s">
        <v>743</v>
      </c>
      <c r="G786" s="168" t="s">
        <v>163</v>
      </c>
      <c r="H786" s="170" t="n">
        <v>0</v>
      </c>
      <c r="I786" s="170" t="n">
        <f aca="false">H786</f>
        <v>0</v>
      </c>
      <c r="J786" s="170"/>
      <c r="K786" s="105" t="s">
        <v>849</v>
      </c>
      <c r="L786" s="243" t="n">
        <v>20814</v>
      </c>
      <c r="M786" s="243" t="n">
        <v>39073</v>
      </c>
      <c r="N786" s="243"/>
      <c r="O786" s="171"/>
      <c r="P786" s="171"/>
      <c r="Q786" s="175" t="n">
        <v>0</v>
      </c>
      <c r="R786" s="170" t="n">
        <f aca="false">Q786</f>
        <v>0</v>
      </c>
      <c r="S786" s="170"/>
      <c r="T786" s="175" t="n">
        <v>0</v>
      </c>
      <c r="U786" s="170" t="n">
        <f aca="false">T786</f>
        <v>0</v>
      </c>
      <c r="V786" s="180" t="n">
        <v>0</v>
      </c>
      <c r="W786" s="170" t="n">
        <f aca="false">V786</f>
        <v>0</v>
      </c>
      <c r="X786" s="44"/>
      <c r="Y786" s="170"/>
      <c r="Z786" s="181"/>
      <c r="AA786" s="182"/>
      <c r="AB786" s="14" t="s">
        <v>165</v>
      </c>
      <c r="AC786" s="167" t="s">
        <v>850</v>
      </c>
      <c r="AD786" s="176"/>
      <c r="AE786" s="167"/>
      <c r="AF786" s="177"/>
      <c r="AG786" s="167"/>
    </row>
    <row r="787" customFormat="false" ht="12.75" hidden="false" customHeight="true" outlineLevel="0" collapsed="false">
      <c r="F787" s="178"/>
      <c r="G787" s="179"/>
      <c r="H787" s="188"/>
      <c r="I787" s="188"/>
      <c r="J787" s="188"/>
      <c r="K787" s="185"/>
      <c r="L787" s="206"/>
      <c r="M787" s="206"/>
      <c r="N787" s="206"/>
      <c r="O787" s="206"/>
      <c r="P787" s="206"/>
      <c r="Q787" s="244"/>
      <c r="R787" s="188"/>
      <c r="S787" s="188"/>
      <c r="T787" s="244"/>
      <c r="U787" s="205"/>
      <c r="V787" s="245"/>
      <c r="W787" s="205"/>
      <c r="X787" s="205"/>
      <c r="Y787" s="205"/>
      <c r="Z787" s="209"/>
      <c r="AA787" s="210"/>
      <c r="AB787" s="209"/>
      <c r="AC787" s="178"/>
      <c r="AD787" s="190"/>
      <c r="AE787" s="178"/>
      <c r="AF787" s="191"/>
      <c r="AG787" s="178"/>
    </row>
    <row r="788" customFormat="false" ht="13.5" hidden="false" customHeight="true" outlineLevel="0" collapsed="false">
      <c r="F788" s="143" t="s">
        <v>851</v>
      </c>
      <c r="G788" s="222"/>
      <c r="H788" s="223" t="n">
        <f aca="false">SUM(H777:H786)</f>
        <v>33375</v>
      </c>
      <c r="I788" s="223"/>
      <c r="J788" s="223"/>
      <c r="K788" s="225"/>
      <c r="L788" s="226"/>
      <c r="M788" s="226"/>
      <c r="N788" s="226"/>
      <c r="O788" s="226"/>
      <c r="P788" s="226"/>
      <c r="Q788" s="228" t="n">
        <f aca="false">SUM(Q777:Q786)</f>
        <v>2168027</v>
      </c>
      <c r="R788" s="246"/>
      <c r="S788" s="246"/>
      <c r="T788" s="145" t="n">
        <f aca="false">SUM(U778:U786)</f>
        <v>2858200</v>
      </c>
      <c r="U788" s="246"/>
      <c r="V788" s="150" t="n">
        <f aca="false">SUM(W778:W785)</f>
        <v>3793000</v>
      </c>
      <c r="W788" s="246"/>
      <c r="X788" s="246"/>
      <c r="Y788" s="246"/>
      <c r="Z788" s="247"/>
      <c r="AA788" s="228" t="n">
        <v>66100000</v>
      </c>
      <c r="AB788" s="223"/>
      <c r="AC788" s="229"/>
      <c r="AD788" s="230"/>
      <c r="AE788" s="231"/>
      <c r="AF788" s="231"/>
      <c r="AG788" s="231"/>
    </row>
    <row r="789" customFormat="false" ht="14.25" hidden="false" customHeight="true" outlineLevel="0" collapsed="false">
      <c r="T789" s="9"/>
      <c r="U789" s="9"/>
      <c r="V789" s="63"/>
      <c r="W789" s="9"/>
      <c r="X789" s="9"/>
      <c r="Y789" s="9"/>
      <c r="Z789" s="40"/>
    </row>
    <row r="790" customFormat="false" ht="14.25" hidden="false" customHeight="true" outlineLevel="0" collapsed="false">
      <c r="T790" s="9"/>
      <c r="U790" s="9"/>
      <c r="V790" s="63"/>
      <c r="W790" s="9"/>
      <c r="X790" s="9"/>
      <c r="Y790" s="9"/>
      <c r="Z790" s="40"/>
    </row>
    <row r="791" customFormat="false" ht="14.25" hidden="false" customHeight="true" outlineLevel="0" collapsed="false">
      <c r="F791" s="143" t="s">
        <v>825</v>
      </c>
      <c r="G791" s="248"/>
      <c r="H791" s="228" t="n">
        <f aca="false">H788+H774+H707</f>
        <v>904275</v>
      </c>
      <c r="I791" s="249"/>
      <c r="J791" s="249"/>
      <c r="K791" s="250"/>
      <c r="L791" s="251"/>
      <c r="M791" s="252"/>
      <c r="N791" s="252"/>
      <c r="O791" s="252"/>
      <c r="P791" s="252"/>
      <c r="Q791" s="228" t="n">
        <f aca="false">Q788+Q774+Q707</f>
        <v>39708098</v>
      </c>
      <c r="R791" s="227"/>
      <c r="S791" s="227"/>
      <c r="T791" s="223" t="n">
        <f aca="false">T788+T774+T707</f>
        <v>50794076</v>
      </c>
      <c r="U791" s="227"/>
      <c r="V791" s="228" t="n">
        <f aca="false">V788+V774+V707</f>
        <v>57196391</v>
      </c>
      <c r="W791" s="227"/>
      <c r="X791" s="227"/>
      <c r="Y791" s="227"/>
      <c r="Z791" s="253"/>
      <c r="AA791" s="228" t="n">
        <f aca="false">AA788+AA774+AA707</f>
        <v>895705000</v>
      </c>
      <c r="AB791" s="254"/>
      <c r="AC791" s="250"/>
      <c r="AD791" s="255"/>
      <c r="AE791" s="256"/>
      <c r="AF791" s="256"/>
      <c r="AG791" s="256"/>
    </row>
    <row r="792" customFormat="false" ht="14.25" hidden="false" customHeight="true" outlineLevel="0" collapsed="false">
      <c r="F792" s="257"/>
      <c r="G792" s="257"/>
      <c r="H792" s="257"/>
      <c r="I792" s="258"/>
      <c r="J792" s="258"/>
      <c r="K792" s="259"/>
      <c r="L792" s="73"/>
      <c r="T792" s="9"/>
      <c r="U792" s="9"/>
      <c r="V792" s="63"/>
      <c r="W792" s="9"/>
      <c r="X792" s="9"/>
      <c r="Y792" s="9"/>
      <c r="Z792" s="40"/>
    </row>
    <row r="793" customFormat="false" ht="14.25" hidden="false" customHeight="true" outlineLevel="0" collapsed="false">
      <c r="F793" s="257" t="s">
        <v>852</v>
      </c>
      <c r="G793" s="257"/>
      <c r="H793" s="41"/>
      <c r="I793" s="41"/>
      <c r="J793" s="41"/>
      <c r="Q793" s="42" t="n">
        <v>188082</v>
      </c>
      <c r="R793" s="42"/>
      <c r="S793" s="42"/>
      <c r="T793" s="42" t="n">
        <v>188082</v>
      </c>
      <c r="U793" s="42"/>
      <c r="V793" s="42" t="n">
        <v>188082</v>
      </c>
      <c r="W793" s="42"/>
      <c r="X793" s="42"/>
      <c r="Y793" s="42"/>
      <c r="Z793" s="64"/>
      <c r="AA793" s="43" t="n">
        <v>22150000</v>
      </c>
      <c r="AB793" s="140"/>
    </row>
    <row r="794" customFormat="false" ht="14.25" hidden="false" customHeight="true" outlineLevel="0" collapsed="false">
      <c r="F794" s="257" t="s">
        <v>853</v>
      </c>
      <c r="G794" s="257"/>
      <c r="H794" s="260" t="s">
        <v>854</v>
      </c>
      <c r="I794" s="260"/>
      <c r="J794" s="260"/>
      <c r="K794" s="260"/>
      <c r="Q794" s="42"/>
      <c r="R794" s="42"/>
      <c r="S794" s="42"/>
      <c r="T794" s="42"/>
      <c r="U794" s="42"/>
      <c r="V794" s="42"/>
      <c r="W794" s="42"/>
      <c r="X794" s="42"/>
      <c r="Y794" s="42"/>
      <c r="Z794" s="64"/>
      <c r="AA794" s="43"/>
      <c r="AB794" s="140"/>
      <c r="AE794" s="240" t="n">
        <f aca="false">SUM(AE4:AE793)</f>
        <v>33</v>
      </c>
      <c r="AF794" s="240" t="n">
        <f aca="false">SUM(AF4:AF793)</f>
        <v>145</v>
      </c>
    </row>
    <row r="795" customFormat="false" ht="14.25" hidden="false" customHeight="true" outlineLevel="0" collapsed="false">
      <c r="F795" s="257" t="s">
        <v>855</v>
      </c>
      <c r="G795" s="257"/>
      <c r="H795" s="261"/>
      <c r="I795" s="41"/>
      <c r="J795" s="41"/>
      <c r="Q795" s="42" t="n">
        <v>44897</v>
      </c>
      <c r="R795" s="42"/>
      <c r="S795" s="42"/>
      <c r="T795" s="42" t="n">
        <v>44897</v>
      </c>
      <c r="U795" s="42"/>
      <c r="V795" s="42" t="n">
        <v>44897</v>
      </c>
      <c r="W795" s="42"/>
      <c r="X795" s="42"/>
      <c r="Y795" s="42"/>
      <c r="Z795" s="64"/>
      <c r="AA795" s="43" t="n">
        <v>5720000</v>
      </c>
      <c r="AB795" s="140"/>
    </row>
    <row r="796" customFormat="false" ht="14.25" hidden="false" customHeight="true" outlineLevel="0" collapsed="false">
      <c r="F796" s="257" t="s">
        <v>856</v>
      </c>
      <c r="G796" s="257"/>
      <c r="H796" s="260" t="s">
        <v>857</v>
      </c>
      <c r="I796" s="260"/>
      <c r="J796" s="260"/>
      <c r="K796" s="260"/>
      <c r="T796" s="9"/>
      <c r="U796" s="9"/>
      <c r="V796" s="63"/>
      <c r="W796" s="9"/>
      <c r="X796" s="9"/>
      <c r="Y796" s="9"/>
      <c r="Z796" s="40"/>
      <c r="AA796" s="43"/>
    </row>
    <row r="797" customFormat="false" ht="14.25" hidden="false" customHeight="true" outlineLevel="0" collapsed="false">
      <c r="K797" s="262" t="s">
        <v>858</v>
      </c>
      <c r="L797" s="263"/>
      <c r="M797" s="264"/>
      <c r="N797" s="264"/>
      <c r="O797" s="264"/>
      <c r="P797" s="264"/>
      <c r="Q797" s="265" t="n">
        <f aca="false">SUM(Q791:Q796)</f>
        <v>39941077</v>
      </c>
      <c r="R797" s="266"/>
      <c r="S797" s="266"/>
      <c r="T797" s="266" t="n">
        <f aca="false">SUM(T791:T796)</f>
        <v>51027055</v>
      </c>
      <c r="U797" s="266"/>
      <c r="V797" s="265" t="n">
        <f aca="false">SUM(V791:V796)</f>
        <v>57429370</v>
      </c>
      <c r="W797" s="266"/>
      <c r="X797" s="266"/>
      <c r="Y797" s="266"/>
      <c r="Z797" s="267"/>
      <c r="AA797" s="265" t="n">
        <f aca="false">SUM(AA791:AA796)</f>
        <v>923575000</v>
      </c>
      <c r="AB797" s="140"/>
    </row>
    <row r="798" customFormat="false" ht="14.25" hidden="false" customHeight="true" outlineLevel="0" collapsed="false">
      <c r="K798" s="262"/>
      <c r="L798" s="263"/>
      <c r="M798" s="264"/>
      <c r="N798" s="264"/>
      <c r="O798" s="264"/>
      <c r="P798" s="264"/>
      <c r="Q798" s="265"/>
      <c r="R798" s="266"/>
      <c r="S798" s="266"/>
      <c r="T798" s="266"/>
      <c r="U798" s="266"/>
      <c r="V798" s="265"/>
      <c r="W798" s="266"/>
      <c r="X798" s="266"/>
      <c r="Y798" s="266"/>
      <c r="Z798" s="267"/>
      <c r="AA798" s="266"/>
      <c r="AB798" s="140"/>
    </row>
    <row r="799" customFormat="false" ht="14.25" hidden="false" customHeight="true" outlineLevel="0" collapsed="false">
      <c r="K799" s="92"/>
      <c r="L799" s="130"/>
      <c r="Q799" s="43"/>
      <c r="R799" s="43"/>
      <c r="S799" s="43"/>
      <c r="T799" s="43"/>
      <c r="U799" s="42"/>
      <c r="V799" s="43"/>
      <c r="W799" s="42"/>
      <c r="X799" s="42"/>
      <c r="Y799" s="42"/>
      <c r="Z799" s="64"/>
      <c r="AA799" s="62"/>
      <c r="AB799" s="140"/>
    </row>
    <row r="800" customFormat="false" ht="14.25" hidden="false" customHeight="true" outlineLevel="0" collapsed="false">
      <c r="G800" s="268" t="s">
        <v>859</v>
      </c>
      <c r="T800" s="63"/>
      <c r="U800" s="9"/>
      <c r="V800" s="63"/>
      <c r="W800" s="9"/>
      <c r="X800" s="9"/>
      <c r="Y800" s="9"/>
      <c r="Z800" s="40"/>
    </row>
    <row r="801" customFormat="false" ht="14.25" hidden="false" customHeight="true" outlineLevel="0" collapsed="false">
      <c r="G801" s="28" t="s">
        <v>860</v>
      </c>
      <c r="H801" s="28"/>
      <c r="I801" s="28"/>
      <c r="J801" s="28"/>
      <c r="K801" s="28"/>
      <c r="L801" s="28"/>
      <c r="M801" s="28"/>
      <c r="N801" s="28"/>
      <c r="O801" s="28"/>
      <c r="P801" s="28"/>
      <c r="Q801" s="28"/>
      <c r="R801" s="28"/>
      <c r="S801" s="28"/>
      <c r="T801" s="269"/>
      <c r="U801" s="28"/>
      <c r="V801" s="269"/>
      <c r="W801" s="28"/>
      <c r="X801" s="28"/>
      <c r="Y801" s="28"/>
      <c r="Z801" s="28"/>
      <c r="AA801" s="10"/>
      <c r="AB801" s="28"/>
      <c r="AC801" s="28"/>
      <c r="AD801" s="270"/>
      <c r="AE801" s="28"/>
      <c r="AF801" s="28"/>
      <c r="AG801" s="28"/>
    </row>
    <row r="802" customFormat="false" ht="14.25" hidden="false" customHeight="true" outlineLevel="0" collapsed="false">
      <c r="G802" s="257" t="s">
        <v>861</v>
      </c>
      <c r="L802" s="8"/>
      <c r="T802" s="271"/>
      <c r="U802" s="9"/>
      <c r="V802" s="63"/>
      <c r="W802" s="9"/>
      <c r="X802" s="9"/>
      <c r="Y802" s="9"/>
      <c r="Z802" s="40"/>
    </row>
    <row r="803" customFormat="false" ht="14.25" hidden="false" customHeight="true" outlineLevel="0" collapsed="false">
      <c r="G803" s="257" t="s">
        <v>862</v>
      </c>
      <c r="H803" s="41"/>
      <c r="I803" s="41"/>
      <c r="J803" s="41"/>
      <c r="T803" s="271"/>
      <c r="U803" s="9"/>
      <c r="V803" s="63"/>
      <c r="W803" s="9"/>
      <c r="X803" s="9"/>
      <c r="Y803" s="9"/>
      <c r="Z803" s="40"/>
    </row>
    <row r="804" customFormat="false" ht="14.25" hidden="false" customHeight="true" outlineLevel="0" collapsed="false">
      <c r="G804" s="257"/>
      <c r="K804" s="272"/>
      <c r="T804" s="63"/>
      <c r="U804" s="9"/>
      <c r="V804" s="63"/>
      <c r="W804" s="9"/>
      <c r="X804" s="9"/>
      <c r="Y804" s="9"/>
      <c r="Z804" s="40"/>
    </row>
    <row r="805" customFormat="false" ht="14.25" hidden="false" customHeight="true" outlineLevel="0" collapsed="false">
      <c r="G805" s="257"/>
      <c r="K805" s="272"/>
      <c r="T805" s="63"/>
      <c r="U805" s="9"/>
      <c r="V805" s="63"/>
      <c r="W805" s="9"/>
      <c r="X805" s="9"/>
      <c r="Y805" s="9"/>
      <c r="Z805" s="40"/>
    </row>
    <row r="806" customFormat="false" ht="14.25" hidden="false" customHeight="true" outlineLevel="0" collapsed="false">
      <c r="G806" s="257"/>
      <c r="K806" s="272"/>
      <c r="T806" s="63"/>
      <c r="U806" s="9"/>
      <c r="V806" s="63"/>
      <c r="W806" s="9"/>
      <c r="X806" s="9"/>
      <c r="Y806" s="9"/>
      <c r="Z806" s="40"/>
    </row>
    <row r="807" customFormat="false" ht="14.25" hidden="false" customHeight="true" outlineLevel="0" collapsed="false">
      <c r="K807" s="272" t="s">
        <v>863</v>
      </c>
      <c r="T807" s="63"/>
      <c r="U807" s="9"/>
      <c r="V807" s="63"/>
      <c r="W807" s="9"/>
      <c r="X807" s="9"/>
      <c r="Y807" s="9"/>
      <c r="Z807" s="40"/>
    </row>
    <row r="808" customFormat="false" ht="13.5" hidden="false" customHeight="true" outlineLevel="0" collapsed="false">
      <c r="G808" s="273"/>
      <c r="T808" s="63"/>
      <c r="U808" s="9"/>
      <c r="V808" s="63"/>
      <c r="W808" s="9"/>
      <c r="X808" s="9"/>
      <c r="Y808" s="9"/>
      <c r="Z808" s="40"/>
    </row>
    <row r="809" customFormat="false" ht="13.5" hidden="false" customHeight="true" outlineLevel="0" collapsed="false">
      <c r="T809" s="63"/>
      <c r="U809" s="9"/>
      <c r="V809" s="63"/>
      <c r="W809" s="9"/>
      <c r="X809" s="9"/>
      <c r="Y809" s="9"/>
      <c r="Z809" s="40"/>
    </row>
    <row r="810" customFormat="false" ht="15" hidden="false" customHeight="true" outlineLevel="0" collapsed="false">
      <c r="T810" s="63"/>
      <c r="U810" s="9"/>
      <c r="V810" s="63"/>
      <c r="W810" s="9"/>
      <c r="X810" s="9"/>
      <c r="Y810" s="9"/>
      <c r="Z810" s="40"/>
      <c r="AA810" s="274"/>
      <c r="AB810" s="275"/>
      <c r="AC810" s="133"/>
      <c r="AD810" s="276"/>
      <c r="AE810" s="277"/>
      <c r="AF810" s="277"/>
      <c r="AG810" s="277"/>
    </row>
    <row r="811" customFormat="false" ht="15" hidden="false" customHeight="true" outlineLevel="0" collapsed="false">
      <c r="T811" s="63"/>
      <c r="U811" s="9"/>
      <c r="V811" s="63"/>
      <c r="W811" s="9"/>
      <c r="X811" s="9"/>
      <c r="Y811" s="9"/>
      <c r="Z811" s="40"/>
      <c r="AA811" s="274"/>
      <c r="AB811" s="275"/>
      <c r="AC811" s="133"/>
      <c r="AD811" s="276"/>
      <c r="AE811" s="277"/>
      <c r="AF811" s="277"/>
      <c r="AG811" s="277"/>
    </row>
    <row r="812" customFormat="false" ht="15" hidden="false" customHeight="true" outlineLevel="0" collapsed="false">
      <c r="T812" s="63"/>
      <c r="U812" s="9"/>
      <c r="V812" s="63"/>
      <c r="W812" s="9"/>
      <c r="X812" s="9"/>
      <c r="Y812" s="9"/>
      <c r="Z812" s="40"/>
      <c r="AA812" s="274"/>
      <c r="AB812" s="275"/>
      <c r="AC812" s="133"/>
      <c r="AD812" s="276"/>
      <c r="AE812" s="277"/>
      <c r="AF812" s="277"/>
      <c r="AG812" s="277"/>
    </row>
    <row r="813" customFormat="false" ht="15" hidden="false" customHeight="true" outlineLevel="0" collapsed="false">
      <c r="T813" s="63"/>
      <c r="U813" s="9"/>
      <c r="V813" s="63"/>
      <c r="W813" s="9"/>
      <c r="X813" s="9"/>
      <c r="Y813" s="9"/>
      <c r="Z813" s="40"/>
      <c r="AA813" s="274"/>
      <c r="AB813" s="275"/>
      <c r="AC813" s="133"/>
      <c r="AD813" s="276"/>
      <c r="AE813" s="277"/>
      <c r="AF813" s="277"/>
      <c r="AG813" s="277"/>
    </row>
    <row r="814" customFormat="false" ht="15" hidden="false" customHeight="true" outlineLevel="0" collapsed="false">
      <c r="T814" s="63"/>
      <c r="U814" s="9"/>
      <c r="V814" s="63"/>
      <c r="W814" s="9"/>
      <c r="X814" s="9"/>
      <c r="Y814" s="9"/>
      <c r="Z814" s="40"/>
      <c r="AA814" s="274"/>
      <c r="AB814" s="275"/>
      <c r="AC814" s="133"/>
      <c r="AD814" s="276"/>
      <c r="AE814" s="277"/>
      <c r="AF814" s="277"/>
      <c r="AG814" s="277"/>
    </row>
    <row r="815" customFormat="false" ht="15" hidden="false" customHeight="true" outlineLevel="0" collapsed="false">
      <c r="T815" s="63"/>
      <c r="U815" s="9"/>
      <c r="V815" s="63"/>
      <c r="W815" s="9"/>
      <c r="X815" s="9"/>
      <c r="Y815" s="9"/>
      <c r="Z815" s="40"/>
      <c r="AA815" s="274"/>
      <c r="AB815" s="275"/>
      <c r="AC815" s="133"/>
      <c r="AD815" s="276"/>
      <c r="AE815" s="277"/>
      <c r="AF815" s="277"/>
      <c r="AG815" s="277"/>
    </row>
    <row r="816" customFormat="false" ht="15" hidden="false" customHeight="true" outlineLevel="0" collapsed="false">
      <c r="K816" s="94"/>
      <c r="T816" s="63"/>
      <c r="U816" s="9"/>
      <c r="V816" s="63"/>
      <c r="W816" s="9"/>
      <c r="X816" s="9"/>
      <c r="Y816" s="9"/>
      <c r="Z816" s="40"/>
      <c r="AA816" s="274"/>
      <c r="AB816" s="275"/>
      <c r="AC816" s="133"/>
      <c r="AD816" s="276"/>
      <c r="AE816" s="277"/>
      <c r="AF816" s="277"/>
      <c r="AG816" s="277"/>
    </row>
    <row r="817" customFormat="false" ht="15" hidden="false" customHeight="true" outlineLevel="0" collapsed="false">
      <c r="T817" s="63"/>
      <c r="U817" s="9"/>
      <c r="V817" s="63"/>
      <c r="W817" s="9"/>
      <c r="X817" s="9"/>
      <c r="Y817" s="9"/>
      <c r="Z817" s="40"/>
      <c r="AA817" s="274"/>
      <c r="AB817" s="275"/>
      <c r="AC817" s="133"/>
      <c r="AD817" s="276"/>
      <c r="AE817" s="277"/>
      <c r="AF817" s="277"/>
      <c r="AG817" s="277"/>
    </row>
    <row r="818" customFormat="false" ht="15" hidden="false" customHeight="true" outlineLevel="0" collapsed="false">
      <c r="T818" s="63"/>
      <c r="U818" s="9"/>
      <c r="V818" s="63"/>
      <c r="W818" s="9"/>
      <c r="X818" s="9"/>
      <c r="Y818" s="9"/>
      <c r="Z818" s="40"/>
      <c r="AA818" s="274"/>
      <c r="AB818" s="275"/>
      <c r="AC818" s="133"/>
      <c r="AD818" s="276"/>
      <c r="AE818" s="277"/>
      <c r="AF818" s="277"/>
      <c r="AG818" s="277"/>
    </row>
    <row r="819" customFormat="false" ht="15" hidden="false" customHeight="true" outlineLevel="0" collapsed="false">
      <c r="T819" s="63"/>
      <c r="U819" s="9"/>
      <c r="V819" s="63"/>
      <c r="W819" s="9"/>
      <c r="X819" s="9"/>
      <c r="Y819" s="9"/>
      <c r="Z819" s="40"/>
      <c r="AA819" s="274"/>
      <c r="AB819" s="275"/>
      <c r="AC819" s="133"/>
      <c r="AD819" s="276"/>
      <c r="AE819" s="277"/>
      <c r="AF819" s="277"/>
      <c r="AG819" s="277"/>
    </row>
    <row r="820" customFormat="false" ht="15" hidden="false" customHeight="true" outlineLevel="0" collapsed="false">
      <c r="T820" s="63"/>
      <c r="U820" s="9"/>
      <c r="V820" s="63"/>
      <c r="W820" s="9"/>
      <c r="X820" s="9"/>
      <c r="Y820" s="9"/>
      <c r="Z820" s="40"/>
      <c r="AA820" s="274"/>
      <c r="AB820" s="275"/>
      <c r="AC820" s="133"/>
      <c r="AD820" s="276"/>
      <c r="AE820" s="277"/>
      <c r="AF820" s="277"/>
      <c r="AG820" s="277"/>
    </row>
    <row r="821" customFormat="false" ht="15" hidden="false" customHeight="true" outlineLevel="0" collapsed="false">
      <c r="T821" s="63"/>
      <c r="U821" s="9"/>
      <c r="V821" s="63"/>
      <c r="W821" s="9"/>
      <c r="X821" s="9"/>
      <c r="Y821" s="9"/>
      <c r="Z821" s="40"/>
      <c r="AA821" s="274"/>
      <c r="AB821" s="275"/>
      <c r="AC821" s="133"/>
      <c r="AD821" s="276"/>
      <c r="AE821" s="277"/>
      <c r="AF821" s="277"/>
      <c r="AG821" s="277"/>
    </row>
    <row r="822" customFormat="false" ht="15" hidden="false" customHeight="true" outlineLevel="0" collapsed="false">
      <c r="T822" s="63"/>
      <c r="U822" s="9"/>
      <c r="V822" s="63"/>
      <c r="W822" s="9"/>
      <c r="X822" s="9"/>
      <c r="Y822" s="9"/>
      <c r="Z822" s="40"/>
      <c r="AA822" s="274"/>
      <c r="AB822" s="275"/>
      <c r="AC822" s="133"/>
      <c r="AD822" s="276"/>
      <c r="AE822" s="277"/>
      <c r="AF822" s="277"/>
      <c r="AG822" s="277"/>
    </row>
    <row r="823" customFormat="false" ht="15" hidden="false" customHeight="true" outlineLevel="0" collapsed="false">
      <c r="T823" s="63"/>
      <c r="U823" s="9"/>
      <c r="V823" s="63"/>
      <c r="W823" s="9"/>
      <c r="X823" s="9"/>
      <c r="Y823" s="9"/>
      <c r="Z823" s="40"/>
      <c r="AA823" s="274"/>
      <c r="AB823" s="275"/>
      <c r="AC823" s="133"/>
      <c r="AD823" s="276"/>
      <c r="AE823" s="277"/>
      <c r="AF823" s="277"/>
      <c r="AG823" s="277"/>
    </row>
    <row r="824" customFormat="false" ht="15" hidden="false" customHeight="true" outlineLevel="0" collapsed="false">
      <c r="T824" s="63"/>
      <c r="U824" s="9"/>
      <c r="V824" s="63"/>
      <c r="W824" s="9"/>
      <c r="X824" s="9"/>
      <c r="Y824" s="9"/>
      <c r="Z824" s="40"/>
      <c r="AA824" s="274"/>
      <c r="AB824" s="275"/>
      <c r="AC824" s="133"/>
      <c r="AD824" s="276"/>
      <c r="AE824" s="277"/>
      <c r="AF824" s="277"/>
      <c r="AG824" s="277"/>
    </row>
    <row r="825" customFormat="false" ht="15" hidden="false" customHeight="true" outlineLevel="0" collapsed="false">
      <c r="T825" s="63"/>
      <c r="U825" s="9"/>
      <c r="V825" s="63"/>
      <c r="W825" s="9"/>
      <c r="X825" s="9"/>
      <c r="Y825" s="9"/>
      <c r="Z825" s="40"/>
      <c r="AA825" s="274"/>
      <c r="AB825" s="275"/>
      <c r="AC825" s="133"/>
      <c r="AD825" s="276"/>
      <c r="AE825" s="277"/>
      <c r="AF825" s="277"/>
      <c r="AG825" s="277"/>
    </row>
    <row r="826" customFormat="false" ht="15" hidden="false" customHeight="true" outlineLevel="0" collapsed="false">
      <c r="T826" s="63"/>
      <c r="U826" s="9"/>
      <c r="V826" s="63"/>
      <c r="W826" s="9"/>
      <c r="X826" s="9"/>
      <c r="Y826" s="9"/>
      <c r="Z826" s="40"/>
      <c r="AA826" s="274"/>
      <c r="AB826" s="275"/>
      <c r="AC826" s="133"/>
      <c r="AD826" s="276"/>
      <c r="AE826" s="277"/>
      <c r="AF826" s="277"/>
      <c r="AG826" s="277"/>
    </row>
    <row r="827" customFormat="false" ht="15" hidden="false" customHeight="true" outlineLevel="0" collapsed="false">
      <c r="T827" s="63"/>
      <c r="U827" s="9"/>
      <c r="V827" s="63"/>
      <c r="W827" s="9"/>
      <c r="X827" s="9"/>
      <c r="Y827" s="9"/>
      <c r="Z827" s="40"/>
      <c r="AA827" s="274"/>
      <c r="AB827" s="275"/>
      <c r="AC827" s="133"/>
      <c r="AD827" s="276"/>
      <c r="AE827" s="277"/>
      <c r="AF827" s="277"/>
      <c r="AG827" s="277"/>
    </row>
    <row r="828" customFormat="false" ht="15" hidden="false" customHeight="true" outlineLevel="0" collapsed="false">
      <c r="T828" s="63"/>
      <c r="U828" s="9"/>
      <c r="V828" s="63"/>
      <c r="W828" s="9"/>
      <c r="X828" s="9"/>
      <c r="Y828" s="9"/>
      <c r="Z828" s="40"/>
      <c r="AA828" s="274"/>
      <c r="AB828" s="275"/>
      <c r="AC828" s="133"/>
      <c r="AD828" s="276"/>
      <c r="AE828" s="277"/>
      <c r="AF828" s="277"/>
      <c r="AG828" s="277"/>
    </row>
    <row r="829" customFormat="false" ht="15" hidden="false" customHeight="true" outlineLevel="0" collapsed="false">
      <c r="T829" s="63"/>
      <c r="U829" s="9"/>
      <c r="V829" s="63"/>
      <c r="W829" s="9"/>
      <c r="X829" s="9"/>
      <c r="Y829" s="9"/>
      <c r="Z829" s="40"/>
      <c r="AA829" s="274"/>
      <c r="AB829" s="275"/>
      <c r="AC829" s="133"/>
      <c r="AD829" s="276"/>
      <c r="AE829" s="277"/>
      <c r="AF829" s="277"/>
      <c r="AG829" s="277"/>
    </row>
    <row r="830" customFormat="false" ht="15" hidden="false" customHeight="true" outlineLevel="0" collapsed="false">
      <c r="T830" s="63"/>
      <c r="U830" s="9"/>
      <c r="V830" s="63"/>
      <c r="W830" s="9"/>
      <c r="X830" s="9"/>
      <c r="Y830" s="9"/>
      <c r="Z830" s="40"/>
      <c r="AA830" s="274"/>
      <c r="AB830" s="275"/>
      <c r="AC830" s="133"/>
      <c r="AD830" s="276"/>
      <c r="AE830" s="277"/>
      <c r="AF830" s="277"/>
      <c r="AG830" s="277"/>
    </row>
    <row r="831" customFormat="false" ht="15" hidden="false" customHeight="true" outlineLevel="0" collapsed="false">
      <c r="T831" s="63"/>
      <c r="U831" s="9"/>
      <c r="V831" s="63"/>
      <c r="W831" s="9"/>
      <c r="X831" s="9"/>
      <c r="Y831" s="9"/>
      <c r="Z831" s="40"/>
      <c r="AA831" s="274"/>
      <c r="AB831" s="275"/>
      <c r="AC831" s="133"/>
      <c r="AD831" s="276"/>
      <c r="AE831" s="277"/>
      <c r="AF831" s="277"/>
      <c r="AG831" s="277"/>
    </row>
    <row r="832" customFormat="false" ht="15" hidden="false" customHeight="true" outlineLevel="0" collapsed="false">
      <c r="T832" s="63"/>
      <c r="U832" s="9"/>
      <c r="V832" s="63"/>
      <c r="W832" s="9"/>
      <c r="X832" s="9"/>
      <c r="Y832" s="9"/>
      <c r="Z832" s="40"/>
      <c r="AA832" s="274"/>
      <c r="AB832" s="275"/>
      <c r="AC832" s="133"/>
      <c r="AD832" s="276"/>
      <c r="AE832" s="277"/>
      <c r="AF832" s="277"/>
      <c r="AG832" s="277"/>
    </row>
    <row r="833" customFormat="false" ht="15" hidden="false" customHeight="true" outlineLevel="0" collapsed="false">
      <c r="T833" s="63"/>
      <c r="U833" s="9"/>
      <c r="V833" s="63"/>
      <c r="W833" s="9"/>
      <c r="X833" s="9"/>
      <c r="Y833" s="9"/>
      <c r="Z833" s="40"/>
      <c r="AA833" s="274"/>
      <c r="AB833" s="275"/>
      <c r="AC833" s="133"/>
      <c r="AD833" s="276"/>
      <c r="AE833" s="277"/>
      <c r="AF833" s="277"/>
      <c r="AG833" s="277"/>
    </row>
    <row r="834" customFormat="false" ht="15" hidden="false" customHeight="true" outlineLevel="0" collapsed="false">
      <c r="T834" s="63"/>
      <c r="U834" s="9"/>
      <c r="V834" s="63"/>
      <c r="W834" s="9"/>
      <c r="X834" s="9"/>
      <c r="Y834" s="9"/>
      <c r="Z834" s="40"/>
      <c r="AA834" s="274"/>
      <c r="AB834" s="275"/>
      <c r="AC834" s="133"/>
      <c r="AD834" s="276"/>
      <c r="AE834" s="277"/>
      <c r="AF834" s="277"/>
      <c r="AG834" s="277"/>
    </row>
    <row r="835" customFormat="false" ht="15" hidden="false" customHeight="true" outlineLevel="0" collapsed="false">
      <c r="T835" s="63"/>
      <c r="U835" s="9"/>
      <c r="V835" s="63"/>
      <c r="W835" s="9"/>
      <c r="X835" s="9"/>
      <c r="Y835" s="9"/>
      <c r="Z835" s="40"/>
      <c r="AA835" s="274"/>
      <c r="AB835" s="275"/>
      <c r="AC835" s="133"/>
      <c r="AD835" s="276"/>
      <c r="AE835" s="277"/>
      <c r="AF835" s="277"/>
      <c r="AG835" s="277"/>
    </row>
    <row r="836" customFormat="false" ht="15" hidden="false" customHeight="true" outlineLevel="0" collapsed="false">
      <c r="T836" s="63"/>
      <c r="U836" s="9"/>
      <c r="V836" s="63"/>
      <c r="W836" s="9"/>
      <c r="X836" s="9"/>
      <c r="Y836" s="9"/>
      <c r="Z836" s="40"/>
      <c r="AA836" s="274"/>
      <c r="AB836" s="275"/>
      <c r="AC836" s="133"/>
      <c r="AD836" s="276"/>
      <c r="AE836" s="277"/>
      <c r="AF836" s="277"/>
      <c r="AG836" s="277"/>
    </row>
    <row r="837" customFormat="false" ht="15" hidden="false" customHeight="true" outlineLevel="0" collapsed="false">
      <c r="T837" s="63"/>
      <c r="U837" s="9"/>
      <c r="V837" s="63"/>
      <c r="W837" s="9"/>
      <c r="X837" s="9"/>
      <c r="Y837" s="9"/>
      <c r="Z837" s="40"/>
      <c r="AA837" s="274"/>
      <c r="AB837" s="275"/>
      <c r="AC837" s="133"/>
      <c r="AD837" s="276"/>
      <c r="AE837" s="277"/>
      <c r="AF837" s="277"/>
      <c r="AG837" s="277"/>
    </row>
    <row r="838" customFormat="false" ht="15" hidden="false" customHeight="true" outlineLevel="0" collapsed="false">
      <c r="T838" s="63"/>
      <c r="U838" s="9"/>
      <c r="V838" s="63"/>
      <c r="W838" s="9"/>
      <c r="X838" s="9"/>
      <c r="Y838" s="9"/>
      <c r="Z838" s="40"/>
      <c r="AA838" s="274"/>
      <c r="AB838" s="275"/>
      <c r="AC838" s="133"/>
      <c r="AD838" s="276"/>
      <c r="AE838" s="277"/>
      <c r="AF838" s="277"/>
      <c r="AG838" s="277"/>
    </row>
    <row r="839" customFormat="false" ht="15" hidden="false" customHeight="true" outlineLevel="0" collapsed="false">
      <c r="T839" s="63"/>
      <c r="U839" s="9"/>
      <c r="V839" s="63"/>
      <c r="W839" s="9"/>
      <c r="X839" s="9"/>
      <c r="Y839" s="9"/>
      <c r="Z839" s="40"/>
      <c r="AA839" s="274"/>
      <c r="AB839" s="275"/>
      <c r="AC839" s="133"/>
      <c r="AD839" s="276"/>
      <c r="AE839" s="277"/>
      <c r="AF839" s="277"/>
      <c r="AG839" s="277"/>
    </row>
    <row r="840" customFormat="false" ht="15" hidden="false" customHeight="true" outlineLevel="0" collapsed="false">
      <c r="T840" s="63"/>
      <c r="U840" s="9"/>
      <c r="V840" s="63"/>
      <c r="W840" s="9"/>
      <c r="X840" s="9"/>
      <c r="Y840" s="9"/>
      <c r="Z840" s="40"/>
      <c r="AA840" s="274"/>
      <c r="AB840" s="275"/>
      <c r="AC840" s="133"/>
      <c r="AD840" s="276"/>
      <c r="AE840" s="277"/>
      <c r="AF840" s="277"/>
      <c r="AG840" s="277"/>
    </row>
    <row r="841" customFormat="false" ht="15" hidden="false" customHeight="true" outlineLevel="0" collapsed="false">
      <c r="T841" s="63"/>
      <c r="U841" s="9"/>
      <c r="V841" s="63"/>
      <c r="W841" s="9"/>
      <c r="X841" s="9"/>
      <c r="Y841" s="9"/>
      <c r="Z841" s="40"/>
      <c r="AA841" s="274"/>
      <c r="AB841" s="275"/>
      <c r="AC841" s="133"/>
      <c r="AD841" s="276"/>
      <c r="AE841" s="277"/>
      <c r="AF841" s="277"/>
      <c r="AG841" s="277"/>
    </row>
    <row r="842" customFormat="false" ht="15" hidden="false" customHeight="true" outlineLevel="0" collapsed="false">
      <c r="T842" s="63"/>
      <c r="U842" s="9"/>
      <c r="V842" s="63"/>
      <c r="W842" s="9"/>
      <c r="X842" s="9"/>
      <c r="Y842" s="9"/>
      <c r="Z842" s="40"/>
      <c r="AA842" s="274"/>
      <c r="AB842" s="275"/>
      <c r="AC842" s="133"/>
      <c r="AD842" s="276"/>
      <c r="AE842" s="277"/>
      <c r="AF842" s="277"/>
      <c r="AG842" s="277"/>
    </row>
    <row r="843" customFormat="false" ht="15" hidden="false" customHeight="true" outlineLevel="0" collapsed="false">
      <c r="T843" s="63"/>
      <c r="U843" s="9"/>
      <c r="V843" s="63"/>
      <c r="W843" s="9"/>
      <c r="X843" s="9"/>
      <c r="Y843" s="9"/>
      <c r="Z843" s="40"/>
      <c r="AA843" s="274"/>
      <c r="AB843" s="275"/>
      <c r="AC843" s="133"/>
      <c r="AD843" s="276"/>
      <c r="AE843" s="277"/>
      <c r="AF843" s="277"/>
      <c r="AG843" s="277"/>
    </row>
    <row r="844" customFormat="false" ht="15" hidden="false" customHeight="true" outlineLevel="0" collapsed="false">
      <c r="T844" s="63"/>
      <c r="U844" s="9"/>
      <c r="V844" s="63"/>
      <c r="W844" s="9"/>
      <c r="X844" s="9"/>
      <c r="Y844" s="9"/>
      <c r="Z844" s="40"/>
      <c r="AA844" s="274"/>
      <c r="AB844" s="275"/>
      <c r="AC844" s="133"/>
      <c r="AD844" s="276"/>
      <c r="AE844" s="277"/>
      <c r="AF844" s="277"/>
      <c r="AG844" s="277"/>
    </row>
    <row r="845" customFormat="false" ht="15" hidden="false" customHeight="true" outlineLevel="0" collapsed="false">
      <c r="T845" s="63"/>
      <c r="U845" s="9"/>
      <c r="V845" s="63"/>
      <c r="W845" s="9"/>
      <c r="X845" s="9"/>
      <c r="Y845" s="9"/>
      <c r="Z845" s="40"/>
      <c r="AA845" s="274"/>
      <c r="AB845" s="275"/>
      <c r="AC845" s="133"/>
      <c r="AD845" s="276"/>
      <c r="AE845" s="277"/>
      <c r="AF845" s="277"/>
      <c r="AG845" s="277"/>
    </row>
    <row r="846" customFormat="false" ht="15" hidden="false" customHeight="true" outlineLevel="0" collapsed="false">
      <c r="T846" s="63"/>
      <c r="U846" s="9"/>
      <c r="V846" s="63"/>
      <c r="W846" s="9"/>
      <c r="X846" s="9"/>
      <c r="Y846" s="9"/>
      <c r="Z846" s="40"/>
      <c r="AA846" s="274"/>
      <c r="AB846" s="275"/>
      <c r="AC846" s="277"/>
      <c r="AD846" s="276"/>
      <c r="AE846" s="277"/>
      <c r="AF846" s="277"/>
      <c r="AG846" s="277"/>
    </row>
    <row r="847" customFormat="false" ht="15" hidden="false" customHeight="true" outlineLevel="0" collapsed="false">
      <c r="T847" s="63"/>
      <c r="U847" s="9"/>
      <c r="V847" s="63"/>
      <c r="W847" s="9"/>
      <c r="X847" s="9"/>
      <c r="Y847" s="9"/>
      <c r="Z847" s="40"/>
      <c r="AA847" s="274"/>
      <c r="AB847" s="275"/>
      <c r="AC847" s="277"/>
      <c r="AD847" s="276"/>
      <c r="AE847" s="277"/>
      <c r="AF847" s="277"/>
      <c r="AG847" s="277"/>
    </row>
    <row r="848" customFormat="false" ht="15" hidden="false" customHeight="true" outlineLevel="0" collapsed="false">
      <c r="T848" s="63"/>
      <c r="U848" s="9"/>
      <c r="V848" s="63"/>
      <c r="W848" s="9"/>
      <c r="X848" s="9"/>
      <c r="Y848" s="9"/>
      <c r="Z848" s="40"/>
      <c r="AA848" s="274"/>
      <c r="AB848" s="275"/>
      <c r="AC848" s="277"/>
      <c r="AD848" s="276"/>
      <c r="AE848" s="277"/>
      <c r="AF848" s="277"/>
      <c r="AG848" s="277"/>
    </row>
    <row r="849" customFormat="false" ht="15" hidden="false" customHeight="true" outlineLevel="0" collapsed="false">
      <c r="T849" s="63"/>
      <c r="U849" s="9"/>
      <c r="V849" s="63"/>
      <c r="W849" s="9"/>
      <c r="X849" s="9"/>
      <c r="Y849" s="9"/>
      <c r="Z849" s="40"/>
      <c r="AA849" s="274"/>
      <c r="AB849" s="275"/>
      <c r="AC849" s="277"/>
      <c r="AD849" s="276"/>
      <c r="AE849" s="277"/>
      <c r="AF849" s="277"/>
      <c r="AG849" s="277"/>
    </row>
    <row r="850" customFormat="false" ht="15" hidden="false" customHeight="true" outlineLevel="0" collapsed="false">
      <c r="T850" s="63"/>
      <c r="U850" s="9"/>
      <c r="V850" s="63"/>
      <c r="W850" s="9"/>
      <c r="X850" s="9"/>
      <c r="Y850" s="9"/>
      <c r="Z850" s="40"/>
      <c r="AA850" s="274"/>
      <c r="AB850" s="275"/>
      <c r="AC850" s="277"/>
      <c r="AD850" s="276"/>
      <c r="AE850" s="277"/>
      <c r="AF850" s="277"/>
      <c r="AG850" s="277"/>
    </row>
    <row r="851" customFormat="false" ht="15" hidden="false" customHeight="true" outlineLevel="0" collapsed="false">
      <c r="T851" s="63"/>
      <c r="U851" s="9"/>
      <c r="V851" s="63"/>
      <c r="W851" s="9"/>
      <c r="X851" s="9"/>
      <c r="Y851" s="9"/>
      <c r="Z851" s="40"/>
      <c r="AA851" s="274"/>
      <c r="AB851" s="275"/>
      <c r="AC851" s="277"/>
      <c r="AD851" s="276"/>
      <c r="AE851" s="277"/>
      <c r="AF851" s="277"/>
      <c r="AG851" s="277"/>
    </row>
    <row r="852" customFormat="false" ht="15" hidden="false" customHeight="true" outlineLevel="0" collapsed="false">
      <c r="T852" s="63"/>
      <c r="U852" s="9"/>
      <c r="V852" s="63"/>
      <c r="W852" s="9"/>
      <c r="X852" s="9"/>
      <c r="Y852" s="9"/>
      <c r="Z852" s="40"/>
      <c r="AA852" s="274"/>
      <c r="AB852" s="275"/>
      <c r="AC852" s="277"/>
      <c r="AD852" s="276"/>
      <c r="AE852" s="277"/>
      <c r="AF852" s="277"/>
      <c r="AG852" s="277"/>
    </row>
    <row r="853" customFormat="false" ht="15" hidden="false" customHeight="true" outlineLevel="0" collapsed="false">
      <c r="T853" s="63"/>
      <c r="U853" s="9"/>
      <c r="V853" s="63"/>
      <c r="W853" s="9"/>
      <c r="X853" s="9"/>
      <c r="Y853" s="9"/>
      <c r="Z853" s="40"/>
      <c r="AA853" s="274"/>
      <c r="AB853" s="275"/>
      <c r="AC853" s="277"/>
      <c r="AD853" s="276"/>
      <c r="AE853" s="277"/>
      <c r="AF853" s="277"/>
      <c r="AG853" s="277"/>
    </row>
    <row r="854" customFormat="false" ht="15" hidden="false" customHeight="true" outlineLevel="0" collapsed="false">
      <c r="T854" s="63"/>
      <c r="U854" s="9"/>
      <c r="V854" s="63"/>
      <c r="W854" s="9"/>
      <c r="X854" s="9"/>
      <c r="Y854" s="9"/>
      <c r="Z854" s="40"/>
      <c r="AA854" s="274"/>
      <c r="AB854" s="275"/>
      <c r="AC854" s="277"/>
      <c r="AD854" s="276"/>
      <c r="AE854" s="277"/>
      <c r="AF854" s="277"/>
      <c r="AG854" s="277"/>
    </row>
    <row r="855" customFormat="false" ht="15" hidden="false" customHeight="true" outlineLevel="0" collapsed="false">
      <c r="T855" s="63"/>
      <c r="U855" s="9"/>
      <c r="V855" s="63"/>
      <c r="W855" s="9"/>
      <c r="X855" s="9"/>
      <c r="Y855" s="9"/>
      <c r="Z855" s="40"/>
      <c r="AA855" s="274"/>
      <c r="AB855" s="275"/>
      <c r="AC855" s="277"/>
      <c r="AD855" s="276"/>
      <c r="AE855" s="277"/>
      <c r="AF855" s="277"/>
      <c r="AG855" s="277"/>
    </row>
    <row r="856" customFormat="false" ht="15" hidden="false" customHeight="true" outlineLevel="0" collapsed="false">
      <c r="T856" s="63"/>
      <c r="U856" s="9"/>
      <c r="V856" s="63"/>
      <c r="W856" s="9"/>
      <c r="X856" s="9"/>
      <c r="Y856" s="9"/>
      <c r="Z856" s="40"/>
      <c r="AA856" s="274"/>
      <c r="AB856" s="275"/>
      <c r="AC856" s="277"/>
      <c r="AD856" s="276"/>
      <c r="AE856" s="277"/>
      <c r="AF856" s="277"/>
      <c r="AG856" s="277"/>
    </row>
    <row r="857" customFormat="false" ht="15" hidden="false" customHeight="true" outlineLevel="0" collapsed="false">
      <c r="T857" s="63"/>
      <c r="U857" s="9"/>
      <c r="V857" s="63"/>
      <c r="W857" s="9"/>
      <c r="X857" s="9"/>
      <c r="Y857" s="9"/>
      <c r="Z857" s="40"/>
      <c r="AA857" s="274"/>
      <c r="AB857" s="275"/>
      <c r="AC857" s="277"/>
      <c r="AD857" s="276"/>
      <c r="AE857" s="277"/>
      <c r="AF857" s="277"/>
      <c r="AG857" s="277"/>
    </row>
    <row r="858" customFormat="false" ht="15" hidden="false" customHeight="true" outlineLevel="0" collapsed="false">
      <c r="T858" s="63"/>
      <c r="U858" s="9"/>
      <c r="V858" s="63"/>
      <c r="W858" s="9"/>
      <c r="X858" s="9"/>
      <c r="Y858" s="9"/>
      <c r="Z858" s="40"/>
      <c r="AA858" s="274"/>
      <c r="AB858" s="275"/>
      <c r="AC858" s="277"/>
      <c r="AD858" s="276"/>
      <c r="AE858" s="277"/>
      <c r="AF858" s="277"/>
      <c r="AG858" s="277"/>
    </row>
    <row r="859" customFormat="false" ht="15" hidden="false" customHeight="true" outlineLevel="0" collapsed="false">
      <c r="T859" s="63"/>
      <c r="U859" s="9"/>
      <c r="V859" s="63"/>
      <c r="W859" s="9"/>
      <c r="X859" s="9"/>
      <c r="Y859" s="9"/>
      <c r="Z859" s="40"/>
      <c r="AA859" s="274"/>
      <c r="AB859" s="275"/>
      <c r="AC859" s="277"/>
      <c r="AD859" s="276"/>
      <c r="AE859" s="277"/>
      <c r="AF859" s="277"/>
      <c r="AG859" s="277"/>
    </row>
    <row r="860" customFormat="false" ht="15" hidden="false" customHeight="true" outlineLevel="0" collapsed="false">
      <c r="T860" s="63"/>
      <c r="U860" s="9"/>
      <c r="V860" s="63"/>
      <c r="W860" s="9"/>
      <c r="X860" s="9"/>
      <c r="Y860" s="9"/>
      <c r="Z860" s="40"/>
      <c r="AA860" s="274"/>
      <c r="AB860" s="275"/>
      <c r="AC860" s="277"/>
      <c r="AD860" s="276"/>
      <c r="AE860" s="277"/>
      <c r="AF860" s="277"/>
      <c r="AG860" s="277"/>
    </row>
    <row r="861" customFormat="false" ht="15" hidden="false" customHeight="true" outlineLevel="0" collapsed="false">
      <c r="T861" s="63"/>
      <c r="U861" s="9"/>
      <c r="V861" s="63"/>
      <c r="W861" s="9"/>
      <c r="X861" s="9"/>
      <c r="Y861" s="9"/>
      <c r="Z861" s="40"/>
      <c r="AA861" s="274"/>
      <c r="AB861" s="275"/>
      <c r="AC861" s="277"/>
      <c r="AD861" s="276"/>
      <c r="AE861" s="277"/>
      <c r="AF861" s="277"/>
      <c r="AG861" s="277"/>
    </row>
    <row r="862" customFormat="false" ht="15" hidden="false" customHeight="true" outlineLevel="0" collapsed="false">
      <c r="T862" s="63"/>
      <c r="U862" s="9"/>
      <c r="V862" s="63"/>
      <c r="W862" s="9"/>
      <c r="X862" s="9"/>
      <c r="Y862" s="9"/>
      <c r="Z862" s="40"/>
      <c r="AA862" s="274"/>
      <c r="AB862" s="275"/>
      <c r="AC862" s="277"/>
      <c r="AD862" s="276"/>
      <c r="AE862" s="277"/>
      <c r="AF862" s="277"/>
      <c r="AG862" s="277"/>
    </row>
    <row r="863" customFormat="false" ht="15" hidden="false" customHeight="true" outlineLevel="0" collapsed="false">
      <c r="T863" s="63"/>
      <c r="U863" s="9"/>
      <c r="V863" s="63"/>
      <c r="W863" s="9"/>
      <c r="X863" s="9"/>
      <c r="Y863" s="9"/>
      <c r="Z863" s="40"/>
      <c r="AA863" s="274"/>
      <c r="AB863" s="275"/>
      <c r="AC863" s="277"/>
      <c r="AD863" s="276"/>
      <c r="AE863" s="277"/>
      <c r="AF863" s="277"/>
      <c r="AG863" s="277"/>
    </row>
    <row r="864" customFormat="false" ht="15" hidden="false" customHeight="true" outlineLevel="0" collapsed="false">
      <c r="T864" s="63"/>
      <c r="U864" s="9"/>
      <c r="V864" s="63"/>
      <c r="W864" s="9"/>
      <c r="X864" s="9"/>
      <c r="Y864" s="9"/>
      <c r="Z864" s="40"/>
      <c r="AA864" s="274"/>
      <c r="AB864" s="275"/>
      <c r="AC864" s="277"/>
      <c r="AD864" s="276"/>
      <c r="AE864" s="277"/>
      <c r="AF864" s="277"/>
      <c r="AG864" s="277"/>
    </row>
    <row r="865" customFormat="false" ht="15" hidden="false" customHeight="true" outlineLevel="0" collapsed="false">
      <c r="T865" s="63"/>
      <c r="U865" s="9"/>
      <c r="V865" s="63"/>
      <c r="W865" s="9"/>
      <c r="X865" s="9"/>
      <c r="Y865" s="9"/>
      <c r="Z865" s="40"/>
      <c r="AA865" s="274"/>
      <c r="AB865" s="275"/>
      <c r="AC865" s="277"/>
      <c r="AD865" s="276"/>
      <c r="AE865" s="277"/>
      <c r="AF865" s="277"/>
      <c r="AG865" s="277"/>
    </row>
    <row r="866" customFormat="false" ht="15" hidden="false" customHeight="true" outlineLevel="0" collapsed="false">
      <c r="T866" s="63"/>
      <c r="U866" s="9"/>
      <c r="V866" s="63"/>
      <c r="W866" s="9"/>
      <c r="X866" s="9"/>
      <c r="Y866" s="9"/>
      <c r="Z866" s="40"/>
      <c r="AA866" s="274"/>
      <c r="AB866" s="275"/>
      <c r="AC866" s="277"/>
      <c r="AD866" s="276"/>
      <c r="AE866" s="277"/>
      <c r="AF866" s="277"/>
      <c r="AG866" s="277"/>
    </row>
    <row r="867" customFormat="false" ht="15" hidden="false" customHeight="true" outlineLevel="0" collapsed="false">
      <c r="T867" s="63"/>
      <c r="U867" s="9"/>
      <c r="V867" s="63"/>
      <c r="W867" s="9"/>
      <c r="X867" s="9"/>
      <c r="Y867" s="9"/>
      <c r="Z867" s="40"/>
      <c r="AA867" s="274"/>
      <c r="AB867" s="275"/>
      <c r="AC867" s="277"/>
      <c r="AD867" s="276"/>
      <c r="AE867" s="277"/>
      <c r="AF867" s="277"/>
      <c r="AG867" s="277"/>
    </row>
    <row r="868" customFormat="false" ht="15" hidden="false" customHeight="true" outlineLevel="0" collapsed="false">
      <c r="T868" s="63"/>
      <c r="U868" s="9"/>
      <c r="V868" s="63"/>
      <c r="W868" s="9"/>
      <c r="X868" s="9"/>
      <c r="Y868" s="9"/>
      <c r="Z868" s="40"/>
      <c r="AA868" s="274"/>
      <c r="AB868" s="275"/>
      <c r="AC868" s="277"/>
      <c r="AD868" s="276"/>
      <c r="AE868" s="277"/>
      <c r="AF868" s="277"/>
      <c r="AG868" s="277"/>
    </row>
    <row r="869" customFormat="false" ht="15" hidden="false" customHeight="true" outlineLevel="0" collapsed="false">
      <c r="T869" s="63"/>
      <c r="U869" s="9"/>
      <c r="V869" s="63"/>
      <c r="W869" s="9"/>
      <c r="X869" s="9"/>
      <c r="Y869" s="9"/>
      <c r="Z869" s="40"/>
      <c r="AA869" s="274"/>
      <c r="AB869" s="275"/>
      <c r="AC869" s="277"/>
      <c r="AD869" s="276"/>
      <c r="AE869" s="277"/>
      <c r="AF869" s="277"/>
      <c r="AG869" s="277"/>
    </row>
    <row r="870" customFormat="false" ht="15" hidden="false" customHeight="true" outlineLevel="0" collapsed="false">
      <c r="T870" s="63"/>
      <c r="U870" s="9"/>
      <c r="V870" s="63"/>
      <c r="W870" s="9"/>
      <c r="X870" s="9"/>
      <c r="Y870" s="9"/>
      <c r="Z870" s="40"/>
      <c r="AA870" s="274"/>
      <c r="AB870" s="275"/>
      <c r="AC870" s="277"/>
      <c r="AD870" s="276"/>
      <c r="AE870" s="277"/>
      <c r="AF870" s="277"/>
      <c r="AG870" s="277"/>
    </row>
    <row r="871" customFormat="false" ht="15" hidden="false" customHeight="true" outlineLevel="0" collapsed="false">
      <c r="T871" s="63"/>
      <c r="U871" s="9"/>
      <c r="V871" s="63"/>
      <c r="W871" s="9"/>
      <c r="X871" s="9"/>
      <c r="Y871" s="9"/>
      <c r="Z871" s="40"/>
      <c r="AA871" s="274"/>
      <c r="AB871" s="275"/>
      <c r="AC871" s="277"/>
      <c r="AD871" s="276"/>
      <c r="AE871" s="277"/>
      <c r="AF871" s="277"/>
      <c r="AG871" s="277"/>
    </row>
    <row r="872" customFormat="false" ht="15" hidden="false" customHeight="true" outlineLevel="0" collapsed="false">
      <c r="T872" s="63"/>
      <c r="U872" s="9"/>
      <c r="V872" s="63"/>
      <c r="W872" s="9"/>
      <c r="X872" s="9"/>
      <c r="Y872" s="9"/>
      <c r="Z872" s="40"/>
      <c r="AA872" s="274"/>
      <c r="AB872" s="275"/>
      <c r="AC872" s="277"/>
      <c r="AD872" s="276"/>
      <c r="AE872" s="277"/>
      <c r="AF872" s="277"/>
      <c r="AG872" s="277"/>
    </row>
    <row r="873" customFormat="false" ht="15" hidden="false" customHeight="true" outlineLevel="0" collapsed="false">
      <c r="T873" s="63"/>
      <c r="U873" s="9"/>
      <c r="V873" s="63"/>
      <c r="W873" s="9"/>
      <c r="X873" s="9"/>
      <c r="Y873" s="9"/>
      <c r="Z873" s="40"/>
      <c r="AA873" s="274"/>
      <c r="AB873" s="275"/>
      <c r="AC873" s="277"/>
      <c r="AD873" s="276"/>
      <c r="AE873" s="277"/>
      <c r="AF873" s="277"/>
      <c r="AG873" s="277"/>
    </row>
    <row r="874" customFormat="false" ht="15" hidden="false" customHeight="true" outlineLevel="0" collapsed="false">
      <c r="T874" s="63"/>
      <c r="U874" s="9"/>
      <c r="V874" s="63"/>
      <c r="W874" s="9"/>
      <c r="X874" s="9"/>
      <c r="Y874" s="9"/>
      <c r="Z874" s="40"/>
      <c r="AA874" s="274"/>
      <c r="AB874" s="275"/>
      <c r="AC874" s="277"/>
      <c r="AD874" s="276"/>
      <c r="AE874" s="277"/>
      <c r="AF874" s="277"/>
      <c r="AG874" s="277"/>
    </row>
    <row r="875" customFormat="false" ht="15" hidden="false" customHeight="true" outlineLevel="0" collapsed="false">
      <c r="T875" s="63"/>
      <c r="U875" s="9"/>
      <c r="V875" s="63"/>
      <c r="W875" s="9"/>
      <c r="X875" s="9"/>
      <c r="Y875" s="9"/>
      <c r="Z875" s="40"/>
      <c r="AA875" s="274"/>
      <c r="AB875" s="275"/>
      <c r="AC875" s="277"/>
      <c r="AD875" s="276"/>
      <c r="AE875" s="277"/>
      <c r="AF875" s="277"/>
      <c r="AG875" s="277"/>
    </row>
    <row r="876" customFormat="false" ht="15" hidden="false" customHeight="true" outlineLevel="0" collapsed="false">
      <c r="T876" s="63"/>
      <c r="U876" s="9"/>
      <c r="V876" s="63"/>
      <c r="W876" s="9"/>
      <c r="X876" s="9"/>
      <c r="Y876" s="9"/>
      <c r="Z876" s="40"/>
      <c r="AA876" s="274"/>
      <c r="AB876" s="275"/>
      <c r="AC876" s="277"/>
      <c r="AD876" s="276"/>
      <c r="AE876" s="277"/>
      <c r="AF876" s="277"/>
      <c r="AG876" s="277"/>
    </row>
    <row r="877" customFormat="false" ht="15" hidden="false" customHeight="true" outlineLevel="0" collapsed="false">
      <c r="T877" s="63"/>
      <c r="U877" s="9"/>
      <c r="V877" s="63"/>
      <c r="W877" s="9"/>
      <c r="X877" s="9"/>
      <c r="Y877" s="9"/>
      <c r="Z877" s="40"/>
      <c r="AA877" s="274"/>
      <c r="AB877" s="275"/>
      <c r="AC877" s="277"/>
      <c r="AD877" s="276"/>
      <c r="AE877" s="277"/>
      <c r="AF877" s="277"/>
      <c r="AG877" s="277"/>
    </row>
    <row r="878" customFormat="false" ht="15" hidden="false" customHeight="true" outlineLevel="0" collapsed="false">
      <c r="T878" s="63"/>
      <c r="U878" s="9"/>
      <c r="V878" s="63"/>
      <c r="W878" s="9"/>
      <c r="X878" s="9"/>
      <c r="Y878" s="9"/>
      <c r="Z878" s="40"/>
      <c r="AA878" s="274"/>
      <c r="AB878" s="275"/>
      <c r="AC878" s="277"/>
      <c r="AD878" s="276"/>
      <c r="AE878" s="277"/>
      <c r="AF878" s="277"/>
      <c r="AG878" s="277"/>
    </row>
    <row r="879" customFormat="false" ht="15" hidden="false" customHeight="true" outlineLevel="0" collapsed="false">
      <c r="T879" s="63"/>
      <c r="U879" s="9"/>
      <c r="V879" s="63"/>
      <c r="W879" s="9"/>
      <c r="X879" s="9"/>
      <c r="Y879" s="9"/>
      <c r="Z879" s="40"/>
      <c r="AA879" s="274"/>
      <c r="AB879" s="275"/>
      <c r="AC879" s="277"/>
      <c r="AD879" s="276"/>
      <c r="AE879" s="277"/>
      <c r="AF879" s="277"/>
      <c r="AG879" s="277"/>
    </row>
    <row r="880" customFormat="false" ht="15" hidden="false" customHeight="true" outlineLevel="0" collapsed="false">
      <c r="T880" s="63"/>
      <c r="U880" s="9"/>
      <c r="V880" s="63"/>
      <c r="W880" s="9"/>
      <c r="X880" s="9"/>
      <c r="Y880" s="9"/>
      <c r="Z880" s="40"/>
      <c r="AA880" s="274"/>
      <c r="AB880" s="275"/>
      <c r="AC880" s="277"/>
      <c r="AD880" s="276"/>
      <c r="AE880" s="277"/>
      <c r="AF880" s="277"/>
      <c r="AG880" s="277"/>
    </row>
    <row r="881" customFormat="false" ht="15" hidden="false" customHeight="true" outlineLevel="0" collapsed="false">
      <c r="T881" s="63"/>
      <c r="U881" s="9"/>
      <c r="V881" s="63"/>
      <c r="W881" s="9"/>
      <c r="X881" s="9"/>
      <c r="Y881" s="9"/>
      <c r="Z881" s="40"/>
      <c r="AA881" s="274"/>
      <c r="AB881" s="275"/>
      <c r="AC881" s="277"/>
      <c r="AD881" s="276"/>
      <c r="AE881" s="277"/>
      <c r="AF881" s="277"/>
      <c r="AG881" s="277"/>
    </row>
    <row r="882" customFormat="false" ht="15" hidden="false" customHeight="true" outlineLevel="0" collapsed="false">
      <c r="T882" s="63"/>
      <c r="U882" s="9"/>
      <c r="V882" s="63"/>
      <c r="W882" s="9"/>
      <c r="X882" s="9"/>
      <c r="Y882" s="9"/>
      <c r="Z882" s="40"/>
      <c r="AA882" s="274"/>
      <c r="AB882" s="275"/>
      <c r="AC882" s="277"/>
      <c r="AD882" s="276"/>
      <c r="AE882" s="277"/>
      <c r="AF882" s="277"/>
      <c r="AG882" s="277"/>
    </row>
    <row r="883" customFormat="false" ht="15" hidden="false" customHeight="true" outlineLevel="0" collapsed="false">
      <c r="T883" s="63"/>
      <c r="U883" s="9"/>
      <c r="V883" s="63"/>
      <c r="W883" s="9"/>
      <c r="X883" s="9"/>
      <c r="Y883" s="9"/>
      <c r="Z883" s="40"/>
      <c r="AA883" s="274"/>
      <c r="AB883" s="275"/>
      <c r="AC883" s="277"/>
      <c r="AD883" s="276"/>
      <c r="AE883" s="277"/>
      <c r="AF883" s="277"/>
      <c r="AG883" s="277"/>
    </row>
    <row r="884" customFormat="false" ht="15" hidden="false" customHeight="true" outlineLevel="0" collapsed="false">
      <c r="T884" s="63"/>
      <c r="U884" s="9"/>
      <c r="V884" s="63"/>
      <c r="W884" s="9"/>
      <c r="X884" s="9"/>
      <c r="Y884" s="9"/>
      <c r="Z884" s="40"/>
      <c r="AA884" s="274"/>
      <c r="AB884" s="275"/>
      <c r="AC884" s="277"/>
      <c r="AD884" s="276"/>
      <c r="AE884" s="277"/>
      <c r="AF884" s="277"/>
      <c r="AG884" s="277"/>
    </row>
    <row r="885" customFormat="false" ht="15" hidden="false" customHeight="true" outlineLevel="0" collapsed="false">
      <c r="T885" s="63"/>
      <c r="U885" s="9"/>
      <c r="V885" s="63"/>
      <c r="W885" s="9"/>
      <c r="X885" s="9"/>
      <c r="Y885" s="9"/>
      <c r="Z885" s="40"/>
      <c r="AA885" s="274"/>
      <c r="AB885" s="275"/>
      <c r="AC885" s="277"/>
      <c r="AD885" s="276"/>
      <c r="AE885" s="277"/>
      <c r="AF885" s="277"/>
      <c r="AG885" s="277"/>
    </row>
    <row r="886" customFormat="false" ht="15" hidden="false" customHeight="true" outlineLevel="0" collapsed="false">
      <c r="T886" s="63"/>
      <c r="U886" s="9"/>
      <c r="V886" s="63"/>
      <c r="W886" s="9"/>
      <c r="X886" s="9"/>
      <c r="Y886" s="9"/>
      <c r="Z886" s="40"/>
      <c r="AA886" s="274"/>
      <c r="AB886" s="275"/>
      <c r="AC886" s="277"/>
      <c r="AD886" s="276"/>
      <c r="AE886" s="277"/>
      <c r="AF886" s="277"/>
      <c r="AG886" s="277"/>
    </row>
    <row r="887" customFormat="false" ht="15" hidden="false" customHeight="true" outlineLevel="0" collapsed="false">
      <c r="T887" s="63"/>
      <c r="U887" s="9"/>
      <c r="V887" s="63"/>
      <c r="W887" s="9"/>
      <c r="X887" s="9"/>
      <c r="Y887" s="9"/>
      <c r="Z887" s="40"/>
      <c r="AA887" s="274"/>
      <c r="AB887" s="275"/>
      <c r="AC887" s="277"/>
      <c r="AD887" s="276"/>
      <c r="AE887" s="277"/>
      <c r="AF887" s="277"/>
      <c r="AG887" s="277"/>
    </row>
    <row r="888" customFormat="false" ht="15" hidden="false" customHeight="true" outlineLevel="0" collapsed="false">
      <c r="T888" s="63"/>
      <c r="U888" s="9"/>
      <c r="V888" s="63"/>
      <c r="W888" s="9"/>
      <c r="X888" s="9"/>
      <c r="Y888" s="9"/>
      <c r="Z888" s="40"/>
      <c r="AA888" s="274"/>
      <c r="AB888" s="275"/>
      <c r="AC888" s="277"/>
      <c r="AD888" s="276"/>
      <c r="AE888" s="277"/>
      <c r="AF888" s="277"/>
      <c r="AG888" s="277"/>
    </row>
    <row r="889" customFormat="false" ht="15" hidden="false" customHeight="true" outlineLevel="0" collapsed="false">
      <c r="T889" s="63"/>
      <c r="U889" s="9"/>
      <c r="V889" s="63"/>
      <c r="W889" s="9"/>
      <c r="X889" s="9"/>
      <c r="Y889" s="9"/>
      <c r="Z889" s="40"/>
      <c r="AA889" s="274"/>
      <c r="AB889" s="275"/>
      <c r="AC889" s="277"/>
      <c r="AD889" s="276"/>
      <c r="AE889" s="277"/>
      <c r="AF889" s="277"/>
      <c r="AG889" s="277"/>
    </row>
    <row r="890" customFormat="false" ht="15" hidden="false" customHeight="true" outlineLevel="0" collapsed="false">
      <c r="T890" s="63"/>
      <c r="U890" s="9"/>
      <c r="V890" s="63"/>
      <c r="W890" s="9"/>
      <c r="X890" s="9"/>
      <c r="Y890" s="9"/>
      <c r="Z890" s="40"/>
      <c r="AA890" s="274"/>
      <c r="AB890" s="275"/>
      <c r="AC890" s="277"/>
      <c r="AD890" s="276"/>
      <c r="AE890" s="277"/>
      <c r="AF890" s="277"/>
      <c r="AG890" s="277"/>
    </row>
    <row r="891" customFormat="false" ht="15" hidden="false" customHeight="true" outlineLevel="0" collapsed="false">
      <c r="T891" s="63"/>
      <c r="U891" s="9"/>
      <c r="V891" s="63"/>
      <c r="W891" s="9"/>
      <c r="X891" s="9"/>
      <c r="Y891" s="9"/>
      <c r="Z891" s="40"/>
      <c r="AA891" s="274"/>
      <c r="AB891" s="275"/>
      <c r="AC891" s="277"/>
      <c r="AD891" s="276"/>
      <c r="AE891" s="277"/>
      <c r="AF891" s="277"/>
      <c r="AG891" s="277"/>
    </row>
    <row r="892" customFormat="false" ht="15" hidden="false" customHeight="true" outlineLevel="0" collapsed="false">
      <c r="T892" s="63"/>
      <c r="U892" s="9"/>
      <c r="V892" s="63"/>
      <c r="W892" s="9"/>
      <c r="X892" s="9"/>
      <c r="Y892" s="9"/>
      <c r="Z892" s="40"/>
      <c r="AA892" s="274"/>
      <c r="AB892" s="275"/>
      <c r="AC892" s="277"/>
      <c r="AD892" s="276"/>
      <c r="AE892" s="277"/>
      <c r="AF892" s="277"/>
      <c r="AG892" s="277"/>
    </row>
    <row r="893" customFormat="false" ht="15" hidden="false" customHeight="true" outlineLevel="0" collapsed="false">
      <c r="T893" s="63"/>
      <c r="U893" s="9"/>
      <c r="V893" s="63"/>
      <c r="W893" s="9"/>
      <c r="X893" s="9"/>
      <c r="Y893" s="9"/>
      <c r="Z893" s="40"/>
      <c r="AA893" s="274"/>
      <c r="AB893" s="275"/>
      <c r="AC893" s="277"/>
      <c r="AD893" s="276"/>
      <c r="AE893" s="277"/>
      <c r="AF893" s="277"/>
      <c r="AG893" s="277"/>
    </row>
    <row r="894" customFormat="false" ht="15" hidden="false" customHeight="true" outlineLevel="0" collapsed="false">
      <c r="T894" s="63"/>
      <c r="U894" s="9"/>
      <c r="V894" s="63"/>
      <c r="W894" s="9"/>
      <c r="X894" s="9"/>
      <c r="Y894" s="9"/>
      <c r="Z894" s="40"/>
      <c r="AA894" s="274"/>
      <c r="AB894" s="275"/>
      <c r="AC894" s="277"/>
      <c r="AD894" s="276"/>
      <c r="AE894" s="277"/>
      <c r="AF894" s="277"/>
      <c r="AG894" s="277"/>
    </row>
    <row r="895" customFormat="false" ht="15" hidden="false" customHeight="true" outlineLevel="0" collapsed="false">
      <c r="T895" s="63"/>
      <c r="U895" s="9"/>
      <c r="V895" s="63"/>
      <c r="W895" s="9"/>
      <c r="X895" s="9"/>
      <c r="Y895" s="9"/>
      <c r="Z895" s="40"/>
      <c r="AA895" s="274"/>
      <c r="AB895" s="275"/>
      <c r="AC895" s="277"/>
      <c r="AD895" s="276"/>
      <c r="AE895" s="277"/>
      <c r="AF895" s="277"/>
      <c r="AG895" s="277"/>
    </row>
    <row r="896" customFormat="false" ht="15" hidden="false" customHeight="true" outlineLevel="0" collapsed="false">
      <c r="T896" s="63"/>
      <c r="U896" s="9"/>
      <c r="V896" s="63"/>
      <c r="W896" s="9"/>
      <c r="X896" s="9"/>
      <c r="Y896" s="9"/>
      <c r="Z896" s="40"/>
      <c r="AA896" s="274"/>
      <c r="AB896" s="275"/>
      <c r="AC896" s="277"/>
      <c r="AD896" s="276"/>
      <c r="AE896" s="277"/>
      <c r="AF896" s="277"/>
      <c r="AG896" s="277"/>
    </row>
    <row r="897" customFormat="false" ht="15" hidden="false" customHeight="true" outlineLevel="0" collapsed="false">
      <c r="T897" s="63"/>
      <c r="U897" s="9"/>
      <c r="V897" s="63"/>
      <c r="W897" s="9"/>
      <c r="X897" s="9"/>
      <c r="Y897" s="9"/>
      <c r="Z897" s="40"/>
      <c r="AA897" s="274"/>
      <c r="AB897" s="275"/>
      <c r="AC897" s="277"/>
      <c r="AD897" s="276"/>
      <c r="AE897" s="277"/>
      <c r="AF897" s="277"/>
      <c r="AG897" s="277"/>
    </row>
    <row r="898" customFormat="false" ht="15" hidden="false" customHeight="true" outlineLevel="0" collapsed="false">
      <c r="T898" s="63"/>
      <c r="U898" s="9"/>
      <c r="V898" s="63"/>
      <c r="W898" s="9"/>
      <c r="X898" s="9"/>
      <c r="Y898" s="9"/>
      <c r="Z898" s="40"/>
      <c r="AA898" s="274"/>
      <c r="AB898" s="275"/>
      <c r="AC898" s="277"/>
      <c r="AD898" s="276"/>
      <c r="AE898" s="277"/>
      <c r="AF898" s="277"/>
      <c r="AG898" s="277"/>
    </row>
    <row r="899" customFormat="false" ht="15" hidden="false" customHeight="true" outlineLevel="0" collapsed="false">
      <c r="T899" s="63"/>
      <c r="U899" s="9"/>
      <c r="V899" s="63"/>
      <c r="W899" s="9"/>
      <c r="X899" s="9"/>
      <c r="Y899" s="9"/>
      <c r="Z899" s="40"/>
      <c r="AA899" s="274"/>
      <c r="AB899" s="275"/>
      <c r="AC899" s="277"/>
      <c r="AD899" s="276"/>
      <c r="AE899" s="277"/>
      <c r="AF899" s="277"/>
      <c r="AG899" s="277"/>
    </row>
    <row r="900" customFormat="false" ht="15" hidden="false" customHeight="true" outlineLevel="0" collapsed="false">
      <c r="T900" s="63"/>
      <c r="U900" s="9"/>
      <c r="V900" s="63"/>
      <c r="W900" s="9"/>
      <c r="X900" s="9"/>
      <c r="Y900" s="9"/>
      <c r="Z900" s="40"/>
      <c r="AA900" s="274"/>
      <c r="AB900" s="275"/>
      <c r="AC900" s="277"/>
      <c r="AD900" s="276"/>
      <c r="AE900" s="277"/>
      <c r="AF900" s="277"/>
      <c r="AG900" s="277"/>
    </row>
    <row r="901" customFormat="false" ht="15" hidden="false" customHeight="true" outlineLevel="0" collapsed="false">
      <c r="T901" s="63"/>
      <c r="U901" s="9"/>
      <c r="V901" s="63"/>
      <c r="W901" s="9"/>
      <c r="X901" s="9"/>
      <c r="Y901" s="9"/>
      <c r="Z901" s="40"/>
      <c r="AA901" s="274"/>
      <c r="AB901" s="275"/>
      <c r="AC901" s="277"/>
      <c r="AD901" s="276"/>
      <c r="AE901" s="277"/>
      <c r="AF901" s="277"/>
      <c r="AG901" s="277"/>
    </row>
    <row r="902" customFormat="false" ht="15" hidden="false" customHeight="true" outlineLevel="0" collapsed="false">
      <c r="T902" s="63"/>
      <c r="U902" s="9"/>
      <c r="V902" s="63"/>
      <c r="W902" s="9"/>
      <c r="X902" s="9"/>
      <c r="Y902" s="9"/>
      <c r="Z902" s="40"/>
      <c r="AA902" s="274"/>
      <c r="AB902" s="275"/>
      <c r="AC902" s="277"/>
      <c r="AD902" s="276"/>
      <c r="AE902" s="277"/>
      <c r="AF902" s="277"/>
      <c r="AG902" s="277"/>
    </row>
    <row r="903" customFormat="false" ht="15" hidden="false" customHeight="true" outlineLevel="0" collapsed="false">
      <c r="T903" s="63"/>
      <c r="U903" s="9"/>
      <c r="V903" s="63"/>
      <c r="W903" s="9"/>
      <c r="X903" s="9"/>
      <c r="Y903" s="9"/>
      <c r="Z903" s="40"/>
      <c r="AA903" s="274"/>
      <c r="AB903" s="275"/>
      <c r="AC903" s="277"/>
      <c r="AD903" s="276"/>
      <c r="AE903" s="277"/>
      <c r="AF903" s="277"/>
      <c r="AG903" s="277"/>
    </row>
    <row r="904" customFormat="false" ht="15" hidden="false" customHeight="true" outlineLevel="0" collapsed="false">
      <c r="T904" s="63"/>
      <c r="U904" s="9"/>
      <c r="V904" s="63"/>
      <c r="W904" s="9"/>
      <c r="X904" s="9"/>
      <c r="Y904" s="9"/>
      <c r="Z904" s="40"/>
      <c r="AA904" s="274"/>
      <c r="AB904" s="275"/>
      <c r="AC904" s="277"/>
      <c r="AD904" s="276"/>
      <c r="AE904" s="277"/>
      <c r="AF904" s="277"/>
      <c r="AG904" s="277"/>
    </row>
    <row r="905" customFormat="false" ht="15" hidden="false" customHeight="true" outlineLevel="0" collapsed="false">
      <c r="T905" s="63"/>
      <c r="U905" s="9"/>
      <c r="V905" s="63"/>
      <c r="W905" s="9"/>
      <c r="X905" s="9"/>
      <c r="Y905" s="9"/>
      <c r="Z905" s="40"/>
      <c r="AA905" s="274"/>
      <c r="AB905" s="275"/>
      <c r="AC905" s="277"/>
      <c r="AD905" s="276"/>
      <c r="AE905" s="277"/>
      <c r="AF905" s="277"/>
      <c r="AG905" s="277"/>
    </row>
    <row r="906" customFormat="false" ht="15" hidden="false" customHeight="true" outlineLevel="0" collapsed="false">
      <c r="T906" s="63"/>
      <c r="U906" s="9"/>
      <c r="V906" s="63"/>
      <c r="W906" s="9"/>
      <c r="X906" s="9"/>
      <c r="Y906" s="9"/>
      <c r="Z906" s="40"/>
      <c r="AA906" s="274"/>
      <c r="AB906" s="275"/>
      <c r="AC906" s="277"/>
      <c r="AD906" s="276"/>
      <c r="AE906" s="277"/>
      <c r="AF906" s="277"/>
      <c r="AG906" s="277"/>
    </row>
    <row r="907" customFormat="false" ht="15" hidden="false" customHeight="true" outlineLevel="0" collapsed="false">
      <c r="T907" s="63"/>
      <c r="U907" s="9"/>
      <c r="V907" s="63"/>
      <c r="W907" s="9"/>
      <c r="X907" s="9"/>
      <c r="Y907" s="9"/>
      <c r="Z907" s="40"/>
      <c r="AA907" s="274"/>
      <c r="AB907" s="275"/>
      <c r="AC907" s="277"/>
      <c r="AD907" s="276"/>
      <c r="AE907" s="277"/>
      <c r="AF907" s="277"/>
      <c r="AG907" s="277"/>
    </row>
    <row r="908" customFormat="false" ht="15" hidden="false" customHeight="true" outlineLevel="0" collapsed="false">
      <c r="T908" s="63"/>
      <c r="U908" s="9"/>
      <c r="V908" s="63"/>
      <c r="W908" s="9"/>
      <c r="X908" s="9"/>
      <c r="Y908" s="9"/>
      <c r="Z908" s="40"/>
      <c r="AA908" s="274"/>
      <c r="AB908" s="275"/>
      <c r="AC908" s="277"/>
      <c r="AD908" s="276"/>
      <c r="AE908" s="277"/>
      <c r="AF908" s="277"/>
      <c r="AG908" s="277"/>
    </row>
    <row r="909" customFormat="false" ht="15" hidden="false" customHeight="true" outlineLevel="0" collapsed="false">
      <c r="T909" s="63"/>
      <c r="U909" s="9"/>
      <c r="V909" s="63"/>
      <c r="W909" s="9"/>
      <c r="X909" s="9"/>
      <c r="Y909" s="9"/>
      <c r="Z909" s="40"/>
      <c r="AA909" s="274"/>
      <c r="AB909" s="275"/>
      <c r="AC909" s="277"/>
      <c r="AD909" s="276"/>
      <c r="AE909" s="277"/>
      <c r="AF909" s="277"/>
      <c r="AG909" s="277"/>
    </row>
    <row r="910" customFormat="false" ht="15" hidden="false" customHeight="true" outlineLevel="0" collapsed="false">
      <c r="T910" s="63"/>
      <c r="U910" s="9"/>
      <c r="V910" s="63"/>
      <c r="W910" s="9"/>
      <c r="X910" s="9"/>
      <c r="Y910" s="9"/>
      <c r="Z910" s="40"/>
      <c r="AA910" s="274"/>
      <c r="AB910" s="275"/>
      <c r="AC910" s="277"/>
      <c r="AD910" s="276"/>
      <c r="AE910" s="277"/>
      <c r="AF910" s="277"/>
      <c r="AG910" s="277"/>
    </row>
    <row r="911" customFormat="false" ht="15" hidden="false" customHeight="true" outlineLevel="0" collapsed="false">
      <c r="T911" s="63"/>
      <c r="U911" s="9"/>
      <c r="V911" s="63"/>
      <c r="W911" s="9"/>
      <c r="X911" s="9"/>
      <c r="Y911" s="9"/>
      <c r="Z911" s="40"/>
      <c r="AA911" s="274"/>
      <c r="AB911" s="275"/>
      <c r="AC911" s="277"/>
      <c r="AD911" s="276"/>
      <c r="AE911" s="277"/>
      <c r="AF911" s="277"/>
      <c r="AG911" s="277"/>
    </row>
    <row r="912" customFormat="false" ht="15" hidden="false" customHeight="true" outlineLevel="0" collapsed="false">
      <c r="T912" s="63"/>
      <c r="U912" s="9"/>
      <c r="V912" s="63"/>
      <c r="W912" s="9"/>
      <c r="X912" s="9"/>
      <c r="Y912" s="9"/>
      <c r="Z912" s="40"/>
      <c r="AA912" s="274"/>
      <c r="AB912" s="275"/>
      <c r="AC912" s="277"/>
      <c r="AD912" s="276"/>
      <c r="AE912" s="277"/>
      <c r="AF912" s="277"/>
      <c r="AG912" s="277"/>
    </row>
    <row r="913" customFormat="false" ht="15" hidden="false" customHeight="true" outlineLevel="0" collapsed="false">
      <c r="T913" s="63"/>
      <c r="U913" s="9"/>
      <c r="V913" s="63"/>
      <c r="W913" s="9"/>
      <c r="X913" s="9"/>
      <c r="Y913" s="9"/>
      <c r="Z913" s="40"/>
      <c r="AA913" s="274"/>
      <c r="AB913" s="275"/>
      <c r="AC913" s="277"/>
      <c r="AD913" s="276"/>
      <c r="AE913" s="277"/>
      <c r="AF913" s="277"/>
      <c r="AG913" s="277"/>
    </row>
    <row r="914" customFormat="false" ht="15" hidden="false" customHeight="true" outlineLevel="0" collapsed="false">
      <c r="T914" s="63"/>
      <c r="U914" s="9"/>
      <c r="V914" s="63"/>
      <c r="W914" s="9"/>
      <c r="X914" s="9"/>
      <c r="Y914" s="9"/>
      <c r="Z914" s="40"/>
      <c r="AA914" s="274"/>
      <c r="AB914" s="275"/>
      <c r="AC914" s="277"/>
      <c r="AD914" s="276"/>
      <c r="AE914" s="277"/>
      <c r="AF914" s="277"/>
      <c r="AG914" s="277"/>
    </row>
    <row r="915" customFormat="false" ht="15" hidden="false" customHeight="true" outlineLevel="0" collapsed="false">
      <c r="T915" s="63"/>
      <c r="U915" s="9"/>
      <c r="V915" s="63"/>
      <c r="W915" s="9"/>
      <c r="X915" s="9"/>
      <c r="Y915" s="9"/>
      <c r="Z915" s="40"/>
      <c r="AA915" s="274"/>
      <c r="AB915" s="275"/>
      <c r="AC915" s="277"/>
      <c r="AD915" s="276"/>
      <c r="AE915" s="277"/>
      <c r="AF915" s="277"/>
      <c r="AG915" s="277"/>
    </row>
    <row r="916" customFormat="false" ht="15" hidden="false" customHeight="true" outlineLevel="0" collapsed="false">
      <c r="T916" s="63"/>
      <c r="U916" s="9"/>
      <c r="V916" s="63"/>
      <c r="W916" s="9"/>
      <c r="X916" s="9"/>
      <c r="Y916" s="9"/>
      <c r="Z916" s="40"/>
      <c r="AA916" s="274"/>
      <c r="AB916" s="275"/>
      <c r="AC916" s="277"/>
      <c r="AD916" s="276"/>
      <c r="AE916" s="277"/>
      <c r="AF916" s="277"/>
      <c r="AG916" s="277"/>
    </row>
    <row r="917" customFormat="false" ht="15" hidden="false" customHeight="true" outlineLevel="0" collapsed="false">
      <c r="T917" s="63"/>
      <c r="U917" s="9"/>
      <c r="V917" s="63"/>
      <c r="W917" s="9"/>
      <c r="X917" s="9"/>
      <c r="Y917" s="9"/>
      <c r="Z917" s="40"/>
      <c r="AA917" s="274"/>
      <c r="AB917" s="275"/>
      <c r="AC917" s="277"/>
      <c r="AD917" s="276"/>
      <c r="AE917" s="277"/>
      <c r="AF917" s="277"/>
      <c r="AG917" s="277"/>
    </row>
    <row r="918" customFormat="false" ht="15" hidden="false" customHeight="true" outlineLevel="0" collapsed="false">
      <c r="T918" s="63"/>
      <c r="U918" s="9"/>
      <c r="V918" s="63"/>
      <c r="W918" s="9"/>
      <c r="X918" s="9"/>
      <c r="Y918" s="9"/>
      <c r="Z918" s="40"/>
      <c r="AA918" s="274"/>
      <c r="AB918" s="275"/>
      <c r="AC918" s="277"/>
      <c r="AD918" s="276"/>
      <c r="AE918" s="277"/>
      <c r="AF918" s="277"/>
      <c r="AG918" s="277"/>
    </row>
    <row r="919" customFormat="false" ht="15" hidden="false" customHeight="true" outlineLevel="0" collapsed="false">
      <c r="T919" s="63"/>
      <c r="U919" s="9"/>
      <c r="V919" s="63"/>
      <c r="W919" s="9"/>
      <c r="X919" s="9"/>
      <c r="Y919" s="9"/>
      <c r="Z919" s="40"/>
      <c r="AA919" s="274"/>
      <c r="AB919" s="275"/>
      <c r="AC919" s="277"/>
      <c r="AD919" s="276"/>
      <c r="AE919" s="277"/>
      <c r="AF919" s="277"/>
      <c r="AG919" s="277"/>
    </row>
    <row r="920" customFormat="false" ht="15" hidden="false" customHeight="true" outlineLevel="0" collapsed="false">
      <c r="T920" s="63"/>
      <c r="U920" s="9"/>
      <c r="V920" s="63"/>
      <c r="W920" s="9"/>
      <c r="X920" s="9"/>
      <c r="Y920" s="9"/>
      <c r="Z920" s="40"/>
      <c r="AA920" s="274"/>
      <c r="AB920" s="275"/>
      <c r="AC920" s="277"/>
      <c r="AD920" s="276"/>
      <c r="AE920" s="277"/>
      <c r="AF920" s="277"/>
      <c r="AG920" s="277"/>
    </row>
    <row r="921" customFormat="false" ht="15" hidden="false" customHeight="true" outlineLevel="0" collapsed="false">
      <c r="T921" s="63"/>
      <c r="U921" s="9"/>
      <c r="V921" s="63"/>
      <c r="W921" s="9"/>
      <c r="X921" s="9"/>
      <c r="Y921" s="9"/>
      <c r="Z921" s="40"/>
      <c r="AA921" s="274"/>
      <c r="AB921" s="275"/>
      <c r="AC921" s="277"/>
      <c r="AD921" s="276"/>
      <c r="AE921" s="277"/>
      <c r="AF921" s="277"/>
      <c r="AG921" s="277"/>
    </row>
    <row r="922" customFormat="false" ht="15" hidden="false" customHeight="true" outlineLevel="0" collapsed="false">
      <c r="T922" s="63"/>
      <c r="U922" s="9"/>
      <c r="V922" s="63"/>
      <c r="W922" s="9"/>
      <c r="X922" s="9"/>
      <c r="Y922" s="9"/>
      <c r="Z922" s="40"/>
      <c r="AA922" s="274"/>
      <c r="AB922" s="275"/>
      <c r="AC922" s="277"/>
      <c r="AD922" s="276"/>
      <c r="AE922" s="277"/>
      <c r="AF922" s="277"/>
      <c r="AG922" s="277"/>
    </row>
    <row r="923" customFormat="false" ht="15" hidden="false" customHeight="true" outlineLevel="0" collapsed="false">
      <c r="T923" s="63"/>
      <c r="U923" s="9"/>
      <c r="V923" s="63"/>
      <c r="W923" s="9"/>
      <c r="X923" s="9"/>
      <c r="Y923" s="9"/>
      <c r="Z923" s="40"/>
      <c r="AA923" s="274"/>
      <c r="AB923" s="275"/>
      <c r="AC923" s="277"/>
      <c r="AD923" s="276"/>
      <c r="AE923" s="277"/>
      <c r="AF923" s="277"/>
      <c r="AG923" s="277"/>
    </row>
    <row r="924" customFormat="false" ht="15" hidden="false" customHeight="true" outlineLevel="0" collapsed="false">
      <c r="T924" s="63"/>
      <c r="U924" s="9"/>
      <c r="V924" s="63"/>
      <c r="W924" s="9"/>
      <c r="X924" s="9"/>
      <c r="Y924" s="9"/>
      <c r="Z924" s="40"/>
      <c r="AA924" s="274"/>
      <c r="AB924" s="275"/>
      <c r="AC924" s="277"/>
      <c r="AD924" s="276"/>
      <c r="AE924" s="277"/>
      <c r="AF924" s="277"/>
      <c r="AG924" s="277"/>
    </row>
    <row r="925" customFormat="false" ht="15" hidden="false" customHeight="true" outlineLevel="0" collapsed="false">
      <c r="T925" s="63"/>
      <c r="U925" s="9"/>
      <c r="V925" s="63"/>
      <c r="W925" s="9"/>
      <c r="X925" s="9"/>
      <c r="Y925" s="9"/>
      <c r="Z925" s="40"/>
      <c r="AA925" s="274"/>
      <c r="AB925" s="275"/>
      <c r="AC925" s="277"/>
      <c r="AD925" s="276"/>
      <c r="AE925" s="277"/>
      <c r="AF925" s="277"/>
      <c r="AG925" s="277"/>
    </row>
    <row r="926" customFormat="false" ht="15" hidden="false" customHeight="true" outlineLevel="0" collapsed="false">
      <c r="T926" s="63"/>
      <c r="U926" s="9"/>
      <c r="V926" s="63"/>
      <c r="W926" s="9"/>
      <c r="X926" s="9"/>
      <c r="Y926" s="9"/>
      <c r="Z926" s="40"/>
      <c r="AA926" s="274"/>
      <c r="AB926" s="275"/>
      <c r="AC926" s="277"/>
      <c r="AD926" s="276"/>
      <c r="AE926" s="277"/>
      <c r="AF926" s="277"/>
      <c r="AG926" s="277"/>
    </row>
    <row r="927" customFormat="false" ht="15" hidden="false" customHeight="true" outlineLevel="0" collapsed="false">
      <c r="T927" s="63"/>
      <c r="U927" s="9"/>
      <c r="V927" s="63"/>
      <c r="W927" s="9"/>
      <c r="X927" s="9"/>
      <c r="Y927" s="9"/>
      <c r="Z927" s="40"/>
      <c r="AA927" s="274"/>
      <c r="AB927" s="275"/>
      <c r="AC927" s="277"/>
      <c r="AD927" s="276"/>
      <c r="AE927" s="277"/>
      <c r="AF927" s="277"/>
      <c r="AG927" s="277"/>
    </row>
    <row r="928" customFormat="false" ht="15" hidden="false" customHeight="true" outlineLevel="0" collapsed="false">
      <c r="T928" s="63"/>
      <c r="U928" s="9"/>
      <c r="V928" s="63"/>
      <c r="W928" s="9"/>
      <c r="X928" s="9"/>
      <c r="Y928" s="9"/>
      <c r="Z928" s="40"/>
      <c r="AA928" s="274"/>
      <c r="AB928" s="275"/>
      <c r="AC928" s="277"/>
      <c r="AD928" s="276"/>
      <c r="AE928" s="277"/>
      <c r="AF928" s="277"/>
      <c r="AG928" s="277"/>
    </row>
    <row r="929" customFormat="false" ht="15" hidden="false" customHeight="true" outlineLevel="0" collapsed="false">
      <c r="T929" s="63"/>
      <c r="U929" s="9"/>
      <c r="V929" s="63"/>
      <c r="W929" s="9"/>
      <c r="X929" s="9"/>
      <c r="Y929" s="9"/>
      <c r="Z929" s="40"/>
      <c r="AA929" s="274"/>
      <c r="AB929" s="275"/>
      <c r="AC929" s="277"/>
      <c r="AD929" s="276"/>
      <c r="AE929" s="277"/>
      <c r="AF929" s="277"/>
      <c r="AG929" s="277"/>
    </row>
    <row r="930" customFormat="false" ht="15" hidden="false" customHeight="true" outlineLevel="0" collapsed="false">
      <c r="T930" s="63"/>
      <c r="U930" s="9"/>
      <c r="V930" s="63"/>
      <c r="W930" s="9"/>
      <c r="X930" s="9"/>
      <c r="Y930" s="9"/>
      <c r="Z930" s="40"/>
      <c r="AA930" s="274"/>
      <c r="AB930" s="275"/>
      <c r="AC930" s="277"/>
      <c r="AD930" s="276"/>
      <c r="AE930" s="277"/>
      <c r="AF930" s="277"/>
      <c r="AG930" s="277"/>
    </row>
    <row r="931" customFormat="false" ht="15" hidden="false" customHeight="true" outlineLevel="0" collapsed="false">
      <c r="T931" s="63"/>
      <c r="U931" s="9"/>
      <c r="V931" s="63"/>
      <c r="W931" s="9"/>
      <c r="X931" s="9"/>
      <c r="Y931" s="9"/>
      <c r="Z931" s="40"/>
      <c r="AA931" s="274"/>
      <c r="AB931" s="275"/>
      <c r="AC931" s="277"/>
      <c r="AD931" s="276"/>
      <c r="AE931" s="277"/>
      <c r="AF931" s="277"/>
      <c r="AG931" s="277"/>
    </row>
    <row r="932" customFormat="false" ht="15" hidden="false" customHeight="true" outlineLevel="0" collapsed="false">
      <c r="T932" s="63"/>
      <c r="U932" s="9"/>
      <c r="V932" s="63"/>
      <c r="W932" s="9"/>
      <c r="X932" s="9"/>
      <c r="Y932" s="9"/>
      <c r="Z932" s="40"/>
      <c r="AA932" s="274"/>
      <c r="AB932" s="275"/>
      <c r="AC932" s="277"/>
      <c r="AD932" s="276"/>
      <c r="AE932" s="277"/>
      <c r="AF932" s="277"/>
      <c r="AG932" s="277"/>
    </row>
    <row r="933" customFormat="false" ht="15" hidden="false" customHeight="true" outlineLevel="0" collapsed="false">
      <c r="T933" s="63"/>
      <c r="U933" s="9"/>
      <c r="V933" s="63"/>
      <c r="W933" s="9"/>
      <c r="X933" s="9"/>
      <c r="Y933" s="9"/>
      <c r="Z933" s="40"/>
      <c r="AA933" s="274"/>
      <c r="AB933" s="275"/>
      <c r="AC933" s="277"/>
      <c r="AD933" s="276"/>
      <c r="AE933" s="277"/>
      <c r="AF933" s="277"/>
      <c r="AG933" s="277"/>
    </row>
    <row r="934" customFormat="false" ht="15" hidden="false" customHeight="true" outlineLevel="0" collapsed="false">
      <c r="T934" s="63"/>
      <c r="U934" s="9"/>
      <c r="V934" s="63"/>
      <c r="W934" s="9"/>
      <c r="X934" s="9"/>
      <c r="Y934" s="9"/>
      <c r="Z934" s="40"/>
      <c r="AA934" s="274"/>
      <c r="AB934" s="275"/>
      <c r="AC934" s="277"/>
      <c r="AD934" s="276"/>
      <c r="AE934" s="277"/>
      <c r="AF934" s="277"/>
      <c r="AG934" s="277"/>
    </row>
    <row r="935" customFormat="false" ht="15" hidden="false" customHeight="true" outlineLevel="0" collapsed="false">
      <c r="T935" s="63"/>
      <c r="U935" s="9"/>
      <c r="V935" s="63"/>
      <c r="W935" s="9"/>
      <c r="X935" s="9"/>
      <c r="Y935" s="9"/>
      <c r="Z935" s="40"/>
      <c r="AA935" s="274"/>
      <c r="AB935" s="275"/>
      <c r="AC935" s="277"/>
      <c r="AD935" s="276"/>
      <c r="AE935" s="277"/>
      <c r="AF935" s="277"/>
      <c r="AG935" s="277"/>
    </row>
    <row r="936" customFormat="false" ht="15" hidden="false" customHeight="true" outlineLevel="0" collapsed="false">
      <c r="T936" s="63"/>
      <c r="U936" s="9"/>
      <c r="V936" s="63"/>
      <c r="W936" s="9"/>
      <c r="X936" s="9"/>
      <c r="Y936" s="9"/>
      <c r="Z936" s="40"/>
      <c r="AA936" s="274"/>
      <c r="AB936" s="275"/>
      <c r="AC936" s="277"/>
      <c r="AD936" s="276"/>
      <c r="AE936" s="277"/>
      <c r="AF936" s="277"/>
      <c r="AG936" s="277"/>
    </row>
    <row r="937" customFormat="false" ht="15" hidden="false" customHeight="true" outlineLevel="0" collapsed="false">
      <c r="T937" s="63"/>
      <c r="U937" s="9"/>
      <c r="V937" s="63"/>
      <c r="W937" s="9"/>
      <c r="X937" s="9"/>
      <c r="Y937" s="9"/>
      <c r="Z937" s="40"/>
      <c r="AA937" s="274"/>
      <c r="AB937" s="275"/>
      <c r="AC937" s="277"/>
      <c r="AD937" s="276"/>
      <c r="AE937" s="277"/>
      <c r="AF937" s="277"/>
      <c r="AG937" s="277"/>
    </row>
    <row r="938" customFormat="false" ht="15" hidden="false" customHeight="true" outlineLevel="0" collapsed="false">
      <c r="F938" s="277"/>
      <c r="G938" s="275"/>
      <c r="H938" s="275"/>
      <c r="I938" s="258"/>
      <c r="J938" s="258"/>
      <c r="K938" s="277"/>
      <c r="L938" s="275"/>
      <c r="M938" s="275"/>
      <c r="N938" s="275"/>
      <c r="O938" s="275"/>
      <c r="P938" s="258"/>
      <c r="Q938" s="275"/>
      <c r="R938" s="275"/>
      <c r="S938" s="275"/>
      <c r="T938" s="63"/>
      <c r="U938" s="9"/>
      <c r="V938" s="63"/>
      <c r="W938" s="9"/>
      <c r="X938" s="9"/>
      <c r="Y938" s="9"/>
      <c r="Z938" s="40"/>
      <c r="AA938" s="274"/>
      <c r="AB938" s="275"/>
      <c r="AC938" s="277"/>
      <c r="AD938" s="276"/>
      <c r="AE938" s="277"/>
      <c r="AF938" s="277"/>
      <c r="AG938" s="277"/>
    </row>
    <row r="939" customFormat="false" ht="15" hidden="false" customHeight="true" outlineLevel="0" collapsed="false">
      <c r="F939" s="277"/>
      <c r="G939" s="275"/>
      <c r="H939" s="275"/>
      <c r="I939" s="258"/>
      <c r="J939" s="258"/>
      <c r="K939" s="277"/>
      <c r="L939" s="275"/>
      <c r="M939" s="275"/>
      <c r="N939" s="275"/>
      <c r="O939" s="275"/>
      <c r="P939" s="258"/>
      <c r="Q939" s="275"/>
      <c r="R939" s="275"/>
      <c r="S939" s="275"/>
      <c r="T939" s="63"/>
      <c r="U939" s="9"/>
      <c r="V939" s="63"/>
      <c r="W939" s="9"/>
      <c r="X939" s="9"/>
      <c r="Y939" s="9"/>
      <c r="Z939" s="40"/>
      <c r="AA939" s="274"/>
      <c r="AB939" s="275"/>
      <c r="AC939" s="277"/>
      <c r="AD939" s="276"/>
      <c r="AE939" s="277"/>
      <c r="AF939" s="277"/>
      <c r="AG939" s="277"/>
    </row>
    <row r="940" customFormat="false" ht="15" hidden="false" customHeight="true" outlineLevel="0" collapsed="false">
      <c r="F940" s="277"/>
      <c r="G940" s="275"/>
      <c r="H940" s="275"/>
      <c r="I940" s="258"/>
      <c r="J940" s="258"/>
      <c r="K940" s="277"/>
      <c r="L940" s="275"/>
      <c r="M940" s="275"/>
      <c r="N940" s="275"/>
      <c r="O940" s="275"/>
      <c r="P940" s="258"/>
      <c r="Q940" s="275"/>
      <c r="R940" s="275"/>
      <c r="S940" s="275"/>
      <c r="T940" s="63"/>
      <c r="U940" s="9"/>
      <c r="V940" s="63"/>
      <c r="W940" s="9"/>
      <c r="X940" s="9"/>
      <c r="Y940" s="9"/>
      <c r="Z940" s="40"/>
      <c r="AA940" s="274"/>
      <c r="AB940" s="275"/>
      <c r="AC940" s="277"/>
      <c r="AD940" s="276"/>
      <c r="AE940" s="277"/>
      <c r="AF940" s="277"/>
      <c r="AG940" s="277"/>
    </row>
    <row r="941" customFormat="false" ht="15" hidden="false" customHeight="true" outlineLevel="0" collapsed="false">
      <c r="F941" s="277"/>
      <c r="G941" s="275"/>
      <c r="H941" s="275"/>
      <c r="I941" s="258"/>
      <c r="J941" s="258"/>
      <c r="K941" s="277"/>
      <c r="L941" s="275"/>
      <c r="M941" s="275"/>
      <c r="N941" s="275"/>
      <c r="O941" s="275"/>
      <c r="P941" s="258"/>
      <c r="Q941" s="275"/>
      <c r="R941" s="275"/>
      <c r="S941" s="275"/>
      <c r="T941" s="63"/>
      <c r="U941" s="9"/>
      <c r="V941" s="63"/>
      <c r="W941" s="9"/>
      <c r="X941" s="9"/>
      <c r="Y941" s="9"/>
      <c r="Z941" s="40"/>
      <c r="AA941" s="274"/>
      <c r="AB941" s="275"/>
      <c r="AC941" s="277"/>
      <c r="AD941" s="276"/>
      <c r="AE941" s="277"/>
      <c r="AF941" s="277"/>
      <c r="AG941" s="277"/>
    </row>
    <row r="942" customFormat="false" ht="15" hidden="false" customHeight="true" outlineLevel="0" collapsed="false">
      <c r="F942" s="277"/>
      <c r="G942" s="275"/>
      <c r="H942" s="275"/>
      <c r="I942" s="258"/>
      <c r="J942" s="258"/>
      <c r="K942" s="277"/>
      <c r="L942" s="275"/>
      <c r="M942" s="275"/>
      <c r="N942" s="275"/>
      <c r="O942" s="275"/>
      <c r="P942" s="258"/>
      <c r="Q942" s="275"/>
      <c r="R942" s="275"/>
      <c r="S942" s="275"/>
      <c r="T942" s="63"/>
      <c r="U942" s="9"/>
      <c r="V942" s="63"/>
      <c r="W942" s="9"/>
      <c r="X942" s="9"/>
      <c r="Y942" s="9"/>
      <c r="Z942" s="40"/>
      <c r="AA942" s="274"/>
      <c r="AB942" s="275"/>
      <c r="AC942" s="277"/>
      <c r="AD942" s="276"/>
      <c r="AE942" s="277"/>
      <c r="AF942" s="277"/>
      <c r="AG942" s="277"/>
    </row>
    <row r="943" customFormat="false" ht="15" hidden="false" customHeight="true" outlineLevel="0" collapsed="false">
      <c r="F943" s="277"/>
      <c r="G943" s="275"/>
      <c r="H943" s="275"/>
      <c r="I943" s="258"/>
      <c r="J943" s="258"/>
      <c r="K943" s="277"/>
      <c r="L943" s="275"/>
      <c r="M943" s="275"/>
      <c r="N943" s="275"/>
      <c r="O943" s="275"/>
      <c r="P943" s="258"/>
      <c r="Q943" s="275"/>
      <c r="R943" s="275"/>
      <c r="S943" s="275"/>
      <c r="T943" s="63"/>
      <c r="U943" s="9"/>
      <c r="V943" s="63"/>
      <c r="W943" s="9"/>
      <c r="X943" s="9"/>
      <c r="Y943" s="9"/>
      <c r="Z943" s="40"/>
      <c r="AA943" s="274"/>
      <c r="AB943" s="275"/>
      <c r="AC943" s="277"/>
      <c r="AD943" s="276"/>
      <c r="AE943" s="277"/>
      <c r="AF943" s="277"/>
      <c r="AG943" s="277"/>
    </row>
    <row r="944" customFormat="false" ht="15" hidden="false" customHeight="true" outlineLevel="0" collapsed="false">
      <c r="F944" s="277"/>
      <c r="G944" s="275"/>
      <c r="H944" s="275"/>
      <c r="I944" s="258"/>
      <c r="J944" s="258"/>
      <c r="K944" s="277"/>
      <c r="L944" s="275"/>
      <c r="M944" s="275"/>
      <c r="N944" s="275"/>
      <c r="O944" s="275"/>
      <c r="P944" s="258"/>
      <c r="Q944" s="275"/>
      <c r="R944" s="275"/>
      <c r="S944" s="275"/>
      <c r="T944" s="63"/>
      <c r="U944" s="9"/>
      <c r="V944" s="63"/>
      <c r="W944" s="9"/>
      <c r="X944" s="9"/>
      <c r="Y944" s="9"/>
      <c r="Z944" s="40"/>
      <c r="AA944" s="274"/>
      <c r="AB944" s="275"/>
      <c r="AC944" s="277"/>
      <c r="AD944" s="276"/>
      <c r="AE944" s="277"/>
      <c r="AF944" s="277"/>
      <c r="AG944" s="277"/>
    </row>
    <row r="945" customFormat="false" ht="15" hidden="false" customHeight="true" outlineLevel="0" collapsed="false">
      <c r="F945" s="277"/>
      <c r="G945" s="275"/>
      <c r="H945" s="275"/>
      <c r="I945" s="258"/>
      <c r="J945" s="258"/>
      <c r="K945" s="277"/>
      <c r="L945" s="275"/>
      <c r="M945" s="275"/>
      <c r="N945" s="275"/>
      <c r="O945" s="275"/>
      <c r="P945" s="258"/>
      <c r="Q945" s="275"/>
      <c r="R945" s="275"/>
      <c r="S945" s="275"/>
      <c r="T945" s="63"/>
      <c r="U945" s="9"/>
      <c r="V945" s="63"/>
      <c r="W945" s="9"/>
      <c r="X945" s="9"/>
      <c r="Y945" s="9"/>
      <c r="Z945" s="40"/>
      <c r="AA945" s="274"/>
      <c r="AB945" s="275"/>
      <c r="AC945" s="277"/>
      <c r="AD945" s="276"/>
      <c r="AE945" s="277"/>
      <c r="AF945" s="277"/>
      <c r="AG945" s="277"/>
    </row>
    <row r="946" customFormat="false" ht="15" hidden="false" customHeight="true" outlineLevel="0" collapsed="false">
      <c r="F946" s="277"/>
      <c r="G946" s="275"/>
      <c r="H946" s="275"/>
      <c r="I946" s="258"/>
      <c r="J946" s="258"/>
      <c r="K946" s="277"/>
      <c r="L946" s="275"/>
      <c r="M946" s="275"/>
      <c r="N946" s="275"/>
      <c r="O946" s="275"/>
      <c r="P946" s="258"/>
      <c r="Q946" s="275"/>
      <c r="R946" s="275"/>
      <c r="S946" s="275"/>
      <c r="T946" s="63"/>
      <c r="U946" s="9"/>
      <c r="V946" s="63"/>
      <c r="W946" s="9"/>
      <c r="X946" s="9"/>
      <c r="Y946" s="9"/>
      <c r="Z946" s="40"/>
      <c r="AA946" s="274"/>
      <c r="AB946" s="275"/>
      <c r="AC946" s="277"/>
      <c r="AD946" s="276"/>
      <c r="AE946" s="277"/>
      <c r="AF946" s="277"/>
      <c r="AG946" s="277"/>
    </row>
    <row r="947" customFormat="false" ht="15" hidden="false" customHeight="true" outlineLevel="0" collapsed="false">
      <c r="F947" s="277"/>
      <c r="G947" s="275"/>
      <c r="H947" s="275"/>
      <c r="I947" s="258"/>
      <c r="J947" s="258"/>
      <c r="K947" s="277"/>
      <c r="L947" s="275"/>
      <c r="M947" s="275"/>
      <c r="N947" s="275"/>
      <c r="O947" s="275"/>
      <c r="P947" s="258"/>
      <c r="Q947" s="275"/>
      <c r="R947" s="275"/>
      <c r="S947" s="275"/>
      <c r="T947" s="63"/>
      <c r="U947" s="9"/>
      <c r="V947" s="63"/>
      <c r="W947" s="9"/>
      <c r="X947" s="9"/>
      <c r="Y947" s="9"/>
      <c r="Z947" s="40"/>
      <c r="AA947" s="274"/>
      <c r="AB947" s="275"/>
      <c r="AC947" s="277"/>
      <c r="AD947" s="276"/>
      <c r="AE947" s="277"/>
      <c r="AF947" s="277"/>
      <c r="AG947" s="277"/>
    </row>
    <row r="948" customFormat="false" ht="15" hidden="false" customHeight="true" outlineLevel="0" collapsed="false">
      <c r="F948" s="277"/>
      <c r="G948" s="275"/>
      <c r="H948" s="275"/>
      <c r="I948" s="258"/>
      <c r="J948" s="258"/>
      <c r="K948" s="277"/>
      <c r="L948" s="275"/>
      <c r="M948" s="275"/>
      <c r="N948" s="275"/>
      <c r="O948" s="275"/>
      <c r="P948" s="258"/>
      <c r="Q948" s="275"/>
      <c r="R948" s="275"/>
      <c r="S948" s="275"/>
      <c r="T948" s="63"/>
      <c r="U948" s="9"/>
      <c r="V948" s="63"/>
      <c r="W948" s="9"/>
      <c r="X948" s="9"/>
      <c r="Y948" s="9"/>
      <c r="Z948" s="40"/>
      <c r="AA948" s="274"/>
      <c r="AB948" s="275"/>
      <c r="AC948" s="277"/>
      <c r="AD948" s="276"/>
      <c r="AE948" s="277"/>
      <c r="AF948" s="277"/>
      <c r="AG948" s="277"/>
    </row>
    <row r="949" customFormat="false" ht="15" hidden="false" customHeight="true" outlineLevel="0" collapsed="false">
      <c r="F949" s="277"/>
      <c r="G949" s="275"/>
      <c r="H949" s="275"/>
      <c r="I949" s="258"/>
      <c r="J949" s="258"/>
      <c r="K949" s="277"/>
      <c r="L949" s="275"/>
      <c r="M949" s="275"/>
      <c r="N949" s="275"/>
      <c r="O949" s="275"/>
      <c r="P949" s="258"/>
      <c r="Q949" s="275"/>
      <c r="R949" s="275"/>
      <c r="S949" s="275"/>
      <c r="T949" s="63"/>
      <c r="U949" s="9"/>
      <c r="V949" s="63"/>
      <c r="W949" s="9"/>
      <c r="X949" s="9"/>
      <c r="Y949" s="9"/>
      <c r="Z949" s="40"/>
      <c r="AA949" s="274"/>
      <c r="AB949" s="275"/>
      <c r="AC949" s="277"/>
      <c r="AD949" s="276"/>
      <c r="AE949" s="277"/>
      <c r="AF949" s="277"/>
      <c r="AG949" s="277"/>
    </row>
    <row r="950" customFormat="false" ht="15" hidden="false" customHeight="true" outlineLevel="0" collapsed="false">
      <c r="F950" s="277"/>
      <c r="G950" s="275"/>
      <c r="H950" s="275"/>
      <c r="I950" s="258"/>
      <c r="J950" s="258"/>
      <c r="K950" s="277"/>
      <c r="L950" s="275"/>
      <c r="M950" s="275"/>
      <c r="N950" s="275"/>
      <c r="O950" s="275"/>
      <c r="P950" s="258"/>
      <c r="Q950" s="275"/>
      <c r="R950" s="275"/>
      <c r="S950" s="275"/>
      <c r="T950" s="63"/>
      <c r="U950" s="9"/>
      <c r="V950" s="63"/>
      <c r="W950" s="9"/>
      <c r="X950" s="9"/>
      <c r="Y950" s="9"/>
      <c r="Z950" s="40"/>
      <c r="AA950" s="274"/>
      <c r="AB950" s="275"/>
      <c r="AC950" s="277"/>
      <c r="AD950" s="276"/>
      <c r="AE950" s="277"/>
      <c r="AF950" s="277"/>
      <c r="AG950" s="277"/>
    </row>
    <row r="951" customFormat="false" ht="15" hidden="false" customHeight="true" outlineLevel="0" collapsed="false">
      <c r="F951" s="277"/>
      <c r="G951" s="275"/>
      <c r="H951" s="275"/>
      <c r="I951" s="258"/>
      <c r="J951" s="258"/>
      <c r="K951" s="277"/>
      <c r="L951" s="275"/>
      <c r="M951" s="275"/>
      <c r="N951" s="275"/>
      <c r="O951" s="275"/>
      <c r="P951" s="258"/>
      <c r="Q951" s="275"/>
      <c r="R951" s="275"/>
      <c r="S951" s="275"/>
      <c r="T951" s="63"/>
      <c r="U951" s="9"/>
      <c r="V951" s="63"/>
      <c r="W951" s="9"/>
      <c r="X951" s="9"/>
      <c r="Y951" s="9"/>
      <c r="Z951" s="40"/>
      <c r="AA951" s="274"/>
      <c r="AB951" s="275"/>
      <c r="AC951" s="277"/>
      <c r="AD951" s="276"/>
      <c r="AE951" s="277"/>
      <c r="AF951" s="277"/>
      <c r="AG951" s="277"/>
    </row>
    <row r="952" customFormat="false" ht="15" hidden="false" customHeight="true" outlineLevel="0" collapsed="false">
      <c r="F952" s="277"/>
      <c r="G952" s="275"/>
      <c r="H952" s="275"/>
      <c r="I952" s="258"/>
      <c r="J952" s="258"/>
      <c r="K952" s="277"/>
      <c r="L952" s="275"/>
      <c r="M952" s="275"/>
      <c r="N952" s="275"/>
      <c r="O952" s="275"/>
      <c r="P952" s="258"/>
      <c r="Q952" s="275"/>
      <c r="R952" s="275"/>
      <c r="S952" s="275"/>
      <c r="T952" s="63"/>
      <c r="U952" s="9"/>
      <c r="V952" s="63"/>
      <c r="W952" s="9"/>
      <c r="X952" s="9"/>
      <c r="Y952" s="9"/>
      <c r="Z952" s="40"/>
      <c r="AA952" s="274"/>
      <c r="AB952" s="275"/>
      <c r="AC952" s="277"/>
      <c r="AD952" s="276"/>
      <c r="AE952" s="277"/>
      <c r="AF952" s="277"/>
      <c r="AG952" s="277"/>
    </row>
    <row r="953" customFormat="false" ht="15" hidden="false" customHeight="true" outlineLevel="0" collapsed="false">
      <c r="F953" s="277"/>
      <c r="G953" s="275"/>
      <c r="H953" s="275"/>
      <c r="I953" s="258"/>
      <c r="J953" s="258"/>
      <c r="K953" s="277"/>
      <c r="L953" s="275"/>
      <c r="M953" s="275"/>
      <c r="N953" s="275"/>
      <c r="O953" s="275"/>
      <c r="P953" s="258"/>
      <c r="Q953" s="275"/>
      <c r="R953" s="275"/>
      <c r="S953" s="275"/>
      <c r="T953" s="63"/>
      <c r="U953" s="9"/>
      <c r="V953" s="63"/>
      <c r="W953" s="9"/>
      <c r="X953" s="9"/>
      <c r="Y953" s="9"/>
      <c r="Z953" s="40"/>
      <c r="AA953" s="274"/>
      <c r="AB953" s="275"/>
      <c r="AC953" s="277"/>
      <c r="AD953" s="276"/>
      <c r="AE953" s="277"/>
      <c r="AF953" s="277"/>
      <c r="AG953" s="277"/>
    </row>
    <row r="954" customFormat="false" ht="15" hidden="false" customHeight="true" outlineLevel="0" collapsed="false">
      <c r="F954" s="277"/>
      <c r="G954" s="275"/>
      <c r="H954" s="275"/>
      <c r="I954" s="258"/>
      <c r="J954" s="258"/>
      <c r="K954" s="277"/>
      <c r="L954" s="275"/>
      <c r="M954" s="275"/>
      <c r="N954" s="275"/>
      <c r="O954" s="275"/>
      <c r="P954" s="258"/>
      <c r="Q954" s="275"/>
      <c r="R954" s="275"/>
      <c r="S954" s="275"/>
      <c r="T954" s="63"/>
      <c r="U954" s="9"/>
      <c r="V954" s="63"/>
      <c r="W954" s="9"/>
      <c r="X954" s="9"/>
      <c r="Y954" s="9"/>
      <c r="Z954" s="40"/>
      <c r="AA954" s="274"/>
      <c r="AB954" s="275"/>
      <c r="AC954" s="277"/>
      <c r="AD954" s="276"/>
      <c r="AE954" s="277"/>
      <c r="AF954" s="277"/>
      <c r="AG954" s="277"/>
    </row>
    <row r="955" customFormat="false" ht="15" hidden="false" customHeight="true" outlineLevel="0" collapsed="false">
      <c r="F955" s="277"/>
      <c r="G955" s="275"/>
      <c r="H955" s="275"/>
      <c r="I955" s="258"/>
      <c r="J955" s="258"/>
      <c r="K955" s="277"/>
      <c r="L955" s="275"/>
      <c r="M955" s="275"/>
      <c r="N955" s="275"/>
      <c r="O955" s="275"/>
      <c r="P955" s="258"/>
      <c r="Q955" s="275"/>
      <c r="R955" s="275"/>
      <c r="S955" s="275"/>
      <c r="T955" s="63"/>
      <c r="U955" s="9"/>
      <c r="V955" s="63"/>
      <c r="W955" s="9"/>
      <c r="X955" s="9"/>
      <c r="Y955" s="9"/>
      <c r="Z955" s="40"/>
      <c r="AA955" s="274"/>
      <c r="AB955" s="275"/>
      <c r="AC955" s="277"/>
      <c r="AD955" s="276"/>
      <c r="AE955" s="277"/>
      <c r="AF955" s="277"/>
      <c r="AG955" s="277"/>
    </row>
    <row r="956" customFormat="false" ht="15" hidden="false" customHeight="true" outlineLevel="0" collapsed="false">
      <c r="F956" s="277"/>
      <c r="G956" s="275"/>
      <c r="H956" s="275"/>
      <c r="I956" s="258"/>
      <c r="J956" s="258"/>
      <c r="K956" s="277"/>
      <c r="L956" s="275"/>
      <c r="M956" s="275"/>
      <c r="N956" s="275"/>
      <c r="O956" s="275"/>
      <c r="P956" s="258"/>
      <c r="Q956" s="275"/>
      <c r="R956" s="275"/>
      <c r="S956" s="275"/>
      <c r="T956" s="63"/>
      <c r="U956" s="9"/>
      <c r="V956" s="63"/>
      <c r="W956" s="9"/>
      <c r="X956" s="9"/>
      <c r="Y956" s="9"/>
      <c r="Z956" s="40"/>
      <c r="AA956" s="274"/>
      <c r="AB956" s="275"/>
      <c r="AC956" s="277"/>
      <c r="AD956" s="276"/>
      <c r="AE956" s="277"/>
      <c r="AF956" s="277"/>
      <c r="AG956" s="277"/>
    </row>
    <row r="957" customFormat="false" ht="15" hidden="false" customHeight="true" outlineLevel="0" collapsed="false">
      <c r="F957" s="277"/>
      <c r="G957" s="275"/>
      <c r="H957" s="275"/>
      <c r="I957" s="258"/>
      <c r="J957" s="258"/>
      <c r="K957" s="277"/>
      <c r="L957" s="275"/>
      <c r="M957" s="275"/>
      <c r="N957" s="275"/>
      <c r="O957" s="275"/>
      <c r="P957" s="258"/>
      <c r="Q957" s="275"/>
      <c r="R957" s="275"/>
      <c r="S957" s="275"/>
      <c r="T957" s="63"/>
      <c r="U957" s="9"/>
      <c r="V957" s="63"/>
      <c r="W957" s="9"/>
      <c r="X957" s="9"/>
      <c r="Y957" s="9"/>
      <c r="Z957" s="40"/>
      <c r="AA957" s="274"/>
      <c r="AB957" s="275"/>
      <c r="AC957" s="277"/>
      <c r="AD957" s="276"/>
      <c r="AE957" s="277"/>
      <c r="AF957" s="277"/>
      <c r="AG957" s="277"/>
    </row>
    <row r="958" customFormat="false" ht="15" hidden="false" customHeight="true" outlineLevel="0" collapsed="false">
      <c r="F958" s="277"/>
      <c r="G958" s="275"/>
      <c r="H958" s="275"/>
      <c r="I958" s="258"/>
      <c r="J958" s="258"/>
      <c r="K958" s="277"/>
      <c r="L958" s="275"/>
      <c r="M958" s="275"/>
      <c r="N958" s="275"/>
      <c r="O958" s="275"/>
      <c r="P958" s="258"/>
      <c r="Q958" s="275"/>
      <c r="R958" s="275"/>
      <c r="S958" s="275"/>
      <c r="T958" s="63"/>
      <c r="U958" s="9"/>
      <c r="V958" s="63"/>
      <c r="W958" s="9"/>
      <c r="X958" s="9"/>
      <c r="Y958" s="9"/>
      <c r="Z958" s="40"/>
      <c r="AA958" s="274"/>
      <c r="AB958" s="275"/>
      <c r="AC958" s="277"/>
      <c r="AD958" s="276"/>
      <c r="AE958" s="277"/>
      <c r="AF958" s="277"/>
      <c r="AG958" s="277"/>
    </row>
    <row r="959" customFormat="false" ht="15" hidden="false" customHeight="true" outlineLevel="0" collapsed="false">
      <c r="F959" s="277"/>
      <c r="G959" s="275"/>
      <c r="H959" s="275"/>
      <c r="I959" s="258"/>
      <c r="J959" s="258"/>
      <c r="K959" s="277"/>
      <c r="L959" s="275"/>
      <c r="M959" s="275"/>
      <c r="N959" s="275"/>
      <c r="O959" s="275"/>
      <c r="P959" s="258"/>
      <c r="Q959" s="275"/>
      <c r="R959" s="275"/>
      <c r="S959" s="275"/>
      <c r="T959" s="63"/>
      <c r="U959" s="9"/>
      <c r="V959" s="63"/>
      <c r="W959" s="9"/>
      <c r="X959" s="9"/>
      <c r="Y959" s="9"/>
      <c r="Z959" s="40"/>
      <c r="AA959" s="274"/>
      <c r="AB959" s="275"/>
      <c r="AC959" s="277"/>
      <c r="AD959" s="276"/>
      <c r="AE959" s="277"/>
      <c r="AF959" s="277"/>
      <c r="AG959" s="277"/>
    </row>
    <row r="960" customFormat="false" ht="15" hidden="false" customHeight="true" outlineLevel="0" collapsed="false">
      <c r="F960" s="277"/>
      <c r="G960" s="275"/>
      <c r="H960" s="275"/>
      <c r="I960" s="258"/>
      <c r="J960" s="258"/>
      <c r="K960" s="277"/>
      <c r="L960" s="275"/>
      <c r="M960" s="275"/>
      <c r="N960" s="275"/>
      <c r="O960" s="275"/>
      <c r="P960" s="258"/>
      <c r="Q960" s="275"/>
      <c r="R960" s="275"/>
      <c r="S960" s="275"/>
      <c r="T960" s="63"/>
      <c r="U960" s="9"/>
      <c r="V960" s="63"/>
      <c r="W960" s="9"/>
      <c r="X960" s="9"/>
      <c r="Y960" s="9"/>
      <c r="Z960" s="40"/>
      <c r="AA960" s="274"/>
      <c r="AB960" s="275"/>
      <c r="AC960" s="277"/>
      <c r="AD960" s="276"/>
      <c r="AE960" s="277"/>
      <c r="AF960" s="277"/>
      <c r="AG960" s="277"/>
    </row>
    <row r="961" customFormat="false" ht="13.5" hidden="false" customHeight="true" outlineLevel="0" collapsed="false">
      <c r="T961" s="63"/>
    </row>
    <row r="962" customFormat="false" ht="13.5" hidden="false" customHeight="true" outlineLevel="0" collapsed="false">
      <c r="T962" s="63"/>
    </row>
    <row r="963" customFormat="false" ht="13.5" hidden="false" customHeight="true" outlineLevel="0" collapsed="false">
      <c r="T963" s="63"/>
    </row>
    <row r="964" customFormat="false" ht="13.5" hidden="false" customHeight="true" outlineLevel="0" collapsed="false">
      <c r="T964" s="63"/>
    </row>
    <row r="965" customFormat="false" ht="13.5" hidden="false" customHeight="true" outlineLevel="0" collapsed="false">
      <c r="T965" s="63"/>
    </row>
    <row r="966" customFormat="false" ht="13.5" hidden="false" customHeight="true" outlineLevel="0" collapsed="false">
      <c r="T966" s="63"/>
    </row>
    <row r="967" customFormat="false" ht="13.5" hidden="false" customHeight="true" outlineLevel="0" collapsed="false">
      <c r="T967" s="63"/>
    </row>
    <row r="968" customFormat="false" ht="13.5" hidden="false" customHeight="true" outlineLevel="0" collapsed="false">
      <c r="T968" s="63"/>
    </row>
  </sheetData>
  <dataValidations count="1">
    <dataValidation allowBlank="true" errorStyle="stop" operator="lessThan" showDropDown="false" showErrorMessage="true" showInputMessage="true" sqref="P587" type="date">
      <formula1>44286</formula1>
      <formula2>0</formula2>
    </dataValidation>
  </dataValidations>
  <printOptions headings="false" gridLines="false" gridLinesSet="true" horizontalCentered="true" verticalCentered="false"/>
  <pageMargins left="0.511805555555556" right="0.39375" top="0.905555555555556" bottom="0.511805555555556" header="0.315277777777778" footer="0.315277777777778"/>
  <pageSetup paperSize="9" scale="58" fitToWidth="1" fitToHeight="1" pageOrder="downThenOver" orientation="landscape" blackAndWhite="false" draft="false" cellComments="none" horizontalDpi="300" verticalDpi="300" copies="1"/>
  <headerFooter differentFirst="false" differentOddEven="false">
    <oddHeader>&amp;CMOUNT EDEN LAND LIMITED _x005F_x000a_THE LANGHAM ESTATE _x005F_x000a_31st August 2025</oddHeader>
    <oddFooter>&amp;CPage &amp;P of &amp;N</oddFooter>
  </headerFooter>
  <rowBreaks count="29" manualBreakCount="29">
    <brk id="25" man="true" max="16383" min="0"/>
    <brk id="58" man="true" max="16383" min="0"/>
    <brk id="80" man="true" max="16383" min="0"/>
    <brk id="106" man="true" max="16383" min="0"/>
    <brk id="138" man="true" max="16383" min="0"/>
    <brk id="171" man="true" max="16383" min="0"/>
    <brk id="201" man="true" max="16383" min="0"/>
    <brk id="233" man="true" max="16383" min="0"/>
    <brk id="258" man="true" max="16383" min="0"/>
    <brk id="277" man="true" max="16383" min="0"/>
    <brk id="302" man="true" max="16383" min="0"/>
    <brk id="332" man="true" max="16383" min="0"/>
    <brk id="360" man="true" max="16383" min="0"/>
    <brk id="381" man="true" max="16383" min="0"/>
    <brk id="409" man="true" max="16383" min="0"/>
    <brk id="436" man="true" max="16383" min="0"/>
    <brk id="459" man="true" max="16383" min="0"/>
    <brk id="493" man="true" max="16383" min="0"/>
    <brk id="523" man="true" max="16383" min="0"/>
    <brk id="546" man="true" max="16383" min="0"/>
    <brk id="575" man="true" max="16383" min="0"/>
    <brk id="598" man="true" max="16383" min="0"/>
    <brk id="628" man="true" max="16383" min="0"/>
    <brk id="653" man="true" max="16383" min="0"/>
    <brk id="672" man="true" max="16383" min="0"/>
    <brk id="691" man="true" max="16383" min="0"/>
    <brk id="708" man="true" max="16383" min="0"/>
    <brk id="745" man="true" max="16383" min="0"/>
    <brk id="775" man="true" max="16383" min="0"/>
  </rowBreaks>
  <colBreaks count="1" manualBreakCount="1">
    <brk id="29" man="true" max="65535" min="0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AK197"/>
  <sheetViews>
    <sheetView showFormulas="false" showGridLines="true" showRowColHeaders="true" showZeros="false" rightToLeft="false" tabSelected="false" showOutlineSymbols="true" defaultGridColor="true" view="normal" topLeftCell="A1" colorId="64" zoomScale="85" zoomScaleNormal="85" zoomScalePageLayoutView="100" workbookViewId="0">
      <pane xSplit="0" ySplit="3" topLeftCell="A63" activePane="bottomLeft" state="frozen"/>
      <selection pane="topLeft" activeCell="A1" activeCellId="0" sqref="A1"/>
      <selection pane="bottomLeft" activeCell="Y1" activeCellId="0" sqref="Y1"/>
    </sheetView>
  </sheetViews>
  <sheetFormatPr defaultColWidth="8.83203125" defaultRowHeight="12.75" customHeight="true" zeroHeight="false" outlineLevelRow="0" outlineLevelCol="0"/>
  <cols>
    <col collapsed="false" customWidth="true" hidden="false" outlineLevel="0" max="1" min="1" style="1" width="3.5"/>
    <col collapsed="false" customWidth="true" hidden="false" outlineLevel="0" max="2" min="2" style="1" width="10.33"/>
    <col collapsed="false" customWidth="true" hidden="false" outlineLevel="0" max="3" min="3" style="1" width="6.33"/>
    <col collapsed="false" customWidth="true" hidden="false" outlineLevel="0" max="4" min="4" style="1" width="9.83"/>
    <col collapsed="false" customWidth="true" hidden="false" outlineLevel="0" max="5" min="5" style="1" width="31.83"/>
    <col collapsed="false" customWidth="true" hidden="false" outlineLevel="0" max="6" min="6" style="1" width="21.83"/>
    <col collapsed="false" customWidth="true" hidden="false" outlineLevel="0" max="7" min="7" style="1" width="15"/>
    <col collapsed="false" customWidth="true" hidden="false" outlineLevel="0" max="8" min="8" style="1" width="9"/>
    <col collapsed="false" customWidth="true" hidden="true" outlineLevel="0" max="9" min="9" style="1" width="6"/>
    <col collapsed="false" customWidth="true" hidden="false" outlineLevel="0" max="10" min="10" style="278" width="15.83"/>
    <col collapsed="false" customWidth="true" hidden="true" outlineLevel="0" max="11" min="11" style="1" width="11.5"/>
    <col collapsed="false" customWidth="true" hidden="true" outlineLevel="0" max="12" min="12" style="1" width="9.33"/>
    <col collapsed="false" customWidth="true" hidden="false" outlineLevel="0" max="13" min="13" style="1" width="10.33"/>
    <col collapsed="false" customWidth="true" hidden="true" outlineLevel="0" max="14" min="14" style="279" width="11.16"/>
    <col collapsed="false" customWidth="true" hidden="true" outlineLevel="0" max="15" min="15" style="1" width="8.5"/>
    <col collapsed="false" customWidth="true" hidden="true" outlineLevel="0" max="16" min="16" style="1" width="10.16"/>
    <col collapsed="false" customWidth="true" hidden="true" outlineLevel="0" max="17" min="17" style="1" width="8"/>
    <col collapsed="false" customWidth="true" hidden="true" outlineLevel="0" max="18" min="18" style="1" width="7.16"/>
    <col collapsed="false" customWidth="true" hidden="false" outlineLevel="0" max="19" min="19" style="1" width="9"/>
    <col collapsed="false" customWidth="true" hidden="true" outlineLevel="0" max="20" min="20" style="1" width="7"/>
    <col collapsed="false" customWidth="true" hidden="false" outlineLevel="0" max="21" min="21" style="1" width="9.52"/>
    <col collapsed="false" customWidth="true" hidden="true" outlineLevel="0" max="22" min="22" style="1" width="6.51"/>
    <col collapsed="false" customWidth="true" hidden="false" outlineLevel="0" max="23" min="23" style="1" width="9.52"/>
    <col collapsed="false" customWidth="true" hidden="false" outlineLevel="0" max="24" min="24" style="1" width="8.16"/>
    <col collapsed="false" customWidth="true" hidden="true" outlineLevel="0" max="25" min="25" style="1" width="7"/>
    <col collapsed="false" customWidth="true" hidden="true" outlineLevel="0" max="26" min="26" style="1" width="16"/>
    <col collapsed="false" customWidth="true" hidden="true" outlineLevel="0" max="27" min="27" style="1" width="9.52"/>
    <col collapsed="false" customWidth="true" hidden="false" outlineLevel="0" max="28" min="28" style="1" width="35.5"/>
    <col collapsed="false" customWidth="true" hidden="false" outlineLevel="0" max="29" min="29" style="1" width="11.67"/>
    <col collapsed="false" customWidth="true" hidden="false" outlineLevel="0" max="31" min="30" style="1" width="9.16"/>
    <col collapsed="false" customWidth="true" hidden="false" outlineLevel="0" max="32" min="32" style="1" width="24.67"/>
    <col collapsed="false" customWidth="true" hidden="false" outlineLevel="0" max="33" min="33" style="1" width="20.51"/>
    <col collapsed="false" customWidth="true" hidden="false" outlineLevel="0" max="36" min="36" style="1" width="13.16"/>
    <col collapsed="false" customWidth="true" hidden="false" outlineLevel="0" max="37" min="37" style="1" width="11.16"/>
  </cols>
  <sheetData>
    <row r="1" customFormat="false" ht="14.25" hidden="false" customHeight="true" outlineLevel="0" collapsed="false">
      <c r="B1" s="2"/>
      <c r="C1" s="3"/>
      <c r="D1" s="3"/>
      <c r="E1" s="3"/>
      <c r="F1" s="4"/>
      <c r="G1" s="5"/>
      <c r="H1" s="6"/>
      <c r="I1" s="6"/>
      <c r="J1" s="5"/>
      <c r="K1" s="3"/>
      <c r="L1" s="7"/>
      <c r="M1" s="8"/>
      <c r="N1" s="8"/>
      <c r="O1" s="8"/>
      <c r="P1" s="3"/>
      <c r="Q1" s="3"/>
      <c r="R1" s="9"/>
      <c r="S1" s="9"/>
      <c r="T1" s="9"/>
      <c r="U1" s="3"/>
      <c r="V1" s="3"/>
      <c r="W1" s="3"/>
      <c r="X1" s="10"/>
      <c r="Y1" s="11"/>
      <c r="Z1" s="10"/>
      <c r="AA1" s="11"/>
      <c r="AB1" s="11"/>
      <c r="AC1" s="12"/>
      <c r="AD1" s="13"/>
      <c r="AE1" s="3"/>
      <c r="AF1" s="4"/>
      <c r="AG1" s="4"/>
    </row>
    <row r="2" customFormat="false" ht="14.25" hidden="false" customHeight="true" outlineLevel="0" collapsed="false">
      <c r="B2" s="2"/>
      <c r="C2" s="3"/>
      <c r="D2" s="3"/>
      <c r="E2" s="3"/>
      <c r="F2" s="4"/>
      <c r="G2" s="5"/>
      <c r="H2" s="6"/>
      <c r="I2" s="3"/>
      <c r="J2" s="5"/>
      <c r="K2" s="3"/>
      <c r="L2" s="7"/>
      <c r="M2" s="8"/>
      <c r="N2" s="8"/>
      <c r="O2" s="8"/>
      <c r="P2" s="3"/>
      <c r="Q2" s="3"/>
      <c r="R2" s="9"/>
      <c r="S2" s="3"/>
      <c r="T2" s="3"/>
      <c r="U2" s="3"/>
      <c r="V2" s="3"/>
      <c r="W2" s="3"/>
      <c r="X2" s="10"/>
      <c r="Y2" s="3"/>
      <c r="Z2" s="10"/>
      <c r="AA2" s="3"/>
      <c r="AB2" s="3"/>
      <c r="AC2" s="12"/>
      <c r="AD2" s="13"/>
      <c r="AE2" s="3"/>
      <c r="AF2" s="4"/>
      <c r="AG2" s="4"/>
    </row>
    <row r="3" customFormat="false" ht="33.75" hidden="false" customHeight="true" outlineLevel="0" collapsed="false">
      <c r="A3" s="280"/>
      <c r="B3" s="16" t="s">
        <v>1</v>
      </c>
      <c r="C3" s="16" t="s">
        <v>2</v>
      </c>
      <c r="D3" s="17" t="s">
        <v>3</v>
      </c>
      <c r="E3" s="17" t="s">
        <v>4</v>
      </c>
      <c r="F3" s="17" t="s">
        <v>5</v>
      </c>
      <c r="G3" s="18" t="s">
        <v>6</v>
      </c>
      <c r="H3" s="19" t="s">
        <v>7</v>
      </c>
      <c r="I3" s="19" t="s">
        <v>8</v>
      </c>
      <c r="J3" s="20" t="s">
        <v>10</v>
      </c>
      <c r="K3" s="21" t="s">
        <v>11</v>
      </c>
      <c r="L3" s="21" t="s">
        <v>12</v>
      </c>
      <c r="M3" s="21" t="s">
        <v>13</v>
      </c>
      <c r="N3" s="21" t="s">
        <v>14</v>
      </c>
      <c r="O3" s="21" t="s">
        <v>15</v>
      </c>
      <c r="P3" s="22" t="s">
        <v>16</v>
      </c>
      <c r="Q3" s="22" t="s">
        <v>17</v>
      </c>
      <c r="R3" s="22" t="s">
        <v>18</v>
      </c>
      <c r="S3" s="22" t="s">
        <v>19</v>
      </c>
      <c r="T3" s="18" t="s">
        <v>20</v>
      </c>
      <c r="U3" s="22" t="s">
        <v>864</v>
      </c>
      <c r="V3" s="18" t="s">
        <v>22</v>
      </c>
      <c r="W3" s="18" t="s">
        <v>23</v>
      </c>
      <c r="X3" s="18" t="s">
        <v>24</v>
      </c>
      <c r="Y3" s="23" t="s">
        <v>25</v>
      </c>
      <c r="Z3" s="24" t="s">
        <v>865</v>
      </c>
      <c r="AA3" s="24" t="s">
        <v>27</v>
      </c>
      <c r="AB3" s="25" t="s">
        <v>28</v>
      </c>
      <c r="AC3" s="27" t="s">
        <v>29</v>
      </c>
      <c r="AD3" s="27" t="s">
        <v>30</v>
      </c>
      <c r="AE3" s="27" t="s">
        <v>31</v>
      </c>
      <c r="AF3" s="27" t="s">
        <v>32</v>
      </c>
      <c r="AG3" s="4"/>
    </row>
    <row r="4" customFormat="false" ht="28.5" hidden="false" customHeight="true" outlineLevel="0" collapsed="false">
      <c r="A4" s="28" t="n">
        <f aca="false">IFERROR(INDEX('Bank Schedule'!A:A, SMALL(IF('Bank Schedule'!$K$2:$K$817="Vacant", ROW('Bank Schedule'!$K$2:$K$817)), ROW(1:1))), "")</f>
        <v>0</v>
      </c>
      <c r="B4" s="11" t="str">
        <f aca="false" t="array" ref="B4:B4">IFERROR(INDEX('Bank Schedule'!B:B, SMALL(IF('Bank Schedule'!$K$2:$K$817="Vacant", ROW('Bank Schedule'!$K$2:$K$817)), ROW(1:1))), "")</f>
        <v>SH</v>
      </c>
      <c r="C4" s="11" t="str">
        <f aca="false" t="array" ref="C4:C4">IFERROR(INDEX('Bank Schedule'!C:C, SMALL(IF('Bank Schedule'!$K$2:$K$817="Vacant", ROW('Bank Schedule'!$K$2:$K$817)), ROW(1:1))), "")</f>
        <v>MEL</v>
      </c>
      <c r="D4" s="11" t="n">
        <f aca="false" t="array" ref="D4:D4">IFERROR(INDEX('Bank Schedule'!D:D, SMALL(IF('Bank Schedule'!$K$2:$K$817="Vacant", ROW('Bank Schedule'!$K$2:$K$817)), ROW(1:1))), "")</f>
        <v>550910</v>
      </c>
      <c r="E4" s="94" t="str">
        <f aca="false" t="array" ref="E4:E4">IFERROR(INDEX('Bank Schedule'!E:E, SMALL(IF('Bank Schedule'!$K$2:$K$817="Vacant", ROW('Bank Schedule'!$K$2:$K$817)), ROW(1:1))), "")</f>
        <v>22 and 23-25 Eastcastle Street</v>
      </c>
      <c r="F4" s="94" t="str">
        <f aca="false" t="array" ref="F4:F4">IFERROR(INDEX('Bank Schedule'!F:F, SMALL(IF('Bank Schedule'!$K$2:$K$817="Vacant", ROW('Bank Schedule'!$K$2:$K$817)), ROW(1:1))), "")</f>
        <v>Second Floor (23-25)</v>
      </c>
      <c r="G4" s="94" t="str">
        <f aca="false" t="array" ref="G4:G4">IFERROR(INDEX('Bank Schedule'!G:G, SMALL(IF('Bank Schedule'!$K$2:$K$817="Vacant", ROW('Bank Schedule'!$K$2:$K$817)), ROW(1:1))), "")</f>
        <v>Office</v>
      </c>
      <c r="H4" s="14" t="n">
        <f aca="false" t="array" ref="H4:H4">IFERROR(INDEX('Bank Schedule'!H:H, SMALL(IF('Bank Schedule'!$K$2:$K$817="Vacant", ROW('Bank Schedule'!$K$2:$K$817)), ROW(1:1))), "")</f>
        <v>2238</v>
      </c>
      <c r="I4" s="14" t="n">
        <f aca="false" t="array" ref="I4:I4">IFERROR(INDEX('Bank Schedule'!I:I, SMALL(IF('Bank Schedule'!$K$2:$K$817="Vacant", ROW('Bank Schedule'!$K$2:$K$817)), ROW(1:1))), "")</f>
        <v>2238</v>
      </c>
      <c r="J4" s="11" t="str">
        <f aca="false" t="array" ref="J4:J4">IFERROR(INDEX('Bank Schedule'!K:K, SMALL(IF('Bank Schedule'!$K$2:$K$817="Vacant", ROW('Bank Schedule'!$K$2:$K$817)), ROW(1:1))), "")</f>
        <v>Vacant</v>
      </c>
      <c r="K4" s="8" t="n">
        <f aca="false">IFERROR(INDEX('Bank Schedule'!L:L, SMALL(IF('Bank Schedule'!$K$2:$K$817="Vacant", ROW('Bank Schedule'!$K$2:$K$817)), ROW(1:1))), "")</f>
        <v>0</v>
      </c>
      <c r="L4" s="8" t="n">
        <f aca="false">IFERROR(INDEX('Bank Schedule'!M:M, SMALL(IF('Bank Schedule'!$K$2:$K$817="Vacant", ROW('Bank Schedule'!$K$2:$K$817)), ROW(1:1))), "")</f>
        <v>0</v>
      </c>
      <c r="M4" s="71" t="n">
        <f aca="false" t="array" ref="M4:M4">IFERROR(INDEX('Bank Schedule'!N:N, SMALL(IF('Bank Schedule'!$K$2:$K$817="Vacant", ROW('Bank Schedule'!$K$2:$K$817)), ROW(1:1))), "")</f>
        <v>45636</v>
      </c>
      <c r="N4" s="8" t="n">
        <f aca="false">IFERROR(INDEX('Bank Schedule'!O:O, SMALL(IF('Bank Schedule'!$K$2:$K$817="Vacant", ROW('Bank Schedule'!$K$2:$K$817)), ROW(1:1))), "")</f>
        <v>0</v>
      </c>
      <c r="O4" s="8" t="n">
        <f aca="false">IFERROR(INDEX('Bank Schedule'!P:P, SMALL(IF('Bank Schedule'!$K$2:$K$817="Vacant", ROW('Bank Schedule'!$K$2:$K$817)), ROW(1:1))), "")</f>
        <v>0</v>
      </c>
      <c r="P4" s="11" t="n">
        <f aca="false" t="array" ref="P4:P4">IFERROR(INDEX('Bank Schedule'!Q:Q, SMALL(IF('Bank Schedule'!$K$2:$K$817="Vacant", ROW('Bank Schedule'!$K$2:$K$817)), ROW(1:1))), "")</f>
        <v>0</v>
      </c>
      <c r="Q4" s="11" t="n">
        <f aca="false" t="array" ref="Q4:Q4">IFERROR(INDEX('Bank Schedule'!R:R, SMALL(IF('Bank Schedule'!$K$2:$K$817="Vacant", ROW('Bank Schedule'!$K$2:$K$817)), ROW(1:1))), "")</f>
        <v>0</v>
      </c>
      <c r="R4" s="9" t="n">
        <f aca="false">IFERROR(INDEX('Bank Schedule'!S:S, SMALL(IF('Bank Schedule'!$K$2:$K$817="Vacant", ROW('Bank Schedule'!$K$2:$K$817)), ROW(1:1))), "")</f>
        <v>0</v>
      </c>
      <c r="S4" s="281" t="n">
        <f aca="false" t="array" ref="S4:S4">IFERROR(INDEX('Bank Schedule'!T:T, SMALL(IF('Bank Schedule'!$K$2:$K$817="Vacant", ROW('Bank Schedule'!$K$2:$K$817)), ROW(1:1))), "")</f>
        <v>134300</v>
      </c>
      <c r="T4" s="281" t="n">
        <f aca="false" t="array" ref="T4:T4">IFERROR(INDEX('Bank Schedule'!U:U, SMALL(IF('Bank Schedule'!$K$2:$K$817="Vacant", ROW('Bank Schedule'!$K$2:$K$817)), ROW(1:1))), "")</f>
        <v>134300</v>
      </c>
      <c r="U4" s="281" t="n">
        <f aca="false" t="array" ref="U4:U4">IFERROR(INDEX('Bank Schedule'!V:V, SMALL(IF('Bank Schedule'!$K$2:$K$817="Vacant", ROW('Bank Schedule'!$K$2:$K$817)), ROW(1:1))), "")</f>
        <v>134300</v>
      </c>
      <c r="V4" s="281" t="n">
        <f aca="false" t="array" ref="V4:V4">IFERROR(INDEX('Bank Schedule'!W:W, SMALL(IF('Bank Schedule'!$K$2:$K$817="Vacant", ROW('Bank Schedule'!$K$2:$K$817)), ROW(1:1))), "")</f>
        <v>134300</v>
      </c>
      <c r="W4" s="282" t="n">
        <f aca="false" t="array" ref="W4:W4">IFERROR(INDEX('Bank Schedule'!X:X, SMALL(IF('Bank Schedule'!$K$2:$K$817="Vacant", ROW('Bank Schedule'!$K$2:$K$817)), ROW(1:1))), "")</f>
        <v>60.0089365504915</v>
      </c>
      <c r="X4" s="11" t="str">
        <f aca="false" t="array" ref="X4:X4">IFERROR(INDEX('Bank Schedule'!Y:Y, SMALL(IF('Bank Schedule'!$K$2:$K$817="Vacant", ROW('Bank Schedule'!$K$2:$K$817)), ROW(1:1))), "")</f>
        <v>D</v>
      </c>
      <c r="Y4" s="11" t="n">
        <f aca="false">IFERROR(INDEX('Bank Schedule'!Z:Z, SMALL(IF('Bank Schedule'!$K$2:$K$817="Vacant", ROW('Bank Schedule'!$K$2:$K$817)), ROW(1:1))), "")</f>
        <v>0</v>
      </c>
      <c r="Z4" s="283" t="n">
        <f aca="false">IFERROR(INDEX('Bank Schedule'!AA:AA, SMALL(IF('Bank Schedule'!$K$2:$K$817="Vacant", ROW('Bank Schedule'!$K$2:$K$817)), ROW(1:1))), "")</f>
        <v>0</v>
      </c>
      <c r="AA4" s="11" t="str">
        <f aca="false" t="array" ref="AA4:AA4">IFERROR(INDEX('Bank Schedule'!AB:AB, SMALL(IF('Bank Schedule'!$K$2:$K$817="Vacant", ROW('Bank Schedule'!$K$2:$K$817)), ROW(1:1))), "")</f>
        <v>No</v>
      </c>
      <c r="AB4" s="94" t="str">
        <f aca="false" t="array" ref="AB4:AB4">IFERROR(INDEX('Bank Schedule'!AC:AC, SMALL(IF('Bank Schedule'!$K$2:$K$817="Vacant", ROW('Bank Schedule'!$K$2:$K$817)), ROW(1:1))), "")</f>
        <v>LEM marketing.</v>
      </c>
      <c r="AC4" s="44" t="n">
        <f aca="false">IFERROR(INDEX('Bank Schedule'!AD:AD, SMALL(IF('Bank Schedule'!$K$2:$K$817="Vacant", ROW('Bank Schedule'!$K$2:$K$817)), ROW(1:1))), "")</f>
        <v>0</v>
      </c>
      <c r="AD4" s="11" t="n">
        <f aca="false">IFERROR(INDEX('Bank Schedule'!AE:AE, SMALL(IF('Bank Schedule'!$K$2:$K$817="Vacant", ROW('Bank Schedule'!$K$2:$K$817)), ROW(1:1))), "")</f>
        <v>0</v>
      </c>
      <c r="AE4" s="11" t="n">
        <f aca="false">IFERROR(INDEX('Bank Schedule'!AF:AF, SMALL(IF('Bank Schedule'!$K$2:$K$817="Vacant", ROW('Bank Schedule'!$K$2:$K$817)), ROW(1:1))), "")</f>
        <v>0</v>
      </c>
      <c r="AF4" s="11"/>
      <c r="AG4" s="4"/>
    </row>
    <row r="5" customFormat="false" ht="28.5" hidden="false" customHeight="true" outlineLevel="0" collapsed="false">
      <c r="A5" s="28" t="str">
        <f aca="false">IFERROR(INDEX('Bank Schedule'!A:A, SMALL(IF('Bank Schedule'!$K$2:$K$817="Vacant", ROW('Bank Schedule'!$K$2:$K$817)), ROW(2:2))), "")</f>
        <v/>
      </c>
      <c r="B5" s="11" t="str">
        <f aca="false" t="array" ref="B5:B5">IFERROR(INDEX('Bank Schedule'!B:B, SMALL(IF('Bank Schedule'!$K$2:$K$817="Vacant", ROW('Bank Schedule'!$K$2:$K$817)), ROW(2:2))), "")</f>
        <v>SH</v>
      </c>
      <c r="C5" s="11" t="str">
        <f aca="false" t="array" ref="C5:C5">IFERROR(INDEX('Bank Schedule'!C:C, SMALL(IF('Bank Schedule'!$K$2:$K$817="Vacant", ROW('Bank Schedule'!$K$2:$K$817)), ROW(2:2))), "")</f>
        <v>MEL</v>
      </c>
      <c r="D5" s="11" t="n">
        <f aca="false" t="array" ref="D5:D5">IFERROR(INDEX('Bank Schedule'!D:D, SMALL(IF('Bank Schedule'!$K$2:$K$817="Vacant", ROW('Bank Schedule'!$K$2:$K$817)), ROW(2:2))), "")</f>
        <v>550910</v>
      </c>
      <c r="E5" s="94" t="str">
        <f aca="false" t="array" ref="E5:E5">IFERROR(INDEX('Bank Schedule'!E:E, SMALL(IF('Bank Schedule'!$K$2:$K$817="Vacant", ROW('Bank Schedule'!$K$2:$K$817)), ROW(2:2))), "")</f>
        <v>22 and 23-25 Eastcastle Street</v>
      </c>
      <c r="F5" s="94" t="str">
        <f aca="false" t="array" ref="F5:F5">IFERROR(INDEX('Bank Schedule'!F:F, SMALL(IF('Bank Schedule'!$K$2:$K$817="Vacant", ROW('Bank Schedule'!$K$2:$K$817)), ROW(2:2))), "")</f>
        <v>Third Floor (22)</v>
      </c>
      <c r="G5" s="94" t="str">
        <f aca="false" t="array" ref="G5:G5">IFERROR(INDEX('Bank Schedule'!G:G, SMALL(IF('Bank Schedule'!$K$2:$K$817="Vacant", ROW('Bank Schedule'!$K$2:$K$817)), ROW(2:2))), "")</f>
        <v>Office</v>
      </c>
      <c r="H5" s="14" t="n">
        <f aca="false" t="array" ref="H5:H5">IFERROR(INDEX('Bank Schedule'!H:H, SMALL(IF('Bank Schedule'!$K$2:$K$817="Vacant", ROW('Bank Schedule'!$K$2:$K$817)), ROW(2:2))), "")</f>
        <v>400</v>
      </c>
      <c r="I5" s="14" t="n">
        <f aca="false" t="array" ref="I5:I5">IFERROR(INDEX('Bank Schedule'!I:I, SMALL(IF('Bank Schedule'!$K$2:$K$817="Vacant", ROW('Bank Schedule'!$K$2:$K$817)), ROW(2:2))), "")</f>
        <v>400</v>
      </c>
      <c r="J5" s="11" t="str">
        <f aca="false" t="array" ref="J5:J5">IFERROR(INDEX('Bank Schedule'!K:K, SMALL(IF('Bank Schedule'!$K$2:$K$817="Vacant", ROW('Bank Schedule'!$K$2:$K$817)), ROW(2:2))), "")</f>
        <v>Vacant</v>
      </c>
      <c r="K5" s="11" t="str">
        <f aca="false">IFERROR(INDEX('Bank Schedule'!L:L, SMALL(IF('Bank Schedule'!$K$2:$K$817="Vacant", ROW('Bank Schedule'!$K$2:$K$817)), ROW(2:2))), "")</f>
        <v/>
      </c>
      <c r="L5" s="11" t="str">
        <f aca="false">IFERROR(INDEX('Bank Schedule'!M:M, SMALL(IF('Bank Schedule'!$K$2:$K$817="Vacant", ROW('Bank Schedule'!$K$2:$K$817)), ROW(2:2))), "")</f>
        <v/>
      </c>
      <c r="M5" s="71" t="n">
        <f aca="false" t="array" ref="M5:M5">IFERROR(INDEX('Bank Schedule'!N:N, SMALL(IF('Bank Schedule'!$K$2:$K$817="Vacant", ROW('Bank Schedule'!$K$2:$K$817)), ROW(2:2))), "")</f>
        <v>45771</v>
      </c>
      <c r="N5" s="11" t="str">
        <f aca="false">IFERROR(INDEX('Bank Schedule'!O:O, SMALL(IF('Bank Schedule'!$K$2:$K$817="Vacant", ROW('Bank Schedule'!$K$2:$K$817)), ROW(2:2))), "")</f>
        <v/>
      </c>
      <c r="O5" s="11" t="str">
        <f aca="false">IFERROR(INDEX('Bank Schedule'!P:P, SMALL(IF('Bank Schedule'!$K$2:$K$817="Vacant", ROW('Bank Schedule'!$K$2:$K$817)), ROW(2:2))), "")</f>
        <v/>
      </c>
      <c r="P5" s="11" t="n">
        <f aca="false" t="array" ref="P5:P5">IFERROR(INDEX('Bank Schedule'!Q:Q, SMALL(IF('Bank Schedule'!$K$2:$K$817="Vacant", ROW('Bank Schedule'!$K$2:$K$817)), ROW(2:2))), "")</f>
        <v>0</v>
      </c>
      <c r="Q5" s="11" t="n">
        <f aca="false" t="array" ref="Q5:Q5">IFERROR(INDEX('Bank Schedule'!R:R, SMALL(IF('Bank Schedule'!$K$2:$K$817="Vacant", ROW('Bank Schedule'!$K$2:$K$817)), ROW(2:2))), "")</f>
        <v>0</v>
      </c>
      <c r="R5" s="11" t="str">
        <f aca="false">IFERROR(INDEX('Bank Schedule'!S:S, SMALL(IF('Bank Schedule'!$K$2:$K$817="Vacant", ROW('Bank Schedule'!$K$2:$K$817)), ROW(2:2))), "")</f>
        <v/>
      </c>
      <c r="S5" s="281" t="n">
        <f aca="false" t="array" ref="S5:S5">IFERROR(INDEX('Bank Schedule'!T:T, SMALL(IF('Bank Schedule'!$K$2:$K$817="Vacant", ROW('Bank Schedule'!$K$2:$K$817)), ROW(2:2))), "")</f>
        <v>20600</v>
      </c>
      <c r="T5" s="281" t="n">
        <f aca="false" t="array" ref="T5:T5">IFERROR(INDEX('Bank Schedule'!U:U, SMALL(IF('Bank Schedule'!$K$2:$K$817="Vacant", ROW('Bank Schedule'!$K$2:$K$817)), ROW(2:2))), "")</f>
        <v>20600</v>
      </c>
      <c r="U5" s="281" t="n">
        <f aca="false" t="array" ref="U5:U5">IFERROR(INDEX('Bank Schedule'!V:V, SMALL(IF('Bank Schedule'!$K$2:$K$817="Vacant", ROW('Bank Schedule'!$K$2:$K$817)), ROW(2:2))), "")</f>
        <v>23000</v>
      </c>
      <c r="V5" s="281" t="n">
        <f aca="false" t="array" ref="V5:V5">IFERROR(INDEX('Bank Schedule'!W:W, SMALL(IF('Bank Schedule'!$K$2:$K$817="Vacant", ROW('Bank Schedule'!$K$2:$K$817)), ROW(2:2))), "")</f>
        <v>23000</v>
      </c>
      <c r="W5" s="282" t="n">
        <f aca="false" t="array" ref="W5:W5">IFERROR(INDEX('Bank Schedule'!X:X, SMALL(IF('Bank Schedule'!$K$2:$K$817="Vacant", ROW('Bank Schedule'!$K$2:$K$817)), ROW(2:2))), "")</f>
        <v>51.5</v>
      </c>
      <c r="X5" s="11" t="str">
        <f aca="false" t="array" ref="X5:X5">IFERROR(INDEX('Bank Schedule'!Y:Y, SMALL(IF('Bank Schedule'!$K$2:$K$817="Vacant", ROW('Bank Schedule'!$K$2:$K$817)), ROW(2:2))), "")</f>
        <v>D</v>
      </c>
      <c r="Y5" s="11" t="str">
        <f aca="false">IFERROR(INDEX('Bank Schedule'!Z:Z, SMALL(IF('Bank Schedule'!$K$2:$K$817="Vacant", ROW('Bank Schedule'!$K$2:$K$817)), ROW(2:2))), "")</f>
        <v/>
      </c>
      <c r="Z5" s="11" t="str">
        <f aca="false">IFERROR(INDEX('Bank Schedule'!AA:AA, SMALL(IF('Bank Schedule'!$K$2:$K$817="Vacant", ROW('Bank Schedule'!$K$2:$K$817)), ROW(2:2))), "")</f>
        <v/>
      </c>
      <c r="AA5" s="11" t="str">
        <f aca="false" t="array" ref="AA5:AA5">IFERROR(INDEX('Bank Schedule'!AB:AB, SMALL(IF('Bank Schedule'!$K$2:$K$817="Vacant", ROW('Bank Schedule'!$K$2:$K$817)), ROW(2:2))), "")</f>
        <v>No</v>
      </c>
      <c r="AB5" s="94" t="str">
        <f aca="false" t="array" ref="AB5:AB5">IFERROR(INDEX('Bank Schedule'!AC:AC, SMALL(IF('Bank Schedule'!$K$2:$K$817="Vacant", ROW('Bank Schedule'!$K$2:$K$817)), ROW(2:2))), "")</f>
        <v>LEM marketing.</v>
      </c>
      <c r="AC5" s="44" t="str">
        <f aca="false">IFERROR(INDEX('Bank Schedule'!AD:AD, SMALL(IF('Bank Schedule'!$K$2:$K$817="Vacant", ROW('Bank Schedule'!$K$2:$K$817)), ROW(2:2))), "")</f>
        <v/>
      </c>
      <c r="AD5" s="11" t="str">
        <f aca="false">IFERROR(INDEX('Bank Schedule'!AE:AE, SMALL(IF('Bank Schedule'!$K$2:$K$817="Vacant", ROW('Bank Schedule'!$K$2:$K$817)), ROW(2:2))), "")</f>
        <v/>
      </c>
      <c r="AE5" s="11" t="str">
        <f aca="false">IFERROR(INDEX('Bank Schedule'!AF:AF, SMALL(IF('Bank Schedule'!$K$2:$K$817="Vacant", ROW('Bank Schedule'!$K$2:$K$817)), ROW(2:2))), "")</f>
        <v/>
      </c>
      <c r="AF5" s="11" t="str">
        <f aca="false">IFERROR(INDEX('Bank Schedule'!AG:AG, SMALL(IF('Bank Schedule'!$K$2:$K$817="Vacant", ROW('Bank Schedule'!$K$2:$K$817)), ROW(2:2))), "")</f>
        <v/>
      </c>
      <c r="AG5" s="4"/>
    </row>
    <row r="6" customFormat="false" ht="28.5" hidden="false" customHeight="true" outlineLevel="0" collapsed="false">
      <c r="A6" s="28" t="str">
        <f aca="false">IFERROR(INDEX('Bank Schedule'!A:A, SMALL(IF('Bank Schedule'!$K$2:$K$817="Vacant", ROW('Bank Schedule'!$K$2:$K$817)), ROW(3:3))), "")</f>
        <v/>
      </c>
      <c r="B6" s="11" t="str">
        <f aca="false" t="array" ref="B6:B6">IFERROR(INDEX('Bank Schedule'!B:B, SMALL(IF('Bank Schedule'!$K$2:$K$817="Vacant", ROW('Bank Schedule'!$K$2:$K$817)), ROW(3:3))), "")</f>
        <v>SH</v>
      </c>
      <c r="C6" s="11" t="str">
        <f aca="false" t="array" ref="C6:C6">IFERROR(INDEX('Bank Schedule'!C:C, SMALL(IF('Bank Schedule'!$K$2:$K$817="Vacant", ROW('Bank Schedule'!$K$2:$K$817)), ROW(3:3))), "")</f>
        <v>MEL</v>
      </c>
      <c r="D6" s="11" t="n">
        <f aca="false" t="array" ref="D6:D6">IFERROR(INDEX('Bank Schedule'!D:D, SMALL(IF('Bank Schedule'!$K$2:$K$817="Vacant", ROW('Bank Schedule'!$K$2:$K$817)), ROW(3:3))), "")</f>
        <v>550910</v>
      </c>
      <c r="E6" s="94" t="str">
        <f aca="false" t="array" ref="E6:E6">IFERROR(INDEX('Bank Schedule'!E:E, SMALL(IF('Bank Schedule'!$K$2:$K$817="Vacant", ROW('Bank Schedule'!$K$2:$K$817)), ROW(3:3))), "")</f>
        <v>22 and 23-25 Eastcastle Street</v>
      </c>
      <c r="F6" s="94" t="str">
        <f aca="false" t="array" ref="F6:F6">IFERROR(INDEX('Bank Schedule'!F:F, SMALL(IF('Bank Schedule'!$K$2:$K$817="Vacant", ROW('Bank Schedule'!$K$2:$K$817)), ROW(3:3))), "")</f>
        <v>Third Floor (23-25)</v>
      </c>
      <c r="G6" s="94" t="str">
        <f aca="false" t="array" ref="G6:G6">IFERROR(INDEX('Bank Schedule'!G:G, SMALL(IF('Bank Schedule'!$K$2:$K$817="Vacant", ROW('Bank Schedule'!$K$2:$K$817)), ROW(3:3))), "")</f>
        <v>Office</v>
      </c>
      <c r="H6" s="14" t="n">
        <f aca="false" t="array" ref="H6:H6">IFERROR(INDEX('Bank Schedule'!H:H, SMALL(IF('Bank Schedule'!$K$2:$K$817="Vacant", ROW('Bank Schedule'!$K$2:$K$817)), ROW(3:3))), "")</f>
        <v>1938</v>
      </c>
      <c r="I6" s="14" t="n">
        <f aca="false" t="array" ref="I6:I6">IFERROR(INDEX('Bank Schedule'!I:I, SMALL(IF('Bank Schedule'!$K$2:$K$817="Vacant", ROW('Bank Schedule'!$K$2:$K$817)), ROW(3:3))), "")</f>
        <v>1938</v>
      </c>
      <c r="J6" s="11" t="str">
        <f aca="false" t="array" ref="J6:J6">IFERROR(INDEX('Bank Schedule'!K:K, SMALL(IF('Bank Schedule'!$K$2:$K$817="Vacant", ROW('Bank Schedule'!$K$2:$K$817)), ROW(3:3))), "")</f>
        <v>Vacant</v>
      </c>
      <c r="K6" s="11" t="str">
        <f aca="false">IFERROR(INDEX('Bank Schedule'!L:L, SMALL(IF('Bank Schedule'!$K$2:$K$817="Vacant", ROW('Bank Schedule'!$K$2:$K$817)), ROW(3:3))), "")</f>
        <v/>
      </c>
      <c r="L6" s="11" t="str">
        <f aca="false">IFERROR(INDEX('Bank Schedule'!M:M, SMALL(IF('Bank Schedule'!$K$2:$K$817="Vacant", ROW('Bank Schedule'!$K$2:$K$817)), ROW(3:3))), "")</f>
        <v/>
      </c>
      <c r="M6" s="71" t="n">
        <f aca="false" t="array" ref="M6:M6">IFERROR(INDEX('Bank Schedule'!N:N, SMALL(IF('Bank Schedule'!$K$2:$K$817="Vacant", ROW('Bank Schedule'!$K$2:$K$817)), ROW(3:3))), "")</f>
        <v>45217</v>
      </c>
      <c r="N6" s="11" t="str">
        <f aca="false">IFERROR(INDEX('Bank Schedule'!O:O, SMALL(IF('Bank Schedule'!$K$2:$K$817="Vacant", ROW('Bank Schedule'!$K$2:$K$817)), ROW(3:3))), "")</f>
        <v/>
      </c>
      <c r="O6" s="11" t="str">
        <f aca="false">IFERROR(INDEX('Bank Schedule'!P:P, SMALL(IF('Bank Schedule'!$K$2:$K$817="Vacant", ROW('Bank Schedule'!$K$2:$K$817)), ROW(3:3))), "")</f>
        <v/>
      </c>
      <c r="P6" s="11" t="n">
        <f aca="false" t="array" ref="P6:P6">IFERROR(INDEX('Bank Schedule'!Q:Q, SMALL(IF('Bank Schedule'!$K$2:$K$817="Vacant", ROW('Bank Schedule'!$K$2:$K$817)), ROW(3:3))), "")</f>
        <v>0</v>
      </c>
      <c r="Q6" s="11" t="n">
        <f aca="false" t="array" ref="Q6:Q6">IFERROR(INDEX('Bank Schedule'!R:R, SMALL(IF('Bank Schedule'!$K$2:$K$817="Vacant", ROW('Bank Schedule'!$K$2:$K$817)), ROW(3:3))), "")</f>
        <v>0</v>
      </c>
      <c r="R6" s="11" t="str">
        <f aca="false">IFERROR(INDEX('Bank Schedule'!S:S, SMALL(IF('Bank Schedule'!$K$2:$K$817="Vacant", ROW('Bank Schedule'!$K$2:$K$817)), ROW(3:3))), "")</f>
        <v/>
      </c>
      <c r="S6" s="281" t="n">
        <f aca="false" t="array" ref="S6:S6">IFERROR(INDEX('Bank Schedule'!T:T, SMALL(IF('Bank Schedule'!$K$2:$K$817="Vacant", ROW('Bank Schedule'!$K$2:$K$817)), ROW(3:3))), "")</f>
        <v>109000</v>
      </c>
      <c r="T6" s="281" t="n">
        <f aca="false" t="array" ref="T6:T6">IFERROR(INDEX('Bank Schedule'!U:U, SMALL(IF('Bank Schedule'!$K$2:$K$817="Vacant", ROW('Bank Schedule'!$K$2:$K$817)), ROW(3:3))), "")</f>
        <v>109000</v>
      </c>
      <c r="U6" s="281" t="n">
        <f aca="false" t="array" ref="U6:U6">IFERROR(INDEX('Bank Schedule'!V:V, SMALL(IF('Bank Schedule'!$K$2:$K$817="Vacant", ROW('Bank Schedule'!$K$2:$K$817)), ROW(3:3))), "")</f>
        <v>111400</v>
      </c>
      <c r="V6" s="281" t="n">
        <f aca="false" t="array" ref="V6:V6">IFERROR(INDEX('Bank Schedule'!W:W, SMALL(IF('Bank Schedule'!$K$2:$K$817="Vacant", ROW('Bank Schedule'!$K$2:$K$817)), ROW(3:3))), "")</f>
        <v>111400</v>
      </c>
      <c r="W6" s="282" t="n">
        <f aca="false" t="array" ref="W6:W6">IFERROR(INDEX('Bank Schedule'!X:X, SMALL(IF('Bank Schedule'!$K$2:$K$817="Vacant", ROW('Bank Schedule'!$K$2:$K$817)), ROW(3:3))), "")</f>
        <v>56.2435500515996</v>
      </c>
      <c r="X6" s="11" t="str">
        <f aca="false" t="array" ref="X6:X6">IFERROR(INDEX('Bank Schedule'!Y:Y, SMALL(IF('Bank Schedule'!$K$2:$K$817="Vacant", ROW('Bank Schedule'!$K$2:$K$817)), ROW(3:3))), "")</f>
        <v>D</v>
      </c>
      <c r="Y6" s="11" t="str">
        <f aca="false">IFERROR(INDEX('Bank Schedule'!Z:Z, SMALL(IF('Bank Schedule'!$K$2:$K$817="Vacant", ROW('Bank Schedule'!$K$2:$K$817)), ROW(3:3))), "")</f>
        <v/>
      </c>
      <c r="Z6" s="11" t="str">
        <f aca="false">IFERROR(INDEX('Bank Schedule'!AA:AA, SMALL(IF('Bank Schedule'!$K$2:$K$817="Vacant", ROW('Bank Schedule'!$K$2:$K$817)), ROW(3:3))), "")</f>
        <v/>
      </c>
      <c r="AA6" s="11" t="str">
        <f aca="false" t="array" ref="AA6:AA6">IFERROR(INDEX('Bank Schedule'!AB:AB, SMALL(IF('Bank Schedule'!$K$2:$K$817="Vacant", ROW('Bank Schedule'!$K$2:$K$817)), ROW(3:3))), "")</f>
        <v>No</v>
      </c>
      <c r="AB6" s="94" t="str">
        <f aca="false" t="array" ref="AB6:AB6">IFERROR(INDEX('Bank Schedule'!AC:AC, SMALL(IF('Bank Schedule'!$K$2:$K$817="Vacant", ROW('Bank Schedule'!$K$2:$K$817)), ROW(3:3))), "")</f>
        <v>LEM marketing.</v>
      </c>
      <c r="AC6" s="44" t="n">
        <f aca="false" t="array" ref="AC6:AC6">IFERROR(INDEX('Bank Schedule'!AD:AD, SMALL(IF('Bank Schedule'!$K$2:$K$817="Vacant", ROW('Bank Schedule'!$K$2:$K$817)), ROW(3:3))), "")</f>
        <v>65</v>
      </c>
      <c r="AD6" s="11" t="n">
        <f aca="false" t="array" ref="AD6:AD6">IFERROR(INDEX('Bank Schedule'!AE:AE, SMALL(IF('Bank Schedule'!$K$2:$K$817="Vacant", ROW('Bank Schedule'!$K$2:$K$817)), ROW(3:3))), "")</f>
        <v>1</v>
      </c>
      <c r="AE6" s="11" t="n">
        <f aca="false" t="array" ref="AE6:AE6">IFERROR(INDEX('Bank Schedule'!AF:AF, SMALL(IF('Bank Schedule'!$K$2:$K$817="Vacant", ROW('Bank Schedule'!$K$2:$K$817)), ROW(3:3))), "")</f>
        <v>3</v>
      </c>
      <c r="AF6" s="11"/>
      <c r="AG6" s="4"/>
    </row>
    <row r="7" customFormat="false" ht="28.5" hidden="false" customHeight="true" outlineLevel="0" collapsed="false">
      <c r="A7" s="28" t="str">
        <f aca="false">IFERROR(INDEX('Bank Schedule'!A:A, SMALL(IF('Bank Schedule'!$K$2:$K$817="Vacant", ROW('Bank Schedule'!$K$2:$K$817)), ROW(4:4))), "")</f>
        <v/>
      </c>
      <c r="B7" s="11" t="str">
        <f aca="false" t="array" ref="B7:B7">IFERROR(INDEX('Bank Schedule'!B:B, SMALL(IF('Bank Schedule'!$K$2:$K$817="Vacant", ROW('Bank Schedule'!$K$2:$K$817)), ROW(4:4))), "")</f>
        <v>SH</v>
      </c>
      <c r="C7" s="11" t="str">
        <f aca="false" t="array" ref="C7:C7">IFERROR(INDEX('Bank Schedule'!C:C, SMALL(IF('Bank Schedule'!$K$2:$K$817="Vacant", ROW('Bank Schedule'!$K$2:$K$817)), ROW(4:4))), "")</f>
        <v>MEL</v>
      </c>
      <c r="D7" s="11" t="n">
        <f aca="false" t="array" ref="D7:D7">IFERROR(INDEX('Bank Schedule'!D:D, SMALL(IF('Bank Schedule'!$K$2:$K$817="Vacant", ROW('Bank Schedule'!$K$2:$K$817)), ROW(4:4))), "")</f>
        <v>550910</v>
      </c>
      <c r="E7" s="94" t="str">
        <f aca="false" t="array" ref="E7:E7">IFERROR(INDEX('Bank Schedule'!E:E, SMALL(IF('Bank Schedule'!$K$2:$K$817="Vacant", ROW('Bank Schedule'!$K$2:$K$817)), ROW(4:4))), "")</f>
        <v>22 and 23-25 Eastcastle Street</v>
      </c>
      <c r="F7" s="94" t="str">
        <f aca="false" t="array" ref="F7:F7">IFERROR(INDEX('Bank Schedule'!F:F, SMALL(IF('Bank Schedule'!$K$2:$K$817="Vacant", ROW('Bank Schedule'!$K$2:$K$817)), ROW(4:4))), "")</f>
        <v>Sixth Floor (23-25)</v>
      </c>
      <c r="G7" s="94" t="str">
        <f aca="false" t="array" ref="G7:G7">IFERROR(INDEX('Bank Schedule'!G:G, SMALL(IF('Bank Schedule'!$K$2:$K$817="Vacant", ROW('Bank Schedule'!$K$2:$K$817)), ROW(4:4))), "")</f>
        <v>Office</v>
      </c>
      <c r="H7" s="14" t="n">
        <f aca="false" t="array" ref="H7:H7">IFERROR(INDEX('Bank Schedule'!H:H, SMALL(IF('Bank Schedule'!$K$2:$K$817="Vacant", ROW('Bank Schedule'!$K$2:$K$817)), ROW(4:4))), "")</f>
        <v>744</v>
      </c>
      <c r="I7" s="14" t="n">
        <f aca="false" t="array" ref="I7:I7">IFERROR(INDEX('Bank Schedule'!I:I, SMALL(IF('Bank Schedule'!$K$2:$K$817="Vacant", ROW('Bank Schedule'!$K$2:$K$817)), ROW(4:4))), "")</f>
        <v>744</v>
      </c>
      <c r="J7" s="11" t="str">
        <f aca="false" t="array" ref="J7:J7">IFERROR(INDEX('Bank Schedule'!K:K, SMALL(IF('Bank Schedule'!$K$2:$K$817="Vacant", ROW('Bank Schedule'!$K$2:$K$817)), ROW(4:4))), "")</f>
        <v>Vacant</v>
      </c>
      <c r="K7" s="11" t="str">
        <f aca="false">IFERROR(INDEX('Bank Schedule'!L:L, SMALL(IF('Bank Schedule'!$K$2:$K$817="Vacant", ROW('Bank Schedule'!$K$2:$K$817)), ROW(4:4))), "")</f>
        <v/>
      </c>
      <c r="L7" s="11" t="str">
        <f aca="false">IFERROR(INDEX('Bank Schedule'!M:M, SMALL(IF('Bank Schedule'!$K$2:$K$817="Vacant", ROW('Bank Schedule'!$K$2:$K$817)), ROW(4:4))), "")</f>
        <v/>
      </c>
      <c r="M7" s="71" t="n">
        <f aca="false" t="array" ref="M7:M7">IFERROR(INDEX('Bank Schedule'!N:N, SMALL(IF('Bank Schedule'!$K$2:$K$817="Vacant", ROW('Bank Schedule'!$K$2:$K$817)), ROW(4:4))), "")</f>
        <v>45182</v>
      </c>
      <c r="N7" s="11" t="str">
        <f aca="false">IFERROR(INDEX('Bank Schedule'!O:O, SMALL(IF('Bank Schedule'!$K$2:$K$817="Vacant", ROW('Bank Schedule'!$K$2:$K$817)), ROW(4:4))), "")</f>
        <v/>
      </c>
      <c r="O7" s="11" t="str">
        <f aca="false">IFERROR(INDEX('Bank Schedule'!P:P, SMALL(IF('Bank Schedule'!$K$2:$K$817="Vacant", ROW('Bank Schedule'!$K$2:$K$817)), ROW(4:4))), "")</f>
        <v/>
      </c>
      <c r="P7" s="11" t="n">
        <f aca="false" t="array" ref="P7:P7">IFERROR(INDEX('Bank Schedule'!Q:Q, SMALL(IF('Bank Schedule'!$K$2:$K$817="Vacant", ROW('Bank Schedule'!$K$2:$K$817)), ROW(4:4))), "")</f>
        <v>0</v>
      </c>
      <c r="Q7" s="11" t="n">
        <f aca="false" t="array" ref="Q7:Q7">IFERROR(INDEX('Bank Schedule'!R:R, SMALL(IF('Bank Schedule'!$K$2:$K$817="Vacant", ROW('Bank Schedule'!$K$2:$K$817)), ROW(4:4))), "")</f>
        <v>0</v>
      </c>
      <c r="R7" s="11" t="str">
        <f aca="false">IFERROR(INDEX('Bank Schedule'!S:S, SMALL(IF('Bank Schedule'!$K$2:$K$817="Vacant", ROW('Bank Schedule'!$K$2:$K$817)), ROW(4:4))), "")</f>
        <v/>
      </c>
      <c r="S7" s="281" t="n">
        <f aca="false" t="array" ref="S7:S7">IFERROR(INDEX('Bank Schedule'!T:T, SMALL(IF('Bank Schedule'!$K$2:$K$817="Vacant", ROW('Bank Schedule'!$K$2:$K$817)), ROW(4:4))), "")</f>
        <v>34400</v>
      </c>
      <c r="T7" s="281" t="n">
        <f aca="false" t="array" ref="T7:T7">IFERROR(INDEX('Bank Schedule'!U:U, SMALL(IF('Bank Schedule'!$K$2:$K$817="Vacant", ROW('Bank Schedule'!$K$2:$K$817)), ROW(4:4))), "")</f>
        <v>34400</v>
      </c>
      <c r="U7" s="281" t="n">
        <f aca="false" t="array" ref="U7:U7">IFERROR(INDEX('Bank Schedule'!V:V, SMALL(IF('Bank Schedule'!$K$2:$K$817="Vacant", ROW('Bank Schedule'!$K$2:$K$817)), ROW(4:4))), "")</f>
        <v>42800</v>
      </c>
      <c r="V7" s="281" t="n">
        <f aca="false" t="array" ref="V7:V7">IFERROR(INDEX('Bank Schedule'!W:W, SMALL(IF('Bank Schedule'!$K$2:$K$817="Vacant", ROW('Bank Schedule'!$K$2:$K$817)), ROW(4:4))), "")</f>
        <v>42800</v>
      </c>
      <c r="W7" s="282" t="n">
        <f aca="false" t="array" ref="W7:W7">IFERROR(INDEX('Bank Schedule'!X:X, SMALL(IF('Bank Schedule'!$K$2:$K$817="Vacant", ROW('Bank Schedule'!$K$2:$K$817)), ROW(4:4))), "")</f>
        <v>46.2365591397849</v>
      </c>
      <c r="X7" s="11" t="str">
        <f aca="false" t="array" ref="X7:X7">IFERROR(INDEX('Bank Schedule'!Y:Y, SMALL(IF('Bank Schedule'!$K$2:$K$817="Vacant", ROW('Bank Schedule'!$K$2:$K$817)), ROW(4:4))), "")</f>
        <v>D</v>
      </c>
      <c r="Y7" s="11" t="str">
        <f aca="false">IFERROR(INDEX('Bank Schedule'!Z:Z, SMALL(IF('Bank Schedule'!$K$2:$K$817="Vacant", ROW('Bank Schedule'!$K$2:$K$817)), ROW(4:4))), "")</f>
        <v/>
      </c>
      <c r="Z7" s="11" t="str">
        <f aca="false">IFERROR(INDEX('Bank Schedule'!AA:AA, SMALL(IF('Bank Schedule'!$K$2:$K$817="Vacant", ROW('Bank Schedule'!$K$2:$K$817)), ROW(4:4))), "")</f>
        <v/>
      </c>
      <c r="AA7" s="11" t="str">
        <f aca="false" t="array" ref="AA7:AA7">IFERROR(INDEX('Bank Schedule'!AB:AB, SMALL(IF('Bank Schedule'!$K$2:$K$817="Vacant", ROW('Bank Schedule'!$K$2:$K$817)), ROW(4:4))), "")</f>
        <v>No</v>
      </c>
      <c r="AB7" s="94" t="str">
        <f aca="false" t="array" ref="AB7:AB7">IFERROR(INDEX('Bank Schedule'!AC:AC, SMALL(IF('Bank Schedule'!$K$2:$K$817="Vacant", ROW('Bank Schedule'!$K$2:$K$817)), ROW(4:4))), "")</f>
        <v>LEM marketing.</v>
      </c>
      <c r="AC7" s="44" t="n">
        <f aca="false" t="array" ref="AC7:AC7">IFERROR(INDEX('Bank Schedule'!AD:AD, SMALL(IF('Bank Schedule'!$K$2:$K$817="Vacant", ROW('Bank Schedule'!$K$2:$K$817)), ROW(4:4))), "")</f>
        <v>63.5</v>
      </c>
      <c r="AD7" s="11" t="n">
        <f aca="false" t="array" ref="AD7:AD7">IFERROR(INDEX('Bank Schedule'!AE:AE, SMALL(IF('Bank Schedule'!$K$2:$K$817="Vacant", ROW('Bank Schedule'!$K$2:$K$817)), ROW(4:4))), "")</f>
        <v>1</v>
      </c>
      <c r="AE7" s="11" t="n">
        <f aca="false" t="array" ref="AE7:AE7">IFERROR(INDEX('Bank Schedule'!AF:AF, SMALL(IF('Bank Schedule'!$K$2:$K$817="Vacant", ROW('Bank Schedule'!$K$2:$K$817)), ROW(4:4))), "")</f>
        <v>3</v>
      </c>
      <c r="AF7" s="11" t="str">
        <f aca="false" t="array" ref="AF7:AF7">IFERROR(INDEX('Bank Schedule'!AG:AG, SMALL(IF('Bank Schedule'!$K$2:$K$817="Vacant", ROW('Bank Schedule'!$K$2:$K$817)), ROW(4:4))), "")</f>
        <v>LEM</v>
      </c>
      <c r="AG7" s="4"/>
    </row>
    <row r="8" customFormat="false" ht="28.5" hidden="false" customHeight="true" outlineLevel="0" collapsed="false">
      <c r="A8" s="28" t="str">
        <f aca="false">IFERROR(INDEX('Bank Schedule'!A:A, SMALL(IF('Bank Schedule'!$K$2:$K$817="Vacant", ROW('Bank Schedule'!$K$2:$K$817)), ROW(5:5))), "")</f>
        <v/>
      </c>
      <c r="B8" s="11" t="str">
        <f aca="false" t="array" ref="B8:B8">IFERROR(INDEX('Bank Schedule'!B:B, SMALL(IF('Bank Schedule'!$K$2:$K$817="Vacant", ROW('Bank Schedule'!$K$2:$K$817)), ROW(5:5))), "")</f>
        <v>SH</v>
      </c>
      <c r="C8" s="11" t="str">
        <f aca="false" t="array" ref="C8:C8">IFERROR(INDEX('Bank Schedule'!C:C, SMALL(IF('Bank Schedule'!$K$2:$K$817="Vacant", ROW('Bank Schedule'!$K$2:$K$817)), ROW(5:5))), "")</f>
        <v>MEL</v>
      </c>
      <c r="D8" s="11" t="n">
        <f aca="false" t="array" ref="D8:D8">IFERROR(INDEX('Bank Schedule'!D:D, SMALL(IF('Bank Schedule'!$K$2:$K$817="Vacant", ROW('Bank Schedule'!$K$2:$K$817)), ROW(5:5))), "")</f>
        <v>550920</v>
      </c>
      <c r="E8" s="94" t="str">
        <f aca="false" t="array" ref="E8:E8">IFERROR(INDEX('Bank Schedule'!E:E, SMALL(IF('Bank Schedule'!$K$2:$K$817="Vacant", ROW('Bank Schedule'!$K$2:$K$817)), ROW(5:5))), "")</f>
        <v>26 Eastcastle Street</v>
      </c>
      <c r="F8" s="94" t="str">
        <f aca="false" t="array" ref="F8:F8">IFERROR(INDEX('Bank Schedule'!F:F, SMALL(IF('Bank Schedule'!$K$2:$K$817="Vacant", ROW('Bank Schedule'!$K$2:$K$817)), ROW(5:5))), "")</f>
        <v>Second Floor</v>
      </c>
      <c r="G8" s="94" t="str">
        <f aca="false" t="array" ref="G8:G8">IFERROR(INDEX('Bank Schedule'!G:G, SMALL(IF('Bank Schedule'!$K$2:$K$817="Vacant", ROW('Bank Schedule'!$K$2:$K$817)), ROW(5:5))), "")</f>
        <v>Offices</v>
      </c>
      <c r="H8" s="14" t="n">
        <f aca="false" t="array" ref="H8:H8">IFERROR(INDEX('Bank Schedule'!H:H, SMALL(IF('Bank Schedule'!$K$2:$K$817="Vacant", ROW('Bank Schedule'!$K$2:$K$817)), ROW(5:5))), "")</f>
        <v>1110</v>
      </c>
      <c r="I8" s="14" t="n">
        <f aca="false" t="array" ref="I8:I8">IFERROR(INDEX('Bank Schedule'!I:I, SMALL(IF('Bank Schedule'!$K$2:$K$817="Vacant", ROW('Bank Schedule'!$K$2:$K$817)), ROW(5:5))), "")</f>
        <v>1110</v>
      </c>
      <c r="J8" s="11" t="str">
        <f aca="false" t="array" ref="J8:J8">IFERROR(INDEX('Bank Schedule'!K:K, SMALL(IF('Bank Schedule'!$K$2:$K$817="Vacant", ROW('Bank Schedule'!$K$2:$K$817)), ROW(5:5))), "")</f>
        <v>Vacant</v>
      </c>
      <c r="K8" s="11" t="str">
        <f aca="false">IFERROR(INDEX('Bank Schedule'!L:L, SMALL(IF('Bank Schedule'!$K$2:$K$817="Vacant", ROW('Bank Schedule'!$K$2:$K$817)), ROW(5:5))), "")</f>
        <v/>
      </c>
      <c r="L8" s="11" t="str">
        <f aca="false">IFERROR(INDEX('Bank Schedule'!M:M, SMALL(IF('Bank Schedule'!$K$2:$K$817="Vacant", ROW('Bank Schedule'!$K$2:$K$817)), ROW(5:5))), "")</f>
        <v/>
      </c>
      <c r="M8" s="71" t="n">
        <f aca="false" t="array" ref="M8:M8">IFERROR(INDEX('Bank Schedule'!N:N, SMALL(IF('Bank Schedule'!$K$2:$K$817="Vacant", ROW('Bank Schedule'!$K$2:$K$817)), ROW(5:5))), "")</f>
        <v>43273</v>
      </c>
      <c r="N8" s="11" t="str">
        <f aca="false">IFERROR(INDEX('Bank Schedule'!O:O, SMALL(IF('Bank Schedule'!$K$2:$K$817="Vacant", ROW('Bank Schedule'!$K$2:$K$817)), ROW(5:5))), "")</f>
        <v/>
      </c>
      <c r="O8" s="11" t="str">
        <f aca="false">IFERROR(INDEX('Bank Schedule'!P:P, SMALL(IF('Bank Schedule'!$K$2:$K$817="Vacant", ROW('Bank Schedule'!$K$2:$K$817)), ROW(5:5))), "")</f>
        <v/>
      </c>
      <c r="P8" s="11" t="n">
        <f aca="false" t="array" ref="P8:P8">IFERROR(INDEX('Bank Schedule'!Q:Q, SMALL(IF('Bank Schedule'!$K$2:$K$817="Vacant", ROW('Bank Schedule'!$K$2:$K$817)), ROW(5:5))), "")</f>
        <v>0</v>
      </c>
      <c r="Q8" s="11" t="n">
        <f aca="false" t="array" ref="Q8:Q8">IFERROR(INDEX('Bank Schedule'!R:R, SMALL(IF('Bank Schedule'!$K$2:$K$817="Vacant", ROW('Bank Schedule'!$K$2:$K$817)), ROW(5:5))), "")</f>
        <v>0</v>
      </c>
      <c r="R8" s="11" t="str">
        <f aca="false">IFERROR(INDEX('Bank Schedule'!S:S, SMALL(IF('Bank Schedule'!$K$2:$K$817="Vacant", ROW('Bank Schedule'!$K$2:$K$817)), ROW(5:5))), "")</f>
        <v/>
      </c>
      <c r="S8" s="281" t="n">
        <f aca="false" t="array" ref="S8:S8">IFERROR(INDEX('Bank Schedule'!T:T, SMALL(IF('Bank Schedule'!$K$2:$K$817="Vacant", ROW('Bank Schedule'!$K$2:$K$817)), ROW(5:5))), "")</f>
        <v>61100</v>
      </c>
      <c r="T8" s="281" t="n">
        <f aca="false" t="array" ref="T8:T8">IFERROR(INDEX('Bank Schedule'!U:U, SMALL(IF('Bank Schedule'!$K$2:$K$817="Vacant", ROW('Bank Schedule'!$K$2:$K$817)), ROW(5:5))), "")</f>
        <v>61100</v>
      </c>
      <c r="U8" s="281" t="n">
        <f aca="false" t="array" ref="U8:U8">IFERROR(INDEX('Bank Schedule'!V:V, SMALL(IF('Bank Schedule'!$K$2:$K$817="Vacant", ROW('Bank Schedule'!$K$2:$K$817)), ROW(5:5))), "")</f>
        <v>69400</v>
      </c>
      <c r="V8" s="281" t="n">
        <f aca="false" t="array" ref="V8:V8">IFERROR(INDEX('Bank Schedule'!W:W, SMALL(IF('Bank Schedule'!$K$2:$K$817="Vacant", ROW('Bank Schedule'!$K$2:$K$817)), ROW(5:5))), "")</f>
        <v>69400</v>
      </c>
      <c r="W8" s="282" t="n">
        <f aca="false" t="array" ref="W8:W8">IFERROR(INDEX('Bank Schedule'!X:X, SMALL(IF('Bank Schedule'!$K$2:$K$817="Vacant", ROW('Bank Schedule'!$K$2:$K$817)), ROW(5:5))), "")</f>
        <v>55.045045045045</v>
      </c>
      <c r="X8" s="11" t="str">
        <f aca="false" t="array" ref="X8:X8">IFERROR(INDEX('Bank Schedule'!Y:Y, SMALL(IF('Bank Schedule'!$K$2:$K$817="Vacant", ROW('Bank Schedule'!$K$2:$K$817)), ROW(5:5))), "")</f>
        <v>C</v>
      </c>
      <c r="Y8" s="11" t="str">
        <f aca="false">IFERROR(INDEX('Bank Schedule'!Z:Z, SMALL(IF('Bank Schedule'!$K$2:$K$817="Vacant", ROW('Bank Schedule'!$K$2:$K$817)), ROW(5:5))), "")</f>
        <v/>
      </c>
      <c r="Z8" s="11" t="str">
        <f aca="false">IFERROR(INDEX('Bank Schedule'!AA:AA, SMALL(IF('Bank Schedule'!$K$2:$K$817="Vacant", ROW('Bank Schedule'!$K$2:$K$817)), ROW(5:5))), "")</f>
        <v/>
      </c>
      <c r="AA8" s="11" t="str">
        <f aca="false" t="array" ref="AA8:AA8">IFERROR(INDEX('Bank Schedule'!AB:AB, SMALL(IF('Bank Schedule'!$K$2:$K$817="Vacant", ROW('Bank Schedule'!$K$2:$K$817)), ROW(5:5))), "")</f>
        <v>No</v>
      </c>
      <c r="AB8" s="94" t="str">
        <f aca="false" t="array" ref="AB8:AB8">IFERROR(INDEX('Bank Schedule'!AC:AC, SMALL(IF('Bank Schedule'!$K$2:$K$817="Vacant", ROW('Bank Schedule'!$K$2:$K$817)), ROW(5:5))), "")</f>
        <v>LEM marketing.</v>
      </c>
      <c r="AC8" s="44" t="n">
        <f aca="false" t="array" ref="AC8:AC8">IFERROR(INDEX('Bank Schedule'!AD:AD, SMALL(IF('Bank Schedule'!$K$2:$K$817="Vacant", ROW('Bank Schedule'!$K$2:$K$817)), ROW(5:5))), "")</f>
        <v>63.5</v>
      </c>
      <c r="AD8" s="11" t="str">
        <f aca="false">IFERROR(INDEX('Bank Schedule'!AE:AE, SMALL(IF('Bank Schedule'!$K$2:$K$817="Vacant", ROW('Bank Schedule'!$K$2:$K$817)), ROW(5:5))), "")</f>
        <v/>
      </c>
      <c r="AE8" s="11" t="n">
        <f aca="false" t="array" ref="AE8:AE8">IFERROR(INDEX('Bank Schedule'!AF:AF, SMALL(IF('Bank Schedule'!$K$2:$K$817="Vacant", ROW('Bank Schedule'!$K$2:$K$817)), ROW(5:5))), "")</f>
        <v>1</v>
      </c>
      <c r="AF8" s="11"/>
      <c r="AG8" s="4"/>
    </row>
    <row r="9" customFormat="false" ht="28.5" hidden="false" customHeight="true" outlineLevel="0" collapsed="false">
      <c r="A9" s="28" t="str">
        <f aca="false">IFERROR(INDEX('Bank Schedule'!A:A, SMALL(IF('Bank Schedule'!$K$2:$K$817="Vacant", ROW('Bank Schedule'!$K$2:$K$817)), ROW(6:6))), "")</f>
        <v/>
      </c>
      <c r="B9" s="11" t="str">
        <f aca="false" t="array" ref="B9:B9">IFERROR(INDEX('Bank Schedule'!B:B, SMALL(IF('Bank Schedule'!$K$2:$K$817="Vacant", ROW('Bank Schedule'!$K$2:$K$817)), ROW(6:6))), "")</f>
        <v>SH</v>
      </c>
      <c r="C9" s="11" t="str">
        <f aca="false" t="array" ref="C9:C9">IFERROR(INDEX('Bank Schedule'!C:C, SMALL(IF('Bank Schedule'!$K$2:$K$817="Vacant", ROW('Bank Schedule'!$K$2:$K$817)), ROW(6:6))), "")</f>
        <v>MEL</v>
      </c>
      <c r="D9" s="11" t="n">
        <f aca="false" t="array" ref="D9:D9">IFERROR(INDEX('Bank Schedule'!D:D, SMALL(IF('Bank Schedule'!$K$2:$K$817="Vacant", ROW('Bank Schedule'!$K$2:$K$817)), ROW(6:6))), "")</f>
        <v>550070</v>
      </c>
      <c r="E9" s="94" t="str">
        <f aca="false" t="array" ref="E9:E9">IFERROR(INDEX('Bank Schedule'!E:E, SMALL(IF('Bank Schedule'!$K$2:$K$817="Vacant", ROW('Bank Schedule'!$K$2:$K$817)), ROW(6:6))), "")</f>
        <v>Windsor House, 40-41 Great Castle Street</v>
      </c>
      <c r="F9" s="94" t="str">
        <f aca="false" t="array" ref="F9:F9">IFERROR(INDEX('Bank Schedule'!F:F, SMALL(IF('Bank Schedule'!$K$2:$K$817="Vacant", ROW('Bank Schedule'!$K$2:$K$817)), ROW(6:6))), "")</f>
        <v>Basement &amp; Ground Floor</v>
      </c>
      <c r="G9" s="94" t="str">
        <f aca="false" t="array" ref="G9:G9">IFERROR(INDEX('Bank Schedule'!G:G, SMALL(IF('Bank Schedule'!$K$2:$K$817="Vacant", ROW('Bank Schedule'!$K$2:$K$817)), ROW(6:6))), "")</f>
        <v>Retail/Café</v>
      </c>
      <c r="H9" s="14" t="n">
        <f aca="false" t="array" ref="H9:H9">IFERROR(INDEX('Bank Schedule'!H:H, SMALL(IF('Bank Schedule'!$K$2:$K$817="Vacant", ROW('Bank Schedule'!$K$2:$K$817)), ROW(6:6))), "")</f>
        <v>2235</v>
      </c>
      <c r="I9" s="14" t="n">
        <f aca="false" t="array" ref="I9:I9">IFERROR(INDEX('Bank Schedule'!I:I, SMALL(IF('Bank Schedule'!$K$2:$K$817="Vacant", ROW('Bank Schedule'!$K$2:$K$817)), ROW(6:6))), "")</f>
        <v>2235</v>
      </c>
      <c r="J9" s="11" t="str">
        <f aca="false" t="array" ref="J9:J9">IFERROR(INDEX('Bank Schedule'!K:K, SMALL(IF('Bank Schedule'!$K$2:$K$817="Vacant", ROW('Bank Schedule'!$K$2:$K$817)), ROW(6:6))), "")</f>
        <v>Vacant</v>
      </c>
      <c r="K9" s="11" t="str">
        <f aca="false">IFERROR(INDEX('Bank Schedule'!L:L, SMALL(IF('Bank Schedule'!$K$2:$K$817="Vacant", ROW('Bank Schedule'!$K$2:$K$817)), ROW(6:6))), "")</f>
        <v/>
      </c>
      <c r="L9" s="11" t="str">
        <f aca="false">IFERROR(INDEX('Bank Schedule'!M:M, SMALL(IF('Bank Schedule'!$K$2:$K$817="Vacant", ROW('Bank Schedule'!$K$2:$K$817)), ROW(6:6))), "")</f>
        <v/>
      </c>
      <c r="M9" s="71" t="n">
        <f aca="false" t="array" ref="M9:M9">IFERROR(INDEX('Bank Schedule'!N:N, SMALL(IF('Bank Schedule'!$K$2:$K$817="Vacant", ROW('Bank Schedule'!$K$2:$K$817)), ROW(6:6))), "")</f>
        <v>45754</v>
      </c>
      <c r="N9" s="11" t="str">
        <f aca="false">IFERROR(INDEX('Bank Schedule'!O:O, SMALL(IF('Bank Schedule'!$K$2:$K$817="Vacant", ROW('Bank Schedule'!$K$2:$K$817)), ROW(6:6))), "")</f>
        <v/>
      </c>
      <c r="O9" s="11" t="str">
        <f aca="false">IFERROR(INDEX('Bank Schedule'!P:P, SMALL(IF('Bank Schedule'!$K$2:$K$817="Vacant", ROW('Bank Schedule'!$K$2:$K$817)), ROW(6:6))), "")</f>
        <v/>
      </c>
      <c r="P9" s="11" t="n">
        <f aca="false" t="array" ref="P9:P9">IFERROR(INDEX('Bank Schedule'!Q:Q, SMALL(IF('Bank Schedule'!$K$2:$K$817="Vacant", ROW('Bank Schedule'!$K$2:$K$817)), ROW(6:6))), "")</f>
        <v>0</v>
      </c>
      <c r="Q9" s="11" t="n">
        <f aca="false" t="array" ref="Q9:Q9">IFERROR(INDEX('Bank Schedule'!R:R, SMALL(IF('Bank Schedule'!$K$2:$K$817="Vacant", ROW('Bank Schedule'!$K$2:$K$817)), ROW(6:6))), "")</f>
        <v>0</v>
      </c>
      <c r="R9" s="11" t="str">
        <f aca="false">IFERROR(INDEX('Bank Schedule'!S:S, SMALL(IF('Bank Schedule'!$K$2:$K$817="Vacant", ROW('Bank Schedule'!$K$2:$K$817)), ROW(6:6))), "")</f>
        <v/>
      </c>
      <c r="S9" s="281" t="n">
        <f aca="false" t="array" ref="S9:S9">IFERROR(INDEX('Bank Schedule'!T:T, SMALL(IF('Bank Schedule'!$K$2:$K$817="Vacant", ROW('Bank Schedule'!$K$2:$K$817)), ROW(6:6))), "")</f>
        <v>143000</v>
      </c>
      <c r="T9" s="281" t="n">
        <f aca="false" t="array" ref="T9:T9">IFERROR(INDEX('Bank Schedule'!U:U, SMALL(IF('Bank Schedule'!$K$2:$K$817="Vacant", ROW('Bank Schedule'!$K$2:$K$817)), ROW(6:6))), "")</f>
        <v>143000</v>
      </c>
      <c r="U9" s="281" t="n">
        <f aca="false" t="array" ref="U9:U9">IFERROR(INDEX('Bank Schedule'!V:V, SMALL(IF('Bank Schedule'!$K$2:$K$817="Vacant", ROW('Bank Schedule'!$K$2:$K$817)), ROW(6:6))), "")</f>
        <v>136300</v>
      </c>
      <c r="V9" s="281" t="n">
        <f aca="false" t="array" ref="V9:V9">IFERROR(INDEX('Bank Schedule'!W:W, SMALL(IF('Bank Schedule'!$K$2:$K$817="Vacant", ROW('Bank Schedule'!$K$2:$K$817)), ROW(6:6))), "")</f>
        <v>136300</v>
      </c>
      <c r="W9" s="282" t="n">
        <f aca="false" t="array" ref="W9:W9">IFERROR(INDEX('Bank Schedule'!X:X, SMALL(IF('Bank Schedule'!$K$2:$K$817="Vacant", ROW('Bank Schedule'!$K$2:$K$817)), ROW(6:6))), "")</f>
        <v>63.9821029082774</v>
      </c>
      <c r="X9" s="11" t="str">
        <f aca="false" t="array" ref="X9:X9">IFERROR(INDEX('Bank Schedule'!Y:Y, SMALL(IF('Bank Schedule'!$K$2:$K$817="Vacant", ROW('Bank Schedule'!$K$2:$K$817)), ROW(6:6))), "")</f>
        <v>D</v>
      </c>
      <c r="Y9" s="11" t="str">
        <f aca="false">IFERROR(INDEX('Bank Schedule'!Z:Z, SMALL(IF('Bank Schedule'!$K$2:$K$817="Vacant", ROW('Bank Schedule'!$K$2:$K$817)), ROW(6:6))), "")</f>
        <v/>
      </c>
      <c r="Z9" s="11" t="str">
        <f aca="false">IFERROR(INDEX('Bank Schedule'!AA:AA, SMALL(IF('Bank Schedule'!$K$2:$K$817="Vacant", ROW('Bank Schedule'!$K$2:$K$817)), ROW(6:6))), "")</f>
        <v/>
      </c>
      <c r="AA9" s="11" t="str">
        <f aca="false" t="array" ref="AA9:AA9">IFERROR(INDEX('Bank Schedule'!AB:AB, SMALL(IF('Bank Schedule'!$K$2:$K$817="Vacant", ROW('Bank Schedule'!$K$2:$K$817)), ROW(6:6))), "")</f>
        <v>No</v>
      </c>
      <c r="AB9" s="94" t="str">
        <f aca="false">IFERROR(INDEX('Bank Schedule'!AC:AC, SMALL(IF('Bank Schedule'!$K$2:$K$817="Vacant", ROW('Bank Schedule'!$K$2:$K$817)), ROW(6:6))), "")</f>
        <v/>
      </c>
      <c r="AC9" s="44" t="str">
        <f aca="false">IFERROR(INDEX('Bank Schedule'!AD:AD, SMALL(IF('Bank Schedule'!$K$2:$K$817="Vacant", ROW('Bank Schedule'!$K$2:$K$817)), ROW(6:6))), "")</f>
        <v/>
      </c>
      <c r="AD9" s="11" t="str">
        <f aca="false">IFERROR(INDEX('Bank Schedule'!AE:AE, SMALL(IF('Bank Schedule'!$K$2:$K$817="Vacant", ROW('Bank Schedule'!$K$2:$K$817)), ROW(6:6))), "")</f>
        <v/>
      </c>
      <c r="AE9" s="11" t="str">
        <f aca="false">IFERROR(INDEX('Bank Schedule'!AF:AF, SMALL(IF('Bank Schedule'!$K$2:$K$817="Vacant", ROW('Bank Schedule'!$K$2:$K$817)), ROW(6:6))), "")</f>
        <v/>
      </c>
      <c r="AF9" s="11"/>
      <c r="AG9" s="4"/>
    </row>
    <row r="10" customFormat="false" ht="28.5" hidden="false" customHeight="true" outlineLevel="0" collapsed="false">
      <c r="A10" s="28" t="str">
        <f aca="false">IFERROR(INDEX('Bank Schedule'!A:A, SMALL(IF('Bank Schedule'!$K$2:$K$817="Vacant", ROW('Bank Schedule'!$K$2:$K$817)), ROW(7:7))), "")</f>
        <v/>
      </c>
      <c r="B10" s="11" t="str">
        <f aca="false" t="array" ref="B10:B10">IFERROR(INDEX('Bank Schedule'!B:B, SMALL(IF('Bank Schedule'!$K$2:$K$817="Vacant", ROW('Bank Schedule'!$K$2:$K$817)), ROW(7:7))), "")</f>
        <v>SH</v>
      </c>
      <c r="C10" s="11" t="str">
        <f aca="false" t="array" ref="C10:C10">IFERROR(INDEX('Bank Schedule'!C:C, SMALL(IF('Bank Schedule'!$K$2:$K$817="Vacant", ROW('Bank Schedule'!$K$2:$K$817)), ROW(7:7))), "")</f>
        <v>MEL</v>
      </c>
      <c r="D10" s="11" t="n">
        <f aca="false" t="array" ref="D10:D10">IFERROR(INDEX('Bank Schedule'!D:D, SMALL(IF('Bank Schedule'!$K$2:$K$817="Vacant", ROW('Bank Schedule'!$K$2:$K$817)), ROW(7:7))), "")</f>
        <v>550070</v>
      </c>
      <c r="E10" s="94" t="str">
        <f aca="false" t="array" ref="E10:E10">IFERROR(INDEX('Bank Schedule'!E:E, SMALL(IF('Bank Schedule'!$K$2:$K$817="Vacant", ROW('Bank Schedule'!$K$2:$K$817)), ROW(7:7))), "")</f>
        <v>Windsor House, 40-41 Great Castle Street</v>
      </c>
      <c r="F10" s="94" t="str">
        <f aca="false" t="array" ref="F10:F10">IFERROR(INDEX('Bank Schedule'!F:F, SMALL(IF('Bank Schedule'!$K$2:$K$817="Vacant", ROW('Bank Schedule'!$K$2:$K$817)), ROW(7:7))), "")</f>
        <v>Fourth Floor</v>
      </c>
      <c r="G10" s="94" t="str">
        <f aca="false" t="array" ref="G10:G10">IFERROR(INDEX('Bank Schedule'!G:G, SMALL(IF('Bank Schedule'!$K$2:$K$817="Vacant", ROW('Bank Schedule'!$K$2:$K$817)), ROW(7:7))), "")</f>
        <v>Office</v>
      </c>
      <c r="H10" s="14" t="n">
        <f aca="false" t="array" ref="H10:H10">IFERROR(INDEX('Bank Schedule'!H:H, SMALL(IF('Bank Schedule'!$K$2:$K$817="Vacant", ROW('Bank Schedule'!$K$2:$K$817)), ROW(7:7))), "")</f>
        <v>400</v>
      </c>
      <c r="I10" s="14" t="n">
        <f aca="false" t="array" ref="I10:I10">IFERROR(INDEX('Bank Schedule'!I:I, SMALL(IF('Bank Schedule'!$K$2:$K$817="Vacant", ROW('Bank Schedule'!$K$2:$K$817)), ROW(7:7))), "")</f>
        <v>400</v>
      </c>
      <c r="J10" s="11" t="str">
        <f aca="false" t="array" ref="J10:J10">IFERROR(INDEX('Bank Schedule'!K:K, SMALL(IF('Bank Schedule'!$K$2:$K$817="Vacant", ROW('Bank Schedule'!$K$2:$K$817)), ROW(7:7))), "")</f>
        <v>Vacant</v>
      </c>
      <c r="K10" s="11" t="str">
        <f aca="false">IFERROR(INDEX('Bank Schedule'!L:L, SMALL(IF('Bank Schedule'!$K$2:$K$817="Vacant", ROW('Bank Schedule'!$K$2:$K$817)), ROW(7:7))), "")</f>
        <v/>
      </c>
      <c r="L10" s="11" t="str">
        <f aca="false">IFERROR(INDEX('Bank Schedule'!M:M, SMALL(IF('Bank Schedule'!$K$2:$K$817="Vacant", ROW('Bank Schedule'!$K$2:$K$817)), ROW(7:7))), "")</f>
        <v/>
      </c>
      <c r="M10" s="71" t="n">
        <f aca="false" t="array" ref="M10:M10">IFERROR(INDEX('Bank Schedule'!N:N, SMALL(IF('Bank Schedule'!$K$2:$K$817="Vacant", ROW('Bank Schedule'!$K$2:$K$817)), ROW(7:7))), "")</f>
        <v>44168</v>
      </c>
      <c r="N10" s="11" t="str">
        <f aca="false">IFERROR(INDEX('Bank Schedule'!O:O, SMALL(IF('Bank Schedule'!$K$2:$K$817="Vacant", ROW('Bank Schedule'!$K$2:$K$817)), ROW(7:7))), "")</f>
        <v/>
      </c>
      <c r="O10" s="11" t="str">
        <f aca="false">IFERROR(INDEX('Bank Schedule'!P:P, SMALL(IF('Bank Schedule'!$K$2:$K$817="Vacant", ROW('Bank Schedule'!$K$2:$K$817)), ROW(7:7))), "")</f>
        <v/>
      </c>
      <c r="P10" s="11" t="n">
        <f aca="false" t="array" ref="P10:P10">IFERROR(INDEX('Bank Schedule'!Q:Q, SMALL(IF('Bank Schedule'!$K$2:$K$817="Vacant", ROW('Bank Schedule'!$K$2:$K$817)), ROW(7:7))), "")</f>
        <v>0</v>
      </c>
      <c r="Q10" s="11" t="n">
        <f aca="false" t="array" ref="Q10:Q10">IFERROR(INDEX('Bank Schedule'!R:R, SMALL(IF('Bank Schedule'!$K$2:$K$817="Vacant", ROW('Bank Schedule'!$K$2:$K$817)), ROW(7:7))), "")</f>
        <v>0</v>
      </c>
      <c r="R10" s="11" t="str">
        <f aca="false">IFERROR(INDEX('Bank Schedule'!S:S, SMALL(IF('Bank Schedule'!$K$2:$K$817="Vacant", ROW('Bank Schedule'!$K$2:$K$817)), ROW(7:7))), "")</f>
        <v/>
      </c>
      <c r="S10" s="281" t="n">
        <f aca="false" t="array" ref="S10:S10">IFERROR(INDEX('Bank Schedule'!T:T, SMALL(IF('Bank Schedule'!$K$2:$K$817="Vacant", ROW('Bank Schedule'!$K$2:$K$817)), ROW(7:7))), "")</f>
        <v>21600</v>
      </c>
      <c r="T10" s="281" t="n">
        <f aca="false" t="array" ref="T10:T10">IFERROR(INDEX('Bank Schedule'!U:U, SMALL(IF('Bank Schedule'!$K$2:$K$817="Vacant", ROW('Bank Schedule'!$K$2:$K$817)), ROW(7:7))), "")</f>
        <v>21600</v>
      </c>
      <c r="U10" s="281" t="n">
        <f aca="false" t="array" ref="U10:U10">IFERROR(INDEX('Bank Schedule'!V:V, SMALL(IF('Bank Schedule'!$K$2:$K$817="Vacant", ROW('Bank Schedule'!$K$2:$K$817)), ROW(7:7))), "")</f>
        <v>22000</v>
      </c>
      <c r="V10" s="281" t="n">
        <f aca="false" t="array" ref="V10:V10">IFERROR(INDEX('Bank Schedule'!W:W, SMALL(IF('Bank Schedule'!$K$2:$K$817="Vacant", ROW('Bank Schedule'!$K$2:$K$817)), ROW(7:7))), "")</f>
        <v>22000</v>
      </c>
      <c r="W10" s="282" t="n">
        <f aca="false" t="array" ref="W10:W10">IFERROR(INDEX('Bank Schedule'!X:X, SMALL(IF('Bank Schedule'!$K$2:$K$817="Vacant", ROW('Bank Schedule'!$K$2:$K$817)), ROW(7:7))), "")</f>
        <v>54</v>
      </c>
      <c r="X10" s="11" t="str">
        <f aca="false" t="array" ref="X10:X10">IFERROR(INDEX('Bank Schedule'!Y:Y, SMALL(IF('Bank Schedule'!$K$2:$K$817="Vacant", ROW('Bank Schedule'!$K$2:$K$817)), ROW(7:7))), "")</f>
        <v>D</v>
      </c>
      <c r="Y10" s="11" t="str">
        <f aca="false">IFERROR(INDEX('Bank Schedule'!Z:Z, SMALL(IF('Bank Schedule'!$K$2:$K$817="Vacant", ROW('Bank Schedule'!$K$2:$K$817)), ROW(7:7))), "")</f>
        <v/>
      </c>
      <c r="Z10" s="11" t="str">
        <f aca="false">IFERROR(INDEX('Bank Schedule'!AA:AA, SMALL(IF('Bank Schedule'!$K$2:$K$817="Vacant", ROW('Bank Schedule'!$K$2:$K$817)), ROW(7:7))), "")</f>
        <v/>
      </c>
      <c r="AA10" s="11" t="str">
        <f aca="false" t="array" ref="AA10:AA10">IFERROR(INDEX('Bank Schedule'!AB:AB, SMALL(IF('Bank Schedule'!$K$2:$K$817="Vacant", ROW('Bank Schedule'!$K$2:$K$817)), ROW(7:7))), "")</f>
        <v>No</v>
      </c>
      <c r="AB10" s="94" t="str">
        <f aca="false" t="array" ref="AB10:AB10">IFERROR(INDEX('Bank Schedule'!AC:AC, SMALL(IF('Bank Schedule'!$K$2:$K$817="Vacant", ROW('Bank Schedule'!$K$2:$K$817)), ROW(7:7))), "")</f>
        <v>To be refurbished.</v>
      </c>
      <c r="AC10" s="44" t="str">
        <f aca="false">IFERROR(INDEX('Bank Schedule'!AD:AD, SMALL(IF('Bank Schedule'!$K$2:$K$817="Vacant", ROW('Bank Schedule'!$K$2:$K$817)), ROW(7:7))), "")</f>
        <v/>
      </c>
      <c r="AD10" s="11" t="str">
        <f aca="false">IFERROR(INDEX('Bank Schedule'!AE:AE, SMALL(IF('Bank Schedule'!$K$2:$K$817="Vacant", ROW('Bank Schedule'!$K$2:$K$817)), ROW(7:7))), "")</f>
        <v/>
      </c>
      <c r="AE10" s="11" t="str">
        <f aca="false">IFERROR(INDEX('Bank Schedule'!AF:AF, SMALL(IF('Bank Schedule'!$K$2:$K$817="Vacant", ROW('Bank Schedule'!$K$2:$K$817)), ROW(7:7))), "")</f>
        <v/>
      </c>
      <c r="AF10" s="11" t="str">
        <f aca="false">IFERROR(INDEX('Bank Schedule'!AG:AG, SMALL(IF('Bank Schedule'!$K$2:$K$817="Vacant", ROW('Bank Schedule'!$K$2:$K$817)), ROW(7:7))), "")</f>
        <v/>
      </c>
      <c r="AG10" s="4"/>
    </row>
    <row r="11" customFormat="false" ht="28.5" hidden="false" customHeight="true" outlineLevel="0" collapsed="false">
      <c r="A11" s="28" t="str">
        <f aca="false">IFERROR(INDEX('Bank Schedule'!A:A, SMALL(IF('Bank Schedule'!$K$2:$K$817="Vacant", ROW('Bank Schedule'!$K$2:$K$817)), ROW(8:8))), "")</f>
        <v/>
      </c>
      <c r="B11" s="11" t="str">
        <f aca="false" t="array" ref="B11:B11">IFERROR(INDEX('Bank Schedule'!B:B, SMALL(IF('Bank Schedule'!$K$2:$K$817="Vacant", ROW('Bank Schedule'!$K$2:$K$817)), ROW(8:8))), "")</f>
        <v>SH</v>
      </c>
      <c r="C11" s="11" t="str">
        <f aca="false" t="array" ref="C11:C11">IFERROR(INDEX('Bank Schedule'!C:C, SMALL(IF('Bank Schedule'!$K$2:$K$817="Vacant", ROW('Bank Schedule'!$K$2:$K$817)), ROW(8:8))), "")</f>
        <v>MEL</v>
      </c>
      <c r="D11" s="11" t="n">
        <f aca="false" t="array" ref="D11:D11">IFERROR(INDEX('Bank Schedule'!D:D, SMALL(IF('Bank Schedule'!$K$2:$K$817="Vacant", ROW('Bank Schedule'!$K$2:$K$817)), ROW(8:8))), "")</f>
        <v>550470</v>
      </c>
      <c r="E11" s="94" t="str">
        <f aca="false" t="array" ref="E11:E11">IFERROR(INDEX('Bank Schedule'!E:E, SMALL(IF('Bank Schedule'!$K$2:$K$817="Vacant", ROW('Bank Schedule'!$K$2:$K$817)), ROW(8:8))), "")</f>
        <v>Portland House, 4 Great Portland Street</v>
      </c>
      <c r="F11" s="94" t="str">
        <f aca="false" t="array" ref="F11:F11">IFERROR(INDEX('Bank Schedule'!F:F, SMALL(IF('Bank Schedule'!$K$2:$K$817="Vacant", ROW('Bank Schedule'!$K$2:$K$817)), ROW(8:8))), "")</f>
        <v>Second Floor (West)</v>
      </c>
      <c r="G11" s="94" t="str">
        <f aca="false" t="array" ref="G11:G11">IFERROR(INDEX('Bank Schedule'!G:G, SMALL(IF('Bank Schedule'!$K$2:$K$817="Vacant", ROW('Bank Schedule'!$K$2:$K$817)), ROW(8:8))), "")</f>
        <v>Office</v>
      </c>
      <c r="H11" s="14" t="n">
        <f aca="false" t="array" ref="H11:H11">IFERROR(INDEX('Bank Schedule'!H:H, SMALL(IF('Bank Schedule'!$K$2:$K$817="Vacant", ROW('Bank Schedule'!$K$2:$K$817)), ROW(8:8))), "")</f>
        <v>1796</v>
      </c>
      <c r="I11" s="14" t="n">
        <f aca="false" t="array" ref="I11:I11">IFERROR(INDEX('Bank Schedule'!I:I, SMALL(IF('Bank Schedule'!$K$2:$K$817="Vacant", ROW('Bank Schedule'!$K$2:$K$817)), ROW(8:8))), "")</f>
        <v>1796</v>
      </c>
      <c r="J11" s="11" t="str">
        <f aca="false" t="array" ref="J11:J11">IFERROR(INDEX('Bank Schedule'!K:K, SMALL(IF('Bank Schedule'!$K$2:$K$817="Vacant", ROW('Bank Schedule'!$K$2:$K$817)), ROW(8:8))), "")</f>
        <v>Vacant</v>
      </c>
      <c r="K11" s="11" t="str">
        <f aca="false">IFERROR(INDEX('Bank Schedule'!L:L, SMALL(IF('Bank Schedule'!$K$2:$K$817="Vacant", ROW('Bank Schedule'!$K$2:$K$817)), ROW(8:8))), "")</f>
        <v/>
      </c>
      <c r="L11" s="11" t="str">
        <f aca="false">IFERROR(INDEX('Bank Schedule'!M:M, SMALL(IF('Bank Schedule'!$K$2:$K$817="Vacant", ROW('Bank Schedule'!$K$2:$K$817)), ROW(8:8))), "")</f>
        <v/>
      </c>
      <c r="M11" s="71" t="n">
        <f aca="false" t="array" ref="M11:M11">IFERROR(INDEX('Bank Schedule'!N:N, SMALL(IF('Bank Schedule'!$K$2:$K$817="Vacant", ROW('Bank Schedule'!$K$2:$K$817)), ROW(8:8))), "")</f>
        <v>45051</v>
      </c>
      <c r="N11" s="11" t="str">
        <f aca="false">IFERROR(INDEX('Bank Schedule'!O:O, SMALL(IF('Bank Schedule'!$K$2:$K$817="Vacant", ROW('Bank Schedule'!$K$2:$K$817)), ROW(8:8))), "")</f>
        <v/>
      </c>
      <c r="O11" s="11" t="str">
        <f aca="false">IFERROR(INDEX('Bank Schedule'!P:P, SMALL(IF('Bank Schedule'!$K$2:$K$817="Vacant", ROW('Bank Schedule'!$K$2:$K$817)), ROW(8:8))), "")</f>
        <v/>
      </c>
      <c r="P11" s="11" t="n">
        <f aca="false" t="array" ref="P11:P11">IFERROR(INDEX('Bank Schedule'!Q:Q, SMALL(IF('Bank Schedule'!$K$2:$K$817="Vacant", ROW('Bank Schedule'!$K$2:$K$817)), ROW(8:8))), "")</f>
        <v>0</v>
      </c>
      <c r="Q11" s="11" t="n">
        <f aca="false" t="array" ref="Q11:Q11">IFERROR(INDEX('Bank Schedule'!R:R, SMALL(IF('Bank Schedule'!$K$2:$K$817="Vacant", ROW('Bank Schedule'!$K$2:$K$817)), ROW(8:8))), "")</f>
        <v>0</v>
      </c>
      <c r="R11" s="11" t="str">
        <f aca="false">IFERROR(INDEX('Bank Schedule'!S:S, SMALL(IF('Bank Schedule'!$K$2:$K$817="Vacant", ROW('Bank Schedule'!$K$2:$K$817)), ROW(8:8))), "")</f>
        <v/>
      </c>
      <c r="S11" s="281" t="n">
        <f aca="false" t="array" ref="S11:S11">IFERROR(INDEX('Bank Schedule'!T:T, SMALL(IF('Bank Schedule'!$K$2:$K$817="Vacant", ROW('Bank Schedule'!$K$2:$K$817)), ROW(8:8))), "")</f>
        <v>87300</v>
      </c>
      <c r="T11" s="281" t="n">
        <f aca="false" t="array" ref="T11:T11">IFERROR(INDEX('Bank Schedule'!U:U, SMALL(IF('Bank Schedule'!$K$2:$K$817="Vacant", ROW('Bank Schedule'!$K$2:$K$817)), ROW(8:8))), "")</f>
        <v>87300</v>
      </c>
      <c r="U11" s="281" t="n">
        <f aca="false" t="array" ref="U11:U11">IFERROR(INDEX('Bank Schedule'!V:V, SMALL(IF('Bank Schedule'!$K$2:$K$817="Vacant", ROW('Bank Schedule'!$K$2:$K$817)), ROW(8:8))), "")</f>
        <v>127500</v>
      </c>
      <c r="V11" s="281" t="n">
        <f aca="false" t="array" ref="V11:V11">IFERROR(INDEX('Bank Schedule'!W:W, SMALL(IF('Bank Schedule'!$K$2:$K$817="Vacant", ROW('Bank Schedule'!$K$2:$K$817)), ROW(8:8))), "")</f>
        <v>127500</v>
      </c>
      <c r="W11" s="282" t="n">
        <f aca="false" t="array" ref="W11:W11">IFERROR(INDEX('Bank Schedule'!X:X, SMALL(IF('Bank Schedule'!$K$2:$K$817="Vacant", ROW('Bank Schedule'!$K$2:$K$817)), ROW(8:8))), "")</f>
        <v>48.6080178173719</v>
      </c>
      <c r="X11" s="11" t="str">
        <f aca="false" t="array" ref="X11:X11">IFERROR(INDEX('Bank Schedule'!Y:Y, SMALL(IF('Bank Schedule'!$K$2:$K$817="Vacant", ROW('Bank Schedule'!$K$2:$K$817)), ROW(8:8))), "")</f>
        <v>B</v>
      </c>
      <c r="Y11" s="11" t="str">
        <f aca="false">IFERROR(INDEX('Bank Schedule'!Z:Z, SMALL(IF('Bank Schedule'!$K$2:$K$817="Vacant", ROW('Bank Schedule'!$K$2:$K$817)), ROW(8:8))), "")</f>
        <v/>
      </c>
      <c r="Z11" s="11" t="str">
        <f aca="false">IFERROR(INDEX('Bank Schedule'!AA:AA, SMALL(IF('Bank Schedule'!$K$2:$K$817="Vacant", ROW('Bank Schedule'!$K$2:$K$817)), ROW(8:8))), "")</f>
        <v/>
      </c>
      <c r="AA11" s="11" t="str">
        <f aca="false" t="array" ref="AA11:AA11">IFERROR(INDEX('Bank Schedule'!AB:AB, SMALL(IF('Bank Schedule'!$K$2:$K$817="Vacant", ROW('Bank Schedule'!$K$2:$K$817)), ROW(8:8))), "")</f>
        <v>No</v>
      </c>
      <c r="AB11" s="94" t="str">
        <f aca="false" t="array" ref="AB11:AB11">IFERROR(INDEX('Bank Schedule'!AC:AC, SMALL(IF('Bank Schedule'!$K$2:$K$817="Vacant", ROW('Bank Schedule'!$K$2:$K$817)), ROW(8:8))), "")</f>
        <v>LEM marketing.</v>
      </c>
      <c r="AC11" s="44" t="n">
        <f aca="false" t="array" ref="AC11:AC11">IFERROR(INDEX('Bank Schedule'!AD:AD, SMALL(IF('Bank Schedule'!$K$2:$K$817="Vacant", ROW('Bank Schedule'!$K$2:$K$817)), ROW(8:8))), "")</f>
        <v>72.5</v>
      </c>
      <c r="AD11" s="11" t="n">
        <f aca="false" t="array" ref="AD11:AD11">IFERROR(INDEX('Bank Schedule'!AE:AE, SMALL(IF('Bank Schedule'!$K$2:$K$817="Vacant", ROW('Bank Schedule'!$K$2:$K$817)), ROW(8:8))), "")</f>
        <v>2</v>
      </c>
      <c r="AE11" s="11" t="n">
        <f aca="false" t="array" ref="AE11:AE11">IFERROR(INDEX('Bank Schedule'!AF:AF, SMALL(IF('Bank Schedule'!$K$2:$K$817="Vacant", ROW('Bank Schedule'!$K$2:$K$817)), ROW(8:8))), "")</f>
        <v>7</v>
      </c>
      <c r="AF11" s="11"/>
      <c r="AG11" s="4"/>
    </row>
    <row r="12" customFormat="false" ht="28.5" hidden="false" customHeight="true" outlineLevel="0" collapsed="false">
      <c r="A12" s="28" t="str">
        <f aca="false">IFERROR(INDEX('Bank Schedule'!A:A, SMALL(IF('Bank Schedule'!$K$2:$K$817="Vacant", ROW('Bank Schedule'!$K$2:$K$817)), ROW(9:9))), "")</f>
        <v/>
      </c>
      <c r="B12" s="11" t="str">
        <f aca="false" t="array" ref="B12:B12">IFERROR(INDEX('Bank Schedule'!B:B, SMALL(IF('Bank Schedule'!$K$2:$K$817="Vacant", ROW('Bank Schedule'!$K$2:$K$817)), ROW(9:9))), "")</f>
        <v>SH</v>
      </c>
      <c r="C12" s="11" t="str">
        <f aca="false" t="array" ref="C12:C12">IFERROR(INDEX('Bank Schedule'!C:C, SMALL(IF('Bank Schedule'!$K$2:$K$817="Vacant", ROW('Bank Schedule'!$K$2:$K$817)), ROW(9:9))), "")</f>
        <v>MEL</v>
      </c>
      <c r="D12" s="11" t="n">
        <f aca="false" t="array" ref="D12:D12">IFERROR(INDEX('Bank Schedule'!D:D, SMALL(IF('Bank Schedule'!$K$2:$K$817="Vacant", ROW('Bank Schedule'!$K$2:$K$817)), ROW(9:9))), "")</f>
        <v>550470</v>
      </c>
      <c r="E12" s="94" t="str">
        <f aca="false" t="array" ref="E12:E12">IFERROR(INDEX('Bank Schedule'!E:E, SMALL(IF('Bank Schedule'!$K$2:$K$817="Vacant", ROW('Bank Schedule'!$K$2:$K$817)), ROW(9:9))), "")</f>
        <v>Portland House, 4 Great Portland Street</v>
      </c>
      <c r="F12" s="94" t="str">
        <f aca="false" t="array" ref="F12:F12">IFERROR(INDEX('Bank Schedule'!F:F, SMALL(IF('Bank Schedule'!$K$2:$K$817="Vacant", ROW('Bank Schedule'!$K$2:$K$817)), ROW(9:9))), "")</f>
        <v>Sixth Floor (East)</v>
      </c>
      <c r="G12" s="94" t="str">
        <f aca="false" t="array" ref="G12:G12">IFERROR(INDEX('Bank Schedule'!G:G, SMALL(IF('Bank Schedule'!$K$2:$K$817="Vacant", ROW('Bank Schedule'!$K$2:$K$817)), ROW(9:9))), "")</f>
        <v>Office</v>
      </c>
      <c r="H12" s="14" t="n">
        <f aca="false" t="array" ref="H12:H12">IFERROR(INDEX('Bank Schedule'!H:H, SMALL(IF('Bank Schedule'!$K$2:$K$817="Vacant", ROW('Bank Schedule'!$K$2:$K$817)), ROW(9:9))), "")</f>
        <v>859</v>
      </c>
      <c r="I12" s="14" t="n">
        <f aca="false" t="array" ref="I12:I12">IFERROR(INDEX('Bank Schedule'!I:I, SMALL(IF('Bank Schedule'!$K$2:$K$817="Vacant", ROW('Bank Schedule'!$K$2:$K$817)), ROW(9:9))), "")</f>
        <v>859</v>
      </c>
      <c r="J12" s="11" t="str">
        <f aca="false" t="array" ref="J12:J12">IFERROR(INDEX('Bank Schedule'!K:K, SMALL(IF('Bank Schedule'!$K$2:$K$817="Vacant", ROW('Bank Schedule'!$K$2:$K$817)), ROW(9:9))), "")</f>
        <v>Vacant</v>
      </c>
      <c r="K12" s="11" t="str">
        <f aca="false">IFERROR(INDEX('Bank Schedule'!L:L, SMALL(IF('Bank Schedule'!$K$2:$K$817="Vacant", ROW('Bank Schedule'!$K$2:$K$817)), ROW(9:9))), "")</f>
        <v/>
      </c>
      <c r="L12" s="11" t="str">
        <f aca="false">IFERROR(INDEX('Bank Schedule'!M:M, SMALL(IF('Bank Schedule'!$K$2:$K$817="Vacant", ROW('Bank Schedule'!$K$2:$K$817)), ROW(9:9))), "")</f>
        <v/>
      </c>
      <c r="M12" s="71" t="n">
        <f aca="false" t="array" ref="M12:M12">IFERROR(INDEX('Bank Schedule'!N:N, SMALL(IF('Bank Schedule'!$K$2:$K$817="Vacant", ROW('Bank Schedule'!$K$2:$K$817)), ROW(9:9))), "")</f>
        <v>44609</v>
      </c>
      <c r="N12" s="11" t="str">
        <f aca="false">IFERROR(INDEX('Bank Schedule'!O:O, SMALL(IF('Bank Schedule'!$K$2:$K$817="Vacant", ROW('Bank Schedule'!$K$2:$K$817)), ROW(9:9))), "")</f>
        <v/>
      </c>
      <c r="O12" s="11" t="str">
        <f aca="false">IFERROR(INDEX('Bank Schedule'!P:P, SMALL(IF('Bank Schedule'!$K$2:$K$817="Vacant", ROW('Bank Schedule'!$K$2:$K$817)), ROW(9:9))), "")</f>
        <v/>
      </c>
      <c r="P12" s="11" t="n">
        <f aca="false" t="array" ref="P12:P12">IFERROR(INDEX('Bank Schedule'!Q:Q, SMALL(IF('Bank Schedule'!$K$2:$K$817="Vacant", ROW('Bank Schedule'!$K$2:$K$817)), ROW(9:9))), "")</f>
        <v>0</v>
      </c>
      <c r="Q12" s="11" t="n">
        <f aca="false" t="array" ref="Q12:Q12">IFERROR(INDEX('Bank Schedule'!R:R, SMALL(IF('Bank Schedule'!$K$2:$K$817="Vacant", ROW('Bank Schedule'!$K$2:$K$817)), ROW(9:9))), "")</f>
        <v>0</v>
      </c>
      <c r="R12" s="11" t="str">
        <f aca="false">IFERROR(INDEX('Bank Schedule'!S:S, SMALL(IF('Bank Schedule'!$K$2:$K$817="Vacant", ROW('Bank Schedule'!$K$2:$K$817)), ROW(9:9))), "")</f>
        <v/>
      </c>
      <c r="S12" s="281" t="n">
        <f aca="false" t="array" ref="S12:S12">IFERROR(INDEX('Bank Schedule'!T:T, SMALL(IF('Bank Schedule'!$K$2:$K$817="Vacant", ROW('Bank Schedule'!$K$2:$K$817)), ROW(9:9))), "")</f>
        <v>65750</v>
      </c>
      <c r="T12" s="281" t="n">
        <f aca="false" t="array" ref="T12:T12">IFERROR(INDEX('Bank Schedule'!U:U, SMALL(IF('Bank Schedule'!$K$2:$K$817="Vacant", ROW('Bank Schedule'!$K$2:$K$817)), ROW(9:9))), "")</f>
        <v>65750</v>
      </c>
      <c r="U12" s="281" t="n">
        <f aca="false" t="array" ref="U12:U12">IFERROR(INDEX('Bank Schedule'!V:V, SMALL(IF('Bank Schedule'!$K$2:$K$817="Vacant", ROW('Bank Schedule'!$K$2:$K$817)), ROW(9:9))), "")</f>
        <v>53700</v>
      </c>
      <c r="V12" s="281" t="n">
        <f aca="false" t="array" ref="V12:V12">IFERROR(INDEX('Bank Schedule'!W:W, SMALL(IF('Bank Schedule'!$K$2:$K$817="Vacant", ROW('Bank Schedule'!$K$2:$K$817)), ROW(9:9))), "")</f>
        <v>53700</v>
      </c>
      <c r="W12" s="282" t="n">
        <f aca="false" t="array" ref="W12:W12">IFERROR(INDEX('Bank Schedule'!X:X, SMALL(IF('Bank Schedule'!$K$2:$K$817="Vacant", ROW('Bank Schedule'!$K$2:$K$817)), ROW(9:9))), "")</f>
        <v>76.5424912689174</v>
      </c>
      <c r="X12" s="11" t="str">
        <f aca="false" t="array" ref="X12:X12">IFERROR(INDEX('Bank Schedule'!Y:Y, SMALL(IF('Bank Schedule'!$K$2:$K$817="Vacant", ROW('Bank Schedule'!$K$2:$K$817)), ROW(9:9))), "")</f>
        <v>D</v>
      </c>
      <c r="Y12" s="11" t="str">
        <f aca="false">IFERROR(INDEX('Bank Schedule'!Z:Z, SMALL(IF('Bank Schedule'!$K$2:$K$817="Vacant", ROW('Bank Schedule'!$K$2:$K$817)), ROW(9:9))), "")</f>
        <v/>
      </c>
      <c r="Z12" s="11" t="str">
        <f aca="false">IFERROR(INDEX('Bank Schedule'!AA:AA, SMALL(IF('Bank Schedule'!$K$2:$K$817="Vacant", ROW('Bank Schedule'!$K$2:$K$817)), ROW(9:9))), "")</f>
        <v/>
      </c>
      <c r="AA12" s="11" t="str">
        <f aca="false" t="array" ref="AA12:AA12">IFERROR(INDEX('Bank Schedule'!AB:AB, SMALL(IF('Bank Schedule'!$K$2:$K$817="Vacant", ROW('Bank Schedule'!$K$2:$K$817)), ROW(9:9))), "")</f>
        <v>No</v>
      </c>
      <c r="AB12" s="94" t="str">
        <f aca="false" t="array" ref="AB12:AB12">IFERROR(INDEX('Bank Schedule'!AC:AC, SMALL(IF('Bank Schedule'!$K$2:$K$817="Vacant", ROW('Bank Schedule'!$K$2:$K$817)), ROW(9:9))), "")</f>
        <v>LEM marketing.</v>
      </c>
      <c r="AC12" s="44" t="n">
        <f aca="false" t="array" ref="AC12:AC12">IFERROR(INDEX('Bank Schedule'!AD:AD, SMALL(IF('Bank Schedule'!$K$2:$K$817="Vacant", ROW('Bank Schedule'!$K$2:$K$817)), ROW(9:9))), "")</f>
        <v>63</v>
      </c>
      <c r="AD12" s="11" t="str">
        <f aca="false">IFERROR(INDEX('Bank Schedule'!AE:AE, SMALL(IF('Bank Schedule'!$K$2:$K$817="Vacant", ROW('Bank Schedule'!$K$2:$K$817)), ROW(9:9))), "")</f>
        <v/>
      </c>
      <c r="AE12" s="11" t="n">
        <f aca="false" t="array" ref="AE12:AE12">IFERROR(INDEX('Bank Schedule'!AF:AF, SMALL(IF('Bank Schedule'!$K$2:$K$817="Vacant", ROW('Bank Schedule'!$K$2:$K$817)), ROW(9:9))), "")</f>
        <v>1</v>
      </c>
      <c r="AF12" s="11" t="str">
        <f aca="false">IFERROR(INDEX('Bank Schedule'!AG:AG, SMALL(IF('Bank Schedule'!$K$2:$K$817="Vacant", ROW('Bank Schedule'!$K$2:$K$817)), ROW(9:9))), "")</f>
        <v/>
      </c>
      <c r="AG12" s="4"/>
    </row>
    <row r="13" customFormat="false" ht="28.5" hidden="false" customHeight="true" outlineLevel="0" collapsed="false">
      <c r="A13" s="28" t="str">
        <f aca="false">IFERROR(INDEX('Bank Schedule'!A:A, SMALL(IF('Bank Schedule'!$K$2:$K$817="Vacant", ROW('Bank Schedule'!$K$2:$K$817)), ROW(10:10))), "")</f>
        <v/>
      </c>
      <c r="B13" s="11" t="str">
        <f aca="false" t="array" ref="B13:B13">IFERROR(INDEX('Bank Schedule'!B:B, SMALL(IF('Bank Schedule'!$K$2:$K$817="Vacant", ROW('Bank Schedule'!$K$2:$K$817)), ROW(10:10))), "")</f>
        <v>SH</v>
      </c>
      <c r="C13" s="11" t="str">
        <f aca="false" t="array" ref="C13:C13">IFERROR(INDEX('Bank Schedule'!C:C, SMALL(IF('Bank Schedule'!$K$2:$K$817="Vacant", ROW('Bank Schedule'!$K$2:$K$817)), ROW(10:10))), "")</f>
        <v>MEL</v>
      </c>
      <c r="D13" s="11" t="n">
        <f aca="false" t="array" ref="D13:D13">IFERROR(INDEX('Bank Schedule'!D:D, SMALL(IF('Bank Schedule'!$K$2:$K$817="Vacant", ROW('Bank Schedule'!$K$2:$K$817)), ROW(10:10))), "")</f>
        <v>550480</v>
      </c>
      <c r="E13" s="94" t="str">
        <f aca="false" t="array" ref="E13:E13">IFERROR(INDEX('Bank Schedule'!E:E, SMALL(IF('Bank Schedule'!$K$2:$K$817="Vacant", ROW('Bank Schedule'!$K$2:$K$817)), ROW(10:10))), "")</f>
        <v>6-10a Great Portland Street</v>
      </c>
      <c r="F13" s="94" t="str">
        <f aca="false" t="array" ref="F13:F13">IFERROR(INDEX('Bank Schedule'!F:F, SMALL(IF('Bank Schedule'!$K$2:$K$817="Vacant", ROW('Bank Schedule'!$K$2:$K$817)), ROW(10:10))), "")</f>
        <v>Second Floor</v>
      </c>
      <c r="G13" s="94" t="str">
        <f aca="false" t="array" ref="G13:G13">IFERROR(INDEX('Bank Schedule'!G:G, SMALL(IF('Bank Schedule'!$K$2:$K$817="Vacant", ROW('Bank Schedule'!$K$2:$K$817)), ROW(10:10))), "")</f>
        <v>Office</v>
      </c>
      <c r="H13" s="14" t="n">
        <f aca="false" t="array" ref="H13:H13">IFERROR(INDEX('Bank Schedule'!H:H, SMALL(IF('Bank Schedule'!$K$2:$K$817="Vacant", ROW('Bank Schedule'!$K$2:$K$817)), ROW(10:10))), "")</f>
        <v>1818</v>
      </c>
      <c r="I13" s="14" t="n">
        <f aca="false" t="array" ref="I13:I13">IFERROR(INDEX('Bank Schedule'!I:I, SMALL(IF('Bank Schedule'!$K$2:$K$817="Vacant", ROW('Bank Schedule'!$K$2:$K$817)), ROW(10:10))), "")</f>
        <v>1818</v>
      </c>
      <c r="J13" s="11" t="str">
        <f aca="false" t="array" ref="J13:J13">IFERROR(INDEX('Bank Schedule'!K:K, SMALL(IF('Bank Schedule'!$K$2:$K$817="Vacant", ROW('Bank Schedule'!$K$2:$K$817)), ROW(10:10))), "")</f>
        <v>Vacant</v>
      </c>
      <c r="K13" s="11" t="str">
        <f aca="false">IFERROR(INDEX('Bank Schedule'!L:L, SMALL(IF('Bank Schedule'!$K$2:$K$817="Vacant", ROW('Bank Schedule'!$K$2:$K$817)), ROW(10:10))), "")</f>
        <v/>
      </c>
      <c r="L13" s="11" t="str">
        <f aca="false">IFERROR(INDEX('Bank Schedule'!M:M, SMALL(IF('Bank Schedule'!$K$2:$K$817="Vacant", ROW('Bank Schedule'!$K$2:$K$817)), ROW(10:10))), "")</f>
        <v/>
      </c>
      <c r="M13" s="71" t="n">
        <f aca="false" t="array" ref="M13:M13">IFERROR(INDEX('Bank Schedule'!N:N, SMALL(IF('Bank Schedule'!$K$2:$K$817="Vacant", ROW('Bank Schedule'!$K$2:$K$817)), ROW(10:10))), "")</f>
        <v>45609</v>
      </c>
      <c r="N13" s="11" t="str">
        <f aca="false">IFERROR(INDEX('Bank Schedule'!O:O, SMALL(IF('Bank Schedule'!$K$2:$K$817="Vacant", ROW('Bank Schedule'!$K$2:$K$817)), ROW(10:10))), "")</f>
        <v/>
      </c>
      <c r="O13" s="11" t="str">
        <f aca="false">IFERROR(INDEX('Bank Schedule'!P:P, SMALL(IF('Bank Schedule'!$K$2:$K$817="Vacant", ROW('Bank Schedule'!$K$2:$K$817)), ROW(10:10))), "")</f>
        <v/>
      </c>
      <c r="P13" s="11" t="n">
        <f aca="false" t="array" ref="P13:P13">IFERROR(INDEX('Bank Schedule'!Q:Q, SMALL(IF('Bank Schedule'!$K$2:$K$817="Vacant", ROW('Bank Schedule'!$K$2:$K$817)), ROW(10:10))), "")</f>
        <v>0</v>
      </c>
      <c r="Q13" s="11" t="n">
        <f aca="false" t="array" ref="Q13:Q13">IFERROR(INDEX('Bank Schedule'!R:R, SMALL(IF('Bank Schedule'!$K$2:$K$817="Vacant", ROW('Bank Schedule'!$K$2:$K$817)), ROW(10:10))), "")</f>
        <v>0</v>
      </c>
      <c r="R13" s="11" t="str">
        <f aca="false">IFERROR(INDEX('Bank Schedule'!S:S, SMALL(IF('Bank Schedule'!$K$2:$K$817="Vacant", ROW('Bank Schedule'!$K$2:$K$817)), ROW(10:10))), "")</f>
        <v/>
      </c>
      <c r="S13" s="281" t="n">
        <f aca="false" t="array" ref="S13:S13">IFERROR(INDEX('Bank Schedule'!T:T, SMALL(IF('Bank Schedule'!$K$2:$K$817="Vacant", ROW('Bank Schedule'!$K$2:$K$817)), ROW(10:10))), "")</f>
        <v>105500</v>
      </c>
      <c r="T13" s="281" t="n">
        <f aca="false" t="array" ref="T13:T13">IFERROR(INDEX('Bank Schedule'!U:U, SMALL(IF('Bank Schedule'!$K$2:$K$817="Vacant", ROW('Bank Schedule'!$K$2:$K$817)), ROW(10:10))), "")</f>
        <v>105500</v>
      </c>
      <c r="U13" s="281" t="n">
        <f aca="false" t="array" ref="U13:U13">IFERROR(INDEX('Bank Schedule'!V:V, SMALL(IF('Bank Schedule'!$K$2:$K$817="Vacant", ROW('Bank Schedule'!$K$2:$K$817)), ROW(10:10))), "")</f>
        <v>109100</v>
      </c>
      <c r="V13" s="281" t="n">
        <f aca="false" t="array" ref="V13:V13">IFERROR(INDEX('Bank Schedule'!W:W, SMALL(IF('Bank Schedule'!$K$2:$K$817="Vacant", ROW('Bank Schedule'!$K$2:$K$817)), ROW(10:10))), "")</f>
        <v>109100</v>
      </c>
      <c r="W13" s="282" t="n">
        <f aca="false" t="array" ref="W13:W13">IFERROR(INDEX('Bank Schedule'!X:X, SMALL(IF('Bank Schedule'!$K$2:$K$817="Vacant", ROW('Bank Schedule'!$K$2:$K$817)), ROW(10:10))), "")</f>
        <v>58.030803080308</v>
      </c>
      <c r="X13" s="11" t="str">
        <f aca="false" t="array" ref="X13:X13">IFERROR(INDEX('Bank Schedule'!Y:Y, SMALL(IF('Bank Schedule'!$K$2:$K$817="Vacant", ROW('Bank Schedule'!$K$2:$K$817)), ROW(10:10))), "")</f>
        <v>E</v>
      </c>
      <c r="Y13" s="11" t="str">
        <f aca="false">IFERROR(INDEX('Bank Schedule'!Z:Z, SMALL(IF('Bank Schedule'!$K$2:$K$817="Vacant", ROW('Bank Schedule'!$K$2:$K$817)), ROW(10:10))), "")</f>
        <v/>
      </c>
      <c r="Z13" s="11" t="str">
        <f aca="false">IFERROR(INDEX('Bank Schedule'!AA:AA, SMALL(IF('Bank Schedule'!$K$2:$K$817="Vacant", ROW('Bank Schedule'!$K$2:$K$817)), ROW(10:10))), "")</f>
        <v/>
      </c>
      <c r="AA13" s="11" t="str">
        <f aca="false" t="array" ref="AA13:AA13">IFERROR(INDEX('Bank Schedule'!AB:AB, SMALL(IF('Bank Schedule'!$K$2:$K$817="Vacant", ROW('Bank Schedule'!$K$2:$K$817)), ROW(10:10))), "")</f>
        <v>No</v>
      </c>
      <c r="AB13" s="94" t="str">
        <f aca="false" t="array" ref="AB13:AB13">IFERROR(INDEX('Bank Schedule'!AC:AC, SMALL(IF('Bank Schedule'!$K$2:$K$817="Vacant", ROW('Bank Schedule'!$K$2:$K$817)), ROW(10:10))), "")</f>
        <v>LEM marketing.</v>
      </c>
      <c r="AC13" s="44" t="n">
        <f aca="false" t="array" ref="AC13:AC13">IFERROR(INDEX('Bank Schedule'!AD:AD, SMALL(IF('Bank Schedule'!$K$2:$K$817="Vacant", ROW('Bank Schedule'!$K$2:$K$817)), ROW(10:10))), "")</f>
        <v>65</v>
      </c>
      <c r="AD13" s="11" t="str">
        <f aca="false">IFERROR(INDEX('Bank Schedule'!AE:AE, SMALL(IF('Bank Schedule'!$K$2:$K$817="Vacant", ROW('Bank Schedule'!$K$2:$K$817)), ROW(10:10))), "")</f>
        <v/>
      </c>
      <c r="AE13" s="11" t="str">
        <f aca="false">IFERROR(INDEX('Bank Schedule'!AF:AF, SMALL(IF('Bank Schedule'!$K$2:$K$817="Vacant", ROW('Bank Schedule'!$K$2:$K$817)), ROW(10:10))), "")</f>
        <v/>
      </c>
      <c r="AF13" s="11" t="str">
        <f aca="false">IFERROR(INDEX('Bank Schedule'!AG:AG, SMALL(IF('Bank Schedule'!$K$2:$K$817="Vacant", ROW('Bank Schedule'!$K$2:$K$817)), ROW(10:10))), "")</f>
        <v/>
      </c>
      <c r="AG13" s="4"/>
    </row>
    <row r="14" customFormat="false" ht="28.5" hidden="false" customHeight="true" outlineLevel="0" collapsed="false">
      <c r="A14" s="28" t="str">
        <f aca="false">IFERROR(INDEX('Bank Schedule'!A:A, SMALL(IF('Bank Schedule'!$K$2:$K$817="Vacant", ROW('Bank Schedule'!$K$2:$K$817)), ROW(11:11))), "")</f>
        <v/>
      </c>
      <c r="B14" s="11" t="str">
        <f aca="false" t="array" ref="B14:B14">IFERROR(INDEX('Bank Schedule'!B:B, SMALL(IF('Bank Schedule'!$K$2:$K$817="Vacant", ROW('Bank Schedule'!$K$2:$K$817)), ROW(11:11))), "")</f>
        <v>SH</v>
      </c>
      <c r="C14" s="11" t="str">
        <f aca="false" t="array" ref="C14:C14">IFERROR(INDEX('Bank Schedule'!C:C, SMALL(IF('Bank Schedule'!$K$2:$K$817="Vacant", ROW('Bank Schedule'!$K$2:$K$817)), ROW(11:11))), "")</f>
        <v>MEL</v>
      </c>
      <c r="D14" s="11" t="n">
        <f aca="false" t="array" ref="D14:D14">IFERROR(INDEX('Bank Schedule'!D:D, SMALL(IF('Bank Schedule'!$K$2:$K$817="Vacant", ROW('Bank Schedule'!$K$2:$K$817)), ROW(11:11))), "")</f>
        <v>550480</v>
      </c>
      <c r="E14" s="94" t="str">
        <f aca="false" t="array" ref="E14:E14">IFERROR(INDEX('Bank Schedule'!E:E, SMALL(IF('Bank Schedule'!$K$2:$K$817="Vacant", ROW('Bank Schedule'!$K$2:$K$817)), ROW(11:11))), "")</f>
        <v>6-10a Great Portland Street</v>
      </c>
      <c r="F14" s="94" t="str">
        <f aca="false" t="array" ref="F14:F14">IFERROR(INDEX('Bank Schedule'!F:F, SMALL(IF('Bank Schedule'!$K$2:$K$817="Vacant", ROW('Bank Schedule'!$K$2:$K$817)), ROW(11:11))), "")</f>
        <v>Third Floor</v>
      </c>
      <c r="G14" s="94" t="str">
        <f aca="false" t="array" ref="G14:G14">IFERROR(INDEX('Bank Schedule'!G:G, SMALL(IF('Bank Schedule'!$K$2:$K$817="Vacant", ROW('Bank Schedule'!$K$2:$K$817)), ROW(11:11))), "")</f>
        <v>Office</v>
      </c>
      <c r="H14" s="14" t="n">
        <f aca="false" t="array" ref="H14:H14">IFERROR(INDEX('Bank Schedule'!H:H, SMALL(IF('Bank Schedule'!$K$2:$K$817="Vacant", ROW('Bank Schedule'!$K$2:$K$817)), ROW(11:11))), "")</f>
        <v>1808</v>
      </c>
      <c r="I14" s="14" t="n">
        <f aca="false" t="array" ref="I14:I14">IFERROR(INDEX('Bank Schedule'!I:I, SMALL(IF('Bank Schedule'!$K$2:$K$817="Vacant", ROW('Bank Schedule'!$K$2:$K$817)), ROW(11:11))), "")</f>
        <v>1808</v>
      </c>
      <c r="J14" s="11" t="str">
        <f aca="false" t="array" ref="J14:J14">IFERROR(INDEX('Bank Schedule'!K:K, SMALL(IF('Bank Schedule'!$K$2:$K$817="Vacant", ROW('Bank Schedule'!$K$2:$K$817)), ROW(11:11))), "")</f>
        <v>Vacant</v>
      </c>
      <c r="K14" s="11" t="str">
        <f aca="false">IFERROR(INDEX('Bank Schedule'!L:L, SMALL(IF('Bank Schedule'!$K$2:$K$817="Vacant", ROW('Bank Schedule'!$K$2:$K$817)), ROW(11:11))), "")</f>
        <v/>
      </c>
      <c r="L14" s="11" t="str">
        <f aca="false">IFERROR(INDEX('Bank Schedule'!M:M, SMALL(IF('Bank Schedule'!$K$2:$K$817="Vacant", ROW('Bank Schedule'!$K$2:$K$817)), ROW(11:11))), "")</f>
        <v/>
      </c>
      <c r="M14" s="71" t="n">
        <f aca="false" t="array" ref="M14:M14">IFERROR(INDEX('Bank Schedule'!N:N, SMALL(IF('Bank Schedule'!$K$2:$K$817="Vacant", ROW('Bank Schedule'!$K$2:$K$817)), ROW(11:11))), "")</f>
        <v>45609</v>
      </c>
      <c r="N14" s="11" t="str">
        <f aca="false">IFERROR(INDEX('Bank Schedule'!O:O, SMALL(IF('Bank Schedule'!$K$2:$K$817="Vacant", ROW('Bank Schedule'!$K$2:$K$817)), ROW(11:11))), "")</f>
        <v/>
      </c>
      <c r="O14" s="11" t="str">
        <f aca="false">IFERROR(INDEX('Bank Schedule'!P:P, SMALL(IF('Bank Schedule'!$K$2:$K$817="Vacant", ROW('Bank Schedule'!$K$2:$K$817)), ROW(11:11))), "")</f>
        <v/>
      </c>
      <c r="P14" s="11" t="n">
        <f aca="false" t="array" ref="P14:P14">IFERROR(INDEX('Bank Schedule'!Q:Q, SMALL(IF('Bank Schedule'!$K$2:$K$817="Vacant", ROW('Bank Schedule'!$K$2:$K$817)), ROW(11:11))), "")</f>
        <v>0</v>
      </c>
      <c r="Q14" s="11" t="n">
        <f aca="false" t="array" ref="Q14:Q14">IFERROR(INDEX('Bank Schedule'!R:R, SMALL(IF('Bank Schedule'!$K$2:$K$817="Vacant", ROW('Bank Schedule'!$K$2:$K$817)), ROW(11:11))), "")</f>
        <v>0</v>
      </c>
      <c r="R14" s="11" t="str">
        <f aca="false">IFERROR(INDEX('Bank Schedule'!S:S, SMALL(IF('Bank Schedule'!$K$2:$K$817="Vacant", ROW('Bank Schedule'!$K$2:$K$817)), ROW(11:11))), "")</f>
        <v/>
      </c>
      <c r="S14" s="281" t="n">
        <f aca="false" t="array" ref="S14:S14">IFERROR(INDEX('Bank Schedule'!T:T, SMALL(IF('Bank Schedule'!$K$2:$K$817="Vacant", ROW('Bank Schedule'!$K$2:$K$817)), ROW(11:11))), "")</f>
        <v>108800</v>
      </c>
      <c r="T14" s="281" t="n">
        <f aca="false" t="array" ref="T14:T14">IFERROR(INDEX('Bank Schedule'!U:U, SMALL(IF('Bank Schedule'!$K$2:$K$817="Vacant", ROW('Bank Schedule'!$K$2:$K$817)), ROW(11:11))), "")</f>
        <v>108800</v>
      </c>
      <c r="U14" s="281" t="n">
        <f aca="false" t="array" ref="U14:U14">IFERROR(INDEX('Bank Schedule'!V:V, SMALL(IF('Bank Schedule'!$K$2:$K$817="Vacant", ROW('Bank Schedule'!$K$2:$K$817)), ROW(11:11))), "")</f>
        <v>108500</v>
      </c>
      <c r="V14" s="281" t="n">
        <f aca="false" t="array" ref="V14:V14">IFERROR(INDEX('Bank Schedule'!W:W, SMALL(IF('Bank Schedule'!$K$2:$K$817="Vacant", ROW('Bank Schedule'!$K$2:$K$817)), ROW(11:11))), "")</f>
        <v>108500</v>
      </c>
      <c r="W14" s="282" t="n">
        <f aca="false" t="array" ref="W14:W14">IFERROR(INDEX('Bank Schedule'!X:X, SMALL(IF('Bank Schedule'!$K$2:$K$817="Vacant", ROW('Bank Schedule'!$K$2:$K$817)), ROW(11:11))), "")</f>
        <v>60.1769911504425</v>
      </c>
      <c r="X14" s="11" t="str">
        <f aca="false" t="array" ref="X14:X14">IFERROR(INDEX('Bank Schedule'!Y:Y, SMALL(IF('Bank Schedule'!$K$2:$K$817="Vacant", ROW('Bank Schedule'!$K$2:$K$817)), ROW(11:11))), "")</f>
        <v>E</v>
      </c>
      <c r="Y14" s="11" t="str">
        <f aca="false">IFERROR(INDEX('Bank Schedule'!Z:Z, SMALL(IF('Bank Schedule'!$K$2:$K$817="Vacant", ROW('Bank Schedule'!$K$2:$K$817)), ROW(11:11))), "")</f>
        <v/>
      </c>
      <c r="Z14" s="11" t="str">
        <f aca="false">IFERROR(INDEX('Bank Schedule'!AA:AA, SMALL(IF('Bank Schedule'!$K$2:$K$817="Vacant", ROW('Bank Schedule'!$K$2:$K$817)), ROW(11:11))), "")</f>
        <v/>
      </c>
      <c r="AA14" s="11" t="str">
        <f aca="false" t="array" ref="AA14:AA14">IFERROR(INDEX('Bank Schedule'!AB:AB, SMALL(IF('Bank Schedule'!$K$2:$K$817="Vacant", ROW('Bank Schedule'!$K$2:$K$817)), ROW(11:11))), "")</f>
        <v>No</v>
      </c>
      <c r="AB14" s="94" t="str">
        <f aca="false" t="array" ref="AB14:AB14">IFERROR(INDEX('Bank Schedule'!AC:AC, SMALL(IF('Bank Schedule'!$K$2:$K$817="Vacant", ROW('Bank Schedule'!$K$2:$K$817)), ROW(11:11))), "")</f>
        <v>LEM marketing.</v>
      </c>
      <c r="AC14" s="44" t="n">
        <f aca="false" t="array" ref="AC14:AC14">IFERROR(INDEX('Bank Schedule'!AD:AD, SMALL(IF('Bank Schedule'!$K$2:$K$817="Vacant", ROW('Bank Schedule'!$K$2:$K$817)), ROW(11:11))), "")</f>
        <v>65</v>
      </c>
      <c r="AD14" s="11" t="str">
        <f aca="false">IFERROR(INDEX('Bank Schedule'!AE:AE, SMALL(IF('Bank Schedule'!$K$2:$K$817="Vacant", ROW('Bank Schedule'!$K$2:$K$817)), ROW(11:11))), "")</f>
        <v/>
      </c>
      <c r="AE14" s="11" t="str">
        <f aca="false">IFERROR(INDEX('Bank Schedule'!AF:AF, SMALL(IF('Bank Schedule'!$K$2:$K$817="Vacant", ROW('Bank Schedule'!$K$2:$K$817)), ROW(11:11))), "")</f>
        <v/>
      </c>
      <c r="AF14" s="11" t="str">
        <f aca="false">IFERROR(INDEX('Bank Schedule'!AG:AG, SMALL(IF('Bank Schedule'!$K$2:$K$817="Vacant", ROW('Bank Schedule'!$K$2:$K$817)), ROW(11:11))), "")</f>
        <v/>
      </c>
      <c r="AG14" s="4"/>
    </row>
    <row r="15" customFormat="false" ht="28.5" hidden="false" customHeight="true" outlineLevel="0" collapsed="false">
      <c r="A15" s="28" t="str">
        <f aca="false">IFERROR(INDEX('Bank Schedule'!A:A, SMALL(IF('Bank Schedule'!$K$2:$K$817="Vacant", ROW('Bank Schedule'!$K$2:$K$817)), ROW(12:12))), "")</f>
        <v/>
      </c>
      <c r="B15" s="11" t="str">
        <f aca="false" t="array" ref="B15:B15">IFERROR(INDEX('Bank Schedule'!B:B, SMALL(IF('Bank Schedule'!$K$2:$K$817="Vacant", ROW('Bank Schedule'!$K$2:$K$817)), ROW(12:12))), "")</f>
        <v>SH</v>
      </c>
      <c r="C15" s="11" t="str">
        <f aca="false" t="array" ref="C15:C15">IFERROR(INDEX('Bank Schedule'!C:C, SMALL(IF('Bank Schedule'!$K$2:$K$817="Vacant", ROW('Bank Schedule'!$K$2:$K$817)), ROW(12:12))), "")</f>
        <v>MEL</v>
      </c>
      <c r="D15" s="11" t="n">
        <f aca="false" t="array" ref="D15:D15">IFERROR(INDEX('Bank Schedule'!D:D, SMALL(IF('Bank Schedule'!$K$2:$K$817="Vacant", ROW('Bank Schedule'!$K$2:$K$817)), ROW(12:12))), "")</f>
        <v>550480</v>
      </c>
      <c r="E15" s="94" t="str">
        <f aca="false" t="array" ref="E15:E15">IFERROR(INDEX('Bank Schedule'!E:E, SMALL(IF('Bank Schedule'!$K$2:$K$817="Vacant", ROW('Bank Schedule'!$K$2:$K$817)), ROW(12:12))), "")</f>
        <v>6-10a Great Portland Street</v>
      </c>
      <c r="F15" s="94" t="str">
        <f aca="false" t="array" ref="F15:F15">IFERROR(INDEX('Bank Schedule'!F:F, SMALL(IF('Bank Schedule'!$K$2:$K$817="Vacant", ROW('Bank Schedule'!$K$2:$K$817)), ROW(12:12))), "")</f>
        <v>Fourth Floor</v>
      </c>
      <c r="G15" s="94" t="str">
        <f aca="false" t="array" ref="G15:G15">IFERROR(INDEX('Bank Schedule'!G:G, SMALL(IF('Bank Schedule'!$K$2:$K$817="Vacant", ROW('Bank Schedule'!$K$2:$K$817)), ROW(12:12))), "")</f>
        <v>Office</v>
      </c>
      <c r="H15" s="14" t="n">
        <f aca="false" t="array" ref="H15:H15">IFERROR(INDEX('Bank Schedule'!H:H, SMALL(IF('Bank Schedule'!$K$2:$K$817="Vacant", ROW('Bank Schedule'!$K$2:$K$817)), ROW(12:12))), "")</f>
        <v>1672</v>
      </c>
      <c r="I15" s="14" t="n">
        <f aca="false" t="array" ref="I15:I15">IFERROR(INDEX('Bank Schedule'!I:I, SMALL(IF('Bank Schedule'!$K$2:$K$817="Vacant", ROW('Bank Schedule'!$K$2:$K$817)), ROW(12:12))), "")</f>
        <v>1672</v>
      </c>
      <c r="J15" s="11" t="str">
        <f aca="false" t="array" ref="J15:J15">IFERROR(INDEX('Bank Schedule'!K:K, SMALL(IF('Bank Schedule'!$K$2:$K$817="Vacant", ROW('Bank Schedule'!$K$2:$K$817)), ROW(12:12))), "")</f>
        <v>Vacant</v>
      </c>
      <c r="K15" s="11" t="str">
        <f aca="false">IFERROR(INDEX('Bank Schedule'!L:L, SMALL(IF('Bank Schedule'!$K$2:$K$817="Vacant", ROW('Bank Schedule'!$K$2:$K$817)), ROW(12:12))), "")</f>
        <v/>
      </c>
      <c r="L15" s="11" t="str">
        <f aca="false">IFERROR(INDEX('Bank Schedule'!M:M, SMALL(IF('Bank Schedule'!$K$2:$K$817="Vacant", ROW('Bank Schedule'!$K$2:$K$817)), ROW(12:12))), "")</f>
        <v/>
      </c>
      <c r="M15" s="71" t="n">
        <f aca="false" t="array" ref="M15:M15">IFERROR(INDEX('Bank Schedule'!N:N, SMALL(IF('Bank Schedule'!$K$2:$K$817="Vacant", ROW('Bank Schedule'!$K$2:$K$817)), ROW(12:12))), "")</f>
        <v>45457</v>
      </c>
      <c r="N15" s="11" t="str">
        <f aca="false">IFERROR(INDEX('Bank Schedule'!O:O, SMALL(IF('Bank Schedule'!$K$2:$K$817="Vacant", ROW('Bank Schedule'!$K$2:$K$817)), ROW(12:12))), "")</f>
        <v/>
      </c>
      <c r="O15" s="11" t="str">
        <f aca="false">IFERROR(INDEX('Bank Schedule'!P:P, SMALL(IF('Bank Schedule'!$K$2:$K$817="Vacant", ROW('Bank Schedule'!$K$2:$K$817)), ROW(12:12))), "")</f>
        <v/>
      </c>
      <c r="P15" s="11" t="n">
        <f aca="false" t="array" ref="P15:P15">IFERROR(INDEX('Bank Schedule'!Q:Q, SMALL(IF('Bank Schedule'!$K$2:$K$817="Vacant", ROW('Bank Schedule'!$K$2:$K$817)), ROW(12:12))), "")</f>
        <v>0</v>
      </c>
      <c r="Q15" s="11" t="n">
        <f aca="false" t="array" ref="Q15:Q15">IFERROR(INDEX('Bank Schedule'!R:R, SMALL(IF('Bank Schedule'!$K$2:$K$817="Vacant", ROW('Bank Schedule'!$K$2:$K$817)), ROW(12:12))), "")</f>
        <v>0</v>
      </c>
      <c r="R15" s="11" t="str">
        <f aca="false">IFERROR(INDEX('Bank Schedule'!S:S, SMALL(IF('Bank Schedule'!$K$2:$K$817="Vacant", ROW('Bank Schedule'!$K$2:$K$817)), ROW(12:12))), "")</f>
        <v/>
      </c>
      <c r="S15" s="281" t="n">
        <f aca="false" t="array" ref="S15:S15">IFERROR(INDEX('Bank Schedule'!T:T, SMALL(IF('Bank Schedule'!$K$2:$K$817="Vacant", ROW('Bank Schedule'!$K$2:$K$817)), ROW(12:12))), "")</f>
        <v>94400</v>
      </c>
      <c r="T15" s="281" t="n">
        <f aca="false" t="array" ref="T15:T15">IFERROR(INDEX('Bank Schedule'!U:U, SMALL(IF('Bank Schedule'!$K$2:$K$817="Vacant", ROW('Bank Schedule'!$K$2:$K$817)), ROW(12:12))), "")</f>
        <v>94400</v>
      </c>
      <c r="U15" s="281" t="n">
        <f aca="false" t="array" ref="U15:U15">IFERROR(INDEX('Bank Schedule'!V:V, SMALL(IF('Bank Schedule'!$K$2:$K$817="Vacant", ROW('Bank Schedule'!$K$2:$K$817)), ROW(12:12))), "")</f>
        <v>104500</v>
      </c>
      <c r="V15" s="281" t="n">
        <f aca="false" t="array" ref="V15:V15">IFERROR(INDEX('Bank Schedule'!W:W, SMALL(IF('Bank Schedule'!$K$2:$K$817="Vacant", ROW('Bank Schedule'!$K$2:$K$817)), ROW(12:12))), "")</f>
        <v>104500</v>
      </c>
      <c r="W15" s="282" t="n">
        <f aca="false" t="array" ref="W15:W15">IFERROR(INDEX('Bank Schedule'!X:X, SMALL(IF('Bank Schedule'!$K$2:$K$817="Vacant", ROW('Bank Schedule'!$K$2:$K$817)), ROW(12:12))), "")</f>
        <v>56.4593301435407</v>
      </c>
      <c r="X15" s="11" t="str">
        <f aca="false" t="array" ref="X15:X15">IFERROR(INDEX('Bank Schedule'!Y:Y, SMALL(IF('Bank Schedule'!$K$2:$K$817="Vacant", ROW('Bank Schedule'!$K$2:$K$817)), ROW(12:12))), "")</f>
        <v>B</v>
      </c>
      <c r="Y15" s="11" t="str">
        <f aca="false">IFERROR(INDEX('Bank Schedule'!Z:Z, SMALL(IF('Bank Schedule'!$K$2:$K$817="Vacant", ROW('Bank Schedule'!$K$2:$K$817)), ROW(12:12))), "")</f>
        <v/>
      </c>
      <c r="Z15" s="11" t="str">
        <f aca="false">IFERROR(INDEX('Bank Schedule'!AA:AA, SMALL(IF('Bank Schedule'!$K$2:$K$817="Vacant", ROW('Bank Schedule'!$K$2:$K$817)), ROW(12:12))), "")</f>
        <v/>
      </c>
      <c r="AA15" s="11" t="str">
        <f aca="false" t="array" ref="AA15:AA15">IFERROR(INDEX('Bank Schedule'!AB:AB, SMALL(IF('Bank Schedule'!$K$2:$K$817="Vacant", ROW('Bank Schedule'!$K$2:$K$817)), ROW(12:12))), "")</f>
        <v>No</v>
      </c>
      <c r="AB15" s="94" t="str">
        <f aca="false" t="array" ref="AB15:AB15">IFERROR(INDEX('Bank Schedule'!AC:AC, SMALL(IF('Bank Schedule'!$K$2:$K$817="Vacant", ROW('Bank Schedule'!$K$2:$K$817)), ROW(12:12))), "")</f>
        <v>Refurbishement complete. LEM marketing.</v>
      </c>
      <c r="AC15" s="44" t="n">
        <f aca="false" t="array" ref="AC15:AC15">IFERROR(INDEX('Bank Schedule'!AD:AD, SMALL(IF('Bank Schedule'!$K$2:$K$817="Vacant", ROW('Bank Schedule'!$K$2:$K$817)), ROW(12:12))), "")</f>
        <v>65</v>
      </c>
      <c r="AD15" s="11" t="n">
        <f aca="false" t="array" ref="AD15:AD15">IFERROR(INDEX('Bank Schedule'!AE:AE, SMALL(IF('Bank Schedule'!$K$2:$K$817="Vacant", ROW('Bank Schedule'!$K$2:$K$817)), ROW(12:12))), "")</f>
        <v>1</v>
      </c>
      <c r="AE15" s="11" t="n">
        <f aca="false" t="array" ref="AE15:AE15">IFERROR(INDEX('Bank Schedule'!AF:AF, SMALL(IF('Bank Schedule'!$K$2:$K$817="Vacant", ROW('Bank Schedule'!$K$2:$K$817)), ROW(12:12))), "")</f>
        <v>2</v>
      </c>
      <c r="AF15" s="11" t="str">
        <f aca="false" t="array" ref="AF15:AF15">IFERROR(INDEX('Bank Schedule'!AG:AG, SMALL(IF('Bank Schedule'!$K$2:$K$817="Vacant", ROW('Bank Schedule'!$K$2:$K$817)), ROW(12:12))), "")</f>
        <v>LEM</v>
      </c>
      <c r="AG15" s="4"/>
    </row>
    <row r="16" customFormat="false" ht="28.5" hidden="false" customHeight="true" outlineLevel="0" collapsed="false">
      <c r="A16" s="28" t="n">
        <f aca="false">IFERROR(INDEX('Bank Schedule'!A:A, SMALL(IF('Bank Schedule'!$K$2:$K$817="Vacant", ROW('Bank Schedule'!$K$2:$K$817)), ROW(13:13))), "")</f>
        <v>0</v>
      </c>
      <c r="B16" s="11" t="str">
        <f aca="false" t="array" ref="B16:B16">IFERROR(INDEX('Bank Schedule'!B:B, SMALL(IF('Bank Schedule'!$K$2:$K$817="Vacant", ROW('Bank Schedule'!$K$2:$K$817)), ROW(13:13))), "")</f>
        <v>CD</v>
      </c>
      <c r="C16" s="11" t="str">
        <f aca="false" t="array" ref="C16:C16">IFERROR(INDEX('Bank Schedule'!C:C, SMALL(IF('Bank Schedule'!$K$2:$K$817="Vacant", ROW('Bank Schedule'!$K$2:$K$817)), ROW(13:13))), "")</f>
        <v>MEL</v>
      </c>
      <c r="D16" s="11" t="n">
        <f aca="false" t="array" ref="D16:D16">IFERROR(INDEX('Bank Schedule'!D:D, SMALL(IF('Bank Schedule'!$K$2:$K$817="Vacant", ROW('Bank Schedule'!$K$2:$K$817)), ROW(13:13))), "")</f>
        <v>550410</v>
      </c>
      <c r="E16" s="94" t="str">
        <f aca="false" t="array" ref="E16:E16">IFERROR(INDEX('Bank Schedule'!E:E, SMALL(IF('Bank Schedule'!$K$2:$K$817="Vacant", ROW('Bank Schedule'!$K$2:$K$817)), ROW(13:13))), "")</f>
        <v>19-21 Great Portland Street .</v>
      </c>
      <c r="F16" s="94" t="str">
        <f aca="false" t="array" ref="F16:F16">IFERROR(INDEX('Bank Schedule'!F:F, SMALL(IF('Bank Schedule'!$K$2:$K$817="Vacant", ROW('Bank Schedule'!$K$2:$K$817)), ROW(13:13))), "")</f>
        <v>Second Floor.</v>
      </c>
      <c r="G16" s="94" t="str">
        <f aca="false" t="array" ref="G16:G16">IFERROR(INDEX('Bank Schedule'!G:G, SMALL(IF('Bank Schedule'!$K$2:$K$817="Vacant", ROW('Bank Schedule'!$K$2:$K$817)), ROW(13:13))), "")</f>
        <v>Offices</v>
      </c>
      <c r="H16" s="14" t="n">
        <f aca="false" t="array" ref="H16:H16">IFERROR(INDEX('Bank Schedule'!H:H, SMALL(IF('Bank Schedule'!$K$2:$K$817="Vacant", ROW('Bank Schedule'!$K$2:$K$817)), ROW(13:13))), "")</f>
        <v>2847</v>
      </c>
      <c r="I16" s="14" t="n">
        <f aca="false" t="array" ref="I16:I16">IFERROR(INDEX('Bank Schedule'!I:I, SMALL(IF('Bank Schedule'!$K$2:$K$817="Vacant", ROW('Bank Schedule'!$K$2:$K$817)), ROW(13:13))), "")</f>
        <v>2847</v>
      </c>
      <c r="J16" s="11" t="str">
        <f aca="false" t="array" ref="J16:J16">IFERROR(INDEX('Bank Schedule'!K:K, SMALL(IF('Bank Schedule'!$K$2:$K$817="Vacant", ROW('Bank Schedule'!$K$2:$K$817)), ROW(13:13))), "")</f>
        <v>Vacant</v>
      </c>
      <c r="K16" s="8" t="n">
        <f aca="false">IFERROR(INDEX('Bank Schedule'!L:L, SMALL(IF('Bank Schedule'!$K$2:$K$817="Vacant", ROW('Bank Schedule'!$K$2:$K$817)), ROW(13:13))), "")</f>
        <v>45086</v>
      </c>
      <c r="L16" s="8" t="n">
        <f aca="false">IFERROR(INDEX('Bank Schedule'!M:M, SMALL(IF('Bank Schedule'!$K$2:$K$817="Vacant", ROW('Bank Schedule'!$K$2:$K$817)), ROW(13:13))), "")</f>
        <v>46181</v>
      </c>
      <c r="M16" s="71" t="n">
        <f aca="false" t="array" ref="M16:M16">IFERROR(INDEX('Bank Schedule'!N:N, SMALL(IF('Bank Schedule'!$K$2:$K$817="Vacant", ROW('Bank Schedule'!$K$2:$K$817)), ROW(13:13))), "")</f>
        <v>45219</v>
      </c>
      <c r="N16" s="8" t="n">
        <f aca="false">IFERROR(INDEX('Bank Schedule'!O:O, SMALL(IF('Bank Schedule'!$K$2:$K$817="Vacant", ROW('Bank Schedule'!$K$2:$K$817)), ROW(13:13))), "")</f>
        <v>0</v>
      </c>
      <c r="O16" s="8" t="n">
        <f aca="false">IFERROR(INDEX('Bank Schedule'!P:P, SMALL(IF('Bank Schedule'!$K$2:$K$817="Vacant", ROW('Bank Schedule'!$K$2:$K$817)), ROW(13:13))), "")</f>
        <v>0</v>
      </c>
      <c r="P16" s="11" t="n">
        <f aca="false" t="array" ref="P16:P16">IFERROR(INDEX('Bank Schedule'!Q:Q, SMALL(IF('Bank Schedule'!$K$2:$K$817="Vacant", ROW('Bank Schedule'!$K$2:$K$817)), ROW(13:13))), "")</f>
        <v>0</v>
      </c>
      <c r="Q16" s="11" t="n">
        <f aca="false" t="array" ref="Q16:Q16">IFERROR(INDEX('Bank Schedule'!R:R, SMALL(IF('Bank Schedule'!$K$2:$K$817="Vacant", ROW('Bank Schedule'!$K$2:$K$817)), ROW(13:13))), "")</f>
        <v>0</v>
      </c>
      <c r="R16" s="9" t="n">
        <f aca="false">IFERROR(INDEX('Bank Schedule'!S:S, SMALL(IF('Bank Schedule'!$K$2:$K$817="Vacant", ROW('Bank Schedule'!$K$2:$K$817)), ROW(13:13))), "")</f>
        <v>0</v>
      </c>
      <c r="S16" s="281" t="n">
        <f aca="false" t="array" ref="S16:S16">IFERROR(INDEX('Bank Schedule'!T:T, SMALL(IF('Bank Schedule'!$K$2:$K$817="Vacant", ROW('Bank Schedule'!$K$2:$K$817)), ROW(13:13))), "")</f>
        <v>170000</v>
      </c>
      <c r="T16" s="281" t="n">
        <f aca="false" t="array" ref="T16:T16">IFERROR(INDEX('Bank Schedule'!U:U, SMALL(IF('Bank Schedule'!$K$2:$K$817="Vacant", ROW('Bank Schedule'!$K$2:$K$817)), ROW(13:13))), "")</f>
        <v>170000</v>
      </c>
      <c r="U16" s="281" t="n">
        <f aca="false" t="array" ref="U16:U16">IFERROR(INDEX('Bank Schedule'!V:V, SMALL(IF('Bank Schedule'!$K$2:$K$817="Vacant", ROW('Bank Schedule'!$K$2:$K$817)), ROW(13:13))), "")</f>
        <v>185100</v>
      </c>
      <c r="V16" s="281" t="n">
        <f aca="false" t="array" ref="V16:V16">IFERROR(INDEX('Bank Schedule'!W:W, SMALL(IF('Bank Schedule'!$K$2:$K$817="Vacant", ROW('Bank Schedule'!$K$2:$K$817)), ROW(13:13))), "")</f>
        <v>185100</v>
      </c>
      <c r="W16" s="282" t="n">
        <f aca="false" t="array" ref="W16:W16">IFERROR(INDEX('Bank Schedule'!X:X, SMALL(IF('Bank Schedule'!$K$2:$K$817="Vacant", ROW('Bank Schedule'!$K$2:$K$817)), ROW(13:13))), "")</f>
        <v>59.7119775201967</v>
      </c>
      <c r="X16" s="11" t="str">
        <f aca="false" t="array" ref="X16:X16">IFERROR(INDEX('Bank Schedule'!Y:Y, SMALL(IF('Bank Schedule'!$K$2:$K$817="Vacant", ROW('Bank Schedule'!$K$2:$K$817)), ROW(13:13))), "")</f>
        <v>B</v>
      </c>
      <c r="Y16" s="9" t="n">
        <f aca="false">IFERROR(INDEX('Bank Schedule'!Z:Z, SMALL(IF('Bank Schedule'!$K$2:$K$817="Vacant", ROW('Bank Schedule'!$K$2:$K$817)), ROW(13:13))), "")</f>
        <v>0</v>
      </c>
      <c r="Z16" s="283" t="n">
        <f aca="false">IFERROR(INDEX('Bank Schedule'!AA:AA, SMALL(IF('Bank Schedule'!$K$2:$K$817="Vacant", ROW('Bank Schedule'!$K$2:$K$817)), ROW(13:13))), "")</f>
        <v>0</v>
      </c>
      <c r="AA16" s="11" t="str">
        <f aca="false" t="array" ref="AA16:AA16">IFERROR(INDEX('Bank Schedule'!AB:AB, SMALL(IF('Bank Schedule'!$K$2:$K$817="Vacant", ROW('Bank Schedule'!$K$2:$K$817)), ROW(13:13))), "")</f>
        <v>No</v>
      </c>
      <c r="AB16" s="94" t="str">
        <f aca="false" t="array" ref="AB16:AB16">IFERROR(INDEX('Bank Schedule'!AC:AC, SMALL(IF('Bank Schedule'!$K$2:$K$817="Vacant", ROW('Bank Schedule'!$K$2:$K$817)), ROW(13:13))), "")</f>
        <v>LEM marketing.</v>
      </c>
      <c r="AC16" s="44" t="n">
        <f aca="false" t="array" ref="AC16:AC16">IFERROR(INDEX('Bank Schedule'!AD:AD, SMALL(IF('Bank Schedule'!$K$2:$K$817="Vacant", ROW('Bank Schedule'!$K$2:$K$817)), ROW(13:13))), "")</f>
        <v>70</v>
      </c>
      <c r="AD16" s="11" t="n">
        <f aca="false">IFERROR(INDEX('Bank Schedule'!AE:AE, SMALL(IF('Bank Schedule'!$K$2:$K$817="Vacant", ROW('Bank Schedule'!$K$2:$K$817)), ROW(13:13))), "")</f>
        <v>0</v>
      </c>
      <c r="AE16" s="11" t="n">
        <f aca="false" t="array" ref="AE16:AE16">IFERROR(INDEX('Bank Schedule'!AF:AF, SMALL(IF('Bank Schedule'!$K$2:$K$817="Vacant", ROW('Bank Schedule'!$K$2:$K$817)), ROW(13:13))), "")</f>
        <v>7</v>
      </c>
      <c r="AF16" s="11" t="str">
        <f aca="false" t="array" ref="AF16:AF16">IFERROR(INDEX('Bank Schedule'!AG:AG, SMALL(IF('Bank Schedule'!$K$2:$K$817="Vacant", ROW('Bank Schedule'!$K$2:$K$817)), ROW(13:13))), "")</f>
        <v>LEM / Savills</v>
      </c>
      <c r="AG16" s="4"/>
    </row>
    <row r="17" customFormat="false" ht="28.5" hidden="false" customHeight="true" outlineLevel="0" collapsed="false">
      <c r="A17" s="28" t="n">
        <f aca="false">IFERROR(INDEX('Bank Schedule'!A:A, SMALL(IF('Bank Schedule'!$K$2:$K$817="Vacant", ROW('Bank Schedule'!$K$2:$K$817)), ROW(14:14))), "")</f>
        <v>0</v>
      </c>
      <c r="B17" s="11" t="str">
        <f aca="false" t="array" ref="B17:B17">IFERROR(INDEX('Bank Schedule'!B:B, SMALL(IF('Bank Schedule'!$K$2:$K$817="Vacant", ROW('Bank Schedule'!$K$2:$K$817)), ROW(14:14))), "")</f>
        <v>CD</v>
      </c>
      <c r="C17" s="11" t="str">
        <f aca="false" t="array" ref="C17:C17">IFERROR(INDEX('Bank Schedule'!C:C, SMALL(IF('Bank Schedule'!$K$2:$K$817="Vacant", ROW('Bank Schedule'!$K$2:$K$817)), ROW(14:14))), "")</f>
        <v>MEL</v>
      </c>
      <c r="D17" s="11" t="n">
        <f aca="false" t="array" ref="D17:D17">IFERROR(INDEX('Bank Schedule'!D:D, SMALL(IF('Bank Schedule'!$K$2:$K$817="Vacant", ROW('Bank Schedule'!$K$2:$K$817)), ROW(14:14))), "")</f>
        <v>550410</v>
      </c>
      <c r="E17" s="94" t="str">
        <f aca="false" t="array" ref="E17:E17">IFERROR(INDEX('Bank Schedule'!E:E, SMALL(IF('Bank Schedule'!$K$2:$K$817="Vacant", ROW('Bank Schedule'!$K$2:$K$817)), ROW(14:14))), "")</f>
        <v>19-21 Great Portland Street .</v>
      </c>
      <c r="F17" s="94" t="str">
        <f aca="false" t="array" ref="F17:F17">IFERROR(INDEX('Bank Schedule'!F:F, SMALL(IF('Bank Schedule'!$K$2:$K$817="Vacant", ROW('Bank Schedule'!$K$2:$K$817)), ROW(14:14))), "")</f>
        <v>Third Floor</v>
      </c>
      <c r="G17" s="94" t="str">
        <f aca="false" t="array" ref="G17:G17">IFERROR(INDEX('Bank Schedule'!G:G, SMALL(IF('Bank Schedule'!$K$2:$K$817="Vacant", ROW('Bank Schedule'!$K$2:$K$817)), ROW(14:14))), "")</f>
        <v>Offices</v>
      </c>
      <c r="H17" s="14" t="n">
        <f aca="false" t="array" ref="H17:H17">IFERROR(INDEX('Bank Schedule'!H:H, SMALL(IF('Bank Schedule'!$K$2:$K$817="Vacant", ROW('Bank Schedule'!$K$2:$K$817)), ROW(14:14))), "")</f>
        <v>2651</v>
      </c>
      <c r="I17" s="14" t="n">
        <f aca="false" t="array" ref="I17:I17">IFERROR(INDEX('Bank Schedule'!I:I, SMALL(IF('Bank Schedule'!$K$2:$K$817="Vacant", ROW('Bank Schedule'!$K$2:$K$817)), ROW(14:14))), "")</f>
        <v>2651</v>
      </c>
      <c r="J17" s="11" t="str">
        <f aca="false" t="array" ref="J17:J17">IFERROR(INDEX('Bank Schedule'!K:K, SMALL(IF('Bank Schedule'!$K$2:$K$817="Vacant", ROW('Bank Schedule'!$K$2:$K$817)), ROW(14:14))), "")</f>
        <v>Vacant</v>
      </c>
      <c r="K17" s="8" t="n">
        <f aca="false">IFERROR(INDEX('Bank Schedule'!L:L, SMALL(IF('Bank Schedule'!$K$2:$K$817="Vacant", ROW('Bank Schedule'!$K$2:$K$817)), ROW(14:14))), "")</f>
        <v>45614</v>
      </c>
      <c r="L17" s="8" t="n">
        <f aca="false">IFERROR(INDEX('Bank Schedule'!M:M, SMALL(IF('Bank Schedule'!$K$2:$K$817="Vacant", ROW('Bank Schedule'!$K$2:$K$817)), ROW(14:14))), "")</f>
        <v>46181</v>
      </c>
      <c r="M17" s="71" t="n">
        <f aca="false" t="array" ref="M17:M17">IFERROR(INDEX('Bank Schedule'!N:N, SMALL(IF('Bank Schedule'!$K$2:$K$817="Vacant", ROW('Bank Schedule'!$K$2:$K$817)), ROW(14:14))), "")</f>
        <v>44124</v>
      </c>
      <c r="N17" s="8" t="n">
        <f aca="false">IFERROR(INDEX('Bank Schedule'!O:O, SMALL(IF('Bank Schedule'!$K$2:$K$817="Vacant", ROW('Bank Schedule'!$K$2:$K$817)), ROW(14:14))), "")</f>
        <v>0</v>
      </c>
      <c r="O17" s="8" t="n">
        <f aca="false">IFERROR(INDEX('Bank Schedule'!P:P, SMALL(IF('Bank Schedule'!$K$2:$K$817="Vacant", ROW('Bank Schedule'!$K$2:$K$817)), ROW(14:14))), "")</f>
        <v>0</v>
      </c>
      <c r="P17" s="11" t="n">
        <f aca="false" t="array" ref="P17:P17">IFERROR(INDEX('Bank Schedule'!Q:Q, SMALL(IF('Bank Schedule'!$K$2:$K$817="Vacant", ROW('Bank Schedule'!$K$2:$K$817)), ROW(14:14))), "")</f>
        <v>0</v>
      </c>
      <c r="Q17" s="11" t="n">
        <f aca="false" t="array" ref="Q17:Q17">IFERROR(INDEX('Bank Schedule'!R:R, SMALL(IF('Bank Schedule'!$K$2:$K$817="Vacant", ROW('Bank Schedule'!$K$2:$K$817)), ROW(14:14))), "")</f>
        <v>0</v>
      </c>
      <c r="R17" s="9" t="n">
        <f aca="false">IFERROR(INDEX('Bank Schedule'!S:S, SMALL(IF('Bank Schedule'!$K$2:$K$817="Vacant", ROW('Bank Schedule'!$K$2:$K$817)), ROW(14:14))), "")</f>
        <v>0</v>
      </c>
      <c r="S17" s="281" t="n">
        <f aca="false" t="array" ref="S17:S17">IFERROR(INDEX('Bank Schedule'!T:T, SMALL(IF('Bank Schedule'!$K$2:$K$817="Vacant", ROW('Bank Schedule'!$K$2:$K$817)), ROW(14:14))), "")</f>
        <v>172000</v>
      </c>
      <c r="T17" s="281" t="n">
        <f aca="false" t="array" ref="T17:T17">IFERROR(INDEX('Bank Schedule'!U:U, SMALL(IF('Bank Schedule'!$K$2:$K$817="Vacant", ROW('Bank Schedule'!$K$2:$K$817)), ROW(14:14))), "")</f>
        <v>172000</v>
      </c>
      <c r="U17" s="281" t="n">
        <f aca="false" t="array" ref="U17:U17">IFERROR(INDEX('Bank Schedule'!V:V, SMALL(IF('Bank Schedule'!$K$2:$K$817="Vacant", ROW('Bank Schedule'!$K$2:$K$817)), ROW(14:14))), "")</f>
        <v>181600</v>
      </c>
      <c r="V17" s="281" t="n">
        <f aca="false" t="array" ref="V17:V17">IFERROR(INDEX('Bank Schedule'!W:W, SMALL(IF('Bank Schedule'!$K$2:$K$817="Vacant", ROW('Bank Schedule'!$K$2:$K$817)), ROW(14:14))), "")</f>
        <v>181600</v>
      </c>
      <c r="W17" s="282" t="n">
        <f aca="false" t="array" ref="W17:W17">IFERROR(INDEX('Bank Schedule'!X:X, SMALL(IF('Bank Schedule'!$K$2:$K$817="Vacant", ROW('Bank Schedule'!$K$2:$K$817)), ROW(14:14))), "")</f>
        <v>64.8811769143719</v>
      </c>
      <c r="X17" s="11" t="str">
        <f aca="false" t="array" ref="X17:X17">IFERROR(INDEX('Bank Schedule'!Y:Y, SMALL(IF('Bank Schedule'!$K$2:$K$817="Vacant", ROW('Bank Schedule'!$K$2:$K$817)), ROW(14:14))), "")</f>
        <v>B</v>
      </c>
      <c r="Y17" s="9" t="n">
        <f aca="false">IFERROR(INDEX('Bank Schedule'!Z:Z, SMALL(IF('Bank Schedule'!$K$2:$K$817="Vacant", ROW('Bank Schedule'!$K$2:$K$817)), ROW(14:14))), "")</f>
        <v>0</v>
      </c>
      <c r="Z17" s="283" t="n">
        <f aca="false">IFERROR(INDEX('Bank Schedule'!AA:AA, SMALL(IF('Bank Schedule'!$K$2:$K$817="Vacant", ROW('Bank Schedule'!$K$2:$K$817)), ROW(14:14))), "")</f>
        <v>0</v>
      </c>
      <c r="AA17" s="11" t="str">
        <f aca="false" t="array" ref="AA17:AA17">IFERROR(INDEX('Bank Schedule'!AB:AB, SMALL(IF('Bank Schedule'!$K$2:$K$817="Vacant", ROW('Bank Schedule'!$K$2:$K$817)), ROW(14:14))), "")</f>
        <v>No</v>
      </c>
      <c r="AB17" s="94" t="str">
        <f aca="false" t="array" ref="AB17:AB17">IFERROR(INDEX('Bank Schedule'!AC:AC, SMALL(IF('Bank Schedule'!$K$2:$K$817="Vacant", ROW('Bank Schedule'!$K$2:$K$817)), ROW(14:14))), "")</f>
        <v>LEM marketing.</v>
      </c>
      <c r="AC17" s="44" t="n">
        <f aca="false" t="array" ref="AC17:AC17">IFERROR(INDEX('Bank Schedule'!AD:AD, SMALL(IF('Bank Schedule'!$K$2:$K$817="Vacant", ROW('Bank Schedule'!$K$2:$K$817)), ROW(14:14))), "")</f>
        <v>72.5</v>
      </c>
      <c r="AD17" s="11" t="n">
        <f aca="false">IFERROR(INDEX('Bank Schedule'!AE:AE, SMALL(IF('Bank Schedule'!$K$2:$K$817="Vacant", ROW('Bank Schedule'!$K$2:$K$817)), ROW(14:14))), "")</f>
        <v>0</v>
      </c>
      <c r="AE17" s="11" t="n">
        <f aca="false" t="array" ref="AE17:AE17">IFERROR(INDEX('Bank Schedule'!AF:AF, SMALL(IF('Bank Schedule'!$K$2:$K$817="Vacant", ROW('Bank Schedule'!$K$2:$K$817)), ROW(14:14))), "")</f>
        <v>7</v>
      </c>
      <c r="AF17" s="11" t="str">
        <f aca="false" t="array" ref="AF17:AF17">IFERROR(INDEX('Bank Schedule'!AG:AG, SMALL(IF('Bank Schedule'!$K$2:$K$817="Vacant", ROW('Bank Schedule'!$K$2:$K$817)), ROW(14:14))), "")</f>
        <v>LEM / Savills</v>
      </c>
      <c r="AG17" s="4"/>
    </row>
    <row r="18" customFormat="false" ht="28.5" hidden="false" customHeight="true" outlineLevel="0" collapsed="false">
      <c r="A18" s="28" t="n">
        <f aca="false">IFERROR(INDEX('Bank Schedule'!A:A, SMALL(IF('Bank Schedule'!$K$2:$K$817="Vacant", ROW('Bank Schedule'!$K$2:$K$817)), ROW(15:15))), "")</f>
        <v>0</v>
      </c>
      <c r="B18" s="11" t="str">
        <f aca="false" t="array" ref="B18:B18">IFERROR(INDEX('Bank Schedule'!B:B, SMALL(IF('Bank Schedule'!$K$2:$K$817="Vacant", ROW('Bank Schedule'!$K$2:$K$817)), ROW(15:15))), "")</f>
        <v>WS</v>
      </c>
      <c r="C18" s="11" t="str">
        <f aca="false" t="array" ref="C18:C18">IFERROR(INDEX('Bank Schedule'!C:C, SMALL(IF('Bank Schedule'!$K$2:$K$817="Vacant", ROW('Bank Schedule'!$K$2:$K$817)), ROW(15:15))), "")</f>
        <v>MEL</v>
      </c>
      <c r="D18" s="11" t="n">
        <f aca="false" t="array" ref="D18:D18">IFERROR(INDEX('Bank Schedule'!D:D, SMALL(IF('Bank Schedule'!$K$2:$K$817="Vacant", ROW('Bank Schedule'!$K$2:$K$817)), ROW(15:15))), "")</f>
        <v>550080</v>
      </c>
      <c r="E18" s="94" t="str">
        <f aca="false" t="array" ref="E18:E18">IFERROR(INDEX('Bank Schedule'!E:E, SMALL(IF('Bank Schedule'!$K$2:$K$817="Vacant", ROW('Bank Schedule'!$K$2:$K$817)), ROW(15:15))), "")</f>
        <v>Highlight House, 22-24 Great Portland Street</v>
      </c>
      <c r="F18" s="94" t="str">
        <f aca="false" t="array" ref="F18:F18">IFERROR(INDEX('Bank Schedule'!F:F, SMALL(IF('Bank Schedule'!$K$2:$K$817="Vacant", ROW('Bank Schedule'!$K$2:$K$817)), ROW(15:15))), "")</f>
        <v>First Floor</v>
      </c>
      <c r="G18" s="94" t="str">
        <f aca="false" t="array" ref="G18:G18">IFERROR(INDEX('Bank Schedule'!G:G, SMALL(IF('Bank Schedule'!$K$2:$K$817="Vacant", ROW('Bank Schedule'!$K$2:$K$817)), ROW(15:15))), "")</f>
        <v> Office</v>
      </c>
      <c r="H18" s="14" t="n">
        <f aca="false" t="array" ref="H18:H18">IFERROR(INDEX('Bank Schedule'!H:H, SMALL(IF('Bank Schedule'!$K$2:$K$817="Vacant", ROW('Bank Schedule'!$K$2:$K$817)), ROW(15:15))), "")</f>
        <v>1493</v>
      </c>
      <c r="I18" s="14" t="n">
        <f aca="false" t="array" ref="I18:I18">IFERROR(INDEX('Bank Schedule'!I:I, SMALL(IF('Bank Schedule'!$K$2:$K$817="Vacant", ROW('Bank Schedule'!$K$2:$K$817)), ROW(15:15))), "")</f>
        <v>1493</v>
      </c>
      <c r="J18" s="11" t="str">
        <f aca="false" t="array" ref="J18:J18">IFERROR(INDEX('Bank Schedule'!K:K, SMALL(IF('Bank Schedule'!$K$2:$K$817="Vacant", ROW('Bank Schedule'!$K$2:$K$817)), ROW(15:15))), "")</f>
        <v>Vacant</v>
      </c>
      <c r="K18" s="8" t="n">
        <f aca="false">IFERROR(INDEX('Bank Schedule'!L:L, SMALL(IF('Bank Schedule'!$K$2:$K$817="Vacant", ROW('Bank Schedule'!$K$2:$K$817)), ROW(15:15))), "")</f>
        <v>0</v>
      </c>
      <c r="L18" s="8" t="n">
        <f aca="false">IFERROR(INDEX('Bank Schedule'!M:M, SMALL(IF('Bank Schedule'!$K$2:$K$817="Vacant", ROW('Bank Schedule'!$K$2:$K$817)), ROW(15:15))), "")</f>
        <v>0</v>
      </c>
      <c r="M18" s="71" t="n">
        <f aca="false" t="array" ref="M18:M18">IFERROR(INDEX('Bank Schedule'!N:N, SMALL(IF('Bank Schedule'!$K$2:$K$817="Vacant", ROW('Bank Schedule'!$K$2:$K$817)), ROW(15:15))), "")</f>
        <v>43279</v>
      </c>
      <c r="N18" s="8" t="n">
        <f aca="false">IFERROR(INDEX('Bank Schedule'!O:O, SMALL(IF('Bank Schedule'!$K$2:$K$817="Vacant", ROW('Bank Schedule'!$K$2:$K$817)), ROW(15:15))), "")</f>
        <v>0</v>
      </c>
      <c r="O18" s="8" t="n">
        <f aca="false">IFERROR(INDEX('Bank Schedule'!P:P, SMALL(IF('Bank Schedule'!$K$2:$K$817="Vacant", ROW('Bank Schedule'!$K$2:$K$817)), ROW(15:15))), "")</f>
        <v>0</v>
      </c>
      <c r="P18" s="11" t="n">
        <f aca="false" t="array" ref="P18:P18">IFERROR(INDEX('Bank Schedule'!Q:Q, SMALL(IF('Bank Schedule'!$K$2:$K$817="Vacant", ROW('Bank Schedule'!$K$2:$K$817)), ROW(15:15))), "")</f>
        <v>0</v>
      </c>
      <c r="Q18" s="11" t="n">
        <f aca="false" t="array" ref="Q18:Q18">IFERROR(INDEX('Bank Schedule'!R:R, SMALL(IF('Bank Schedule'!$K$2:$K$817="Vacant", ROW('Bank Schedule'!$K$2:$K$817)), ROW(15:15))), "")</f>
        <v>0</v>
      </c>
      <c r="R18" s="9" t="n">
        <f aca="false">IFERROR(INDEX('Bank Schedule'!S:S, SMALL(IF('Bank Schedule'!$K$2:$K$817="Vacant", ROW('Bank Schedule'!$K$2:$K$817)), ROW(15:15))), "")</f>
        <v>0</v>
      </c>
      <c r="S18" s="281" t="n">
        <f aca="false" t="array" ref="S18:S18">IFERROR(INDEX('Bank Schedule'!T:T, SMALL(IF('Bank Schedule'!$K$2:$K$817="Vacant", ROW('Bank Schedule'!$K$2:$K$817)), ROW(15:15))), "")</f>
        <v>86600</v>
      </c>
      <c r="T18" s="281" t="n">
        <f aca="false" t="array" ref="T18:T18">IFERROR(INDEX('Bank Schedule'!U:U, SMALL(IF('Bank Schedule'!$K$2:$K$817="Vacant", ROW('Bank Schedule'!$K$2:$K$817)), ROW(15:15))), "")</f>
        <v>86600</v>
      </c>
      <c r="U18" s="281" t="n">
        <f aca="false" t="array" ref="U18:U18">IFERROR(INDEX('Bank Schedule'!V:V, SMALL(IF('Bank Schedule'!$K$2:$K$817="Vacant", ROW('Bank Schedule'!$K$2:$K$817)), ROW(15:15))), "")</f>
        <v>93300</v>
      </c>
      <c r="V18" s="281" t="n">
        <f aca="false" t="array" ref="V18:V18">IFERROR(INDEX('Bank Schedule'!W:W, SMALL(IF('Bank Schedule'!$K$2:$K$817="Vacant", ROW('Bank Schedule'!$K$2:$K$817)), ROW(15:15))), "")</f>
        <v>93300</v>
      </c>
      <c r="W18" s="282" t="n">
        <f aca="false" t="array" ref="W18:W18">IFERROR(INDEX('Bank Schedule'!X:X, SMALL(IF('Bank Schedule'!$K$2:$K$817="Vacant", ROW('Bank Schedule'!$K$2:$K$817)), ROW(15:15))), "")</f>
        <v>58.0040187541862</v>
      </c>
      <c r="X18" s="11" t="str">
        <f aca="false" t="array" ref="X18:X18">IFERROR(INDEX('Bank Schedule'!Y:Y, SMALL(IF('Bank Schedule'!$K$2:$K$817="Vacant", ROW('Bank Schedule'!$K$2:$K$817)), ROW(15:15))), "")</f>
        <v>D</v>
      </c>
      <c r="Y18" s="9" t="n">
        <f aca="false">IFERROR(INDEX('Bank Schedule'!Z:Z, SMALL(IF('Bank Schedule'!$K$2:$K$817="Vacant", ROW('Bank Schedule'!$K$2:$K$817)), ROW(15:15))), "")</f>
        <v>0</v>
      </c>
      <c r="Z18" s="283" t="n">
        <f aca="false">IFERROR(INDEX('Bank Schedule'!AA:AA, SMALL(IF('Bank Schedule'!$K$2:$K$817="Vacant", ROW('Bank Schedule'!$K$2:$K$817)), ROW(15:15))), "")</f>
        <v>0</v>
      </c>
      <c r="AA18" s="11" t="str">
        <f aca="false" t="array" ref="AA18:AA18">IFERROR(INDEX('Bank Schedule'!AB:AB, SMALL(IF('Bank Schedule'!$K$2:$K$817="Vacant", ROW('Bank Schedule'!$K$2:$K$817)), ROW(15:15))), "")</f>
        <v>No</v>
      </c>
      <c r="AB18" s="94" t="str">
        <f aca="false" t="array" ref="AB18:AB18">IFERROR(INDEX('Bank Schedule'!AC:AC, SMALL(IF('Bank Schedule'!$K$2:$K$817="Vacant", ROW('Bank Schedule'!$K$2:$K$817)), ROW(15:15))), "")</f>
        <v>Mothballed.</v>
      </c>
      <c r="AC18" s="44" t="n">
        <f aca="false">IFERROR(INDEX('Bank Schedule'!AD:AD, SMALL(IF('Bank Schedule'!$K$2:$K$817="Vacant", ROW('Bank Schedule'!$K$2:$K$817)), ROW(15:15))), "")</f>
        <v>0</v>
      </c>
      <c r="AD18" s="11" t="n">
        <f aca="false">IFERROR(INDEX('Bank Schedule'!AE:AE, SMALL(IF('Bank Schedule'!$K$2:$K$817="Vacant", ROW('Bank Schedule'!$K$2:$K$817)), ROW(15:15))), "")</f>
        <v>0</v>
      </c>
      <c r="AE18" s="11" t="n">
        <f aca="false">IFERROR(INDEX('Bank Schedule'!AF:AF, SMALL(IF('Bank Schedule'!$K$2:$K$817="Vacant", ROW('Bank Schedule'!$K$2:$K$817)), ROW(15:15))), "")</f>
        <v>0</v>
      </c>
      <c r="AF18" s="11" t="n">
        <f aca="false">IFERROR(INDEX('Bank Schedule'!AG:AG, SMALL(IF('Bank Schedule'!$K$2:$K$817="Vacant", ROW('Bank Schedule'!$K$2:$K$817)), ROW(15:15))), "")</f>
        <v>0</v>
      </c>
      <c r="AG18" s="4"/>
    </row>
    <row r="19" customFormat="false" ht="28.5" hidden="false" customHeight="true" outlineLevel="0" collapsed="false">
      <c r="A19" s="28" t="str">
        <f aca="false">IFERROR(INDEX('Bank Schedule'!A:A, SMALL(IF('Bank Schedule'!$K$2:$K$817="Vacant", ROW('Bank Schedule'!$K$2:$K$817)), ROW(16:16))), "")</f>
        <v/>
      </c>
      <c r="B19" s="11" t="str">
        <f aca="false" t="array" ref="B19:B19">IFERROR(INDEX('Bank Schedule'!B:B, SMALL(IF('Bank Schedule'!$K$2:$K$817="Vacant", ROW('Bank Schedule'!$K$2:$K$817)), ROW(16:16))), "")</f>
        <v>WS</v>
      </c>
      <c r="C19" s="11" t="str">
        <f aca="false" t="array" ref="C19:C19">IFERROR(INDEX('Bank Schedule'!C:C, SMALL(IF('Bank Schedule'!$K$2:$K$817="Vacant", ROW('Bank Schedule'!$K$2:$K$817)), ROW(16:16))), "")</f>
        <v>MEL</v>
      </c>
      <c r="D19" s="11" t="n">
        <f aca="false" t="array" ref="D19:D19">IFERROR(INDEX('Bank Schedule'!D:D, SMALL(IF('Bank Schedule'!$K$2:$K$817="Vacant", ROW('Bank Schedule'!$K$2:$K$817)), ROW(16:16))), "")</f>
        <v>550080</v>
      </c>
      <c r="E19" s="94" t="str">
        <f aca="false" t="array" ref="E19:E19">IFERROR(INDEX('Bank Schedule'!E:E, SMALL(IF('Bank Schedule'!$K$2:$K$817="Vacant", ROW('Bank Schedule'!$K$2:$K$817)), ROW(16:16))), "")</f>
        <v>Highlight House, 22-24 Great Portland Street</v>
      </c>
      <c r="F19" s="94" t="str">
        <f aca="false" t="array" ref="F19:F19">IFERROR(INDEX('Bank Schedule'!F:F, SMALL(IF('Bank Schedule'!$K$2:$K$817="Vacant", ROW('Bank Schedule'!$K$2:$K$817)), ROW(16:16))), "")</f>
        <v>Second Floor</v>
      </c>
      <c r="G19" s="94" t="str">
        <f aca="false" t="array" ref="G19:G19">IFERROR(INDEX('Bank Schedule'!G:G, SMALL(IF('Bank Schedule'!$K$2:$K$817="Vacant", ROW('Bank Schedule'!$K$2:$K$817)), ROW(16:16))), "")</f>
        <v>Office</v>
      </c>
      <c r="H19" s="14" t="n">
        <f aca="false" t="array" ref="H19:H19">IFERROR(INDEX('Bank Schedule'!H:H, SMALL(IF('Bank Schedule'!$K$2:$K$817="Vacant", ROW('Bank Schedule'!$K$2:$K$817)), ROW(16:16))), "")</f>
        <v>1503</v>
      </c>
      <c r="I19" s="14" t="n">
        <f aca="false" t="array" ref="I19:I19">IFERROR(INDEX('Bank Schedule'!I:I, SMALL(IF('Bank Schedule'!$K$2:$K$817="Vacant", ROW('Bank Schedule'!$K$2:$K$817)), ROW(16:16))), "")</f>
        <v>1503</v>
      </c>
      <c r="J19" s="11" t="str">
        <f aca="false" t="array" ref="J19:J19">IFERROR(INDEX('Bank Schedule'!K:K, SMALL(IF('Bank Schedule'!$K$2:$K$817="Vacant", ROW('Bank Schedule'!$K$2:$K$817)), ROW(16:16))), "")</f>
        <v>Vacant</v>
      </c>
      <c r="K19" s="11" t="str">
        <f aca="false">IFERROR(INDEX('Bank Schedule'!L:L, SMALL(IF('Bank Schedule'!$K$2:$K$817="Vacant", ROW('Bank Schedule'!$K$2:$K$817)), ROW(16:16))), "")</f>
        <v/>
      </c>
      <c r="L19" s="11" t="str">
        <f aca="false">IFERROR(INDEX('Bank Schedule'!M:M, SMALL(IF('Bank Schedule'!$K$2:$K$817="Vacant", ROW('Bank Schedule'!$K$2:$K$817)), ROW(16:16))), "")</f>
        <v/>
      </c>
      <c r="M19" s="71" t="n">
        <f aca="false" t="array" ref="M19:M19">IFERROR(INDEX('Bank Schedule'!N:N, SMALL(IF('Bank Schedule'!$K$2:$K$817="Vacant", ROW('Bank Schedule'!$K$2:$K$817)), ROW(16:16))), "")</f>
        <v>43354</v>
      </c>
      <c r="N19" s="11" t="str">
        <f aca="false">IFERROR(INDEX('Bank Schedule'!O:O, SMALL(IF('Bank Schedule'!$K$2:$K$817="Vacant", ROW('Bank Schedule'!$K$2:$K$817)), ROW(16:16))), "")</f>
        <v/>
      </c>
      <c r="O19" s="11" t="str">
        <f aca="false">IFERROR(INDEX('Bank Schedule'!P:P, SMALL(IF('Bank Schedule'!$K$2:$K$817="Vacant", ROW('Bank Schedule'!$K$2:$K$817)), ROW(16:16))), "")</f>
        <v/>
      </c>
      <c r="P19" s="11" t="n">
        <f aca="false" t="array" ref="P19:P19">IFERROR(INDEX('Bank Schedule'!Q:Q, SMALL(IF('Bank Schedule'!$K$2:$K$817="Vacant", ROW('Bank Schedule'!$K$2:$K$817)), ROW(16:16))), "")</f>
        <v>0</v>
      </c>
      <c r="Q19" s="11" t="n">
        <f aca="false" t="array" ref="Q19:Q19">IFERROR(INDEX('Bank Schedule'!R:R, SMALL(IF('Bank Schedule'!$K$2:$K$817="Vacant", ROW('Bank Schedule'!$K$2:$K$817)), ROW(16:16))), "")</f>
        <v>0</v>
      </c>
      <c r="R19" s="11" t="str">
        <f aca="false">IFERROR(INDEX('Bank Schedule'!S:S, SMALL(IF('Bank Schedule'!$K$2:$K$817="Vacant", ROW('Bank Schedule'!$K$2:$K$817)), ROW(16:16))), "")</f>
        <v/>
      </c>
      <c r="S19" s="281" t="n">
        <f aca="false" t="array" ref="S19:S19">IFERROR(INDEX('Bank Schedule'!T:T, SMALL(IF('Bank Schedule'!$K$2:$K$817="Vacant", ROW('Bank Schedule'!$K$2:$K$817)), ROW(16:16))), "")</f>
        <v>88100</v>
      </c>
      <c r="T19" s="281" t="n">
        <f aca="false" t="array" ref="T19:T19">IFERROR(INDEX('Bank Schedule'!U:U, SMALL(IF('Bank Schedule'!$K$2:$K$817="Vacant", ROW('Bank Schedule'!$K$2:$K$817)), ROW(16:16))), "")</f>
        <v>88100</v>
      </c>
      <c r="U19" s="281" t="n">
        <f aca="false" t="array" ref="U19:U19">IFERROR(INDEX('Bank Schedule'!V:V, SMALL(IF('Bank Schedule'!$K$2:$K$817="Vacant", ROW('Bank Schedule'!$K$2:$K$817)), ROW(16:16))), "")</f>
        <v>93900</v>
      </c>
      <c r="V19" s="281" t="n">
        <f aca="false" t="array" ref="V19:V19">IFERROR(INDEX('Bank Schedule'!W:W, SMALL(IF('Bank Schedule'!$K$2:$K$817="Vacant", ROW('Bank Schedule'!$K$2:$K$817)), ROW(16:16))), "")</f>
        <v>93900</v>
      </c>
      <c r="W19" s="282" t="n">
        <f aca="false" t="array" ref="W19:W19">IFERROR(INDEX('Bank Schedule'!X:X, SMALL(IF('Bank Schedule'!$K$2:$K$817="Vacant", ROW('Bank Schedule'!$K$2:$K$817)), ROW(16:16))), "")</f>
        <v>58.6161011310712</v>
      </c>
      <c r="X19" s="11" t="str">
        <f aca="false" t="array" ref="X19:X19">IFERROR(INDEX('Bank Schedule'!Y:Y, SMALL(IF('Bank Schedule'!$K$2:$K$817="Vacant", ROW('Bank Schedule'!$K$2:$K$817)), ROW(16:16))), "")</f>
        <v>D</v>
      </c>
      <c r="Y19" s="11" t="str">
        <f aca="false">IFERROR(INDEX('Bank Schedule'!Z:Z, SMALL(IF('Bank Schedule'!$K$2:$K$817="Vacant", ROW('Bank Schedule'!$K$2:$K$817)), ROW(16:16))), "")</f>
        <v/>
      </c>
      <c r="Z19" s="11" t="str">
        <f aca="false">IFERROR(INDEX('Bank Schedule'!AA:AA, SMALL(IF('Bank Schedule'!$K$2:$K$817="Vacant", ROW('Bank Schedule'!$K$2:$K$817)), ROW(16:16))), "")</f>
        <v/>
      </c>
      <c r="AA19" s="11" t="str">
        <f aca="false" t="array" ref="AA19:AA19">IFERROR(INDEX('Bank Schedule'!AB:AB, SMALL(IF('Bank Schedule'!$K$2:$K$817="Vacant", ROW('Bank Schedule'!$K$2:$K$817)), ROW(16:16))), "")</f>
        <v>No</v>
      </c>
      <c r="AB19" s="94" t="str">
        <f aca="false" t="array" ref="AB19:AB19">IFERROR(INDEX('Bank Schedule'!AC:AC, SMALL(IF('Bank Schedule'!$K$2:$K$817="Vacant", ROW('Bank Schedule'!$K$2:$K$817)), ROW(16:16))), "")</f>
        <v>Mothballed.</v>
      </c>
      <c r="AC19" s="44" t="str">
        <f aca="false">IFERROR(INDEX('Bank Schedule'!AD:AD, SMALL(IF('Bank Schedule'!$K$2:$K$817="Vacant", ROW('Bank Schedule'!$K$2:$K$817)), ROW(16:16))), "")</f>
        <v/>
      </c>
      <c r="AD19" s="11" t="str">
        <f aca="false">IFERROR(INDEX('Bank Schedule'!AE:AE, SMALL(IF('Bank Schedule'!$K$2:$K$817="Vacant", ROW('Bank Schedule'!$K$2:$K$817)), ROW(16:16))), "")</f>
        <v/>
      </c>
      <c r="AE19" s="11" t="str">
        <f aca="false">IFERROR(INDEX('Bank Schedule'!AF:AF, SMALL(IF('Bank Schedule'!$K$2:$K$817="Vacant", ROW('Bank Schedule'!$K$2:$K$817)), ROW(16:16))), "")</f>
        <v/>
      </c>
      <c r="AF19" s="11" t="str">
        <f aca="false">IFERROR(INDEX('Bank Schedule'!AG:AG, SMALL(IF('Bank Schedule'!$K$2:$K$817="Vacant", ROW('Bank Schedule'!$K$2:$K$817)), ROW(16:16))), "")</f>
        <v/>
      </c>
      <c r="AG19" s="4"/>
    </row>
    <row r="20" customFormat="false" ht="28.5" hidden="false" customHeight="true" outlineLevel="0" collapsed="false">
      <c r="A20" s="28" t="str">
        <f aca="false">IFERROR(INDEX('Bank Schedule'!A:A, SMALL(IF('Bank Schedule'!$K$2:$K$817="Vacant", ROW('Bank Schedule'!$K$2:$K$817)), ROW(17:17))), "")</f>
        <v/>
      </c>
      <c r="B20" s="11" t="str">
        <f aca="false" t="array" ref="B20:B20">IFERROR(INDEX('Bank Schedule'!B:B, SMALL(IF('Bank Schedule'!$K$2:$K$817="Vacant", ROW('Bank Schedule'!$K$2:$K$817)), ROW(17:17))), "")</f>
        <v>WS</v>
      </c>
      <c r="C20" s="11" t="str">
        <f aca="false" t="array" ref="C20:C20">IFERROR(INDEX('Bank Schedule'!C:C, SMALL(IF('Bank Schedule'!$K$2:$K$817="Vacant", ROW('Bank Schedule'!$K$2:$K$817)), ROW(17:17))), "")</f>
        <v>MEL</v>
      </c>
      <c r="D20" s="11" t="n">
        <f aca="false" t="array" ref="D20:D20">IFERROR(INDEX('Bank Schedule'!D:D, SMALL(IF('Bank Schedule'!$K$2:$K$817="Vacant", ROW('Bank Schedule'!$K$2:$K$817)), ROW(17:17))), "")</f>
        <v>550080</v>
      </c>
      <c r="E20" s="94" t="str">
        <f aca="false" t="array" ref="E20:E20">IFERROR(INDEX('Bank Schedule'!E:E, SMALL(IF('Bank Schedule'!$K$2:$K$817="Vacant", ROW('Bank Schedule'!$K$2:$K$817)), ROW(17:17))), "")</f>
        <v>Highlight House, 22-24 Great Portland Street</v>
      </c>
      <c r="F20" s="94" t="str">
        <f aca="false" t="array" ref="F20:F20">IFERROR(INDEX('Bank Schedule'!F:F, SMALL(IF('Bank Schedule'!$K$2:$K$817="Vacant", ROW('Bank Schedule'!$K$2:$K$817)), ROW(17:17))), "")</f>
        <v>Third Floor</v>
      </c>
      <c r="G20" s="94" t="str">
        <f aca="false" t="array" ref="G20:G20">IFERROR(INDEX('Bank Schedule'!G:G, SMALL(IF('Bank Schedule'!$K$2:$K$817="Vacant", ROW('Bank Schedule'!$K$2:$K$817)), ROW(17:17))), "")</f>
        <v>Office</v>
      </c>
      <c r="H20" s="14" t="n">
        <f aca="false" t="array" ref="H20:H20">IFERROR(INDEX('Bank Schedule'!H:H, SMALL(IF('Bank Schedule'!$K$2:$K$817="Vacant", ROW('Bank Schedule'!$K$2:$K$817)), ROW(17:17))), "")</f>
        <v>1519</v>
      </c>
      <c r="I20" s="14" t="n">
        <f aca="false" t="array" ref="I20:I20">IFERROR(INDEX('Bank Schedule'!I:I, SMALL(IF('Bank Schedule'!$K$2:$K$817="Vacant", ROW('Bank Schedule'!$K$2:$K$817)), ROW(17:17))), "")</f>
        <v>1519</v>
      </c>
      <c r="J20" s="11" t="str">
        <f aca="false" t="array" ref="J20:J20">IFERROR(INDEX('Bank Schedule'!K:K, SMALL(IF('Bank Schedule'!$K$2:$K$817="Vacant", ROW('Bank Schedule'!$K$2:$K$817)), ROW(17:17))), "")</f>
        <v>Vacant</v>
      </c>
      <c r="K20" s="11" t="str">
        <f aca="false">IFERROR(INDEX('Bank Schedule'!L:L, SMALL(IF('Bank Schedule'!$K$2:$K$817="Vacant", ROW('Bank Schedule'!$K$2:$K$817)), ROW(17:17))), "")</f>
        <v/>
      </c>
      <c r="L20" s="11" t="str">
        <f aca="false">IFERROR(INDEX('Bank Schedule'!M:M, SMALL(IF('Bank Schedule'!$K$2:$K$817="Vacant", ROW('Bank Schedule'!$K$2:$K$817)), ROW(17:17))), "")</f>
        <v/>
      </c>
      <c r="M20" s="71" t="n">
        <f aca="false" t="array" ref="M20:M20">IFERROR(INDEX('Bank Schedule'!N:N, SMALL(IF('Bank Schedule'!$K$2:$K$817="Vacant", ROW('Bank Schedule'!$K$2:$K$817)), ROW(17:17))), "")</f>
        <v>43354</v>
      </c>
      <c r="N20" s="11" t="str">
        <f aca="false">IFERROR(INDEX('Bank Schedule'!O:O, SMALL(IF('Bank Schedule'!$K$2:$K$817="Vacant", ROW('Bank Schedule'!$K$2:$K$817)), ROW(17:17))), "")</f>
        <v/>
      </c>
      <c r="O20" s="11" t="str">
        <f aca="false">IFERROR(INDEX('Bank Schedule'!P:P, SMALL(IF('Bank Schedule'!$K$2:$K$817="Vacant", ROW('Bank Schedule'!$K$2:$K$817)), ROW(17:17))), "")</f>
        <v/>
      </c>
      <c r="P20" s="11" t="n">
        <f aca="false" t="array" ref="P20:P20">IFERROR(INDEX('Bank Schedule'!Q:Q, SMALL(IF('Bank Schedule'!$K$2:$K$817="Vacant", ROW('Bank Schedule'!$K$2:$K$817)), ROW(17:17))), "")</f>
        <v>0</v>
      </c>
      <c r="Q20" s="11" t="n">
        <f aca="false" t="array" ref="Q20:Q20">IFERROR(INDEX('Bank Schedule'!R:R, SMALL(IF('Bank Schedule'!$K$2:$K$817="Vacant", ROW('Bank Schedule'!$K$2:$K$817)), ROW(17:17))), "")</f>
        <v>0</v>
      </c>
      <c r="R20" s="11" t="str">
        <f aca="false">IFERROR(INDEX('Bank Schedule'!S:S, SMALL(IF('Bank Schedule'!$K$2:$K$817="Vacant", ROW('Bank Schedule'!$K$2:$K$817)), ROW(17:17))), "")</f>
        <v/>
      </c>
      <c r="S20" s="281" t="n">
        <f aca="false" t="array" ref="S20:S20">IFERROR(INDEX('Bank Schedule'!T:T, SMALL(IF('Bank Schedule'!$K$2:$K$817="Vacant", ROW('Bank Schedule'!$K$2:$K$817)), ROW(17:17))), "")</f>
        <v>83100</v>
      </c>
      <c r="T20" s="281" t="n">
        <f aca="false" t="array" ref="T20:T20">IFERROR(INDEX('Bank Schedule'!U:U, SMALL(IF('Bank Schedule'!$K$2:$K$817="Vacant", ROW('Bank Schedule'!$K$2:$K$817)), ROW(17:17))), "")</f>
        <v>83100</v>
      </c>
      <c r="U20" s="281" t="n">
        <f aca="false" t="array" ref="U20:U20">IFERROR(INDEX('Bank Schedule'!V:V, SMALL(IF('Bank Schedule'!$K$2:$K$817="Vacant", ROW('Bank Schedule'!$K$2:$K$817)), ROW(17:17))), "")</f>
        <v>91100</v>
      </c>
      <c r="V20" s="281" t="n">
        <f aca="false" t="array" ref="V20:V20">IFERROR(INDEX('Bank Schedule'!W:W, SMALL(IF('Bank Schedule'!$K$2:$K$817="Vacant", ROW('Bank Schedule'!$K$2:$K$817)), ROW(17:17))), "")</f>
        <v>91100</v>
      </c>
      <c r="W20" s="282" t="n">
        <f aca="false" t="array" ref="W20:W20">IFERROR(INDEX('Bank Schedule'!X:X, SMALL(IF('Bank Schedule'!$K$2:$K$817="Vacant", ROW('Bank Schedule'!$K$2:$K$817)), ROW(17:17))), "")</f>
        <v>54.7070441079658</v>
      </c>
      <c r="X20" s="11" t="str">
        <f aca="false" t="array" ref="X20:X20">IFERROR(INDEX('Bank Schedule'!Y:Y, SMALL(IF('Bank Schedule'!$K$2:$K$817="Vacant", ROW('Bank Schedule'!$K$2:$K$817)), ROW(17:17))), "")</f>
        <v>D</v>
      </c>
      <c r="Y20" s="11" t="str">
        <f aca="false">IFERROR(INDEX('Bank Schedule'!Z:Z, SMALL(IF('Bank Schedule'!$K$2:$K$817="Vacant", ROW('Bank Schedule'!$K$2:$K$817)), ROW(17:17))), "")</f>
        <v/>
      </c>
      <c r="Z20" s="11" t="str">
        <f aca="false">IFERROR(INDEX('Bank Schedule'!AA:AA, SMALL(IF('Bank Schedule'!$K$2:$K$817="Vacant", ROW('Bank Schedule'!$K$2:$K$817)), ROW(17:17))), "")</f>
        <v/>
      </c>
      <c r="AA20" s="11" t="str">
        <f aca="false" t="array" ref="AA20:AA20">IFERROR(INDEX('Bank Schedule'!AB:AB, SMALL(IF('Bank Schedule'!$K$2:$K$817="Vacant", ROW('Bank Schedule'!$K$2:$K$817)), ROW(17:17))), "")</f>
        <v>No</v>
      </c>
      <c r="AB20" s="94" t="str">
        <f aca="false" t="array" ref="AB20:AB20">IFERROR(INDEX('Bank Schedule'!AC:AC, SMALL(IF('Bank Schedule'!$K$2:$K$817="Vacant", ROW('Bank Schedule'!$K$2:$K$817)), ROW(17:17))), "")</f>
        <v>Mothballed.</v>
      </c>
      <c r="AC20" s="44" t="str">
        <f aca="false">IFERROR(INDEX('Bank Schedule'!AD:AD, SMALL(IF('Bank Schedule'!$K$2:$K$817="Vacant", ROW('Bank Schedule'!$K$2:$K$817)), ROW(17:17))), "")</f>
        <v/>
      </c>
      <c r="AD20" s="11" t="str">
        <f aca="false">IFERROR(INDEX('Bank Schedule'!AE:AE, SMALL(IF('Bank Schedule'!$K$2:$K$817="Vacant", ROW('Bank Schedule'!$K$2:$K$817)), ROW(17:17))), "")</f>
        <v/>
      </c>
      <c r="AE20" s="11" t="str">
        <f aca="false">IFERROR(INDEX('Bank Schedule'!AF:AF, SMALL(IF('Bank Schedule'!$K$2:$K$817="Vacant", ROW('Bank Schedule'!$K$2:$K$817)), ROW(17:17))), "")</f>
        <v/>
      </c>
      <c r="AF20" s="11" t="str">
        <f aca="false">IFERROR(INDEX('Bank Schedule'!AG:AG, SMALL(IF('Bank Schedule'!$K$2:$K$817="Vacant", ROW('Bank Schedule'!$K$2:$K$817)), ROW(17:17))), "")</f>
        <v/>
      </c>
      <c r="AG20" s="4"/>
    </row>
    <row r="21" customFormat="false" ht="28.5" hidden="false" customHeight="true" outlineLevel="0" collapsed="false">
      <c r="A21" s="28" t="str">
        <f aca="false">IFERROR(INDEX('Bank Schedule'!A:A, SMALL(IF('Bank Schedule'!$K$2:$K$817="Vacant", ROW('Bank Schedule'!$K$2:$K$817)), ROW(18:18))), "")</f>
        <v/>
      </c>
      <c r="B21" s="11" t="str">
        <f aca="false" t="array" ref="B21:B21">IFERROR(INDEX('Bank Schedule'!B:B, SMALL(IF('Bank Schedule'!$K$2:$K$817="Vacant", ROW('Bank Schedule'!$K$2:$K$817)), ROW(18:18))), "")</f>
        <v>WS</v>
      </c>
      <c r="C21" s="11" t="str">
        <f aca="false" t="array" ref="C21:C21">IFERROR(INDEX('Bank Schedule'!C:C, SMALL(IF('Bank Schedule'!$K$2:$K$817="Vacant", ROW('Bank Schedule'!$K$2:$K$817)), ROW(18:18))), "")</f>
        <v>MEL</v>
      </c>
      <c r="D21" s="11" t="n">
        <f aca="false" t="array" ref="D21:D21">IFERROR(INDEX('Bank Schedule'!D:D, SMALL(IF('Bank Schedule'!$K$2:$K$817="Vacant", ROW('Bank Schedule'!$K$2:$K$817)), ROW(18:18))), "")</f>
        <v>550080</v>
      </c>
      <c r="E21" s="94" t="str">
        <f aca="false" t="array" ref="E21:E21">IFERROR(INDEX('Bank Schedule'!E:E, SMALL(IF('Bank Schedule'!$K$2:$K$817="Vacant", ROW('Bank Schedule'!$K$2:$K$817)), ROW(18:18))), "")</f>
        <v>Highlight House, 22-24 Great Portland Street</v>
      </c>
      <c r="F21" s="94" t="str">
        <f aca="false" t="array" ref="F21:F21">IFERROR(INDEX('Bank Schedule'!F:F, SMALL(IF('Bank Schedule'!$K$2:$K$817="Vacant", ROW('Bank Schedule'!$K$2:$K$817)), ROW(18:18))), "")</f>
        <v>Fourth Floor</v>
      </c>
      <c r="G21" s="94" t="str">
        <f aca="false" t="array" ref="G21:G21">IFERROR(INDEX('Bank Schedule'!G:G, SMALL(IF('Bank Schedule'!$K$2:$K$817="Vacant", ROW('Bank Schedule'!$K$2:$K$817)), ROW(18:18))), "")</f>
        <v>Office</v>
      </c>
      <c r="H21" s="14" t="n">
        <f aca="false" t="array" ref="H21:H21">IFERROR(INDEX('Bank Schedule'!H:H, SMALL(IF('Bank Schedule'!$K$2:$K$817="Vacant", ROW('Bank Schedule'!$K$2:$K$817)), ROW(18:18))), "")</f>
        <v>1505</v>
      </c>
      <c r="I21" s="14" t="n">
        <f aca="false" t="array" ref="I21:I21">IFERROR(INDEX('Bank Schedule'!I:I, SMALL(IF('Bank Schedule'!$K$2:$K$817="Vacant", ROW('Bank Schedule'!$K$2:$K$817)), ROW(18:18))), "")</f>
        <v>1505</v>
      </c>
      <c r="J21" s="11" t="str">
        <f aca="false" t="array" ref="J21:J21">IFERROR(INDEX('Bank Schedule'!K:K, SMALL(IF('Bank Schedule'!$K$2:$K$817="Vacant", ROW('Bank Schedule'!$K$2:$K$817)), ROW(18:18))), "")</f>
        <v>Vacant</v>
      </c>
      <c r="K21" s="11" t="str">
        <f aca="false">IFERROR(INDEX('Bank Schedule'!L:L, SMALL(IF('Bank Schedule'!$K$2:$K$817="Vacant", ROW('Bank Schedule'!$K$2:$K$817)), ROW(18:18))), "")</f>
        <v/>
      </c>
      <c r="L21" s="11" t="str">
        <f aca="false">IFERROR(INDEX('Bank Schedule'!M:M, SMALL(IF('Bank Schedule'!$K$2:$K$817="Vacant", ROW('Bank Schedule'!$K$2:$K$817)), ROW(18:18))), "")</f>
        <v/>
      </c>
      <c r="M21" s="71" t="n">
        <f aca="false" t="array" ref="M21:M21">IFERROR(INDEX('Bank Schedule'!N:N, SMALL(IF('Bank Schedule'!$K$2:$K$817="Vacant", ROW('Bank Schedule'!$K$2:$K$817)), ROW(18:18))), "")</f>
        <v>43354</v>
      </c>
      <c r="N21" s="11" t="str">
        <f aca="false">IFERROR(INDEX('Bank Schedule'!O:O, SMALL(IF('Bank Schedule'!$K$2:$K$817="Vacant", ROW('Bank Schedule'!$K$2:$K$817)), ROW(18:18))), "")</f>
        <v/>
      </c>
      <c r="O21" s="11" t="str">
        <f aca="false">IFERROR(INDEX('Bank Schedule'!P:P, SMALL(IF('Bank Schedule'!$K$2:$K$817="Vacant", ROW('Bank Schedule'!$K$2:$K$817)), ROW(18:18))), "")</f>
        <v/>
      </c>
      <c r="P21" s="11" t="n">
        <f aca="false" t="array" ref="P21:P21">IFERROR(INDEX('Bank Schedule'!Q:Q, SMALL(IF('Bank Schedule'!$K$2:$K$817="Vacant", ROW('Bank Schedule'!$K$2:$K$817)), ROW(18:18))), "")</f>
        <v>0</v>
      </c>
      <c r="Q21" s="11" t="n">
        <f aca="false" t="array" ref="Q21:Q21">IFERROR(INDEX('Bank Schedule'!R:R, SMALL(IF('Bank Schedule'!$K$2:$K$817="Vacant", ROW('Bank Schedule'!$K$2:$K$817)), ROW(18:18))), "")</f>
        <v>0</v>
      </c>
      <c r="R21" s="11" t="str">
        <f aca="false">IFERROR(INDEX('Bank Schedule'!S:S, SMALL(IF('Bank Schedule'!$K$2:$K$817="Vacant", ROW('Bank Schedule'!$K$2:$K$817)), ROW(18:18))), "")</f>
        <v/>
      </c>
      <c r="S21" s="281" t="n">
        <f aca="false" t="array" ref="S21:S21">IFERROR(INDEX('Bank Schedule'!T:T, SMALL(IF('Bank Schedule'!$K$2:$K$817="Vacant", ROW('Bank Schedule'!$K$2:$K$817)), ROW(18:18))), "")</f>
        <v>83800</v>
      </c>
      <c r="T21" s="281" t="n">
        <f aca="false" t="array" ref="T21:T21">IFERROR(INDEX('Bank Schedule'!U:U, SMALL(IF('Bank Schedule'!$K$2:$K$817="Vacant", ROW('Bank Schedule'!$K$2:$K$817)), ROW(18:18))), "")</f>
        <v>83800</v>
      </c>
      <c r="U21" s="281" t="n">
        <f aca="false" t="array" ref="U21:U21">IFERROR(INDEX('Bank Schedule'!V:V, SMALL(IF('Bank Schedule'!$K$2:$K$817="Vacant", ROW('Bank Schedule'!$K$2:$K$817)), ROW(18:18))), "")</f>
        <v>90300</v>
      </c>
      <c r="V21" s="281" t="n">
        <f aca="false" t="array" ref="V21:V21">IFERROR(INDEX('Bank Schedule'!W:W, SMALL(IF('Bank Schedule'!$K$2:$K$817="Vacant", ROW('Bank Schedule'!$K$2:$K$817)), ROW(18:18))), "")</f>
        <v>90300</v>
      </c>
      <c r="W21" s="282" t="n">
        <f aca="false" t="array" ref="W21:W21">IFERROR(INDEX('Bank Schedule'!X:X, SMALL(IF('Bank Schedule'!$K$2:$K$817="Vacant", ROW('Bank Schedule'!$K$2:$K$817)), ROW(18:18))), "")</f>
        <v>55.6810631229236</v>
      </c>
      <c r="X21" s="11" t="str">
        <f aca="false" t="array" ref="X21:X21">IFERROR(INDEX('Bank Schedule'!Y:Y, SMALL(IF('Bank Schedule'!$K$2:$K$817="Vacant", ROW('Bank Schedule'!$K$2:$K$817)), ROW(18:18))), "")</f>
        <v>D</v>
      </c>
      <c r="Y21" s="11" t="str">
        <f aca="false">IFERROR(INDEX('Bank Schedule'!Z:Z, SMALL(IF('Bank Schedule'!$K$2:$K$817="Vacant", ROW('Bank Schedule'!$K$2:$K$817)), ROW(18:18))), "")</f>
        <v/>
      </c>
      <c r="Z21" s="11" t="str">
        <f aca="false">IFERROR(INDEX('Bank Schedule'!AA:AA, SMALL(IF('Bank Schedule'!$K$2:$K$817="Vacant", ROW('Bank Schedule'!$K$2:$K$817)), ROW(18:18))), "")</f>
        <v/>
      </c>
      <c r="AA21" s="11" t="str">
        <f aca="false" t="array" ref="AA21:AA21">IFERROR(INDEX('Bank Schedule'!AB:AB, SMALL(IF('Bank Schedule'!$K$2:$K$817="Vacant", ROW('Bank Schedule'!$K$2:$K$817)), ROW(18:18))), "")</f>
        <v>No</v>
      </c>
      <c r="AB21" s="94" t="str">
        <f aca="false" t="array" ref="AB21:AB21">IFERROR(INDEX('Bank Schedule'!AC:AC, SMALL(IF('Bank Schedule'!$K$2:$K$817="Vacant", ROW('Bank Schedule'!$K$2:$K$817)), ROW(18:18))), "")</f>
        <v>Mothballed.</v>
      </c>
      <c r="AC21" s="44" t="str">
        <f aca="false">IFERROR(INDEX('Bank Schedule'!AD:AD, SMALL(IF('Bank Schedule'!$K$2:$K$817="Vacant", ROW('Bank Schedule'!$K$2:$K$817)), ROW(18:18))), "")</f>
        <v/>
      </c>
      <c r="AD21" s="11" t="str">
        <f aca="false">IFERROR(INDEX('Bank Schedule'!AE:AE, SMALL(IF('Bank Schedule'!$K$2:$K$817="Vacant", ROW('Bank Schedule'!$K$2:$K$817)), ROW(18:18))), "")</f>
        <v/>
      </c>
      <c r="AE21" s="11" t="str">
        <f aca="false">IFERROR(INDEX('Bank Schedule'!AF:AF, SMALL(IF('Bank Schedule'!$K$2:$K$817="Vacant", ROW('Bank Schedule'!$K$2:$K$817)), ROW(18:18))), "")</f>
        <v/>
      </c>
      <c r="AF21" s="11" t="str">
        <f aca="false">IFERROR(INDEX('Bank Schedule'!AG:AG, SMALL(IF('Bank Schedule'!$K$2:$K$817="Vacant", ROW('Bank Schedule'!$K$2:$K$817)), ROW(18:18))), "")</f>
        <v/>
      </c>
      <c r="AG21" s="4"/>
    </row>
    <row r="22" customFormat="false" ht="28.5" hidden="false" customHeight="true" outlineLevel="0" collapsed="false">
      <c r="A22" s="28" t="n">
        <f aca="false">IFERROR(INDEX('Bank Schedule'!A:A, SMALL(IF('Bank Schedule'!$K$2:$K$817="Vacant", ROW('Bank Schedule'!$K$2:$K$817)), ROW(19:19))), "")</f>
        <v>0</v>
      </c>
      <c r="B22" s="11" t="str">
        <f aca="false" t="array" ref="B22:B22">IFERROR(INDEX('Bank Schedule'!B:B, SMALL(IF('Bank Schedule'!$K$2:$K$817="Vacant", ROW('Bank Schedule'!$K$2:$K$817)), ROW(19:19))), "")</f>
        <v>CM</v>
      </c>
      <c r="C22" s="11" t="str">
        <f aca="false" t="array" ref="C22:C22">IFERROR(INDEX('Bank Schedule'!C:C, SMALL(IF('Bank Schedule'!$K$2:$K$817="Vacant", ROW('Bank Schedule'!$K$2:$K$817)), ROW(19:19))), "")</f>
        <v>MEL</v>
      </c>
      <c r="D22" s="11" t="n">
        <f aca="false" t="array" ref="D22:D22">IFERROR(INDEX('Bank Schedule'!D:D, SMALL(IF('Bank Schedule'!$K$2:$K$817="Vacant", ROW('Bank Schedule'!$K$2:$K$817)), ROW(19:19))), "")</f>
        <v>550830</v>
      </c>
      <c r="E22" s="94" t="str">
        <f aca="false" t="array" ref="E22:E22">IFERROR(INDEX('Bank Schedule'!E:E, SMALL(IF('Bank Schedule'!$K$2:$K$817="Vacant", ROW('Bank Schedule'!$K$2:$K$817)), ROW(19:19))), "")</f>
        <v>42-48 Great Portland Street</v>
      </c>
      <c r="F22" s="94" t="str">
        <f aca="false" t="array" ref="F22:F22">IFERROR(INDEX('Bank Schedule'!F:F, SMALL(IF('Bank Schedule'!$K$2:$K$817="Vacant", ROW('Bank Schedule'!$K$2:$K$817)), ROW(19:19))), "")</f>
        <v>Second Floor</v>
      </c>
      <c r="G22" s="94" t="str">
        <f aca="false" t="array" ref="G22:G22">IFERROR(INDEX('Bank Schedule'!G:G, SMALL(IF('Bank Schedule'!$K$2:$K$817="Vacant", ROW('Bank Schedule'!$K$2:$K$817)), ROW(19:19))), "")</f>
        <v>Office</v>
      </c>
      <c r="H22" s="14" t="n">
        <f aca="false" t="array" ref="H22:H22">IFERROR(INDEX('Bank Schedule'!H:H, SMALL(IF('Bank Schedule'!$K$2:$K$817="Vacant", ROW('Bank Schedule'!$K$2:$K$817)), ROW(19:19))), "")</f>
        <v>1440</v>
      </c>
      <c r="I22" s="14" t="n">
        <f aca="false" t="array" ref="I22:I22">IFERROR(INDEX('Bank Schedule'!I:I, SMALL(IF('Bank Schedule'!$K$2:$K$817="Vacant", ROW('Bank Schedule'!$K$2:$K$817)), ROW(19:19))), "")</f>
        <v>1440</v>
      </c>
      <c r="J22" s="11" t="str">
        <f aca="false" t="array" ref="J22:J22">IFERROR(INDEX('Bank Schedule'!K:K, SMALL(IF('Bank Schedule'!$K$2:$K$817="Vacant", ROW('Bank Schedule'!$K$2:$K$817)), ROW(19:19))), "")</f>
        <v>Vacant</v>
      </c>
      <c r="K22" s="8" t="n">
        <f aca="false">IFERROR(INDEX('Bank Schedule'!L:L, SMALL(IF('Bank Schedule'!$K$2:$K$817="Vacant", ROW('Bank Schedule'!$K$2:$K$817)), ROW(19:19))), "")</f>
        <v>45100</v>
      </c>
      <c r="L22" s="8" t="n">
        <f aca="false">IFERROR(INDEX('Bank Schedule'!M:M, SMALL(IF('Bank Schedule'!$K$2:$K$817="Vacant", ROW('Bank Schedule'!$K$2:$K$817)), ROW(19:19))), "")</f>
        <v>46926</v>
      </c>
      <c r="M22" s="71" t="n">
        <f aca="false" t="array" ref="M22:M22">IFERROR(INDEX('Bank Schedule'!N:N, SMALL(IF('Bank Schedule'!$K$2:$K$817="Vacant", ROW('Bank Schedule'!$K$2:$K$817)), ROW(19:19))), "")</f>
        <v>44593</v>
      </c>
      <c r="N22" s="8" t="n">
        <f aca="false">IFERROR(INDEX('Bank Schedule'!O:O, SMALL(IF('Bank Schedule'!$K$2:$K$817="Vacant", ROW('Bank Schedule'!$K$2:$K$817)), ROW(19:19))), "")</f>
        <v>0</v>
      </c>
      <c r="O22" s="8" t="n">
        <f aca="false">IFERROR(INDEX('Bank Schedule'!P:P, SMALL(IF('Bank Schedule'!$K$2:$K$817="Vacant", ROW('Bank Schedule'!$K$2:$K$817)), ROW(19:19))), "")</f>
        <v>46195</v>
      </c>
      <c r="P22" s="11" t="n">
        <f aca="false" t="array" ref="P22:P22">IFERROR(INDEX('Bank Schedule'!Q:Q, SMALL(IF('Bank Schedule'!$K$2:$K$817="Vacant", ROW('Bank Schedule'!$K$2:$K$817)), ROW(19:19))), "")</f>
        <v>0</v>
      </c>
      <c r="Q22" s="11" t="n">
        <f aca="false" t="array" ref="Q22:Q22">IFERROR(INDEX('Bank Schedule'!R:R, SMALL(IF('Bank Schedule'!$K$2:$K$817="Vacant", ROW('Bank Schedule'!$K$2:$K$817)), ROW(19:19))), "")</f>
        <v>0</v>
      </c>
      <c r="R22" s="9" t="n">
        <f aca="false">IFERROR(INDEX('Bank Schedule'!S:S, SMALL(IF('Bank Schedule'!$K$2:$K$817="Vacant", ROW('Bank Schedule'!$K$2:$K$817)), ROW(19:19))), "")</f>
        <v>0</v>
      </c>
      <c r="S22" s="281" t="n">
        <f aca="false" t="array" ref="S22:S22">IFERROR(INDEX('Bank Schedule'!T:T, SMALL(IF('Bank Schedule'!$K$2:$K$817="Vacant", ROW('Bank Schedule'!$K$2:$K$817)), ROW(19:19))), "")</f>
        <v>79800</v>
      </c>
      <c r="T22" s="281" t="n">
        <f aca="false" t="array" ref="T22:T22">IFERROR(INDEX('Bank Schedule'!U:U, SMALL(IF('Bank Schedule'!$K$2:$K$817="Vacant", ROW('Bank Schedule'!$K$2:$K$817)), ROW(19:19))), "")</f>
        <v>79800</v>
      </c>
      <c r="U22" s="281" t="n">
        <f aca="false" t="array" ref="U22:U22">IFERROR(INDEX('Bank Schedule'!V:V, SMALL(IF('Bank Schedule'!$K$2:$K$817="Vacant", ROW('Bank Schedule'!$K$2:$K$817)), ROW(19:19))), "")</f>
        <v>93600</v>
      </c>
      <c r="V22" s="281" t="n">
        <f aca="false" t="array" ref="V22:V22">IFERROR(INDEX('Bank Schedule'!W:W, SMALL(IF('Bank Schedule'!$K$2:$K$817="Vacant", ROW('Bank Schedule'!$K$2:$K$817)), ROW(19:19))), "")</f>
        <v>93600</v>
      </c>
      <c r="W22" s="282" t="n">
        <f aca="false" t="array" ref="W22:W22">IFERROR(INDEX('Bank Schedule'!X:X, SMALL(IF('Bank Schedule'!$K$2:$K$817="Vacant", ROW('Bank Schedule'!$K$2:$K$817)), ROW(19:19))), "")</f>
        <v>55.4166666666667</v>
      </c>
      <c r="X22" s="11" t="str">
        <f aca="false" t="array" ref="X22:X22">IFERROR(INDEX('Bank Schedule'!Y:Y, SMALL(IF('Bank Schedule'!$K$2:$K$817="Vacant", ROW('Bank Schedule'!$K$2:$K$817)), ROW(19:19))), "")</f>
        <v>D</v>
      </c>
      <c r="Y22" s="9" t="n">
        <f aca="false">IFERROR(INDEX('Bank Schedule'!Z:Z, SMALL(IF('Bank Schedule'!$K$2:$K$817="Vacant", ROW('Bank Schedule'!$K$2:$K$817)), ROW(19:19))), "")</f>
        <v>0</v>
      </c>
      <c r="Z22" s="283" t="n">
        <f aca="false">IFERROR(INDEX('Bank Schedule'!AA:AA, SMALL(IF('Bank Schedule'!$K$2:$K$817="Vacant", ROW('Bank Schedule'!$K$2:$K$817)), ROW(19:19))), "")</f>
        <v>0</v>
      </c>
      <c r="AA22" s="11" t="str">
        <f aca="false" t="array" ref="AA22:AA22">IFERROR(INDEX('Bank Schedule'!AB:AB, SMALL(IF('Bank Schedule'!$K$2:$K$817="Vacant", ROW('Bank Schedule'!$K$2:$K$817)), ROW(19:19))), "")</f>
        <v>No</v>
      </c>
      <c r="AB22" s="94" t="str">
        <f aca="false" t="array" ref="AB22:AB22">IFERROR(INDEX('Bank Schedule'!AC:AC, SMALL(IF('Bank Schedule'!$K$2:$K$817="Vacant", ROW('Bank Schedule'!$K$2:$K$817)), ROW(19:19))), "")</f>
        <v>Unit being refurbished.</v>
      </c>
      <c r="AC22" s="44" t="n">
        <f aca="false">IFERROR(INDEX('Bank Schedule'!AD:AD, SMALL(IF('Bank Schedule'!$K$2:$K$817="Vacant", ROW('Bank Schedule'!$K$2:$K$817)), ROW(19:19))), "")</f>
        <v>0</v>
      </c>
      <c r="AD22" s="11" t="n">
        <f aca="false">IFERROR(INDEX('Bank Schedule'!AE:AE, SMALL(IF('Bank Schedule'!$K$2:$K$817="Vacant", ROW('Bank Schedule'!$K$2:$K$817)), ROW(19:19))), "")</f>
        <v>0</v>
      </c>
      <c r="AE22" s="11" t="n">
        <f aca="false">IFERROR(INDEX('Bank Schedule'!AF:AF, SMALL(IF('Bank Schedule'!$K$2:$K$817="Vacant", ROW('Bank Schedule'!$K$2:$K$817)), ROW(19:19))), "")</f>
        <v>0</v>
      </c>
      <c r="AF22" s="11" t="n">
        <f aca="false">IFERROR(INDEX('Bank Schedule'!AG:AG, SMALL(IF('Bank Schedule'!$K$2:$K$817="Vacant", ROW('Bank Schedule'!$K$2:$K$817)), ROW(19:19))), "")</f>
        <v>0</v>
      </c>
      <c r="AG22" s="4"/>
    </row>
    <row r="23" customFormat="false" ht="28.5" hidden="false" customHeight="true" outlineLevel="0" collapsed="false">
      <c r="A23" s="28" t="str">
        <f aca="false">IFERROR(INDEX('Bank Schedule'!A:A, SMALL(IF('Bank Schedule'!$K$2:$K$817="Vacant", ROW('Bank Schedule'!$K$2:$K$817)), ROW(20:20))), "")</f>
        <v/>
      </c>
      <c r="B23" s="11" t="str">
        <f aca="false" t="array" ref="B23:B23">IFERROR(INDEX('Bank Schedule'!B:B, SMALL(IF('Bank Schedule'!$K$2:$K$817="Vacant", ROW('Bank Schedule'!$K$2:$K$817)), ROW(20:20))), "")</f>
        <v>CM</v>
      </c>
      <c r="C23" s="11" t="str">
        <f aca="false" t="array" ref="C23:C23">IFERROR(INDEX('Bank Schedule'!C:C, SMALL(IF('Bank Schedule'!$K$2:$K$817="Vacant", ROW('Bank Schedule'!$K$2:$K$817)), ROW(20:20))), "")</f>
        <v>MEL</v>
      </c>
      <c r="D23" s="11" t="n">
        <f aca="false" t="array" ref="D23:D23">IFERROR(INDEX('Bank Schedule'!D:D, SMALL(IF('Bank Schedule'!$K$2:$K$817="Vacant", ROW('Bank Schedule'!$K$2:$K$817)), ROW(20:20))), "")</f>
        <v>550830</v>
      </c>
      <c r="E23" s="94" t="str">
        <f aca="false" t="array" ref="E23:E23">IFERROR(INDEX('Bank Schedule'!E:E, SMALL(IF('Bank Schedule'!$K$2:$K$817="Vacant", ROW('Bank Schedule'!$K$2:$K$817)), ROW(20:20))), "")</f>
        <v>42-48 Great Portland Street</v>
      </c>
      <c r="F23" s="94" t="str">
        <f aca="false" t="array" ref="F23:F23">IFERROR(INDEX('Bank Schedule'!F:F, SMALL(IF('Bank Schedule'!$K$2:$K$817="Vacant", ROW('Bank Schedule'!$K$2:$K$817)), ROW(20:20))), "")</f>
        <v>Third Floor</v>
      </c>
      <c r="G23" s="94" t="str">
        <f aca="false" t="array" ref="G23:G23">IFERROR(INDEX('Bank Schedule'!G:G, SMALL(IF('Bank Schedule'!$K$2:$K$817="Vacant", ROW('Bank Schedule'!$K$2:$K$817)), ROW(20:20))), "")</f>
        <v>Office</v>
      </c>
      <c r="H23" s="14" t="n">
        <f aca="false" t="array" ref="H23:H23">IFERROR(INDEX('Bank Schedule'!H:H, SMALL(IF('Bank Schedule'!$K$2:$K$817="Vacant", ROW('Bank Schedule'!$K$2:$K$817)), ROW(20:20))), "")</f>
        <v>1433</v>
      </c>
      <c r="I23" s="14" t="n">
        <f aca="false" t="array" ref="I23:I23">IFERROR(INDEX('Bank Schedule'!I:I, SMALL(IF('Bank Schedule'!$K$2:$K$817="Vacant", ROW('Bank Schedule'!$K$2:$K$817)), ROW(20:20))), "")</f>
        <v>1433</v>
      </c>
      <c r="J23" s="11" t="str">
        <f aca="false" t="array" ref="J23:J23">IFERROR(INDEX('Bank Schedule'!K:K, SMALL(IF('Bank Schedule'!$K$2:$K$817="Vacant", ROW('Bank Schedule'!$K$2:$K$817)), ROW(20:20))), "")</f>
        <v>Vacant</v>
      </c>
      <c r="K23" s="11" t="str">
        <f aca="false">IFERROR(INDEX('Bank Schedule'!L:L, SMALL(IF('Bank Schedule'!$K$2:$K$817="Vacant", ROW('Bank Schedule'!$K$2:$K$817)), ROW(20:20))), "")</f>
        <v/>
      </c>
      <c r="L23" s="11" t="str">
        <f aca="false">IFERROR(INDEX('Bank Schedule'!M:M, SMALL(IF('Bank Schedule'!$K$2:$K$817="Vacant", ROW('Bank Schedule'!$K$2:$K$817)), ROW(20:20))), "")</f>
        <v/>
      </c>
      <c r="M23" s="71" t="n">
        <f aca="false" t="array" ref="M23:M23">IFERROR(INDEX('Bank Schedule'!N:N, SMALL(IF('Bank Schedule'!$K$2:$K$817="Vacant", ROW('Bank Schedule'!$K$2:$K$817)), ROW(20:20))), "")</f>
        <v>43313</v>
      </c>
      <c r="N23" s="11" t="str">
        <f aca="false">IFERROR(INDEX('Bank Schedule'!O:O, SMALL(IF('Bank Schedule'!$K$2:$K$817="Vacant", ROW('Bank Schedule'!$K$2:$K$817)), ROW(20:20))), "")</f>
        <v/>
      </c>
      <c r="O23" s="11" t="str">
        <f aca="false">IFERROR(INDEX('Bank Schedule'!P:P, SMALL(IF('Bank Schedule'!$K$2:$K$817="Vacant", ROW('Bank Schedule'!$K$2:$K$817)), ROW(20:20))), "")</f>
        <v/>
      </c>
      <c r="P23" s="11" t="n">
        <f aca="false" t="array" ref="P23:P23">IFERROR(INDEX('Bank Schedule'!Q:Q, SMALL(IF('Bank Schedule'!$K$2:$K$817="Vacant", ROW('Bank Schedule'!$K$2:$K$817)), ROW(20:20))), "")</f>
        <v>0</v>
      </c>
      <c r="Q23" s="11" t="n">
        <f aca="false" t="array" ref="Q23:Q23">IFERROR(INDEX('Bank Schedule'!R:R, SMALL(IF('Bank Schedule'!$K$2:$K$817="Vacant", ROW('Bank Schedule'!$K$2:$K$817)), ROW(20:20))), "")</f>
        <v>0</v>
      </c>
      <c r="R23" s="11" t="str">
        <f aca="false">IFERROR(INDEX('Bank Schedule'!S:S, SMALL(IF('Bank Schedule'!$K$2:$K$817="Vacant", ROW('Bank Schedule'!$K$2:$K$817)), ROW(20:20))), "")</f>
        <v/>
      </c>
      <c r="S23" s="281" t="n">
        <f aca="false" t="array" ref="S23:S23">IFERROR(INDEX('Bank Schedule'!T:T, SMALL(IF('Bank Schedule'!$K$2:$K$817="Vacant", ROW('Bank Schedule'!$K$2:$K$817)), ROW(20:20))), "")</f>
        <v>79750</v>
      </c>
      <c r="T23" s="281" t="n">
        <f aca="false" t="array" ref="T23:T23">IFERROR(INDEX('Bank Schedule'!U:U, SMALL(IF('Bank Schedule'!$K$2:$K$817="Vacant", ROW('Bank Schedule'!$K$2:$K$817)), ROW(20:20))), "")</f>
        <v>79750</v>
      </c>
      <c r="U23" s="281" t="n">
        <f aca="false" t="array" ref="U23:U23">IFERROR(INDEX('Bank Schedule'!V:V, SMALL(IF('Bank Schedule'!$K$2:$K$817="Vacant", ROW('Bank Schedule'!$K$2:$K$817)), ROW(20:20))), "")</f>
        <v>93100</v>
      </c>
      <c r="V23" s="281" t="n">
        <f aca="false" t="array" ref="V23:V23">IFERROR(INDEX('Bank Schedule'!W:W, SMALL(IF('Bank Schedule'!$K$2:$K$817="Vacant", ROW('Bank Schedule'!$K$2:$K$817)), ROW(20:20))), "")</f>
        <v>93100</v>
      </c>
      <c r="W23" s="282" t="n">
        <f aca="false" t="array" ref="W23:W23">IFERROR(INDEX('Bank Schedule'!X:X, SMALL(IF('Bank Schedule'!$K$2:$K$817="Vacant", ROW('Bank Schedule'!$K$2:$K$817)), ROW(20:20))), "")</f>
        <v>55.6524773203071</v>
      </c>
      <c r="X23" s="11" t="str">
        <f aca="false" t="array" ref="X23:X23">IFERROR(INDEX('Bank Schedule'!Y:Y, SMALL(IF('Bank Schedule'!$K$2:$K$817="Vacant", ROW('Bank Schedule'!$K$2:$K$817)), ROW(20:20))), "")</f>
        <v>D</v>
      </c>
      <c r="Y23" s="11" t="str">
        <f aca="false">IFERROR(INDEX('Bank Schedule'!Z:Z, SMALL(IF('Bank Schedule'!$K$2:$K$817="Vacant", ROW('Bank Schedule'!$K$2:$K$817)), ROW(20:20))), "")</f>
        <v/>
      </c>
      <c r="Z23" s="11" t="str">
        <f aca="false">IFERROR(INDEX('Bank Schedule'!AA:AA, SMALL(IF('Bank Schedule'!$K$2:$K$817="Vacant", ROW('Bank Schedule'!$K$2:$K$817)), ROW(20:20))), "")</f>
        <v/>
      </c>
      <c r="AA23" s="11" t="str">
        <f aca="false" t="array" ref="AA23:AA23">IFERROR(INDEX('Bank Schedule'!AB:AB, SMALL(IF('Bank Schedule'!$K$2:$K$817="Vacant", ROW('Bank Schedule'!$K$2:$K$817)), ROW(20:20))), "")</f>
        <v>No</v>
      </c>
      <c r="AB23" s="94" t="str">
        <f aca="false" t="array" ref="AB23:AB23">IFERROR(INDEX('Bank Schedule'!AC:AC, SMALL(IF('Bank Schedule'!$K$2:$K$817="Vacant", ROW('Bank Schedule'!$K$2:$K$817)), ROW(20:20))), "")</f>
        <v>Unit being refurbished.</v>
      </c>
      <c r="AC23" s="44" t="str">
        <f aca="false">IFERROR(INDEX('Bank Schedule'!AD:AD, SMALL(IF('Bank Schedule'!$K$2:$K$817="Vacant", ROW('Bank Schedule'!$K$2:$K$817)), ROW(20:20))), "")</f>
        <v/>
      </c>
      <c r="AD23" s="11" t="str">
        <f aca="false">IFERROR(INDEX('Bank Schedule'!AE:AE, SMALL(IF('Bank Schedule'!$K$2:$K$817="Vacant", ROW('Bank Schedule'!$K$2:$K$817)), ROW(20:20))), "")</f>
        <v/>
      </c>
      <c r="AE23" s="11" t="str">
        <f aca="false">IFERROR(INDEX('Bank Schedule'!AF:AF, SMALL(IF('Bank Schedule'!$K$2:$K$817="Vacant", ROW('Bank Schedule'!$K$2:$K$817)), ROW(20:20))), "")</f>
        <v/>
      </c>
      <c r="AF23" s="11" t="str">
        <f aca="false">IFERROR(INDEX('Bank Schedule'!AG:AG, SMALL(IF('Bank Schedule'!$K$2:$K$817="Vacant", ROW('Bank Schedule'!$K$2:$K$817)), ROW(20:20))), "")</f>
        <v/>
      </c>
      <c r="AG23" s="4"/>
    </row>
    <row r="24" customFormat="false" ht="28.5" hidden="false" customHeight="true" outlineLevel="0" collapsed="false">
      <c r="A24" s="28" t="str">
        <f aca="false">IFERROR(INDEX('Bank Schedule'!A:A, SMALL(IF('Bank Schedule'!$K$2:$K$817="Vacant", ROW('Bank Schedule'!$K$2:$K$817)), ROW(21:21))), "")</f>
        <v/>
      </c>
      <c r="B24" s="11" t="str">
        <f aca="false" t="array" ref="B24:B24">IFERROR(INDEX('Bank Schedule'!B:B, SMALL(IF('Bank Schedule'!$K$2:$K$817="Vacant", ROW('Bank Schedule'!$K$2:$K$817)), ROW(21:21))), "")</f>
        <v>CM</v>
      </c>
      <c r="C24" s="11" t="str">
        <f aca="false" t="array" ref="C24:C24">IFERROR(INDEX('Bank Schedule'!C:C, SMALL(IF('Bank Schedule'!$K$2:$K$817="Vacant", ROW('Bank Schedule'!$K$2:$K$817)), ROW(21:21))), "")</f>
        <v>MEL</v>
      </c>
      <c r="D24" s="11" t="n">
        <f aca="false" t="array" ref="D24:D24">IFERROR(INDEX('Bank Schedule'!D:D, SMALL(IF('Bank Schedule'!$K$2:$K$817="Vacant", ROW('Bank Schedule'!$K$2:$K$817)), ROW(21:21))), "")</f>
        <v>550830</v>
      </c>
      <c r="E24" s="94" t="str">
        <f aca="false" t="array" ref="E24:E24">IFERROR(INDEX('Bank Schedule'!E:E, SMALL(IF('Bank Schedule'!$K$2:$K$817="Vacant", ROW('Bank Schedule'!$K$2:$K$817)), ROW(21:21))), "")</f>
        <v>42-48 Great Portland Street</v>
      </c>
      <c r="F24" s="94" t="str">
        <f aca="false" t="array" ref="F24:F24">IFERROR(INDEX('Bank Schedule'!F:F, SMALL(IF('Bank Schedule'!$K$2:$K$817="Vacant", ROW('Bank Schedule'!$K$2:$K$817)), ROW(21:21))), "")</f>
        <v>Fourth Floor</v>
      </c>
      <c r="G24" s="94" t="str">
        <f aca="false" t="array" ref="G24:G24">IFERROR(INDEX('Bank Schedule'!G:G, SMALL(IF('Bank Schedule'!$K$2:$K$817="Vacant", ROW('Bank Schedule'!$K$2:$K$817)), ROW(21:21))), "")</f>
        <v>Office</v>
      </c>
      <c r="H24" s="14" t="n">
        <f aca="false" t="array" ref="H24:H24">IFERROR(INDEX('Bank Schedule'!H:H, SMALL(IF('Bank Schedule'!$K$2:$K$817="Vacant", ROW('Bank Schedule'!$K$2:$K$817)), ROW(21:21))), "")</f>
        <v>1480</v>
      </c>
      <c r="I24" s="14" t="n">
        <f aca="false" t="array" ref="I24:I24">IFERROR(INDEX('Bank Schedule'!I:I, SMALL(IF('Bank Schedule'!$K$2:$K$817="Vacant", ROW('Bank Schedule'!$K$2:$K$817)), ROW(21:21))), "")</f>
        <v>1480</v>
      </c>
      <c r="J24" s="11" t="str">
        <f aca="false" t="array" ref="J24:J24">IFERROR(INDEX('Bank Schedule'!K:K, SMALL(IF('Bank Schedule'!$K$2:$K$817="Vacant", ROW('Bank Schedule'!$K$2:$K$817)), ROW(21:21))), "")</f>
        <v>Vacant</v>
      </c>
      <c r="K24" s="11" t="str">
        <f aca="false">IFERROR(INDEX('Bank Schedule'!L:L, SMALL(IF('Bank Schedule'!$K$2:$K$817="Vacant", ROW('Bank Schedule'!$K$2:$K$817)), ROW(21:21))), "")</f>
        <v/>
      </c>
      <c r="L24" s="11" t="str">
        <f aca="false">IFERROR(INDEX('Bank Schedule'!M:M, SMALL(IF('Bank Schedule'!$K$2:$K$817="Vacant", ROW('Bank Schedule'!$K$2:$K$817)), ROW(21:21))), "")</f>
        <v/>
      </c>
      <c r="M24" s="71" t="n">
        <f aca="false" t="array" ref="M24:M24">IFERROR(INDEX('Bank Schedule'!N:N, SMALL(IF('Bank Schedule'!$K$2:$K$817="Vacant", ROW('Bank Schedule'!$K$2:$K$817)), ROW(21:21))), "")</f>
        <v>44409</v>
      </c>
      <c r="N24" s="11" t="str">
        <f aca="false">IFERROR(INDEX('Bank Schedule'!O:O, SMALL(IF('Bank Schedule'!$K$2:$K$817="Vacant", ROW('Bank Schedule'!$K$2:$K$817)), ROW(21:21))), "")</f>
        <v/>
      </c>
      <c r="O24" s="11" t="str">
        <f aca="false">IFERROR(INDEX('Bank Schedule'!P:P, SMALL(IF('Bank Schedule'!$K$2:$K$817="Vacant", ROW('Bank Schedule'!$K$2:$K$817)), ROW(21:21))), "")</f>
        <v/>
      </c>
      <c r="P24" s="11" t="n">
        <f aca="false" t="array" ref="P24:P24">IFERROR(INDEX('Bank Schedule'!Q:Q, SMALL(IF('Bank Schedule'!$K$2:$K$817="Vacant", ROW('Bank Schedule'!$K$2:$K$817)), ROW(21:21))), "")</f>
        <v>0</v>
      </c>
      <c r="Q24" s="11" t="n">
        <f aca="false" t="array" ref="Q24:Q24">IFERROR(INDEX('Bank Schedule'!R:R, SMALL(IF('Bank Schedule'!$K$2:$K$817="Vacant", ROW('Bank Schedule'!$K$2:$K$817)), ROW(21:21))), "")</f>
        <v>0</v>
      </c>
      <c r="R24" s="11" t="str">
        <f aca="false">IFERROR(INDEX('Bank Schedule'!S:S, SMALL(IF('Bank Schedule'!$K$2:$K$817="Vacant", ROW('Bank Schedule'!$K$2:$K$817)), ROW(21:21))), "")</f>
        <v/>
      </c>
      <c r="S24" s="281" t="n">
        <f aca="false" t="array" ref="S24:S24">IFERROR(INDEX('Bank Schedule'!T:T, SMALL(IF('Bank Schedule'!$K$2:$K$817="Vacant", ROW('Bank Schedule'!$K$2:$K$817)), ROW(21:21))), "")</f>
        <v>79800</v>
      </c>
      <c r="T24" s="281" t="n">
        <f aca="false" t="array" ref="T24:T24">IFERROR(INDEX('Bank Schedule'!U:U, SMALL(IF('Bank Schedule'!$K$2:$K$817="Vacant", ROW('Bank Schedule'!$K$2:$K$817)), ROW(21:21))), "")</f>
        <v>79800</v>
      </c>
      <c r="U24" s="281" t="n">
        <f aca="false" t="array" ref="U24:U24">IFERROR(INDEX('Bank Schedule'!V:V, SMALL(IF('Bank Schedule'!$K$2:$K$817="Vacant", ROW('Bank Schedule'!$K$2:$K$817)), ROW(21:21))), "")</f>
        <v>96200</v>
      </c>
      <c r="V24" s="281" t="n">
        <f aca="false" t="array" ref="V24:V24">IFERROR(INDEX('Bank Schedule'!W:W, SMALL(IF('Bank Schedule'!$K$2:$K$817="Vacant", ROW('Bank Schedule'!$K$2:$K$817)), ROW(21:21))), "")</f>
        <v>96200</v>
      </c>
      <c r="W24" s="282" t="n">
        <f aca="false" t="array" ref="W24:W24">IFERROR(INDEX('Bank Schedule'!X:X, SMALL(IF('Bank Schedule'!$K$2:$K$817="Vacant", ROW('Bank Schedule'!$K$2:$K$817)), ROW(21:21))), "")</f>
        <v>53.9189189189189</v>
      </c>
      <c r="X24" s="11" t="str">
        <f aca="false" t="array" ref="X24:X24">IFERROR(INDEX('Bank Schedule'!Y:Y, SMALL(IF('Bank Schedule'!$K$2:$K$817="Vacant", ROW('Bank Schedule'!$K$2:$K$817)), ROW(21:21))), "")</f>
        <v>E</v>
      </c>
      <c r="Y24" s="11" t="str">
        <f aca="false">IFERROR(INDEX('Bank Schedule'!Z:Z, SMALL(IF('Bank Schedule'!$K$2:$K$817="Vacant", ROW('Bank Schedule'!$K$2:$K$817)), ROW(21:21))), "")</f>
        <v/>
      </c>
      <c r="Z24" s="11" t="str">
        <f aca="false">IFERROR(INDEX('Bank Schedule'!AA:AA, SMALL(IF('Bank Schedule'!$K$2:$K$817="Vacant", ROW('Bank Schedule'!$K$2:$K$817)), ROW(21:21))), "")</f>
        <v/>
      </c>
      <c r="AA24" s="11" t="str">
        <f aca="false" t="array" ref="AA24:AA24">IFERROR(INDEX('Bank Schedule'!AB:AB, SMALL(IF('Bank Schedule'!$K$2:$K$817="Vacant", ROW('Bank Schedule'!$K$2:$K$817)), ROW(21:21))), "")</f>
        <v>No</v>
      </c>
      <c r="AB24" s="94" t="str">
        <f aca="false" t="array" ref="AB24:AB24">IFERROR(INDEX('Bank Schedule'!AC:AC, SMALL(IF('Bank Schedule'!$K$2:$K$817="Vacant", ROW('Bank Schedule'!$K$2:$K$817)), ROW(21:21))), "")</f>
        <v>Unit being refurbished.</v>
      </c>
      <c r="AC24" s="44" t="str">
        <f aca="false">IFERROR(INDEX('Bank Schedule'!AD:AD, SMALL(IF('Bank Schedule'!$K$2:$K$817="Vacant", ROW('Bank Schedule'!$K$2:$K$817)), ROW(21:21))), "")</f>
        <v/>
      </c>
      <c r="AD24" s="11" t="str">
        <f aca="false">IFERROR(INDEX('Bank Schedule'!AE:AE, SMALL(IF('Bank Schedule'!$K$2:$K$817="Vacant", ROW('Bank Schedule'!$K$2:$K$817)), ROW(21:21))), "")</f>
        <v/>
      </c>
      <c r="AE24" s="11" t="str">
        <f aca="false">IFERROR(INDEX('Bank Schedule'!AF:AF, SMALL(IF('Bank Schedule'!$K$2:$K$817="Vacant", ROW('Bank Schedule'!$K$2:$K$817)), ROW(21:21))), "")</f>
        <v/>
      </c>
      <c r="AF24" s="11" t="str">
        <f aca="false">IFERROR(INDEX('Bank Schedule'!AG:AG, SMALL(IF('Bank Schedule'!$K$2:$K$817="Vacant", ROW('Bank Schedule'!$K$2:$K$817)), ROW(21:21))), "")</f>
        <v/>
      </c>
      <c r="AG24" s="4"/>
    </row>
    <row r="25" customFormat="false" ht="28.5" hidden="false" customHeight="true" outlineLevel="0" collapsed="false">
      <c r="A25" s="28" t="str">
        <f aca="false">IFERROR(INDEX('Bank Schedule'!A:A, SMALL(IF('Bank Schedule'!$K$2:$K$817="Vacant", ROW('Bank Schedule'!$K$2:$K$817)), ROW(22:22))), "")</f>
        <v/>
      </c>
      <c r="B25" s="11" t="str">
        <f aca="false" t="array" ref="B25:B25">IFERROR(INDEX('Bank Schedule'!B:B, SMALL(IF('Bank Schedule'!$K$2:$K$817="Vacant", ROW('Bank Schedule'!$K$2:$K$817)), ROW(22:22))), "")</f>
        <v>CM</v>
      </c>
      <c r="C25" s="11" t="str">
        <f aca="false" t="array" ref="C25:C25">IFERROR(INDEX('Bank Schedule'!C:C, SMALL(IF('Bank Schedule'!$K$2:$K$817="Vacant", ROW('Bank Schedule'!$K$2:$K$817)), ROW(22:22))), "")</f>
        <v>MEL</v>
      </c>
      <c r="D25" s="11" t="n">
        <f aca="false" t="array" ref="D25:D25">IFERROR(INDEX('Bank Schedule'!D:D, SMALL(IF('Bank Schedule'!$K$2:$K$817="Vacant", ROW('Bank Schedule'!$K$2:$K$817)), ROW(22:22))), "")</f>
        <v>550830</v>
      </c>
      <c r="E25" s="94" t="str">
        <f aca="false" t="array" ref="E25:E25">IFERROR(INDEX('Bank Schedule'!E:E, SMALL(IF('Bank Schedule'!$K$2:$K$817="Vacant", ROW('Bank Schedule'!$K$2:$K$817)), ROW(22:22))), "")</f>
        <v>42-48 Great Portland Street</v>
      </c>
      <c r="F25" s="94" t="str">
        <f aca="false" t="array" ref="F25:F25">IFERROR(INDEX('Bank Schedule'!F:F, SMALL(IF('Bank Schedule'!$K$2:$K$817="Vacant", ROW('Bank Schedule'!$K$2:$K$817)), ROW(22:22))), "")</f>
        <v>Fifth Floor</v>
      </c>
      <c r="G25" s="94" t="str">
        <f aca="false" t="array" ref="G25:G25">IFERROR(INDEX('Bank Schedule'!G:G, SMALL(IF('Bank Schedule'!$K$2:$K$817="Vacant", ROW('Bank Schedule'!$K$2:$K$817)), ROW(22:22))), "")</f>
        <v>Office</v>
      </c>
      <c r="H25" s="14" t="n">
        <f aca="false" t="array" ref="H25:H25">IFERROR(INDEX('Bank Schedule'!H:H, SMALL(IF('Bank Schedule'!$K$2:$K$817="Vacant", ROW('Bank Schedule'!$K$2:$K$817)), ROW(22:22))), "")</f>
        <v>784</v>
      </c>
      <c r="I25" s="14" t="n">
        <f aca="false" t="array" ref="I25:I25">IFERROR(INDEX('Bank Schedule'!I:I, SMALL(IF('Bank Schedule'!$K$2:$K$817="Vacant", ROW('Bank Schedule'!$K$2:$K$817)), ROW(22:22))), "")</f>
        <v>784</v>
      </c>
      <c r="J25" s="11" t="str">
        <f aca="false" t="array" ref="J25:J25">IFERROR(INDEX('Bank Schedule'!K:K, SMALL(IF('Bank Schedule'!$K$2:$K$817="Vacant", ROW('Bank Schedule'!$K$2:$K$817)), ROW(22:22))), "")</f>
        <v>Vacant</v>
      </c>
      <c r="K25" s="11" t="str">
        <f aca="false">IFERROR(INDEX('Bank Schedule'!L:L, SMALL(IF('Bank Schedule'!$K$2:$K$817="Vacant", ROW('Bank Schedule'!$K$2:$K$817)), ROW(22:22))), "")</f>
        <v/>
      </c>
      <c r="L25" s="11" t="str">
        <f aca="false">IFERROR(INDEX('Bank Schedule'!M:M, SMALL(IF('Bank Schedule'!$K$2:$K$817="Vacant", ROW('Bank Schedule'!$K$2:$K$817)), ROW(22:22))), "")</f>
        <v/>
      </c>
      <c r="M25" s="71" t="n">
        <f aca="false" t="array" ref="M25:M25">IFERROR(INDEX('Bank Schedule'!N:N, SMALL(IF('Bank Schedule'!$K$2:$K$817="Vacant", ROW('Bank Schedule'!$K$2:$K$817)), ROW(22:22))), "")</f>
        <v>44734</v>
      </c>
      <c r="N25" s="11" t="str">
        <f aca="false">IFERROR(INDEX('Bank Schedule'!O:O, SMALL(IF('Bank Schedule'!$K$2:$K$817="Vacant", ROW('Bank Schedule'!$K$2:$K$817)), ROW(22:22))), "")</f>
        <v/>
      </c>
      <c r="O25" s="11" t="str">
        <f aca="false">IFERROR(INDEX('Bank Schedule'!P:P, SMALL(IF('Bank Schedule'!$K$2:$K$817="Vacant", ROW('Bank Schedule'!$K$2:$K$817)), ROW(22:22))), "")</f>
        <v/>
      </c>
      <c r="P25" s="11" t="n">
        <f aca="false" t="array" ref="P25:P25">IFERROR(INDEX('Bank Schedule'!Q:Q, SMALL(IF('Bank Schedule'!$K$2:$K$817="Vacant", ROW('Bank Schedule'!$K$2:$K$817)), ROW(22:22))), "")</f>
        <v>0</v>
      </c>
      <c r="Q25" s="11" t="n">
        <f aca="false" t="array" ref="Q25:Q25">IFERROR(INDEX('Bank Schedule'!R:R, SMALL(IF('Bank Schedule'!$K$2:$K$817="Vacant", ROW('Bank Schedule'!$K$2:$K$817)), ROW(22:22))), "")</f>
        <v>0</v>
      </c>
      <c r="R25" s="11" t="str">
        <f aca="false">IFERROR(INDEX('Bank Schedule'!S:S, SMALL(IF('Bank Schedule'!$K$2:$K$817="Vacant", ROW('Bank Schedule'!$K$2:$K$817)), ROW(22:22))), "")</f>
        <v/>
      </c>
      <c r="S25" s="281" t="n">
        <f aca="false" t="array" ref="S25:S25">IFERROR(INDEX('Bank Schedule'!T:T, SMALL(IF('Bank Schedule'!$K$2:$K$817="Vacant", ROW('Bank Schedule'!$K$2:$K$817)), ROW(22:22))), "")</f>
        <v>39030</v>
      </c>
      <c r="T25" s="281" t="n">
        <f aca="false" t="array" ref="T25:T25">IFERROR(INDEX('Bank Schedule'!U:U, SMALL(IF('Bank Schedule'!$K$2:$K$817="Vacant", ROW('Bank Schedule'!$K$2:$K$817)), ROW(22:22))), "")</f>
        <v>39030</v>
      </c>
      <c r="U25" s="281" t="n">
        <f aca="false" t="array" ref="U25:U25">IFERROR(INDEX('Bank Schedule'!V:V, SMALL(IF('Bank Schedule'!$K$2:$K$817="Vacant", ROW('Bank Schedule'!$K$2:$K$817)), ROW(22:22))), "")</f>
        <v>49000</v>
      </c>
      <c r="V25" s="281" t="n">
        <f aca="false" t="array" ref="V25:V25">IFERROR(INDEX('Bank Schedule'!W:W, SMALL(IF('Bank Schedule'!$K$2:$K$817="Vacant", ROW('Bank Schedule'!$K$2:$K$817)), ROW(22:22))), "")</f>
        <v>49000</v>
      </c>
      <c r="W25" s="282" t="n">
        <f aca="false" t="array" ref="W25:W25">IFERROR(INDEX('Bank Schedule'!X:X, SMALL(IF('Bank Schedule'!$K$2:$K$817="Vacant", ROW('Bank Schedule'!$K$2:$K$817)), ROW(22:22))), "")</f>
        <v>49.7831632653061</v>
      </c>
      <c r="X25" s="11" t="str">
        <f aca="false" t="array" ref="X25:X25">IFERROR(INDEX('Bank Schedule'!Y:Y, SMALL(IF('Bank Schedule'!$K$2:$K$817="Vacant", ROW('Bank Schedule'!$K$2:$K$817)), ROW(22:22))), "")</f>
        <v>D</v>
      </c>
      <c r="Y25" s="11" t="str">
        <f aca="false">IFERROR(INDEX('Bank Schedule'!Z:Z, SMALL(IF('Bank Schedule'!$K$2:$K$817="Vacant", ROW('Bank Schedule'!$K$2:$K$817)), ROW(22:22))), "")</f>
        <v/>
      </c>
      <c r="Z25" s="11" t="str">
        <f aca="false">IFERROR(INDEX('Bank Schedule'!AA:AA, SMALL(IF('Bank Schedule'!$K$2:$K$817="Vacant", ROW('Bank Schedule'!$K$2:$K$817)), ROW(22:22))), "")</f>
        <v/>
      </c>
      <c r="AA25" s="11" t="str">
        <f aca="false" t="array" ref="AA25:AA25">IFERROR(INDEX('Bank Schedule'!AB:AB, SMALL(IF('Bank Schedule'!$K$2:$K$817="Vacant", ROW('Bank Schedule'!$K$2:$K$817)), ROW(22:22))), "")</f>
        <v>No</v>
      </c>
      <c r="AB25" s="94" t="str">
        <f aca="false" t="array" ref="AB25:AB25">IFERROR(INDEX('Bank Schedule'!AC:AC, SMALL(IF('Bank Schedule'!$K$2:$K$817="Vacant", ROW('Bank Schedule'!$K$2:$K$817)), ROW(22:22))), "")</f>
        <v>Unit being refurbished.</v>
      </c>
      <c r="AC25" s="44" t="str">
        <f aca="false">IFERROR(INDEX('Bank Schedule'!AD:AD, SMALL(IF('Bank Schedule'!$K$2:$K$817="Vacant", ROW('Bank Schedule'!$K$2:$K$817)), ROW(22:22))), "")</f>
        <v/>
      </c>
      <c r="AD25" s="11" t="str">
        <f aca="false">IFERROR(INDEX('Bank Schedule'!AE:AE, SMALL(IF('Bank Schedule'!$K$2:$K$817="Vacant", ROW('Bank Schedule'!$K$2:$K$817)), ROW(22:22))), "")</f>
        <v/>
      </c>
      <c r="AE25" s="11" t="str">
        <f aca="false">IFERROR(INDEX('Bank Schedule'!AF:AF, SMALL(IF('Bank Schedule'!$K$2:$K$817="Vacant", ROW('Bank Schedule'!$K$2:$K$817)), ROW(22:22))), "")</f>
        <v/>
      </c>
      <c r="AF25" s="11" t="str">
        <f aca="false">IFERROR(INDEX('Bank Schedule'!AG:AG, SMALL(IF('Bank Schedule'!$K$2:$K$817="Vacant", ROW('Bank Schedule'!$K$2:$K$817)), ROW(22:22))), "")</f>
        <v/>
      </c>
      <c r="AG25" s="4"/>
    </row>
    <row r="26" customFormat="false" ht="28.5" hidden="false" customHeight="true" outlineLevel="0" collapsed="false">
      <c r="A26" s="28" t="str">
        <f aca="false">IFERROR(INDEX('Bank Schedule'!A:A, SMALL(IF('Bank Schedule'!$K$2:$K$817="Vacant", ROW('Bank Schedule'!$K$2:$K$817)), ROW(23:23))), "")</f>
        <v/>
      </c>
      <c r="B26" s="11" t="str">
        <f aca="false" t="array" ref="B26:B26">IFERROR(INDEX('Bank Schedule'!B:B, SMALL(IF('Bank Schedule'!$K$2:$K$817="Vacant", ROW('Bank Schedule'!$K$2:$K$817)), ROW(23:23))), "")</f>
        <v>CD</v>
      </c>
      <c r="C26" s="11" t="str">
        <f aca="false" t="array" ref="C26:C26">IFERROR(INDEX('Bank Schedule'!C:C, SMALL(IF('Bank Schedule'!$K$2:$K$817="Vacant", ROW('Bank Schedule'!$K$2:$K$817)), ROW(23:23))), "")</f>
        <v>MEL</v>
      </c>
      <c r="D26" s="11" t="n">
        <f aca="false" t="array" ref="D26:D26">IFERROR(INDEX('Bank Schedule'!D:D, SMALL(IF('Bank Schedule'!$K$2:$K$817="Vacant", ROW('Bank Schedule'!$K$2:$K$817)), ROW(23:23))), "")</f>
        <v>550990</v>
      </c>
      <c r="E26" s="94" t="str">
        <f aca="false" t="array" ref="E26:E26">IFERROR(INDEX('Bank Schedule'!E:E, SMALL(IF('Bank Schedule'!$K$2:$K$817="Vacant", ROW('Bank Schedule'!$K$2:$K$817)), ROW(23:23))), "")</f>
        <v>50 Great Portland Street</v>
      </c>
      <c r="F26" s="94" t="str">
        <f aca="false" t="array" ref="F26:F26">IFERROR(INDEX('Bank Schedule'!F:F, SMALL(IF('Bank Schedule'!$K$2:$K$817="Vacant", ROW('Bank Schedule'!$K$2:$K$817)), ROW(23:23))), "")</f>
        <v>Second Floor</v>
      </c>
      <c r="G26" s="94" t="str">
        <f aca="false" t="array" ref="G26:G26">IFERROR(INDEX('Bank Schedule'!G:G, SMALL(IF('Bank Schedule'!$K$2:$K$817="Vacant", ROW('Bank Schedule'!$K$2:$K$817)), ROW(23:23))), "")</f>
        <v>Office</v>
      </c>
      <c r="H26" s="14" t="n">
        <f aca="false" t="array" ref="H26:H26">IFERROR(INDEX('Bank Schedule'!H:H, SMALL(IF('Bank Schedule'!$K$2:$K$817="Vacant", ROW('Bank Schedule'!$K$2:$K$817)), ROW(23:23))), "")</f>
        <v>304</v>
      </c>
      <c r="I26" s="14" t="n">
        <f aca="false" t="array" ref="I26:I26">IFERROR(INDEX('Bank Schedule'!I:I, SMALL(IF('Bank Schedule'!$K$2:$K$817="Vacant", ROW('Bank Schedule'!$K$2:$K$817)), ROW(23:23))), "")</f>
        <v>304</v>
      </c>
      <c r="J26" s="11" t="str">
        <f aca="false" t="array" ref="J26:J26">IFERROR(INDEX('Bank Schedule'!K:K, SMALL(IF('Bank Schedule'!$K$2:$K$817="Vacant", ROW('Bank Schedule'!$K$2:$K$817)), ROW(23:23))), "")</f>
        <v>Vacant</v>
      </c>
      <c r="K26" s="11" t="str">
        <f aca="false">IFERROR(INDEX('Bank Schedule'!L:L, SMALL(IF('Bank Schedule'!$K$2:$K$817="Vacant", ROW('Bank Schedule'!$K$2:$K$817)), ROW(23:23))), "")</f>
        <v/>
      </c>
      <c r="L26" s="11" t="str">
        <f aca="false">IFERROR(INDEX('Bank Schedule'!M:M, SMALL(IF('Bank Schedule'!$K$2:$K$817="Vacant", ROW('Bank Schedule'!$K$2:$K$817)), ROW(23:23))), "")</f>
        <v/>
      </c>
      <c r="M26" s="71" t="n">
        <f aca="false" t="array" ref="M26:M26">IFERROR(INDEX('Bank Schedule'!N:N, SMALL(IF('Bank Schedule'!$K$2:$K$817="Vacant", ROW('Bank Schedule'!$K$2:$K$817)), ROW(23:23))), "")</f>
        <v>43256</v>
      </c>
      <c r="N26" s="11" t="str">
        <f aca="false">IFERROR(INDEX('Bank Schedule'!O:O, SMALL(IF('Bank Schedule'!$K$2:$K$817="Vacant", ROW('Bank Schedule'!$K$2:$K$817)), ROW(23:23))), "")</f>
        <v/>
      </c>
      <c r="O26" s="11" t="str">
        <f aca="false">IFERROR(INDEX('Bank Schedule'!P:P, SMALL(IF('Bank Schedule'!$K$2:$K$817="Vacant", ROW('Bank Schedule'!$K$2:$K$817)), ROW(23:23))), "")</f>
        <v/>
      </c>
      <c r="P26" s="11" t="n">
        <f aca="false" t="array" ref="P26:P26">IFERROR(INDEX('Bank Schedule'!Q:Q, SMALL(IF('Bank Schedule'!$K$2:$K$817="Vacant", ROW('Bank Schedule'!$K$2:$K$817)), ROW(23:23))), "")</f>
        <v>0</v>
      </c>
      <c r="Q26" s="11" t="n">
        <f aca="false" t="array" ref="Q26:Q26">IFERROR(INDEX('Bank Schedule'!R:R, SMALL(IF('Bank Schedule'!$K$2:$K$817="Vacant", ROW('Bank Schedule'!$K$2:$K$817)), ROW(23:23))), "")</f>
        <v>0</v>
      </c>
      <c r="R26" s="11" t="str">
        <f aca="false">IFERROR(INDEX('Bank Schedule'!S:S, SMALL(IF('Bank Schedule'!$K$2:$K$817="Vacant", ROW('Bank Schedule'!$K$2:$K$817)), ROW(23:23))), "")</f>
        <v/>
      </c>
      <c r="S26" s="281" t="n">
        <f aca="false" t="array" ref="S26:S26">IFERROR(INDEX('Bank Schedule'!T:T, SMALL(IF('Bank Schedule'!$K$2:$K$817="Vacant", ROW('Bank Schedule'!$K$2:$K$817)), ROW(23:23))), "")</f>
        <v>15800</v>
      </c>
      <c r="T26" s="281" t="n">
        <f aca="false" t="array" ref="T26:T26">IFERROR(INDEX('Bank Schedule'!U:U, SMALL(IF('Bank Schedule'!$K$2:$K$817="Vacant", ROW('Bank Schedule'!$K$2:$K$817)), ROW(23:23))), "")</f>
        <v>15800</v>
      </c>
      <c r="U26" s="281" t="n">
        <f aca="false" t="array" ref="U26:U26">IFERROR(INDEX('Bank Schedule'!V:V, SMALL(IF('Bank Schedule'!$K$2:$K$817="Vacant", ROW('Bank Schedule'!$K$2:$K$817)), ROW(23:23))), "")</f>
        <v>16700</v>
      </c>
      <c r="V26" s="281" t="n">
        <f aca="false" t="array" ref="V26:V26">IFERROR(INDEX('Bank Schedule'!W:W, SMALL(IF('Bank Schedule'!$K$2:$K$817="Vacant", ROW('Bank Schedule'!$K$2:$K$817)), ROW(23:23))), "")</f>
        <v>16700</v>
      </c>
      <c r="W26" s="282" t="n">
        <f aca="false" t="array" ref="W26:W26">IFERROR(INDEX('Bank Schedule'!X:X, SMALL(IF('Bank Schedule'!$K$2:$K$817="Vacant", ROW('Bank Schedule'!$K$2:$K$817)), ROW(23:23))), "")</f>
        <v>51.9736842105263</v>
      </c>
      <c r="X26" s="11" t="str">
        <f aca="false">IFERROR(INDEX('Bank Schedule'!Y:Y, SMALL(IF('Bank Schedule'!$K$2:$K$817="Vacant", ROW('Bank Schedule'!$K$2:$K$817)), ROW(23:23))), "")</f>
        <v/>
      </c>
      <c r="Y26" s="11" t="str">
        <f aca="false">IFERROR(INDEX('Bank Schedule'!Z:Z, SMALL(IF('Bank Schedule'!$K$2:$K$817="Vacant", ROW('Bank Schedule'!$K$2:$K$817)), ROW(23:23))), "")</f>
        <v/>
      </c>
      <c r="Z26" s="11" t="str">
        <f aca="false">IFERROR(INDEX('Bank Schedule'!AA:AA, SMALL(IF('Bank Schedule'!$K$2:$K$817="Vacant", ROW('Bank Schedule'!$K$2:$K$817)), ROW(23:23))), "")</f>
        <v/>
      </c>
      <c r="AA26" s="11" t="str">
        <f aca="false" t="array" ref="AA26:AA26">IFERROR(INDEX('Bank Schedule'!AB:AB, SMALL(IF('Bank Schedule'!$K$2:$K$817="Vacant", ROW('Bank Schedule'!$K$2:$K$817)), ROW(23:23))), "")</f>
        <v>No</v>
      </c>
      <c r="AB26" s="94" t="str">
        <f aca="false" t="array" ref="AB26:AB26">IFERROR(INDEX('Bank Schedule'!AC:AC, SMALL(IF('Bank Schedule'!$K$2:$K$817="Vacant", ROW('Bank Schedule'!$K$2:$K$817)), ROW(23:23))), "")</f>
        <v>To be refurbished.</v>
      </c>
      <c r="AC26" s="44" t="str">
        <f aca="false">IFERROR(INDEX('Bank Schedule'!AD:AD, SMALL(IF('Bank Schedule'!$K$2:$K$817="Vacant", ROW('Bank Schedule'!$K$2:$K$817)), ROW(23:23))), "")</f>
        <v/>
      </c>
      <c r="AD26" s="11" t="str">
        <f aca="false">IFERROR(INDEX('Bank Schedule'!AE:AE, SMALL(IF('Bank Schedule'!$K$2:$K$817="Vacant", ROW('Bank Schedule'!$K$2:$K$817)), ROW(23:23))), "")</f>
        <v/>
      </c>
      <c r="AE26" s="11" t="str">
        <f aca="false">IFERROR(INDEX('Bank Schedule'!AF:AF, SMALL(IF('Bank Schedule'!$K$2:$K$817="Vacant", ROW('Bank Schedule'!$K$2:$K$817)), ROW(23:23))), "")</f>
        <v/>
      </c>
      <c r="AF26" s="11" t="str">
        <f aca="false">IFERROR(INDEX('Bank Schedule'!AG:AG, SMALL(IF('Bank Schedule'!$K$2:$K$817="Vacant", ROW('Bank Schedule'!$K$2:$K$817)), ROW(23:23))), "")</f>
        <v/>
      </c>
      <c r="AG26" s="4"/>
    </row>
    <row r="27" customFormat="false" ht="28.5" hidden="false" customHeight="true" outlineLevel="0" collapsed="false">
      <c r="A27" s="28" t="str">
        <f aca="false">IFERROR(INDEX('Bank Schedule'!A:A, SMALL(IF('Bank Schedule'!$K$2:$K$817="Vacant", ROW('Bank Schedule'!$K$2:$K$817)), ROW(24:24))), "")</f>
        <v/>
      </c>
      <c r="B27" s="11" t="str">
        <f aca="false" t="array" ref="B27:B27">IFERROR(INDEX('Bank Schedule'!B:B, SMALL(IF('Bank Schedule'!$K$2:$K$817="Vacant", ROW('Bank Schedule'!$K$2:$K$817)), ROW(24:24))), "")</f>
        <v>WS</v>
      </c>
      <c r="C27" s="11" t="str">
        <f aca="false" t="array" ref="C27:C27">IFERROR(INDEX('Bank Schedule'!C:C, SMALL(IF('Bank Schedule'!$K$2:$K$817="Vacant", ROW('Bank Schedule'!$K$2:$K$817)), ROW(24:24))), "")</f>
        <v>MEL</v>
      </c>
      <c r="D27" s="11" t="n">
        <f aca="false" t="array" ref="D27:D27">IFERROR(INDEX('Bank Schedule'!D:D, SMALL(IF('Bank Schedule'!$K$2:$K$817="Vacant", ROW('Bank Schedule'!$K$2:$K$817)), ROW(24:24))), "")</f>
        <v>550700</v>
      </c>
      <c r="E27" s="94" t="str">
        <f aca="false" t="array" ref="E27:E27">IFERROR(INDEX('Bank Schedule'!E:E, SMALL(IF('Bank Schedule'!$K$2:$K$817="Vacant", ROW('Bank Schedule'!$K$2:$K$817)), ROW(24:24))), "")</f>
        <v>51 Great Portland Street</v>
      </c>
      <c r="F27" s="94" t="str">
        <f aca="false" t="array" ref="F27:F27">IFERROR(INDEX('Bank Schedule'!F:F, SMALL(IF('Bank Schedule'!$K$2:$K$817="Vacant", ROW('Bank Schedule'!$K$2:$K$817)), ROW(24:24))), "")</f>
        <v>First Floor</v>
      </c>
      <c r="G27" s="94" t="str">
        <f aca="false" t="array" ref="G27:G27">IFERROR(INDEX('Bank Schedule'!G:G, SMALL(IF('Bank Schedule'!$K$2:$K$817="Vacant", ROW('Bank Schedule'!$K$2:$K$817)), ROW(24:24))), "")</f>
        <v>Office</v>
      </c>
      <c r="H27" s="14" t="n">
        <f aca="false" t="array" ref="H27:H27">IFERROR(INDEX('Bank Schedule'!H:H, SMALL(IF('Bank Schedule'!$K$2:$K$817="Vacant", ROW('Bank Schedule'!$K$2:$K$817)), ROW(24:24))), "")</f>
        <v>325</v>
      </c>
      <c r="I27" s="14" t="n">
        <f aca="false" t="array" ref="I27:I27">IFERROR(INDEX('Bank Schedule'!I:I, SMALL(IF('Bank Schedule'!$K$2:$K$817="Vacant", ROW('Bank Schedule'!$K$2:$K$817)), ROW(24:24))), "")</f>
        <v>325</v>
      </c>
      <c r="J27" s="11" t="str">
        <f aca="false" t="array" ref="J27:J27">IFERROR(INDEX('Bank Schedule'!K:K, SMALL(IF('Bank Schedule'!$K$2:$K$817="Vacant", ROW('Bank Schedule'!$K$2:$K$817)), ROW(24:24))), "")</f>
        <v>Vacant</v>
      </c>
      <c r="K27" s="11" t="str">
        <f aca="false">IFERROR(INDEX('Bank Schedule'!L:L, SMALL(IF('Bank Schedule'!$K$2:$K$817="Vacant", ROW('Bank Schedule'!$K$2:$K$817)), ROW(24:24))), "")</f>
        <v/>
      </c>
      <c r="L27" s="11" t="str">
        <f aca="false">IFERROR(INDEX('Bank Schedule'!M:M, SMALL(IF('Bank Schedule'!$K$2:$K$817="Vacant", ROW('Bank Schedule'!$K$2:$K$817)), ROW(24:24))), "")</f>
        <v/>
      </c>
      <c r="M27" s="71" t="n">
        <f aca="false" t="array" ref="M27:M27">IFERROR(INDEX('Bank Schedule'!N:N, SMALL(IF('Bank Schedule'!$K$2:$K$817="Vacant", ROW('Bank Schedule'!$K$2:$K$817)), ROW(24:24))), "")</f>
        <v>45282</v>
      </c>
      <c r="N27" s="11" t="str">
        <f aca="false">IFERROR(INDEX('Bank Schedule'!O:O, SMALL(IF('Bank Schedule'!$K$2:$K$817="Vacant", ROW('Bank Schedule'!$K$2:$K$817)), ROW(24:24))), "")</f>
        <v/>
      </c>
      <c r="O27" s="11" t="str">
        <f aca="false">IFERROR(INDEX('Bank Schedule'!P:P, SMALL(IF('Bank Schedule'!$K$2:$K$817="Vacant", ROW('Bank Schedule'!$K$2:$K$817)), ROW(24:24))), "")</f>
        <v/>
      </c>
      <c r="P27" s="11" t="n">
        <f aca="false" t="array" ref="P27:P27">IFERROR(INDEX('Bank Schedule'!Q:Q, SMALL(IF('Bank Schedule'!$K$2:$K$817="Vacant", ROW('Bank Schedule'!$K$2:$K$817)), ROW(24:24))), "")</f>
        <v>0</v>
      </c>
      <c r="Q27" s="11" t="n">
        <f aca="false" t="array" ref="Q27:Q27">IFERROR(INDEX('Bank Schedule'!R:R, SMALL(IF('Bank Schedule'!$K$2:$K$817="Vacant", ROW('Bank Schedule'!$K$2:$K$817)), ROW(24:24))), "")</f>
        <v>0</v>
      </c>
      <c r="R27" s="11" t="str">
        <f aca="false">IFERROR(INDEX('Bank Schedule'!S:S, SMALL(IF('Bank Schedule'!$K$2:$K$817="Vacant", ROW('Bank Schedule'!$K$2:$K$817)), ROW(24:24))), "")</f>
        <v/>
      </c>
      <c r="S27" s="281" t="n">
        <f aca="false" t="array" ref="S27:S27">IFERROR(INDEX('Bank Schedule'!T:T, SMALL(IF('Bank Schedule'!$K$2:$K$817="Vacant", ROW('Bank Schedule'!$K$2:$K$817)), ROW(24:24))), "")</f>
        <v>17100</v>
      </c>
      <c r="T27" s="281" t="n">
        <f aca="false" t="array" ref="T27:T27">IFERROR(INDEX('Bank Schedule'!U:U, SMALL(IF('Bank Schedule'!$K$2:$K$817="Vacant", ROW('Bank Schedule'!$K$2:$K$817)), ROW(24:24))), "")</f>
        <v>17100</v>
      </c>
      <c r="U27" s="281" t="n">
        <f aca="false" t="array" ref="U27:U27">IFERROR(INDEX('Bank Schedule'!V:V, SMALL(IF('Bank Schedule'!$K$2:$K$817="Vacant", ROW('Bank Schedule'!$K$2:$K$817)), ROW(24:24))), "")</f>
        <v>17100</v>
      </c>
      <c r="V27" s="281" t="n">
        <f aca="false" t="array" ref="V27:V27">IFERROR(INDEX('Bank Schedule'!W:W, SMALL(IF('Bank Schedule'!$K$2:$K$817="Vacant", ROW('Bank Schedule'!$K$2:$K$817)), ROW(24:24))), "")</f>
        <v>17100</v>
      </c>
      <c r="W27" s="282" t="n">
        <f aca="false" t="array" ref="W27:W27">IFERROR(INDEX('Bank Schedule'!X:X, SMALL(IF('Bank Schedule'!$K$2:$K$817="Vacant", ROW('Bank Schedule'!$K$2:$K$817)), ROW(24:24))), "")</f>
        <v>52.6153846153846</v>
      </c>
      <c r="X27" s="11" t="str">
        <f aca="false" t="array" ref="X27:X27">IFERROR(INDEX('Bank Schedule'!Y:Y, SMALL(IF('Bank Schedule'!$K$2:$K$817="Vacant", ROW('Bank Schedule'!$K$2:$K$817)), ROW(24:24))), "")</f>
        <v>E</v>
      </c>
      <c r="Y27" s="11" t="str">
        <f aca="false">IFERROR(INDEX('Bank Schedule'!Z:Z, SMALL(IF('Bank Schedule'!$K$2:$K$817="Vacant", ROW('Bank Schedule'!$K$2:$K$817)), ROW(24:24))), "")</f>
        <v/>
      </c>
      <c r="Z27" s="11" t="str">
        <f aca="false">IFERROR(INDEX('Bank Schedule'!AA:AA, SMALL(IF('Bank Schedule'!$K$2:$K$817="Vacant", ROW('Bank Schedule'!$K$2:$K$817)), ROW(24:24))), "")</f>
        <v/>
      </c>
      <c r="AA27" s="11" t="str">
        <f aca="false" t="array" ref="AA27:AA27">IFERROR(INDEX('Bank Schedule'!AB:AB, SMALL(IF('Bank Schedule'!$K$2:$K$817="Vacant", ROW('Bank Schedule'!$K$2:$K$817)), ROW(24:24))), "")</f>
        <v>No</v>
      </c>
      <c r="AB27" s="94" t="str">
        <f aca="false" t="array" ref="AB27:AB27">IFERROR(INDEX('Bank Schedule'!AC:AC, SMALL(IF('Bank Schedule'!$K$2:$K$817="Vacant", ROW('Bank Schedule'!$K$2:$K$817)), ROW(24:24))), "")</f>
        <v>Under offer</v>
      </c>
      <c r="AC27" s="44" t="n">
        <f aca="false" t="array" ref="AC27:AC27">IFERROR(INDEX('Bank Schedule'!AD:AD, SMALL(IF('Bank Schedule'!$K$2:$K$817="Vacant", ROW('Bank Schedule'!$K$2:$K$817)), ROW(24:24))), "")</f>
        <v>58</v>
      </c>
      <c r="AD27" s="11" t="str">
        <f aca="false">IFERROR(INDEX('Bank Schedule'!AE:AE, SMALL(IF('Bank Schedule'!$K$2:$K$817="Vacant", ROW('Bank Schedule'!$K$2:$K$817)), ROW(24:24))), "")</f>
        <v/>
      </c>
      <c r="AE27" s="11" t="n">
        <f aca="false" t="array" ref="AE27:AE27">IFERROR(INDEX('Bank Schedule'!AF:AF, SMALL(IF('Bank Schedule'!$K$2:$K$817="Vacant", ROW('Bank Schedule'!$K$2:$K$817)), ROW(24:24))), "")</f>
        <v>1</v>
      </c>
      <c r="AF27" s="11" t="str">
        <f aca="false">IFERROR(INDEX('Bank Schedule'!AG:AG, SMALL(IF('Bank Schedule'!$K$2:$K$817="Vacant", ROW('Bank Schedule'!$K$2:$K$817)), ROW(24:24))), "")</f>
        <v/>
      </c>
      <c r="AG27" s="4"/>
    </row>
    <row r="28" customFormat="false" ht="28.5" hidden="false" customHeight="true" outlineLevel="0" collapsed="false">
      <c r="A28" s="28" t="str">
        <f aca="false">IFERROR(INDEX('Bank Schedule'!A:A, SMALL(IF('Bank Schedule'!$K$2:$K$817="Vacant", ROW('Bank Schedule'!$K$2:$K$817)), ROW(25:25))), "")</f>
        <v/>
      </c>
      <c r="B28" s="11" t="str">
        <f aca="false" t="array" ref="B28:B28">IFERROR(INDEX('Bank Schedule'!B:B, SMALL(IF('Bank Schedule'!$K$2:$K$817="Vacant", ROW('Bank Schedule'!$K$2:$K$817)), ROW(25:25))), "")</f>
        <v>WS</v>
      </c>
      <c r="C28" s="11" t="str">
        <f aca="false" t="array" ref="C28:C28">IFERROR(INDEX('Bank Schedule'!C:C, SMALL(IF('Bank Schedule'!$K$2:$K$817="Vacant", ROW('Bank Schedule'!$K$2:$K$817)), ROW(25:25))), "")</f>
        <v>MEL</v>
      </c>
      <c r="D28" s="11" t="n">
        <f aca="false" t="array" ref="D28:D28">IFERROR(INDEX('Bank Schedule'!D:D, SMALL(IF('Bank Schedule'!$K$2:$K$817="Vacant", ROW('Bank Schedule'!$K$2:$K$817)), ROW(25:25))), "")</f>
        <v>550700</v>
      </c>
      <c r="E28" s="94" t="str">
        <f aca="false" t="array" ref="E28:E28">IFERROR(INDEX('Bank Schedule'!E:E, SMALL(IF('Bank Schedule'!$K$2:$K$817="Vacant", ROW('Bank Schedule'!$K$2:$K$817)), ROW(25:25))), "")</f>
        <v>51 Great Portland Street</v>
      </c>
      <c r="F28" s="94" t="str">
        <f aca="false" t="array" ref="F28:F28">IFERROR(INDEX('Bank Schedule'!F:F, SMALL(IF('Bank Schedule'!$K$2:$K$817="Vacant", ROW('Bank Schedule'!$K$2:$K$817)), ROW(25:25))), "")</f>
        <v>Third Floor</v>
      </c>
      <c r="G28" s="94" t="str">
        <f aca="false" t="array" ref="G28:G28">IFERROR(INDEX('Bank Schedule'!G:G, SMALL(IF('Bank Schedule'!$K$2:$K$817="Vacant", ROW('Bank Schedule'!$K$2:$K$817)), ROW(25:25))), "")</f>
        <v>Office</v>
      </c>
      <c r="H28" s="14" t="n">
        <f aca="false" t="array" ref="H28:H28">IFERROR(INDEX('Bank Schedule'!H:H, SMALL(IF('Bank Schedule'!$K$2:$K$817="Vacant", ROW('Bank Schedule'!$K$2:$K$817)), ROW(25:25))), "")</f>
        <v>325</v>
      </c>
      <c r="I28" s="14" t="n">
        <f aca="false" t="array" ref="I28:I28">IFERROR(INDEX('Bank Schedule'!I:I, SMALL(IF('Bank Schedule'!$K$2:$K$817="Vacant", ROW('Bank Schedule'!$K$2:$K$817)), ROW(25:25))), "")</f>
        <v>325</v>
      </c>
      <c r="J28" s="11" t="str">
        <f aca="false" t="array" ref="J28:J28">IFERROR(INDEX('Bank Schedule'!K:K, SMALL(IF('Bank Schedule'!$K$2:$K$817="Vacant", ROW('Bank Schedule'!$K$2:$K$817)), ROW(25:25))), "")</f>
        <v>Vacant</v>
      </c>
      <c r="K28" s="11" t="str">
        <f aca="false">IFERROR(INDEX('Bank Schedule'!L:L, SMALL(IF('Bank Schedule'!$K$2:$K$817="Vacant", ROW('Bank Schedule'!$K$2:$K$817)), ROW(25:25))), "")</f>
        <v/>
      </c>
      <c r="L28" s="11" t="str">
        <f aca="false">IFERROR(INDEX('Bank Schedule'!M:M, SMALL(IF('Bank Schedule'!$K$2:$K$817="Vacant", ROW('Bank Schedule'!$K$2:$K$817)), ROW(25:25))), "")</f>
        <v/>
      </c>
      <c r="M28" s="71" t="n">
        <f aca="false" t="array" ref="M28:M28">IFERROR(INDEX('Bank Schedule'!N:N, SMALL(IF('Bank Schedule'!$K$2:$K$817="Vacant", ROW('Bank Schedule'!$K$2:$K$817)), ROW(25:25))), "")</f>
        <v>44714</v>
      </c>
      <c r="N28" s="11" t="str">
        <f aca="false">IFERROR(INDEX('Bank Schedule'!O:O, SMALL(IF('Bank Schedule'!$K$2:$K$817="Vacant", ROW('Bank Schedule'!$K$2:$K$817)), ROW(25:25))), "")</f>
        <v/>
      </c>
      <c r="O28" s="11" t="str">
        <f aca="false">IFERROR(INDEX('Bank Schedule'!P:P, SMALL(IF('Bank Schedule'!$K$2:$K$817="Vacant", ROW('Bank Schedule'!$K$2:$K$817)), ROW(25:25))), "")</f>
        <v/>
      </c>
      <c r="P28" s="11" t="n">
        <f aca="false" t="array" ref="P28:P28">IFERROR(INDEX('Bank Schedule'!Q:Q, SMALL(IF('Bank Schedule'!$K$2:$K$817="Vacant", ROW('Bank Schedule'!$K$2:$K$817)), ROW(25:25))), "")</f>
        <v>0</v>
      </c>
      <c r="Q28" s="11" t="n">
        <f aca="false" t="array" ref="Q28:Q28">IFERROR(INDEX('Bank Schedule'!R:R, SMALL(IF('Bank Schedule'!$K$2:$K$817="Vacant", ROW('Bank Schedule'!$K$2:$K$817)), ROW(25:25))), "")</f>
        <v>0</v>
      </c>
      <c r="R28" s="11" t="str">
        <f aca="false">IFERROR(INDEX('Bank Schedule'!S:S, SMALL(IF('Bank Schedule'!$K$2:$K$817="Vacant", ROW('Bank Schedule'!$K$2:$K$817)), ROW(25:25))), "")</f>
        <v/>
      </c>
      <c r="S28" s="281" t="n">
        <f aca="false" t="array" ref="S28:S28">IFERROR(INDEX('Bank Schedule'!T:T, SMALL(IF('Bank Schedule'!$K$2:$K$817="Vacant", ROW('Bank Schedule'!$K$2:$K$817)), ROW(25:25))), "")</f>
        <v>16300</v>
      </c>
      <c r="T28" s="281" t="n">
        <f aca="false" t="array" ref="T28:T28">IFERROR(INDEX('Bank Schedule'!U:U, SMALL(IF('Bank Schedule'!$K$2:$K$817="Vacant", ROW('Bank Schedule'!$K$2:$K$817)), ROW(25:25))), "")</f>
        <v>16300</v>
      </c>
      <c r="U28" s="281" t="n">
        <f aca="false" t="array" ref="U28:U28">IFERROR(INDEX('Bank Schedule'!V:V, SMALL(IF('Bank Schedule'!$K$2:$K$817="Vacant", ROW('Bank Schedule'!$K$2:$K$817)), ROW(25:25))), "")</f>
        <v>16300</v>
      </c>
      <c r="V28" s="281" t="n">
        <f aca="false" t="array" ref="V28:V28">IFERROR(INDEX('Bank Schedule'!W:W, SMALL(IF('Bank Schedule'!$K$2:$K$817="Vacant", ROW('Bank Schedule'!$K$2:$K$817)), ROW(25:25))), "")</f>
        <v>16300</v>
      </c>
      <c r="W28" s="282" t="n">
        <f aca="false" t="array" ref="W28:W28">IFERROR(INDEX('Bank Schedule'!X:X, SMALL(IF('Bank Schedule'!$K$2:$K$817="Vacant", ROW('Bank Schedule'!$K$2:$K$817)), ROW(25:25))), "")</f>
        <v>50.1538461538462</v>
      </c>
      <c r="X28" s="11" t="str">
        <f aca="false" t="array" ref="X28:X28">IFERROR(INDEX('Bank Schedule'!Y:Y, SMALL(IF('Bank Schedule'!$K$2:$K$817="Vacant", ROW('Bank Schedule'!$K$2:$K$817)), ROW(25:25))), "")</f>
        <v>C</v>
      </c>
      <c r="Y28" s="11" t="str">
        <f aca="false">IFERROR(INDEX('Bank Schedule'!Z:Z, SMALL(IF('Bank Schedule'!$K$2:$K$817="Vacant", ROW('Bank Schedule'!$K$2:$K$817)), ROW(25:25))), "")</f>
        <v/>
      </c>
      <c r="Z28" s="11" t="str">
        <f aca="false">IFERROR(INDEX('Bank Schedule'!AA:AA, SMALL(IF('Bank Schedule'!$K$2:$K$817="Vacant", ROW('Bank Schedule'!$K$2:$K$817)), ROW(25:25))), "")</f>
        <v/>
      </c>
      <c r="AA28" s="11" t="str">
        <f aca="false" t="array" ref="AA28:AA28">IFERROR(INDEX('Bank Schedule'!AB:AB, SMALL(IF('Bank Schedule'!$K$2:$K$817="Vacant", ROW('Bank Schedule'!$K$2:$K$817)), ROW(25:25))), "")</f>
        <v>No</v>
      </c>
      <c r="AB28" s="94" t="str">
        <f aca="false" t="array" ref="AB28:AB28">IFERROR(INDEX('Bank Schedule'!AC:AC, SMALL(IF('Bank Schedule'!$K$2:$K$817="Vacant", ROW('Bank Schedule'!$K$2:$K$817)), ROW(25:25))), "")</f>
        <v>Refurbishement completed. LEM marketing.</v>
      </c>
      <c r="AC28" s="44" t="n">
        <f aca="false" t="array" ref="AC28:AC28">IFERROR(INDEX('Bank Schedule'!AD:AD, SMALL(IF('Bank Schedule'!$K$2:$K$817="Vacant", ROW('Bank Schedule'!$K$2:$K$817)), ROW(25:25))), "")</f>
        <v>52.5</v>
      </c>
      <c r="AD28" s="11" t="str">
        <f aca="false">IFERROR(INDEX('Bank Schedule'!AE:AE, SMALL(IF('Bank Schedule'!$K$2:$K$817="Vacant", ROW('Bank Schedule'!$K$2:$K$817)), ROW(25:25))), "")</f>
        <v/>
      </c>
      <c r="AE28" s="11" t="str">
        <f aca="false">IFERROR(INDEX('Bank Schedule'!AF:AF, SMALL(IF('Bank Schedule'!$K$2:$K$817="Vacant", ROW('Bank Schedule'!$K$2:$K$817)), ROW(25:25))), "")</f>
        <v/>
      </c>
      <c r="AF28" s="11" t="str">
        <f aca="false">IFERROR(INDEX('Bank Schedule'!AG:AG, SMALL(IF('Bank Schedule'!$K$2:$K$817="Vacant", ROW('Bank Schedule'!$K$2:$K$817)), ROW(25:25))), "")</f>
        <v/>
      </c>
      <c r="AG28" s="4"/>
    </row>
    <row r="29" customFormat="false" ht="28.5" hidden="false" customHeight="true" outlineLevel="0" collapsed="false">
      <c r="A29" s="28" t="str">
        <f aca="false">IFERROR(INDEX('Bank Schedule'!A:A, SMALL(IF('Bank Schedule'!$K$2:$K$817="Vacant", ROW('Bank Schedule'!$K$2:$K$817)), ROW(26:26))), "")</f>
        <v/>
      </c>
      <c r="B29" s="11" t="str">
        <f aca="false" t="array" ref="B29:B29">IFERROR(INDEX('Bank Schedule'!B:B, SMALL(IF('Bank Schedule'!$K$2:$K$817="Vacant", ROW('Bank Schedule'!$K$2:$K$817)), ROW(26:26))), "")</f>
        <v>WS</v>
      </c>
      <c r="C29" s="11" t="str">
        <f aca="false" t="array" ref="C29:C29">IFERROR(INDEX('Bank Schedule'!C:C, SMALL(IF('Bank Schedule'!$K$2:$K$817="Vacant", ROW('Bank Schedule'!$K$2:$K$817)), ROW(26:26))), "")</f>
        <v>MEL</v>
      </c>
      <c r="D29" s="11" t="n">
        <f aca="false" t="array" ref="D29:D29">IFERROR(INDEX('Bank Schedule'!D:D, SMALL(IF('Bank Schedule'!$K$2:$K$817="Vacant", ROW('Bank Schedule'!$K$2:$K$817)), ROW(26:26))), "")</f>
        <v>550710</v>
      </c>
      <c r="E29" s="94" t="str">
        <f aca="false" t="array" ref="E29:E29">IFERROR(INDEX('Bank Schedule'!E:E, SMALL(IF('Bank Schedule'!$K$2:$K$817="Vacant", ROW('Bank Schedule'!$K$2:$K$817)), ROW(26:26))), "")</f>
        <v>53 Great Portland Street</v>
      </c>
      <c r="F29" s="94" t="str">
        <f aca="false" t="array" ref="F29:F29">IFERROR(INDEX('Bank Schedule'!F:F, SMALL(IF('Bank Schedule'!$K$2:$K$817="Vacant", ROW('Bank Schedule'!$K$2:$K$817)), ROW(26:26))), "")</f>
        <v>First Floor</v>
      </c>
      <c r="G29" s="94" t="str">
        <f aca="false" t="array" ref="G29:G29">IFERROR(INDEX('Bank Schedule'!G:G, SMALL(IF('Bank Schedule'!$K$2:$K$817="Vacant", ROW('Bank Schedule'!$K$2:$K$817)), ROW(26:26))), "")</f>
        <v>Office</v>
      </c>
      <c r="H29" s="14" t="n">
        <f aca="false" t="array" ref="H29:H29">IFERROR(INDEX('Bank Schedule'!H:H, SMALL(IF('Bank Schedule'!$K$2:$K$817="Vacant", ROW('Bank Schedule'!$K$2:$K$817)), ROW(26:26))), "")</f>
        <v>370</v>
      </c>
      <c r="I29" s="14" t="n">
        <f aca="false" t="array" ref="I29:I29">IFERROR(INDEX('Bank Schedule'!I:I, SMALL(IF('Bank Schedule'!$K$2:$K$817="Vacant", ROW('Bank Schedule'!$K$2:$K$817)), ROW(26:26))), "")</f>
        <v>370</v>
      </c>
      <c r="J29" s="11" t="str">
        <f aca="false" t="array" ref="J29:J29">IFERROR(INDEX('Bank Schedule'!K:K, SMALL(IF('Bank Schedule'!$K$2:$K$817="Vacant", ROW('Bank Schedule'!$K$2:$K$817)), ROW(26:26))), "")</f>
        <v>Vacant</v>
      </c>
      <c r="K29" s="11" t="str">
        <f aca="false">IFERROR(INDEX('Bank Schedule'!L:L, SMALL(IF('Bank Schedule'!$K$2:$K$817="Vacant", ROW('Bank Schedule'!$K$2:$K$817)), ROW(26:26))), "")</f>
        <v/>
      </c>
      <c r="L29" s="11" t="str">
        <f aca="false">IFERROR(INDEX('Bank Schedule'!M:M, SMALL(IF('Bank Schedule'!$K$2:$K$817="Vacant", ROW('Bank Schedule'!$K$2:$K$817)), ROW(26:26))), "")</f>
        <v/>
      </c>
      <c r="M29" s="71" t="n">
        <f aca="false" t="array" ref="M29:M29">IFERROR(INDEX('Bank Schedule'!N:N, SMALL(IF('Bank Schedule'!$K$2:$K$817="Vacant", ROW('Bank Schedule'!$K$2:$K$817)), ROW(26:26))), "")</f>
        <v>43738</v>
      </c>
      <c r="N29" s="11" t="str">
        <f aca="false">IFERROR(INDEX('Bank Schedule'!O:O, SMALL(IF('Bank Schedule'!$K$2:$K$817="Vacant", ROW('Bank Schedule'!$K$2:$K$817)), ROW(26:26))), "")</f>
        <v/>
      </c>
      <c r="O29" s="11" t="str">
        <f aca="false">IFERROR(INDEX('Bank Schedule'!P:P, SMALL(IF('Bank Schedule'!$K$2:$K$817="Vacant", ROW('Bank Schedule'!$K$2:$K$817)), ROW(26:26))), "")</f>
        <v/>
      </c>
      <c r="P29" s="11" t="n">
        <f aca="false" t="array" ref="P29:P29">IFERROR(INDEX('Bank Schedule'!Q:Q, SMALL(IF('Bank Schedule'!$K$2:$K$817="Vacant", ROW('Bank Schedule'!$K$2:$K$817)), ROW(26:26))), "")</f>
        <v>0</v>
      </c>
      <c r="Q29" s="11" t="n">
        <f aca="false" t="array" ref="Q29:Q29">IFERROR(INDEX('Bank Schedule'!R:R, SMALL(IF('Bank Schedule'!$K$2:$K$817="Vacant", ROW('Bank Schedule'!$K$2:$K$817)), ROW(26:26))), "")</f>
        <v>0</v>
      </c>
      <c r="R29" s="11" t="str">
        <f aca="false">IFERROR(INDEX('Bank Schedule'!S:S, SMALL(IF('Bank Schedule'!$K$2:$K$817="Vacant", ROW('Bank Schedule'!$K$2:$K$817)), ROW(26:26))), "")</f>
        <v/>
      </c>
      <c r="S29" s="281" t="n">
        <f aca="false" t="array" ref="S29:S29">IFERROR(INDEX('Bank Schedule'!T:T, SMALL(IF('Bank Schedule'!$K$2:$K$817="Vacant", ROW('Bank Schedule'!$K$2:$K$817)), ROW(26:26))), "")</f>
        <v>18500</v>
      </c>
      <c r="T29" s="281" t="n">
        <f aca="false" t="array" ref="T29:T29">IFERROR(INDEX('Bank Schedule'!U:U, SMALL(IF('Bank Schedule'!$K$2:$K$817="Vacant", ROW('Bank Schedule'!$K$2:$K$817)), ROW(26:26))), "")</f>
        <v>18500</v>
      </c>
      <c r="U29" s="281" t="n">
        <f aca="false" t="array" ref="U29:U29">IFERROR(INDEX('Bank Schedule'!V:V, SMALL(IF('Bank Schedule'!$K$2:$K$817="Vacant", ROW('Bank Schedule'!$K$2:$K$817)), ROW(26:26))), "")</f>
        <v>18500</v>
      </c>
      <c r="V29" s="281" t="n">
        <f aca="false" t="array" ref="V29:V29">IFERROR(INDEX('Bank Schedule'!W:W, SMALL(IF('Bank Schedule'!$K$2:$K$817="Vacant", ROW('Bank Schedule'!$K$2:$K$817)), ROW(26:26))), "")</f>
        <v>18500</v>
      </c>
      <c r="W29" s="282" t="n">
        <f aca="false" t="array" ref="W29:W29">IFERROR(INDEX('Bank Schedule'!X:X, SMALL(IF('Bank Schedule'!$K$2:$K$817="Vacant", ROW('Bank Schedule'!$K$2:$K$817)), ROW(26:26))), "")</f>
        <v>50</v>
      </c>
      <c r="X29" s="11" t="str">
        <f aca="false" t="array" ref="X29:X29">IFERROR(INDEX('Bank Schedule'!Y:Y, SMALL(IF('Bank Schedule'!$K$2:$K$817="Vacant", ROW('Bank Schedule'!$K$2:$K$817)), ROW(26:26))), "")</f>
        <v>E</v>
      </c>
      <c r="Y29" s="11" t="str">
        <f aca="false">IFERROR(INDEX('Bank Schedule'!Z:Z, SMALL(IF('Bank Schedule'!$K$2:$K$817="Vacant", ROW('Bank Schedule'!$K$2:$K$817)), ROW(26:26))), "")</f>
        <v/>
      </c>
      <c r="Z29" s="11" t="str">
        <f aca="false">IFERROR(INDEX('Bank Schedule'!AA:AA, SMALL(IF('Bank Schedule'!$K$2:$K$817="Vacant", ROW('Bank Schedule'!$K$2:$K$817)), ROW(26:26))), "")</f>
        <v/>
      </c>
      <c r="AA29" s="11" t="str">
        <f aca="false" t="array" ref="AA29:AA29">IFERROR(INDEX('Bank Schedule'!AB:AB, SMALL(IF('Bank Schedule'!$K$2:$K$817="Vacant", ROW('Bank Schedule'!$K$2:$K$817)), ROW(26:26))), "")</f>
        <v>No</v>
      </c>
      <c r="AB29" s="94" t="str">
        <f aca="false" t="array" ref="AB29:AB29">IFERROR(INDEX('Bank Schedule'!AC:AC, SMALL(IF('Bank Schedule'!$K$2:$K$817="Vacant", ROW('Bank Schedule'!$K$2:$K$817)), ROW(26:26))), "")</f>
        <v>Refurbishment completed. LEM marketing.</v>
      </c>
      <c r="AC29" s="44" t="n">
        <f aca="false" t="array" ref="AC29:AC29">IFERROR(INDEX('Bank Schedule'!AD:AD, SMALL(IF('Bank Schedule'!$K$2:$K$817="Vacant", ROW('Bank Schedule'!$K$2:$K$817)), ROW(26:26))), "")</f>
        <v>52.5</v>
      </c>
      <c r="AD29" s="11" t="str">
        <f aca="false">IFERROR(INDEX('Bank Schedule'!AE:AE, SMALL(IF('Bank Schedule'!$K$2:$K$817="Vacant", ROW('Bank Schedule'!$K$2:$K$817)), ROW(26:26))), "")</f>
        <v/>
      </c>
      <c r="AE29" s="11" t="n">
        <f aca="false" t="array" ref="AE29:AE29">IFERROR(INDEX('Bank Schedule'!AF:AF, SMALL(IF('Bank Schedule'!$K$2:$K$817="Vacant", ROW('Bank Schedule'!$K$2:$K$817)), ROW(26:26))), "")</f>
        <v>1</v>
      </c>
      <c r="AF29" s="11" t="str">
        <f aca="false">IFERROR(INDEX('Bank Schedule'!AG:AG, SMALL(IF('Bank Schedule'!$K$2:$K$817="Vacant", ROW('Bank Schedule'!$K$2:$K$817)), ROW(26:26))), "")</f>
        <v/>
      </c>
      <c r="AG29" s="4"/>
    </row>
    <row r="30" customFormat="false" ht="28.5" hidden="false" customHeight="true" outlineLevel="0" collapsed="false">
      <c r="A30" s="28" t="str">
        <f aca="false">IFERROR(INDEX('Bank Schedule'!A:A, SMALL(IF('Bank Schedule'!$K$2:$K$817="Vacant", ROW('Bank Schedule'!$K$2:$K$817)), ROW(27:27))), "")</f>
        <v/>
      </c>
      <c r="B30" s="11" t="str">
        <f aca="false" t="array" ref="B30:B30">IFERROR(INDEX('Bank Schedule'!B:B, SMALL(IF('Bank Schedule'!$K$2:$K$817="Vacant", ROW('Bank Schedule'!$K$2:$K$817)), ROW(27:27))), "")</f>
        <v>WS</v>
      </c>
      <c r="C30" s="11" t="str">
        <f aca="false" t="array" ref="C30:C30">IFERROR(INDEX('Bank Schedule'!C:C, SMALL(IF('Bank Schedule'!$K$2:$K$817="Vacant", ROW('Bank Schedule'!$K$2:$K$817)), ROW(27:27))), "")</f>
        <v>MEL</v>
      </c>
      <c r="D30" s="11" t="n">
        <f aca="false" t="array" ref="D30:D30">IFERROR(INDEX('Bank Schedule'!D:D, SMALL(IF('Bank Schedule'!$K$2:$K$817="Vacant", ROW('Bank Schedule'!$K$2:$K$817)), ROW(27:27))), "")</f>
        <v>550710</v>
      </c>
      <c r="E30" s="94" t="str">
        <f aca="false" t="array" ref="E30:E30">IFERROR(INDEX('Bank Schedule'!E:E, SMALL(IF('Bank Schedule'!$K$2:$K$817="Vacant", ROW('Bank Schedule'!$K$2:$K$817)), ROW(27:27))), "")</f>
        <v>53 Great Portland Street</v>
      </c>
      <c r="F30" s="94" t="str">
        <f aca="false" t="array" ref="F30:F30">IFERROR(INDEX('Bank Schedule'!F:F, SMALL(IF('Bank Schedule'!$K$2:$K$817="Vacant", ROW('Bank Schedule'!$K$2:$K$817)), ROW(27:27))), "")</f>
        <v>Second Floor</v>
      </c>
      <c r="G30" s="94" t="str">
        <f aca="false" t="array" ref="G30:G30">IFERROR(INDEX('Bank Schedule'!G:G, SMALL(IF('Bank Schedule'!$K$2:$K$817="Vacant", ROW('Bank Schedule'!$K$2:$K$817)), ROW(27:27))), "")</f>
        <v>Office</v>
      </c>
      <c r="H30" s="14" t="n">
        <f aca="false" t="array" ref="H30:H30">IFERROR(INDEX('Bank Schedule'!H:H, SMALL(IF('Bank Schedule'!$K$2:$K$817="Vacant", ROW('Bank Schedule'!$K$2:$K$817)), ROW(27:27))), "")</f>
        <v>325</v>
      </c>
      <c r="I30" s="14" t="n">
        <f aca="false" t="array" ref="I30:I30">IFERROR(INDEX('Bank Schedule'!I:I, SMALL(IF('Bank Schedule'!$K$2:$K$817="Vacant", ROW('Bank Schedule'!$K$2:$K$817)), ROW(27:27))), "")</f>
        <v>325</v>
      </c>
      <c r="J30" s="11" t="str">
        <f aca="false" t="array" ref="J30:J30">IFERROR(INDEX('Bank Schedule'!K:K, SMALL(IF('Bank Schedule'!$K$2:$K$817="Vacant", ROW('Bank Schedule'!$K$2:$K$817)), ROW(27:27))), "")</f>
        <v>Vacant</v>
      </c>
      <c r="K30" s="11" t="str">
        <f aca="false">IFERROR(INDEX('Bank Schedule'!L:L, SMALL(IF('Bank Schedule'!$K$2:$K$817="Vacant", ROW('Bank Schedule'!$K$2:$K$817)), ROW(27:27))), "")</f>
        <v/>
      </c>
      <c r="L30" s="11" t="str">
        <f aca="false">IFERROR(INDEX('Bank Schedule'!M:M, SMALL(IF('Bank Schedule'!$K$2:$K$817="Vacant", ROW('Bank Schedule'!$K$2:$K$817)), ROW(27:27))), "")</f>
        <v/>
      </c>
      <c r="M30" s="71" t="n">
        <f aca="false" t="array" ref="M30:M30">IFERROR(INDEX('Bank Schedule'!N:N, SMALL(IF('Bank Schedule'!$K$2:$K$817="Vacant", ROW('Bank Schedule'!$K$2:$K$817)), ROW(27:27))), "")</f>
        <v>45379</v>
      </c>
      <c r="N30" s="11" t="str">
        <f aca="false">IFERROR(INDEX('Bank Schedule'!O:O, SMALL(IF('Bank Schedule'!$K$2:$K$817="Vacant", ROW('Bank Schedule'!$K$2:$K$817)), ROW(27:27))), "")</f>
        <v/>
      </c>
      <c r="O30" s="11" t="str">
        <f aca="false">IFERROR(INDEX('Bank Schedule'!P:P, SMALL(IF('Bank Schedule'!$K$2:$K$817="Vacant", ROW('Bank Schedule'!$K$2:$K$817)), ROW(27:27))), "")</f>
        <v/>
      </c>
      <c r="P30" s="11" t="n">
        <f aca="false" t="array" ref="P30:P30">IFERROR(INDEX('Bank Schedule'!Q:Q, SMALL(IF('Bank Schedule'!$K$2:$K$817="Vacant", ROW('Bank Schedule'!$K$2:$K$817)), ROW(27:27))), "")</f>
        <v>0</v>
      </c>
      <c r="Q30" s="11" t="n">
        <f aca="false" t="array" ref="Q30:Q30">IFERROR(INDEX('Bank Schedule'!R:R, SMALL(IF('Bank Schedule'!$K$2:$K$817="Vacant", ROW('Bank Schedule'!$K$2:$K$817)), ROW(27:27))), "")</f>
        <v>0</v>
      </c>
      <c r="R30" s="11" t="str">
        <f aca="false">IFERROR(INDEX('Bank Schedule'!S:S, SMALL(IF('Bank Schedule'!$K$2:$K$817="Vacant", ROW('Bank Schedule'!$K$2:$K$817)), ROW(27:27))), "")</f>
        <v/>
      </c>
      <c r="S30" s="281" t="n">
        <f aca="false" t="array" ref="S30:S30">IFERROR(INDEX('Bank Schedule'!T:T, SMALL(IF('Bank Schedule'!$K$2:$K$817="Vacant", ROW('Bank Schedule'!$K$2:$K$817)), ROW(27:27))), "")</f>
        <v>17000</v>
      </c>
      <c r="T30" s="281" t="n">
        <f aca="false" t="array" ref="T30:T30">IFERROR(INDEX('Bank Schedule'!U:U, SMALL(IF('Bank Schedule'!$K$2:$K$817="Vacant", ROW('Bank Schedule'!$K$2:$K$817)), ROW(27:27))), "")</f>
        <v>17000</v>
      </c>
      <c r="U30" s="281" t="n">
        <f aca="false" t="array" ref="U30:U30">IFERROR(INDEX('Bank Schedule'!V:V, SMALL(IF('Bank Schedule'!$K$2:$K$817="Vacant", ROW('Bank Schedule'!$K$2:$K$817)), ROW(27:27))), "")</f>
        <v>17062</v>
      </c>
      <c r="V30" s="281" t="n">
        <f aca="false" t="array" ref="V30:V30">IFERROR(INDEX('Bank Schedule'!W:W, SMALL(IF('Bank Schedule'!$K$2:$K$817="Vacant", ROW('Bank Schedule'!$K$2:$K$817)), ROW(27:27))), "")</f>
        <v>17062</v>
      </c>
      <c r="W30" s="282" t="n">
        <f aca="false" t="array" ref="W30:W30">IFERROR(INDEX('Bank Schedule'!X:X, SMALL(IF('Bank Schedule'!$K$2:$K$817="Vacant", ROW('Bank Schedule'!$K$2:$K$817)), ROW(27:27))), "")</f>
        <v>52.3076923076923</v>
      </c>
      <c r="X30" s="11" t="str">
        <f aca="false" t="array" ref="X30:X30">IFERROR(INDEX('Bank Schedule'!Y:Y, SMALL(IF('Bank Schedule'!$K$2:$K$817="Vacant", ROW('Bank Schedule'!$K$2:$K$817)), ROW(27:27))), "")</f>
        <v>E</v>
      </c>
      <c r="Y30" s="11" t="str">
        <f aca="false">IFERROR(INDEX('Bank Schedule'!Z:Z, SMALL(IF('Bank Schedule'!$K$2:$K$817="Vacant", ROW('Bank Schedule'!$K$2:$K$817)), ROW(27:27))), "")</f>
        <v/>
      </c>
      <c r="Z30" s="11" t="str">
        <f aca="false">IFERROR(INDEX('Bank Schedule'!AA:AA, SMALL(IF('Bank Schedule'!$K$2:$K$817="Vacant", ROW('Bank Schedule'!$K$2:$K$817)), ROW(27:27))), "")</f>
        <v/>
      </c>
      <c r="AA30" s="11" t="str">
        <f aca="false" t="array" ref="AA30:AA30">IFERROR(INDEX('Bank Schedule'!AB:AB, SMALL(IF('Bank Schedule'!$K$2:$K$817="Vacant", ROW('Bank Schedule'!$K$2:$K$817)), ROW(27:27))), "")</f>
        <v>No</v>
      </c>
      <c r="AB30" s="94" t="str">
        <f aca="false" t="array" ref="AB30:AB30">IFERROR(INDEX('Bank Schedule'!AC:AC, SMALL(IF('Bank Schedule'!$K$2:$K$817="Vacant", ROW('Bank Schedule'!$K$2:$K$817)), ROW(27:27))), "")</f>
        <v>Refurbishment completed. LEM marketing.</v>
      </c>
      <c r="AC30" s="44" t="n">
        <f aca="false" t="array" ref="AC30:AC30">IFERROR(INDEX('Bank Schedule'!AD:AD, SMALL(IF('Bank Schedule'!$K$2:$K$817="Vacant", ROW('Bank Schedule'!$K$2:$K$817)), ROW(27:27))), "")</f>
        <v>53</v>
      </c>
      <c r="AD30" s="11" t="str">
        <f aca="false">IFERROR(INDEX('Bank Schedule'!AE:AE, SMALL(IF('Bank Schedule'!$K$2:$K$817="Vacant", ROW('Bank Schedule'!$K$2:$K$817)), ROW(27:27))), "")</f>
        <v/>
      </c>
      <c r="AE30" s="11" t="str">
        <f aca="false">IFERROR(INDEX('Bank Schedule'!AF:AF, SMALL(IF('Bank Schedule'!$K$2:$K$817="Vacant", ROW('Bank Schedule'!$K$2:$K$817)), ROW(27:27))), "")</f>
        <v/>
      </c>
      <c r="AF30" s="11" t="str">
        <f aca="false">IFERROR(INDEX('Bank Schedule'!AG:AG, SMALL(IF('Bank Schedule'!$K$2:$K$817="Vacant", ROW('Bank Schedule'!$K$2:$K$817)), ROW(27:27))), "")</f>
        <v/>
      </c>
      <c r="AG30" s="4"/>
    </row>
    <row r="31" customFormat="false" ht="28.5" hidden="false" customHeight="true" outlineLevel="0" collapsed="false">
      <c r="A31" s="28" t="n">
        <f aca="false">IFERROR(INDEX('Bank Schedule'!A:A, SMALL(IF('Bank Schedule'!$K$2:$K$817="Vacant", ROW('Bank Schedule'!$K$2:$K$817)), ROW(28:28))), "")</f>
        <v>0</v>
      </c>
      <c r="B31" s="11" t="str">
        <f aca="false" t="array" ref="B31:B31">IFERROR(INDEX('Bank Schedule'!B:B, SMALL(IF('Bank Schedule'!$K$2:$K$817="Vacant", ROW('Bank Schedule'!$K$2:$K$817)), ROW(28:28))), "")</f>
        <v>WS</v>
      </c>
      <c r="C31" s="11" t="str">
        <f aca="false" t="array" ref="C31:C31">IFERROR(INDEX('Bank Schedule'!C:C, SMALL(IF('Bank Schedule'!$K$2:$K$817="Vacant", ROW('Bank Schedule'!$K$2:$K$817)), ROW(28:28))), "")</f>
        <v>MEL</v>
      </c>
      <c r="D31" s="11" t="n">
        <f aca="false" t="array" ref="D31:D31">IFERROR(INDEX('Bank Schedule'!D:D, SMALL(IF('Bank Schedule'!$K$2:$K$817="Vacant", ROW('Bank Schedule'!$K$2:$K$817)), ROW(28:28))), "")</f>
        <v>550710</v>
      </c>
      <c r="E31" s="94" t="str">
        <f aca="false" t="array" ref="E31:E31">IFERROR(INDEX('Bank Schedule'!E:E, SMALL(IF('Bank Schedule'!$K$2:$K$817="Vacant", ROW('Bank Schedule'!$K$2:$K$817)), ROW(28:28))), "")</f>
        <v>53 Great Portland Street</v>
      </c>
      <c r="F31" s="94" t="str">
        <f aca="false" t="array" ref="F31:F31">IFERROR(INDEX('Bank Schedule'!F:F, SMALL(IF('Bank Schedule'!$K$2:$K$817="Vacant", ROW('Bank Schedule'!$K$2:$K$817)), ROW(28:28))), "")</f>
        <v>Third Floor</v>
      </c>
      <c r="G31" s="94" t="str">
        <f aca="false" t="array" ref="G31:G31">IFERROR(INDEX('Bank Schedule'!G:G, SMALL(IF('Bank Schedule'!$K$2:$K$817="Vacant", ROW('Bank Schedule'!$K$2:$K$817)), ROW(28:28))), "")</f>
        <v>Office</v>
      </c>
      <c r="H31" s="14" t="n">
        <f aca="false" t="array" ref="H31:H31">IFERROR(INDEX('Bank Schedule'!H:H, SMALL(IF('Bank Schedule'!$K$2:$K$817="Vacant", ROW('Bank Schedule'!$K$2:$K$817)), ROW(28:28))), "")</f>
        <v>321</v>
      </c>
      <c r="I31" s="14" t="n">
        <f aca="false" t="array" ref="I31:I31">IFERROR(INDEX('Bank Schedule'!I:I, SMALL(IF('Bank Schedule'!$K$2:$K$817="Vacant", ROW('Bank Schedule'!$K$2:$K$817)), ROW(28:28))), "")</f>
        <v>321</v>
      </c>
      <c r="J31" s="11" t="str">
        <f aca="false" t="array" ref="J31:J31">IFERROR(INDEX('Bank Schedule'!K:K, SMALL(IF('Bank Schedule'!$K$2:$K$817="Vacant", ROW('Bank Schedule'!$K$2:$K$817)), ROW(28:28))), "")</f>
        <v>Vacant</v>
      </c>
      <c r="K31" s="8" t="n">
        <f aca="false">IFERROR(INDEX('Bank Schedule'!L:L, SMALL(IF('Bank Schedule'!$K$2:$K$817="Vacant", ROW('Bank Schedule'!$K$2:$K$817)), ROW(28:28))), "")</f>
        <v>45649</v>
      </c>
      <c r="L31" s="8" t="n">
        <f aca="false">IFERROR(INDEX('Bank Schedule'!M:M, SMALL(IF('Bank Schedule'!$K$2:$K$817="Vacant", ROW('Bank Schedule'!$K$2:$K$817)), ROW(28:28))), "")</f>
        <v>46743</v>
      </c>
      <c r="M31" s="71" t="n">
        <f aca="false" t="array" ref="M31:M31">IFERROR(INDEX('Bank Schedule'!N:N, SMALL(IF('Bank Schedule'!$K$2:$K$817="Vacant", ROW('Bank Schedule'!$K$2:$K$817)), ROW(28:28))), "")</f>
        <v>45170</v>
      </c>
      <c r="N31" s="8" t="n">
        <f aca="false">IFERROR(INDEX('Bank Schedule'!O:O, SMALL(IF('Bank Schedule'!$K$2:$K$817="Vacant", ROW('Bank Schedule'!$K$2:$K$817)), ROW(28:28))), "")</f>
        <v>0</v>
      </c>
      <c r="O31" s="8" t="n">
        <f aca="false">IFERROR(INDEX('Bank Schedule'!P:P, SMALL(IF('Bank Schedule'!$K$2:$K$817="Vacant", ROW('Bank Schedule'!$K$2:$K$817)), ROW(28:28))), "")</f>
        <v>46013</v>
      </c>
      <c r="P31" s="11" t="n">
        <f aca="false" t="array" ref="P31:P31">IFERROR(INDEX('Bank Schedule'!Q:Q, SMALL(IF('Bank Schedule'!$K$2:$K$817="Vacant", ROW('Bank Schedule'!$K$2:$K$817)), ROW(28:28))), "")</f>
        <v>0</v>
      </c>
      <c r="Q31" s="11" t="n">
        <f aca="false" t="array" ref="Q31:Q31">IFERROR(INDEX('Bank Schedule'!R:R, SMALL(IF('Bank Schedule'!$K$2:$K$817="Vacant", ROW('Bank Schedule'!$K$2:$K$817)), ROW(28:28))), "")</f>
        <v>0</v>
      </c>
      <c r="R31" s="9" t="n">
        <f aca="false">IFERROR(INDEX('Bank Schedule'!S:S, SMALL(IF('Bank Schedule'!$K$2:$K$817="Vacant", ROW('Bank Schedule'!$K$2:$K$817)), ROW(28:28))), "")</f>
        <v>0</v>
      </c>
      <c r="S31" s="281" t="n">
        <f aca="false" t="array" ref="S31:S31">IFERROR(INDEX('Bank Schedule'!T:T, SMALL(IF('Bank Schedule'!$K$2:$K$817="Vacant", ROW('Bank Schedule'!$K$2:$K$817)), ROW(28:28))), "")</f>
        <v>17000</v>
      </c>
      <c r="T31" s="281" t="n">
        <f aca="false" t="array" ref="T31:T31">IFERROR(INDEX('Bank Schedule'!U:U, SMALL(IF('Bank Schedule'!$K$2:$K$817="Vacant", ROW('Bank Schedule'!$K$2:$K$817)), ROW(28:28))), "")</f>
        <v>17000</v>
      </c>
      <c r="U31" s="281" t="n">
        <f aca="false" t="array" ref="U31:U31">IFERROR(INDEX('Bank Schedule'!V:V, SMALL(IF('Bank Schedule'!$K$2:$K$817="Vacant", ROW('Bank Schedule'!$K$2:$K$817)), ROW(28:28))), "")</f>
        <v>16852</v>
      </c>
      <c r="V31" s="281" t="n">
        <f aca="false" t="array" ref="V31:V31">IFERROR(INDEX('Bank Schedule'!W:W, SMALL(IF('Bank Schedule'!$K$2:$K$817="Vacant", ROW('Bank Schedule'!$K$2:$K$817)), ROW(28:28))), "")</f>
        <v>16852</v>
      </c>
      <c r="W31" s="282" t="n">
        <f aca="false" t="array" ref="W31:W31">IFERROR(INDEX('Bank Schedule'!X:X, SMALL(IF('Bank Schedule'!$K$2:$K$817="Vacant", ROW('Bank Schedule'!$K$2:$K$817)), ROW(28:28))), "")</f>
        <v>52.9595015576324</v>
      </c>
      <c r="X31" s="11" t="str">
        <f aca="false" t="array" ref="X31:X31">IFERROR(INDEX('Bank Schedule'!Y:Y, SMALL(IF('Bank Schedule'!$K$2:$K$817="Vacant", ROW('Bank Schedule'!$K$2:$K$817)), ROW(28:28))), "")</f>
        <v>E</v>
      </c>
      <c r="Y31" s="9" t="n">
        <f aca="false">IFERROR(INDEX('Bank Schedule'!Z:Z, SMALL(IF('Bank Schedule'!$K$2:$K$817="Vacant", ROW('Bank Schedule'!$K$2:$K$817)), ROW(28:28))), "")</f>
        <v>0</v>
      </c>
      <c r="Z31" s="283" t="n">
        <f aca="false">IFERROR(INDEX('Bank Schedule'!AA:AA, SMALL(IF('Bank Schedule'!$K$2:$K$817="Vacant", ROW('Bank Schedule'!$K$2:$K$817)), ROW(28:28))), "")</f>
        <v>0</v>
      </c>
      <c r="AA31" s="11" t="str">
        <f aca="false" t="array" ref="AA31:AA31">IFERROR(INDEX('Bank Schedule'!AB:AB, SMALL(IF('Bank Schedule'!$K$2:$K$817="Vacant", ROW('Bank Schedule'!$K$2:$K$817)), ROW(28:28))), "")</f>
        <v>No</v>
      </c>
      <c r="AB31" s="94" t="str">
        <f aca="false" t="array" ref="AB31:AB31">IFERROR(INDEX('Bank Schedule'!AC:AC, SMALL(IF('Bank Schedule'!$K$2:$K$817="Vacant", ROW('Bank Schedule'!$K$2:$K$817)), ROW(28:28))), "")</f>
        <v>Refurbishment completed. LEM marketing.</v>
      </c>
      <c r="AC31" s="44" t="n">
        <f aca="false" t="array" ref="AC31:AC31">IFERROR(INDEX('Bank Schedule'!AD:AD, SMALL(IF('Bank Schedule'!$K$2:$K$817="Vacant", ROW('Bank Schedule'!$K$2:$K$817)), ROW(28:28))), "")</f>
        <v>53</v>
      </c>
      <c r="AD31" s="11" t="n">
        <f aca="false">IFERROR(INDEX('Bank Schedule'!AE:AE, SMALL(IF('Bank Schedule'!$K$2:$K$817="Vacant", ROW('Bank Schedule'!$K$2:$K$817)), ROW(28:28))), "")</f>
        <v>0</v>
      </c>
      <c r="AE31" s="11" t="n">
        <f aca="false">IFERROR(INDEX('Bank Schedule'!AF:AF, SMALL(IF('Bank Schedule'!$K$2:$K$817="Vacant", ROW('Bank Schedule'!$K$2:$K$817)), ROW(28:28))), "")</f>
        <v>0</v>
      </c>
      <c r="AF31" s="11" t="n">
        <f aca="false">IFERROR(INDEX('Bank Schedule'!AG:AG, SMALL(IF('Bank Schedule'!$K$2:$K$817="Vacant", ROW('Bank Schedule'!$K$2:$K$817)), ROW(28:28))), "")</f>
        <v>0</v>
      </c>
      <c r="AG31" s="4"/>
    </row>
    <row r="32" customFormat="false" ht="28.5" hidden="false" customHeight="true" outlineLevel="0" collapsed="false">
      <c r="A32" s="28" t="str">
        <f aca="false">IFERROR(INDEX('Bank Schedule'!A:A, SMALL(IF('Bank Schedule'!$K$2:$K$817="Vacant", ROW('Bank Schedule'!$K$2:$K$817)), ROW(29:29))), "")</f>
        <v/>
      </c>
      <c r="B32" s="11" t="str">
        <f aca="false" t="array" ref="B32:B32">IFERROR(INDEX('Bank Schedule'!B:B, SMALL(IF('Bank Schedule'!$K$2:$K$817="Vacant", ROW('Bank Schedule'!$K$2:$K$817)), ROW(29:29))), "")</f>
        <v>CM</v>
      </c>
      <c r="C32" s="11" t="str">
        <f aca="false" t="array" ref="C32:C32">IFERROR(INDEX('Bank Schedule'!C:C, SMALL(IF('Bank Schedule'!$K$2:$K$817="Vacant", ROW('Bank Schedule'!$K$2:$K$817)), ROW(29:29))), "")</f>
        <v>MEL</v>
      </c>
      <c r="D32" s="11" t="n">
        <f aca="false" t="array" ref="D32:D32">IFERROR(INDEX('Bank Schedule'!D:D, SMALL(IF('Bank Schedule'!$K$2:$K$817="Vacant", ROW('Bank Schedule'!$K$2:$K$817)), ROW(29:29))), "")</f>
        <v>550090</v>
      </c>
      <c r="E32" s="94" t="str">
        <f aca="false" t="array" ref="E32:E32">IFERROR(INDEX('Bank Schedule'!E:E, SMALL(IF('Bank Schedule'!$K$2:$K$817="Vacant", ROW('Bank Schedule'!$K$2:$K$817)), ROW(29:29))), "")</f>
        <v>76 Great Portland Street</v>
      </c>
      <c r="F32" s="94" t="str">
        <f aca="false" t="array" ref="F32:F32">IFERROR(INDEX('Bank Schedule'!F:F, SMALL(IF('Bank Schedule'!$K$2:$K$817="Vacant", ROW('Bank Schedule'!$K$2:$K$817)), ROW(29:29))), "")</f>
        <v>First to Fourth Floor</v>
      </c>
      <c r="G32" s="94" t="str">
        <f aca="false" t="array" ref="G32:G32">IFERROR(INDEX('Bank Schedule'!G:G, SMALL(IF('Bank Schedule'!$K$2:$K$817="Vacant", ROW('Bank Schedule'!$K$2:$K$817)), ROW(29:29))), "")</f>
        <v>Office</v>
      </c>
      <c r="H32" s="14" t="n">
        <f aca="false" t="array" ref="H32:H32">IFERROR(INDEX('Bank Schedule'!H:H, SMALL(IF('Bank Schedule'!$K$2:$K$817="Vacant", ROW('Bank Schedule'!$K$2:$K$817)), ROW(29:29))), "")</f>
        <v>1765</v>
      </c>
      <c r="I32" s="14" t="n">
        <f aca="false" t="array" ref="I32:I32">IFERROR(INDEX('Bank Schedule'!I:I, SMALL(IF('Bank Schedule'!$K$2:$K$817="Vacant", ROW('Bank Schedule'!$K$2:$K$817)), ROW(29:29))), "")</f>
        <v>1765</v>
      </c>
      <c r="J32" s="11" t="str">
        <f aca="false" t="array" ref="J32:J32">IFERROR(INDEX('Bank Schedule'!K:K, SMALL(IF('Bank Schedule'!$K$2:$K$817="Vacant", ROW('Bank Schedule'!$K$2:$K$817)), ROW(29:29))), "")</f>
        <v>Vacant</v>
      </c>
      <c r="K32" s="11" t="str">
        <f aca="false">IFERROR(INDEX('Bank Schedule'!L:L, SMALL(IF('Bank Schedule'!$K$2:$K$817="Vacant", ROW('Bank Schedule'!$K$2:$K$817)), ROW(29:29))), "")</f>
        <v/>
      </c>
      <c r="L32" s="11" t="str">
        <f aca="false">IFERROR(INDEX('Bank Schedule'!M:M, SMALL(IF('Bank Schedule'!$K$2:$K$817="Vacant", ROW('Bank Schedule'!$K$2:$K$817)), ROW(29:29))), "")</f>
        <v/>
      </c>
      <c r="M32" s="71" t="n">
        <f aca="false" t="array" ref="M32:M32">IFERROR(INDEX('Bank Schedule'!N:N, SMALL(IF('Bank Schedule'!$K$2:$K$817="Vacant", ROW('Bank Schedule'!$K$2:$K$817)), ROW(29:29))), "")</f>
        <v>43256</v>
      </c>
      <c r="N32" s="11" t="str">
        <f aca="false">IFERROR(INDEX('Bank Schedule'!O:O, SMALL(IF('Bank Schedule'!$K$2:$K$817="Vacant", ROW('Bank Schedule'!$K$2:$K$817)), ROW(29:29))), "")</f>
        <v/>
      </c>
      <c r="O32" s="11" t="str">
        <f aca="false">IFERROR(INDEX('Bank Schedule'!P:P, SMALL(IF('Bank Schedule'!$K$2:$K$817="Vacant", ROW('Bank Schedule'!$K$2:$K$817)), ROW(29:29))), "")</f>
        <v/>
      </c>
      <c r="P32" s="11" t="n">
        <f aca="false" t="array" ref="P32:P32">IFERROR(INDEX('Bank Schedule'!Q:Q, SMALL(IF('Bank Schedule'!$K$2:$K$817="Vacant", ROW('Bank Schedule'!$K$2:$K$817)), ROW(29:29))), "")</f>
        <v>0</v>
      </c>
      <c r="Q32" s="11" t="n">
        <f aca="false" t="array" ref="Q32:Q32">IFERROR(INDEX('Bank Schedule'!R:R, SMALL(IF('Bank Schedule'!$K$2:$K$817="Vacant", ROW('Bank Schedule'!$K$2:$K$817)), ROW(29:29))), "")</f>
        <v>0</v>
      </c>
      <c r="R32" s="11" t="str">
        <f aca="false">IFERROR(INDEX('Bank Schedule'!S:S, SMALL(IF('Bank Schedule'!$K$2:$K$817="Vacant", ROW('Bank Schedule'!$K$2:$K$817)), ROW(29:29))), "")</f>
        <v/>
      </c>
      <c r="S32" s="281" t="n">
        <f aca="false" t="array" ref="S32:S32">IFERROR(INDEX('Bank Schedule'!T:T, SMALL(IF('Bank Schedule'!$K$2:$K$817="Vacant", ROW('Bank Schedule'!$K$2:$K$817)), ROW(29:29))), "")</f>
        <v>90000</v>
      </c>
      <c r="T32" s="281" t="n">
        <f aca="false" t="array" ref="T32:T32">IFERROR(INDEX('Bank Schedule'!U:U, SMALL(IF('Bank Schedule'!$K$2:$K$817="Vacant", ROW('Bank Schedule'!$K$2:$K$817)), ROW(29:29))), "")</f>
        <v>90000</v>
      </c>
      <c r="U32" s="281" t="n">
        <f aca="false" t="array" ref="U32:U32">IFERROR(INDEX('Bank Schedule'!V:V, SMALL(IF('Bank Schedule'!$K$2:$K$817="Vacant", ROW('Bank Schedule'!$K$2:$K$817)), ROW(29:29))), "")</f>
        <v>84000</v>
      </c>
      <c r="V32" s="281" t="n">
        <f aca="false" t="array" ref="V32:V32">IFERROR(INDEX('Bank Schedule'!W:W, SMALL(IF('Bank Schedule'!$K$2:$K$817="Vacant", ROW('Bank Schedule'!$K$2:$K$817)), ROW(29:29))), "")</f>
        <v>84000</v>
      </c>
      <c r="W32" s="282" t="n">
        <f aca="false" t="array" ref="W32:W32">IFERROR(INDEX('Bank Schedule'!X:X, SMALL(IF('Bank Schedule'!$K$2:$K$817="Vacant", ROW('Bank Schedule'!$K$2:$K$817)), ROW(29:29))), "")</f>
        <v>50.9915014164306</v>
      </c>
      <c r="X32" s="11" t="str">
        <f aca="false">IFERROR(INDEX('Bank Schedule'!Y:Y, SMALL(IF('Bank Schedule'!$K$2:$K$817="Vacant", ROW('Bank Schedule'!$K$2:$K$817)), ROW(29:29))), "")</f>
        <v/>
      </c>
      <c r="Y32" s="11" t="str">
        <f aca="false">IFERROR(INDEX('Bank Schedule'!Z:Z, SMALL(IF('Bank Schedule'!$K$2:$K$817="Vacant", ROW('Bank Schedule'!$K$2:$K$817)), ROW(29:29))), "")</f>
        <v/>
      </c>
      <c r="Z32" s="11" t="str">
        <f aca="false">IFERROR(INDEX('Bank Schedule'!AA:AA, SMALL(IF('Bank Schedule'!$K$2:$K$817="Vacant", ROW('Bank Schedule'!$K$2:$K$817)), ROW(29:29))), "")</f>
        <v/>
      </c>
      <c r="AA32" s="11" t="str">
        <f aca="false" t="array" ref="AA32:AA32">IFERROR(INDEX('Bank Schedule'!AB:AB, SMALL(IF('Bank Schedule'!$K$2:$K$817="Vacant", ROW('Bank Schedule'!$K$2:$K$817)), ROW(29:29))), "")</f>
        <v>No</v>
      </c>
      <c r="AB32" s="94" t="str">
        <f aca="false" t="array" ref="AB32:AB32">IFERROR(INDEX('Bank Schedule'!AC:AC, SMALL(IF('Bank Schedule'!$K$2:$K$817="Vacant", ROW('Bank Schedule'!$K$2:$K$817)), ROW(29:29))), "")</f>
        <v>Mothballed.</v>
      </c>
      <c r="AC32" s="44" t="str">
        <f aca="false">IFERROR(INDEX('Bank Schedule'!AD:AD, SMALL(IF('Bank Schedule'!$K$2:$K$817="Vacant", ROW('Bank Schedule'!$K$2:$K$817)), ROW(29:29))), "")</f>
        <v/>
      </c>
      <c r="AD32" s="11" t="str">
        <f aca="false">IFERROR(INDEX('Bank Schedule'!AE:AE, SMALL(IF('Bank Schedule'!$K$2:$K$817="Vacant", ROW('Bank Schedule'!$K$2:$K$817)), ROW(29:29))), "")</f>
        <v/>
      </c>
      <c r="AE32" s="11" t="str">
        <f aca="false">IFERROR(INDEX('Bank Schedule'!AF:AF, SMALL(IF('Bank Schedule'!$K$2:$K$817="Vacant", ROW('Bank Schedule'!$K$2:$K$817)), ROW(29:29))), "")</f>
        <v/>
      </c>
      <c r="AF32" s="11" t="str">
        <f aca="false">IFERROR(INDEX('Bank Schedule'!AG:AG, SMALL(IF('Bank Schedule'!$K$2:$K$817="Vacant", ROW('Bank Schedule'!$K$2:$K$817)), ROW(29:29))), "")</f>
        <v/>
      </c>
      <c r="AG32" s="4"/>
    </row>
    <row r="33" customFormat="false" ht="28.5" hidden="false" customHeight="true" outlineLevel="0" collapsed="false">
      <c r="A33" s="28" t="str">
        <f aca="false">IFERROR(INDEX('Bank Schedule'!A:A, SMALL(IF('Bank Schedule'!$K$2:$K$817="Vacant", ROW('Bank Schedule'!$K$2:$K$817)), ROW(30:30))), "")</f>
        <v/>
      </c>
      <c r="B33" s="11" t="str">
        <f aca="false" t="array" ref="B33:B33">IFERROR(INDEX('Bank Schedule'!B:B, SMALL(IF('Bank Schedule'!$K$2:$K$817="Vacant", ROW('Bank Schedule'!$K$2:$K$817)), ROW(30:30))), "")</f>
        <v>WS</v>
      </c>
      <c r="C33" s="11" t="str">
        <f aca="false" t="array" ref="C33:C33">IFERROR(INDEX('Bank Schedule'!C:C, SMALL(IF('Bank Schedule'!$K$2:$K$817="Vacant", ROW('Bank Schedule'!$K$2:$K$817)), ROW(30:30))), "")</f>
        <v>MEL</v>
      </c>
      <c r="D33" s="11" t="n">
        <f aca="false" t="array" ref="D33:D33">IFERROR(INDEX('Bank Schedule'!D:D, SMALL(IF('Bank Schedule'!$K$2:$K$817="Vacant", ROW('Bank Schedule'!$K$2:$K$817)), ROW(30:30))), "")</f>
        <v>550180</v>
      </c>
      <c r="E33" s="94" t="str">
        <f aca="false" t="array" ref="E33:E33">IFERROR(INDEX('Bank Schedule'!E:E, SMALL(IF('Bank Schedule'!$K$2:$K$817="Vacant", ROW('Bank Schedule'!$K$2:$K$817)), ROW(30:30))), "")</f>
        <v>Great Titchfield House,  14-18 Great Titchfield Street</v>
      </c>
      <c r="F33" s="94" t="str">
        <f aca="false" t="array" ref="F33:F33">IFERROR(INDEX('Bank Schedule'!F:F, SMALL(IF('Bank Schedule'!$K$2:$K$817="Vacant", ROW('Bank Schedule'!$K$2:$K$817)), ROW(30:30))), "")</f>
        <v>Second Floor</v>
      </c>
      <c r="G33" s="94" t="str">
        <f aca="false" t="array" ref="G33:G33">IFERROR(INDEX('Bank Schedule'!G:G, SMALL(IF('Bank Schedule'!$K$2:$K$817="Vacant", ROW('Bank Schedule'!$K$2:$K$817)), ROW(30:30))), "")</f>
        <v>Office</v>
      </c>
      <c r="H33" s="14" t="n">
        <f aca="false" t="array" ref="H33:H33">IFERROR(INDEX('Bank Schedule'!H:H, SMALL(IF('Bank Schedule'!$K$2:$K$817="Vacant", ROW('Bank Schedule'!$K$2:$K$817)), ROW(30:30))), "")</f>
        <v>1938</v>
      </c>
      <c r="I33" s="14" t="n">
        <f aca="false" t="array" ref="I33:I33">IFERROR(INDEX('Bank Schedule'!I:I, SMALL(IF('Bank Schedule'!$K$2:$K$817="Vacant", ROW('Bank Schedule'!$K$2:$K$817)), ROW(30:30))), "")</f>
        <v>1938</v>
      </c>
      <c r="J33" s="11" t="str">
        <f aca="false" t="array" ref="J33:J33">IFERROR(INDEX('Bank Schedule'!K:K, SMALL(IF('Bank Schedule'!$K$2:$K$817="Vacant", ROW('Bank Schedule'!$K$2:$K$817)), ROW(30:30))), "")</f>
        <v>Vacant</v>
      </c>
      <c r="K33" s="11" t="str">
        <f aca="false">IFERROR(INDEX('Bank Schedule'!L:L, SMALL(IF('Bank Schedule'!$K$2:$K$817="Vacant", ROW('Bank Schedule'!$K$2:$K$817)), ROW(30:30))), "")</f>
        <v/>
      </c>
      <c r="L33" s="11" t="str">
        <f aca="false">IFERROR(INDEX('Bank Schedule'!M:M, SMALL(IF('Bank Schedule'!$K$2:$K$817="Vacant", ROW('Bank Schedule'!$K$2:$K$817)), ROW(30:30))), "")</f>
        <v/>
      </c>
      <c r="M33" s="71" t="n">
        <f aca="false" t="array" ref="M33:M33">IFERROR(INDEX('Bank Schedule'!N:N, SMALL(IF('Bank Schedule'!$K$2:$K$817="Vacant", ROW('Bank Schedule'!$K$2:$K$817)), ROW(30:30))), "")</f>
        <v>45864</v>
      </c>
      <c r="N33" s="11" t="str">
        <f aca="false">IFERROR(INDEX('Bank Schedule'!O:O, SMALL(IF('Bank Schedule'!$K$2:$K$817="Vacant", ROW('Bank Schedule'!$K$2:$K$817)), ROW(30:30))), "")</f>
        <v/>
      </c>
      <c r="O33" s="11" t="str">
        <f aca="false">IFERROR(INDEX('Bank Schedule'!P:P, SMALL(IF('Bank Schedule'!$K$2:$K$817="Vacant", ROW('Bank Schedule'!$K$2:$K$817)), ROW(30:30))), "")</f>
        <v/>
      </c>
      <c r="P33" s="11" t="n">
        <f aca="false" t="array" ref="P33:P33">IFERROR(INDEX('Bank Schedule'!Q:Q, SMALL(IF('Bank Schedule'!$K$2:$K$817="Vacant", ROW('Bank Schedule'!$K$2:$K$817)), ROW(30:30))), "")</f>
        <v>0</v>
      </c>
      <c r="Q33" s="11" t="n">
        <f aca="false" t="array" ref="Q33:Q33">IFERROR(INDEX('Bank Schedule'!R:R, SMALL(IF('Bank Schedule'!$K$2:$K$817="Vacant", ROW('Bank Schedule'!$K$2:$K$817)), ROW(30:30))), "")</f>
        <v>0</v>
      </c>
      <c r="R33" s="11" t="str">
        <f aca="false">IFERROR(INDEX('Bank Schedule'!S:S, SMALL(IF('Bank Schedule'!$K$2:$K$817="Vacant", ROW('Bank Schedule'!$K$2:$K$817)), ROW(30:30))), "")</f>
        <v/>
      </c>
      <c r="S33" s="281" t="n">
        <f aca="false" t="array" ref="S33:S33">IFERROR(INDEX('Bank Schedule'!T:T, SMALL(IF('Bank Schedule'!$K$2:$K$817="Vacant", ROW('Bank Schedule'!$K$2:$K$817)), ROW(30:30))), "")</f>
        <v>121800</v>
      </c>
      <c r="T33" s="281" t="n">
        <f aca="false" t="array" ref="T33:T33">IFERROR(INDEX('Bank Schedule'!U:U, SMALL(IF('Bank Schedule'!$K$2:$K$817="Vacant", ROW('Bank Schedule'!$K$2:$K$817)), ROW(30:30))), "")</f>
        <v>121800</v>
      </c>
      <c r="U33" s="281" t="n">
        <f aca="false" t="array" ref="U33:U33">IFERROR(INDEX('Bank Schedule'!V:V, SMALL(IF('Bank Schedule'!$K$2:$K$817="Vacant", ROW('Bank Schedule'!$K$2:$K$817)), ROW(30:30))), "")</f>
        <v>130800</v>
      </c>
      <c r="V33" s="281" t="n">
        <f aca="false" t="array" ref="V33:V33">IFERROR(INDEX('Bank Schedule'!W:W, SMALL(IF('Bank Schedule'!$K$2:$K$817="Vacant", ROW('Bank Schedule'!$K$2:$K$817)), ROW(30:30))), "")</f>
        <v>130800</v>
      </c>
      <c r="W33" s="282" t="n">
        <f aca="false" t="array" ref="W33:W33">IFERROR(INDEX('Bank Schedule'!X:X, SMALL(IF('Bank Schedule'!$K$2:$K$817="Vacant", ROW('Bank Schedule'!$K$2:$K$817)), ROW(30:30))), "")</f>
        <v>62.8482972136223</v>
      </c>
      <c r="X33" s="11" t="str">
        <f aca="false" t="array" ref="X33:X33">IFERROR(INDEX('Bank Schedule'!Y:Y, SMALL(IF('Bank Schedule'!$K$2:$K$817="Vacant", ROW('Bank Schedule'!$K$2:$K$817)), ROW(30:30))), "")</f>
        <v>D</v>
      </c>
      <c r="Y33" s="11" t="str">
        <f aca="false">IFERROR(INDEX('Bank Schedule'!Z:Z, SMALL(IF('Bank Schedule'!$K$2:$K$817="Vacant", ROW('Bank Schedule'!$K$2:$K$817)), ROW(30:30))), "")</f>
        <v/>
      </c>
      <c r="Z33" s="11" t="str">
        <f aca="false">IFERROR(INDEX('Bank Schedule'!AA:AA, SMALL(IF('Bank Schedule'!$K$2:$K$817="Vacant", ROW('Bank Schedule'!$K$2:$K$817)), ROW(30:30))), "")</f>
        <v/>
      </c>
      <c r="AA33" s="11" t="str">
        <f aca="false" t="array" ref="AA33:AA33">IFERROR(INDEX('Bank Schedule'!AB:AB, SMALL(IF('Bank Schedule'!$K$2:$K$817="Vacant", ROW('Bank Schedule'!$K$2:$K$817)), ROW(30:30))), "")</f>
        <v>No</v>
      </c>
      <c r="AB33" s="94" t="str">
        <f aca="false" t="array" ref="AB33:AB33">IFERROR(INDEX('Bank Schedule'!AC:AC, SMALL(IF('Bank Schedule'!$K$2:$K$817="Vacant", ROW('Bank Schedule'!$K$2:$K$817)), ROW(30:30))), "")</f>
        <v>LEM marketing.</v>
      </c>
      <c r="AC33" s="44" t="str">
        <f aca="false">IFERROR(INDEX('Bank Schedule'!AD:AD, SMALL(IF('Bank Schedule'!$K$2:$K$817="Vacant", ROW('Bank Schedule'!$K$2:$K$817)), ROW(30:30))), "")</f>
        <v/>
      </c>
      <c r="AD33" s="11" t="str">
        <f aca="false">IFERROR(INDEX('Bank Schedule'!AE:AE, SMALL(IF('Bank Schedule'!$K$2:$K$817="Vacant", ROW('Bank Schedule'!$K$2:$K$817)), ROW(30:30))), "")</f>
        <v/>
      </c>
      <c r="AE33" s="11" t="str">
        <f aca="false">IFERROR(INDEX('Bank Schedule'!AF:AF, SMALL(IF('Bank Schedule'!$K$2:$K$817="Vacant", ROW('Bank Schedule'!$K$2:$K$817)), ROW(30:30))), "")</f>
        <v/>
      </c>
      <c r="AF33" s="11" t="str">
        <f aca="false">IFERROR(INDEX('Bank Schedule'!AG:AG, SMALL(IF('Bank Schedule'!$K$2:$K$817="Vacant", ROW('Bank Schedule'!$K$2:$K$817)), ROW(30:30))), "")</f>
        <v/>
      </c>
      <c r="AG33" s="4"/>
    </row>
    <row r="34" customFormat="false" ht="28.5" hidden="false" customHeight="true" outlineLevel="0" collapsed="false">
      <c r="A34" s="28" t="str">
        <f aca="false">IFERROR(INDEX('Bank Schedule'!A:A, SMALL(IF('Bank Schedule'!$K$2:$K$817="Vacant", ROW('Bank Schedule'!$K$2:$K$817)), ROW(31:31))), "")</f>
        <v/>
      </c>
      <c r="B34" s="11" t="str">
        <f aca="false" t="array" ref="B34:B34">IFERROR(INDEX('Bank Schedule'!B:B, SMALL(IF('Bank Schedule'!$K$2:$K$817="Vacant", ROW('Bank Schedule'!$K$2:$K$817)), ROW(31:31))), "")</f>
        <v>WS</v>
      </c>
      <c r="C34" s="11" t="str">
        <f aca="false" t="array" ref="C34:C34">IFERROR(INDEX('Bank Schedule'!C:C, SMALL(IF('Bank Schedule'!$K$2:$K$817="Vacant", ROW('Bank Schedule'!$K$2:$K$817)), ROW(31:31))), "")</f>
        <v>MEL</v>
      </c>
      <c r="D34" s="11" t="n">
        <f aca="false" t="array" ref="D34:D34">IFERROR(INDEX('Bank Schedule'!D:D, SMALL(IF('Bank Schedule'!$K$2:$K$817="Vacant", ROW('Bank Schedule'!$K$2:$K$817)), ROW(31:31))), "")</f>
        <v>550180</v>
      </c>
      <c r="E34" s="94" t="str">
        <f aca="false" t="array" ref="E34:E34">IFERROR(INDEX('Bank Schedule'!E:E, SMALL(IF('Bank Schedule'!$K$2:$K$817="Vacant", ROW('Bank Schedule'!$K$2:$K$817)), ROW(31:31))), "")</f>
        <v>Great Titchfield House,  14-18 Great Titchfield Street</v>
      </c>
      <c r="F34" s="94" t="str">
        <f aca="false" t="array" ref="F34:F34">IFERROR(INDEX('Bank Schedule'!F:F, SMALL(IF('Bank Schedule'!$K$2:$K$817="Vacant", ROW('Bank Schedule'!$K$2:$K$817)), ROW(31:31))), "")</f>
        <v>Fourth Floor</v>
      </c>
      <c r="G34" s="94" t="str">
        <f aca="false" t="array" ref="G34:G34">IFERROR(INDEX('Bank Schedule'!G:G, SMALL(IF('Bank Schedule'!$K$2:$K$817="Vacant", ROW('Bank Schedule'!$K$2:$K$817)), ROW(31:31))), "")</f>
        <v>Showroom/ Office</v>
      </c>
      <c r="H34" s="14" t="n">
        <f aca="false" t="array" ref="H34:H34">IFERROR(INDEX('Bank Schedule'!H:H, SMALL(IF('Bank Schedule'!$K$2:$K$817="Vacant", ROW('Bank Schedule'!$K$2:$K$817)), ROW(31:31))), "")</f>
        <v>1992</v>
      </c>
      <c r="I34" s="14" t="n">
        <f aca="false" t="array" ref="I34:I34">IFERROR(INDEX('Bank Schedule'!I:I, SMALL(IF('Bank Schedule'!$K$2:$K$817="Vacant", ROW('Bank Schedule'!$K$2:$K$817)), ROW(31:31))), "")</f>
        <v>1992</v>
      </c>
      <c r="J34" s="11" t="str">
        <f aca="false" t="array" ref="J34:J34">IFERROR(INDEX('Bank Schedule'!K:K, SMALL(IF('Bank Schedule'!$K$2:$K$817="Vacant", ROW('Bank Schedule'!$K$2:$K$817)), ROW(31:31))), "")</f>
        <v>Vacant</v>
      </c>
      <c r="K34" s="11" t="str">
        <f aca="false">IFERROR(INDEX('Bank Schedule'!L:L, SMALL(IF('Bank Schedule'!$K$2:$K$817="Vacant", ROW('Bank Schedule'!$K$2:$K$817)), ROW(31:31))), "")</f>
        <v/>
      </c>
      <c r="L34" s="11" t="str">
        <f aca="false">IFERROR(INDEX('Bank Schedule'!M:M, SMALL(IF('Bank Schedule'!$K$2:$K$817="Vacant", ROW('Bank Schedule'!$K$2:$K$817)), ROW(31:31))), "")</f>
        <v/>
      </c>
      <c r="M34" s="71" t="n">
        <f aca="false" t="array" ref="M34:M34">IFERROR(INDEX('Bank Schedule'!N:N, SMALL(IF('Bank Schedule'!$K$2:$K$817="Vacant", ROW('Bank Schedule'!$K$2:$K$817)), ROW(31:31))), "")</f>
        <v>45596</v>
      </c>
      <c r="N34" s="11" t="str">
        <f aca="false">IFERROR(INDEX('Bank Schedule'!O:O, SMALL(IF('Bank Schedule'!$K$2:$K$817="Vacant", ROW('Bank Schedule'!$K$2:$K$817)), ROW(31:31))), "")</f>
        <v/>
      </c>
      <c r="O34" s="11" t="str">
        <f aca="false">IFERROR(INDEX('Bank Schedule'!P:P, SMALL(IF('Bank Schedule'!$K$2:$K$817="Vacant", ROW('Bank Schedule'!$K$2:$K$817)), ROW(31:31))), "")</f>
        <v/>
      </c>
      <c r="P34" s="11" t="n">
        <f aca="false" t="array" ref="P34:P34">IFERROR(INDEX('Bank Schedule'!Q:Q, SMALL(IF('Bank Schedule'!$K$2:$K$817="Vacant", ROW('Bank Schedule'!$K$2:$K$817)), ROW(31:31))), "")</f>
        <v>0</v>
      </c>
      <c r="Q34" s="11" t="n">
        <f aca="false" t="array" ref="Q34:Q34">IFERROR(INDEX('Bank Schedule'!R:R, SMALL(IF('Bank Schedule'!$K$2:$K$817="Vacant", ROW('Bank Schedule'!$K$2:$K$817)), ROW(31:31))), "")</f>
        <v>0</v>
      </c>
      <c r="R34" s="11" t="str">
        <f aca="false">IFERROR(INDEX('Bank Schedule'!S:S, SMALL(IF('Bank Schedule'!$K$2:$K$817="Vacant", ROW('Bank Schedule'!$K$2:$K$817)), ROW(31:31))), "")</f>
        <v/>
      </c>
      <c r="S34" s="281" t="n">
        <f aca="false" t="array" ref="S34:S34">IFERROR(INDEX('Bank Schedule'!T:T, SMALL(IF('Bank Schedule'!$K$2:$K$817="Vacant", ROW('Bank Schedule'!$K$2:$K$817)), ROW(31:31))), "")</f>
        <v>117300</v>
      </c>
      <c r="T34" s="281" t="n">
        <f aca="false" t="array" ref="T34:T34">IFERROR(INDEX('Bank Schedule'!U:U, SMALL(IF('Bank Schedule'!$K$2:$K$817="Vacant", ROW('Bank Schedule'!$K$2:$K$817)), ROW(31:31))), "")</f>
        <v>117300</v>
      </c>
      <c r="U34" s="281" t="n">
        <f aca="false" t="array" ref="U34:U34">IFERROR(INDEX('Bank Schedule'!V:V, SMALL(IF('Bank Schedule'!$K$2:$K$817="Vacant", ROW('Bank Schedule'!$K$2:$K$817)), ROW(31:31))), "")</f>
        <v>129500</v>
      </c>
      <c r="V34" s="281" t="n">
        <f aca="false" t="array" ref="V34:V34">IFERROR(INDEX('Bank Schedule'!W:W, SMALL(IF('Bank Schedule'!$K$2:$K$817="Vacant", ROW('Bank Schedule'!$K$2:$K$817)), ROW(31:31))), "")</f>
        <v>129500</v>
      </c>
      <c r="W34" s="282" t="n">
        <f aca="false" t="array" ref="W34:W34">IFERROR(INDEX('Bank Schedule'!X:X, SMALL(IF('Bank Schedule'!$K$2:$K$817="Vacant", ROW('Bank Schedule'!$K$2:$K$817)), ROW(31:31))), "")</f>
        <v>58.8855421686747</v>
      </c>
      <c r="X34" s="11" t="str">
        <f aca="false" t="array" ref="X34:X34">IFERROR(INDEX('Bank Schedule'!Y:Y, SMALL(IF('Bank Schedule'!$K$2:$K$817="Vacant", ROW('Bank Schedule'!$K$2:$K$817)), ROW(31:31))), "")</f>
        <v>D</v>
      </c>
      <c r="Y34" s="11" t="str">
        <f aca="false">IFERROR(INDEX('Bank Schedule'!Z:Z, SMALL(IF('Bank Schedule'!$K$2:$K$817="Vacant", ROW('Bank Schedule'!$K$2:$K$817)), ROW(31:31))), "")</f>
        <v/>
      </c>
      <c r="Z34" s="11" t="str">
        <f aca="false">IFERROR(INDEX('Bank Schedule'!AA:AA, SMALL(IF('Bank Schedule'!$K$2:$K$817="Vacant", ROW('Bank Schedule'!$K$2:$K$817)), ROW(31:31))), "")</f>
        <v/>
      </c>
      <c r="AA34" s="11" t="str">
        <f aca="false" t="array" ref="AA34:AA34">IFERROR(INDEX('Bank Schedule'!AB:AB, SMALL(IF('Bank Schedule'!$K$2:$K$817="Vacant", ROW('Bank Schedule'!$K$2:$K$817)), ROW(31:31))), "")</f>
        <v>No</v>
      </c>
      <c r="AB34" s="94" t="str">
        <f aca="false" t="array" ref="AB34:AB34">IFERROR(INDEX('Bank Schedule'!AC:AC, SMALL(IF('Bank Schedule'!$K$2:$K$817="Vacant", ROW('Bank Schedule'!$K$2:$K$817)), ROW(31:31))), "")</f>
        <v>LEM marketing.</v>
      </c>
      <c r="AC34" s="44" t="n">
        <f aca="false" t="array" ref="AC34:AC34">IFERROR(INDEX('Bank Schedule'!AD:AD, SMALL(IF('Bank Schedule'!$K$2:$K$817="Vacant", ROW('Bank Schedule'!$K$2:$K$817)), ROW(31:31))), "")</f>
        <v>72.5</v>
      </c>
      <c r="AD34" s="11" t="str">
        <f aca="false">IFERROR(INDEX('Bank Schedule'!AE:AE, SMALL(IF('Bank Schedule'!$K$2:$K$817="Vacant", ROW('Bank Schedule'!$K$2:$K$817)), ROW(31:31))), "")</f>
        <v/>
      </c>
      <c r="AE34" s="11" t="n">
        <f aca="false" t="array" ref="AE34:AE34">IFERROR(INDEX('Bank Schedule'!AF:AF, SMALL(IF('Bank Schedule'!$K$2:$K$817="Vacant", ROW('Bank Schedule'!$K$2:$K$817)), ROW(31:31))), "")</f>
        <v>2</v>
      </c>
      <c r="AF34" s="11" t="str">
        <f aca="false" t="array" ref="AF34:AF34">IFERROR(INDEX('Bank Schedule'!AG:AG, SMALL(IF('Bank Schedule'!$K$2:$K$817="Vacant", ROW('Bank Schedule'!$K$2:$K$817)), ROW(31:31))), "")</f>
        <v>LEM</v>
      </c>
      <c r="AG34" s="4"/>
    </row>
    <row r="35" customFormat="false" ht="28.5" hidden="false" customHeight="true" outlineLevel="0" collapsed="false">
      <c r="A35" s="28" t="str">
        <f aca="false">IFERROR(INDEX('Bank Schedule'!A:A, SMALL(IF('Bank Schedule'!$K$2:$K$817="Vacant", ROW('Bank Schedule'!$K$2:$K$817)), ROW(32:32))), "")</f>
        <v/>
      </c>
      <c r="B35" s="11" t="str">
        <f aca="false" t="array" ref="B35:B35">IFERROR(INDEX('Bank Schedule'!B:B, SMALL(IF('Bank Schedule'!$K$2:$K$817="Vacant", ROW('Bank Schedule'!$K$2:$K$817)), ROW(32:32))), "")</f>
        <v>WS</v>
      </c>
      <c r="C35" s="11" t="str">
        <f aca="false" t="array" ref="C35:C35">IFERROR(INDEX('Bank Schedule'!C:C, SMALL(IF('Bank Schedule'!$K$2:$K$817="Vacant", ROW('Bank Schedule'!$K$2:$K$817)), ROW(32:32))), "")</f>
        <v>MEL</v>
      </c>
      <c r="D35" s="11" t="n">
        <f aca="false" t="array" ref="D35:D35">IFERROR(INDEX('Bank Schedule'!D:D, SMALL(IF('Bank Schedule'!$K$2:$K$817="Vacant", ROW('Bank Schedule'!$K$2:$K$817)), ROW(32:32))), "")</f>
        <v>550420</v>
      </c>
      <c r="E35" s="94" t="str">
        <f aca="false" t="array" ref="E35:E35">IFERROR(INDEX('Bank Schedule'!E:E, SMALL(IF('Bank Schedule'!$K$2:$K$817="Vacant", ROW('Bank Schedule'!$K$2:$K$817)), ROW(32:32))), "")</f>
        <v>Golderbrock House,  15-19 Great Titchfield Street</v>
      </c>
      <c r="F35" s="94" t="str">
        <f aca="false" t="array" ref="F35:F35">IFERROR(INDEX('Bank Schedule'!F:F, SMALL(IF('Bank Schedule'!$K$2:$K$817="Vacant", ROW('Bank Schedule'!$K$2:$K$817)), ROW(32:32))), "")</f>
        <v>First Floor (Rear)</v>
      </c>
      <c r="G35" s="94" t="str">
        <f aca="false" t="array" ref="G35:G35">IFERROR(INDEX('Bank Schedule'!G:G, SMALL(IF('Bank Schedule'!$K$2:$K$817="Vacant", ROW('Bank Schedule'!$K$2:$K$817)), ROW(32:32))), "")</f>
        <v>Office</v>
      </c>
      <c r="H35" s="14" t="n">
        <f aca="false" t="array" ref="H35:H35">IFERROR(INDEX('Bank Schedule'!H:H, SMALL(IF('Bank Schedule'!$K$2:$K$817="Vacant", ROW('Bank Schedule'!$K$2:$K$817)), ROW(32:32))), "")</f>
        <v>533</v>
      </c>
      <c r="I35" s="14" t="n">
        <f aca="false" t="array" ref="I35:I35">IFERROR(INDEX('Bank Schedule'!I:I, SMALL(IF('Bank Schedule'!$K$2:$K$817="Vacant", ROW('Bank Schedule'!$K$2:$K$817)), ROW(32:32))), "")</f>
        <v>533</v>
      </c>
      <c r="J35" s="11" t="str">
        <f aca="false" t="array" ref="J35:J35">IFERROR(INDEX('Bank Schedule'!K:K, SMALL(IF('Bank Schedule'!$K$2:$K$817="Vacant", ROW('Bank Schedule'!$K$2:$K$817)), ROW(32:32))), "")</f>
        <v>Vacant</v>
      </c>
      <c r="K35" s="11" t="str">
        <f aca="false">IFERROR(INDEX('Bank Schedule'!L:L, SMALL(IF('Bank Schedule'!$K$2:$K$817="Vacant", ROW('Bank Schedule'!$K$2:$K$817)), ROW(32:32))), "")</f>
        <v/>
      </c>
      <c r="L35" s="11" t="str">
        <f aca="false">IFERROR(INDEX('Bank Schedule'!M:M, SMALL(IF('Bank Schedule'!$K$2:$K$817="Vacant", ROW('Bank Schedule'!$K$2:$K$817)), ROW(32:32))), "")</f>
        <v/>
      </c>
      <c r="M35" s="71" t="n">
        <f aca="false" t="array" ref="M35:M35">IFERROR(INDEX('Bank Schedule'!N:N, SMALL(IF('Bank Schedule'!$K$2:$K$817="Vacant", ROW('Bank Schedule'!$K$2:$K$817)), ROW(32:32))), "")</f>
        <v>44536</v>
      </c>
      <c r="N35" s="11" t="str">
        <f aca="false">IFERROR(INDEX('Bank Schedule'!O:O, SMALL(IF('Bank Schedule'!$K$2:$K$817="Vacant", ROW('Bank Schedule'!$K$2:$K$817)), ROW(32:32))), "")</f>
        <v/>
      </c>
      <c r="O35" s="11" t="str">
        <f aca="false">IFERROR(INDEX('Bank Schedule'!P:P, SMALL(IF('Bank Schedule'!$K$2:$K$817="Vacant", ROW('Bank Schedule'!$K$2:$K$817)), ROW(32:32))), "")</f>
        <v/>
      </c>
      <c r="P35" s="11" t="n">
        <f aca="false" t="array" ref="P35:P35">IFERROR(INDEX('Bank Schedule'!Q:Q, SMALL(IF('Bank Schedule'!$K$2:$K$817="Vacant", ROW('Bank Schedule'!$K$2:$K$817)), ROW(32:32))), "")</f>
        <v>0</v>
      </c>
      <c r="Q35" s="11" t="n">
        <f aca="false" t="array" ref="Q35:Q35">IFERROR(INDEX('Bank Schedule'!R:R, SMALL(IF('Bank Schedule'!$K$2:$K$817="Vacant", ROW('Bank Schedule'!$K$2:$K$817)), ROW(32:32))), "")</f>
        <v>0</v>
      </c>
      <c r="R35" s="11" t="str">
        <f aca="false">IFERROR(INDEX('Bank Schedule'!S:S, SMALL(IF('Bank Schedule'!$K$2:$K$817="Vacant", ROW('Bank Schedule'!$K$2:$K$817)), ROW(32:32))), "")</f>
        <v/>
      </c>
      <c r="S35" s="281" t="n">
        <f aca="false" t="array" ref="S35:S35">IFERROR(INDEX('Bank Schedule'!T:T, SMALL(IF('Bank Schedule'!$K$2:$K$817="Vacant", ROW('Bank Schedule'!$K$2:$K$817)), ROW(32:32))), "")</f>
        <v>28900</v>
      </c>
      <c r="T35" s="281" t="n">
        <f aca="false" t="array" ref="T35:T35">IFERROR(INDEX('Bank Schedule'!U:U, SMALL(IF('Bank Schedule'!$K$2:$K$817="Vacant", ROW('Bank Schedule'!$K$2:$K$817)), ROW(32:32))), "")</f>
        <v>28900</v>
      </c>
      <c r="U35" s="281" t="n">
        <f aca="false" t="array" ref="U35:U35">IFERROR(INDEX('Bank Schedule'!V:V, SMALL(IF('Bank Schedule'!$K$2:$K$817="Vacant", ROW('Bank Schedule'!$K$2:$K$817)), ROW(32:32))), "")</f>
        <v>30600</v>
      </c>
      <c r="V35" s="281" t="n">
        <f aca="false" t="array" ref="V35:V35">IFERROR(INDEX('Bank Schedule'!W:W, SMALL(IF('Bank Schedule'!$K$2:$K$817="Vacant", ROW('Bank Schedule'!$K$2:$K$817)), ROW(32:32))), "")</f>
        <v>30600</v>
      </c>
      <c r="W35" s="282" t="n">
        <f aca="false" t="array" ref="W35:W35">IFERROR(INDEX('Bank Schedule'!X:X, SMALL(IF('Bank Schedule'!$K$2:$K$817="Vacant", ROW('Bank Schedule'!$K$2:$K$817)), ROW(32:32))), "")</f>
        <v>54.2213883677298</v>
      </c>
      <c r="X35" s="11" t="str">
        <f aca="false" t="array" ref="X35:X35">IFERROR(INDEX('Bank Schedule'!Y:Y, SMALL(IF('Bank Schedule'!$K$2:$K$817="Vacant", ROW('Bank Schedule'!$K$2:$K$817)), ROW(32:32))), "")</f>
        <v>C</v>
      </c>
      <c r="Y35" s="11" t="str">
        <f aca="false">IFERROR(INDEX('Bank Schedule'!Z:Z, SMALL(IF('Bank Schedule'!$K$2:$K$817="Vacant", ROW('Bank Schedule'!$K$2:$K$817)), ROW(32:32))), "")</f>
        <v/>
      </c>
      <c r="Z35" s="11" t="str">
        <f aca="false">IFERROR(INDEX('Bank Schedule'!AA:AA, SMALL(IF('Bank Schedule'!$K$2:$K$817="Vacant", ROW('Bank Schedule'!$K$2:$K$817)), ROW(32:32))), "")</f>
        <v/>
      </c>
      <c r="AA35" s="11" t="str">
        <f aca="false" t="array" ref="AA35:AA35">IFERROR(INDEX('Bank Schedule'!AB:AB, SMALL(IF('Bank Schedule'!$K$2:$K$817="Vacant", ROW('Bank Schedule'!$K$2:$K$817)), ROW(32:32))), "")</f>
        <v>No</v>
      </c>
      <c r="AB35" s="94" t="str">
        <f aca="false" t="array" ref="AB35:AB35">IFERROR(INDEX('Bank Schedule'!AC:AC, SMALL(IF('Bank Schedule'!$K$2:$K$817="Vacant", ROW('Bank Schedule'!$K$2:$K$817)), ROW(32:32))), "")</f>
        <v>Refurbishement completed. LEM marketing.</v>
      </c>
      <c r="AC35" s="44" t="str">
        <f aca="false">IFERROR(INDEX('Bank Schedule'!AD:AD, SMALL(IF('Bank Schedule'!$K$2:$K$817="Vacant", ROW('Bank Schedule'!$K$2:$K$817)), ROW(32:32))), "")</f>
        <v/>
      </c>
      <c r="AD35" s="11" t="str">
        <f aca="false">IFERROR(INDEX('Bank Schedule'!AE:AE, SMALL(IF('Bank Schedule'!$K$2:$K$817="Vacant", ROW('Bank Schedule'!$K$2:$K$817)), ROW(32:32))), "")</f>
        <v/>
      </c>
      <c r="AE35" s="11" t="str">
        <f aca="false">IFERROR(INDEX('Bank Schedule'!AF:AF, SMALL(IF('Bank Schedule'!$K$2:$K$817="Vacant", ROW('Bank Schedule'!$K$2:$K$817)), ROW(32:32))), "")</f>
        <v/>
      </c>
      <c r="AF35" s="11" t="str">
        <f aca="false">IFERROR(INDEX('Bank Schedule'!AG:AG, SMALL(IF('Bank Schedule'!$K$2:$K$817="Vacant", ROW('Bank Schedule'!$K$2:$K$817)), ROW(32:32))), "")</f>
        <v/>
      </c>
      <c r="AG35" s="4"/>
    </row>
    <row r="36" customFormat="false" ht="28.5" hidden="false" customHeight="true" outlineLevel="0" collapsed="false">
      <c r="A36" s="28" t="str">
        <f aca="false">IFERROR(INDEX('Bank Schedule'!A:A, SMALL(IF('Bank Schedule'!$K$2:$K$817="Vacant", ROW('Bank Schedule'!$K$2:$K$817)), ROW(33:33))), "")</f>
        <v/>
      </c>
      <c r="B36" s="11" t="str">
        <f aca="false" t="array" ref="B36:B36">IFERROR(INDEX('Bank Schedule'!B:B, SMALL(IF('Bank Schedule'!$K$2:$K$817="Vacant", ROW('Bank Schedule'!$K$2:$K$817)), ROW(33:33))), "")</f>
        <v>SH</v>
      </c>
      <c r="C36" s="11" t="str">
        <f aca="false" t="array" ref="C36:C36">IFERROR(INDEX('Bank Schedule'!C:C, SMALL(IF('Bank Schedule'!$K$2:$K$817="Vacant", ROW('Bank Schedule'!$K$2:$K$817)), ROW(33:33))), "")</f>
        <v>MEL</v>
      </c>
      <c r="D36" s="11" t="n">
        <f aca="false" t="array" ref="D36:D36">IFERROR(INDEX('Bank Schedule'!D:D, SMALL(IF('Bank Schedule'!$K$2:$K$817="Vacant", ROW('Bank Schedule'!$K$2:$K$817)), ROW(33:33))), "")</f>
        <v>550190</v>
      </c>
      <c r="E36" s="94" t="str">
        <f aca="false" t="array" ref="E36:E36">IFERROR(INDEX('Bank Schedule'!E:E, SMALL(IF('Bank Schedule'!$K$2:$K$817="Vacant", ROW('Bank Schedule'!$K$2:$K$817)), ROW(33:33))), "")</f>
        <v>Circus House,  21 Great Titchfield Street</v>
      </c>
      <c r="F36" s="94" t="str">
        <f aca="false" t="array" ref="F36:F36">IFERROR(INDEX('Bank Schedule'!F:F, SMALL(IF('Bank Schedule'!$K$2:$K$817="Vacant", ROW('Bank Schedule'!$K$2:$K$817)), ROW(33:33))), "")</f>
        <v>Ground Floor (West)</v>
      </c>
      <c r="G36" s="94" t="str">
        <f aca="false" t="array" ref="G36:G36">IFERROR(INDEX('Bank Schedule'!G:G, SMALL(IF('Bank Schedule'!$K$2:$K$817="Vacant", ROW('Bank Schedule'!$K$2:$K$817)), ROW(33:33))), "")</f>
        <v>Office</v>
      </c>
      <c r="H36" s="14" t="n">
        <f aca="false" t="array" ref="H36:H36">IFERROR(INDEX('Bank Schedule'!H:H, SMALL(IF('Bank Schedule'!$K$2:$K$817="Vacant", ROW('Bank Schedule'!$K$2:$K$817)), ROW(33:33))), "")</f>
        <v>1946</v>
      </c>
      <c r="I36" s="14" t="n">
        <f aca="false" t="array" ref="I36:I36">IFERROR(INDEX('Bank Schedule'!I:I, SMALL(IF('Bank Schedule'!$K$2:$K$817="Vacant", ROW('Bank Schedule'!$K$2:$K$817)), ROW(33:33))), "")</f>
        <v>1946</v>
      </c>
      <c r="J36" s="11" t="str">
        <f aca="false" t="array" ref="J36:J36">IFERROR(INDEX('Bank Schedule'!K:K, SMALL(IF('Bank Schedule'!$K$2:$K$817="Vacant", ROW('Bank Schedule'!$K$2:$K$817)), ROW(33:33))), "")</f>
        <v>Vacant</v>
      </c>
      <c r="K36" s="11" t="str">
        <f aca="false">IFERROR(INDEX('Bank Schedule'!L:L, SMALL(IF('Bank Schedule'!$K$2:$K$817="Vacant", ROW('Bank Schedule'!$K$2:$K$817)), ROW(33:33))), "")</f>
        <v/>
      </c>
      <c r="L36" s="11" t="str">
        <f aca="false">IFERROR(INDEX('Bank Schedule'!M:M, SMALL(IF('Bank Schedule'!$K$2:$K$817="Vacant", ROW('Bank Schedule'!$K$2:$K$817)), ROW(33:33))), "")</f>
        <v/>
      </c>
      <c r="M36" s="71" t="n">
        <f aca="false" t="array" ref="M36:M36">IFERROR(INDEX('Bank Schedule'!N:N, SMALL(IF('Bank Schedule'!$K$2:$K$817="Vacant", ROW('Bank Schedule'!$K$2:$K$817)), ROW(33:33))), "")</f>
        <v>45154</v>
      </c>
      <c r="N36" s="11" t="str">
        <f aca="false">IFERROR(INDEX('Bank Schedule'!O:O, SMALL(IF('Bank Schedule'!$K$2:$K$817="Vacant", ROW('Bank Schedule'!$K$2:$K$817)), ROW(33:33))), "")</f>
        <v/>
      </c>
      <c r="O36" s="11" t="str">
        <f aca="false">IFERROR(INDEX('Bank Schedule'!P:P, SMALL(IF('Bank Schedule'!$K$2:$K$817="Vacant", ROW('Bank Schedule'!$K$2:$K$817)), ROW(33:33))), "")</f>
        <v/>
      </c>
      <c r="P36" s="11" t="n">
        <f aca="false" t="array" ref="P36:P36">IFERROR(INDEX('Bank Schedule'!Q:Q, SMALL(IF('Bank Schedule'!$K$2:$K$817="Vacant", ROW('Bank Schedule'!$K$2:$K$817)), ROW(33:33))), "")</f>
        <v>0</v>
      </c>
      <c r="Q36" s="11" t="n">
        <f aca="false" t="array" ref="Q36:Q36">IFERROR(INDEX('Bank Schedule'!R:R, SMALL(IF('Bank Schedule'!$K$2:$K$817="Vacant", ROW('Bank Schedule'!$K$2:$K$817)), ROW(33:33))), "")</f>
        <v>0</v>
      </c>
      <c r="R36" s="11" t="str">
        <f aca="false">IFERROR(INDEX('Bank Schedule'!S:S, SMALL(IF('Bank Schedule'!$K$2:$K$817="Vacant", ROW('Bank Schedule'!$K$2:$K$817)), ROW(33:33))), "")</f>
        <v/>
      </c>
      <c r="S36" s="281" t="n">
        <f aca="false" t="array" ref="S36:S36">IFERROR(INDEX('Bank Schedule'!T:T, SMALL(IF('Bank Schedule'!$K$2:$K$817="Vacant", ROW('Bank Schedule'!$K$2:$K$817)), ROW(33:33))), "")</f>
        <v>113900</v>
      </c>
      <c r="T36" s="281" t="n">
        <f aca="false" t="array" ref="T36:T36">IFERROR(INDEX('Bank Schedule'!U:U, SMALL(IF('Bank Schedule'!$K$2:$K$817="Vacant", ROW('Bank Schedule'!$K$2:$K$817)), ROW(33:33))), "")</f>
        <v>113900</v>
      </c>
      <c r="U36" s="281" t="n">
        <f aca="false" t="array" ref="U36:U36">IFERROR(INDEX('Bank Schedule'!V:V, SMALL(IF('Bank Schedule'!$K$2:$K$817="Vacant", ROW('Bank Schedule'!$K$2:$K$817)), ROW(33:33))), "")</f>
        <v>116800</v>
      </c>
      <c r="V36" s="281" t="n">
        <f aca="false" t="array" ref="V36:V36">IFERROR(INDEX('Bank Schedule'!W:W, SMALL(IF('Bank Schedule'!$K$2:$K$817="Vacant", ROW('Bank Schedule'!$K$2:$K$817)), ROW(33:33))), "")</f>
        <v>116800</v>
      </c>
      <c r="W36" s="282" t="n">
        <f aca="false" t="array" ref="W36:W36">IFERROR(INDEX('Bank Schedule'!X:X, SMALL(IF('Bank Schedule'!$K$2:$K$817="Vacant", ROW('Bank Schedule'!$K$2:$K$817)), ROW(33:33))), "")</f>
        <v>58.5303186022611</v>
      </c>
      <c r="X36" s="11" t="str">
        <f aca="false" t="array" ref="X36:X36">IFERROR(INDEX('Bank Schedule'!Y:Y, SMALL(IF('Bank Schedule'!$K$2:$K$817="Vacant", ROW('Bank Schedule'!$K$2:$K$817)), ROW(33:33))), "")</f>
        <v>E</v>
      </c>
      <c r="Y36" s="11" t="str">
        <f aca="false">IFERROR(INDEX('Bank Schedule'!Z:Z, SMALL(IF('Bank Schedule'!$K$2:$K$817="Vacant", ROW('Bank Schedule'!$K$2:$K$817)), ROW(33:33))), "")</f>
        <v/>
      </c>
      <c r="Z36" s="11" t="str">
        <f aca="false">IFERROR(INDEX('Bank Schedule'!AA:AA, SMALL(IF('Bank Schedule'!$K$2:$K$817="Vacant", ROW('Bank Schedule'!$K$2:$K$817)), ROW(33:33))), "")</f>
        <v/>
      </c>
      <c r="AA36" s="11" t="str">
        <f aca="false" t="array" ref="AA36:AA36">IFERROR(INDEX('Bank Schedule'!AB:AB, SMALL(IF('Bank Schedule'!$K$2:$K$817="Vacant", ROW('Bank Schedule'!$K$2:$K$817)), ROW(33:33))), "")</f>
        <v>No</v>
      </c>
      <c r="AB36" s="94" t="str">
        <f aca="false" t="array" ref="AB36:AB36">IFERROR(INDEX('Bank Schedule'!AC:AC, SMALL(IF('Bank Schedule'!$K$2:$K$817="Vacant", ROW('Bank Schedule'!$K$2:$K$817)), ROW(33:33))), "")</f>
        <v>Unit under offer.</v>
      </c>
      <c r="AC36" s="44" t="n">
        <f aca="false" t="array" ref="AC36:AC36">IFERROR(INDEX('Bank Schedule'!AD:AD, SMALL(IF('Bank Schedule'!$K$2:$K$817="Vacant", ROW('Bank Schedule'!$K$2:$K$817)), ROW(33:33))), "")</f>
        <v>60</v>
      </c>
      <c r="AD36" s="11" t="str">
        <f aca="false">IFERROR(INDEX('Bank Schedule'!AE:AE, SMALL(IF('Bank Schedule'!$K$2:$K$817="Vacant", ROW('Bank Schedule'!$K$2:$K$817)), ROW(33:33))), "")</f>
        <v/>
      </c>
      <c r="AE36" s="11" t="n">
        <f aca="false" t="array" ref="AE36:AE36">IFERROR(INDEX('Bank Schedule'!AF:AF, SMALL(IF('Bank Schedule'!$K$2:$K$817="Vacant", ROW('Bank Schedule'!$K$2:$K$817)), ROW(33:33))), "")</f>
        <v>6</v>
      </c>
      <c r="AF36" s="11" t="str">
        <f aca="false" t="array" ref="AF36:AF36">IFERROR(INDEX('Bank Schedule'!AG:AG, SMALL(IF('Bank Schedule'!$K$2:$K$817="Vacant", ROW('Bank Schedule'!$K$2:$K$817)), ROW(33:33))), "")</f>
        <v>LEM</v>
      </c>
      <c r="AG36" s="4"/>
    </row>
    <row r="37" customFormat="false" ht="28.5" hidden="false" customHeight="true" outlineLevel="0" collapsed="false">
      <c r="A37" s="28" t="str">
        <f aca="false">IFERROR(INDEX('Bank Schedule'!A:A, SMALL(IF('Bank Schedule'!$K$2:$K$817="Vacant", ROW('Bank Schedule'!$K$2:$K$817)), ROW(34:34))), "")</f>
        <v/>
      </c>
      <c r="B37" s="11" t="str">
        <f aca="false" t="array" ref="B37:B37">IFERROR(INDEX('Bank Schedule'!B:B, SMALL(IF('Bank Schedule'!$K$2:$K$817="Vacant", ROW('Bank Schedule'!$K$2:$K$817)), ROW(34:34))), "")</f>
        <v>WS</v>
      </c>
      <c r="C37" s="11" t="str">
        <f aca="false" t="array" ref="C37:C37">IFERROR(INDEX('Bank Schedule'!C:C, SMALL(IF('Bank Schedule'!$K$2:$K$817="Vacant", ROW('Bank Schedule'!$K$2:$K$817)), ROW(34:34))), "")</f>
        <v>MEL</v>
      </c>
      <c r="D37" s="11" t="n">
        <f aca="false" t="array" ref="D37:D37">IFERROR(INDEX('Bank Schedule'!D:D, SMALL(IF('Bank Schedule'!$K$2:$K$817="Vacant", ROW('Bank Schedule'!$K$2:$K$817)), ROW(34:34))), "")</f>
        <v>550570</v>
      </c>
      <c r="E37" s="94" t="str">
        <f aca="false" t="array" ref="E37:E37">IFERROR(INDEX('Bank Schedule'!E:E, SMALL(IF('Bank Schedule'!$K$2:$K$817="Vacant", ROW('Bank Schedule'!$K$2:$K$817)), ROW(34:34))), "")</f>
        <v>Moray House, 23-35 Great Titchfield Street &amp; 63-65 Mortimer Street</v>
      </c>
      <c r="F37" s="94" t="str">
        <f aca="false" t="array" ref="F37:F37">IFERROR(INDEX('Bank Schedule'!F:F, SMALL(IF('Bank Schedule'!$K$2:$K$817="Vacant", ROW('Bank Schedule'!$K$2:$K$817)), ROW(34:34))), "")</f>
        <v>Suite 1.1 First Floor</v>
      </c>
      <c r="G37" s="94" t="str">
        <f aca="false" t="array" ref="G37:G37">IFERROR(INDEX('Bank Schedule'!G:G, SMALL(IF('Bank Schedule'!$K$2:$K$817="Vacant", ROW('Bank Schedule'!$K$2:$K$817)), ROW(34:34))), "")</f>
        <v>Office</v>
      </c>
      <c r="H37" s="14" t="n">
        <f aca="false" t="array" ref="H37:H37">IFERROR(INDEX('Bank Schedule'!H:H, SMALL(IF('Bank Schedule'!$K$2:$K$817="Vacant", ROW('Bank Schedule'!$K$2:$K$817)), ROW(34:34))), "")</f>
        <v>1443</v>
      </c>
      <c r="I37" s="14" t="n">
        <f aca="false" t="array" ref="I37:I37">IFERROR(INDEX('Bank Schedule'!I:I, SMALL(IF('Bank Schedule'!$K$2:$K$817="Vacant", ROW('Bank Schedule'!$K$2:$K$817)), ROW(34:34))), "")</f>
        <v>1443</v>
      </c>
      <c r="J37" s="11" t="str">
        <f aca="false" t="array" ref="J37:J37">IFERROR(INDEX('Bank Schedule'!K:K, SMALL(IF('Bank Schedule'!$K$2:$K$817="Vacant", ROW('Bank Schedule'!$K$2:$K$817)), ROW(34:34))), "")</f>
        <v>Vacant</v>
      </c>
      <c r="K37" s="11" t="str">
        <f aca="false">IFERROR(INDEX('Bank Schedule'!L:L, SMALL(IF('Bank Schedule'!$K$2:$K$817="Vacant", ROW('Bank Schedule'!$K$2:$K$817)), ROW(34:34))), "")</f>
        <v/>
      </c>
      <c r="L37" s="11" t="str">
        <f aca="false">IFERROR(INDEX('Bank Schedule'!M:M, SMALL(IF('Bank Schedule'!$K$2:$K$817="Vacant", ROW('Bank Schedule'!$K$2:$K$817)), ROW(34:34))), "")</f>
        <v/>
      </c>
      <c r="M37" s="71" t="n">
        <f aca="false" t="array" ref="M37:M37">IFERROR(INDEX('Bank Schedule'!N:N, SMALL(IF('Bank Schedule'!$K$2:$K$817="Vacant", ROW('Bank Schedule'!$K$2:$K$817)), ROW(34:34))), "")</f>
        <v>44121</v>
      </c>
      <c r="N37" s="11" t="str">
        <f aca="false">IFERROR(INDEX('Bank Schedule'!O:O, SMALL(IF('Bank Schedule'!$K$2:$K$817="Vacant", ROW('Bank Schedule'!$K$2:$K$817)), ROW(34:34))), "")</f>
        <v/>
      </c>
      <c r="O37" s="11" t="str">
        <f aca="false">IFERROR(INDEX('Bank Schedule'!P:P, SMALL(IF('Bank Schedule'!$K$2:$K$817="Vacant", ROW('Bank Schedule'!$K$2:$K$817)), ROW(34:34))), "")</f>
        <v/>
      </c>
      <c r="P37" s="11" t="n">
        <f aca="false" t="array" ref="P37:P37">IFERROR(INDEX('Bank Schedule'!Q:Q, SMALL(IF('Bank Schedule'!$K$2:$K$817="Vacant", ROW('Bank Schedule'!$K$2:$K$817)), ROW(34:34))), "")</f>
        <v>0</v>
      </c>
      <c r="Q37" s="11" t="n">
        <f aca="false" t="array" ref="Q37:Q37">IFERROR(INDEX('Bank Schedule'!R:R, SMALL(IF('Bank Schedule'!$K$2:$K$817="Vacant", ROW('Bank Schedule'!$K$2:$K$817)), ROW(34:34))), "")</f>
        <v>0</v>
      </c>
      <c r="R37" s="11" t="str">
        <f aca="false">IFERROR(INDEX('Bank Schedule'!S:S, SMALL(IF('Bank Schedule'!$K$2:$K$817="Vacant", ROW('Bank Schedule'!$K$2:$K$817)), ROW(34:34))), "")</f>
        <v/>
      </c>
      <c r="S37" s="281" t="n">
        <f aca="false" t="array" ref="S37:S37">IFERROR(INDEX('Bank Schedule'!T:T, SMALL(IF('Bank Schedule'!$K$2:$K$817="Vacant", ROW('Bank Schedule'!$K$2:$K$817)), ROW(34:34))), "")</f>
        <v>87800</v>
      </c>
      <c r="T37" s="281" t="n">
        <f aca="false" t="array" ref="T37:T37">IFERROR(INDEX('Bank Schedule'!U:U, SMALL(IF('Bank Schedule'!$K$2:$K$817="Vacant", ROW('Bank Schedule'!$K$2:$K$817)), ROW(34:34))), "")</f>
        <v>87800</v>
      </c>
      <c r="U37" s="281" t="n">
        <f aca="false" t="array" ref="U37:U37">IFERROR(INDEX('Bank Schedule'!V:V, SMALL(IF('Bank Schedule'!$K$2:$K$817="Vacant", ROW('Bank Schedule'!$K$2:$K$817)), ROW(34:34))), "")</f>
        <v>93800</v>
      </c>
      <c r="V37" s="281" t="n">
        <f aca="false" t="array" ref="V37:V37">IFERROR(INDEX('Bank Schedule'!W:W, SMALL(IF('Bank Schedule'!$K$2:$K$817="Vacant", ROW('Bank Schedule'!$K$2:$K$817)), ROW(34:34))), "")</f>
        <v>93800</v>
      </c>
      <c r="W37" s="282" t="n">
        <f aca="false" t="array" ref="W37:W37">IFERROR(INDEX('Bank Schedule'!X:X, SMALL(IF('Bank Schedule'!$K$2:$K$817="Vacant", ROW('Bank Schedule'!$K$2:$K$817)), ROW(34:34))), "")</f>
        <v>60.8454608454609</v>
      </c>
      <c r="X37" s="11" t="str">
        <f aca="false" t="array" ref="X37:X37">IFERROR(INDEX('Bank Schedule'!Y:Y, SMALL(IF('Bank Schedule'!$K$2:$K$817="Vacant", ROW('Bank Schedule'!$K$2:$K$817)), ROW(34:34))), "")</f>
        <v>D</v>
      </c>
      <c r="Y37" s="11" t="str">
        <f aca="false">IFERROR(INDEX('Bank Schedule'!Z:Z, SMALL(IF('Bank Schedule'!$K$2:$K$817="Vacant", ROW('Bank Schedule'!$K$2:$K$817)), ROW(34:34))), "")</f>
        <v/>
      </c>
      <c r="Z37" s="11" t="str">
        <f aca="false">IFERROR(INDEX('Bank Schedule'!AA:AA, SMALL(IF('Bank Schedule'!$K$2:$K$817="Vacant", ROW('Bank Schedule'!$K$2:$K$817)), ROW(34:34))), "")</f>
        <v/>
      </c>
      <c r="AA37" s="11" t="str">
        <f aca="false" t="array" ref="AA37:AA37">IFERROR(INDEX('Bank Schedule'!AB:AB, SMALL(IF('Bank Schedule'!$K$2:$K$817="Vacant", ROW('Bank Schedule'!$K$2:$K$817)), ROW(34:34))), "")</f>
        <v>No</v>
      </c>
      <c r="AB37" s="94" t="str">
        <f aca="false" t="array" ref="AB37:AB37">IFERROR(INDEX('Bank Schedule'!AC:AC, SMALL(IF('Bank Schedule'!$K$2:$K$817="Vacant", ROW('Bank Schedule'!$K$2:$K$817)), ROW(34:34))), "")</f>
        <v>To be refurbished.</v>
      </c>
      <c r="AC37" s="44" t="n">
        <f aca="false" t="array" ref="AC37:AC37">IFERROR(INDEX('Bank Schedule'!AD:AD, SMALL(IF('Bank Schedule'!$K$2:$K$817="Vacant", ROW('Bank Schedule'!$K$2:$K$817)), ROW(34:34))), "")</f>
        <v>65</v>
      </c>
      <c r="AD37" s="11" t="str">
        <f aca="false">IFERROR(INDEX('Bank Schedule'!AE:AE, SMALL(IF('Bank Schedule'!$K$2:$K$817="Vacant", ROW('Bank Schedule'!$K$2:$K$817)), ROW(34:34))), "")</f>
        <v/>
      </c>
      <c r="AE37" s="11" t="n">
        <f aca="false" t="array" ref="AE37:AE37">IFERROR(INDEX('Bank Schedule'!AF:AF, SMALL(IF('Bank Schedule'!$K$2:$K$817="Vacant", ROW('Bank Schedule'!$K$2:$K$817)), ROW(34:34))), "")</f>
        <v>1</v>
      </c>
      <c r="AF37" s="11" t="str">
        <f aca="false" t="array" ref="AF37:AF37">IFERROR(INDEX('Bank Schedule'!AG:AG, SMALL(IF('Bank Schedule'!$K$2:$K$817="Vacant", ROW('Bank Schedule'!$K$2:$K$817)), ROW(34:34))), "")</f>
        <v>LEM</v>
      </c>
      <c r="AG37" s="4"/>
    </row>
    <row r="38" customFormat="false" ht="28.5" hidden="false" customHeight="true" outlineLevel="0" collapsed="false">
      <c r="A38" s="28" t="str">
        <f aca="false">IFERROR(INDEX('Bank Schedule'!A:A, SMALL(IF('Bank Schedule'!$K$2:$K$817="Vacant", ROW('Bank Schedule'!$K$2:$K$817)), ROW(35:35))), "")</f>
        <v/>
      </c>
      <c r="B38" s="11" t="str">
        <f aca="false" t="array" ref="B38:B38">IFERROR(INDEX('Bank Schedule'!B:B, SMALL(IF('Bank Schedule'!$K$2:$K$817="Vacant", ROW('Bank Schedule'!$K$2:$K$817)), ROW(35:35))), "")</f>
        <v>WS</v>
      </c>
      <c r="C38" s="11" t="str">
        <f aca="false" t="array" ref="C38:C38">IFERROR(INDEX('Bank Schedule'!C:C, SMALL(IF('Bank Schedule'!$K$2:$K$817="Vacant", ROW('Bank Schedule'!$K$2:$K$817)), ROW(35:35))), "")</f>
        <v>MEL</v>
      </c>
      <c r="D38" s="11" t="n">
        <f aca="false" t="array" ref="D38:D38">IFERROR(INDEX('Bank Schedule'!D:D, SMALL(IF('Bank Schedule'!$K$2:$K$817="Vacant", ROW('Bank Schedule'!$K$2:$K$817)), ROW(35:35))), "")</f>
        <v>550570</v>
      </c>
      <c r="E38" s="94" t="str">
        <f aca="false" t="array" ref="E38:E38">IFERROR(INDEX('Bank Schedule'!E:E, SMALL(IF('Bank Schedule'!$K$2:$K$817="Vacant", ROW('Bank Schedule'!$K$2:$K$817)), ROW(35:35))), "")</f>
        <v>Moray House, 23-35 Great Titchfield Street &amp; 63-65 Mortimer Street</v>
      </c>
      <c r="F38" s="94" t="str">
        <f aca="false" t="array" ref="F38:F38">IFERROR(INDEX('Bank Schedule'!F:F, SMALL(IF('Bank Schedule'!$K$2:$K$817="Vacant", ROW('Bank Schedule'!$K$2:$K$817)), ROW(35:35))), "")</f>
        <v>Suites 2 &amp; 3 First Floor  </v>
      </c>
      <c r="G38" s="94" t="str">
        <f aca="false" t="array" ref="G38:G38">IFERROR(INDEX('Bank Schedule'!G:G, SMALL(IF('Bank Schedule'!$K$2:$K$817="Vacant", ROW('Bank Schedule'!$K$2:$K$817)), ROW(35:35))), "")</f>
        <v>Showroom/Office</v>
      </c>
      <c r="H38" s="14" t="n">
        <f aca="false" t="array" ref="H38:H38">IFERROR(INDEX('Bank Schedule'!H:H, SMALL(IF('Bank Schedule'!$K$2:$K$817="Vacant", ROW('Bank Schedule'!$K$2:$K$817)), ROW(35:35))), "")</f>
        <v>2851</v>
      </c>
      <c r="I38" s="14" t="n">
        <f aca="false" t="array" ref="I38:I38">IFERROR(INDEX('Bank Schedule'!I:I, SMALL(IF('Bank Schedule'!$K$2:$K$817="Vacant", ROW('Bank Schedule'!$K$2:$K$817)), ROW(35:35))), "")</f>
        <v>2851</v>
      </c>
      <c r="J38" s="11" t="str">
        <f aca="false" t="array" ref="J38:J38">IFERROR(INDEX('Bank Schedule'!K:K, SMALL(IF('Bank Schedule'!$K$2:$K$817="Vacant", ROW('Bank Schedule'!$K$2:$K$817)), ROW(35:35))), "")</f>
        <v>Vacant</v>
      </c>
      <c r="K38" s="11" t="str">
        <f aca="false">IFERROR(INDEX('Bank Schedule'!L:L, SMALL(IF('Bank Schedule'!$K$2:$K$817="Vacant", ROW('Bank Schedule'!$K$2:$K$817)), ROW(35:35))), "")</f>
        <v/>
      </c>
      <c r="L38" s="11" t="str">
        <f aca="false">IFERROR(INDEX('Bank Schedule'!M:M, SMALL(IF('Bank Schedule'!$K$2:$K$817="Vacant", ROW('Bank Schedule'!$K$2:$K$817)), ROW(35:35))), "")</f>
        <v/>
      </c>
      <c r="M38" s="71" t="n">
        <f aca="false" t="array" ref="M38:M38">IFERROR(INDEX('Bank Schedule'!N:N, SMALL(IF('Bank Schedule'!$K$2:$K$817="Vacant", ROW('Bank Schedule'!$K$2:$K$817)), ROW(35:35))), "")</f>
        <v>45845</v>
      </c>
      <c r="N38" s="11" t="str">
        <f aca="false">IFERROR(INDEX('Bank Schedule'!O:O, SMALL(IF('Bank Schedule'!$K$2:$K$817="Vacant", ROW('Bank Schedule'!$K$2:$K$817)), ROW(35:35))), "")</f>
        <v/>
      </c>
      <c r="O38" s="11" t="str">
        <f aca="false">IFERROR(INDEX('Bank Schedule'!P:P, SMALL(IF('Bank Schedule'!$K$2:$K$817="Vacant", ROW('Bank Schedule'!$K$2:$K$817)), ROW(35:35))), "")</f>
        <v/>
      </c>
      <c r="P38" s="11" t="n">
        <f aca="false" t="array" ref="P38:P38">IFERROR(INDEX('Bank Schedule'!Q:Q, SMALL(IF('Bank Schedule'!$K$2:$K$817="Vacant", ROW('Bank Schedule'!$K$2:$K$817)), ROW(35:35))), "")</f>
        <v>0</v>
      </c>
      <c r="Q38" s="11" t="n">
        <f aca="false" t="array" ref="Q38:Q38">IFERROR(INDEX('Bank Schedule'!R:R, SMALL(IF('Bank Schedule'!$K$2:$K$817="Vacant", ROW('Bank Schedule'!$K$2:$K$817)), ROW(35:35))), "")</f>
        <v>0</v>
      </c>
      <c r="R38" s="11" t="str">
        <f aca="false">IFERROR(INDEX('Bank Schedule'!S:S, SMALL(IF('Bank Schedule'!$K$2:$K$817="Vacant", ROW('Bank Schedule'!$K$2:$K$817)), ROW(35:35))), "")</f>
        <v/>
      </c>
      <c r="S38" s="281" t="n">
        <f aca="false" t="array" ref="S38:S38">IFERROR(INDEX('Bank Schedule'!T:T, SMALL(IF('Bank Schedule'!$K$2:$K$817="Vacant", ROW('Bank Schedule'!$K$2:$K$817)), ROW(35:35))), "")</f>
        <v>151300</v>
      </c>
      <c r="T38" s="281" t="n">
        <f aca="false" t="array" ref="T38:T38">IFERROR(INDEX('Bank Schedule'!U:U, SMALL(IF('Bank Schedule'!$K$2:$K$817="Vacant", ROW('Bank Schedule'!$K$2:$K$817)), ROW(35:35))), "")</f>
        <v>151300</v>
      </c>
      <c r="U38" s="281" t="n">
        <f aca="false" t="array" ref="U38:U38">IFERROR(INDEX('Bank Schedule'!V:V, SMALL(IF('Bank Schedule'!$K$2:$K$817="Vacant", ROW('Bank Schedule'!$K$2:$K$817)), ROW(35:35))), "")</f>
        <v>185300</v>
      </c>
      <c r="V38" s="281" t="n">
        <f aca="false" t="array" ref="V38:V38">IFERROR(INDEX('Bank Schedule'!W:W, SMALL(IF('Bank Schedule'!$K$2:$K$817="Vacant", ROW('Bank Schedule'!$K$2:$K$817)), ROW(35:35))), "")</f>
        <v>185300</v>
      </c>
      <c r="W38" s="282" t="n">
        <f aca="false" t="array" ref="W38:W38">IFERROR(INDEX('Bank Schedule'!X:X, SMALL(IF('Bank Schedule'!$K$2:$K$817="Vacant", ROW('Bank Schedule'!$K$2:$K$817)), ROW(35:35))), "")</f>
        <v>53.0690985619081</v>
      </c>
      <c r="X38" s="11" t="str">
        <f aca="false" t="array" ref="X38:X38">IFERROR(INDEX('Bank Schedule'!Y:Y, SMALL(IF('Bank Schedule'!$K$2:$K$817="Vacant", ROW('Bank Schedule'!$K$2:$K$817)), ROW(35:35))), "")</f>
        <v>C</v>
      </c>
      <c r="Y38" s="11" t="str">
        <f aca="false">IFERROR(INDEX('Bank Schedule'!Z:Z, SMALL(IF('Bank Schedule'!$K$2:$K$817="Vacant", ROW('Bank Schedule'!$K$2:$K$817)), ROW(35:35))), "")</f>
        <v/>
      </c>
      <c r="Z38" s="11" t="str">
        <f aca="false">IFERROR(INDEX('Bank Schedule'!AA:AA, SMALL(IF('Bank Schedule'!$K$2:$K$817="Vacant", ROW('Bank Schedule'!$K$2:$K$817)), ROW(35:35))), "")</f>
        <v/>
      </c>
      <c r="AA38" s="11" t="str">
        <f aca="false" t="array" ref="AA38:AA38">IFERROR(INDEX('Bank Schedule'!AB:AB, SMALL(IF('Bank Schedule'!$K$2:$K$817="Vacant", ROW('Bank Schedule'!$K$2:$K$817)), ROW(35:35))), "")</f>
        <v>No</v>
      </c>
      <c r="AB38" s="94" t="str">
        <f aca="false" t="array" ref="AB38:AB38">IFERROR(INDEX('Bank Schedule'!AC:AC, SMALL(IF('Bank Schedule'!$K$2:$K$817="Vacant", ROW('Bank Schedule'!$K$2:$K$817)), ROW(35:35))), "")</f>
        <v>LEM marketing.</v>
      </c>
      <c r="AC38" s="44" t="str">
        <f aca="false">IFERROR(INDEX('Bank Schedule'!AD:AD, SMALL(IF('Bank Schedule'!$K$2:$K$817="Vacant", ROW('Bank Schedule'!$K$2:$K$817)), ROW(35:35))), "")</f>
        <v/>
      </c>
      <c r="AD38" s="11" t="str">
        <f aca="false">IFERROR(INDEX('Bank Schedule'!AE:AE, SMALL(IF('Bank Schedule'!$K$2:$K$817="Vacant", ROW('Bank Schedule'!$K$2:$K$817)), ROW(35:35))), "")</f>
        <v/>
      </c>
      <c r="AE38" s="11" t="str">
        <f aca="false">IFERROR(INDEX('Bank Schedule'!AF:AF, SMALL(IF('Bank Schedule'!$K$2:$K$817="Vacant", ROW('Bank Schedule'!$K$2:$K$817)), ROW(35:35))), "")</f>
        <v/>
      </c>
      <c r="AF38" s="11" t="str">
        <f aca="false">IFERROR(INDEX('Bank Schedule'!AG:AG, SMALL(IF('Bank Schedule'!$K$2:$K$817="Vacant", ROW('Bank Schedule'!$K$2:$K$817)), ROW(35:35))), "")</f>
        <v/>
      </c>
      <c r="AG38" s="4"/>
    </row>
    <row r="39" customFormat="false" ht="28.5" hidden="false" customHeight="true" outlineLevel="0" collapsed="false">
      <c r="A39" s="28" t="str">
        <f aca="false">IFERROR(INDEX('Bank Schedule'!A:A, SMALL(IF('Bank Schedule'!$K$2:$K$817="Vacant", ROW('Bank Schedule'!$K$2:$K$817)), ROW(36:36))), "")</f>
        <v/>
      </c>
      <c r="B39" s="11" t="str">
        <f aca="false" t="array" ref="B39:B39">IFERROR(INDEX('Bank Schedule'!B:B, SMALL(IF('Bank Schedule'!$K$2:$K$817="Vacant", ROW('Bank Schedule'!$K$2:$K$817)), ROW(36:36))), "")</f>
        <v>WS</v>
      </c>
      <c r="C39" s="11" t="str">
        <f aca="false" t="array" ref="C39:C39">IFERROR(INDEX('Bank Schedule'!C:C, SMALL(IF('Bank Schedule'!$K$2:$K$817="Vacant", ROW('Bank Schedule'!$K$2:$K$817)), ROW(36:36))), "")</f>
        <v>MEL</v>
      </c>
      <c r="D39" s="11" t="n">
        <f aca="false" t="array" ref="D39:D39">IFERROR(INDEX('Bank Schedule'!D:D, SMALL(IF('Bank Schedule'!$K$2:$K$817="Vacant", ROW('Bank Schedule'!$K$2:$K$817)), ROW(36:36))), "")</f>
        <v>550220</v>
      </c>
      <c r="E39" s="94" t="str">
        <f aca="false" t="array" ref="E39:E39">IFERROR(INDEX('Bank Schedule'!E:E, SMALL(IF('Bank Schedule'!$K$2:$K$817="Vacant", ROW('Bank Schedule'!$K$2:$K$817)), ROW(36:36))), "")</f>
        <v>12 Hallam Street (The Hallam Hotel)</v>
      </c>
      <c r="F39" s="94" t="str">
        <f aca="false" t="array" ref="F39:F39">IFERROR(INDEX('Bank Schedule'!F:F, SMALL(IF('Bank Schedule'!$K$2:$K$817="Vacant", ROW('Bank Schedule'!$K$2:$K$817)), ROW(36:36))), "")</f>
        <v>Whole Building </v>
      </c>
      <c r="G39" s="94" t="str">
        <f aca="false" t="array" ref="G39:G39">IFERROR(INDEX('Bank Schedule'!G:G, SMALL(IF('Bank Schedule'!$K$2:$K$817="Vacant", ROW('Bank Schedule'!$K$2:$K$817)), ROW(36:36))), "")</f>
        <v>Hotel                       25 Beds</v>
      </c>
      <c r="H39" s="14" t="n">
        <f aca="false" t="array" ref="H39:H39">IFERROR(INDEX('Bank Schedule'!H:H, SMALL(IF('Bank Schedule'!$K$2:$K$817="Vacant", ROW('Bank Schedule'!$K$2:$K$817)), ROW(36:36))), "")</f>
        <v>4284</v>
      </c>
      <c r="I39" s="14" t="n">
        <f aca="false" t="array" ref="I39:I39">IFERROR(INDEX('Bank Schedule'!I:I, SMALL(IF('Bank Schedule'!$K$2:$K$817="Vacant", ROW('Bank Schedule'!$K$2:$K$817)), ROW(36:36))), "")</f>
        <v>4284</v>
      </c>
      <c r="J39" s="11" t="str">
        <f aca="false" t="array" ref="J39:J39">IFERROR(INDEX('Bank Schedule'!K:K, SMALL(IF('Bank Schedule'!$K$2:$K$817="Vacant", ROW('Bank Schedule'!$K$2:$K$817)), ROW(36:36))), "")</f>
        <v>Vacant</v>
      </c>
      <c r="K39" s="11" t="str">
        <f aca="false">IFERROR(INDEX('Bank Schedule'!L:L, SMALL(IF('Bank Schedule'!$K$2:$K$817="Vacant", ROW('Bank Schedule'!$K$2:$K$817)), ROW(36:36))), "")</f>
        <v/>
      </c>
      <c r="L39" s="11" t="str">
        <f aca="false">IFERROR(INDEX('Bank Schedule'!M:M, SMALL(IF('Bank Schedule'!$K$2:$K$817="Vacant", ROW('Bank Schedule'!$K$2:$K$817)), ROW(36:36))), "")</f>
        <v/>
      </c>
      <c r="M39" s="71" t="n">
        <f aca="false" t="array" ref="M39:M39">IFERROR(INDEX('Bank Schedule'!N:N, SMALL(IF('Bank Schedule'!$K$2:$K$817="Vacant", ROW('Bank Schedule'!$K$2:$K$817)), ROW(36:36))), "")</f>
        <v>44387</v>
      </c>
      <c r="N39" s="11" t="str">
        <f aca="false">IFERROR(INDEX('Bank Schedule'!O:O, SMALL(IF('Bank Schedule'!$K$2:$K$817="Vacant", ROW('Bank Schedule'!$K$2:$K$817)), ROW(36:36))), "")</f>
        <v/>
      </c>
      <c r="O39" s="11" t="str">
        <f aca="false">IFERROR(INDEX('Bank Schedule'!P:P, SMALL(IF('Bank Schedule'!$K$2:$K$817="Vacant", ROW('Bank Schedule'!$K$2:$K$817)), ROW(36:36))), "")</f>
        <v/>
      </c>
      <c r="P39" s="11" t="n">
        <f aca="false" t="array" ref="P39:P39">IFERROR(INDEX('Bank Schedule'!Q:Q, SMALL(IF('Bank Schedule'!$K$2:$K$817="Vacant", ROW('Bank Schedule'!$K$2:$K$817)), ROW(36:36))), "")</f>
        <v>0</v>
      </c>
      <c r="Q39" s="11" t="n">
        <f aca="false" t="array" ref="Q39:Q39">IFERROR(INDEX('Bank Schedule'!R:R, SMALL(IF('Bank Schedule'!$K$2:$K$817="Vacant", ROW('Bank Schedule'!$K$2:$K$817)), ROW(36:36))), "")</f>
        <v>0</v>
      </c>
      <c r="R39" s="11" t="n">
        <f aca="false" t="array" ref="R39:R39">IFERROR(INDEX('Bank Schedule'!S:S, SMALL(IF('Bank Schedule'!$K$2:$K$817="Vacant", ROW('Bank Schedule'!$K$2:$K$817)), ROW(36:36))), "")</f>
        <v>0</v>
      </c>
      <c r="S39" s="281" t="n">
        <f aca="false" t="array" ref="S39:S39">IFERROR(INDEX('Bank Schedule'!T:T, SMALL(IF('Bank Schedule'!$K$2:$K$817="Vacant", ROW('Bank Schedule'!$K$2:$K$817)), ROW(36:36))), "")</f>
        <v>0</v>
      </c>
      <c r="T39" s="281" t="n">
        <f aca="false" t="array" ref="T39:T39">IFERROR(INDEX('Bank Schedule'!U:U, SMALL(IF('Bank Schedule'!$K$2:$K$817="Vacant", ROW('Bank Schedule'!$K$2:$K$817)), ROW(36:36))), "")</f>
        <v>0</v>
      </c>
      <c r="U39" s="281" t="n">
        <f aca="false" t="array" ref="U39:U39">IFERROR(INDEX('Bank Schedule'!V:V, SMALL(IF('Bank Schedule'!$K$2:$K$817="Vacant", ROW('Bank Schedule'!$K$2:$K$817)), ROW(36:36))), "")</f>
        <v>0</v>
      </c>
      <c r="V39" s="281" t="n">
        <f aca="false" t="array" ref="V39:V39">IFERROR(INDEX('Bank Schedule'!W:W, SMALL(IF('Bank Schedule'!$K$2:$K$817="Vacant", ROW('Bank Schedule'!$K$2:$K$817)), ROW(36:36))), "")</f>
        <v>0</v>
      </c>
      <c r="W39" s="282" t="str">
        <f aca="false">IFERROR(INDEX('Bank Schedule'!X:X, SMALL(IF('Bank Schedule'!$K$2:$K$817="Vacant", ROW('Bank Schedule'!$K$2:$K$817)), ROW(36:36))), "")</f>
        <v/>
      </c>
      <c r="X39" s="11" t="str">
        <f aca="false">IFERROR(INDEX('Bank Schedule'!Y:Y, SMALL(IF('Bank Schedule'!$K$2:$K$817="Vacant", ROW('Bank Schedule'!$K$2:$K$817)), ROW(36:36))), "")</f>
        <v/>
      </c>
      <c r="Y39" s="11" t="str">
        <f aca="false">IFERROR(INDEX('Bank Schedule'!Z:Z, SMALL(IF('Bank Schedule'!$K$2:$K$817="Vacant", ROW('Bank Schedule'!$K$2:$K$817)), ROW(36:36))), "")</f>
        <v/>
      </c>
      <c r="Z39" s="11" t="n">
        <f aca="false" t="array" ref="Z39:Z39">IFERROR(INDEX('Bank Schedule'!AA:AA, SMALL(IF('Bank Schedule'!$K$2:$K$817="Vacant", ROW('Bank Schedule'!$K$2:$K$817)), ROW(36:36))), "")</f>
        <v>1500000</v>
      </c>
      <c r="AA39" s="11" t="str">
        <f aca="false" t="array" ref="AA39:AA39">IFERROR(INDEX('Bank Schedule'!AB:AB, SMALL(IF('Bank Schedule'!$K$2:$K$817="Vacant", ROW('Bank Schedule'!$K$2:$K$817)), ROW(36:36))), "")</f>
        <v>No</v>
      </c>
      <c r="AB39" s="94" t="str">
        <f aca="false" t="array" ref="AB39:AB39">IFERROR(INDEX('Bank Schedule'!AC:AC, SMALL(IF('Bank Schedule'!$K$2:$K$817="Vacant", ROW('Bank Schedule'!$K$2:$K$817)), ROW(36:36))), "")</f>
        <v>Mothballed.</v>
      </c>
      <c r="AC39" s="44" t="str">
        <f aca="false">IFERROR(INDEX('Bank Schedule'!AD:AD, SMALL(IF('Bank Schedule'!$K$2:$K$817="Vacant", ROW('Bank Schedule'!$K$2:$K$817)), ROW(36:36))), "")</f>
        <v/>
      </c>
      <c r="AD39" s="11" t="str">
        <f aca="false">IFERROR(INDEX('Bank Schedule'!AE:AE, SMALL(IF('Bank Schedule'!$K$2:$K$817="Vacant", ROW('Bank Schedule'!$K$2:$K$817)), ROW(36:36))), "")</f>
        <v/>
      </c>
      <c r="AE39" s="11" t="str">
        <f aca="false">IFERROR(INDEX('Bank Schedule'!AF:AF, SMALL(IF('Bank Schedule'!$K$2:$K$817="Vacant", ROW('Bank Schedule'!$K$2:$K$817)), ROW(36:36))), "")</f>
        <v/>
      </c>
      <c r="AF39" s="11" t="str">
        <f aca="false">IFERROR(INDEX('Bank Schedule'!AG:AG, SMALL(IF('Bank Schedule'!$K$2:$K$817="Vacant", ROW('Bank Schedule'!$K$2:$K$817)), ROW(36:36))), "")</f>
        <v/>
      </c>
      <c r="AG39" s="4"/>
    </row>
    <row r="40" customFormat="false" ht="28.5" hidden="false" customHeight="true" outlineLevel="0" collapsed="false">
      <c r="A40" s="28" t="str">
        <f aca="false">IFERROR(INDEX('Bank Schedule'!A:A, SMALL(IF('Bank Schedule'!$K$2:$K$817="Vacant", ROW('Bank Schedule'!$K$2:$K$817)), ROW(37:37))), "")</f>
        <v/>
      </c>
      <c r="B40" s="11" t="str">
        <f aca="false" t="array" ref="B40:B40">IFERROR(INDEX('Bank Schedule'!B:B, SMALL(IF('Bank Schedule'!$K$2:$K$817="Vacant", ROW('Bank Schedule'!$K$2:$K$817)), ROW(37:37))), "")</f>
        <v>CD</v>
      </c>
      <c r="C40" s="11" t="str">
        <f aca="false" t="array" ref="C40:C40">IFERROR(INDEX('Bank Schedule'!C:C, SMALL(IF('Bank Schedule'!$K$2:$K$817="Vacant", ROW('Bank Schedule'!$K$2:$K$817)), ROW(37:37))), "")</f>
        <v>MEL</v>
      </c>
      <c r="D40" s="11" t="n">
        <f aca="false" t="array" ref="D40:D40">IFERROR(INDEX('Bank Schedule'!D:D, SMALL(IF('Bank Schedule'!$K$2:$K$817="Vacant", ROW('Bank Schedule'!$K$2:$K$817)), ROW(37:37))), "")</f>
        <v>550300</v>
      </c>
      <c r="E40" s="94" t="str">
        <f aca="false" t="array" ref="E40:E40">IFERROR(INDEX('Bank Schedule'!E:E, SMALL(IF('Bank Schedule'!$K$2:$K$817="Vacant", ROW('Bank Schedule'!$K$2:$K$817)), ROW(37:37))), "")</f>
        <v>3/4/4a Little Portland Street</v>
      </c>
      <c r="F40" s="94" t="str">
        <f aca="false" t="array" ref="F40:F40">IFERROR(INDEX('Bank Schedule'!F:F, SMALL(IF('Bank Schedule'!$K$2:$K$817="Vacant", ROW('Bank Schedule'!$K$2:$K$817)), ROW(37:37))), "")</f>
        <v>Second Floor (East) </v>
      </c>
      <c r="G40" s="94" t="str">
        <f aca="false" t="array" ref="G40:G40">IFERROR(INDEX('Bank Schedule'!G:G, SMALL(IF('Bank Schedule'!$K$2:$K$817="Vacant", ROW('Bank Schedule'!$K$2:$K$817)), ROW(37:37))), "")</f>
        <v>Office</v>
      </c>
      <c r="H40" s="14" t="n">
        <f aca="false" t="array" ref="H40:H40">IFERROR(INDEX('Bank Schedule'!H:H, SMALL(IF('Bank Schedule'!$K$2:$K$817="Vacant", ROW('Bank Schedule'!$K$2:$K$817)), ROW(37:37))), "")</f>
        <v>130</v>
      </c>
      <c r="I40" s="14" t="n">
        <f aca="false" t="array" ref="I40:I40">IFERROR(INDEX('Bank Schedule'!I:I, SMALL(IF('Bank Schedule'!$K$2:$K$817="Vacant", ROW('Bank Schedule'!$K$2:$K$817)), ROW(37:37))), "")</f>
        <v>130</v>
      </c>
      <c r="J40" s="11" t="str">
        <f aca="false" t="array" ref="J40:J40">IFERROR(INDEX('Bank Schedule'!K:K, SMALL(IF('Bank Schedule'!$K$2:$K$817="Vacant", ROW('Bank Schedule'!$K$2:$K$817)), ROW(37:37))), "")</f>
        <v>Vacant</v>
      </c>
      <c r="K40" s="11" t="str">
        <f aca="false">IFERROR(INDEX('Bank Schedule'!L:L, SMALL(IF('Bank Schedule'!$K$2:$K$817="Vacant", ROW('Bank Schedule'!$K$2:$K$817)), ROW(37:37))), "")</f>
        <v/>
      </c>
      <c r="L40" s="11" t="str">
        <f aca="false">IFERROR(INDEX('Bank Schedule'!M:M, SMALL(IF('Bank Schedule'!$K$2:$K$817="Vacant", ROW('Bank Schedule'!$K$2:$K$817)), ROW(37:37))), "")</f>
        <v/>
      </c>
      <c r="M40" s="71" t="n">
        <f aca="false" t="array" ref="M40:M40">IFERROR(INDEX('Bank Schedule'!N:N, SMALL(IF('Bank Schedule'!$K$2:$K$817="Vacant", ROW('Bank Schedule'!$K$2:$K$817)), ROW(37:37))), "")</f>
        <v>45173</v>
      </c>
      <c r="N40" s="11" t="str">
        <f aca="false">IFERROR(INDEX('Bank Schedule'!O:O, SMALL(IF('Bank Schedule'!$K$2:$K$817="Vacant", ROW('Bank Schedule'!$K$2:$K$817)), ROW(37:37))), "")</f>
        <v/>
      </c>
      <c r="O40" s="11" t="str">
        <f aca="false">IFERROR(INDEX('Bank Schedule'!P:P, SMALL(IF('Bank Schedule'!$K$2:$K$817="Vacant", ROW('Bank Schedule'!$K$2:$K$817)), ROW(37:37))), "")</f>
        <v/>
      </c>
      <c r="P40" s="11" t="n">
        <f aca="false" t="array" ref="P40:P40">IFERROR(INDEX('Bank Schedule'!Q:Q, SMALL(IF('Bank Schedule'!$K$2:$K$817="Vacant", ROW('Bank Schedule'!$K$2:$K$817)), ROW(37:37))), "")</f>
        <v>0</v>
      </c>
      <c r="Q40" s="11" t="n">
        <f aca="false" t="array" ref="Q40:Q40">IFERROR(INDEX('Bank Schedule'!R:R, SMALL(IF('Bank Schedule'!$K$2:$K$817="Vacant", ROW('Bank Schedule'!$K$2:$K$817)), ROW(37:37))), "")</f>
        <v>0</v>
      </c>
      <c r="R40" s="11" t="str">
        <f aca="false">IFERROR(INDEX('Bank Schedule'!S:S, SMALL(IF('Bank Schedule'!$K$2:$K$817="Vacant", ROW('Bank Schedule'!$K$2:$K$817)), ROW(37:37))), "")</f>
        <v/>
      </c>
      <c r="S40" s="281" t="n">
        <f aca="false" t="array" ref="S40:S40">IFERROR(INDEX('Bank Schedule'!T:T, SMALL(IF('Bank Schedule'!$K$2:$K$817="Vacant", ROW('Bank Schedule'!$K$2:$K$817)), ROW(37:37))), "")</f>
        <v>8120</v>
      </c>
      <c r="T40" s="281" t="n">
        <f aca="false" t="array" ref="T40:T40">IFERROR(INDEX('Bank Schedule'!U:U, SMALL(IF('Bank Schedule'!$K$2:$K$817="Vacant", ROW('Bank Schedule'!$K$2:$K$817)), ROW(37:37))), "")</f>
        <v>8120</v>
      </c>
      <c r="U40" s="281" t="n">
        <f aca="false" t="array" ref="U40:U40">IFERROR(INDEX('Bank Schedule'!V:V, SMALL(IF('Bank Schedule'!$K$2:$K$817="Vacant", ROW('Bank Schedule'!$K$2:$K$817)), ROW(37:37))), "")</f>
        <v>8260</v>
      </c>
      <c r="V40" s="281" t="n">
        <f aca="false" t="array" ref="V40:V40">IFERROR(INDEX('Bank Schedule'!W:W, SMALL(IF('Bank Schedule'!$K$2:$K$817="Vacant", ROW('Bank Schedule'!$K$2:$K$817)), ROW(37:37))), "")</f>
        <v>8260</v>
      </c>
      <c r="W40" s="282" t="n">
        <f aca="false" t="array" ref="W40:W40">IFERROR(INDEX('Bank Schedule'!X:X, SMALL(IF('Bank Schedule'!$K$2:$K$817="Vacant", ROW('Bank Schedule'!$K$2:$K$817)), ROW(37:37))), "")</f>
        <v>62.4615384615385</v>
      </c>
      <c r="X40" s="11" t="str">
        <f aca="false" t="array" ref="X40:X40">IFERROR(INDEX('Bank Schedule'!Y:Y, SMALL(IF('Bank Schedule'!$K$2:$K$817="Vacant", ROW('Bank Schedule'!$K$2:$K$817)), ROW(37:37))), "")</f>
        <v>E</v>
      </c>
      <c r="Y40" s="11" t="str">
        <f aca="false">IFERROR(INDEX('Bank Schedule'!Z:Z, SMALL(IF('Bank Schedule'!$K$2:$K$817="Vacant", ROW('Bank Schedule'!$K$2:$K$817)), ROW(37:37))), "")</f>
        <v/>
      </c>
      <c r="Z40" s="11" t="str">
        <f aca="false">IFERROR(INDEX('Bank Schedule'!AA:AA, SMALL(IF('Bank Schedule'!$K$2:$K$817="Vacant", ROW('Bank Schedule'!$K$2:$K$817)), ROW(37:37))), "")</f>
        <v/>
      </c>
      <c r="AA40" s="11" t="str">
        <f aca="false" t="array" ref="AA40:AA40">IFERROR(INDEX('Bank Schedule'!AB:AB, SMALL(IF('Bank Schedule'!$K$2:$K$817="Vacant", ROW('Bank Schedule'!$K$2:$K$817)), ROW(37:37))), "")</f>
        <v>No</v>
      </c>
      <c r="AB40" s="94" t="str">
        <f aca="false" t="array" ref="AB40:AB40">IFERROR(INDEX('Bank Schedule'!AC:AC, SMALL(IF('Bank Schedule'!$K$2:$K$817="Vacant", ROW('Bank Schedule'!$K$2:$K$817)), ROW(37:37))), "")</f>
        <v>Unit under offer.</v>
      </c>
      <c r="AC40" s="44" t="str">
        <f aca="false">IFERROR(INDEX('Bank Schedule'!AD:AD, SMALL(IF('Bank Schedule'!$K$2:$K$817="Vacant", ROW('Bank Schedule'!$K$2:$K$817)), ROW(37:37))), "")</f>
        <v/>
      </c>
      <c r="AD40" s="11" t="str">
        <f aca="false">IFERROR(INDEX('Bank Schedule'!AE:AE, SMALL(IF('Bank Schedule'!$K$2:$K$817="Vacant", ROW('Bank Schedule'!$K$2:$K$817)), ROW(37:37))), "")</f>
        <v/>
      </c>
      <c r="AE40" s="11" t="str">
        <f aca="false">IFERROR(INDEX('Bank Schedule'!AF:AF, SMALL(IF('Bank Schedule'!$K$2:$K$817="Vacant", ROW('Bank Schedule'!$K$2:$K$817)), ROW(37:37))), "")</f>
        <v/>
      </c>
      <c r="AF40" s="11" t="str">
        <f aca="false">IFERROR(INDEX('Bank Schedule'!AG:AG, SMALL(IF('Bank Schedule'!$K$2:$K$817="Vacant", ROW('Bank Schedule'!$K$2:$K$817)), ROW(37:37))), "")</f>
        <v/>
      </c>
      <c r="AG40" s="4"/>
    </row>
    <row r="41" customFormat="false" ht="28.5" hidden="false" customHeight="true" outlineLevel="0" collapsed="false">
      <c r="A41" s="28" t="str">
        <f aca="false">IFERROR(INDEX('Bank Schedule'!A:A, SMALL(IF('Bank Schedule'!$K$2:$K$817="Vacant", ROW('Bank Schedule'!$K$2:$K$817)), ROW(38:38))), "")</f>
        <v/>
      </c>
      <c r="B41" s="11" t="str">
        <f aca="false" t="array" ref="B41:B41">IFERROR(INDEX('Bank Schedule'!B:B, SMALL(IF('Bank Schedule'!$K$2:$K$817="Vacant", ROW('Bank Schedule'!$K$2:$K$817)), ROW(38:38))), "")</f>
        <v>CD</v>
      </c>
      <c r="C41" s="11" t="str">
        <f aca="false" t="array" ref="C41:C41">IFERROR(INDEX('Bank Schedule'!C:C, SMALL(IF('Bank Schedule'!$K$2:$K$817="Vacant", ROW('Bank Schedule'!$K$2:$K$817)), ROW(38:38))), "")</f>
        <v>MEL</v>
      </c>
      <c r="D41" s="11" t="n">
        <f aca="false" t="array" ref="D41:D41">IFERROR(INDEX('Bank Schedule'!D:D, SMALL(IF('Bank Schedule'!$K$2:$K$817="Vacant", ROW('Bank Schedule'!$K$2:$K$817)), ROW(38:38))), "")</f>
        <v>550300</v>
      </c>
      <c r="E41" s="94" t="str">
        <f aca="false" t="array" ref="E41:E41">IFERROR(INDEX('Bank Schedule'!E:E, SMALL(IF('Bank Schedule'!$K$2:$K$817="Vacant", ROW('Bank Schedule'!$K$2:$K$817)), ROW(38:38))), "")</f>
        <v>3/4/4a Little Portland Street</v>
      </c>
      <c r="F41" s="94" t="str">
        <f aca="false" t="array" ref="F41:F41">IFERROR(INDEX('Bank Schedule'!F:F, SMALL(IF('Bank Schedule'!$K$2:$K$817="Vacant", ROW('Bank Schedule'!$K$2:$K$817)), ROW(38:38))), "")</f>
        <v>Second (Rear) &amp; Part Ground (Storage)</v>
      </c>
      <c r="G41" s="94" t="str">
        <f aca="false" t="array" ref="G41:G41">IFERROR(INDEX('Bank Schedule'!G:G, SMALL(IF('Bank Schedule'!$K$2:$K$817="Vacant", ROW('Bank Schedule'!$K$2:$K$817)), ROW(38:38))), "")</f>
        <v> Office &amp; Storage</v>
      </c>
      <c r="H41" s="14" t="n">
        <f aca="false" t="array" ref="H41:H41">IFERROR(INDEX('Bank Schedule'!H:H, SMALL(IF('Bank Schedule'!$K$2:$K$817="Vacant", ROW('Bank Schedule'!$K$2:$K$817)), ROW(38:38))), "")</f>
        <v>1074</v>
      </c>
      <c r="I41" s="14" t="n">
        <f aca="false" t="array" ref="I41:I41">IFERROR(INDEX('Bank Schedule'!I:I, SMALL(IF('Bank Schedule'!$K$2:$K$817="Vacant", ROW('Bank Schedule'!$K$2:$K$817)), ROW(38:38))), "")</f>
        <v>1074</v>
      </c>
      <c r="J41" s="11" t="str">
        <f aca="false" t="array" ref="J41:J41">IFERROR(INDEX('Bank Schedule'!K:K, SMALL(IF('Bank Schedule'!$K$2:$K$817="Vacant", ROW('Bank Schedule'!$K$2:$K$817)), ROW(38:38))), "")</f>
        <v>Vacant</v>
      </c>
      <c r="K41" s="11" t="str">
        <f aca="false">IFERROR(INDEX('Bank Schedule'!L:L, SMALL(IF('Bank Schedule'!$K$2:$K$817="Vacant", ROW('Bank Schedule'!$K$2:$K$817)), ROW(38:38))), "")</f>
        <v/>
      </c>
      <c r="L41" s="11" t="str">
        <f aca="false">IFERROR(INDEX('Bank Schedule'!M:M, SMALL(IF('Bank Schedule'!$K$2:$K$817="Vacant", ROW('Bank Schedule'!$K$2:$K$817)), ROW(38:38))), "")</f>
        <v/>
      </c>
      <c r="M41" s="71" t="n">
        <f aca="false" t="array" ref="M41:M41">IFERROR(INDEX('Bank Schedule'!N:N, SMALL(IF('Bank Schedule'!$K$2:$K$817="Vacant", ROW('Bank Schedule'!$K$2:$K$817)), ROW(38:38))), "")</f>
        <v>45003</v>
      </c>
      <c r="N41" s="11" t="str">
        <f aca="false">IFERROR(INDEX('Bank Schedule'!O:O, SMALL(IF('Bank Schedule'!$K$2:$K$817="Vacant", ROW('Bank Schedule'!$K$2:$K$817)), ROW(38:38))), "")</f>
        <v/>
      </c>
      <c r="O41" s="11" t="str">
        <f aca="false">IFERROR(INDEX('Bank Schedule'!P:P, SMALL(IF('Bank Schedule'!$K$2:$K$817="Vacant", ROW('Bank Schedule'!$K$2:$K$817)), ROW(38:38))), "")</f>
        <v/>
      </c>
      <c r="P41" s="11" t="n">
        <f aca="false" t="array" ref="P41:P41">IFERROR(INDEX('Bank Schedule'!Q:Q, SMALL(IF('Bank Schedule'!$K$2:$K$817="Vacant", ROW('Bank Schedule'!$K$2:$K$817)), ROW(38:38))), "")</f>
        <v>0</v>
      </c>
      <c r="Q41" s="11" t="n">
        <f aca="false" t="array" ref="Q41:Q41">IFERROR(INDEX('Bank Schedule'!R:R, SMALL(IF('Bank Schedule'!$K$2:$K$817="Vacant", ROW('Bank Schedule'!$K$2:$K$817)), ROW(38:38))), "")</f>
        <v>0</v>
      </c>
      <c r="R41" s="11" t="str">
        <f aca="false">IFERROR(INDEX('Bank Schedule'!S:S, SMALL(IF('Bank Schedule'!$K$2:$K$817="Vacant", ROW('Bank Schedule'!$K$2:$K$817)), ROW(38:38))), "")</f>
        <v/>
      </c>
      <c r="S41" s="281" t="n">
        <f aca="false" t="array" ref="S41:S41">IFERROR(INDEX('Bank Schedule'!T:T, SMALL(IF('Bank Schedule'!$K$2:$K$817="Vacant", ROW('Bank Schedule'!$K$2:$K$817)), ROW(38:38))), "")</f>
        <v>72100</v>
      </c>
      <c r="T41" s="281" t="n">
        <f aca="false" t="array" ref="T41:T41">IFERROR(INDEX('Bank Schedule'!U:U, SMALL(IF('Bank Schedule'!$K$2:$K$817="Vacant", ROW('Bank Schedule'!$K$2:$K$817)), ROW(38:38))), "")</f>
        <v>72100</v>
      </c>
      <c r="U41" s="281" t="n">
        <f aca="false" t="array" ref="U41:U41">IFERROR(INDEX('Bank Schedule'!V:V, SMALL(IF('Bank Schedule'!$K$2:$K$817="Vacant", ROW('Bank Schedule'!$K$2:$K$817)), ROW(38:38))), "")</f>
        <v>68200</v>
      </c>
      <c r="V41" s="281" t="n">
        <f aca="false" t="array" ref="V41:V41">IFERROR(INDEX('Bank Schedule'!W:W, SMALL(IF('Bank Schedule'!$K$2:$K$817="Vacant", ROW('Bank Schedule'!$K$2:$K$817)), ROW(38:38))), "")</f>
        <v>68200</v>
      </c>
      <c r="W41" s="282" t="n">
        <f aca="false" t="array" ref="W41:W41">IFERROR(INDEX('Bank Schedule'!X:X, SMALL(IF('Bank Schedule'!$K$2:$K$817="Vacant", ROW('Bank Schedule'!$K$2:$K$817)), ROW(38:38))), "")</f>
        <v>67.1322160148976</v>
      </c>
      <c r="X41" s="11" t="str">
        <f aca="false" t="array" ref="X41:X41">IFERROR(INDEX('Bank Schedule'!Y:Y, SMALL(IF('Bank Schedule'!$K$2:$K$817="Vacant", ROW('Bank Schedule'!$K$2:$K$817)), ROW(38:38))), "")</f>
        <v>E</v>
      </c>
      <c r="Y41" s="11" t="str">
        <f aca="false" t="array" ref="Y41:Y41">IFERROR(INDEX('Bank Schedule'!Z:Z, SMALL(IF('Bank Schedule'!$K$2:$K$817="Vacant", ROW('Bank Schedule'!$K$2:$K$817)), ROW(38:38))), "")</f>
        <v>*</v>
      </c>
      <c r="Z41" s="11" t="str">
        <f aca="false">IFERROR(INDEX('Bank Schedule'!AA:AA, SMALL(IF('Bank Schedule'!$K$2:$K$817="Vacant", ROW('Bank Schedule'!$K$2:$K$817)), ROW(38:38))), "")</f>
        <v/>
      </c>
      <c r="AA41" s="11" t="str">
        <f aca="false" t="array" ref="AA41:AA41">IFERROR(INDEX('Bank Schedule'!AB:AB, SMALL(IF('Bank Schedule'!$K$2:$K$817="Vacant", ROW('Bank Schedule'!$K$2:$K$817)), ROW(38:38))), "")</f>
        <v>No</v>
      </c>
      <c r="AB41" s="94" t="str">
        <f aca="false" t="array" ref="AB41:AB41">IFERROR(INDEX('Bank Schedule'!AC:AC, SMALL(IF('Bank Schedule'!$K$2:$K$817="Vacant", ROW('Bank Schedule'!$K$2:$K$817)), ROW(38:38))), "")</f>
        <v>Unit under offer.</v>
      </c>
      <c r="AC41" s="44" t="n">
        <f aca="false" t="array" ref="AC41:AC41">IFERROR(INDEX('Bank Schedule'!AD:AD, SMALL(IF('Bank Schedule'!$K$2:$K$817="Vacant", ROW('Bank Schedule'!$K$2:$K$817)), ROW(38:38))), "")</f>
        <v>67.5</v>
      </c>
      <c r="AD41" s="11" t="str">
        <f aca="false">IFERROR(INDEX('Bank Schedule'!AE:AE, SMALL(IF('Bank Schedule'!$K$2:$K$817="Vacant", ROW('Bank Schedule'!$K$2:$K$817)), ROW(38:38))), "")</f>
        <v/>
      </c>
      <c r="AE41" s="11" t="str">
        <f aca="false">IFERROR(INDEX('Bank Schedule'!AF:AF, SMALL(IF('Bank Schedule'!$K$2:$K$817="Vacant", ROW('Bank Schedule'!$K$2:$K$817)), ROW(38:38))), "")</f>
        <v/>
      </c>
      <c r="AF41" s="11" t="str">
        <f aca="false">IFERROR(INDEX('Bank Schedule'!AG:AG, SMALL(IF('Bank Schedule'!$K$2:$K$817="Vacant", ROW('Bank Schedule'!$K$2:$K$817)), ROW(38:38))), "")</f>
        <v/>
      </c>
      <c r="AG41" s="4"/>
    </row>
    <row r="42" customFormat="false" ht="28.5" hidden="false" customHeight="true" outlineLevel="0" collapsed="false">
      <c r="A42" s="28" t="str">
        <f aca="false">IFERROR(INDEX('Bank Schedule'!A:A, SMALL(IF('Bank Schedule'!$K$2:$K$817="Vacant", ROW('Bank Schedule'!$K$2:$K$817)), ROW(39:39))), "")</f>
        <v/>
      </c>
      <c r="B42" s="11" t="str">
        <f aca="false" t="array" ref="B42:B42">IFERROR(INDEX('Bank Schedule'!B:B, SMALL(IF('Bank Schedule'!$K$2:$K$817="Vacant", ROW('Bank Schedule'!$K$2:$K$817)), ROW(39:39))), "")</f>
        <v>CD</v>
      </c>
      <c r="C42" s="11" t="str">
        <f aca="false" t="array" ref="C42:C42">IFERROR(INDEX('Bank Schedule'!C:C, SMALL(IF('Bank Schedule'!$K$2:$K$817="Vacant", ROW('Bank Schedule'!$K$2:$K$817)), ROW(39:39))), "")</f>
        <v>MEL</v>
      </c>
      <c r="D42" s="11" t="n">
        <f aca="false" t="array" ref="D42:D42">IFERROR(INDEX('Bank Schedule'!D:D, SMALL(IF('Bank Schedule'!$K$2:$K$817="Vacant", ROW('Bank Schedule'!$K$2:$K$817)), ROW(39:39))), "")</f>
        <v>551010</v>
      </c>
      <c r="E42" s="94" t="str">
        <f aca="false" t="array" ref="E42:E42">IFERROR(INDEX('Bank Schedule'!E:E, SMALL(IF('Bank Schedule'!$K$2:$K$817="Vacant", ROW('Bank Schedule'!$K$2:$K$817)), ROW(39:39))), "")</f>
        <v>9 Little Portland Street</v>
      </c>
      <c r="F42" s="94" t="str">
        <f aca="false" t="array" ref="F42:F42">IFERROR(INDEX('Bank Schedule'!F:F, SMALL(IF('Bank Schedule'!$K$2:$K$817="Vacant", ROW('Bank Schedule'!$K$2:$K$817)), ROW(39:39))), "")</f>
        <v>First Floor</v>
      </c>
      <c r="G42" s="94" t="str">
        <f aca="false" t="array" ref="G42:G42">IFERROR(INDEX('Bank Schedule'!G:G, SMALL(IF('Bank Schedule'!$K$2:$K$817="Vacant", ROW('Bank Schedule'!$K$2:$K$817)), ROW(39:39))), "")</f>
        <v>Office</v>
      </c>
      <c r="H42" s="14" t="n">
        <f aca="false" t="array" ref="H42:H42">IFERROR(INDEX('Bank Schedule'!H:H, SMALL(IF('Bank Schedule'!$K$2:$K$817="Vacant", ROW('Bank Schedule'!$K$2:$K$817)), ROW(39:39))), "")</f>
        <v>452</v>
      </c>
      <c r="I42" s="14" t="n">
        <f aca="false" t="array" ref="I42:I42">IFERROR(INDEX('Bank Schedule'!I:I, SMALL(IF('Bank Schedule'!$K$2:$K$817="Vacant", ROW('Bank Schedule'!$K$2:$K$817)), ROW(39:39))), "")</f>
        <v>452</v>
      </c>
      <c r="J42" s="11" t="str">
        <f aca="false" t="array" ref="J42:J42">IFERROR(INDEX('Bank Schedule'!K:K, SMALL(IF('Bank Schedule'!$K$2:$K$817="Vacant", ROW('Bank Schedule'!$K$2:$K$817)), ROW(39:39))), "")</f>
        <v>Vacant</v>
      </c>
      <c r="K42" s="11" t="str">
        <f aca="false">IFERROR(INDEX('Bank Schedule'!L:L, SMALL(IF('Bank Schedule'!$K$2:$K$817="Vacant", ROW('Bank Schedule'!$K$2:$K$817)), ROW(39:39))), "")</f>
        <v/>
      </c>
      <c r="L42" s="11" t="str">
        <f aca="false">IFERROR(INDEX('Bank Schedule'!M:M, SMALL(IF('Bank Schedule'!$K$2:$K$817="Vacant", ROW('Bank Schedule'!$K$2:$K$817)), ROW(39:39))), "")</f>
        <v/>
      </c>
      <c r="M42" s="71" t="n">
        <f aca="false" t="array" ref="M42:M42">IFERROR(INDEX('Bank Schedule'!N:N, SMALL(IF('Bank Schedule'!$K$2:$K$817="Vacant", ROW('Bank Schedule'!$K$2:$K$817)), ROW(39:39))), "")</f>
        <v>43466</v>
      </c>
      <c r="N42" s="11" t="str">
        <f aca="false">IFERROR(INDEX('Bank Schedule'!O:O, SMALL(IF('Bank Schedule'!$K$2:$K$817="Vacant", ROW('Bank Schedule'!$K$2:$K$817)), ROW(39:39))), "")</f>
        <v/>
      </c>
      <c r="O42" s="11" t="str">
        <f aca="false">IFERROR(INDEX('Bank Schedule'!P:P, SMALL(IF('Bank Schedule'!$K$2:$K$817="Vacant", ROW('Bank Schedule'!$K$2:$K$817)), ROW(39:39))), "")</f>
        <v/>
      </c>
      <c r="P42" s="11" t="n">
        <f aca="false" t="array" ref="P42:P42">IFERROR(INDEX('Bank Schedule'!Q:Q, SMALL(IF('Bank Schedule'!$K$2:$K$817="Vacant", ROW('Bank Schedule'!$K$2:$K$817)), ROW(39:39))), "")</f>
        <v>0</v>
      </c>
      <c r="Q42" s="11" t="n">
        <f aca="false" t="array" ref="Q42:Q42">IFERROR(INDEX('Bank Schedule'!R:R, SMALL(IF('Bank Schedule'!$K$2:$K$817="Vacant", ROW('Bank Schedule'!$K$2:$K$817)), ROW(39:39))), "")</f>
        <v>0</v>
      </c>
      <c r="R42" s="11" t="str">
        <f aca="false">IFERROR(INDEX('Bank Schedule'!S:S, SMALL(IF('Bank Schedule'!$K$2:$K$817="Vacant", ROW('Bank Schedule'!$K$2:$K$817)), ROW(39:39))), "")</f>
        <v/>
      </c>
      <c r="S42" s="281" t="n">
        <f aca="false" t="array" ref="S42:S42">IFERROR(INDEX('Bank Schedule'!T:T, SMALL(IF('Bank Schedule'!$K$2:$K$817="Vacant", ROW('Bank Schedule'!$K$2:$K$817)), ROW(39:39))), "")</f>
        <v>24900</v>
      </c>
      <c r="T42" s="281" t="n">
        <f aca="false" t="array" ref="T42:T42">IFERROR(INDEX('Bank Schedule'!U:U, SMALL(IF('Bank Schedule'!$K$2:$K$817="Vacant", ROW('Bank Schedule'!$K$2:$K$817)), ROW(39:39))), "")</f>
        <v>24900</v>
      </c>
      <c r="U42" s="281" t="n">
        <f aca="false" t="array" ref="U42:U42">IFERROR(INDEX('Bank Schedule'!V:V, SMALL(IF('Bank Schedule'!$K$2:$K$817="Vacant", ROW('Bank Schedule'!$K$2:$K$817)), ROW(39:39))), "")</f>
        <v>24900</v>
      </c>
      <c r="V42" s="281" t="n">
        <f aca="false" t="array" ref="V42:V42">IFERROR(INDEX('Bank Schedule'!W:W, SMALL(IF('Bank Schedule'!$K$2:$K$817="Vacant", ROW('Bank Schedule'!$K$2:$K$817)), ROW(39:39))), "")</f>
        <v>24900</v>
      </c>
      <c r="W42" s="282" t="str">
        <f aca="false">IFERROR(INDEX('Bank Schedule'!X:X, SMALL(IF('Bank Schedule'!$K$2:$K$817="Vacant", ROW('Bank Schedule'!$K$2:$K$817)), ROW(39:39))), "")</f>
        <v/>
      </c>
      <c r="X42" s="11" t="str">
        <f aca="false" t="array" ref="X42:X42">IFERROR(INDEX('Bank Schedule'!Y:Y, SMALL(IF('Bank Schedule'!$K$2:$K$817="Vacant", ROW('Bank Schedule'!$K$2:$K$817)), ROW(39:39))), "")</f>
        <v>E</v>
      </c>
      <c r="Y42" s="11" t="str">
        <f aca="false">IFERROR(INDEX('Bank Schedule'!Z:Z, SMALL(IF('Bank Schedule'!$K$2:$K$817="Vacant", ROW('Bank Schedule'!$K$2:$K$817)), ROW(39:39))), "")</f>
        <v/>
      </c>
      <c r="Z42" s="11" t="str">
        <f aca="false">IFERROR(INDEX('Bank Schedule'!AA:AA, SMALL(IF('Bank Schedule'!$K$2:$K$817="Vacant", ROW('Bank Schedule'!$K$2:$K$817)), ROW(39:39))), "")</f>
        <v/>
      </c>
      <c r="AA42" s="11" t="str">
        <f aca="false" t="array" ref="AA42:AA42">IFERROR(INDEX('Bank Schedule'!AB:AB, SMALL(IF('Bank Schedule'!$K$2:$K$817="Vacant", ROW('Bank Schedule'!$K$2:$K$817)), ROW(39:39))), "")</f>
        <v>No</v>
      </c>
      <c r="AB42" s="94" t="str">
        <f aca="false" t="array" ref="AB42:AB42">IFERROR(INDEX('Bank Schedule'!AC:AC, SMALL(IF('Bank Schedule'!$K$2:$K$817="Vacant", ROW('Bank Schedule'!$K$2:$K$817)), ROW(39:39))), "")</f>
        <v>To be refurbished.</v>
      </c>
      <c r="AC42" s="44" t="str">
        <f aca="false">IFERROR(INDEX('Bank Schedule'!AD:AD, SMALL(IF('Bank Schedule'!$K$2:$K$817="Vacant", ROW('Bank Schedule'!$K$2:$K$817)), ROW(39:39))), "")</f>
        <v/>
      </c>
      <c r="AD42" s="11" t="str">
        <f aca="false">IFERROR(INDEX('Bank Schedule'!AE:AE, SMALL(IF('Bank Schedule'!$K$2:$K$817="Vacant", ROW('Bank Schedule'!$K$2:$K$817)), ROW(39:39))), "")</f>
        <v/>
      </c>
      <c r="AE42" s="11" t="str">
        <f aca="false">IFERROR(INDEX('Bank Schedule'!AF:AF, SMALL(IF('Bank Schedule'!$K$2:$K$817="Vacant", ROW('Bank Schedule'!$K$2:$K$817)), ROW(39:39))), "")</f>
        <v/>
      </c>
      <c r="AF42" s="11" t="str">
        <f aca="false">IFERROR(INDEX('Bank Schedule'!AG:AG, SMALL(IF('Bank Schedule'!$K$2:$K$817="Vacant", ROW('Bank Schedule'!$K$2:$K$817)), ROW(39:39))), "")</f>
        <v/>
      </c>
      <c r="AG42" s="4"/>
    </row>
    <row r="43" customFormat="false" ht="28.5" hidden="false" customHeight="true" outlineLevel="0" collapsed="false">
      <c r="A43" s="28" t="str">
        <f aca="false">IFERROR(INDEX('Bank Schedule'!A:A, SMALL(IF('Bank Schedule'!$K$2:$K$817="Vacant", ROW('Bank Schedule'!$K$2:$K$817)), ROW(40:40))), "")</f>
        <v/>
      </c>
      <c r="B43" s="11" t="str">
        <f aca="false" t="array" ref="B43:B43">IFERROR(INDEX('Bank Schedule'!B:B, SMALL(IF('Bank Schedule'!$K$2:$K$817="Vacant", ROW('Bank Schedule'!$K$2:$K$817)), ROW(40:40))), "")</f>
        <v>CD</v>
      </c>
      <c r="C43" s="11" t="str">
        <f aca="false" t="array" ref="C43:C43">IFERROR(INDEX('Bank Schedule'!C:C, SMALL(IF('Bank Schedule'!$K$2:$K$817="Vacant", ROW('Bank Schedule'!$K$2:$K$817)), ROW(40:40))), "")</f>
        <v>MEL</v>
      </c>
      <c r="D43" s="11" t="n">
        <f aca="false" t="array" ref="D43:D43">IFERROR(INDEX('Bank Schedule'!D:D, SMALL(IF('Bank Schedule'!$K$2:$K$817="Vacant", ROW('Bank Schedule'!$K$2:$K$817)), ROW(40:40))), "")</f>
        <v>551010</v>
      </c>
      <c r="E43" s="94" t="str">
        <f aca="false" t="array" ref="E43:E43">IFERROR(INDEX('Bank Schedule'!E:E, SMALL(IF('Bank Schedule'!$K$2:$K$817="Vacant", ROW('Bank Schedule'!$K$2:$K$817)), ROW(40:40))), "")</f>
        <v>9 Little Portland Street</v>
      </c>
      <c r="F43" s="94" t="str">
        <f aca="false" t="array" ref="F43:F43">IFERROR(INDEX('Bank Schedule'!F:F, SMALL(IF('Bank Schedule'!$K$2:$K$817="Vacant", ROW('Bank Schedule'!$K$2:$K$817)), ROW(40:40))), "")</f>
        <v>Second Floor </v>
      </c>
      <c r="G43" s="94" t="str">
        <f aca="false" t="array" ref="G43:G43">IFERROR(INDEX('Bank Schedule'!G:G, SMALL(IF('Bank Schedule'!$K$2:$K$817="Vacant", ROW('Bank Schedule'!$K$2:$K$817)), ROW(40:40))), "")</f>
        <v>Office</v>
      </c>
      <c r="H43" s="14" t="n">
        <f aca="false" t="array" ref="H43:H43">IFERROR(INDEX('Bank Schedule'!H:H, SMALL(IF('Bank Schedule'!$K$2:$K$817="Vacant", ROW('Bank Schedule'!$K$2:$K$817)), ROW(40:40))), "")</f>
        <v>437</v>
      </c>
      <c r="I43" s="14" t="n">
        <f aca="false" t="array" ref="I43:I43">IFERROR(INDEX('Bank Schedule'!I:I, SMALL(IF('Bank Schedule'!$K$2:$K$817="Vacant", ROW('Bank Schedule'!$K$2:$K$817)), ROW(40:40))), "")</f>
        <v>437</v>
      </c>
      <c r="J43" s="11" t="str">
        <f aca="false" t="array" ref="J43:J43">IFERROR(INDEX('Bank Schedule'!K:K, SMALL(IF('Bank Schedule'!$K$2:$K$817="Vacant", ROW('Bank Schedule'!$K$2:$K$817)), ROW(40:40))), "")</f>
        <v>Vacant</v>
      </c>
      <c r="K43" s="11" t="str">
        <f aca="false">IFERROR(INDEX('Bank Schedule'!L:L, SMALL(IF('Bank Schedule'!$K$2:$K$817="Vacant", ROW('Bank Schedule'!$K$2:$K$817)), ROW(40:40))), "")</f>
        <v/>
      </c>
      <c r="L43" s="11" t="str">
        <f aca="false">IFERROR(INDEX('Bank Schedule'!M:M, SMALL(IF('Bank Schedule'!$K$2:$K$817="Vacant", ROW('Bank Schedule'!$K$2:$K$817)), ROW(40:40))), "")</f>
        <v/>
      </c>
      <c r="M43" s="71" t="n">
        <f aca="false" t="array" ref="M43:M43">IFERROR(INDEX('Bank Schedule'!N:N, SMALL(IF('Bank Schedule'!$K$2:$K$817="Vacant", ROW('Bank Schedule'!$K$2:$K$817)), ROW(40:40))), "")</f>
        <v>43466</v>
      </c>
      <c r="N43" s="11" t="str">
        <f aca="false">IFERROR(INDEX('Bank Schedule'!O:O, SMALL(IF('Bank Schedule'!$K$2:$K$817="Vacant", ROW('Bank Schedule'!$K$2:$K$817)), ROW(40:40))), "")</f>
        <v/>
      </c>
      <c r="O43" s="11" t="str">
        <f aca="false">IFERROR(INDEX('Bank Schedule'!P:P, SMALL(IF('Bank Schedule'!$K$2:$K$817="Vacant", ROW('Bank Schedule'!$K$2:$K$817)), ROW(40:40))), "")</f>
        <v/>
      </c>
      <c r="P43" s="11" t="n">
        <f aca="false" t="array" ref="P43:P43">IFERROR(INDEX('Bank Schedule'!Q:Q, SMALL(IF('Bank Schedule'!$K$2:$K$817="Vacant", ROW('Bank Schedule'!$K$2:$K$817)), ROW(40:40))), "")</f>
        <v>0</v>
      </c>
      <c r="Q43" s="11" t="n">
        <f aca="false" t="array" ref="Q43:Q43">IFERROR(INDEX('Bank Schedule'!R:R, SMALL(IF('Bank Schedule'!$K$2:$K$817="Vacant", ROW('Bank Schedule'!$K$2:$K$817)), ROW(40:40))), "")</f>
        <v>0</v>
      </c>
      <c r="R43" s="11" t="str">
        <f aca="false">IFERROR(INDEX('Bank Schedule'!S:S, SMALL(IF('Bank Schedule'!$K$2:$K$817="Vacant", ROW('Bank Schedule'!$K$2:$K$817)), ROW(40:40))), "")</f>
        <v/>
      </c>
      <c r="S43" s="281" t="n">
        <f aca="false" t="array" ref="S43:S43">IFERROR(INDEX('Bank Schedule'!T:T, SMALL(IF('Bank Schedule'!$K$2:$K$817="Vacant", ROW('Bank Schedule'!$K$2:$K$817)), ROW(40:40))), "")</f>
        <v>24000</v>
      </c>
      <c r="T43" s="281" t="n">
        <f aca="false" t="array" ref="T43:T43">IFERROR(INDEX('Bank Schedule'!U:U, SMALL(IF('Bank Schedule'!$K$2:$K$817="Vacant", ROW('Bank Schedule'!$K$2:$K$817)), ROW(40:40))), "")</f>
        <v>24000</v>
      </c>
      <c r="U43" s="281" t="n">
        <f aca="false" t="array" ref="U43:U43">IFERROR(INDEX('Bank Schedule'!V:V, SMALL(IF('Bank Schedule'!$K$2:$K$817="Vacant", ROW('Bank Schedule'!$K$2:$K$817)), ROW(40:40))), "")</f>
        <v>24000</v>
      </c>
      <c r="V43" s="281" t="n">
        <f aca="false" t="array" ref="V43:V43">IFERROR(INDEX('Bank Schedule'!W:W, SMALL(IF('Bank Schedule'!$K$2:$K$817="Vacant", ROW('Bank Schedule'!$K$2:$K$817)), ROW(40:40))), "")</f>
        <v>24000</v>
      </c>
      <c r="W43" s="282" t="str">
        <f aca="false">IFERROR(INDEX('Bank Schedule'!X:X, SMALL(IF('Bank Schedule'!$K$2:$K$817="Vacant", ROW('Bank Schedule'!$K$2:$K$817)), ROW(40:40))), "")</f>
        <v/>
      </c>
      <c r="X43" s="11" t="str">
        <f aca="false" t="array" ref="X43:X43">IFERROR(INDEX('Bank Schedule'!Y:Y, SMALL(IF('Bank Schedule'!$K$2:$K$817="Vacant", ROW('Bank Schedule'!$K$2:$K$817)), ROW(40:40))), "")</f>
        <v>E</v>
      </c>
      <c r="Y43" s="11" t="str">
        <f aca="false">IFERROR(INDEX('Bank Schedule'!Z:Z, SMALL(IF('Bank Schedule'!$K$2:$K$817="Vacant", ROW('Bank Schedule'!$K$2:$K$817)), ROW(40:40))), "")</f>
        <v/>
      </c>
      <c r="Z43" s="11" t="str">
        <f aca="false">IFERROR(INDEX('Bank Schedule'!AA:AA, SMALL(IF('Bank Schedule'!$K$2:$K$817="Vacant", ROW('Bank Schedule'!$K$2:$K$817)), ROW(40:40))), "")</f>
        <v/>
      </c>
      <c r="AA43" s="11" t="str">
        <f aca="false" t="array" ref="AA43:AA43">IFERROR(INDEX('Bank Schedule'!AB:AB, SMALL(IF('Bank Schedule'!$K$2:$K$817="Vacant", ROW('Bank Schedule'!$K$2:$K$817)), ROW(40:40))), "")</f>
        <v>No</v>
      </c>
      <c r="AB43" s="94" t="str">
        <f aca="false" t="array" ref="AB43:AB43">IFERROR(INDEX('Bank Schedule'!AC:AC, SMALL(IF('Bank Schedule'!$K$2:$K$817="Vacant", ROW('Bank Schedule'!$K$2:$K$817)), ROW(40:40))), "")</f>
        <v>To be refurbished.</v>
      </c>
      <c r="AC43" s="44" t="str">
        <f aca="false">IFERROR(INDEX('Bank Schedule'!AD:AD, SMALL(IF('Bank Schedule'!$K$2:$K$817="Vacant", ROW('Bank Schedule'!$K$2:$K$817)), ROW(40:40))), "")</f>
        <v/>
      </c>
      <c r="AD43" s="11" t="str">
        <f aca="false">IFERROR(INDEX('Bank Schedule'!AE:AE, SMALL(IF('Bank Schedule'!$K$2:$K$817="Vacant", ROW('Bank Schedule'!$K$2:$K$817)), ROW(40:40))), "")</f>
        <v/>
      </c>
      <c r="AE43" s="11" t="str">
        <f aca="false">IFERROR(INDEX('Bank Schedule'!AF:AF, SMALL(IF('Bank Schedule'!$K$2:$K$817="Vacant", ROW('Bank Schedule'!$K$2:$K$817)), ROW(40:40))), "")</f>
        <v/>
      </c>
      <c r="AF43" s="11" t="str">
        <f aca="false">IFERROR(INDEX('Bank Schedule'!AG:AG, SMALL(IF('Bank Schedule'!$K$2:$K$817="Vacant", ROW('Bank Schedule'!$K$2:$K$817)), ROW(40:40))), "")</f>
        <v/>
      </c>
      <c r="AG43" s="4"/>
    </row>
    <row r="44" customFormat="false" ht="28.5" hidden="false" customHeight="true" outlineLevel="0" collapsed="false">
      <c r="A44" s="28" t="str">
        <f aca="false">IFERROR(INDEX('Bank Schedule'!A:A, SMALL(IF('Bank Schedule'!$K$2:$K$817="Vacant", ROW('Bank Schedule'!$K$2:$K$817)), ROW(41:41))), "")</f>
        <v/>
      </c>
      <c r="B44" s="11" t="str">
        <f aca="false" t="array" ref="B44:B44">IFERROR(INDEX('Bank Schedule'!B:B, SMALL(IF('Bank Schedule'!$K$2:$K$817="Vacant", ROW('Bank Schedule'!$K$2:$K$817)), ROW(41:41))), "")</f>
        <v>WS</v>
      </c>
      <c r="C44" s="11" t="str">
        <f aca="false" t="array" ref="C44:C44">IFERROR(INDEX('Bank Schedule'!C:C, SMALL(IF('Bank Schedule'!$K$2:$K$817="Vacant", ROW('Bank Schedule'!$K$2:$K$817)), ROW(41:41))), "")</f>
        <v>MEL</v>
      </c>
      <c r="D44" s="11" t="n">
        <f aca="false" t="array" ref="D44:D44">IFERROR(INDEX('Bank Schedule'!D:D, SMALL(IF('Bank Schedule'!$K$2:$K$817="Vacant", ROW('Bank Schedule'!$K$2:$K$817)), ROW(41:41))), "")</f>
        <v>550960</v>
      </c>
      <c r="E44" s="94" t="str">
        <f aca="false" t="array" ref="E44:E44">IFERROR(INDEX('Bank Schedule'!E:E, SMALL(IF('Bank Schedule'!$K$2:$K$817="Vacant", ROW('Bank Schedule'!$K$2:$K$817)), ROW(41:41))), "")</f>
        <v>21 Little Portland Street</v>
      </c>
      <c r="F44" s="94" t="str">
        <f aca="false" t="array" ref="F44:F44">IFERROR(INDEX('Bank Schedule'!F:F, SMALL(IF('Bank Schedule'!$K$2:$K$817="Vacant", ROW('Bank Schedule'!$K$2:$K$817)), ROW(41:41))), "")</f>
        <v>First Floor</v>
      </c>
      <c r="G44" s="94" t="str">
        <f aca="false" t="array" ref="G44:G44">IFERROR(INDEX('Bank Schedule'!G:G, SMALL(IF('Bank Schedule'!$K$2:$K$817="Vacant", ROW('Bank Schedule'!$K$2:$K$817)), ROW(41:41))), "")</f>
        <v>Office</v>
      </c>
      <c r="H44" s="14" t="n">
        <f aca="false" t="array" ref="H44:H44">IFERROR(INDEX('Bank Schedule'!H:H, SMALL(IF('Bank Schedule'!$K$2:$K$817="Vacant", ROW('Bank Schedule'!$K$2:$K$817)), ROW(41:41))), "")</f>
        <v>1282</v>
      </c>
      <c r="I44" s="14" t="n">
        <f aca="false" t="array" ref="I44:I44">IFERROR(INDEX('Bank Schedule'!I:I, SMALL(IF('Bank Schedule'!$K$2:$K$817="Vacant", ROW('Bank Schedule'!$K$2:$K$817)), ROW(41:41))), "")</f>
        <v>1282</v>
      </c>
      <c r="J44" s="11" t="str">
        <f aca="false" t="array" ref="J44:J44">IFERROR(INDEX('Bank Schedule'!K:K, SMALL(IF('Bank Schedule'!$K$2:$K$817="Vacant", ROW('Bank Schedule'!$K$2:$K$817)), ROW(41:41))), "")</f>
        <v>Vacant</v>
      </c>
      <c r="K44" s="11" t="str">
        <f aca="false">IFERROR(INDEX('Bank Schedule'!L:L, SMALL(IF('Bank Schedule'!$K$2:$K$817="Vacant", ROW('Bank Schedule'!$K$2:$K$817)), ROW(41:41))), "")</f>
        <v/>
      </c>
      <c r="L44" s="11" t="str">
        <f aca="false">IFERROR(INDEX('Bank Schedule'!M:M, SMALL(IF('Bank Schedule'!$K$2:$K$817="Vacant", ROW('Bank Schedule'!$K$2:$K$817)), ROW(41:41))), "")</f>
        <v/>
      </c>
      <c r="M44" s="71" t="n">
        <f aca="false" t="array" ref="M44:M44">IFERROR(INDEX('Bank Schedule'!N:N, SMALL(IF('Bank Schedule'!$K$2:$K$817="Vacant", ROW('Bank Schedule'!$K$2:$K$817)), ROW(41:41))), "")</f>
        <v>44747</v>
      </c>
      <c r="N44" s="11" t="str">
        <f aca="false">IFERROR(INDEX('Bank Schedule'!O:O, SMALL(IF('Bank Schedule'!$K$2:$K$817="Vacant", ROW('Bank Schedule'!$K$2:$K$817)), ROW(41:41))), "")</f>
        <v/>
      </c>
      <c r="O44" s="11" t="str">
        <f aca="false">IFERROR(INDEX('Bank Schedule'!P:P, SMALL(IF('Bank Schedule'!$K$2:$K$817="Vacant", ROW('Bank Schedule'!$K$2:$K$817)), ROW(41:41))), "")</f>
        <v/>
      </c>
      <c r="P44" s="11" t="n">
        <f aca="false" t="array" ref="P44:P44">IFERROR(INDEX('Bank Schedule'!Q:Q, SMALL(IF('Bank Schedule'!$K$2:$K$817="Vacant", ROW('Bank Schedule'!$K$2:$K$817)), ROW(41:41))), "")</f>
        <v>0</v>
      </c>
      <c r="Q44" s="11" t="n">
        <f aca="false" t="array" ref="Q44:Q44">IFERROR(INDEX('Bank Schedule'!R:R, SMALL(IF('Bank Schedule'!$K$2:$K$817="Vacant", ROW('Bank Schedule'!$K$2:$K$817)), ROW(41:41))), "")</f>
        <v>0</v>
      </c>
      <c r="R44" s="11" t="str">
        <f aca="false">IFERROR(INDEX('Bank Schedule'!S:S, SMALL(IF('Bank Schedule'!$K$2:$K$817="Vacant", ROW('Bank Schedule'!$K$2:$K$817)), ROW(41:41))), "")</f>
        <v/>
      </c>
      <c r="S44" s="281" t="n">
        <f aca="false" t="array" ref="S44:S44">IFERROR(INDEX('Bank Schedule'!T:T, SMALL(IF('Bank Schedule'!$K$2:$K$817="Vacant", ROW('Bank Schedule'!$K$2:$K$817)), ROW(41:41))), "")</f>
        <v>70500</v>
      </c>
      <c r="T44" s="281" t="n">
        <f aca="false" t="array" ref="T44:T44">IFERROR(INDEX('Bank Schedule'!U:U, SMALL(IF('Bank Schedule'!$K$2:$K$817="Vacant", ROW('Bank Schedule'!$K$2:$K$817)), ROW(41:41))), "")</f>
        <v>70500</v>
      </c>
      <c r="U44" s="281" t="n">
        <f aca="false" t="array" ref="U44:U44">IFERROR(INDEX('Bank Schedule'!V:V, SMALL(IF('Bank Schedule'!$K$2:$K$817="Vacant", ROW('Bank Schedule'!$K$2:$K$817)), ROW(41:41))), "")</f>
        <v>76900</v>
      </c>
      <c r="V44" s="281" t="n">
        <f aca="false" t="array" ref="V44:V44">IFERROR(INDEX('Bank Schedule'!W:W, SMALL(IF('Bank Schedule'!$K$2:$K$817="Vacant", ROW('Bank Schedule'!$K$2:$K$817)), ROW(41:41))), "")</f>
        <v>76900</v>
      </c>
      <c r="W44" s="282" t="str">
        <f aca="false">IFERROR(INDEX('Bank Schedule'!X:X, SMALL(IF('Bank Schedule'!$K$2:$K$817="Vacant", ROW('Bank Schedule'!$K$2:$K$817)), ROW(41:41))), "")</f>
        <v/>
      </c>
      <c r="X44" s="11" t="str">
        <f aca="false" t="array" ref="X44:X44">IFERROR(INDEX('Bank Schedule'!Y:Y, SMALL(IF('Bank Schedule'!$K$2:$K$817="Vacant", ROW('Bank Schedule'!$K$2:$K$817)), ROW(41:41))), "")</f>
        <v>D</v>
      </c>
      <c r="Y44" s="11" t="str">
        <f aca="false">IFERROR(INDEX('Bank Schedule'!Z:Z, SMALL(IF('Bank Schedule'!$K$2:$K$817="Vacant", ROW('Bank Schedule'!$K$2:$K$817)), ROW(41:41))), "")</f>
        <v/>
      </c>
      <c r="Z44" s="11" t="str">
        <f aca="false">IFERROR(INDEX('Bank Schedule'!AA:AA, SMALL(IF('Bank Schedule'!$K$2:$K$817="Vacant", ROW('Bank Schedule'!$K$2:$K$817)), ROW(41:41))), "")</f>
        <v/>
      </c>
      <c r="AA44" s="11" t="str">
        <f aca="false" t="array" ref="AA44:AA44">IFERROR(INDEX('Bank Schedule'!AB:AB, SMALL(IF('Bank Schedule'!$K$2:$K$817="Vacant", ROW('Bank Schedule'!$K$2:$K$817)), ROW(41:41))), "")</f>
        <v>No</v>
      </c>
      <c r="AB44" s="94" t="str">
        <f aca="false" t="array" ref="AB44:AB44">IFERROR(INDEX('Bank Schedule'!AC:AC, SMALL(IF('Bank Schedule'!$K$2:$K$817="Vacant", ROW('Bank Schedule'!$K$2:$K$817)), ROW(41:41))), "")</f>
        <v>Refurbishment completed. Under offer.</v>
      </c>
      <c r="AC44" s="44" t="n">
        <f aca="false" t="array" ref="AC44:AC44">IFERROR(INDEX('Bank Schedule'!AD:AD, SMALL(IF('Bank Schedule'!$K$2:$K$817="Vacant", ROW('Bank Schedule'!$K$2:$K$817)), ROW(41:41))), "")</f>
        <v>67.5</v>
      </c>
      <c r="AD44" s="11" t="str">
        <f aca="false">IFERROR(INDEX('Bank Schedule'!AE:AE, SMALL(IF('Bank Schedule'!$K$2:$K$817="Vacant", ROW('Bank Schedule'!$K$2:$K$817)), ROW(41:41))), "")</f>
        <v/>
      </c>
      <c r="AE44" s="11" t="n">
        <f aca="false" t="array" ref="AE44:AE44">IFERROR(INDEX('Bank Schedule'!AF:AF, SMALL(IF('Bank Schedule'!$K$2:$K$817="Vacant", ROW('Bank Schedule'!$K$2:$K$817)), ROW(41:41))), "")</f>
        <v>1</v>
      </c>
      <c r="AF44" s="11" t="str">
        <f aca="false" t="array" ref="AF44:AF44">IFERROR(INDEX('Bank Schedule'!AG:AG, SMALL(IF('Bank Schedule'!$K$2:$K$817="Vacant", ROW('Bank Schedule'!$K$2:$K$817)), ROW(41:41))), "")</f>
        <v>LEM</v>
      </c>
      <c r="AG44" s="4"/>
    </row>
    <row r="45" customFormat="false" ht="28.5" hidden="false" customHeight="true" outlineLevel="0" collapsed="false">
      <c r="A45" s="28" t="str">
        <f aca="false">IFERROR(INDEX('Bank Schedule'!A:A, SMALL(IF('Bank Schedule'!$K$2:$K$817="Vacant", ROW('Bank Schedule'!$K$2:$K$817)), ROW(42:42))), "")</f>
        <v/>
      </c>
      <c r="B45" s="11" t="str">
        <f aca="false" t="array" ref="B45:B45">IFERROR(INDEX('Bank Schedule'!B:B, SMALL(IF('Bank Schedule'!$K$2:$K$817="Vacant", ROW('Bank Schedule'!$K$2:$K$817)), ROW(42:42))), "")</f>
        <v>WS</v>
      </c>
      <c r="C45" s="11" t="str">
        <f aca="false" t="array" ref="C45:C45">IFERROR(INDEX('Bank Schedule'!C:C, SMALL(IF('Bank Schedule'!$K$2:$K$817="Vacant", ROW('Bank Schedule'!$K$2:$K$817)), ROW(42:42))), "")</f>
        <v>MEL</v>
      </c>
      <c r="D45" s="11" t="n">
        <f aca="false" t="array" ref="D45:D45">IFERROR(INDEX('Bank Schedule'!D:D, SMALL(IF('Bank Schedule'!$K$2:$K$817="Vacant", ROW('Bank Schedule'!$K$2:$K$817)), ROW(42:42))), "")</f>
        <v>550370</v>
      </c>
      <c r="E45" s="94" t="str">
        <f aca="false" t="array" ref="E45:E45">IFERROR(INDEX('Bank Schedule'!E:E, SMALL(IF('Bank Schedule'!$K$2:$K$817="Vacant", ROW('Bank Schedule'!$K$2:$K$817)), ROW(42:42))), "")</f>
        <v>15-16 Margaret Street</v>
      </c>
      <c r="F45" s="94" t="str">
        <f aca="false" t="array" ref="F45:F45">IFERROR(INDEX('Bank Schedule'!F:F, SMALL(IF('Bank Schedule'!$K$2:$K$817="Vacant", ROW('Bank Schedule'!$K$2:$K$817)), ROW(42:42))), "")</f>
        <v>First Floor</v>
      </c>
      <c r="G45" s="94" t="str">
        <f aca="false" t="array" ref="G45:G45">IFERROR(INDEX('Bank Schedule'!G:G, SMALL(IF('Bank Schedule'!$K$2:$K$817="Vacant", ROW('Bank Schedule'!$K$2:$K$817)), ROW(42:42))), "")</f>
        <v>Office</v>
      </c>
      <c r="H45" s="14" t="n">
        <f aca="false" t="array" ref="H45:H45">IFERROR(INDEX('Bank Schedule'!H:H, SMALL(IF('Bank Schedule'!$K$2:$K$817="Vacant", ROW('Bank Schedule'!$K$2:$K$817)), ROW(42:42))), "")</f>
        <v>1606</v>
      </c>
      <c r="I45" s="14" t="n">
        <f aca="false" t="array" ref="I45:I45">IFERROR(INDEX('Bank Schedule'!I:I, SMALL(IF('Bank Schedule'!$K$2:$K$817="Vacant", ROW('Bank Schedule'!$K$2:$K$817)), ROW(42:42))), "")</f>
        <v>1606</v>
      </c>
      <c r="J45" s="11" t="str">
        <f aca="false" t="array" ref="J45:J45">IFERROR(INDEX('Bank Schedule'!K:K, SMALL(IF('Bank Schedule'!$K$2:$K$817="Vacant", ROW('Bank Schedule'!$K$2:$K$817)), ROW(42:42))), "")</f>
        <v>Vacant</v>
      </c>
      <c r="K45" s="11" t="str">
        <f aca="false">IFERROR(INDEX('Bank Schedule'!L:L, SMALL(IF('Bank Schedule'!$K$2:$K$817="Vacant", ROW('Bank Schedule'!$K$2:$K$817)), ROW(42:42))), "")</f>
        <v/>
      </c>
      <c r="L45" s="11" t="str">
        <f aca="false">IFERROR(INDEX('Bank Schedule'!M:M, SMALL(IF('Bank Schedule'!$K$2:$K$817="Vacant", ROW('Bank Schedule'!$K$2:$K$817)), ROW(42:42))), "")</f>
        <v/>
      </c>
      <c r="M45" s="71" t="n">
        <f aca="false" t="array" ref="M45:M45">IFERROR(INDEX('Bank Schedule'!N:N, SMALL(IF('Bank Schedule'!$K$2:$K$817="Vacant", ROW('Bank Schedule'!$K$2:$K$817)), ROW(42:42))), "")</f>
        <v>44403</v>
      </c>
      <c r="N45" s="11" t="str">
        <f aca="false">IFERROR(INDEX('Bank Schedule'!O:O, SMALL(IF('Bank Schedule'!$K$2:$K$817="Vacant", ROW('Bank Schedule'!$K$2:$K$817)), ROW(42:42))), "")</f>
        <v/>
      </c>
      <c r="O45" s="11" t="str">
        <f aca="false">IFERROR(INDEX('Bank Schedule'!P:P, SMALL(IF('Bank Schedule'!$K$2:$K$817="Vacant", ROW('Bank Schedule'!$K$2:$K$817)), ROW(42:42))), "")</f>
        <v/>
      </c>
      <c r="P45" s="11" t="n">
        <f aca="false" t="array" ref="P45:P45">IFERROR(INDEX('Bank Schedule'!Q:Q, SMALL(IF('Bank Schedule'!$K$2:$K$817="Vacant", ROW('Bank Schedule'!$K$2:$K$817)), ROW(42:42))), "")</f>
        <v>0</v>
      </c>
      <c r="Q45" s="11" t="n">
        <f aca="false" t="array" ref="Q45:Q45">IFERROR(INDEX('Bank Schedule'!R:R, SMALL(IF('Bank Schedule'!$K$2:$K$817="Vacant", ROW('Bank Schedule'!$K$2:$K$817)), ROW(42:42))), "")</f>
        <v>0</v>
      </c>
      <c r="R45" s="11" t="str">
        <f aca="false">IFERROR(INDEX('Bank Schedule'!S:S, SMALL(IF('Bank Schedule'!$K$2:$K$817="Vacant", ROW('Bank Schedule'!$K$2:$K$817)), ROW(42:42))), "")</f>
        <v/>
      </c>
      <c r="S45" s="281" t="n">
        <f aca="false" t="array" ref="S45:S45">IFERROR(INDEX('Bank Schedule'!T:T, SMALL(IF('Bank Schedule'!$K$2:$K$817="Vacant", ROW('Bank Schedule'!$K$2:$K$817)), ROW(42:42))), "")</f>
        <v>85800</v>
      </c>
      <c r="T45" s="281" t="n">
        <f aca="false" t="array" ref="T45:T45">IFERROR(INDEX('Bank Schedule'!U:U, SMALL(IF('Bank Schedule'!$K$2:$K$817="Vacant", ROW('Bank Schedule'!$K$2:$K$817)), ROW(42:42))), "")</f>
        <v>85800</v>
      </c>
      <c r="U45" s="281" t="n">
        <f aca="false" t="array" ref="U45:U45">IFERROR(INDEX('Bank Schedule'!V:V, SMALL(IF('Bank Schedule'!$K$2:$K$817="Vacant", ROW('Bank Schedule'!$K$2:$K$817)), ROW(42:42))), "")</f>
        <v>106800</v>
      </c>
      <c r="V45" s="281" t="n">
        <f aca="false" t="array" ref="V45:V45">IFERROR(INDEX('Bank Schedule'!W:W, SMALL(IF('Bank Schedule'!$K$2:$K$817="Vacant", ROW('Bank Schedule'!$K$2:$K$817)), ROW(42:42))), "")</f>
        <v>106800</v>
      </c>
      <c r="W45" s="282" t="n">
        <f aca="false" t="array" ref="W45:W45">IFERROR(INDEX('Bank Schedule'!X:X, SMALL(IF('Bank Schedule'!$K$2:$K$817="Vacant", ROW('Bank Schedule'!$K$2:$K$817)), ROW(42:42))), "")</f>
        <v>53.4246575342466</v>
      </c>
      <c r="X45" s="11" t="str">
        <f aca="false" t="array" ref="X45:X45">IFERROR(INDEX('Bank Schedule'!Y:Y, SMALL(IF('Bank Schedule'!$K$2:$K$817="Vacant", ROW('Bank Schedule'!$K$2:$K$817)), ROW(42:42))), "")</f>
        <v>D</v>
      </c>
      <c r="Y45" s="11" t="str">
        <f aca="false">IFERROR(INDEX('Bank Schedule'!Z:Z, SMALL(IF('Bank Schedule'!$K$2:$K$817="Vacant", ROW('Bank Schedule'!$K$2:$K$817)), ROW(42:42))), "")</f>
        <v/>
      </c>
      <c r="Z45" s="11" t="str">
        <f aca="false">IFERROR(INDEX('Bank Schedule'!AA:AA, SMALL(IF('Bank Schedule'!$K$2:$K$817="Vacant", ROW('Bank Schedule'!$K$2:$K$817)), ROW(42:42))), "")</f>
        <v/>
      </c>
      <c r="AA45" s="11" t="str">
        <f aca="false" t="array" ref="AA45:AA45">IFERROR(INDEX('Bank Schedule'!AB:AB, SMALL(IF('Bank Schedule'!$K$2:$K$817="Vacant", ROW('Bank Schedule'!$K$2:$K$817)), ROW(42:42))), "")</f>
        <v>No</v>
      </c>
      <c r="AB45" s="94" t="str">
        <f aca="false" t="array" ref="AB45:AB45">IFERROR(INDEX('Bank Schedule'!AC:AC, SMALL(IF('Bank Schedule'!$K$2:$K$817="Vacant", ROW('Bank Schedule'!$K$2:$K$817)), ROW(42:42))), "")</f>
        <v>Unit under offer.</v>
      </c>
      <c r="AC45" s="44" t="n">
        <f aca="false" t="array" ref="AC45:AC45">IFERROR(INDEX('Bank Schedule'!AD:AD, SMALL(IF('Bank Schedule'!$K$2:$K$817="Vacant", ROW('Bank Schedule'!$K$2:$K$817)), ROW(42:42))), "")</f>
        <v>65</v>
      </c>
      <c r="AD45" s="11" t="str">
        <f aca="false">IFERROR(INDEX('Bank Schedule'!AE:AE, SMALL(IF('Bank Schedule'!$K$2:$K$817="Vacant", ROW('Bank Schedule'!$K$2:$K$817)), ROW(42:42))), "")</f>
        <v/>
      </c>
      <c r="AE45" s="11" t="n">
        <f aca="false" t="array" ref="AE45:AE45">IFERROR(INDEX('Bank Schedule'!AF:AF, SMALL(IF('Bank Schedule'!$K$2:$K$817="Vacant", ROW('Bank Schedule'!$K$2:$K$817)), ROW(42:42))), "")</f>
        <v>1</v>
      </c>
      <c r="AF45" s="11" t="str">
        <f aca="false" t="array" ref="AF45:AF45">IFERROR(INDEX('Bank Schedule'!AG:AG, SMALL(IF('Bank Schedule'!$K$2:$K$817="Vacant", ROW('Bank Schedule'!$K$2:$K$817)), ROW(42:42))), "")</f>
        <v>LEM</v>
      </c>
      <c r="AG45" s="4"/>
    </row>
    <row r="46" customFormat="false" ht="28.5" hidden="false" customHeight="true" outlineLevel="0" collapsed="false">
      <c r="A46" s="28" t="str">
        <f aca="false">IFERROR(INDEX('Bank Schedule'!A:A, SMALL(IF('Bank Schedule'!$K$2:$K$817="Vacant", ROW('Bank Schedule'!$K$2:$K$817)), ROW(43:43))), "")</f>
        <v/>
      </c>
      <c r="B46" s="11" t="str">
        <f aca="false" t="array" ref="B46:B46">IFERROR(INDEX('Bank Schedule'!B:B, SMALL(IF('Bank Schedule'!$K$2:$K$817="Vacant", ROW('Bank Schedule'!$K$2:$K$817)), ROW(43:43))), "")</f>
        <v>WS</v>
      </c>
      <c r="C46" s="11" t="str">
        <f aca="false" t="array" ref="C46:C46">IFERROR(INDEX('Bank Schedule'!C:C, SMALL(IF('Bank Schedule'!$K$2:$K$817="Vacant", ROW('Bank Schedule'!$K$2:$K$817)), ROW(43:43))), "")</f>
        <v>MEL</v>
      </c>
      <c r="D46" s="11" t="n">
        <f aca="false" t="array" ref="D46:D46">IFERROR(INDEX('Bank Schedule'!D:D, SMALL(IF('Bank Schedule'!$K$2:$K$817="Vacant", ROW('Bank Schedule'!$K$2:$K$817)), ROW(43:43))), "")</f>
        <v>550370</v>
      </c>
      <c r="E46" s="94" t="str">
        <f aca="false" t="array" ref="E46:E46">IFERROR(INDEX('Bank Schedule'!E:E, SMALL(IF('Bank Schedule'!$K$2:$K$817="Vacant", ROW('Bank Schedule'!$K$2:$K$817)), ROW(43:43))), "")</f>
        <v>15-16 Margaret Street</v>
      </c>
      <c r="F46" s="94" t="str">
        <f aca="false" t="array" ref="F46:F46">IFERROR(INDEX('Bank Schedule'!F:F, SMALL(IF('Bank Schedule'!$K$2:$K$817="Vacant", ROW('Bank Schedule'!$K$2:$K$817)), ROW(43:43))), "")</f>
        <v>Third Floor</v>
      </c>
      <c r="G46" s="94" t="str">
        <f aca="false" t="array" ref="G46:G46">IFERROR(INDEX('Bank Schedule'!G:G, SMALL(IF('Bank Schedule'!$K$2:$K$817="Vacant", ROW('Bank Schedule'!$K$2:$K$817)), ROW(43:43))), "")</f>
        <v>Office</v>
      </c>
      <c r="H46" s="14" t="n">
        <f aca="false" t="array" ref="H46:H46">IFERROR(INDEX('Bank Schedule'!H:H, SMALL(IF('Bank Schedule'!$K$2:$K$817="Vacant", ROW('Bank Schedule'!$K$2:$K$817)), ROW(43:43))), "")</f>
        <v>1129</v>
      </c>
      <c r="I46" s="14" t="n">
        <f aca="false" t="array" ref="I46:I46">IFERROR(INDEX('Bank Schedule'!I:I, SMALL(IF('Bank Schedule'!$K$2:$K$817="Vacant", ROW('Bank Schedule'!$K$2:$K$817)), ROW(43:43))), "")</f>
        <v>1129</v>
      </c>
      <c r="J46" s="11" t="str">
        <f aca="false" t="array" ref="J46:J46">IFERROR(INDEX('Bank Schedule'!K:K, SMALL(IF('Bank Schedule'!$K$2:$K$817="Vacant", ROW('Bank Schedule'!$K$2:$K$817)), ROW(43:43))), "")</f>
        <v>Vacant</v>
      </c>
      <c r="K46" s="11" t="str">
        <f aca="false">IFERROR(INDEX('Bank Schedule'!L:L, SMALL(IF('Bank Schedule'!$K$2:$K$817="Vacant", ROW('Bank Schedule'!$K$2:$K$817)), ROW(43:43))), "")</f>
        <v/>
      </c>
      <c r="L46" s="11" t="str">
        <f aca="false">IFERROR(INDEX('Bank Schedule'!M:M, SMALL(IF('Bank Schedule'!$K$2:$K$817="Vacant", ROW('Bank Schedule'!$K$2:$K$817)), ROW(43:43))), "")</f>
        <v/>
      </c>
      <c r="M46" s="71" t="n">
        <f aca="false" t="array" ref="M46:M46">IFERROR(INDEX('Bank Schedule'!N:N, SMALL(IF('Bank Schedule'!$K$2:$K$817="Vacant", ROW('Bank Schedule'!$K$2:$K$817)), ROW(43:43))), "")</f>
        <v>44097</v>
      </c>
      <c r="N46" s="11" t="str">
        <f aca="false">IFERROR(INDEX('Bank Schedule'!O:O, SMALL(IF('Bank Schedule'!$K$2:$K$817="Vacant", ROW('Bank Schedule'!$K$2:$K$817)), ROW(43:43))), "")</f>
        <v/>
      </c>
      <c r="O46" s="11" t="str">
        <f aca="false">IFERROR(INDEX('Bank Schedule'!P:P, SMALL(IF('Bank Schedule'!$K$2:$K$817="Vacant", ROW('Bank Schedule'!$K$2:$K$817)), ROW(43:43))), "")</f>
        <v/>
      </c>
      <c r="P46" s="11" t="n">
        <f aca="false" t="array" ref="P46:P46">IFERROR(INDEX('Bank Schedule'!Q:Q, SMALL(IF('Bank Schedule'!$K$2:$K$817="Vacant", ROW('Bank Schedule'!$K$2:$K$817)), ROW(43:43))), "")</f>
        <v>0</v>
      </c>
      <c r="Q46" s="11" t="n">
        <f aca="false" t="array" ref="Q46:Q46">IFERROR(INDEX('Bank Schedule'!R:R, SMALL(IF('Bank Schedule'!$K$2:$K$817="Vacant", ROW('Bank Schedule'!$K$2:$K$817)), ROW(43:43))), "")</f>
        <v>0</v>
      </c>
      <c r="R46" s="11" t="str">
        <f aca="false">IFERROR(INDEX('Bank Schedule'!S:S, SMALL(IF('Bank Schedule'!$K$2:$K$817="Vacant", ROW('Bank Schedule'!$K$2:$K$817)), ROW(43:43))), "")</f>
        <v/>
      </c>
      <c r="S46" s="281" t="n">
        <f aca="false" t="array" ref="S46:S46">IFERROR(INDEX('Bank Schedule'!T:T, SMALL(IF('Bank Schedule'!$K$2:$K$817="Vacant", ROW('Bank Schedule'!$K$2:$K$817)), ROW(43:43))), "")</f>
        <v>65600</v>
      </c>
      <c r="T46" s="281" t="n">
        <f aca="false" t="array" ref="T46:T46">IFERROR(INDEX('Bank Schedule'!U:U, SMALL(IF('Bank Schedule'!$K$2:$K$817="Vacant", ROW('Bank Schedule'!$K$2:$K$817)), ROW(43:43))), "")</f>
        <v>65600</v>
      </c>
      <c r="U46" s="281" t="n">
        <f aca="false" t="array" ref="U46:U46">IFERROR(INDEX('Bank Schedule'!V:V, SMALL(IF('Bank Schedule'!$K$2:$K$817="Vacant", ROW('Bank Schedule'!$K$2:$K$817)), ROW(43:43))), "")</f>
        <v>75100</v>
      </c>
      <c r="V46" s="281" t="n">
        <f aca="false" t="array" ref="V46:V46">IFERROR(INDEX('Bank Schedule'!W:W, SMALL(IF('Bank Schedule'!$K$2:$K$817="Vacant", ROW('Bank Schedule'!$K$2:$K$817)), ROW(43:43))), "")</f>
        <v>75100</v>
      </c>
      <c r="W46" s="282" t="n">
        <f aca="false" t="array" ref="W46:W46">IFERROR(INDEX('Bank Schedule'!X:X, SMALL(IF('Bank Schedule'!$K$2:$K$817="Vacant", ROW('Bank Schedule'!$K$2:$K$817)), ROW(43:43))), "")</f>
        <v>58.1045172719221</v>
      </c>
      <c r="X46" s="11" t="str">
        <f aca="false" t="array" ref="X46:X46">IFERROR(INDEX('Bank Schedule'!Y:Y, SMALL(IF('Bank Schedule'!$K$2:$K$817="Vacant", ROW('Bank Schedule'!$K$2:$K$817)), ROW(43:43))), "")</f>
        <v>D</v>
      </c>
      <c r="Y46" s="11" t="str">
        <f aca="false">IFERROR(INDEX('Bank Schedule'!Z:Z, SMALL(IF('Bank Schedule'!$K$2:$K$817="Vacant", ROW('Bank Schedule'!$K$2:$K$817)), ROW(43:43))), "")</f>
        <v/>
      </c>
      <c r="Z46" s="11" t="str">
        <f aca="false">IFERROR(INDEX('Bank Schedule'!AA:AA, SMALL(IF('Bank Schedule'!$K$2:$K$817="Vacant", ROW('Bank Schedule'!$K$2:$K$817)), ROW(43:43))), "")</f>
        <v/>
      </c>
      <c r="AA46" s="11" t="str">
        <f aca="false" t="array" ref="AA46:AA46">IFERROR(INDEX('Bank Schedule'!AB:AB, SMALL(IF('Bank Schedule'!$K$2:$K$817="Vacant", ROW('Bank Schedule'!$K$2:$K$817)), ROW(43:43))), "")</f>
        <v>No</v>
      </c>
      <c r="AB46" s="94" t="str">
        <f aca="false" t="array" ref="AB46:AB46">IFERROR(INDEX('Bank Schedule'!AC:AC, SMALL(IF('Bank Schedule'!$K$2:$K$817="Vacant", ROW('Bank Schedule'!$K$2:$K$817)), ROW(43:43))), "")</f>
        <v>LEM marketing</v>
      </c>
      <c r="AC46" s="44" t="n">
        <f aca="false" t="array" ref="AC46:AC46">IFERROR(INDEX('Bank Schedule'!AD:AD, SMALL(IF('Bank Schedule'!$K$2:$K$817="Vacant", ROW('Bank Schedule'!$K$2:$K$817)), ROW(43:43))), "")</f>
        <v>65</v>
      </c>
      <c r="AD46" s="11" t="str">
        <f aca="false">IFERROR(INDEX('Bank Schedule'!AE:AE, SMALL(IF('Bank Schedule'!$K$2:$K$817="Vacant", ROW('Bank Schedule'!$K$2:$K$817)), ROW(43:43))), "")</f>
        <v/>
      </c>
      <c r="AE46" s="11" t="str">
        <f aca="false">IFERROR(INDEX('Bank Schedule'!AF:AF, SMALL(IF('Bank Schedule'!$K$2:$K$817="Vacant", ROW('Bank Schedule'!$K$2:$K$817)), ROW(43:43))), "")</f>
        <v/>
      </c>
      <c r="AF46" s="11" t="str">
        <f aca="false">IFERROR(INDEX('Bank Schedule'!AG:AG, SMALL(IF('Bank Schedule'!$K$2:$K$817="Vacant", ROW('Bank Schedule'!$K$2:$K$817)), ROW(43:43))), "")</f>
        <v/>
      </c>
      <c r="AG46" s="4"/>
    </row>
    <row r="47" customFormat="false" ht="28.5" hidden="false" customHeight="true" outlineLevel="0" collapsed="false">
      <c r="A47" s="28" t="str">
        <f aca="false">IFERROR(INDEX('Bank Schedule'!A:A, SMALL(IF('Bank Schedule'!$K$2:$K$817="Vacant", ROW('Bank Schedule'!$K$2:$K$817)), ROW(44:44))), "")</f>
        <v/>
      </c>
      <c r="B47" s="11" t="str">
        <f aca="false" t="array" ref="B47:B47">IFERROR(INDEX('Bank Schedule'!B:B, SMALL(IF('Bank Schedule'!$K$2:$K$817="Vacant", ROW('Bank Schedule'!$K$2:$K$817)), ROW(44:44))), "")</f>
        <v>WS</v>
      </c>
      <c r="C47" s="11" t="str">
        <f aca="false" t="array" ref="C47:C47">IFERROR(INDEX('Bank Schedule'!C:C, SMALL(IF('Bank Schedule'!$K$2:$K$817="Vacant", ROW('Bank Schedule'!$K$2:$K$817)), ROW(44:44))), "")</f>
        <v>MEL</v>
      </c>
      <c r="D47" s="11" t="n">
        <f aca="false" t="array" ref="D47:D47">IFERROR(INDEX('Bank Schedule'!D:D, SMALL(IF('Bank Schedule'!$K$2:$K$817="Vacant", ROW('Bank Schedule'!$K$2:$K$817)), ROW(44:44))), "")</f>
        <v>550370</v>
      </c>
      <c r="E47" s="94" t="str">
        <f aca="false" t="array" ref="E47:E47">IFERROR(INDEX('Bank Schedule'!E:E, SMALL(IF('Bank Schedule'!$K$2:$K$817="Vacant", ROW('Bank Schedule'!$K$2:$K$817)), ROW(44:44))), "")</f>
        <v>15-16 Margaret Street</v>
      </c>
      <c r="F47" s="94" t="str">
        <f aca="false" t="array" ref="F47:F47">IFERROR(INDEX('Bank Schedule'!F:F, SMALL(IF('Bank Schedule'!$K$2:$K$817="Vacant", ROW('Bank Schedule'!$K$2:$K$817)), ROW(44:44))), "")</f>
        <v>Fourth Floor</v>
      </c>
      <c r="G47" s="94" t="str">
        <f aca="false" t="array" ref="G47:G47">IFERROR(INDEX('Bank Schedule'!G:G, SMALL(IF('Bank Schedule'!$K$2:$K$817="Vacant", ROW('Bank Schedule'!$K$2:$K$817)), ROW(44:44))), "")</f>
        <v>Office</v>
      </c>
      <c r="H47" s="14" t="n">
        <f aca="false" t="array" ref="H47:H47">IFERROR(INDEX('Bank Schedule'!H:H, SMALL(IF('Bank Schedule'!$K$2:$K$817="Vacant", ROW('Bank Schedule'!$K$2:$K$817)), ROW(44:44))), "")</f>
        <v>856</v>
      </c>
      <c r="I47" s="14" t="n">
        <f aca="false" t="array" ref="I47:I47">IFERROR(INDEX('Bank Schedule'!I:I, SMALL(IF('Bank Schedule'!$K$2:$K$817="Vacant", ROW('Bank Schedule'!$K$2:$K$817)), ROW(44:44))), "")</f>
        <v>856</v>
      </c>
      <c r="J47" s="11" t="str">
        <f aca="false" t="array" ref="J47:J47">IFERROR(INDEX('Bank Schedule'!K:K, SMALL(IF('Bank Schedule'!$K$2:$K$817="Vacant", ROW('Bank Schedule'!$K$2:$K$817)), ROW(44:44))), "")</f>
        <v>Vacant</v>
      </c>
      <c r="K47" s="11" t="str">
        <f aca="false">IFERROR(INDEX('Bank Schedule'!L:L, SMALL(IF('Bank Schedule'!$K$2:$K$817="Vacant", ROW('Bank Schedule'!$K$2:$K$817)), ROW(44:44))), "")</f>
        <v/>
      </c>
      <c r="L47" s="11" t="str">
        <f aca="false">IFERROR(INDEX('Bank Schedule'!M:M, SMALL(IF('Bank Schedule'!$K$2:$K$817="Vacant", ROW('Bank Schedule'!$K$2:$K$817)), ROW(44:44))), "")</f>
        <v/>
      </c>
      <c r="M47" s="71" t="n">
        <f aca="false" t="array" ref="M47:M47">IFERROR(INDEX('Bank Schedule'!N:N, SMALL(IF('Bank Schedule'!$K$2:$K$817="Vacant", ROW('Bank Schedule'!$K$2:$K$817)), ROW(44:44))), "")</f>
        <v>44814</v>
      </c>
      <c r="N47" s="11" t="str">
        <f aca="false">IFERROR(INDEX('Bank Schedule'!O:O, SMALL(IF('Bank Schedule'!$K$2:$K$817="Vacant", ROW('Bank Schedule'!$K$2:$K$817)), ROW(44:44))), "")</f>
        <v/>
      </c>
      <c r="O47" s="11" t="str">
        <f aca="false">IFERROR(INDEX('Bank Schedule'!P:P, SMALL(IF('Bank Schedule'!$K$2:$K$817="Vacant", ROW('Bank Schedule'!$K$2:$K$817)), ROW(44:44))), "")</f>
        <v/>
      </c>
      <c r="P47" s="11" t="n">
        <f aca="false" t="array" ref="P47:P47">IFERROR(INDEX('Bank Schedule'!Q:Q, SMALL(IF('Bank Schedule'!$K$2:$K$817="Vacant", ROW('Bank Schedule'!$K$2:$K$817)), ROW(44:44))), "")</f>
        <v>0</v>
      </c>
      <c r="Q47" s="11" t="n">
        <f aca="false" t="array" ref="Q47:Q47">IFERROR(INDEX('Bank Schedule'!R:R, SMALL(IF('Bank Schedule'!$K$2:$K$817="Vacant", ROW('Bank Schedule'!$K$2:$K$817)), ROW(44:44))), "")</f>
        <v>0</v>
      </c>
      <c r="R47" s="11" t="str">
        <f aca="false">IFERROR(INDEX('Bank Schedule'!S:S, SMALL(IF('Bank Schedule'!$K$2:$K$817="Vacant", ROW('Bank Schedule'!$K$2:$K$817)), ROW(44:44))), "")</f>
        <v/>
      </c>
      <c r="S47" s="281" t="n">
        <f aca="false" t="array" ref="S47:S47">IFERROR(INDEX('Bank Schedule'!T:T, SMALL(IF('Bank Schedule'!$K$2:$K$817="Vacant", ROW('Bank Schedule'!$K$2:$K$817)), ROW(44:44))), "")</f>
        <v>45000</v>
      </c>
      <c r="T47" s="281" t="n">
        <f aca="false" t="array" ref="T47:T47">IFERROR(INDEX('Bank Schedule'!U:U, SMALL(IF('Bank Schedule'!$K$2:$K$817="Vacant", ROW('Bank Schedule'!$K$2:$K$817)), ROW(44:44))), "")</f>
        <v>45000</v>
      </c>
      <c r="U47" s="281" t="n">
        <f aca="false" t="array" ref="U47:U47">IFERROR(INDEX('Bank Schedule'!V:V, SMALL(IF('Bank Schedule'!$K$2:$K$817="Vacant", ROW('Bank Schedule'!$K$2:$K$817)), ROW(44:44))), "")</f>
        <v>55200</v>
      </c>
      <c r="V47" s="281" t="n">
        <f aca="false" t="array" ref="V47:V47">IFERROR(INDEX('Bank Schedule'!W:W, SMALL(IF('Bank Schedule'!$K$2:$K$817="Vacant", ROW('Bank Schedule'!$K$2:$K$817)), ROW(44:44))), "")</f>
        <v>55200</v>
      </c>
      <c r="W47" s="282" t="n">
        <f aca="false" t="array" ref="W47:W47">IFERROR(INDEX('Bank Schedule'!X:X, SMALL(IF('Bank Schedule'!$K$2:$K$817="Vacant", ROW('Bank Schedule'!$K$2:$K$817)), ROW(44:44))), "")</f>
        <v>52.5700934579439</v>
      </c>
      <c r="X47" s="11" t="str">
        <f aca="false" t="array" ref="X47:X47">IFERROR(INDEX('Bank Schedule'!Y:Y, SMALL(IF('Bank Schedule'!$K$2:$K$817="Vacant", ROW('Bank Schedule'!$K$2:$K$817)), ROW(44:44))), "")</f>
        <v>E</v>
      </c>
      <c r="Y47" s="11" t="str">
        <f aca="false">IFERROR(INDEX('Bank Schedule'!Z:Z, SMALL(IF('Bank Schedule'!$K$2:$K$817="Vacant", ROW('Bank Schedule'!$K$2:$K$817)), ROW(44:44))), "")</f>
        <v/>
      </c>
      <c r="Z47" s="11" t="str">
        <f aca="false">IFERROR(INDEX('Bank Schedule'!AA:AA, SMALL(IF('Bank Schedule'!$K$2:$K$817="Vacant", ROW('Bank Schedule'!$K$2:$K$817)), ROW(44:44))), "")</f>
        <v/>
      </c>
      <c r="AA47" s="11" t="str">
        <f aca="false" t="array" ref="AA47:AA47">IFERROR(INDEX('Bank Schedule'!AB:AB, SMALL(IF('Bank Schedule'!$K$2:$K$817="Vacant", ROW('Bank Schedule'!$K$2:$K$817)), ROW(44:44))), "")</f>
        <v>No</v>
      </c>
      <c r="AB47" s="94" t="str">
        <f aca="false" t="array" ref="AB47:AB47">IFERROR(INDEX('Bank Schedule'!AC:AC, SMALL(IF('Bank Schedule'!$K$2:$K$817="Vacant", ROW('Bank Schedule'!$K$2:$K$817)), ROW(44:44))), "")</f>
        <v>LEM marketing</v>
      </c>
      <c r="AC47" s="44" t="n">
        <f aca="false" t="array" ref="AC47:AC47">IFERROR(INDEX('Bank Schedule'!AD:AD, SMALL(IF('Bank Schedule'!$K$2:$K$817="Vacant", ROW('Bank Schedule'!$K$2:$K$817)), ROW(44:44))), "")</f>
        <v>65</v>
      </c>
      <c r="AD47" s="11" t="str">
        <f aca="false">IFERROR(INDEX('Bank Schedule'!AE:AE, SMALL(IF('Bank Schedule'!$K$2:$K$817="Vacant", ROW('Bank Schedule'!$K$2:$K$817)), ROW(44:44))), "")</f>
        <v/>
      </c>
      <c r="AE47" s="11" t="str">
        <f aca="false">IFERROR(INDEX('Bank Schedule'!AF:AF, SMALL(IF('Bank Schedule'!$K$2:$K$817="Vacant", ROW('Bank Schedule'!$K$2:$K$817)), ROW(44:44))), "")</f>
        <v/>
      </c>
      <c r="AF47" s="11" t="str">
        <f aca="false">IFERROR(INDEX('Bank Schedule'!AG:AG, SMALL(IF('Bank Schedule'!$K$2:$K$817="Vacant", ROW('Bank Schedule'!$K$2:$K$817)), ROW(44:44))), "")</f>
        <v/>
      </c>
      <c r="AG47" s="4"/>
    </row>
    <row r="48" customFormat="false" ht="28.5" hidden="false" customHeight="true" outlineLevel="0" collapsed="false">
      <c r="A48" s="28" t="str">
        <f aca="false">IFERROR(INDEX('Bank Schedule'!A:A, SMALL(IF('Bank Schedule'!$K$2:$K$817="Vacant", ROW('Bank Schedule'!$K$2:$K$817)), ROW(45:45))), "")</f>
        <v/>
      </c>
      <c r="B48" s="11" t="str">
        <f aca="false" t="array" ref="B48:B48">IFERROR(INDEX('Bank Schedule'!B:B, SMALL(IF('Bank Schedule'!$K$2:$K$817="Vacant", ROW('Bank Schedule'!$K$2:$K$817)), ROW(45:45))), "")</f>
        <v>WS</v>
      </c>
      <c r="C48" s="11" t="str">
        <f aca="false" t="array" ref="C48:C48">IFERROR(INDEX('Bank Schedule'!C:C, SMALL(IF('Bank Schedule'!$K$2:$K$817="Vacant", ROW('Bank Schedule'!$K$2:$K$817)), ROW(45:45))), "")</f>
        <v>MEL</v>
      </c>
      <c r="D48" s="11" t="n">
        <f aca="false" t="array" ref="D48:D48">IFERROR(INDEX('Bank Schedule'!D:D, SMALL(IF('Bank Schedule'!$K$2:$K$817="Vacant", ROW('Bank Schedule'!$K$2:$K$817)), ROW(45:45))), "")</f>
        <v>550370</v>
      </c>
      <c r="E48" s="94" t="str">
        <f aca="false" t="array" ref="E48:E48">IFERROR(INDEX('Bank Schedule'!E:E, SMALL(IF('Bank Schedule'!$K$2:$K$817="Vacant", ROW('Bank Schedule'!$K$2:$K$817)), ROW(45:45))), "")</f>
        <v>15-16 Margaret Street</v>
      </c>
      <c r="F48" s="94" t="str">
        <f aca="false" t="array" ref="F48:F48">IFERROR(INDEX('Bank Schedule'!F:F, SMALL(IF('Bank Schedule'!$K$2:$K$817="Vacant", ROW('Bank Schedule'!$K$2:$K$817)), ROW(45:45))), "")</f>
        <v>Fifth Floor</v>
      </c>
      <c r="G48" s="94" t="str">
        <f aca="false" t="array" ref="G48:G48">IFERROR(INDEX('Bank Schedule'!G:G, SMALL(IF('Bank Schedule'!$K$2:$K$817="Vacant", ROW('Bank Schedule'!$K$2:$K$817)), ROW(45:45))), "")</f>
        <v>Office</v>
      </c>
      <c r="H48" s="14" t="n">
        <f aca="false" t="array" ref="H48:H48">IFERROR(INDEX('Bank Schedule'!H:H, SMALL(IF('Bank Schedule'!$K$2:$K$817="Vacant", ROW('Bank Schedule'!$K$2:$K$817)), ROW(45:45))), "")</f>
        <v>766</v>
      </c>
      <c r="I48" s="14" t="n">
        <f aca="false" t="array" ref="I48:I48">IFERROR(INDEX('Bank Schedule'!I:I, SMALL(IF('Bank Schedule'!$K$2:$K$817="Vacant", ROW('Bank Schedule'!$K$2:$K$817)), ROW(45:45))), "")</f>
        <v>766</v>
      </c>
      <c r="J48" s="11" t="str">
        <f aca="false" t="array" ref="J48:J48">IFERROR(INDEX('Bank Schedule'!K:K, SMALL(IF('Bank Schedule'!$K$2:$K$817="Vacant", ROW('Bank Schedule'!$K$2:$K$817)), ROW(45:45))), "")</f>
        <v>Vacant</v>
      </c>
      <c r="K48" s="11" t="str">
        <f aca="false">IFERROR(INDEX('Bank Schedule'!L:L, SMALL(IF('Bank Schedule'!$K$2:$K$817="Vacant", ROW('Bank Schedule'!$K$2:$K$817)), ROW(45:45))), "")</f>
        <v/>
      </c>
      <c r="L48" s="11" t="str">
        <f aca="false">IFERROR(INDEX('Bank Schedule'!M:M, SMALL(IF('Bank Schedule'!$K$2:$K$817="Vacant", ROW('Bank Schedule'!$K$2:$K$817)), ROW(45:45))), "")</f>
        <v/>
      </c>
      <c r="M48" s="71" t="n">
        <f aca="false" t="array" ref="M48:M48">IFERROR(INDEX('Bank Schedule'!N:N, SMALL(IF('Bank Schedule'!$K$2:$K$817="Vacant", ROW('Bank Schedule'!$K$2:$K$817)), ROW(45:45))), "")</f>
        <v>44063</v>
      </c>
      <c r="N48" s="11" t="str">
        <f aca="false">IFERROR(INDEX('Bank Schedule'!O:O, SMALL(IF('Bank Schedule'!$K$2:$K$817="Vacant", ROW('Bank Schedule'!$K$2:$K$817)), ROW(45:45))), "")</f>
        <v/>
      </c>
      <c r="O48" s="11" t="str">
        <f aca="false">IFERROR(INDEX('Bank Schedule'!P:P, SMALL(IF('Bank Schedule'!$K$2:$K$817="Vacant", ROW('Bank Schedule'!$K$2:$K$817)), ROW(45:45))), "")</f>
        <v/>
      </c>
      <c r="P48" s="11" t="n">
        <f aca="false" t="array" ref="P48:P48">IFERROR(INDEX('Bank Schedule'!Q:Q, SMALL(IF('Bank Schedule'!$K$2:$K$817="Vacant", ROW('Bank Schedule'!$K$2:$K$817)), ROW(45:45))), "")</f>
        <v>0</v>
      </c>
      <c r="Q48" s="11" t="n">
        <f aca="false" t="array" ref="Q48:Q48">IFERROR(INDEX('Bank Schedule'!R:R, SMALL(IF('Bank Schedule'!$K$2:$K$817="Vacant", ROW('Bank Schedule'!$K$2:$K$817)), ROW(45:45))), "")</f>
        <v>0</v>
      </c>
      <c r="R48" s="11" t="str">
        <f aca="false">IFERROR(INDEX('Bank Schedule'!S:S, SMALL(IF('Bank Schedule'!$K$2:$K$817="Vacant", ROW('Bank Schedule'!$K$2:$K$817)), ROW(45:45))), "")</f>
        <v/>
      </c>
      <c r="S48" s="281" t="n">
        <f aca="false" t="array" ref="S48:S48">IFERROR(INDEX('Bank Schedule'!T:T, SMALL(IF('Bank Schedule'!$K$2:$K$817="Vacant", ROW('Bank Schedule'!$K$2:$K$817)), ROW(45:45))), "")</f>
        <v>39300</v>
      </c>
      <c r="T48" s="281" t="n">
        <f aca="false" t="array" ref="T48:T48">IFERROR(INDEX('Bank Schedule'!U:U, SMALL(IF('Bank Schedule'!$K$2:$K$817="Vacant", ROW('Bank Schedule'!$K$2:$K$817)), ROW(45:45))), "")</f>
        <v>39300</v>
      </c>
      <c r="U48" s="281" t="n">
        <f aca="false" t="array" ref="U48:U48">IFERROR(INDEX('Bank Schedule'!V:V, SMALL(IF('Bank Schedule'!$K$2:$K$817="Vacant", ROW('Bank Schedule'!$K$2:$K$817)), ROW(45:45))), "")</f>
        <v>44500</v>
      </c>
      <c r="V48" s="281" t="n">
        <f aca="false" t="array" ref="V48:V48">IFERROR(INDEX('Bank Schedule'!W:W, SMALL(IF('Bank Schedule'!$K$2:$K$817="Vacant", ROW('Bank Schedule'!$K$2:$K$817)), ROW(45:45))), "")</f>
        <v>44500</v>
      </c>
      <c r="W48" s="282" t="n">
        <f aca="false" t="array" ref="W48:W48">IFERROR(INDEX('Bank Schedule'!X:X, SMALL(IF('Bank Schedule'!$K$2:$K$817="Vacant", ROW('Bank Schedule'!$K$2:$K$817)), ROW(45:45))), "")</f>
        <v>51.3054830287206</v>
      </c>
      <c r="X48" s="11" t="str">
        <f aca="false" t="array" ref="X48:X48">IFERROR(INDEX('Bank Schedule'!Y:Y, SMALL(IF('Bank Schedule'!$K$2:$K$817="Vacant", ROW('Bank Schedule'!$K$2:$K$817)), ROW(45:45))), "")</f>
        <v>E</v>
      </c>
      <c r="Y48" s="11" t="str">
        <f aca="false">IFERROR(INDEX('Bank Schedule'!Z:Z, SMALL(IF('Bank Schedule'!$K$2:$K$817="Vacant", ROW('Bank Schedule'!$K$2:$K$817)), ROW(45:45))), "")</f>
        <v/>
      </c>
      <c r="Z48" s="11" t="str">
        <f aca="false">IFERROR(INDEX('Bank Schedule'!AA:AA, SMALL(IF('Bank Schedule'!$K$2:$K$817="Vacant", ROW('Bank Schedule'!$K$2:$K$817)), ROW(45:45))), "")</f>
        <v/>
      </c>
      <c r="AA48" s="11" t="str">
        <f aca="false" t="array" ref="AA48:AA48">IFERROR(INDEX('Bank Schedule'!AB:AB, SMALL(IF('Bank Schedule'!$K$2:$K$817="Vacant", ROW('Bank Schedule'!$K$2:$K$817)), ROW(45:45))), "")</f>
        <v>No</v>
      </c>
      <c r="AB48" s="94" t="str">
        <f aca="false" t="array" ref="AB48:AB48">IFERROR(INDEX('Bank Schedule'!AC:AC, SMALL(IF('Bank Schedule'!$K$2:$K$817="Vacant", ROW('Bank Schedule'!$K$2:$K$817)), ROW(45:45))), "")</f>
        <v>LEM marketing</v>
      </c>
      <c r="AC48" s="44" t="n">
        <f aca="false" t="array" ref="AC48:AC48">IFERROR(INDEX('Bank Schedule'!AD:AD, SMALL(IF('Bank Schedule'!$K$2:$K$817="Vacant", ROW('Bank Schedule'!$K$2:$K$817)), ROW(45:45))), "")</f>
        <v>65</v>
      </c>
      <c r="AD48" s="11" t="str">
        <f aca="false">IFERROR(INDEX('Bank Schedule'!AE:AE, SMALL(IF('Bank Schedule'!$K$2:$K$817="Vacant", ROW('Bank Schedule'!$K$2:$K$817)), ROW(45:45))), "")</f>
        <v/>
      </c>
      <c r="AE48" s="11" t="str">
        <f aca="false">IFERROR(INDEX('Bank Schedule'!AF:AF, SMALL(IF('Bank Schedule'!$K$2:$K$817="Vacant", ROW('Bank Schedule'!$K$2:$K$817)), ROW(45:45))), "")</f>
        <v/>
      </c>
      <c r="AF48" s="11" t="str">
        <f aca="false">IFERROR(INDEX('Bank Schedule'!AG:AG, SMALL(IF('Bank Schedule'!$K$2:$K$817="Vacant", ROW('Bank Schedule'!$K$2:$K$817)), ROW(45:45))), "")</f>
        <v/>
      </c>
      <c r="AG48" s="4"/>
    </row>
    <row r="49" customFormat="false" ht="28.5" hidden="false" customHeight="true" outlineLevel="0" collapsed="false">
      <c r="A49" s="28" t="str">
        <f aca="false">IFERROR(INDEX('Bank Schedule'!A:A, SMALL(IF('Bank Schedule'!$K$2:$K$817="Vacant", ROW('Bank Schedule'!$K$2:$K$817)), ROW(46:46))), "")</f>
        <v/>
      </c>
      <c r="B49" s="11" t="str">
        <f aca="false" t="array" ref="B49:B49">IFERROR(INDEX('Bank Schedule'!B:B, SMALL(IF('Bank Schedule'!$K$2:$K$817="Vacant", ROW('Bank Schedule'!$K$2:$K$817)), ROW(46:46))), "")</f>
        <v>WS</v>
      </c>
      <c r="C49" s="11" t="str">
        <f aca="false" t="array" ref="C49:C49">IFERROR(INDEX('Bank Schedule'!C:C, SMALL(IF('Bank Schedule'!$K$2:$K$817="Vacant", ROW('Bank Schedule'!$K$2:$K$817)), ROW(46:46))), "")</f>
        <v>MEL</v>
      </c>
      <c r="D49" s="11" t="n">
        <f aca="false" t="array" ref="D49:D49">IFERROR(INDEX('Bank Schedule'!D:D, SMALL(IF('Bank Schedule'!$K$2:$K$817="Vacant", ROW('Bank Schedule'!$K$2:$K$817)), ROW(46:46))), "")</f>
        <v>550380</v>
      </c>
      <c r="E49" s="94" t="str">
        <f aca="false" t="array" ref="E49:E49">IFERROR(INDEX('Bank Schedule'!E:E, SMALL(IF('Bank Schedule'!$K$2:$K$817="Vacant", ROW('Bank Schedule'!$K$2:$K$817)), ROW(46:46))), "")</f>
        <v>17-18 Margaret Street</v>
      </c>
      <c r="F49" s="94" t="str">
        <f aca="false" t="array" ref="F49:F49">IFERROR(INDEX('Bank Schedule'!F:F, SMALL(IF('Bank Schedule'!$K$2:$K$817="Vacant", ROW('Bank Schedule'!$K$2:$K$817)), ROW(46:46))), "")</f>
        <v>Fourth Floor (RW)</v>
      </c>
      <c r="G49" s="94" t="str">
        <f aca="false" t="array" ref="G49:G49">IFERROR(INDEX('Bank Schedule'!G:G, SMALL(IF('Bank Schedule'!$K$2:$K$817="Vacant", ROW('Bank Schedule'!$K$2:$K$817)), ROW(46:46))), "")</f>
        <v>Office</v>
      </c>
      <c r="H49" s="14" t="n">
        <f aca="false" t="array" ref="H49:H49">IFERROR(INDEX('Bank Schedule'!H:H, SMALL(IF('Bank Schedule'!$K$2:$K$817="Vacant", ROW('Bank Schedule'!$K$2:$K$817)), ROW(46:46))), "")</f>
        <v>284</v>
      </c>
      <c r="I49" s="14" t="n">
        <f aca="false" t="array" ref="I49:I49">IFERROR(INDEX('Bank Schedule'!I:I, SMALL(IF('Bank Schedule'!$K$2:$K$817="Vacant", ROW('Bank Schedule'!$K$2:$K$817)), ROW(46:46))), "")</f>
        <v>284</v>
      </c>
      <c r="J49" s="11" t="str">
        <f aca="false" t="array" ref="J49:J49">IFERROR(INDEX('Bank Schedule'!K:K, SMALL(IF('Bank Schedule'!$K$2:$K$817="Vacant", ROW('Bank Schedule'!$K$2:$K$817)), ROW(46:46))), "")</f>
        <v>Vacant</v>
      </c>
      <c r="K49" s="11" t="str">
        <f aca="false">IFERROR(INDEX('Bank Schedule'!L:L, SMALL(IF('Bank Schedule'!$K$2:$K$817="Vacant", ROW('Bank Schedule'!$K$2:$K$817)), ROW(46:46))), "")</f>
        <v/>
      </c>
      <c r="L49" s="11" t="str">
        <f aca="false">IFERROR(INDEX('Bank Schedule'!M:M, SMALL(IF('Bank Schedule'!$K$2:$K$817="Vacant", ROW('Bank Schedule'!$K$2:$K$817)), ROW(46:46))), "")</f>
        <v/>
      </c>
      <c r="M49" s="71" t="n">
        <f aca="false" t="array" ref="M49:M49">IFERROR(INDEX('Bank Schedule'!N:N, SMALL(IF('Bank Schedule'!$K$2:$K$817="Vacant", ROW('Bank Schedule'!$K$2:$K$817)), ROW(46:46))), "")</f>
        <v>43909</v>
      </c>
      <c r="N49" s="11" t="str">
        <f aca="false">IFERROR(INDEX('Bank Schedule'!O:O, SMALL(IF('Bank Schedule'!$K$2:$K$817="Vacant", ROW('Bank Schedule'!$K$2:$K$817)), ROW(46:46))), "")</f>
        <v/>
      </c>
      <c r="O49" s="11" t="str">
        <f aca="false">IFERROR(INDEX('Bank Schedule'!P:P, SMALL(IF('Bank Schedule'!$K$2:$K$817="Vacant", ROW('Bank Schedule'!$K$2:$K$817)), ROW(46:46))), "")</f>
        <v/>
      </c>
      <c r="P49" s="11" t="n">
        <f aca="false" t="array" ref="P49:P49">IFERROR(INDEX('Bank Schedule'!Q:Q, SMALL(IF('Bank Schedule'!$K$2:$K$817="Vacant", ROW('Bank Schedule'!$K$2:$K$817)), ROW(46:46))), "")</f>
        <v>0</v>
      </c>
      <c r="Q49" s="11" t="n">
        <f aca="false" t="array" ref="Q49:Q49">IFERROR(INDEX('Bank Schedule'!R:R, SMALL(IF('Bank Schedule'!$K$2:$K$817="Vacant", ROW('Bank Schedule'!$K$2:$K$817)), ROW(46:46))), "")</f>
        <v>0</v>
      </c>
      <c r="R49" s="11" t="str">
        <f aca="false">IFERROR(INDEX('Bank Schedule'!S:S, SMALL(IF('Bank Schedule'!$K$2:$K$817="Vacant", ROW('Bank Schedule'!$K$2:$K$817)), ROW(46:46))), "")</f>
        <v/>
      </c>
      <c r="S49" s="281" t="n">
        <f aca="false" t="array" ref="S49:S49">IFERROR(INDEX('Bank Schedule'!T:T, SMALL(IF('Bank Schedule'!$K$2:$K$817="Vacant", ROW('Bank Schedule'!$K$2:$K$817)), ROW(46:46))), "")</f>
        <v>16300</v>
      </c>
      <c r="T49" s="281" t="n">
        <f aca="false" t="array" ref="T49:T49">IFERROR(INDEX('Bank Schedule'!U:U, SMALL(IF('Bank Schedule'!$K$2:$K$817="Vacant", ROW('Bank Schedule'!$K$2:$K$817)), ROW(46:46))), "")</f>
        <v>16300</v>
      </c>
      <c r="U49" s="281" t="n">
        <f aca="false" t="array" ref="U49:U49">IFERROR(INDEX('Bank Schedule'!V:V, SMALL(IF('Bank Schedule'!$K$2:$K$817="Vacant", ROW('Bank Schedule'!$K$2:$K$817)), ROW(46:46))), "")</f>
        <v>16300</v>
      </c>
      <c r="V49" s="281" t="n">
        <f aca="false" t="array" ref="V49:V49">IFERROR(INDEX('Bank Schedule'!W:W, SMALL(IF('Bank Schedule'!$K$2:$K$817="Vacant", ROW('Bank Schedule'!$K$2:$K$817)), ROW(46:46))), "")</f>
        <v>16300</v>
      </c>
      <c r="W49" s="282" t="n">
        <f aca="false" t="array" ref="W49:W49">IFERROR(INDEX('Bank Schedule'!X:X, SMALL(IF('Bank Schedule'!$K$2:$K$817="Vacant", ROW('Bank Schedule'!$K$2:$K$817)), ROW(46:46))), "")</f>
        <v>57.3943661971831</v>
      </c>
      <c r="X49" s="11" t="str">
        <f aca="false" t="array" ref="X49:X49">IFERROR(INDEX('Bank Schedule'!Y:Y, SMALL(IF('Bank Schedule'!$K$2:$K$817="Vacant", ROW('Bank Schedule'!$K$2:$K$817)), ROW(46:46))), "")</f>
        <v>E</v>
      </c>
      <c r="Y49" s="11" t="str">
        <f aca="false" t="array" ref="Y49:Y49">IFERROR(INDEX('Bank Schedule'!Z:Z, SMALL(IF('Bank Schedule'!$K$2:$K$817="Vacant", ROW('Bank Schedule'!$K$2:$K$817)), ROW(46:46))), "")</f>
        <v>*</v>
      </c>
      <c r="Z49" s="11" t="str">
        <f aca="false">IFERROR(INDEX('Bank Schedule'!AA:AA, SMALL(IF('Bank Schedule'!$K$2:$K$817="Vacant", ROW('Bank Schedule'!$K$2:$K$817)), ROW(46:46))), "")</f>
        <v/>
      </c>
      <c r="AA49" s="11" t="str">
        <f aca="false">IFERROR(INDEX('Bank Schedule'!AB:AB, SMALL(IF('Bank Schedule'!$K$2:$K$817="Vacant", ROW('Bank Schedule'!$K$2:$K$817)), ROW(46:46))), "")</f>
        <v/>
      </c>
      <c r="AB49" s="94" t="str">
        <f aca="false" t="array" ref="AB49:AB49">IFERROR(INDEX('Bank Schedule'!AC:AC, SMALL(IF('Bank Schedule'!$K$2:$K$817="Vacant", ROW('Bank Schedule'!$K$2:$K$817)), ROW(46:46))), "")</f>
        <v>To be refurbished.</v>
      </c>
      <c r="AC49" s="44" t="str">
        <f aca="false">IFERROR(INDEX('Bank Schedule'!AD:AD, SMALL(IF('Bank Schedule'!$K$2:$K$817="Vacant", ROW('Bank Schedule'!$K$2:$K$817)), ROW(46:46))), "")</f>
        <v/>
      </c>
      <c r="AD49" s="11" t="str">
        <f aca="false">IFERROR(INDEX('Bank Schedule'!AE:AE, SMALL(IF('Bank Schedule'!$K$2:$K$817="Vacant", ROW('Bank Schedule'!$K$2:$K$817)), ROW(46:46))), "")</f>
        <v/>
      </c>
      <c r="AE49" s="11" t="str">
        <f aca="false">IFERROR(INDEX('Bank Schedule'!AF:AF, SMALL(IF('Bank Schedule'!$K$2:$K$817="Vacant", ROW('Bank Schedule'!$K$2:$K$817)), ROW(46:46))), "")</f>
        <v/>
      </c>
      <c r="AF49" s="11" t="str">
        <f aca="false">IFERROR(INDEX('Bank Schedule'!AG:AG, SMALL(IF('Bank Schedule'!$K$2:$K$817="Vacant", ROW('Bank Schedule'!$K$2:$K$817)), ROW(46:46))), "")</f>
        <v/>
      </c>
      <c r="AG49" s="4"/>
    </row>
    <row r="50" customFormat="false" ht="28.5" hidden="false" customHeight="true" outlineLevel="0" collapsed="false">
      <c r="A50" s="28" t="str">
        <f aca="false">IFERROR(INDEX('Bank Schedule'!A:A, SMALL(IF('Bank Schedule'!$K$2:$K$817="Vacant", ROW('Bank Schedule'!$K$2:$K$817)), ROW(47:47))), "")</f>
        <v/>
      </c>
      <c r="B50" s="11" t="str">
        <f aca="false" t="array" ref="B50:B50">IFERROR(INDEX('Bank Schedule'!B:B, SMALL(IF('Bank Schedule'!$K$2:$K$817="Vacant", ROW('Bank Schedule'!$K$2:$K$817)), ROW(47:47))), "")</f>
        <v>WS</v>
      </c>
      <c r="C50" s="11" t="str">
        <f aca="false" t="array" ref="C50:C50">IFERROR(INDEX('Bank Schedule'!C:C, SMALL(IF('Bank Schedule'!$K$2:$K$817="Vacant", ROW('Bank Schedule'!$K$2:$K$817)), ROW(47:47))), "")</f>
        <v>MEL</v>
      </c>
      <c r="D50" s="11" t="n">
        <f aca="false" t="array" ref="D50:D50">IFERROR(INDEX('Bank Schedule'!D:D, SMALL(IF('Bank Schedule'!$K$2:$K$817="Vacant", ROW('Bank Schedule'!$K$2:$K$817)), ROW(47:47))), "")</f>
        <v>550380</v>
      </c>
      <c r="E50" s="94" t="str">
        <f aca="false" t="array" ref="E50:E50">IFERROR(INDEX('Bank Schedule'!E:E, SMALL(IF('Bank Schedule'!$K$2:$K$817="Vacant", ROW('Bank Schedule'!$K$2:$K$817)), ROW(47:47))), "")</f>
        <v>17-18 Margaret Street</v>
      </c>
      <c r="F50" s="94" t="str">
        <f aca="false" t="array" ref="F50:F50">IFERROR(INDEX('Bank Schedule'!F:F, SMALL(IF('Bank Schedule'!$K$2:$K$817="Vacant", ROW('Bank Schedule'!$K$2:$K$817)), ROW(47:47))), "")</f>
        <v>Fourth Floor (E)</v>
      </c>
      <c r="G50" s="94" t="str">
        <f aca="false" t="array" ref="G50:G50">IFERROR(INDEX('Bank Schedule'!G:G, SMALL(IF('Bank Schedule'!$K$2:$K$817="Vacant", ROW('Bank Schedule'!$K$2:$K$817)), ROW(47:47))), "")</f>
        <v>Office</v>
      </c>
      <c r="H50" s="14" t="n">
        <f aca="false" t="array" ref="H50:H50">IFERROR(INDEX('Bank Schedule'!H:H, SMALL(IF('Bank Schedule'!$K$2:$K$817="Vacant", ROW('Bank Schedule'!$K$2:$K$817)), ROW(47:47))), "")</f>
        <v>619</v>
      </c>
      <c r="I50" s="14" t="n">
        <f aca="false" t="array" ref="I50:I50">IFERROR(INDEX('Bank Schedule'!I:I, SMALL(IF('Bank Schedule'!$K$2:$K$817="Vacant", ROW('Bank Schedule'!$K$2:$K$817)), ROW(47:47))), "")</f>
        <v>619</v>
      </c>
      <c r="J50" s="11" t="str">
        <f aca="false" t="array" ref="J50:J50">IFERROR(INDEX('Bank Schedule'!K:K, SMALL(IF('Bank Schedule'!$K$2:$K$817="Vacant", ROW('Bank Schedule'!$K$2:$K$817)), ROW(47:47))), "")</f>
        <v>Vacant</v>
      </c>
      <c r="K50" s="11" t="str">
        <f aca="false">IFERROR(INDEX('Bank Schedule'!L:L, SMALL(IF('Bank Schedule'!$K$2:$K$817="Vacant", ROW('Bank Schedule'!$K$2:$K$817)), ROW(47:47))), "")</f>
        <v/>
      </c>
      <c r="L50" s="11" t="str">
        <f aca="false">IFERROR(INDEX('Bank Schedule'!M:M, SMALL(IF('Bank Schedule'!$K$2:$K$817="Vacant", ROW('Bank Schedule'!$K$2:$K$817)), ROW(47:47))), "")</f>
        <v/>
      </c>
      <c r="M50" s="71" t="n">
        <f aca="false" t="array" ref="M50:M50">IFERROR(INDEX('Bank Schedule'!N:N, SMALL(IF('Bank Schedule'!$K$2:$K$817="Vacant", ROW('Bank Schedule'!$K$2:$K$817)), ROW(47:47))), "")</f>
        <v>45678</v>
      </c>
      <c r="N50" s="11" t="str">
        <f aca="false">IFERROR(INDEX('Bank Schedule'!O:O, SMALL(IF('Bank Schedule'!$K$2:$K$817="Vacant", ROW('Bank Schedule'!$K$2:$K$817)), ROW(47:47))), "")</f>
        <v/>
      </c>
      <c r="O50" s="11" t="str">
        <f aca="false">IFERROR(INDEX('Bank Schedule'!P:P, SMALL(IF('Bank Schedule'!$K$2:$K$817="Vacant", ROW('Bank Schedule'!$K$2:$K$817)), ROW(47:47))), "")</f>
        <v/>
      </c>
      <c r="P50" s="11" t="n">
        <f aca="false" t="array" ref="P50:P50">IFERROR(INDEX('Bank Schedule'!Q:Q, SMALL(IF('Bank Schedule'!$K$2:$K$817="Vacant", ROW('Bank Schedule'!$K$2:$K$817)), ROW(47:47))), "")</f>
        <v>0</v>
      </c>
      <c r="Q50" s="11" t="n">
        <f aca="false" t="array" ref="Q50:Q50">IFERROR(INDEX('Bank Schedule'!R:R, SMALL(IF('Bank Schedule'!$K$2:$K$817="Vacant", ROW('Bank Schedule'!$K$2:$K$817)), ROW(47:47))), "")</f>
        <v>0</v>
      </c>
      <c r="R50" s="11" t="str">
        <f aca="false">IFERROR(INDEX('Bank Schedule'!S:S, SMALL(IF('Bank Schedule'!$K$2:$K$817="Vacant", ROW('Bank Schedule'!$K$2:$K$817)), ROW(47:47))), "")</f>
        <v/>
      </c>
      <c r="S50" s="281" t="n">
        <f aca="false" t="array" ref="S50:S50">IFERROR(INDEX('Bank Schedule'!T:T, SMALL(IF('Bank Schedule'!$K$2:$K$817="Vacant", ROW('Bank Schedule'!$K$2:$K$817)), ROW(47:47))), "")</f>
        <v>35600</v>
      </c>
      <c r="T50" s="281" t="n">
        <f aca="false" t="array" ref="T50:T50">IFERROR(INDEX('Bank Schedule'!U:U, SMALL(IF('Bank Schedule'!$K$2:$K$817="Vacant", ROW('Bank Schedule'!$K$2:$K$817)), ROW(47:47))), "")</f>
        <v>35600</v>
      </c>
      <c r="U50" s="281" t="n">
        <f aca="false" t="array" ref="U50:U50">IFERROR(INDEX('Bank Schedule'!V:V, SMALL(IF('Bank Schedule'!$K$2:$K$817="Vacant", ROW('Bank Schedule'!$K$2:$K$817)), ROW(47:47))), "")</f>
        <v>35600</v>
      </c>
      <c r="V50" s="281" t="n">
        <f aca="false" t="array" ref="V50:V50">IFERROR(INDEX('Bank Schedule'!W:W, SMALL(IF('Bank Schedule'!$K$2:$K$817="Vacant", ROW('Bank Schedule'!$K$2:$K$817)), ROW(47:47))), "")</f>
        <v>35600</v>
      </c>
      <c r="W50" s="282" t="n">
        <f aca="false" t="array" ref="W50:W50">IFERROR(INDEX('Bank Schedule'!X:X, SMALL(IF('Bank Schedule'!$K$2:$K$817="Vacant", ROW('Bank Schedule'!$K$2:$K$817)), ROW(47:47))), "")</f>
        <v>57.5121163166397</v>
      </c>
      <c r="X50" s="11" t="str">
        <f aca="false" t="array" ref="X50:X50">IFERROR(INDEX('Bank Schedule'!Y:Y, SMALL(IF('Bank Schedule'!$K$2:$K$817="Vacant", ROW('Bank Schedule'!$K$2:$K$817)), ROW(47:47))), "")</f>
        <v>E</v>
      </c>
      <c r="Y50" s="11" t="str">
        <f aca="false">IFERROR(INDEX('Bank Schedule'!Z:Z, SMALL(IF('Bank Schedule'!$K$2:$K$817="Vacant", ROW('Bank Schedule'!$K$2:$K$817)), ROW(47:47))), "")</f>
        <v/>
      </c>
      <c r="Z50" s="11" t="str">
        <f aca="false">IFERROR(INDEX('Bank Schedule'!AA:AA, SMALL(IF('Bank Schedule'!$K$2:$K$817="Vacant", ROW('Bank Schedule'!$K$2:$K$817)), ROW(47:47))), "")</f>
        <v/>
      </c>
      <c r="AA50" s="11" t="str">
        <f aca="false" t="array" ref="AA50:AA50">IFERROR(INDEX('Bank Schedule'!AB:AB, SMALL(IF('Bank Schedule'!$K$2:$K$817="Vacant", ROW('Bank Schedule'!$K$2:$K$817)), ROW(47:47))), "")</f>
        <v>No</v>
      </c>
      <c r="AB50" s="94" t="str">
        <f aca="false" t="array" ref="AB50:AB50">IFERROR(INDEX('Bank Schedule'!AC:AC, SMALL(IF('Bank Schedule'!$K$2:$K$817="Vacant", ROW('Bank Schedule'!$K$2:$K$817)), ROW(47:47))), "")</f>
        <v>LEM marketing.</v>
      </c>
      <c r="AC50" s="44" t="str">
        <f aca="false">IFERROR(INDEX('Bank Schedule'!AD:AD, SMALL(IF('Bank Schedule'!$K$2:$K$817="Vacant", ROW('Bank Schedule'!$K$2:$K$817)), ROW(47:47))), "")</f>
        <v/>
      </c>
      <c r="AD50" s="11" t="str">
        <f aca="false">IFERROR(INDEX('Bank Schedule'!AE:AE, SMALL(IF('Bank Schedule'!$K$2:$K$817="Vacant", ROW('Bank Schedule'!$K$2:$K$817)), ROW(47:47))), "")</f>
        <v/>
      </c>
      <c r="AE50" s="11" t="str">
        <f aca="false">IFERROR(INDEX('Bank Schedule'!AF:AF, SMALL(IF('Bank Schedule'!$K$2:$K$817="Vacant", ROW('Bank Schedule'!$K$2:$K$817)), ROW(47:47))), "")</f>
        <v/>
      </c>
      <c r="AF50" s="11" t="str">
        <f aca="false">IFERROR(INDEX('Bank Schedule'!AG:AG, SMALL(IF('Bank Schedule'!$K$2:$K$817="Vacant", ROW('Bank Schedule'!$K$2:$K$817)), ROW(47:47))), "")</f>
        <v/>
      </c>
      <c r="AG50" s="4"/>
    </row>
    <row r="51" customFormat="false" ht="28.5" hidden="false" customHeight="true" outlineLevel="0" collapsed="false">
      <c r="A51" s="28" t="n">
        <f aca="false">IFERROR(INDEX('Bank Schedule'!A:A, SMALL(IF('Bank Schedule'!$K$2:$K$817="Vacant", ROW('Bank Schedule'!$K$2:$K$817)), ROW(48:48))), "")</f>
        <v>0</v>
      </c>
      <c r="B51" s="11" t="str">
        <f aca="false" t="array" ref="B51:B51">IFERROR(INDEX('Bank Schedule'!B:B, SMALL(IF('Bank Schedule'!$K$2:$K$817="Vacant", ROW('Bank Schedule'!$K$2:$K$817)), ROW(48:48))), "")</f>
        <v>WS</v>
      </c>
      <c r="C51" s="11" t="str">
        <f aca="false" t="array" ref="C51:C51">IFERROR(INDEX('Bank Schedule'!C:C, SMALL(IF('Bank Schedule'!$K$2:$K$817="Vacant", ROW('Bank Schedule'!$K$2:$K$817)), ROW(48:48))), "")</f>
        <v>MEL</v>
      </c>
      <c r="D51" s="11" t="n">
        <f aca="false" t="array" ref="D51:D51">IFERROR(INDEX('Bank Schedule'!D:D, SMALL(IF('Bank Schedule'!$K$2:$K$817="Vacant", ROW('Bank Schedule'!$K$2:$K$817)), ROW(48:48))), "")</f>
        <v>550380</v>
      </c>
      <c r="E51" s="94" t="str">
        <f aca="false" t="array" ref="E51:E51">IFERROR(INDEX('Bank Schedule'!E:E, SMALL(IF('Bank Schedule'!$K$2:$K$817="Vacant", ROW('Bank Schedule'!$K$2:$K$817)), ROW(48:48))), "")</f>
        <v>17-18 Margaret Street</v>
      </c>
      <c r="F51" s="94" t="str">
        <f aca="false" t="array" ref="F51:F51">IFERROR(INDEX('Bank Schedule'!F:F, SMALL(IF('Bank Schedule'!$K$2:$K$817="Vacant", ROW('Bank Schedule'!$K$2:$K$817)), ROW(48:48))), "")</f>
        <v>Fourth Floor (W)</v>
      </c>
      <c r="G51" s="94" t="str">
        <f aca="false" t="array" ref="G51:G51">IFERROR(INDEX('Bank Schedule'!G:G, SMALL(IF('Bank Schedule'!$K$2:$K$817="Vacant", ROW('Bank Schedule'!$K$2:$K$817)), ROW(48:48))), "")</f>
        <v>Office</v>
      </c>
      <c r="H51" s="14" t="n">
        <f aca="false" t="array" ref="H51:H51">IFERROR(INDEX('Bank Schedule'!H:H, SMALL(IF('Bank Schedule'!$K$2:$K$817="Vacant", ROW('Bank Schedule'!$K$2:$K$817)), ROW(48:48))), "")</f>
        <v>653</v>
      </c>
      <c r="I51" s="14" t="n">
        <f aca="false" t="array" ref="I51:I51">IFERROR(INDEX('Bank Schedule'!I:I, SMALL(IF('Bank Schedule'!$K$2:$K$817="Vacant", ROW('Bank Schedule'!$K$2:$K$817)), ROW(48:48))), "")</f>
        <v>653</v>
      </c>
      <c r="J51" s="11" t="str">
        <f aca="false" t="array" ref="J51:J51">IFERROR(INDEX('Bank Schedule'!K:K, SMALL(IF('Bank Schedule'!$K$2:$K$817="Vacant", ROW('Bank Schedule'!$K$2:$K$817)), ROW(48:48))), "")</f>
        <v>Vacant</v>
      </c>
      <c r="K51" s="8" t="n">
        <f aca="false">IFERROR(INDEX('Bank Schedule'!L:L, SMALL(IF('Bank Schedule'!$K$2:$K$817="Vacant", ROW('Bank Schedule'!$K$2:$K$817)), ROW(48:48))), "")</f>
        <v>0</v>
      </c>
      <c r="L51" s="8" t="n">
        <f aca="false">IFERROR(INDEX('Bank Schedule'!M:M, SMALL(IF('Bank Schedule'!$K$2:$K$817="Vacant", ROW('Bank Schedule'!$K$2:$K$817)), ROW(48:48))), "")</f>
        <v>0</v>
      </c>
      <c r="M51" s="71" t="n">
        <f aca="false" t="array" ref="M51:M51">IFERROR(INDEX('Bank Schedule'!N:N, SMALL(IF('Bank Schedule'!$K$2:$K$817="Vacant", ROW('Bank Schedule'!$K$2:$K$817)), ROW(48:48))), "")</f>
        <v>44555</v>
      </c>
      <c r="N51" s="8" t="n">
        <f aca="false">IFERROR(INDEX('Bank Schedule'!O:O, SMALL(IF('Bank Schedule'!$K$2:$K$817="Vacant", ROW('Bank Schedule'!$K$2:$K$817)), ROW(48:48))), "")</f>
        <v>0</v>
      </c>
      <c r="O51" s="8" t="n">
        <f aca="false">IFERROR(INDEX('Bank Schedule'!P:P, SMALL(IF('Bank Schedule'!$K$2:$K$817="Vacant", ROW('Bank Schedule'!$K$2:$K$817)), ROW(48:48))), "")</f>
        <v>0</v>
      </c>
      <c r="P51" s="11" t="n">
        <f aca="false" t="array" ref="P51:P51">IFERROR(INDEX('Bank Schedule'!Q:Q, SMALL(IF('Bank Schedule'!$K$2:$K$817="Vacant", ROW('Bank Schedule'!$K$2:$K$817)), ROW(48:48))), "")</f>
        <v>0</v>
      </c>
      <c r="Q51" s="11" t="n">
        <f aca="false" t="array" ref="Q51:Q51">IFERROR(INDEX('Bank Schedule'!R:R, SMALL(IF('Bank Schedule'!$K$2:$K$817="Vacant", ROW('Bank Schedule'!$K$2:$K$817)), ROW(48:48))), "")</f>
        <v>0</v>
      </c>
      <c r="R51" s="9" t="n">
        <f aca="false">IFERROR(INDEX('Bank Schedule'!S:S, SMALL(IF('Bank Schedule'!$K$2:$K$817="Vacant", ROW('Bank Schedule'!$K$2:$K$817)), ROW(48:48))), "")</f>
        <v>0</v>
      </c>
      <c r="S51" s="281" t="n">
        <f aca="false" t="array" ref="S51:S51">IFERROR(INDEX('Bank Schedule'!T:T, SMALL(IF('Bank Schedule'!$K$2:$K$817="Vacant", ROW('Bank Schedule'!$K$2:$K$817)), ROW(48:48))), "")</f>
        <v>37500</v>
      </c>
      <c r="T51" s="281" t="n">
        <f aca="false" t="array" ref="T51:T51">IFERROR(INDEX('Bank Schedule'!U:U, SMALL(IF('Bank Schedule'!$K$2:$K$817="Vacant", ROW('Bank Schedule'!$K$2:$K$817)), ROW(48:48))), "")</f>
        <v>37500</v>
      </c>
      <c r="U51" s="281" t="n">
        <f aca="false" t="array" ref="U51:U51">IFERROR(INDEX('Bank Schedule'!V:V, SMALL(IF('Bank Schedule'!$K$2:$K$817="Vacant", ROW('Bank Schedule'!$K$2:$K$817)), ROW(48:48))), "")</f>
        <v>37500</v>
      </c>
      <c r="V51" s="281" t="n">
        <f aca="false" t="array" ref="V51:V51">IFERROR(INDEX('Bank Schedule'!W:W, SMALL(IF('Bank Schedule'!$K$2:$K$817="Vacant", ROW('Bank Schedule'!$K$2:$K$817)), ROW(48:48))), "")</f>
        <v>37500</v>
      </c>
      <c r="W51" s="282" t="n">
        <f aca="false" t="array" ref="W51:W51">IFERROR(INDEX('Bank Schedule'!X:X, SMALL(IF('Bank Schedule'!$K$2:$K$817="Vacant", ROW('Bank Schedule'!$K$2:$K$817)), ROW(48:48))), "")</f>
        <v>57.427258805513</v>
      </c>
      <c r="X51" s="11" t="str">
        <f aca="false" t="array" ref="X51:X51">IFERROR(INDEX('Bank Schedule'!Y:Y, SMALL(IF('Bank Schedule'!$K$2:$K$817="Vacant", ROW('Bank Schedule'!$K$2:$K$817)), ROW(48:48))), "")</f>
        <v>E</v>
      </c>
      <c r="Y51" s="9" t="n">
        <f aca="false">IFERROR(INDEX('Bank Schedule'!Z:Z, SMALL(IF('Bank Schedule'!$K$2:$K$817="Vacant", ROW('Bank Schedule'!$K$2:$K$817)), ROW(48:48))), "")</f>
        <v>0</v>
      </c>
      <c r="Z51" s="283" t="n">
        <f aca="false">IFERROR(INDEX('Bank Schedule'!AA:AA, SMALL(IF('Bank Schedule'!$K$2:$K$817="Vacant", ROW('Bank Schedule'!$K$2:$K$817)), ROW(48:48))), "")</f>
        <v>0</v>
      </c>
      <c r="AA51" s="11" t="str">
        <f aca="false" t="array" ref="AA51:AA51">IFERROR(INDEX('Bank Schedule'!AB:AB, SMALL(IF('Bank Schedule'!$K$2:$K$817="Vacant", ROW('Bank Schedule'!$K$2:$K$817)), ROW(48:48))), "")</f>
        <v>No</v>
      </c>
      <c r="AB51" s="94" t="str">
        <f aca="false" t="array" ref="AB51:AB51">IFERROR(INDEX('Bank Schedule'!AC:AC, SMALL(IF('Bank Schedule'!$K$2:$K$817="Vacant", ROW('Bank Schedule'!$K$2:$K$817)), ROW(48:48))), "")</f>
        <v>To be refurbished.</v>
      </c>
      <c r="AC51" s="44" t="n">
        <f aca="false" t="array" ref="AC51:AC51">IFERROR(INDEX('Bank Schedule'!AD:AD, SMALL(IF('Bank Schedule'!$K$2:$K$817="Vacant", ROW('Bank Schedule'!$K$2:$K$817)), ROW(48:48))), "")</f>
        <v>62.5</v>
      </c>
      <c r="AD51" s="11" t="n">
        <f aca="false">IFERROR(INDEX('Bank Schedule'!AE:AE, SMALL(IF('Bank Schedule'!$K$2:$K$817="Vacant", ROW('Bank Schedule'!$K$2:$K$817)), ROW(48:48))), "")</f>
        <v>0</v>
      </c>
      <c r="AE51" s="11" t="n">
        <f aca="false" t="array" ref="AE51:AE51">IFERROR(INDEX('Bank Schedule'!AF:AF, SMALL(IF('Bank Schedule'!$K$2:$K$817="Vacant", ROW('Bank Schedule'!$K$2:$K$817)), ROW(48:48))), "")</f>
        <v>1</v>
      </c>
      <c r="AF51" s="11" t="str">
        <f aca="false" t="array" ref="AF51:AF51">IFERROR(INDEX('Bank Schedule'!AG:AG, SMALL(IF('Bank Schedule'!$K$2:$K$817="Vacant", ROW('Bank Schedule'!$K$2:$K$817)), ROW(48:48))), "")</f>
        <v>LEM</v>
      </c>
      <c r="AG51" s="4"/>
    </row>
    <row r="52" customFormat="false" ht="28.5" hidden="false" customHeight="true" outlineLevel="0" collapsed="false">
      <c r="A52" s="28" t="str">
        <f aca="false">IFERROR(INDEX('Bank Schedule'!A:A, SMALL(IF('Bank Schedule'!$K$2:$K$817="Vacant", ROW('Bank Schedule'!$K$2:$K$817)), ROW(49:49))), "")</f>
        <v/>
      </c>
      <c r="B52" s="11" t="str">
        <f aca="false" t="array" ref="B52:B52">IFERROR(INDEX('Bank Schedule'!B:B, SMALL(IF('Bank Schedule'!$K$2:$K$817="Vacant", ROW('Bank Schedule'!$K$2:$K$817)), ROW(49:49))), "")</f>
        <v>WS</v>
      </c>
      <c r="C52" s="11" t="str">
        <f aca="false" t="array" ref="C52:C52">IFERROR(INDEX('Bank Schedule'!C:C, SMALL(IF('Bank Schedule'!$K$2:$K$817="Vacant", ROW('Bank Schedule'!$K$2:$K$817)), ROW(49:49))), "")</f>
        <v>MEL</v>
      </c>
      <c r="D52" s="11" t="n">
        <f aca="false" t="array" ref="D52:D52">IFERROR(INDEX('Bank Schedule'!D:D, SMALL(IF('Bank Schedule'!$K$2:$K$817="Vacant", ROW('Bank Schedule'!$K$2:$K$817)), ROW(49:49))), "")</f>
        <v>550950</v>
      </c>
      <c r="E52" s="94" t="str">
        <f aca="false" t="array" ref="E52:E52">IFERROR(INDEX('Bank Schedule'!E:E, SMALL(IF('Bank Schedule'!$K$2:$K$817="Vacant", ROW('Bank Schedule'!$K$2:$K$817)), ROW(49:49))), "")</f>
        <v>19 Margaret Street</v>
      </c>
      <c r="F52" s="94" t="str">
        <f aca="false" t="array" ref="F52:F52">IFERROR(INDEX('Bank Schedule'!F:F, SMALL(IF('Bank Schedule'!$K$2:$K$817="Vacant", ROW('Bank Schedule'!$K$2:$K$817)), ROW(49:49))), "")</f>
        <v>First Floor</v>
      </c>
      <c r="G52" s="94" t="str">
        <f aca="false" t="array" ref="G52:G52">IFERROR(INDEX('Bank Schedule'!G:G, SMALL(IF('Bank Schedule'!$K$2:$K$817="Vacant", ROW('Bank Schedule'!$K$2:$K$817)), ROW(49:49))), "")</f>
        <v>Office</v>
      </c>
      <c r="H52" s="14" t="n">
        <f aca="false" t="array" ref="H52:H52">IFERROR(INDEX('Bank Schedule'!H:H, SMALL(IF('Bank Schedule'!$K$2:$K$817="Vacant", ROW('Bank Schedule'!$K$2:$K$817)), ROW(49:49))), "")</f>
        <v>980</v>
      </c>
      <c r="I52" s="14" t="n">
        <f aca="false" t="array" ref="I52:I52">IFERROR(INDEX('Bank Schedule'!I:I, SMALL(IF('Bank Schedule'!$K$2:$K$817="Vacant", ROW('Bank Schedule'!$K$2:$K$817)), ROW(49:49))), "")</f>
        <v>980</v>
      </c>
      <c r="J52" s="11" t="str">
        <f aca="false" t="array" ref="J52:J52">IFERROR(INDEX('Bank Schedule'!K:K, SMALL(IF('Bank Schedule'!$K$2:$K$817="Vacant", ROW('Bank Schedule'!$K$2:$K$817)), ROW(49:49))), "")</f>
        <v>Vacant</v>
      </c>
      <c r="K52" s="11" t="str">
        <f aca="false">IFERROR(INDEX('Bank Schedule'!L:L, SMALL(IF('Bank Schedule'!$K$2:$K$817="Vacant", ROW('Bank Schedule'!$K$2:$K$817)), ROW(49:49))), "")</f>
        <v/>
      </c>
      <c r="L52" s="11" t="str">
        <f aca="false">IFERROR(INDEX('Bank Schedule'!M:M, SMALL(IF('Bank Schedule'!$K$2:$K$817="Vacant", ROW('Bank Schedule'!$K$2:$K$817)), ROW(49:49))), "")</f>
        <v/>
      </c>
      <c r="M52" s="71" t="n">
        <f aca="false" t="array" ref="M52:M52">IFERROR(INDEX('Bank Schedule'!N:N, SMALL(IF('Bank Schedule'!$K$2:$K$817="Vacant", ROW('Bank Schedule'!$K$2:$K$817)), ROW(49:49))), "")</f>
        <v>43323</v>
      </c>
      <c r="N52" s="11" t="str">
        <f aca="false">IFERROR(INDEX('Bank Schedule'!O:O, SMALL(IF('Bank Schedule'!$K$2:$K$817="Vacant", ROW('Bank Schedule'!$K$2:$K$817)), ROW(49:49))), "")</f>
        <v/>
      </c>
      <c r="O52" s="11" t="str">
        <f aca="false">IFERROR(INDEX('Bank Schedule'!P:P, SMALL(IF('Bank Schedule'!$K$2:$K$817="Vacant", ROW('Bank Schedule'!$K$2:$K$817)), ROW(49:49))), "")</f>
        <v/>
      </c>
      <c r="P52" s="11" t="n">
        <f aca="false" t="array" ref="P52:P52">IFERROR(INDEX('Bank Schedule'!Q:Q, SMALL(IF('Bank Schedule'!$K$2:$K$817="Vacant", ROW('Bank Schedule'!$K$2:$K$817)), ROW(49:49))), "")</f>
        <v>0</v>
      </c>
      <c r="Q52" s="11" t="n">
        <f aca="false" t="array" ref="Q52:Q52">IFERROR(INDEX('Bank Schedule'!R:R, SMALL(IF('Bank Schedule'!$K$2:$K$817="Vacant", ROW('Bank Schedule'!$K$2:$K$817)), ROW(49:49))), "")</f>
        <v>0</v>
      </c>
      <c r="R52" s="11" t="str">
        <f aca="false">IFERROR(INDEX('Bank Schedule'!S:S, SMALL(IF('Bank Schedule'!$K$2:$K$817="Vacant", ROW('Bank Schedule'!$K$2:$K$817)), ROW(49:49))), "")</f>
        <v/>
      </c>
      <c r="S52" s="281" t="n">
        <f aca="false" t="array" ref="S52:S52">IFERROR(INDEX('Bank Schedule'!T:T, SMALL(IF('Bank Schedule'!$K$2:$K$817="Vacant", ROW('Bank Schedule'!$K$2:$K$817)), ROW(49:49))), "")</f>
        <v>53900</v>
      </c>
      <c r="T52" s="281" t="n">
        <f aca="false" t="array" ref="T52:T52">IFERROR(INDEX('Bank Schedule'!U:U, SMALL(IF('Bank Schedule'!$K$2:$K$817="Vacant", ROW('Bank Schedule'!$K$2:$K$817)), ROW(49:49))), "")</f>
        <v>53900</v>
      </c>
      <c r="U52" s="281" t="n">
        <f aca="false" t="array" ref="U52:U52">IFERROR(INDEX('Bank Schedule'!V:V, SMALL(IF('Bank Schedule'!$K$2:$K$817="Vacant", ROW('Bank Schedule'!$K$2:$K$817)), ROW(49:49))), "")</f>
        <v>56400</v>
      </c>
      <c r="V52" s="281" t="n">
        <f aca="false" t="array" ref="V52:V52">IFERROR(INDEX('Bank Schedule'!W:W, SMALL(IF('Bank Schedule'!$K$2:$K$817="Vacant", ROW('Bank Schedule'!$K$2:$K$817)), ROW(49:49))), "")</f>
        <v>56400</v>
      </c>
      <c r="W52" s="282" t="n">
        <f aca="false" t="array" ref="W52:W52">IFERROR(INDEX('Bank Schedule'!X:X, SMALL(IF('Bank Schedule'!$K$2:$K$817="Vacant", ROW('Bank Schedule'!$K$2:$K$817)), ROW(49:49))), "")</f>
        <v>55</v>
      </c>
      <c r="X52" s="11" t="str">
        <f aca="false" t="array" ref="X52:X52">IFERROR(INDEX('Bank Schedule'!Y:Y, SMALL(IF('Bank Schedule'!$K$2:$K$817="Vacant", ROW('Bank Schedule'!$K$2:$K$817)), ROW(49:49))), "")</f>
        <v>D</v>
      </c>
      <c r="Y52" s="11" t="str">
        <f aca="false">IFERROR(INDEX('Bank Schedule'!Z:Z, SMALL(IF('Bank Schedule'!$K$2:$K$817="Vacant", ROW('Bank Schedule'!$K$2:$K$817)), ROW(49:49))), "")</f>
        <v/>
      </c>
      <c r="Z52" s="11" t="str">
        <f aca="false">IFERROR(INDEX('Bank Schedule'!AA:AA, SMALL(IF('Bank Schedule'!$K$2:$K$817="Vacant", ROW('Bank Schedule'!$K$2:$K$817)), ROW(49:49))), "")</f>
        <v/>
      </c>
      <c r="AA52" s="11" t="str">
        <f aca="false" t="array" ref="AA52:AA52">IFERROR(INDEX('Bank Schedule'!AB:AB, SMALL(IF('Bank Schedule'!$K$2:$K$817="Vacant", ROW('Bank Schedule'!$K$2:$K$817)), ROW(49:49))), "")</f>
        <v>No</v>
      </c>
      <c r="AB52" s="94" t="str">
        <f aca="false" t="array" ref="AB52:AB52">IFERROR(INDEX('Bank Schedule'!AC:AC, SMALL(IF('Bank Schedule'!$K$2:$K$817="Vacant", ROW('Bank Schedule'!$K$2:$K$817)), ROW(49:49))), "")</f>
        <v>LEM Marketing.</v>
      </c>
      <c r="AC52" s="44" t="n">
        <f aca="false" t="array" ref="AC52:AC52">IFERROR(INDEX('Bank Schedule'!AD:AD, SMALL(IF('Bank Schedule'!$K$2:$K$817="Vacant", ROW('Bank Schedule'!$K$2:$K$817)), ROW(49:49))), "")</f>
        <v>61.5</v>
      </c>
      <c r="AD52" s="11" t="str">
        <f aca="false">IFERROR(INDEX('Bank Schedule'!AE:AE, SMALL(IF('Bank Schedule'!$K$2:$K$817="Vacant", ROW('Bank Schedule'!$K$2:$K$817)), ROW(49:49))), "")</f>
        <v/>
      </c>
      <c r="AE52" s="11" t="str">
        <f aca="false">IFERROR(INDEX('Bank Schedule'!AF:AF, SMALL(IF('Bank Schedule'!$K$2:$K$817="Vacant", ROW('Bank Schedule'!$K$2:$K$817)), ROW(49:49))), "")</f>
        <v/>
      </c>
      <c r="AF52" s="11" t="str">
        <f aca="false">IFERROR(INDEX('Bank Schedule'!AG:AG, SMALL(IF('Bank Schedule'!$K$2:$K$817="Vacant", ROW('Bank Schedule'!$K$2:$K$817)), ROW(49:49))), "")</f>
        <v/>
      </c>
      <c r="AG52" s="4"/>
    </row>
    <row r="53" customFormat="false" ht="28.5" hidden="false" customHeight="true" outlineLevel="0" collapsed="false">
      <c r="A53" s="28" t="str">
        <f aca="false">IFERROR(INDEX('Bank Schedule'!A:A, SMALL(IF('Bank Schedule'!$K$2:$K$817="Vacant", ROW('Bank Schedule'!$K$2:$K$817)), ROW(50:50))), "")</f>
        <v/>
      </c>
      <c r="B53" s="11" t="str">
        <f aca="false" t="array" ref="B53:B53">IFERROR(INDEX('Bank Schedule'!B:B, SMALL(IF('Bank Schedule'!$K$2:$K$817="Vacant", ROW('Bank Schedule'!$K$2:$K$817)), ROW(50:50))), "")</f>
        <v>WS</v>
      </c>
      <c r="C53" s="11" t="str">
        <f aca="false" t="array" ref="C53:C53">IFERROR(INDEX('Bank Schedule'!C:C, SMALL(IF('Bank Schedule'!$K$2:$K$817="Vacant", ROW('Bank Schedule'!$K$2:$K$817)), ROW(50:50))), "")</f>
        <v>MEL</v>
      </c>
      <c r="D53" s="11" t="n">
        <f aca="false" t="array" ref="D53:D53">IFERROR(INDEX('Bank Schedule'!D:D, SMALL(IF('Bank Schedule'!$K$2:$K$817="Vacant", ROW('Bank Schedule'!$K$2:$K$817)), ROW(50:50))), "")</f>
        <v>550950</v>
      </c>
      <c r="E53" s="94" t="str">
        <f aca="false" t="array" ref="E53:E53">IFERROR(INDEX('Bank Schedule'!E:E, SMALL(IF('Bank Schedule'!$K$2:$K$817="Vacant", ROW('Bank Schedule'!$K$2:$K$817)), ROW(50:50))), "")</f>
        <v>19 Margaret Street</v>
      </c>
      <c r="F53" s="94" t="str">
        <f aca="false" t="array" ref="F53:F53">IFERROR(INDEX('Bank Schedule'!F:F, SMALL(IF('Bank Schedule'!$K$2:$K$817="Vacant", ROW('Bank Schedule'!$K$2:$K$817)), ROW(50:50))), "")</f>
        <v>Fifth Floor</v>
      </c>
      <c r="G53" s="94" t="str">
        <f aca="false" t="array" ref="G53:G53">IFERROR(INDEX('Bank Schedule'!G:G, SMALL(IF('Bank Schedule'!$K$2:$K$817="Vacant", ROW('Bank Schedule'!$K$2:$K$817)), ROW(50:50))), "")</f>
        <v>Office</v>
      </c>
      <c r="H53" s="14" t="n">
        <f aca="false" t="array" ref="H53:H53">IFERROR(INDEX('Bank Schedule'!H:H, SMALL(IF('Bank Schedule'!$K$2:$K$817="Vacant", ROW('Bank Schedule'!$K$2:$K$817)), ROW(50:50))), "")</f>
        <v>685</v>
      </c>
      <c r="I53" s="14" t="n">
        <f aca="false" t="array" ref="I53:I53">IFERROR(INDEX('Bank Schedule'!I:I, SMALL(IF('Bank Schedule'!$K$2:$K$817="Vacant", ROW('Bank Schedule'!$K$2:$K$817)), ROW(50:50))), "")</f>
        <v>685</v>
      </c>
      <c r="J53" s="11" t="str">
        <f aca="false" t="array" ref="J53:J53">IFERROR(INDEX('Bank Schedule'!K:K, SMALL(IF('Bank Schedule'!$K$2:$K$817="Vacant", ROW('Bank Schedule'!$K$2:$K$817)), ROW(50:50))), "")</f>
        <v>Vacant</v>
      </c>
      <c r="K53" s="11" t="str">
        <f aca="false">IFERROR(INDEX('Bank Schedule'!L:L, SMALL(IF('Bank Schedule'!$K$2:$K$817="Vacant", ROW('Bank Schedule'!$K$2:$K$817)), ROW(50:50))), "")</f>
        <v/>
      </c>
      <c r="L53" s="11" t="str">
        <f aca="false">IFERROR(INDEX('Bank Schedule'!M:M, SMALL(IF('Bank Schedule'!$K$2:$K$817="Vacant", ROW('Bank Schedule'!$K$2:$K$817)), ROW(50:50))), "")</f>
        <v/>
      </c>
      <c r="M53" s="71" t="n">
        <f aca="false" t="array" ref="M53:M53">IFERROR(INDEX('Bank Schedule'!N:N, SMALL(IF('Bank Schedule'!$K$2:$K$817="Vacant", ROW('Bank Schedule'!$K$2:$K$817)), ROW(50:50))), "")</f>
        <v>45627</v>
      </c>
      <c r="N53" s="11" t="str">
        <f aca="false">IFERROR(INDEX('Bank Schedule'!O:O, SMALL(IF('Bank Schedule'!$K$2:$K$817="Vacant", ROW('Bank Schedule'!$K$2:$K$817)), ROW(50:50))), "")</f>
        <v/>
      </c>
      <c r="O53" s="11" t="str">
        <f aca="false">IFERROR(INDEX('Bank Schedule'!P:P, SMALL(IF('Bank Schedule'!$K$2:$K$817="Vacant", ROW('Bank Schedule'!$K$2:$K$817)), ROW(50:50))), "")</f>
        <v/>
      </c>
      <c r="P53" s="11" t="n">
        <f aca="false" t="array" ref="P53:P53">IFERROR(INDEX('Bank Schedule'!Q:Q, SMALL(IF('Bank Schedule'!$K$2:$K$817="Vacant", ROW('Bank Schedule'!$K$2:$K$817)), ROW(50:50))), "")</f>
        <v>0</v>
      </c>
      <c r="Q53" s="11" t="n">
        <f aca="false" t="array" ref="Q53:Q53">IFERROR(INDEX('Bank Schedule'!R:R, SMALL(IF('Bank Schedule'!$K$2:$K$817="Vacant", ROW('Bank Schedule'!$K$2:$K$817)), ROW(50:50))), "")</f>
        <v>0</v>
      </c>
      <c r="R53" s="11" t="str">
        <f aca="false">IFERROR(INDEX('Bank Schedule'!S:S, SMALL(IF('Bank Schedule'!$K$2:$K$817="Vacant", ROW('Bank Schedule'!$K$2:$K$817)), ROW(50:50))), "")</f>
        <v/>
      </c>
      <c r="S53" s="281" t="n">
        <f aca="false" t="array" ref="S53:S53">IFERROR(INDEX('Bank Schedule'!T:T, SMALL(IF('Bank Schedule'!$K$2:$K$817="Vacant", ROW('Bank Schedule'!$K$2:$K$817)), ROW(50:50))), "")</f>
        <v>37700</v>
      </c>
      <c r="T53" s="281" t="n">
        <f aca="false" t="array" ref="T53:T53">IFERROR(INDEX('Bank Schedule'!U:U, SMALL(IF('Bank Schedule'!$K$2:$K$817="Vacant", ROW('Bank Schedule'!$K$2:$K$817)), ROW(50:50))), "")</f>
        <v>37700</v>
      </c>
      <c r="U53" s="281" t="n">
        <f aca="false" t="array" ref="U53:U53">IFERROR(INDEX('Bank Schedule'!V:V, SMALL(IF('Bank Schedule'!$K$2:$K$817="Vacant", ROW('Bank Schedule'!$K$2:$K$817)), ROW(50:50))), "")</f>
        <v>39400</v>
      </c>
      <c r="V53" s="281" t="n">
        <f aca="false" t="array" ref="V53:V53">IFERROR(INDEX('Bank Schedule'!W:W, SMALL(IF('Bank Schedule'!$K$2:$K$817="Vacant", ROW('Bank Schedule'!$K$2:$K$817)), ROW(50:50))), "")</f>
        <v>39400</v>
      </c>
      <c r="W53" s="282" t="n">
        <f aca="false" t="array" ref="W53:W53">IFERROR(INDEX('Bank Schedule'!X:X, SMALL(IF('Bank Schedule'!$K$2:$K$817="Vacant", ROW('Bank Schedule'!$K$2:$K$817)), ROW(50:50))), "")</f>
        <v>55.036496350365</v>
      </c>
      <c r="X53" s="11" t="str">
        <f aca="false" t="array" ref="X53:X53">IFERROR(INDEX('Bank Schedule'!Y:Y, SMALL(IF('Bank Schedule'!$K$2:$K$817="Vacant", ROW('Bank Schedule'!$K$2:$K$817)), ROW(50:50))), "")</f>
        <v>E</v>
      </c>
      <c r="Y53" s="11" t="str">
        <f aca="false">IFERROR(INDEX('Bank Schedule'!Z:Z, SMALL(IF('Bank Schedule'!$K$2:$K$817="Vacant", ROW('Bank Schedule'!$K$2:$K$817)), ROW(50:50))), "")</f>
        <v/>
      </c>
      <c r="Z53" s="11" t="str">
        <f aca="false">IFERROR(INDEX('Bank Schedule'!AA:AA, SMALL(IF('Bank Schedule'!$K$2:$K$817="Vacant", ROW('Bank Schedule'!$K$2:$K$817)), ROW(50:50))), "")</f>
        <v/>
      </c>
      <c r="AA53" s="11" t="str">
        <f aca="false" t="array" ref="AA53:AA53">IFERROR(INDEX('Bank Schedule'!AB:AB, SMALL(IF('Bank Schedule'!$K$2:$K$817="Vacant", ROW('Bank Schedule'!$K$2:$K$817)), ROW(50:50))), "")</f>
        <v>No</v>
      </c>
      <c r="AB53" s="94" t="str">
        <f aca="false" t="array" ref="AB53:AB53">IFERROR(INDEX('Bank Schedule'!AC:AC, SMALL(IF('Bank Schedule'!$K$2:$K$817="Vacant", ROW('Bank Schedule'!$K$2:$K$817)), ROW(50:50))), "")</f>
        <v>LEM marketing.</v>
      </c>
      <c r="AC53" s="44" t="str">
        <f aca="false">IFERROR(INDEX('Bank Schedule'!AD:AD, SMALL(IF('Bank Schedule'!$K$2:$K$817="Vacant", ROW('Bank Schedule'!$K$2:$K$817)), ROW(50:50))), "")</f>
        <v/>
      </c>
      <c r="AD53" s="11" t="str">
        <f aca="false">IFERROR(INDEX('Bank Schedule'!AE:AE, SMALL(IF('Bank Schedule'!$K$2:$K$817="Vacant", ROW('Bank Schedule'!$K$2:$K$817)), ROW(50:50))), "")</f>
        <v/>
      </c>
      <c r="AE53" s="11" t="str">
        <f aca="false">IFERROR(INDEX('Bank Schedule'!AF:AF, SMALL(IF('Bank Schedule'!$K$2:$K$817="Vacant", ROW('Bank Schedule'!$K$2:$K$817)), ROW(50:50))), "")</f>
        <v/>
      </c>
      <c r="AF53" s="11" t="str">
        <f aca="false">IFERROR(INDEX('Bank Schedule'!AG:AG, SMALL(IF('Bank Schedule'!$K$2:$K$817="Vacant", ROW('Bank Schedule'!$K$2:$K$817)), ROW(50:50))), "")</f>
        <v/>
      </c>
      <c r="AG53" s="4"/>
    </row>
    <row r="54" customFormat="false" ht="28.5" hidden="false" customHeight="true" outlineLevel="0" collapsed="false">
      <c r="A54" s="28" t="str">
        <f aca="false">IFERROR(INDEX('Bank Schedule'!A:A, SMALL(IF('Bank Schedule'!$K$2:$K$817="Vacant", ROW('Bank Schedule'!$K$2:$K$817)), ROW(51:51))), "")</f>
        <v/>
      </c>
      <c r="B54" s="11" t="str">
        <f aca="false" t="array" ref="B54:B54">IFERROR(INDEX('Bank Schedule'!B:B, SMALL(IF('Bank Schedule'!$K$2:$K$817="Vacant", ROW('Bank Schedule'!$K$2:$K$817)), ROW(51:51))), "")</f>
        <v>WS</v>
      </c>
      <c r="C54" s="11" t="str">
        <f aca="false" t="array" ref="C54:C54">IFERROR(INDEX('Bank Schedule'!C:C, SMALL(IF('Bank Schedule'!$K$2:$K$817="Vacant", ROW('Bank Schedule'!$K$2:$K$817)), ROW(51:51))), "")</f>
        <v>MEL</v>
      </c>
      <c r="D54" s="11" t="n">
        <f aca="false" t="array" ref="D54:D54">IFERROR(INDEX('Bank Schedule'!D:D, SMALL(IF('Bank Schedule'!$K$2:$K$817="Vacant", ROW('Bank Schedule'!$K$2:$K$817)), ROW(51:51))), "")</f>
        <v>550730</v>
      </c>
      <c r="E54" s="94" t="str">
        <f aca="false" t="array" ref="E54:E54">IFERROR(INDEX('Bank Schedule'!E:E, SMALL(IF('Bank Schedule'!$K$2:$K$817="Vacant", ROW('Bank Schedule'!$K$2:$K$817)), ROW(51:51))), "")</f>
        <v>20 Margaret Street</v>
      </c>
      <c r="F54" s="94" t="str">
        <f aca="false" t="array" ref="F54:F54">IFERROR(INDEX('Bank Schedule'!F:F, SMALL(IF('Bank Schedule'!$K$2:$K$817="Vacant", ROW('Bank Schedule'!$K$2:$K$817)), ROW(51:51))), "")</f>
        <v>First Floor</v>
      </c>
      <c r="G54" s="94" t="str">
        <f aca="false" t="array" ref="G54:G54">IFERROR(INDEX('Bank Schedule'!G:G, SMALL(IF('Bank Schedule'!$K$2:$K$817="Vacant", ROW('Bank Schedule'!$K$2:$K$817)), ROW(51:51))), "")</f>
        <v>Office</v>
      </c>
      <c r="H54" s="14" t="n">
        <f aca="false" t="array" ref="H54:H54">IFERROR(INDEX('Bank Schedule'!H:H, SMALL(IF('Bank Schedule'!$K$2:$K$817="Vacant", ROW('Bank Schedule'!$K$2:$K$817)), ROW(51:51))), "")</f>
        <v>804</v>
      </c>
      <c r="I54" s="14" t="n">
        <f aca="false" t="array" ref="I54:I54">IFERROR(INDEX('Bank Schedule'!I:I, SMALL(IF('Bank Schedule'!$K$2:$K$817="Vacant", ROW('Bank Schedule'!$K$2:$K$817)), ROW(51:51))), "")</f>
        <v>804</v>
      </c>
      <c r="J54" s="11" t="str">
        <f aca="false" t="array" ref="J54:J54">IFERROR(INDEX('Bank Schedule'!K:K, SMALL(IF('Bank Schedule'!$K$2:$K$817="Vacant", ROW('Bank Schedule'!$K$2:$K$817)), ROW(51:51))), "")</f>
        <v>Vacant</v>
      </c>
      <c r="K54" s="11" t="str">
        <f aca="false">IFERROR(INDEX('Bank Schedule'!L:L, SMALL(IF('Bank Schedule'!$K$2:$K$817="Vacant", ROW('Bank Schedule'!$K$2:$K$817)), ROW(51:51))), "")</f>
        <v/>
      </c>
      <c r="L54" s="11" t="str">
        <f aca="false">IFERROR(INDEX('Bank Schedule'!M:M, SMALL(IF('Bank Schedule'!$K$2:$K$817="Vacant", ROW('Bank Schedule'!$K$2:$K$817)), ROW(51:51))), "")</f>
        <v/>
      </c>
      <c r="M54" s="71" t="n">
        <f aca="false" t="array" ref="M54:M54">IFERROR(INDEX('Bank Schedule'!N:N, SMALL(IF('Bank Schedule'!$K$2:$K$817="Vacant", ROW('Bank Schedule'!$K$2:$K$817)), ROW(51:51))), "")</f>
        <v>43132</v>
      </c>
      <c r="N54" s="11" t="str">
        <f aca="false">IFERROR(INDEX('Bank Schedule'!O:O, SMALL(IF('Bank Schedule'!$K$2:$K$817="Vacant", ROW('Bank Schedule'!$K$2:$K$817)), ROW(51:51))), "")</f>
        <v/>
      </c>
      <c r="O54" s="11" t="str">
        <f aca="false">IFERROR(INDEX('Bank Schedule'!P:P, SMALL(IF('Bank Schedule'!$K$2:$K$817="Vacant", ROW('Bank Schedule'!$K$2:$K$817)), ROW(51:51))), "")</f>
        <v/>
      </c>
      <c r="P54" s="11" t="n">
        <f aca="false" t="array" ref="P54:P54">IFERROR(INDEX('Bank Schedule'!Q:Q, SMALL(IF('Bank Schedule'!$K$2:$K$817="Vacant", ROW('Bank Schedule'!$K$2:$K$817)), ROW(51:51))), "")</f>
        <v>0</v>
      </c>
      <c r="Q54" s="11" t="n">
        <f aca="false" t="array" ref="Q54:Q54">IFERROR(INDEX('Bank Schedule'!R:R, SMALL(IF('Bank Schedule'!$K$2:$K$817="Vacant", ROW('Bank Schedule'!$K$2:$K$817)), ROW(51:51))), "")</f>
        <v>0</v>
      </c>
      <c r="R54" s="11" t="str">
        <f aca="false">IFERROR(INDEX('Bank Schedule'!S:S, SMALL(IF('Bank Schedule'!$K$2:$K$817="Vacant", ROW('Bank Schedule'!$K$2:$K$817)), ROW(51:51))), "")</f>
        <v/>
      </c>
      <c r="S54" s="281" t="n">
        <f aca="false" t="array" ref="S54:S54">IFERROR(INDEX('Bank Schedule'!T:T, SMALL(IF('Bank Schedule'!$K$2:$K$817="Vacant", ROW('Bank Schedule'!$K$2:$K$817)), ROW(51:51))), "")</f>
        <v>44200</v>
      </c>
      <c r="T54" s="281" t="n">
        <f aca="false" t="array" ref="T54:T54">IFERROR(INDEX('Bank Schedule'!U:U, SMALL(IF('Bank Schedule'!$K$2:$K$817="Vacant", ROW('Bank Schedule'!$K$2:$K$817)), ROW(51:51))), "")</f>
        <v>44200</v>
      </c>
      <c r="U54" s="281" t="n">
        <f aca="false" t="array" ref="U54:U54">IFERROR(INDEX('Bank Schedule'!V:V, SMALL(IF('Bank Schedule'!$K$2:$K$817="Vacant", ROW('Bank Schedule'!$K$2:$K$817)), ROW(51:51))), "")</f>
        <v>46200</v>
      </c>
      <c r="V54" s="281" t="n">
        <f aca="false" t="array" ref="V54:V54">IFERROR(INDEX('Bank Schedule'!W:W, SMALL(IF('Bank Schedule'!$K$2:$K$817="Vacant", ROW('Bank Schedule'!$K$2:$K$817)), ROW(51:51))), "")</f>
        <v>46200</v>
      </c>
      <c r="W54" s="282" t="n">
        <f aca="false" t="array" ref="W54:W54">IFERROR(INDEX('Bank Schedule'!X:X, SMALL(IF('Bank Schedule'!$K$2:$K$817="Vacant", ROW('Bank Schedule'!$K$2:$K$817)), ROW(51:51))), "")</f>
        <v>54.9751243781095</v>
      </c>
      <c r="X54" s="11" t="str">
        <f aca="false" t="array" ref="X54:X54">IFERROR(INDEX('Bank Schedule'!Y:Y, SMALL(IF('Bank Schedule'!$K$2:$K$817="Vacant", ROW('Bank Schedule'!$K$2:$K$817)), ROW(51:51))), "")</f>
        <v>E</v>
      </c>
      <c r="Y54" s="11" t="str">
        <f aca="false">IFERROR(INDEX('Bank Schedule'!Z:Z, SMALL(IF('Bank Schedule'!$K$2:$K$817="Vacant", ROW('Bank Schedule'!$K$2:$K$817)), ROW(51:51))), "")</f>
        <v/>
      </c>
      <c r="Z54" s="11" t="str">
        <f aca="false">IFERROR(INDEX('Bank Schedule'!AA:AA, SMALL(IF('Bank Schedule'!$K$2:$K$817="Vacant", ROW('Bank Schedule'!$K$2:$K$817)), ROW(51:51))), "")</f>
        <v/>
      </c>
      <c r="AA54" s="11" t="str">
        <f aca="false" t="array" ref="AA54:AA54">IFERROR(INDEX('Bank Schedule'!AB:AB, SMALL(IF('Bank Schedule'!$K$2:$K$817="Vacant", ROW('Bank Schedule'!$K$2:$K$817)), ROW(51:51))), "")</f>
        <v>No</v>
      </c>
      <c r="AB54" s="94" t="str">
        <f aca="false" t="array" ref="AB54:AB54">IFERROR(INDEX('Bank Schedule'!AC:AC, SMALL(IF('Bank Schedule'!$K$2:$K$817="Vacant", ROW('Bank Schedule'!$K$2:$K$817)), ROW(51:51))), "")</f>
        <v>Unit under refurbishment</v>
      </c>
      <c r="AC54" s="44" t="n">
        <f aca="false" t="array" ref="AC54:AC54">IFERROR(INDEX('Bank Schedule'!AD:AD, SMALL(IF('Bank Schedule'!$K$2:$K$817="Vacant", ROW('Bank Schedule'!$K$2:$K$817)), ROW(51:51))), "")</f>
        <v>62.5</v>
      </c>
      <c r="AD54" s="11" t="n">
        <f aca="false" t="array" ref="AD54:AD54">IFERROR(INDEX('Bank Schedule'!AE:AE, SMALL(IF('Bank Schedule'!$K$2:$K$817="Vacant", ROW('Bank Schedule'!$K$2:$K$817)), ROW(51:51))), "")</f>
        <v>1</v>
      </c>
      <c r="AE54" s="11" t="n">
        <f aca="false" t="array" ref="AE54:AE54">IFERROR(INDEX('Bank Schedule'!AF:AF, SMALL(IF('Bank Schedule'!$K$2:$K$817="Vacant", ROW('Bank Schedule'!$K$2:$K$817)), ROW(51:51))), "")</f>
        <v>2</v>
      </c>
      <c r="AF54" s="11" t="str">
        <f aca="false" t="array" ref="AF54:AF54">IFERROR(INDEX('Bank Schedule'!AG:AG, SMALL(IF('Bank Schedule'!$K$2:$K$817="Vacant", ROW('Bank Schedule'!$K$2:$K$817)), ROW(51:51))), "")</f>
        <v>LEM</v>
      </c>
      <c r="AG54" s="4"/>
    </row>
    <row r="55" customFormat="false" ht="28.5" hidden="false" customHeight="true" outlineLevel="0" collapsed="false">
      <c r="A55" s="28" t="n">
        <f aca="false">IFERROR(INDEX('Bank Schedule'!A:A, SMALL(IF('Bank Schedule'!$K$2:$K$817="Vacant", ROW('Bank Schedule'!$K$2:$K$817)), ROW(52:52))), "")</f>
        <v>0</v>
      </c>
      <c r="B55" s="11" t="str">
        <f aca="false" t="array" ref="B55:B55">IFERROR(INDEX('Bank Schedule'!B:B, SMALL(IF('Bank Schedule'!$K$2:$K$817="Vacant", ROW('Bank Schedule'!$K$2:$K$817)), ROW(52:52))), "")</f>
        <v>WS</v>
      </c>
      <c r="C55" s="11" t="str">
        <f aca="false" t="array" ref="C55:C55">IFERROR(INDEX('Bank Schedule'!C:C, SMALL(IF('Bank Schedule'!$K$2:$K$817="Vacant", ROW('Bank Schedule'!$K$2:$K$817)), ROW(52:52))), "")</f>
        <v>MEL</v>
      </c>
      <c r="D55" s="11" t="n">
        <f aca="false" t="array" ref="D55:D55">IFERROR(INDEX('Bank Schedule'!D:D, SMALL(IF('Bank Schedule'!$K$2:$K$817="Vacant", ROW('Bank Schedule'!$K$2:$K$817)), ROW(52:52))), "")</f>
        <v>550730</v>
      </c>
      <c r="E55" s="94" t="str">
        <f aca="false" t="array" ref="E55:E55">IFERROR(INDEX('Bank Schedule'!E:E, SMALL(IF('Bank Schedule'!$K$2:$K$817="Vacant", ROW('Bank Schedule'!$K$2:$K$817)), ROW(52:52))), "")</f>
        <v>20 Margaret Street</v>
      </c>
      <c r="F55" s="94" t="str">
        <f aca="false" t="array" ref="F55:F55">IFERROR(INDEX('Bank Schedule'!F:F, SMALL(IF('Bank Schedule'!$K$2:$K$817="Vacant", ROW('Bank Schedule'!$K$2:$K$817)), ROW(52:52))), "")</f>
        <v>Second Floor</v>
      </c>
      <c r="G55" s="94" t="str">
        <f aca="false" t="array" ref="G55:G55">IFERROR(INDEX('Bank Schedule'!G:G, SMALL(IF('Bank Schedule'!$K$2:$K$817="Vacant", ROW('Bank Schedule'!$K$2:$K$817)), ROW(52:52))), "")</f>
        <v>Office</v>
      </c>
      <c r="H55" s="14" t="n">
        <f aca="false" t="array" ref="H55:H55">IFERROR(INDEX('Bank Schedule'!H:H, SMALL(IF('Bank Schedule'!$K$2:$K$817="Vacant", ROW('Bank Schedule'!$K$2:$K$817)), ROW(52:52))), "")</f>
        <v>813</v>
      </c>
      <c r="I55" s="14" t="n">
        <f aca="false" t="array" ref="I55:I55">IFERROR(INDEX('Bank Schedule'!I:I, SMALL(IF('Bank Schedule'!$K$2:$K$817="Vacant", ROW('Bank Schedule'!$K$2:$K$817)), ROW(52:52))), "")</f>
        <v>813</v>
      </c>
      <c r="J55" s="11" t="str">
        <f aca="false" t="array" ref="J55:J55">IFERROR(INDEX('Bank Schedule'!K:K, SMALL(IF('Bank Schedule'!$K$2:$K$817="Vacant", ROW('Bank Schedule'!$K$2:$K$817)), ROW(52:52))), "")</f>
        <v>Vacant</v>
      </c>
      <c r="K55" s="8" t="n">
        <f aca="false">IFERROR(INDEX('Bank Schedule'!L:L, SMALL(IF('Bank Schedule'!$K$2:$K$817="Vacant", ROW('Bank Schedule'!$K$2:$K$817)), ROW(52:52))), "")</f>
        <v>45412</v>
      </c>
      <c r="L55" s="8" t="n">
        <f aca="false">IFERROR(INDEX('Bank Schedule'!M:M, SMALL(IF('Bank Schedule'!$K$2:$K$817="Vacant", ROW('Bank Schedule'!$K$2:$K$817)), ROW(52:52))), "")</f>
        <v>47237</v>
      </c>
      <c r="M55" s="71" t="n">
        <f aca="false" t="array" ref="M55:M55">IFERROR(INDEX('Bank Schedule'!N:N, SMALL(IF('Bank Schedule'!$K$2:$K$817="Vacant", ROW('Bank Schedule'!$K$2:$K$817)), ROW(52:52))), "")</f>
        <v>42819</v>
      </c>
      <c r="N55" s="8" t="n">
        <f aca="false">IFERROR(INDEX('Bank Schedule'!O:O, SMALL(IF('Bank Schedule'!$K$2:$K$817="Vacant", ROW('Bank Schedule'!$K$2:$K$817)), ROW(52:52))), "")</f>
        <v>0</v>
      </c>
      <c r="O55" s="8" t="n">
        <f aca="false">IFERROR(INDEX('Bank Schedule'!P:P, SMALL(IF('Bank Schedule'!$K$2:$K$817="Vacant", ROW('Bank Schedule'!$K$2:$K$817)), ROW(52:52))), "")</f>
        <v>46326</v>
      </c>
      <c r="P55" s="11" t="n">
        <f aca="false" t="array" ref="P55:P55">IFERROR(INDEX('Bank Schedule'!Q:Q, SMALL(IF('Bank Schedule'!$K$2:$K$817="Vacant", ROW('Bank Schedule'!$K$2:$K$817)), ROW(52:52))), "")</f>
        <v>0</v>
      </c>
      <c r="Q55" s="11" t="n">
        <f aca="false" t="array" ref="Q55:Q55">IFERROR(INDEX('Bank Schedule'!R:R, SMALL(IF('Bank Schedule'!$K$2:$K$817="Vacant", ROW('Bank Schedule'!$K$2:$K$817)), ROW(52:52))), "")</f>
        <v>0</v>
      </c>
      <c r="R55" s="9" t="n">
        <f aca="false">IFERROR(INDEX('Bank Schedule'!S:S, SMALL(IF('Bank Schedule'!$K$2:$K$817="Vacant", ROW('Bank Schedule'!$K$2:$K$817)), ROW(52:52))), "")</f>
        <v>0</v>
      </c>
      <c r="S55" s="281" t="n">
        <f aca="false" t="array" ref="S55:S55">IFERROR(INDEX('Bank Schedule'!T:T, SMALL(IF('Bank Schedule'!$K$2:$K$817="Vacant", ROW('Bank Schedule'!$K$2:$K$817)), ROW(52:52))), "")</f>
        <v>44700</v>
      </c>
      <c r="T55" s="281" t="n">
        <f aca="false" t="array" ref="T55:T55">IFERROR(INDEX('Bank Schedule'!U:U, SMALL(IF('Bank Schedule'!$K$2:$K$817="Vacant", ROW('Bank Schedule'!$K$2:$K$817)), ROW(52:52))), "")</f>
        <v>44700</v>
      </c>
      <c r="U55" s="281" t="n">
        <f aca="false" t="array" ref="U55:U55">IFERROR(INDEX('Bank Schedule'!V:V, SMALL(IF('Bank Schedule'!$K$2:$K$817="Vacant", ROW('Bank Schedule'!$K$2:$K$817)), ROW(52:52))), "")</f>
        <v>46700</v>
      </c>
      <c r="V55" s="281" t="n">
        <f aca="false" t="array" ref="V55:V55">IFERROR(INDEX('Bank Schedule'!W:W, SMALL(IF('Bank Schedule'!$K$2:$K$817="Vacant", ROW('Bank Schedule'!$K$2:$K$817)), ROW(52:52))), "")</f>
        <v>46700</v>
      </c>
      <c r="W55" s="282" t="n">
        <f aca="false" t="array" ref="W55:W55">IFERROR(INDEX('Bank Schedule'!X:X, SMALL(IF('Bank Schedule'!$K$2:$K$817="Vacant", ROW('Bank Schedule'!$K$2:$K$817)), ROW(52:52))), "")</f>
        <v>54.9815498154982</v>
      </c>
      <c r="X55" s="11" t="str">
        <f aca="false" t="array" ref="X55:X55">IFERROR(INDEX('Bank Schedule'!Y:Y, SMALL(IF('Bank Schedule'!$K$2:$K$817="Vacant", ROW('Bank Schedule'!$K$2:$K$817)), ROW(52:52))), "")</f>
        <v>E</v>
      </c>
      <c r="Y55" s="9" t="n">
        <f aca="false">IFERROR(INDEX('Bank Schedule'!Z:Z, SMALL(IF('Bank Schedule'!$K$2:$K$817="Vacant", ROW('Bank Schedule'!$K$2:$K$817)), ROW(52:52))), "")</f>
        <v>0</v>
      </c>
      <c r="Z55" s="283" t="n">
        <f aca="false">IFERROR(INDEX('Bank Schedule'!AA:AA, SMALL(IF('Bank Schedule'!$K$2:$K$817="Vacant", ROW('Bank Schedule'!$K$2:$K$817)), ROW(52:52))), "")</f>
        <v>0</v>
      </c>
      <c r="AA55" s="11" t="str">
        <f aca="false" t="array" ref="AA55:AA55">IFERROR(INDEX('Bank Schedule'!AB:AB, SMALL(IF('Bank Schedule'!$K$2:$K$817="Vacant", ROW('Bank Schedule'!$K$2:$K$817)), ROW(52:52))), "")</f>
        <v>No</v>
      </c>
      <c r="AB55" s="94" t="str">
        <f aca="false" t="array" ref="AB55:AB55">IFERROR(INDEX('Bank Schedule'!AC:AC, SMALL(IF('Bank Schedule'!$K$2:$K$817="Vacant", ROW('Bank Schedule'!$K$2:$K$817)), ROW(52:52))), "")</f>
        <v>Unit under refurbishment</v>
      </c>
      <c r="AC55" s="44" t="n">
        <f aca="false" t="array" ref="AC55:AC55">IFERROR(INDEX('Bank Schedule'!AD:AD, SMALL(IF('Bank Schedule'!$K$2:$K$817="Vacant", ROW('Bank Schedule'!$K$2:$K$817)), ROW(52:52))), "")</f>
        <v>62.5</v>
      </c>
      <c r="AD55" s="11" t="n">
        <f aca="false" t="array" ref="AD55:AD55">IFERROR(INDEX('Bank Schedule'!AE:AE, SMALL(IF('Bank Schedule'!$K$2:$K$817="Vacant", ROW('Bank Schedule'!$K$2:$K$817)), ROW(52:52))), "")</f>
        <v>1</v>
      </c>
      <c r="AE55" s="11" t="n">
        <f aca="false" t="array" ref="AE55:AE55">IFERROR(INDEX('Bank Schedule'!AF:AF, SMALL(IF('Bank Schedule'!$K$2:$K$817="Vacant", ROW('Bank Schedule'!$K$2:$K$817)), ROW(52:52))), "")</f>
        <v>2</v>
      </c>
      <c r="AF55" s="11" t="str">
        <f aca="false" t="array" ref="AF55:AF55">IFERROR(INDEX('Bank Schedule'!AG:AG, SMALL(IF('Bank Schedule'!$K$2:$K$817="Vacant", ROW('Bank Schedule'!$K$2:$K$817)), ROW(52:52))), "")</f>
        <v>LEM</v>
      </c>
      <c r="AG55" s="4"/>
    </row>
    <row r="56" customFormat="false" ht="28.5" hidden="false" customHeight="true" outlineLevel="0" collapsed="false">
      <c r="A56" s="28" t="str">
        <f aca="false">IFERROR(INDEX('Bank Schedule'!A:A, SMALL(IF('Bank Schedule'!$K$2:$K$817="Vacant", ROW('Bank Schedule'!$K$2:$K$817)), ROW(53:53))), "")</f>
        <v/>
      </c>
      <c r="B56" s="11" t="str">
        <f aca="false" t="array" ref="B56:B56">IFERROR(INDEX('Bank Schedule'!B:B, SMALL(IF('Bank Schedule'!$K$2:$K$817="Vacant", ROW('Bank Schedule'!$K$2:$K$817)), ROW(53:53))), "")</f>
        <v>WS</v>
      </c>
      <c r="C56" s="11" t="str">
        <f aca="false" t="array" ref="C56:C56">IFERROR(INDEX('Bank Schedule'!C:C, SMALL(IF('Bank Schedule'!$K$2:$K$817="Vacant", ROW('Bank Schedule'!$K$2:$K$817)), ROW(53:53))), "")</f>
        <v>MEL</v>
      </c>
      <c r="D56" s="11" t="n">
        <f aca="false" t="array" ref="D56:D56">IFERROR(INDEX('Bank Schedule'!D:D, SMALL(IF('Bank Schedule'!$K$2:$K$817="Vacant", ROW('Bank Schedule'!$K$2:$K$817)), ROW(53:53))), "")</f>
        <v>550730</v>
      </c>
      <c r="E56" s="94" t="str">
        <f aca="false" t="array" ref="E56:E56">IFERROR(INDEX('Bank Schedule'!E:E, SMALL(IF('Bank Schedule'!$K$2:$K$817="Vacant", ROW('Bank Schedule'!$K$2:$K$817)), ROW(53:53))), "")</f>
        <v>20 Margaret Street</v>
      </c>
      <c r="F56" s="94" t="str">
        <f aca="false" t="array" ref="F56:F56">IFERROR(INDEX('Bank Schedule'!F:F, SMALL(IF('Bank Schedule'!$K$2:$K$817="Vacant", ROW('Bank Schedule'!$K$2:$K$817)), ROW(53:53))), "")</f>
        <v>Fourth Floor</v>
      </c>
      <c r="G56" s="94" t="str">
        <f aca="false" t="array" ref="G56:G56">IFERROR(INDEX('Bank Schedule'!G:G, SMALL(IF('Bank Schedule'!$K$2:$K$817="Vacant", ROW('Bank Schedule'!$K$2:$K$817)), ROW(53:53))), "")</f>
        <v>Office</v>
      </c>
      <c r="H56" s="14" t="n">
        <f aca="false" t="array" ref="H56:H56">IFERROR(INDEX('Bank Schedule'!H:H, SMALL(IF('Bank Schedule'!$K$2:$K$817="Vacant", ROW('Bank Schedule'!$K$2:$K$817)), ROW(53:53))), "")</f>
        <v>797</v>
      </c>
      <c r="I56" s="14" t="n">
        <f aca="false" t="array" ref="I56:I56">IFERROR(INDEX('Bank Schedule'!I:I, SMALL(IF('Bank Schedule'!$K$2:$K$817="Vacant", ROW('Bank Schedule'!$K$2:$K$817)), ROW(53:53))), "")</f>
        <v>797</v>
      </c>
      <c r="J56" s="11" t="str">
        <f aca="false" t="array" ref="J56:J56">IFERROR(INDEX('Bank Schedule'!K:K, SMALL(IF('Bank Schedule'!$K$2:$K$817="Vacant", ROW('Bank Schedule'!$K$2:$K$817)), ROW(53:53))), "")</f>
        <v>Vacant</v>
      </c>
      <c r="K56" s="11" t="str">
        <f aca="false">IFERROR(INDEX('Bank Schedule'!L:L, SMALL(IF('Bank Schedule'!$K$2:$K$817="Vacant", ROW('Bank Schedule'!$K$2:$K$817)), ROW(53:53))), "")</f>
        <v/>
      </c>
      <c r="L56" s="11" t="str">
        <f aca="false">IFERROR(INDEX('Bank Schedule'!M:M, SMALL(IF('Bank Schedule'!$K$2:$K$817="Vacant", ROW('Bank Schedule'!$K$2:$K$817)), ROW(53:53))), "")</f>
        <v/>
      </c>
      <c r="M56" s="71" t="n">
        <f aca="false" t="array" ref="M56:M56">IFERROR(INDEX('Bank Schedule'!N:N, SMALL(IF('Bank Schedule'!$K$2:$K$817="Vacant", ROW('Bank Schedule'!$K$2:$K$817)), ROW(53:53))), "")</f>
        <v>44439</v>
      </c>
      <c r="N56" s="11" t="str">
        <f aca="false">IFERROR(INDEX('Bank Schedule'!O:O, SMALL(IF('Bank Schedule'!$K$2:$K$817="Vacant", ROW('Bank Schedule'!$K$2:$K$817)), ROW(53:53))), "")</f>
        <v/>
      </c>
      <c r="O56" s="11" t="str">
        <f aca="false">IFERROR(INDEX('Bank Schedule'!P:P, SMALL(IF('Bank Schedule'!$K$2:$K$817="Vacant", ROW('Bank Schedule'!$K$2:$K$817)), ROW(53:53))), "")</f>
        <v/>
      </c>
      <c r="P56" s="11" t="n">
        <f aca="false" t="array" ref="P56:P56">IFERROR(INDEX('Bank Schedule'!Q:Q, SMALL(IF('Bank Schedule'!$K$2:$K$817="Vacant", ROW('Bank Schedule'!$K$2:$K$817)), ROW(53:53))), "")</f>
        <v>0</v>
      </c>
      <c r="Q56" s="11" t="n">
        <f aca="false" t="array" ref="Q56:Q56">IFERROR(INDEX('Bank Schedule'!R:R, SMALL(IF('Bank Schedule'!$K$2:$K$817="Vacant", ROW('Bank Schedule'!$K$2:$K$817)), ROW(53:53))), "")</f>
        <v>0</v>
      </c>
      <c r="R56" s="11" t="str">
        <f aca="false">IFERROR(INDEX('Bank Schedule'!S:S, SMALL(IF('Bank Schedule'!$K$2:$K$817="Vacant", ROW('Bank Schedule'!$K$2:$K$817)), ROW(53:53))), "")</f>
        <v/>
      </c>
      <c r="S56" s="281" t="n">
        <f aca="false" t="array" ref="S56:S56">IFERROR(INDEX('Bank Schedule'!T:T, SMALL(IF('Bank Schedule'!$K$2:$K$817="Vacant", ROW('Bank Schedule'!$K$2:$K$817)), ROW(53:53))), "")</f>
        <v>43800</v>
      </c>
      <c r="T56" s="281" t="n">
        <f aca="false" t="array" ref="T56:T56">IFERROR(INDEX('Bank Schedule'!U:U, SMALL(IF('Bank Schedule'!$K$2:$K$817="Vacant", ROW('Bank Schedule'!$K$2:$K$817)), ROW(53:53))), "")</f>
        <v>43800</v>
      </c>
      <c r="U56" s="281" t="n">
        <f aca="false" t="array" ref="U56:U56">IFERROR(INDEX('Bank Schedule'!V:V, SMALL(IF('Bank Schedule'!$K$2:$K$817="Vacant", ROW('Bank Schedule'!$K$2:$K$817)), ROW(53:53))), "")</f>
        <v>45800</v>
      </c>
      <c r="V56" s="281" t="n">
        <f aca="false" t="array" ref="V56:V56">IFERROR(INDEX('Bank Schedule'!W:W, SMALL(IF('Bank Schedule'!$K$2:$K$817="Vacant", ROW('Bank Schedule'!$K$2:$K$817)), ROW(53:53))), "")</f>
        <v>45800</v>
      </c>
      <c r="W56" s="282" t="n">
        <f aca="false" t="array" ref="W56:W56">IFERROR(INDEX('Bank Schedule'!X:X, SMALL(IF('Bank Schedule'!$K$2:$K$817="Vacant", ROW('Bank Schedule'!$K$2:$K$817)), ROW(53:53))), "")</f>
        <v>54.9560853199498</v>
      </c>
      <c r="X56" s="11" t="str">
        <f aca="false" t="array" ref="X56:X56">IFERROR(INDEX('Bank Schedule'!Y:Y, SMALL(IF('Bank Schedule'!$K$2:$K$817="Vacant", ROW('Bank Schedule'!$K$2:$K$817)), ROW(53:53))), "")</f>
        <v>E</v>
      </c>
      <c r="Y56" s="11" t="str">
        <f aca="false">IFERROR(INDEX('Bank Schedule'!Z:Z, SMALL(IF('Bank Schedule'!$K$2:$K$817="Vacant", ROW('Bank Schedule'!$K$2:$K$817)), ROW(53:53))), "")</f>
        <v/>
      </c>
      <c r="Z56" s="11" t="str">
        <f aca="false">IFERROR(INDEX('Bank Schedule'!AA:AA, SMALL(IF('Bank Schedule'!$K$2:$K$817="Vacant", ROW('Bank Schedule'!$K$2:$K$817)), ROW(53:53))), "")</f>
        <v/>
      </c>
      <c r="AA56" s="11" t="str">
        <f aca="false" t="array" ref="AA56:AA56">IFERROR(INDEX('Bank Schedule'!AB:AB, SMALL(IF('Bank Schedule'!$K$2:$K$817="Vacant", ROW('Bank Schedule'!$K$2:$K$817)), ROW(53:53))), "")</f>
        <v>No</v>
      </c>
      <c r="AB56" s="94" t="str">
        <f aca="false" t="array" ref="AB56:AB56">IFERROR(INDEX('Bank Schedule'!AC:AC, SMALL(IF('Bank Schedule'!$K$2:$K$817="Vacant", ROW('Bank Schedule'!$K$2:$K$817)), ROW(53:53))), "")</f>
        <v>Unit under refurbishment</v>
      </c>
      <c r="AC56" s="44" t="n">
        <f aca="false" t="array" ref="AC56:AC56">IFERROR(INDEX('Bank Schedule'!AD:AD, SMALL(IF('Bank Schedule'!$K$2:$K$817="Vacant", ROW('Bank Schedule'!$K$2:$K$817)), ROW(53:53))), "")</f>
        <v>62.5</v>
      </c>
      <c r="AD56" s="11" t="n">
        <f aca="false" t="array" ref="AD56:AD56">IFERROR(INDEX('Bank Schedule'!AE:AE, SMALL(IF('Bank Schedule'!$K$2:$K$817="Vacant", ROW('Bank Schedule'!$K$2:$K$817)), ROW(53:53))), "")</f>
        <v>1</v>
      </c>
      <c r="AE56" s="11" t="n">
        <f aca="false" t="array" ref="AE56:AE56">IFERROR(INDEX('Bank Schedule'!AF:AF, SMALL(IF('Bank Schedule'!$K$2:$K$817="Vacant", ROW('Bank Schedule'!$K$2:$K$817)), ROW(53:53))), "")</f>
        <v>2</v>
      </c>
      <c r="AF56" s="11" t="str">
        <f aca="false" t="array" ref="AF56:AF56">IFERROR(INDEX('Bank Schedule'!AG:AG, SMALL(IF('Bank Schedule'!$K$2:$K$817="Vacant", ROW('Bank Schedule'!$K$2:$K$817)), ROW(53:53))), "")</f>
        <v>LEM</v>
      </c>
      <c r="AG56" s="4"/>
    </row>
    <row r="57" customFormat="false" ht="28.5" hidden="false" customHeight="true" outlineLevel="0" collapsed="false">
      <c r="A57" s="28" t="str">
        <f aca="false">IFERROR(INDEX('Bank Schedule'!A:A, SMALL(IF('Bank Schedule'!$K$2:$K$817="Vacant", ROW('Bank Schedule'!$K$2:$K$817)), ROW(54:54))), "")</f>
        <v/>
      </c>
      <c r="B57" s="11" t="str">
        <f aca="false" t="array" ref="B57:B57">IFERROR(INDEX('Bank Schedule'!B:B, SMALL(IF('Bank Schedule'!$K$2:$K$817="Vacant", ROW('Bank Schedule'!$K$2:$K$817)), ROW(54:54))), "")</f>
        <v>SH</v>
      </c>
      <c r="C57" s="11" t="str">
        <f aca="false" t="array" ref="C57:C57">IFERROR(INDEX('Bank Schedule'!C:C, SMALL(IF('Bank Schedule'!$K$2:$K$817="Vacant", ROW('Bank Schedule'!$K$2:$K$817)), ROW(54:54))), "")</f>
        <v>MEL</v>
      </c>
      <c r="D57" s="11" t="n">
        <f aca="false" t="array" ref="D57:D57">IFERROR(INDEX('Bank Schedule'!D:D, SMALL(IF('Bank Schedule'!$K$2:$K$817="Vacant", ROW('Bank Schedule'!$K$2:$K$817)), ROW(54:54))), "")</f>
        <v>550550</v>
      </c>
      <c r="E57" s="94" t="str">
        <f aca="false" t="array" ref="E57:E57">IFERROR(INDEX('Bank Schedule'!E:E, SMALL(IF('Bank Schedule'!$K$2:$K$817="Vacant", ROW('Bank Schedule'!$K$2:$K$817)), ROW(54:54))), "")</f>
        <v>47,48 &amp; 50 Margaret Street</v>
      </c>
      <c r="F57" s="94" t="str">
        <f aca="false" t="array" ref="F57:F57">IFERROR(INDEX('Bank Schedule'!F:F, SMALL(IF('Bank Schedule'!$K$2:$K$817="Vacant", ROW('Bank Schedule'!$K$2:$K$817)), ROW(54:54))), "")</f>
        <v>Third Floor (East)</v>
      </c>
      <c r="G57" s="94" t="str">
        <f aca="false" t="array" ref="G57:G57">IFERROR(INDEX('Bank Schedule'!G:G, SMALL(IF('Bank Schedule'!$K$2:$K$817="Vacant", ROW('Bank Schedule'!$K$2:$K$817)), ROW(54:54))), "")</f>
        <v>Office</v>
      </c>
      <c r="H57" s="14" t="n">
        <f aca="false" t="array" ref="H57:H57">IFERROR(INDEX('Bank Schedule'!H:H, SMALL(IF('Bank Schedule'!$K$2:$K$817="Vacant", ROW('Bank Schedule'!$K$2:$K$817)), ROW(54:54))), "")</f>
        <v>2508</v>
      </c>
      <c r="I57" s="14" t="n">
        <f aca="false" t="array" ref="I57:I57">IFERROR(INDEX('Bank Schedule'!I:I, SMALL(IF('Bank Schedule'!$K$2:$K$817="Vacant", ROW('Bank Schedule'!$K$2:$K$817)), ROW(54:54))), "")</f>
        <v>2508</v>
      </c>
      <c r="J57" s="11" t="str">
        <f aca="false" t="array" ref="J57:J57">IFERROR(INDEX('Bank Schedule'!K:K, SMALL(IF('Bank Schedule'!$K$2:$K$817="Vacant", ROW('Bank Schedule'!$K$2:$K$817)), ROW(54:54))), "")</f>
        <v>Vacant</v>
      </c>
      <c r="K57" s="11" t="str">
        <f aca="false">IFERROR(INDEX('Bank Schedule'!L:L, SMALL(IF('Bank Schedule'!$K$2:$K$817="Vacant", ROW('Bank Schedule'!$K$2:$K$817)), ROW(54:54))), "")</f>
        <v/>
      </c>
      <c r="L57" s="11" t="str">
        <f aca="false">IFERROR(INDEX('Bank Schedule'!M:M, SMALL(IF('Bank Schedule'!$K$2:$K$817="Vacant", ROW('Bank Schedule'!$K$2:$K$817)), ROW(54:54))), "")</f>
        <v/>
      </c>
      <c r="M57" s="71" t="n">
        <f aca="false" t="array" ref="M57:M57">IFERROR(INDEX('Bank Schedule'!N:N, SMALL(IF('Bank Schedule'!$K$2:$K$817="Vacant", ROW('Bank Schedule'!$K$2:$K$817)), ROW(54:54))), "")</f>
        <v>45504</v>
      </c>
      <c r="N57" s="11" t="str">
        <f aca="false">IFERROR(INDEX('Bank Schedule'!O:O, SMALL(IF('Bank Schedule'!$K$2:$K$817="Vacant", ROW('Bank Schedule'!$K$2:$K$817)), ROW(54:54))), "")</f>
        <v/>
      </c>
      <c r="O57" s="11" t="str">
        <f aca="false">IFERROR(INDEX('Bank Schedule'!P:P, SMALL(IF('Bank Schedule'!$K$2:$K$817="Vacant", ROW('Bank Schedule'!$K$2:$K$817)), ROW(54:54))), "")</f>
        <v/>
      </c>
      <c r="P57" s="11" t="n">
        <f aca="false" t="array" ref="P57:P57">IFERROR(INDEX('Bank Schedule'!Q:Q, SMALL(IF('Bank Schedule'!$K$2:$K$817="Vacant", ROW('Bank Schedule'!$K$2:$K$817)), ROW(54:54))), "")</f>
        <v>0</v>
      </c>
      <c r="Q57" s="11" t="n">
        <f aca="false" t="array" ref="Q57:Q57">IFERROR(INDEX('Bank Schedule'!R:R, SMALL(IF('Bank Schedule'!$K$2:$K$817="Vacant", ROW('Bank Schedule'!$K$2:$K$817)), ROW(54:54))), "")</f>
        <v>0</v>
      </c>
      <c r="R57" s="11" t="str">
        <f aca="false">IFERROR(INDEX('Bank Schedule'!S:S, SMALL(IF('Bank Schedule'!$K$2:$K$817="Vacant", ROW('Bank Schedule'!$K$2:$K$817)), ROW(54:54))), "")</f>
        <v/>
      </c>
      <c r="S57" s="281" t="n">
        <f aca="false" t="array" ref="S57:S57">IFERROR(INDEX('Bank Schedule'!T:T, SMALL(IF('Bank Schedule'!$K$2:$K$817="Vacant", ROW('Bank Schedule'!$K$2:$K$817)), ROW(54:54))), "")</f>
        <v>138800</v>
      </c>
      <c r="T57" s="281" t="n">
        <f aca="false" t="array" ref="T57:T57">IFERROR(INDEX('Bank Schedule'!U:U, SMALL(IF('Bank Schedule'!$K$2:$K$817="Vacant", ROW('Bank Schedule'!$K$2:$K$817)), ROW(54:54))), "")</f>
        <v>138800</v>
      </c>
      <c r="U57" s="281" t="n">
        <f aca="false" t="array" ref="U57:U57">IFERROR(INDEX('Bank Schedule'!V:V, SMALL(IF('Bank Schedule'!$K$2:$K$817="Vacant", ROW('Bank Schedule'!$K$2:$K$817)), ROW(54:54))), "")</f>
        <v>141700</v>
      </c>
      <c r="V57" s="281" t="n">
        <f aca="false" t="array" ref="V57:V57">IFERROR(INDEX('Bank Schedule'!W:W, SMALL(IF('Bank Schedule'!$K$2:$K$817="Vacant", ROW('Bank Schedule'!$K$2:$K$817)), ROW(54:54))), "")</f>
        <v>141700</v>
      </c>
      <c r="W57" s="282" t="n">
        <f aca="false" t="array" ref="W57:W57">IFERROR(INDEX('Bank Schedule'!X:X, SMALL(IF('Bank Schedule'!$K$2:$K$817="Vacant", ROW('Bank Schedule'!$K$2:$K$817)), ROW(54:54))), "")</f>
        <v>55.3429027113238</v>
      </c>
      <c r="X57" s="11" t="str">
        <f aca="false" t="array" ref="X57:X57">IFERROR(INDEX('Bank Schedule'!Y:Y, SMALL(IF('Bank Schedule'!$K$2:$K$817="Vacant", ROW('Bank Schedule'!$K$2:$K$817)), ROW(54:54))), "")</f>
        <v>C</v>
      </c>
      <c r="Y57" s="11" t="str">
        <f aca="false">IFERROR(INDEX('Bank Schedule'!Z:Z, SMALL(IF('Bank Schedule'!$K$2:$K$817="Vacant", ROW('Bank Schedule'!$K$2:$K$817)), ROW(54:54))), "")</f>
        <v/>
      </c>
      <c r="Z57" s="11" t="str">
        <f aca="false">IFERROR(INDEX('Bank Schedule'!AA:AA, SMALL(IF('Bank Schedule'!$K$2:$K$817="Vacant", ROW('Bank Schedule'!$K$2:$K$817)), ROW(54:54))), "")</f>
        <v/>
      </c>
      <c r="AA57" s="11" t="str">
        <f aca="false" t="array" ref="AA57:AA57">IFERROR(INDEX('Bank Schedule'!AB:AB, SMALL(IF('Bank Schedule'!$K$2:$K$817="Vacant", ROW('Bank Schedule'!$K$2:$K$817)), ROW(54:54))), "")</f>
        <v>No</v>
      </c>
      <c r="AB57" s="94" t="str">
        <f aca="false">IFERROR(INDEX('Bank Schedule'!AC:AC, SMALL(IF('Bank Schedule'!$K$2:$K$817="Vacant", ROW('Bank Schedule'!$K$2:$K$817)), ROW(54:54))), "")</f>
        <v/>
      </c>
      <c r="AC57" s="44" t="n">
        <f aca="false" t="array" ref="AC57:AC57">IFERROR(INDEX('Bank Schedule'!AD:AD, SMALL(IF('Bank Schedule'!$K$2:$K$817="Vacant", ROW('Bank Schedule'!$K$2:$K$817)), ROW(54:54))), "")</f>
        <v>72.5</v>
      </c>
      <c r="AD57" s="11" t="n">
        <f aca="false" t="array" ref="AD57:AD57">IFERROR(INDEX('Bank Schedule'!AE:AE, SMALL(IF('Bank Schedule'!$K$2:$K$817="Vacant", ROW('Bank Schedule'!$K$2:$K$817)), ROW(54:54))), "")</f>
        <v>1</v>
      </c>
      <c r="AE57" s="11" t="n">
        <f aca="false" t="array" ref="AE57:AE57">IFERROR(INDEX('Bank Schedule'!AF:AF, SMALL(IF('Bank Schedule'!$K$2:$K$817="Vacant", ROW('Bank Schedule'!$K$2:$K$817)), ROW(54:54))), "")</f>
        <v>3</v>
      </c>
      <c r="AF57" s="11" t="str">
        <f aca="false" t="array" ref="AF57:AF57">IFERROR(INDEX('Bank Schedule'!AG:AG, SMALL(IF('Bank Schedule'!$K$2:$K$817="Vacant", ROW('Bank Schedule'!$K$2:$K$817)), ROW(54:54))), "")</f>
        <v>LDG</v>
      </c>
      <c r="AG57" s="4"/>
    </row>
    <row r="58" customFormat="false" ht="28.5" hidden="false" customHeight="true" outlineLevel="0" collapsed="false">
      <c r="A58" s="28" t="str">
        <f aca="false">IFERROR(INDEX('Bank Schedule'!A:A, SMALL(IF('Bank Schedule'!$K$2:$K$817="Vacant", ROW('Bank Schedule'!$K$2:$K$817)), ROW(55:55))), "")</f>
        <v/>
      </c>
      <c r="B58" s="11" t="str">
        <f aca="false" t="array" ref="B58:B58">IFERROR(INDEX('Bank Schedule'!B:B, SMALL(IF('Bank Schedule'!$K$2:$K$817="Vacant", ROW('Bank Schedule'!$K$2:$K$817)), ROW(55:55))), "")</f>
        <v>SH</v>
      </c>
      <c r="C58" s="11" t="str">
        <f aca="false" t="array" ref="C58:C58">IFERROR(INDEX('Bank Schedule'!C:C, SMALL(IF('Bank Schedule'!$K$2:$K$817="Vacant", ROW('Bank Schedule'!$K$2:$K$817)), ROW(55:55))), "")</f>
        <v>MEL</v>
      </c>
      <c r="D58" s="11" t="n">
        <f aca="false" t="array" ref="D58:D58">IFERROR(INDEX('Bank Schedule'!D:D, SMALL(IF('Bank Schedule'!$K$2:$K$817="Vacant", ROW('Bank Schedule'!$K$2:$K$817)), ROW(55:55))), "")</f>
        <v>550550</v>
      </c>
      <c r="E58" s="94" t="str">
        <f aca="false" t="array" ref="E58:E58">IFERROR(INDEX('Bank Schedule'!E:E, SMALL(IF('Bank Schedule'!$K$2:$K$817="Vacant", ROW('Bank Schedule'!$K$2:$K$817)), ROW(55:55))), "")</f>
        <v>47,48 &amp; 50 Margaret Street</v>
      </c>
      <c r="F58" s="94" t="str">
        <f aca="false" t="array" ref="F58:F58">IFERROR(INDEX('Bank Schedule'!F:F, SMALL(IF('Bank Schedule'!$K$2:$K$817="Vacant", ROW('Bank Schedule'!$K$2:$K$817)), ROW(55:55))), "")</f>
        <v>Third Floor (West)</v>
      </c>
      <c r="G58" s="94" t="str">
        <f aca="false" t="array" ref="G58:G58">IFERROR(INDEX('Bank Schedule'!G:G, SMALL(IF('Bank Schedule'!$K$2:$K$817="Vacant", ROW('Bank Schedule'!$K$2:$K$817)), ROW(55:55))), "")</f>
        <v>Office</v>
      </c>
      <c r="H58" s="14" t="n">
        <f aca="false" t="array" ref="H58:H58">IFERROR(INDEX('Bank Schedule'!H:H, SMALL(IF('Bank Schedule'!$K$2:$K$817="Vacant", ROW('Bank Schedule'!$K$2:$K$817)), ROW(55:55))), "")</f>
        <v>389</v>
      </c>
      <c r="I58" s="14" t="n">
        <f aca="false" t="array" ref="I58:I58">IFERROR(INDEX('Bank Schedule'!I:I, SMALL(IF('Bank Schedule'!$K$2:$K$817="Vacant", ROW('Bank Schedule'!$K$2:$K$817)), ROW(55:55))), "")</f>
        <v>389</v>
      </c>
      <c r="J58" s="11" t="str">
        <f aca="false" t="array" ref="J58:J58">IFERROR(INDEX('Bank Schedule'!K:K, SMALL(IF('Bank Schedule'!$K$2:$K$817="Vacant", ROW('Bank Schedule'!$K$2:$K$817)), ROW(55:55))), "")</f>
        <v>Vacant</v>
      </c>
      <c r="K58" s="11" t="str">
        <f aca="false">IFERROR(INDEX('Bank Schedule'!L:L, SMALL(IF('Bank Schedule'!$K$2:$K$817="Vacant", ROW('Bank Schedule'!$K$2:$K$817)), ROW(55:55))), "")</f>
        <v/>
      </c>
      <c r="L58" s="11" t="str">
        <f aca="false">IFERROR(INDEX('Bank Schedule'!M:M, SMALL(IF('Bank Schedule'!$K$2:$K$817="Vacant", ROW('Bank Schedule'!$K$2:$K$817)), ROW(55:55))), "")</f>
        <v/>
      </c>
      <c r="M58" s="71" t="n">
        <f aca="false" t="array" ref="M58:M58">IFERROR(INDEX('Bank Schedule'!N:N, SMALL(IF('Bank Schedule'!$K$2:$K$817="Vacant", ROW('Bank Schedule'!$K$2:$K$817)), ROW(55:55))), "")</f>
        <v>45635</v>
      </c>
      <c r="N58" s="11" t="str">
        <f aca="false">IFERROR(INDEX('Bank Schedule'!O:O, SMALL(IF('Bank Schedule'!$K$2:$K$817="Vacant", ROW('Bank Schedule'!$K$2:$K$817)), ROW(55:55))), "")</f>
        <v/>
      </c>
      <c r="O58" s="11" t="str">
        <f aca="false">IFERROR(INDEX('Bank Schedule'!P:P, SMALL(IF('Bank Schedule'!$K$2:$K$817="Vacant", ROW('Bank Schedule'!$K$2:$K$817)), ROW(55:55))), "")</f>
        <v/>
      </c>
      <c r="P58" s="11" t="n">
        <f aca="false" t="array" ref="P58:P58">IFERROR(INDEX('Bank Schedule'!Q:Q, SMALL(IF('Bank Schedule'!$K$2:$K$817="Vacant", ROW('Bank Schedule'!$K$2:$K$817)), ROW(55:55))), "")</f>
        <v>0</v>
      </c>
      <c r="Q58" s="11" t="n">
        <f aca="false" t="array" ref="Q58:Q58">IFERROR(INDEX('Bank Schedule'!R:R, SMALL(IF('Bank Schedule'!$K$2:$K$817="Vacant", ROW('Bank Schedule'!$K$2:$K$817)), ROW(55:55))), "")</f>
        <v>0</v>
      </c>
      <c r="R58" s="11" t="str">
        <f aca="false">IFERROR(INDEX('Bank Schedule'!S:S, SMALL(IF('Bank Schedule'!$K$2:$K$817="Vacant", ROW('Bank Schedule'!$K$2:$K$817)), ROW(55:55))), "")</f>
        <v/>
      </c>
      <c r="S58" s="281" t="n">
        <f aca="false" t="array" ref="S58:S58">IFERROR(INDEX('Bank Schedule'!T:T, SMALL(IF('Bank Schedule'!$K$2:$K$817="Vacant", ROW('Bank Schedule'!$K$2:$K$817)), ROW(55:55))), "")</f>
        <v>19500</v>
      </c>
      <c r="T58" s="281" t="n">
        <f aca="false" t="array" ref="T58:T58">IFERROR(INDEX('Bank Schedule'!U:U, SMALL(IF('Bank Schedule'!$K$2:$K$817="Vacant", ROW('Bank Schedule'!$K$2:$K$817)), ROW(55:55))), "")</f>
        <v>19500</v>
      </c>
      <c r="U58" s="281" t="n">
        <f aca="false" t="array" ref="U58:U58">IFERROR(INDEX('Bank Schedule'!V:V, SMALL(IF('Bank Schedule'!$K$2:$K$817="Vacant", ROW('Bank Schedule'!$K$2:$K$817)), ROW(55:55))), "")</f>
        <v>22400</v>
      </c>
      <c r="V58" s="281" t="n">
        <f aca="false" t="array" ref="V58:V58">IFERROR(INDEX('Bank Schedule'!W:W, SMALL(IF('Bank Schedule'!$K$2:$K$817="Vacant", ROW('Bank Schedule'!$K$2:$K$817)), ROW(55:55))), "")</f>
        <v>22400</v>
      </c>
      <c r="W58" s="282" t="n">
        <f aca="false" t="array" ref="W58:W58">IFERROR(INDEX('Bank Schedule'!X:X, SMALL(IF('Bank Schedule'!$K$2:$K$817="Vacant", ROW('Bank Schedule'!$K$2:$K$817)), ROW(55:55))), "")</f>
        <v>50.1285347043702</v>
      </c>
      <c r="X58" s="11" t="str">
        <f aca="false" t="array" ref="X58:X58">IFERROR(INDEX('Bank Schedule'!Y:Y, SMALL(IF('Bank Schedule'!$K$2:$K$817="Vacant", ROW('Bank Schedule'!$K$2:$K$817)), ROW(55:55))), "")</f>
        <v>C</v>
      </c>
      <c r="Y58" s="11" t="str">
        <f aca="false">IFERROR(INDEX('Bank Schedule'!Z:Z, SMALL(IF('Bank Schedule'!$K$2:$K$817="Vacant", ROW('Bank Schedule'!$K$2:$K$817)), ROW(55:55))), "")</f>
        <v/>
      </c>
      <c r="Z58" s="11" t="str">
        <f aca="false">IFERROR(INDEX('Bank Schedule'!AA:AA, SMALL(IF('Bank Schedule'!$K$2:$K$817="Vacant", ROW('Bank Schedule'!$K$2:$K$817)), ROW(55:55))), "")</f>
        <v/>
      </c>
      <c r="AA58" s="11" t="str">
        <f aca="false" t="array" ref="AA58:AA58">IFERROR(INDEX('Bank Schedule'!AB:AB, SMALL(IF('Bank Schedule'!$K$2:$K$817="Vacant", ROW('Bank Schedule'!$K$2:$K$817)), ROW(55:55))), "")</f>
        <v>No</v>
      </c>
      <c r="AB58" s="94" t="str">
        <f aca="false" t="array" ref="AB58:AB58">IFERROR(INDEX('Bank Schedule'!AC:AC, SMALL(IF('Bank Schedule'!$K$2:$K$817="Vacant", ROW('Bank Schedule'!$K$2:$K$817)), ROW(55:55))), "")</f>
        <v>LEM marketing.</v>
      </c>
      <c r="AC58" s="44" t="str">
        <f aca="false">IFERROR(INDEX('Bank Schedule'!AD:AD, SMALL(IF('Bank Schedule'!$K$2:$K$817="Vacant", ROW('Bank Schedule'!$K$2:$K$817)), ROW(55:55))), "")</f>
        <v/>
      </c>
      <c r="AD58" s="11" t="str">
        <f aca="false">IFERROR(INDEX('Bank Schedule'!AE:AE, SMALL(IF('Bank Schedule'!$K$2:$K$817="Vacant", ROW('Bank Schedule'!$K$2:$K$817)), ROW(55:55))), "")</f>
        <v/>
      </c>
      <c r="AE58" s="11" t="str">
        <f aca="false">IFERROR(INDEX('Bank Schedule'!AF:AF, SMALL(IF('Bank Schedule'!$K$2:$K$817="Vacant", ROW('Bank Schedule'!$K$2:$K$817)), ROW(55:55))), "")</f>
        <v/>
      </c>
      <c r="AF58" s="11" t="str">
        <f aca="false">IFERROR(INDEX('Bank Schedule'!AG:AG, SMALL(IF('Bank Schedule'!$K$2:$K$817="Vacant", ROW('Bank Schedule'!$K$2:$K$817)), ROW(55:55))), "")</f>
        <v/>
      </c>
      <c r="AG58" s="4"/>
    </row>
    <row r="59" customFormat="false" ht="28.5" hidden="false" customHeight="true" outlineLevel="0" collapsed="false">
      <c r="A59" s="28" t="str">
        <f aca="false">IFERROR(INDEX('Bank Schedule'!A:A, SMALL(IF('Bank Schedule'!$K$2:$K$817="Vacant", ROW('Bank Schedule'!$K$2:$K$817)), ROW(56:56))), "")</f>
        <v/>
      </c>
      <c r="B59" s="11" t="str">
        <f aca="false" t="array" ref="B59:B59">IFERROR(INDEX('Bank Schedule'!B:B, SMALL(IF('Bank Schedule'!$K$2:$K$817="Vacant", ROW('Bank Schedule'!$K$2:$K$817)), ROW(56:56))), "")</f>
        <v>SH</v>
      </c>
      <c r="C59" s="11" t="str">
        <f aca="false" t="array" ref="C59:C59">IFERROR(INDEX('Bank Schedule'!C:C, SMALL(IF('Bank Schedule'!$K$2:$K$817="Vacant", ROW('Bank Schedule'!$K$2:$K$817)), ROW(56:56))), "")</f>
        <v>MEL</v>
      </c>
      <c r="D59" s="11" t="n">
        <f aca="false" t="array" ref="D59:D59">IFERROR(INDEX('Bank Schedule'!D:D, SMALL(IF('Bank Schedule'!$K$2:$K$817="Vacant", ROW('Bank Schedule'!$K$2:$K$817)), ROW(56:56))), "")</f>
        <v>550550</v>
      </c>
      <c r="E59" s="94" t="str">
        <f aca="false" t="array" ref="E59:E59">IFERROR(INDEX('Bank Schedule'!E:E, SMALL(IF('Bank Schedule'!$K$2:$K$817="Vacant", ROW('Bank Schedule'!$K$2:$K$817)), ROW(56:56))), "")</f>
        <v>47,48 &amp; 50 Margaret Street</v>
      </c>
      <c r="F59" s="94" t="str">
        <f aca="false" t="array" ref="F59:F59">IFERROR(INDEX('Bank Schedule'!F:F, SMALL(IF('Bank Schedule'!$K$2:$K$817="Vacant", ROW('Bank Schedule'!$K$2:$K$817)), ROW(56:56))), "")</f>
        <v>Fourth Floor (East)</v>
      </c>
      <c r="G59" s="94" t="str">
        <f aca="false" t="array" ref="G59:G59">IFERROR(INDEX('Bank Schedule'!G:G, SMALL(IF('Bank Schedule'!$K$2:$K$817="Vacant", ROW('Bank Schedule'!$K$2:$K$817)), ROW(56:56))), "")</f>
        <v>D1</v>
      </c>
      <c r="H59" s="14" t="n">
        <f aca="false" t="array" ref="H59:H59">IFERROR(INDEX('Bank Schedule'!H:H, SMALL(IF('Bank Schedule'!$K$2:$K$817="Vacant", ROW('Bank Schedule'!$K$2:$K$817)), ROW(56:56))), "")</f>
        <v>691</v>
      </c>
      <c r="I59" s="14" t="n">
        <f aca="false" t="array" ref="I59:I59">IFERROR(INDEX('Bank Schedule'!I:I, SMALL(IF('Bank Schedule'!$K$2:$K$817="Vacant", ROW('Bank Schedule'!$K$2:$K$817)), ROW(56:56))), "")</f>
        <v>691</v>
      </c>
      <c r="J59" s="11" t="str">
        <f aca="false" t="array" ref="J59:J59">IFERROR(INDEX('Bank Schedule'!K:K, SMALL(IF('Bank Schedule'!$K$2:$K$817="Vacant", ROW('Bank Schedule'!$K$2:$K$817)), ROW(56:56))), "")</f>
        <v>Vacant</v>
      </c>
      <c r="K59" s="11" t="str">
        <f aca="false">IFERROR(INDEX('Bank Schedule'!L:L, SMALL(IF('Bank Schedule'!$K$2:$K$817="Vacant", ROW('Bank Schedule'!$K$2:$K$817)), ROW(56:56))), "")</f>
        <v/>
      </c>
      <c r="L59" s="11" t="str">
        <f aca="false">IFERROR(INDEX('Bank Schedule'!M:M, SMALL(IF('Bank Schedule'!$K$2:$K$817="Vacant", ROW('Bank Schedule'!$K$2:$K$817)), ROW(56:56))), "")</f>
        <v/>
      </c>
      <c r="M59" s="71" t="n">
        <f aca="false" t="array" ref="M59:M59">IFERROR(INDEX('Bank Schedule'!N:N, SMALL(IF('Bank Schedule'!$K$2:$K$817="Vacant", ROW('Bank Schedule'!$K$2:$K$817)), ROW(56:56))), "")</f>
        <v>45434</v>
      </c>
      <c r="N59" s="11" t="str">
        <f aca="false">IFERROR(INDEX('Bank Schedule'!O:O, SMALL(IF('Bank Schedule'!$K$2:$K$817="Vacant", ROW('Bank Schedule'!$K$2:$K$817)), ROW(56:56))), "")</f>
        <v/>
      </c>
      <c r="O59" s="11" t="str">
        <f aca="false">IFERROR(INDEX('Bank Schedule'!P:P, SMALL(IF('Bank Schedule'!$K$2:$K$817="Vacant", ROW('Bank Schedule'!$K$2:$K$817)), ROW(56:56))), "")</f>
        <v/>
      </c>
      <c r="P59" s="11" t="n">
        <f aca="false" t="array" ref="P59:P59">IFERROR(INDEX('Bank Schedule'!Q:Q, SMALL(IF('Bank Schedule'!$K$2:$K$817="Vacant", ROW('Bank Schedule'!$K$2:$K$817)), ROW(56:56))), "")</f>
        <v>0</v>
      </c>
      <c r="Q59" s="11" t="n">
        <f aca="false" t="array" ref="Q59:Q59">IFERROR(INDEX('Bank Schedule'!R:R, SMALL(IF('Bank Schedule'!$K$2:$K$817="Vacant", ROW('Bank Schedule'!$K$2:$K$817)), ROW(56:56))), "")</f>
        <v>0</v>
      </c>
      <c r="R59" s="11" t="str">
        <f aca="false">IFERROR(INDEX('Bank Schedule'!S:S, SMALL(IF('Bank Schedule'!$K$2:$K$817="Vacant", ROW('Bank Schedule'!$K$2:$K$817)), ROW(56:56))), "")</f>
        <v/>
      </c>
      <c r="S59" s="281" t="n">
        <f aca="false" t="array" ref="S59:S59">IFERROR(INDEX('Bank Schedule'!T:T, SMALL(IF('Bank Schedule'!$K$2:$K$817="Vacant", ROW('Bank Schedule'!$K$2:$K$817)), ROW(56:56))), "")</f>
        <v>42000</v>
      </c>
      <c r="T59" s="281" t="n">
        <f aca="false" t="array" ref="T59:T59">IFERROR(INDEX('Bank Schedule'!U:U, SMALL(IF('Bank Schedule'!$K$2:$K$817="Vacant", ROW('Bank Schedule'!$K$2:$K$817)), ROW(56:56))), "")</f>
        <v>42000</v>
      </c>
      <c r="U59" s="281" t="n">
        <f aca="false" t="array" ref="U59:U59">IFERROR(INDEX('Bank Schedule'!V:V, SMALL(IF('Bank Schedule'!$K$2:$K$817="Vacant", ROW('Bank Schedule'!$K$2:$K$817)), ROW(56:56))), "")</f>
        <v>41500</v>
      </c>
      <c r="V59" s="281" t="n">
        <f aca="false" t="array" ref="V59:V59">IFERROR(INDEX('Bank Schedule'!W:W, SMALL(IF('Bank Schedule'!$K$2:$K$817="Vacant", ROW('Bank Schedule'!$K$2:$K$817)), ROW(56:56))), "")</f>
        <v>41500</v>
      </c>
      <c r="W59" s="282" t="n">
        <f aca="false" t="array" ref="W59:W59">IFERROR(INDEX('Bank Schedule'!X:X, SMALL(IF('Bank Schedule'!$K$2:$K$817="Vacant", ROW('Bank Schedule'!$K$2:$K$817)), ROW(56:56))), "")</f>
        <v>60.781476121563</v>
      </c>
      <c r="X59" s="11" t="str">
        <f aca="false" t="array" ref="X59:X59">IFERROR(INDEX('Bank Schedule'!Y:Y, SMALL(IF('Bank Schedule'!$K$2:$K$817="Vacant", ROW('Bank Schedule'!$K$2:$K$817)), ROW(56:56))), "")</f>
        <v>C</v>
      </c>
      <c r="Y59" s="11" t="str">
        <f aca="false">IFERROR(INDEX('Bank Schedule'!Z:Z, SMALL(IF('Bank Schedule'!$K$2:$K$817="Vacant", ROW('Bank Schedule'!$K$2:$K$817)), ROW(56:56))), "")</f>
        <v/>
      </c>
      <c r="Z59" s="11" t="str">
        <f aca="false">IFERROR(INDEX('Bank Schedule'!AA:AA, SMALL(IF('Bank Schedule'!$K$2:$K$817="Vacant", ROW('Bank Schedule'!$K$2:$K$817)), ROW(56:56))), "")</f>
        <v/>
      </c>
      <c r="AA59" s="11" t="str">
        <f aca="false" t="array" ref="AA59:AA59">IFERROR(INDEX('Bank Schedule'!AB:AB, SMALL(IF('Bank Schedule'!$K$2:$K$817="Vacant", ROW('Bank Schedule'!$K$2:$K$817)), ROW(56:56))), "")</f>
        <v>No</v>
      </c>
      <c r="AB59" s="94" t="str">
        <f aca="false" t="array" ref="AB59:AB59">IFERROR(INDEX('Bank Schedule'!AC:AC, SMALL(IF('Bank Schedule'!$K$2:$K$817="Vacant", ROW('Bank Schedule'!$K$2:$K$817)), ROW(56:56))), "")</f>
        <v>LEM marketing.</v>
      </c>
      <c r="AC59" s="44" t="n">
        <f aca="false" t="array" ref="AC59:AC59">IFERROR(INDEX('Bank Schedule'!AD:AD, SMALL(IF('Bank Schedule'!$K$2:$K$817="Vacant", ROW('Bank Schedule'!$K$2:$K$817)), ROW(56:56))), "")</f>
        <v>62.5</v>
      </c>
      <c r="AD59" s="11" t="str">
        <f aca="false">IFERROR(INDEX('Bank Schedule'!AE:AE, SMALL(IF('Bank Schedule'!$K$2:$K$817="Vacant", ROW('Bank Schedule'!$K$2:$K$817)), ROW(56:56))), "")</f>
        <v/>
      </c>
      <c r="AE59" s="11" t="str">
        <f aca="false">IFERROR(INDEX('Bank Schedule'!AF:AF, SMALL(IF('Bank Schedule'!$K$2:$K$817="Vacant", ROW('Bank Schedule'!$K$2:$K$817)), ROW(56:56))), "")</f>
        <v/>
      </c>
      <c r="AF59" s="11" t="str">
        <f aca="false">IFERROR(INDEX('Bank Schedule'!AG:AG, SMALL(IF('Bank Schedule'!$K$2:$K$817="Vacant", ROW('Bank Schedule'!$K$2:$K$817)), ROW(56:56))), "")</f>
        <v/>
      </c>
      <c r="AG59" s="4"/>
    </row>
    <row r="60" customFormat="false" ht="28.5" hidden="false" customHeight="true" outlineLevel="0" collapsed="false">
      <c r="A60" s="28" t="str">
        <f aca="false">IFERROR(INDEX('Bank Schedule'!A:A, SMALL(IF('Bank Schedule'!$K$2:$K$817="Vacant", ROW('Bank Schedule'!$K$2:$K$817)), ROW(57:57))), "")</f>
        <v/>
      </c>
      <c r="B60" s="11" t="str">
        <f aca="false" t="array" ref="B60:B60">IFERROR(INDEX('Bank Schedule'!B:B, SMALL(IF('Bank Schedule'!$K$2:$K$817="Vacant", ROW('Bank Schedule'!$K$2:$K$817)), ROW(57:57))), "")</f>
        <v>SH</v>
      </c>
      <c r="C60" s="11" t="str">
        <f aca="false" t="array" ref="C60:C60">IFERROR(INDEX('Bank Schedule'!C:C, SMALL(IF('Bank Schedule'!$K$2:$K$817="Vacant", ROW('Bank Schedule'!$K$2:$K$817)), ROW(57:57))), "")</f>
        <v>MEL</v>
      </c>
      <c r="D60" s="11" t="n">
        <f aca="false" t="array" ref="D60:D60">IFERROR(INDEX('Bank Schedule'!D:D, SMALL(IF('Bank Schedule'!$K$2:$K$817="Vacant", ROW('Bank Schedule'!$K$2:$K$817)), ROW(57:57))), "")</f>
        <v>550510</v>
      </c>
      <c r="E60" s="94" t="str">
        <f aca="false" t="array" ref="E60:E60">IFERROR(INDEX('Bank Schedule'!E:E, SMALL(IF('Bank Schedule'!$K$2:$K$817="Vacant", ROW('Bank Schedule'!$K$2:$K$817)), ROW(57:57))), "")</f>
        <v>51-53 Margaret Street</v>
      </c>
      <c r="F60" s="94" t="str">
        <f aca="false" t="array" ref="F60:F60">IFERROR(INDEX('Bank Schedule'!F:F, SMALL(IF('Bank Schedule'!$K$2:$K$817="Vacant", ROW('Bank Schedule'!$K$2:$K$817)), ROW(57:57))), "")</f>
        <v>First Floor (West)</v>
      </c>
      <c r="G60" s="94" t="str">
        <f aca="false" t="array" ref="G60:G60">IFERROR(INDEX('Bank Schedule'!G:G, SMALL(IF('Bank Schedule'!$K$2:$K$817="Vacant", ROW('Bank Schedule'!$K$2:$K$817)), ROW(57:57))), "")</f>
        <v>Office</v>
      </c>
      <c r="H60" s="14" t="n">
        <f aca="false" t="array" ref="H60:H60">IFERROR(INDEX('Bank Schedule'!H:H, SMALL(IF('Bank Schedule'!$K$2:$K$817="Vacant", ROW('Bank Schedule'!$K$2:$K$817)), ROW(57:57))), "")</f>
        <v>450</v>
      </c>
      <c r="I60" s="14" t="n">
        <f aca="false" t="array" ref="I60:I60">IFERROR(INDEX('Bank Schedule'!I:I, SMALL(IF('Bank Schedule'!$K$2:$K$817="Vacant", ROW('Bank Schedule'!$K$2:$K$817)), ROW(57:57))), "")</f>
        <v>450</v>
      </c>
      <c r="J60" s="11" t="str">
        <f aca="false" t="array" ref="J60:J60">IFERROR(INDEX('Bank Schedule'!K:K, SMALL(IF('Bank Schedule'!$K$2:$K$817="Vacant", ROW('Bank Schedule'!$K$2:$K$817)), ROW(57:57))), "")</f>
        <v>Vacant</v>
      </c>
      <c r="K60" s="11" t="str">
        <f aca="false">IFERROR(INDEX('Bank Schedule'!L:L, SMALL(IF('Bank Schedule'!$K$2:$K$817="Vacant", ROW('Bank Schedule'!$K$2:$K$817)), ROW(57:57))), "")</f>
        <v/>
      </c>
      <c r="L60" s="11" t="str">
        <f aca="false">IFERROR(INDEX('Bank Schedule'!M:M, SMALL(IF('Bank Schedule'!$K$2:$K$817="Vacant", ROW('Bank Schedule'!$K$2:$K$817)), ROW(57:57))), "")</f>
        <v/>
      </c>
      <c r="M60" s="71" t="n">
        <f aca="false" t="array" ref="M60:M60">IFERROR(INDEX('Bank Schedule'!N:N, SMALL(IF('Bank Schedule'!$K$2:$K$817="Vacant", ROW('Bank Schedule'!$K$2:$K$817)), ROW(57:57))), "")</f>
        <v>42943</v>
      </c>
      <c r="N60" s="11" t="str">
        <f aca="false">IFERROR(INDEX('Bank Schedule'!O:O, SMALL(IF('Bank Schedule'!$K$2:$K$817="Vacant", ROW('Bank Schedule'!$K$2:$K$817)), ROW(57:57))), "")</f>
        <v/>
      </c>
      <c r="O60" s="11" t="str">
        <f aca="false">IFERROR(INDEX('Bank Schedule'!P:P, SMALL(IF('Bank Schedule'!$K$2:$K$817="Vacant", ROW('Bank Schedule'!$K$2:$K$817)), ROW(57:57))), "")</f>
        <v/>
      </c>
      <c r="P60" s="11" t="n">
        <f aca="false" t="array" ref="P60:P60">IFERROR(INDEX('Bank Schedule'!Q:Q, SMALL(IF('Bank Schedule'!$K$2:$K$817="Vacant", ROW('Bank Schedule'!$K$2:$K$817)), ROW(57:57))), "")</f>
        <v>0</v>
      </c>
      <c r="Q60" s="11" t="n">
        <f aca="false" t="array" ref="Q60:Q60">IFERROR(INDEX('Bank Schedule'!R:R, SMALL(IF('Bank Schedule'!$K$2:$K$817="Vacant", ROW('Bank Schedule'!$K$2:$K$817)), ROW(57:57))), "")</f>
        <v>0</v>
      </c>
      <c r="R60" s="11" t="str">
        <f aca="false">IFERROR(INDEX('Bank Schedule'!S:S, SMALL(IF('Bank Schedule'!$K$2:$K$817="Vacant", ROW('Bank Schedule'!$K$2:$K$817)), ROW(57:57))), "")</f>
        <v/>
      </c>
      <c r="S60" s="281" t="n">
        <f aca="false" t="array" ref="S60:S60">IFERROR(INDEX('Bank Schedule'!T:T, SMALL(IF('Bank Schedule'!$K$2:$K$817="Vacant", ROW('Bank Schedule'!$K$2:$K$817)), ROW(57:57))), "")</f>
        <v>23600</v>
      </c>
      <c r="T60" s="281" t="n">
        <f aca="false" t="array" ref="T60:T60">IFERROR(INDEX('Bank Schedule'!U:U, SMALL(IF('Bank Schedule'!$K$2:$K$817="Vacant", ROW('Bank Schedule'!$K$2:$K$817)), ROW(57:57))), "")</f>
        <v>23600</v>
      </c>
      <c r="U60" s="281" t="n">
        <f aca="false" t="array" ref="U60:U60">IFERROR(INDEX('Bank Schedule'!V:V, SMALL(IF('Bank Schedule'!$K$2:$K$817="Vacant", ROW('Bank Schedule'!$K$2:$K$817)), ROW(57:57))), "")</f>
        <v>25900</v>
      </c>
      <c r="V60" s="281" t="n">
        <f aca="false" t="array" ref="V60:V60">IFERROR(INDEX('Bank Schedule'!W:W, SMALL(IF('Bank Schedule'!$K$2:$K$817="Vacant", ROW('Bank Schedule'!$K$2:$K$817)), ROW(57:57))), "")</f>
        <v>25900</v>
      </c>
      <c r="W60" s="282" t="n">
        <f aca="false" t="array" ref="W60:W60">IFERROR(INDEX('Bank Schedule'!X:X, SMALL(IF('Bank Schedule'!$K$2:$K$817="Vacant", ROW('Bank Schedule'!$K$2:$K$817)), ROW(57:57))), "")</f>
        <v>52.4444444444444</v>
      </c>
      <c r="X60" s="11" t="str">
        <f aca="false" t="array" ref="X60:X60">IFERROR(INDEX('Bank Schedule'!Y:Y, SMALL(IF('Bank Schedule'!$K$2:$K$817="Vacant", ROW('Bank Schedule'!$K$2:$K$817)), ROW(57:57))), "")</f>
        <v>B</v>
      </c>
      <c r="Y60" s="11" t="str">
        <f aca="false">IFERROR(INDEX('Bank Schedule'!Z:Z, SMALL(IF('Bank Schedule'!$K$2:$K$817="Vacant", ROW('Bank Schedule'!$K$2:$K$817)), ROW(57:57))), "")</f>
        <v/>
      </c>
      <c r="Z60" s="11" t="str">
        <f aca="false">IFERROR(INDEX('Bank Schedule'!AA:AA, SMALL(IF('Bank Schedule'!$K$2:$K$817="Vacant", ROW('Bank Schedule'!$K$2:$K$817)), ROW(57:57))), "")</f>
        <v/>
      </c>
      <c r="AA60" s="11" t="str">
        <f aca="false" t="array" ref="AA60:AA60">IFERROR(INDEX('Bank Schedule'!AB:AB, SMALL(IF('Bank Schedule'!$K$2:$K$817="Vacant", ROW('Bank Schedule'!$K$2:$K$817)), ROW(57:57))), "")</f>
        <v>No</v>
      </c>
      <c r="AB60" s="94" t="str">
        <f aca="false">IFERROR(INDEX('Bank Schedule'!AC:AC, SMALL(IF('Bank Schedule'!$K$2:$K$817="Vacant", ROW('Bank Schedule'!$K$2:$K$817)), ROW(57:57))), "")</f>
        <v/>
      </c>
      <c r="AC60" s="44" t="str">
        <f aca="false">IFERROR(INDEX('Bank Schedule'!AD:AD, SMALL(IF('Bank Schedule'!$K$2:$K$817="Vacant", ROW('Bank Schedule'!$K$2:$K$817)), ROW(57:57))), "")</f>
        <v/>
      </c>
      <c r="AD60" s="11" t="str">
        <f aca="false">IFERROR(INDEX('Bank Schedule'!AE:AE, SMALL(IF('Bank Schedule'!$K$2:$K$817="Vacant", ROW('Bank Schedule'!$K$2:$K$817)), ROW(57:57))), "")</f>
        <v/>
      </c>
      <c r="AE60" s="11" t="n">
        <f aca="false" t="array" ref="AE60:AE60">IFERROR(INDEX('Bank Schedule'!AF:AF, SMALL(IF('Bank Schedule'!$K$2:$K$817="Vacant", ROW('Bank Schedule'!$K$2:$K$817)), ROW(57:57))), "")</f>
        <v>2</v>
      </c>
      <c r="AF60" s="11" t="str">
        <f aca="false" t="array" ref="AF60:AF60">IFERROR(INDEX('Bank Schedule'!AG:AG, SMALL(IF('Bank Schedule'!$K$2:$K$817="Vacant", ROW('Bank Schedule'!$K$2:$K$817)), ROW(57:57))), "")</f>
        <v>LEM / RIB</v>
      </c>
      <c r="AG60" s="4"/>
    </row>
    <row r="61" customFormat="false" ht="28.5" hidden="false" customHeight="true" outlineLevel="0" collapsed="false">
      <c r="A61" s="28" t="str">
        <f aca="false">IFERROR(INDEX('Bank Schedule'!A:A, SMALL(IF('Bank Schedule'!$K$2:$K$817="Vacant", ROW('Bank Schedule'!$K$2:$K$817)), ROW(58:58))), "")</f>
        <v/>
      </c>
      <c r="B61" s="11" t="str">
        <f aca="false" t="array" ref="B61:B61">IFERROR(INDEX('Bank Schedule'!B:B, SMALL(IF('Bank Schedule'!$K$2:$K$817="Vacant", ROW('Bank Schedule'!$K$2:$K$817)), ROW(58:58))), "")</f>
        <v>SH</v>
      </c>
      <c r="C61" s="11" t="str">
        <f aca="false" t="array" ref="C61:C61">IFERROR(INDEX('Bank Schedule'!C:C, SMALL(IF('Bank Schedule'!$K$2:$K$817="Vacant", ROW('Bank Schedule'!$K$2:$K$817)), ROW(58:58))), "")</f>
        <v>MEL</v>
      </c>
      <c r="D61" s="11" t="n">
        <f aca="false" t="array" ref="D61:D61">IFERROR(INDEX('Bank Schedule'!D:D, SMALL(IF('Bank Schedule'!$K$2:$K$817="Vacant", ROW('Bank Schedule'!$K$2:$K$817)), ROW(58:58))), "")</f>
        <v>550510</v>
      </c>
      <c r="E61" s="94" t="str">
        <f aca="false" t="array" ref="E61:E61">IFERROR(INDEX('Bank Schedule'!E:E, SMALL(IF('Bank Schedule'!$K$2:$K$817="Vacant", ROW('Bank Schedule'!$K$2:$K$817)), ROW(58:58))), "")</f>
        <v>51-53 Margaret Street</v>
      </c>
      <c r="F61" s="94" t="str">
        <f aca="false" t="array" ref="F61:F61">IFERROR(INDEX('Bank Schedule'!F:F, SMALL(IF('Bank Schedule'!$K$2:$K$817="Vacant", ROW('Bank Schedule'!$K$2:$K$817)), ROW(58:58))), "")</f>
        <v>Second Floor (West)</v>
      </c>
      <c r="G61" s="94" t="str">
        <f aca="false" t="array" ref="G61:G61">IFERROR(INDEX('Bank Schedule'!G:G, SMALL(IF('Bank Schedule'!$K$2:$K$817="Vacant", ROW('Bank Schedule'!$K$2:$K$817)), ROW(58:58))), "")</f>
        <v>Office</v>
      </c>
      <c r="H61" s="14" t="n">
        <f aca="false" t="array" ref="H61:H61">IFERROR(INDEX('Bank Schedule'!H:H, SMALL(IF('Bank Schedule'!$K$2:$K$817="Vacant", ROW('Bank Schedule'!$K$2:$K$817)), ROW(58:58))), "")</f>
        <v>500</v>
      </c>
      <c r="I61" s="14" t="n">
        <f aca="false" t="array" ref="I61:I61">IFERROR(INDEX('Bank Schedule'!I:I, SMALL(IF('Bank Schedule'!$K$2:$K$817="Vacant", ROW('Bank Schedule'!$K$2:$K$817)), ROW(58:58))), "")</f>
        <v>500</v>
      </c>
      <c r="J61" s="11" t="str">
        <f aca="false" t="array" ref="J61:J61">IFERROR(INDEX('Bank Schedule'!K:K, SMALL(IF('Bank Schedule'!$K$2:$K$817="Vacant", ROW('Bank Schedule'!$K$2:$K$817)), ROW(58:58))), "")</f>
        <v>Vacant</v>
      </c>
      <c r="K61" s="11" t="str">
        <f aca="false">IFERROR(INDEX('Bank Schedule'!L:L, SMALL(IF('Bank Schedule'!$K$2:$K$817="Vacant", ROW('Bank Schedule'!$K$2:$K$817)), ROW(58:58))), "")</f>
        <v/>
      </c>
      <c r="L61" s="11" t="str">
        <f aca="false">IFERROR(INDEX('Bank Schedule'!M:M, SMALL(IF('Bank Schedule'!$K$2:$K$817="Vacant", ROW('Bank Schedule'!$K$2:$K$817)), ROW(58:58))), "")</f>
        <v/>
      </c>
      <c r="M61" s="71" t="n">
        <f aca="false" t="array" ref="M61:M61">IFERROR(INDEX('Bank Schedule'!N:N, SMALL(IF('Bank Schedule'!$K$2:$K$817="Vacant", ROW('Bank Schedule'!$K$2:$K$817)), ROW(58:58))), "")</f>
        <v>43820</v>
      </c>
      <c r="N61" s="11" t="str">
        <f aca="false">IFERROR(INDEX('Bank Schedule'!O:O, SMALL(IF('Bank Schedule'!$K$2:$K$817="Vacant", ROW('Bank Schedule'!$K$2:$K$817)), ROW(58:58))), "")</f>
        <v/>
      </c>
      <c r="O61" s="11" t="str">
        <f aca="false">IFERROR(INDEX('Bank Schedule'!P:P, SMALL(IF('Bank Schedule'!$K$2:$K$817="Vacant", ROW('Bank Schedule'!$K$2:$K$817)), ROW(58:58))), "")</f>
        <v/>
      </c>
      <c r="P61" s="11" t="n">
        <f aca="false" t="array" ref="P61:P61">IFERROR(INDEX('Bank Schedule'!Q:Q, SMALL(IF('Bank Schedule'!$K$2:$K$817="Vacant", ROW('Bank Schedule'!$K$2:$K$817)), ROW(58:58))), "")</f>
        <v>0</v>
      </c>
      <c r="Q61" s="11" t="n">
        <f aca="false" t="array" ref="Q61:Q61">IFERROR(INDEX('Bank Schedule'!R:R, SMALL(IF('Bank Schedule'!$K$2:$K$817="Vacant", ROW('Bank Schedule'!$K$2:$K$817)), ROW(58:58))), "")</f>
        <v>0</v>
      </c>
      <c r="R61" s="11" t="str">
        <f aca="false">IFERROR(INDEX('Bank Schedule'!S:S, SMALL(IF('Bank Schedule'!$K$2:$K$817="Vacant", ROW('Bank Schedule'!$K$2:$K$817)), ROW(58:58))), "")</f>
        <v/>
      </c>
      <c r="S61" s="281" t="n">
        <f aca="false" t="array" ref="S61:S61">IFERROR(INDEX('Bank Schedule'!T:T, SMALL(IF('Bank Schedule'!$K$2:$K$817="Vacant", ROW('Bank Schedule'!$K$2:$K$817)), ROW(58:58))), "")</f>
        <v>26300</v>
      </c>
      <c r="T61" s="281" t="n">
        <f aca="false" t="array" ref="T61:T61">IFERROR(INDEX('Bank Schedule'!U:U, SMALL(IF('Bank Schedule'!$K$2:$K$817="Vacant", ROW('Bank Schedule'!$K$2:$K$817)), ROW(58:58))), "")</f>
        <v>26300</v>
      </c>
      <c r="U61" s="281" t="n">
        <f aca="false" t="array" ref="U61:U61">IFERROR(INDEX('Bank Schedule'!V:V, SMALL(IF('Bank Schedule'!$K$2:$K$817="Vacant", ROW('Bank Schedule'!$K$2:$K$817)), ROW(58:58))), "")</f>
        <v>28800</v>
      </c>
      <c r="V61" s="281" t="n">
        <f aca="false" t="array" ref="V61:V61">IFERROR(INDEX('Bank Schedule'!W:W, SMALL(IF('Bank Schedule'!$K$2:$K$817="Vacant", ROW('Bank Schedule'!$K$2:$K$817)), ROW(58:58))), "")</f>
        <v>28800</v>
      </c>
      <c r="W61" s="282" t="n">
        <f aca="false" t="array" ref="W61:W61">IFERROR(INDEX('Bank Schedule'!X:X, SMALL(IF('Bank Schedule'!$K$2:$K$817="Vacant", ROW('Bank Schedule'!$K$2:$K$817)), ROW(58:58))), "")</f>
        <v>52.6</v>
      </c>
      <c r="X61" s="11" t="str">
        <f aca="false" t="array" ref="X61:X61">IFERROR(INDEX('Bank Schedule'!Y:Y, SMALL(IF('Bank Schedule'!$K$2:$K$817="Vacant", ROW('Bank Schedule'!$K$2:$K$817)), ROW(58:58))), "")</f>
        <v>E</v>
      </c>
      <c r="Y61" s="11" t="str">
        <f aca="false">IFERROR(INDEX('Bank Schedule'!Z:Z, SMALL(IF('Bank Schedule'!$K$2:$K$817="Vacant", ROW('Bank Schedule'!$K$2:$K$817)), ROW(58:58))), "")</f>
        <v/>
      </c>
      <c r="Z61" s="11" t="str">
        <f aca="false">IFERROR(INDEX('Bank Schedule'!AA:AA, SMALL(IF('Bank Schedule'!$K$2:$K$817="Vacant", ROW('Bank Schedule'!$K$2:$K$817)), ROW(58:58))), "")</f>
        <v/>
      </c>
      <c r="AA61" s="11" t="str">
        <f aca="false" t="array" ref="AA61:AA61">IFERROR(INDEX('Bank Schedule'!AB:AB, SMALL(IF('Bank Schedule'!$K$2:$K$817="Vacant", ROW('Bank Schedule'!$K$2:$K$817)), ROW(58:58))), "")</f>
        <v>No</v>
      </c>
      <c r="AB61" s="94" t="str">
        <f aca="false" t="array" ref="AB61:AB61">IFERROR(INDEX('Bank Schedule'!AC:AC, SMALL(IF('Bank Schedule'!$K$2:$K$817="Vacant", ROW('Bank Schedule'!$K$2:$K$817)), ROW(58:58))), "")</f>
        <v>LEM marketing.</v>
      </c>
      <c r="AC61" s="44" t="n">
        <f aca="false" t="array" ref="AC61:AC61">IFERROR(INDEX('Bank Schedule'!AD:AD, SMALL(IF('Bank Schedule'!$K$2:$K$817="Vacant", ROW('Bank Schedule'!$K$2:$K$817)), ROW(58:58))), "")</f>
        <v>58.5</v>
      </c>
      <c r="AD61" s="11" t="str">
        <f aca="false">IFERROR(INDEX('Bank Schedule'!AE:AE, SMALL(IF('Bank Schedule'!$K$2:$K$817="Vacant", ROW('Bank Schedule'!$K$2:$K$817)), ROW(58:58))), "")</f>
        <v/>
      </c>
      <c r="AE61" s="11" t="n">
        <f aca="false" t="array" ref="AE61:AE61">IFERROR(INDEX('Bank Schedule'!AF:AF, SMALL(IF('Bank Schedule'!$K$2:$K$817="Vacant", ROW('Bank Schedule'!$K$2:$K$817)), ROW(58:58))), "")</f>
        <v>1</v>
      </c>
      <c r="AF61" s="11" t="str">
        <f aca="false" t="array" ref="AF61:AF61">IFERROR(INDEX('Bank Schedule'!AG:AG, SMALL(IF('Bank Schedule'!$K$2:$K$817="Vacant", ROW('Bank Schedule'!$K$2:$K$817)), ROW(58:58))), "")</f>
        <v>LEM / RIB</v>
      </c>
      <c r="AG61" s="4"/>
    </row>
    <row r="62" customFormat="false" ht="28.5" hidden="false" customHeight="true" outlineLevel="0" collapsed="false">
      <c r="A62" s="28" t="str">
        <f aca="false">IFERROR(INDEX('Bank Schedule'!A:A, SMALL(IF('Bank Schedule'!$K$2:$K$817="Vacant", ROW('Bank Schedule'!$K$2:$K$817)), ROW(59:59))), "")</f>
        <v/>
      </c>
      <c r="B62" s="11" t="str">
        <f aca="false" t="array" ref="B62:B62">IFERROR(INDEX('Bank Schedule'!B:B, SMALL(IF('Bank Schedule'!$K$2:$K$817="Vacant", ROW('Bank Schedule'!$K$2:$K$817)), ROW(59:59))), "")</f>
        <v>SH</v>
      </c>
      <c r="C62" s="11" t="str">
        <f aca="false" t="array" ref="C62:C62">IFERROR(INDEX('Bank Schedule'!C:C, SMALL(IF('Bank Schedule'!$K$2:$K$817="Vacant", ROW('Bank Schedule'!$K$2:$K$817)), ROW(59:59))), "")</f>
        <v>MEL</v>
      </c>
      <c r="D62" s="11" t="n">
        <f aca="false" t="array" ref="D62:D62">IFERROR(INDEX('Bank Schedule'!D:D, SMALL(IF('Bank Schedule'!$K$2:$K$817="Vacant", ROW('Bank Schedule'!$K$2:$K$817)), ROW(59:59))), "")</f>
        <v>550510</v>
      </c>
      <c r="E62" s="94" t="str">
        <f aca="false" t="array" ref="E62:E62">IFERROR(INDEX('Bank Schedule'!E:E, SMALL(IF('Bank Schedule'!$K$2:$K$817="Vacant", ROW('Bank Schedule'!$K$2:$K$817)), ROW(59:59))), "")</f>
        <v>51-53 Margaret Street</v>
      </c>
      <c r="F62" s="94" t="str">
        <f aca="false" t="array" ref="F62:F62">IFERROR(INDEX('Bank Schedule'!F:F, SMALL(IF('Bank Schedule'!$K$2:$K$817="Vacant", ROW('Bank Schedule'!$K$2:$K$817)), ROW(59:59))), "")</f>
        <v>Third Floor (East)</v>
      </c>
      <c r="G62" s="94" t="str">
        <f aca="false" t="array" ref="G62:G62">IFERROR(INDEX('Bank Schedule'!G:G, SMALL(IF('Bank Schedule'!$K$2:$K$817="Vacant", ROW('Bank Schedule'!$K$2:$K$817)), ROW(59:59))), "")</f>
        <v>Office</v>
      </c>
      <c r="H62" s="14" t="n">
        <f aca="false" t="array" ref="H62:H62">IFERROR(INDEX('Bank Schedule'!H:H, SMALL(IF('Bank Schedule'!$K$2:$K$817="Vacant", ROW('Bank Schedule'!$K$2:$K$817)), ROW(59:59))), "")</f>
        <v>591</v>
      </c>
      <c r="I62" s="14" t="n">
        <f aca="false" t="array" ref="I62:I62">IFERROR(INDEX('Bank Schedule'!I:I, SMALL(IF('Bank Schedule'!$K$2:$K$817="Vacant", ROW('Bank Schedule'!$K$2:$K$817)), ROW(59:59))), "")</f>
        <v>591</v>
      </c>
      <c r="J62" s="11" t="str">
        <f aca="false" t="array" ref="J62:J62">IFERROR(INDEX('Bank Schedule'!K:K, SMALL(IF('Bank Schedule'!$K$2:$K$817="Vacant", ROW('Bank Schedule'!$K$2:$K$817)), ROW(59:59))), "")</f>
        <v>Vacant</v>
      </c>
      <c r="K62" s="11" t="str">
        <f aca="false">IFERROR(INDEX('Bank Schedule'!L:L, SMALL(IF('Bank Schedule'!$K$2:$K$817="Vacant", ROW('Bank Schedule'!$K$2:$K$817)), ROW(59:59))), "")</f>
        <v/>
      </c>
      <c r="L62" s="11" t="str">
        <f aca="false">IFERROR(INDEX('Bank Schedule'!M:M, SMALL(IF('Bank Schedule'!$K$2:$K$817="Vacant", ROW('Bank Schedule'!$K$2:$K$817)), ROW(59:59))), "")</f>
        <v/>
      </c>
      <c r="M62" s="71" t="n">
        <f aca="false" t="array" ref="M62:M62">IFERROR(INDEX('Bank Schedule'!N:N, SMALL(IF('Bank Schedule'!$K$2:$K$817="Vacant", ROW('Bank Schedule'!$K$2:$K$817)), ROW(59:59))), "")</f>
        <v>44119</v>
      </c>
      <c r="N62" s="11" t="str">
        <f aca="false">IFERROR(INDEX('Bank Schedule'!O:O, SMALL(IF('Bank Schedule'!$K$2:$K$817="Vacant", ROW('Bank Schedule'!$K$2:$K$817)), ROW(59:59))), "")</f>
        <v/>
      </c>
      <c r="O62" s="11" t="str">
        <f aca="false">IFERROR(INDEX('Bank Schedule'!P:P, SMALL(IF('Bank Schedule'!$K$2:$K$817="Vacant", ROW('Bank Schedule'!$K$2:$K$817)), ROW(59:59))), "")</f>
        <v/>
      </c>
      <c r="P62" s="11" t="n">
        <f aca="false" t="array" ref="P62:P62">IFERROR(INDEX('Bank Schedule'!Q:Q, SMALL(IF('Bank Schedule'!$K$2:$K$817="Vacant", ROW('Bank Schedule'!$K$2:$K$817)), ROW(59:59))), "")</f>
        <v>0</v>
      </c>
      <c r="Q62" s="11" t="n">
        <f aca="false" t="array" ref="Q62:Q62">IFERROR(INDEX('Bank Schedule'!R:R, SMALL(IF('Bank Schedule'!$K$2:$K$817="Vacant", ROW('Bank Schedule'!$K$2:$K$817)), ROW(59:59))), "")</f>
        <v>0</v>
      </c>
      <c r="R62" s="11" t="str">
        <f aca="false">IFERROR(INDEX('Bank Schedule'!S:S, SMALL(IF('Bank Schedule'!$K$2:$K$817="Vacant", ROW('Bank Schedule'!$K$2:$K$817)), ROW(59:59))), "")</f>
        <v/>
      </c>
      <c r="S62" s="281" t="n">
        <f aca="false" t="array" ref="S62:S62">IFERROR(INDEX('Bank Schedule'!T:T, SMALL(IF('Bank Schedule'!$K$2:$K$817="Vacant", ROW('Bank Schedule'!$K$2:$K$817)), ROW(59:59))), "")</f>
        <v>31000</v>
      </c>
      <c r="T62" s="281" t="n">
        <f aca="false" t="array" ref="T62:T62">IFERROR(INDEX('Bank Schedule'!U:U, SMALL(IF('Bank Schedule'!$K$2:$K$817="Vacant", ROW('Bank Schedule'!$K$2:$K$817)), ROW(59:59))), "")</f>
        <v>31000</v>
      </c>
      <c r="U62" s="281" t="n">
        <f aca="false" t="array" ref="U62:U62">IFERROR(INDEX('Bank Schedule'!V:V, SMALL(IF('Bank Schedule'!$K$2:$K$817="Vacant", ROW('Bank Schedule'!$K$2:$K$817)), ROW(59:59))), "")</f>
        <v>34000</v>
      </c>
      <c r="V62" s="281" t="n">
        <f aca="false" t="array" ref="V62:V62">IFERROR(INDEX('Bank Schedule'!W:W, SMALL(IF('Bank Schedule'!$K$2:$K$817="Vacant", ROW('Bank Schedule'!$K$2:$K$817)), ROW(59:59))), "")</f>
        <v>34000</v>
      </c>
      <c r="W62" s="282" t="n">
        <f aca="false" t="array" ref="W62:W62">IFERROR(INDEX('Bank Schedule'!X:X, SMALL(IF('Bank Schedule'!$K$2:$K$817="Vacant", ROW('Bank Schedule'!$K$2:$K$817)), ROW(59:59))), "")</f>
        <v>52.4534686971235</v>
      </c>
      <c r="X62" s="11" t="str">
        <f aca="false" t="array" ref="X62:X62">IFERROR(INDEX('Bank Schedule'!Y:Y, SMALL(IF('Bank Schedule'!$K$2:$K$817="Vacant", ROW('Bank Schedule'!$K$2:$K$817)), ROW(59:59))), "")</f>
        <v>E</v>
      </c>
      <c r="Y62" s="11" t="str">
        <f aca="false">IFERROR(INDEX('Bank Schedule'!Z:Z, SMALL(IF('Bank Schedule'!$K$2:$K$817="Vacant", ROW('Bank Schedule'!$K$2:$K$817)), ROW(59:59))), "")</f>
        <v/>
      </c>
      <c r="Z62" s="11" t="str">
        <f aca="false">IFERROR(INDEX('Bank Schedule'!AA:AA, SMALL(IF('Bank Schedule'!$K$2:$K$817="Vacant", ROW('Bank Schedule'!$K$2:$K$817)), ROW(59:59))), "")</f>
        <v/>
      </c>
      <c r="AA62" s="11" t="str">
        <f aca="false" t="array" ref="AA62:AA62">IFERROR(INDEX('Bank Schedule'!AB:AB, SMALL(IF('Bank Schedule'!$K$2:$K$817="Vacant", ROW('Bank Schedule'!$K$2:$K$817)), ROW(59:59))), "")</f>
        <v>No</v>
      </c>
      <c r="AB62" s="94" t="str">
        <f aca="false" t="array" ref="AB62:AB62">IFERROR(INDEX('Bank Schedule'!AC:AC, SMALL(IF('Bank Schedule'!$K$2:$K$817="Vacant", ROW('Bank Schedule'!$K$2:$K$817)), ROW(59:59))), "")</f>
        <v>LEM marketing.</v>
      </c>
      <c r="AC62" s="44" t="n">
        <f aca="false" t="array" ref="AC62:AC62">IFERROR(INDEX('Bank Schedule'!AD:AD, SMALL(IF('Bank Schedule'!$K$2:$K$817="Vacant", ROW('Bank Schedule'!$K$2:$K$817)), ROW(59:59))), "")</f>
        <v>58.5</v>
      </c>
      <c r="AD62" s="11" t="str">
        <f aca="false">IFERROR(INDEX('Bank Schedule'!AE:AE, SMALL(IF('Bank Schedule'!$K$2:$K$817="Vacant", ROW('Bank Schedule'!$K$2:$K$817)), ROW(59:59))), "")</f>
        <v/>
      </c>
      <c r="AE62" s="11" t="n">
        <f aca="false" t="array" ref="AE62:AE62">IFERROR(INDEX('Bank Schedule'!AF:AF, SMALL(IF('Bank Schedule'!$K$2:$K$817="Vacant", ROW('Bank Schedule'!$K$2:$K$817)), ROW(59:59))), "")</f>
        <v>1</v>
      </c>
      <c r="AF62" s="11" t="str">
        <f aca="false" t="array" ref="AF62:AF62">IFERROR(INDEX('Bank Schedule'!AG:AG, SMALL(IF('Bank Schedule'!$K$2:$K$817="Vacant", ROW('Bank Schedule'!$K$2:$K$817)), ROW(59:59))), "")</f>
        <v>LEM/LDG</v>
      </c>
      <c r="AG62" s="4"/>
    </row>
    <row r="63" customFormat="false" ht="28.5" hidden="false" customHeight="true" outlineLevel="0" collapsed="false">
      <c r="A63" s="28" t="str">
        <f aca="false">IFERROR(INDEX('Bank Schedule'!A:A, SMALL(IF('Bank Schedule'!$K$2:$K$817="Vacant", ROW('Bank Schedule'!$K$2:$K$817)), ROW(60:60))), "")</f>
        <v/>
      </c>
      <c r="B63" s="11" t="str">
        <f aca="false" t="array" ref="B63:B63">IFERROR(INDEX('Bank Schedule'!B:B, SMALL(IF('Bank Schedule'!$K$2:$K$817="Vacant", ROW('Bank Schedule'!$K$2:$K$817)), ROW(60:60))), "")</f>
        <v>SH</v>
      </c>
      <c r="C63" s="11" t="str">
        <f aca="false" t="array" ref="C63:C63">IFERROR(INDEX('Bank Schedule'!C:C, SMALL(IF('Bank Schedule'!$K$2:$K$817="Vacant", ROW('Bank Schedule'!$K$2:$K$817)), ROW(60:60))), "")</f>
        <v>MEL</v>
      </c>
      <c r="D63" s="11" t="n">
        <f aca="false" t="array" ref="D63:D63">IFERROR(INDEX('Bank Schedule'!D:D, SMALL(IF('Bank Schedule'!$K$2:$K$817="Vacant", ROW('Bank Schedule'!$K$2:$K$817)), ROW(60:60))), "")</f>
        <v>550510</v>
      </c>
      <c r="E63" s="94" t="str">
        <f aca="false" t="array" ref="E63:E63">IFERROR(INDEX('Bank Schedule'!E:E, SMALL(IF('Bank Schedule'!$K$2:$K$817="Vacant", ROW('Bank Schedule'!$K$2:$K$817)), ROW(60:60))), "")</f>
        <v>51-53 Margaret Street</v>
      </c>
      <c r="F63" s="94" t="str">
        <f aca="false" t="array" ref="F63:F63">IFERROR(INDEX('Bank Schedule'!F:F, SMALL(IF('Bank Schedule'!$K$2:$K$817="Vacant", ROW('Bank Schedule'!$K$2:$K$817)), ROW(60:60))), "")</f>
        <v>Fourth Floor (West)</v>
      </c>
      <c r="G63" s="94" t="str">
        <f aca="false" t="array" ref="G63:G63">IFERROR(INDEX('Bank Schedule'!G:G, SMALL(IF('Bank Schedule'!$K$2:$K$817="Vacant", ROW('Bank Schedule'!$K$2:$K$817)), ROW(60:60))), "")</f>
        <v>Office</v>
      </c>
      <c r="H63" s="14" t="n">
        <f aca="false" t="array" ref="H63:H63">IFERROR(INDEX('Bank Schedule'!H:H, SMALL(IF('Bank Schedule'!$K$2:$K$817="Vacant", ROW('Bank Schedule'!$K$2:$K$817)), ROW(60:60))), "")</f>
        <v>450</v>
      </c>
      <c r="I63" s="14" t="n">
        <f aca="false" t="array" ref="I63:I63">IFERROR(INDEX('Bank Schedule'!I:I, SMALL(IF('Bank Schedule'!$K$2:$K$817="Vacant", ROW('Bank Schedule'!$K$2:$K$817)), ROW(60:60))), "")</f>
        <v>450</v>
      </c>
      <c r="J63" s="11" t="str">
        <f aca="false" t="array" ref="J63:J63">IFERROR(INDEX('Bank Schedule'!K:K, SMALL(IF('Bank Schedule'!$K$2:$K$817="Vacant", ROW('Bank Schedule'!$K$2:$K$817)), ROW(60:60))), "")</f>
        <v>Vacant</v>
      </c>
      <c r="K63" s="11" t="str">
        <f aca="false">IFERROR(INDEX('Bank Schedule'!L:L, SMALL(IF('Bank Schedule'!$K$2:$K$817="Vacant", ROW('Bank Schedule'!$K$2:$K$817)), ROW(60:60))), "")</f>
        <v/>
      </c>
      <c r="L63" s="11" t="str">
        <f aca="false">IFERROR(INDEX('Bank Schedule'!M:M, SMALL(IF('Bank Schedule'!$K$2:$K$817="Vacant", ROW('Bank Schedule'!$K$2:$K$817)), ROW(60:60))), "")</f>
        <v/>
      </c>
      <c r="M63" s="71" t="n">
        <f aca="false" t="array" ref="M63:M63">IFERROR(INDEX('Bank Schedule'!N:N, SMALL(IF('Bank Schedule'!$K$2:$K$817="Vacant", ROW('Bank Schedule'!$K$2:$K$817)), ROW(60:60))), "")</f>
        <v>43389</v>
      </c>
      <c r="N63" s="11" t="str">
        <f aca="false">IFERROR(INDEX('Bank Schedule'!O:O, SMALL(IF('Bank Schedule'!$K$2:$K$817="Vacant", ROW('Bank Schedule'!$K$2:$K$817)), ROW(60:60))), "")</f>
        <v/>
      </c>
      <c r="O63" s="11" t="str">
        <f aca="false">IFERROR(INDEX('Bank Schedule'!P:P, SMALL(IF('Bank Schedule'!$K$2:$K$817="Vacant", ROW('Bank Schedule'!$K$2:$K$817)), ROW(60:60))), "")</f>
        <v/>
      </c>
      <c r="P63" s="11" t="n">
        <f aca="false" t="array" ref="P63:P63">IFERROR(INDEX('Bank Schedule'!Q:Q, SMALL(IF('Bank Schedule'!$K$2:$K$817="Vacant", ROW('Bank Schedule'!$K$2:$K$817)), ROW(60:60))), "")</f>
        <v>0</v>
      </c>
      <c r="Q63" s="11" t="n">
        <f aca="false" t="array" ref="Q63:Q63">IFERROR(INDEX('Bank Schedule'!R:R, SMALL(IF('Bank Schedule'!$K$2:$K$817="Vacant", ROW('Bank Schedule'!$K$2:$K$817)), ROW(60:60))), "")</f>
        <v>0</v>
      </c>
      <c r="R63" s="11" t="str">
        <f aca="false">IFERROR(INDEX('Bank Schedule'!S:S, SMALL(IF('Bank Schedule'!$K$2:$K$817="Vacant", ROW('Bank Schedule'!$K$2:$K$817)), ROW(60:60))), "")</f>
        <v/>
      </c>
      <c r="S63" s="281" t="n">
        <f aca="false" t="array" ref="S63:S63">IFERROR(INDEX('Bank Schedule'!T:T, SMALL(IF('Bank Schedule'!$K$2:$K$817="Vacant", ROW('Bank Schedule'!$K$2:$K$817)), ROW(60:60))), "")</f>
        <v>23600</v>
      </c>
      <c r="T63" s="281" t="n">
        <f aca="false" t="array" ref="T63:T63">IFERROR(INDEX('Bank Schedule'!U:U, SMALL(IF('Bank Schedule'!$K$2:$K$817="Vacant", ROW('Bank Schedule'!$K$2:$K$817)), ROW(60:60))), "")</f>
        <v>23600</v>
      </c>
      <c r="U63" s="281" t="n">
        <f aca="false" t="array" ref="U63:U63">IFERROR(INDEX('Bank Schedule'!V:V, SMALL(IF('Bank Schedule'!$K$2:$K$817="Vacant", ROW('Bank Schedule'!$K$2:$K$817)), ROW(60:60))), "")</f>
        <v>25900</v>
      </c>
      <c r="V63" s="281" t="n">
        <f aca="false" t="array" ref="V63:V63">IFERROR(INDEX('Bank Schedule'!W:W, SMALL(IF('Bank Schedule'!$K$2:$K$817="Vacant", ROW('Bank Schedule'!$K$2:$K$817)), ROW(60:60))), "")</f>
        <v>25900</v>
      </c>
      <c r="W63" s="282" t="n">
        <f aca="false" t="array" ref="W63:W63">IFERROR(INDEX('Bank Schedule'!X:X, SMALL(IF('Bank Schedule'!$K$2:$K$817="Vacant", ROW('Bank Schedule'!$K$2:$K$817)), ROW(60:60))), "")</f>
        <v>52.4444444444444</v>
      </c>
      <c r="X63" s="11" t="str">
        <f aca="false" t="array" ref="X63:X63">IFERROR(INDEX('Bank Schedule'!Y:Y, SMALL(IF('Bank Schedule'!$K$2:$K$817="Vacant", ROW('Bank Schedule'!$K$2:$K$817)), ROW(60:60))), "")</f>
        <v>E</v>
      </c>
      <c r="Y63" s="11" t="str">
        <f aca="false">IFERROR(INDEX('Bank Schedule'!Z:Z, SMALL(IF('Bank Schedule'!$K$2:$K$817="Vacant", ROW('Bank Schedule'!$K$2:$K$817)), ROW(60:60))), "")</f>
        <v/>
      </c>
      <c r="Z63" s="11" t="str">
        <f aca="false">IFERROR(INDEX('Bank Schedule'!AA:AA, SMALL(IF('Bank Schedule'!$K$2:$K$817="Vacant", ROW('Bank Schedule'!$K$2:$K$817)), ROW(60:60))), "")</f>
        <v/>
      </c>
      <c r="AA63" s="11" t="str">
        <f aca="false" t="array" ref="AA63:AA63">IFERROR(INDEX('Bank Schedule'!AB:AB, SMALL(IF('Bank Schedule'!$K$2:$K$817="Vacant", ROW('Bank Schedule'!$K$2:$K$817)), ROW(60:60))), "")</f>
        <v>No</v>
      </c>
      <c r="AB63" s="94" t="str">
        <f aca="false" t="array" ref="AB63:AB63">IFERROR(INDEX('Bank Schedule'!AC:AC, SMALL(IF('Bank Schedule'!$K$2:$K$817="Vacant", ROW('Bank Schedule'!$K$2:$K$817)), ROW(60:60))), "")</f>
        <v>LEM marketing.</v>
      </c>
      <c r="AC63" s="44" t="n">
        <f aca="false" t="array" ref="AC63:AC63">IFERROR(INDEX('Bank Schedule'!AD:AD, SMALL(IF('Bank Schedule'!$K$2:$K$817="Vacant", ROW('Bank Schedule'!$K$2:$K$817)), ROW(60:60))), "")</f>
        <v>58.5</v>
      </c>
      <c r="AD63" s="11" t="str">
        <f aca="false">IFERROR(INDEX('Bank Schedule'!AE:AE, SMALL(IF('Bank Schedule'!$K$2:$K$817="Vacant", ROW('Bank Schedule'!$K$2:$K$817)), ROW(60:60))), "")</f>
        <v/>
      </c>
      <c r="AE63" s="11" t="str">
        <f aca="false">IFERROR(INDEX('Bank Schedule'!AF:AF, SMALL(IF('Bank Schedule'!$K$2:$K$817="Vacant", ROW('Bank Schedule'!$K$2:$K$817)), ROW(60:60))), "")</f>
        <v/>
      </c>
      <c r="AF63" s="11" t="str">
        <f aca="false">IFERROR(INDEX('Bank Schedule'!AG:AG, SMALL(IF('Bank Schedule'!$K$2:$K$817="Vacant", ROW('Bank Schedule'!$K$2:$K$817)), ROW(60:60))), "")</f>
        <v/>
      </c>
      <c r="AG63" s="4"/>
    </row>
    <row r="64" customFormat="false" ht="28.5" hidden="false" customHeight="true" outlineLevel="0" collapsed="false">
      <c r="A64" s="28" t="str">
        <f aca="false">IFERROR(INDEX('Bank Schedule'!A:A, SMALL(IF('Bank Schedule'!$K$2:$K$817="Vacant", ROW('Bank Schedule'!$K$2:$K$817)), ROW(61:61))), "")</f>
        <v/>
      </c>
      <c r="B64" s="11" t="str">
        <f aca="false" t="array" ref="B64:B64">IFERROR(INDEX('Bank Schedule'!B:B, SMALL(IF('Bank Schedule'!$K$2:$K$817="Vacant", ROW('Bank Schedule'!$K$2:$K$817)), ROW(61:61))), "")</f>
        <v>CM</v>
      </c>
      <c r="C64" s="11" t="str">
        <f aca="false" t="array" ref="C64:C64">IFERROR(INDEX('Bank Schedule'!C:C, SMALL(IF('Bank Schedule'!$K$2:$K$817="Vacant", ROW('Bank Schedule'!$K$2:$K$817)), ROW(61:61))), "")</f>
        <v>MEL</v>
      </c>
      <c r="D64" s="11" t="n">
        <f aca="false" t="array" ref="D64:D64">IFERROR(INDEX('Bank Schedule'!D:D, SMALL(IF('Bank Schedule'!$K$2:$K$817="Vacant", ROW('Bank Schedule'!$K$2:$K$817)), ROW(61:61))), "")</f>
        <v>550610</v>
      </c>
      <c r="E64" s="94" t="str">
        <f aca="false" t="array" ref="E64:E64">IFERROR(INDEX('Bank Schedule'!E:E, SMALL(IF('Bank Schedule'!$K$2:$K$817="Vacant", ROW('Bank Schedule'!$K$2:$K$817)), ROW(61:61))), "")</f>
        <v>63-64 Margaret Street</v>
      </c>
      <c r="F64" s="94" t="str">
        <f aca="false" t="array" ref="F64:F64">IFERROR(INDEX('Bank Schedule'!F:F, SMALL(IF('Bank Schedule'!$K$2:$K$817="Vacant", ROW('Bank Schedule'!$K$2:$K$817)), ROW(61:61))), "")</f>
        <v>Second Floor (West)</v>
      </c>
      <c r="G64" s="94" t="str">
        <f aca="false" t="array" ref="G64:G64">IFERROR(INDEX('Bank Schedule'!G:G, SMALL(IF('Bank Schedule'!$K$2:$K$817="Vacant", ROW('Bank Schedule'!$K$2:$K$817)), ROW(61:61))), "")</f>
        <v>Office</v>
      </c>
      <c r="H64" s="14" t="n">
        <f aca="false" t="array" ref="H64:H64">IFERROR(INDEX('Bank Schedule'!H:H, SMALL(IF('Bank Schedule'!$K$2:$K$817="Vacant", ROW('Bank Schedule'!$K$2:$K$817)), ROW(61:61))), "")</f>
        <v>727</v>
      </c>
      <c r="I64" s="14" t="n">
        <f aca="false" t="array" ref="I64:I64">IFERROR(INDEX('Bank Schedule'!I:I, SMALL(IF('Bank Schedule'!$K$2:$K$817="Vacant", ROW('Bank Schedule'!$K$2:$K$817)), ROW(61:61))), "")</f>
        <v>727</v>
      </c>
      <c r="J64" s="11" t="str">
        <f aca="false" t="array" ref="J64:J64">IFERROR(INDEX('Bank Schedule'!K:K, SMALL(IF('Bank Schedule'!$K$2:$K$817="Vacant", ROW('Bank Schedule'!$K$2:$K$817)), ROW(61:61))), "")</f>
        <v>Vacant</v>
      </c>
      <c r="K64" s="11" t="str">
        <f aca="false">IFERROR(INDEX('Bank Schedule'!L:L, SMALL(IF('Bank Schedule'!$K$2:$K$817="Vacant", ROW('Bank Schedule'!$K$2:$K$817)), ROW(61:61))), "")</f>
        <v/>
      </c>
      <c r="L64" s="11" t="str">
        <f aca="false">IFERROR(INDEX('Bank Schedule'!M:M, SMALL(IF('Bank Schedule'!$K$2:$K$817="Vacant", ROW('Bank Schedule'!$K$2:$K$817)), ROW(61:61))), "")</f>
        <v/>
      </c>
      <c r="M64" s="71" t="n">
        <f aca="false" t="array" ref="M64:M64">IFERROR(INDEX('Bank Schedule'!N:N, SMALL(IF('Bank Schedule'!$K$2:$K$817="Vacant", ROW('Bank Schedule'!$K$2:$K$817)), ROW(61:61))), "")</f>
        <v>43080</v>
      </c>
      <c r="N64" s="11" t="str">
        <f aca="false">IFERROR(INDEX('Bank Schedule'!O:O, SMALL(IF('Bank Schedule'!$K$2:$K$817="Vacant", ROW('Bank Schedule'!$K$2:$K$817)), ROW(61:61))), "")</f>
        <v/>
      </c>
      <c r="O64" s="11" t="str">
        <f aca="false">IFERROR(INDEX('Bank Schedule'!P:P, SMALL(IF('Bank Schedule'!$K$2:$K$817="Vacant", ROW('Bank Schedule'!$K$2:$K$817)), ROW(61:61))), "")</f>
        <v/>
      </c>
      <c r="P64" s="11" t="n">
        <f aca="false" t="array" ref="P64:P64">IFERROR(INDEX('Bank Schedule'!Q:Q, SMALL(IF('Bank Schedule'!$K$2:$K$817="Vacant", ROW('Bank Schedule'!$K$2:$K$817)), ROW(61:61))), "")</f>
        <v>0</v>
      </c>
      <c r="Q64" s="11" t="n">
        <f aca="false" t="array" ref="Q64:Q64">IFERROR(INDEX('Bank Schedule'!R:R, SMALL(IF('Bank Schedule'!$K$2:$K$817="Vacant", ROW('Bank Schedule'!$K$2:$K$817)), ROW(61:61))), "")</f>
        <v>0</v>
      </c>
      <c r="R64" s="11" t="str">
        <f aca="false">IFERROR(INDEX('Bank Schedule'!S:S, SMALL(IF('Bank Schedule'!$K$2:$K$817="Vacant", ROW('Bank Schedule'!$K$2:$K$817)), ROW(61:61))), "")</f>
        <v/>
      </c>
      <c r="S64" s="281" t="n">
        <f aca="false" t="array" ref="S64:S64">IFERROR(INDEX('Bank Schedule'!T:T, SMALL(IF('Bank Schedule'!$K$2:$K$817="Vacant", ROW('Bank Schedule'!$K$2:$K$817)), ROW(61:61))), "")</f>
        <v>35000</v>
      </c>
      <c r="T64" s="281" t="n">
        <f aca="false" t="array" ref="T64:T64">IFERROR(INDEX('Bank Schedule'!U:U, SMALL(IF('Bank Schedule'!$K$2:$K$817="Vacant", ROW('Bank Schedule'!$K$2:$K$817)), ROW(61:61))), "")</f>
        <v>35000</v>
      </c>
      <c r="U64" s="281" t="n">
        <f aca="false" t="array" ref="U64:U64">IFERROR(INDEX('Bank Schedule'!V:V, SMALL(IF('Bank Schedule'!$K$2:$K$817="Vacant", ROW('Bank Schedule'!$K$2:$K$817)), ROW(61:61))), "")</f>
        <v>41800</v>
      </c>
      <c r="V64" s="281" t="n">
        <f aca="false" t="array" ref="V64:V64">IFERROR(INDEX('Bank Schedule'!W:W, SMALL(IF('Bank Schedule'!$K$2:$K$817="Vacant", ROW('Bank Schedule'!$K$2:$K$817)), ROW(61:61))), "")</f>
        <v>41800</v>
      </c>
      <c r="W64" s="282" t="n">
        <f aca="false" t="array" ref="W64:W64">IFERROR(INDEX('Bank Schedule'!X:X, SMALL(IF('Bank Schedule'!$K$2:$K$817="Vacant", ROW('Bank Schedule'!$K$2:$K$817)), ROW(61:61))), "")</f>
        <v>48.1430536451169</v>
      </c>
      <c r="X64" s="11" t="str">
        <f aca="false" t="array" ref="X64:X64">IFERROR(INDEX('Bank Schedule'!Y:Y, SMALL(IF('Bank Schedule'!$K$2:$K$817="Vacant", ROW('Bank Schedule'!$K$2:$K$817)), ROW(61:61))), "")</f>
        <v>D</v>
      </c>
      <c r="Y64" s="11" t="str">
        <f aca="false">IFERROR(INDEX('Bank Schedule'!Z:Z, SMALL(IF('Bank Schedule'!$K$2:$K$817="Vacant", ROW('Bank Schedule'!$K$2:$K$817)), ROW(61:61))), "")</f>
        <v/>
      </c>
      <c r="Z64" s="11" t="str">
        <f aca="false">IFERROR(INDEX('Bank Schedule'!AA:AA, SMALL(IF('Bank Schedule'!$K$2:$K$817="Vacant", ROW('Bank Schedule'!$K$2:$K$817)), ROW(61:61))), "")</f>
        <v/>
      </c>
      <c r="AA64" s="11" t="str">
        <f aca="false" t="array" ref="AA64:AA64">IFERROR(INDEX('Bank Schedule'!AB:AB, SMALL(IF('Bank Schedule'!$K$2:$K$817="Vacant", ROW('Bank Schedule'!$K$2:$K$817)), ROW(61:61))), "")</f>
        <v>No</v>
      </c>
      <c r="AB64" s="94" t="str">
        <f aca="false" t="array" ref="AB64:AB64">IFERROR(INDEX('Bank Schedule'!AC:AC, SMALL(IF('Bank Schedule'!$K$2:$K$817="Vacant", ROW('Bank Schedule'!$K$2:$K$817)), ROW(61:61))), "")</f>
        <v>To be refurbished.</v>
      </c>
      <c r="AC64" s="44" t="n">
        <f aca="false" t="array" ref="AC64:AC64">IFERROR(INDEX('Bank Schedule'!AD:AD, SMALL(IF('Bank Schedule'!$K$2:$K$817="Vacant", ROW('Bank Schedule'!$K$2:$K$817)), ROW(61:61))), "")</f>
        <v>62.5</v>
      </c>
      <c r="AD64" s="11" t="str">
        <f aca="false">IFERROR(INDEX('Bank Schedule'!AE:AE, SMALL(IF('Bank Schedule'!$K$2:$K$817="Vacant", ROW('Bank Schedule'!$K$2:$K$817)), ROW(61:61))), "")</f>
        <v/>
      </c>
      <c r="AE64" s="11" t="str">
        <f aca="false">IFERROR(INDEX('Bank Schedule'!AF:AF, SMALL(IF('Bank Schedule'!$K$2:$K$817="Vacant", ROW('Bank Schedule'!$K$2:$K$817)), ROW(61:61))), "")</f>
        <v/>
      </c>
      <c r="AF64" s="11" t="str">
        <f aca="false">IFERROR(INDEX('Bank Schedule'!AG:AG, SMALL(IF('Bank Schedule'!$K$2:$K$817="Vacant", ROW('Bank Schedule'!$K$2:$K$817)), ROW(61:61))), "")</f>
        <v/>
      </c>
      <c r="AG64" s="4"/>
    </row>
    <row r="65" customFormat="false" ht="28.5" hidden="false" customHeight="true" outlineLevel="0" collapsed="false">
      <c r="A65" s="28" t="str">
        <f aca="false">IFERROR(INDEX('Bank Schedule'!A:A, SMALL(IF('Bank Schedule'!$K$2:$K$817="Vacant", ROW('Bank Schedule'!$K$2:$K$817)), ROW(62:62))), "")</f>
        <v/>
      </c>
      <c r="B65" s="11" t="str">
        <f aca="false" t="array" ref="B65:B65">IFERROR(INDEX('Bank Schedule'!B:B, SMALL(IF('Bank Schedule'!$K$2:$K$817="Vacant", ROW('Bank Schedule'!$K$2:$K$817)), ROW(62:62))), "")</f>
        <v>CM</v>
      </c>
      <c r="C65" s="11" t="str">
        <f aca="false" t="array" ref="C65:C65">IFERROR(INDEX('Bank Schedule'!C:C, SMALL(IF('Bank Schedule'!$K$2:$K$817="Vacant", ROW('Bank Schedule'!$K$2:$K$817)), ROW(62:62))), "")</f>
        <v>MEL</v>
      </c>
      <c r="D65" s="11" t="n">
        <f aca="false" t="array" ref="D65:D65">IFERROR(INDEX('Bank Schedule'!D:D, SMALL(IF('Bank Schedule'!$K$2:$K$817="Vacant", ROW('Bank Schedule'!$K$2:$K$817)), ROW(62:62))), "")</f>
        <v>550610</v>
      </c>
      <c r="E65" s="94" t="str">
        <f aca="false" t="array" ref="E65:E65">IFERROR(INDEX('Bank Schedule'!E:E, SMALL(IF('Bank Schedule'!$K$2:$K$817="Vacant", ROW('Bank Schedule'!$K$2:$K$817)), ROW(62:62))), "")</f>
        <v>63-64 Margaret Street</v>
      </c>
      <c r="F65" s="94" t="str">
        <f aca="false" t="array" ref="F65:F65">IFERROR(INDEX('Bank Schedule'!F:F, SMALL(IF('Bank Schedule'!$K$2:$K$817="Vacant", ROW('Bank Schedule'!$K$2:$K$817)), ROW(62:62))), "")</f>
        <v>Third Floor (East)</v>
      </c>
      <c r="G65" s="94" t="str">
        <f aca="false" t="array" ref="G65:G65">IFERROR(INDEX('Bank Schedule'!G:G, SMALL(IF('Bank Schedule'!$K$2:$K$817="Vacant", ROW('Bank Schedule'!$K$2:$K$817)), ROW(62:62))), "")</f>
        <v>Office</v>
      </c>
      <c r="H65" s="14" t="n">
        <f aca="false" t="array" ref="H65:H65">IFERROR(INDEX('Bank Schedule'!H:H, SMALL(IF('Bank Schedule'!$K$2:$K$817="Vacant", ROW('Bank Schedule'!$K$2:$K$817)), ROW(62:62))), "")</f>
        <v>760</v>
      </c>
      <c r="I65" s="14" t="n">
        <f aca="false" t="array" ref="I65:I65">IFERROR(INDEX('Bank Schedule'!I:I, SMALL(IF('Bank Schedule'!$K$2:$K$817="Vacant", ROW('Bank Schedule'!$K$2:$K$817)), ROW(62:62))), "")</f>
        <v>760</v>
      </c>
      <c r="J65" s="11" t="str">
        <f aca="false" t="array" ref="J65:J65">IFERROR(INDEX('Bank Schedule'!K:K, SMALL(IF('Bank Schedule'!$K$2:$K$817="Vacant", ROW('Bank Schedule'!$K$2:$K$817)), ROW(62:62))), "")</f>
        <v>Vacant</v>
      </c>
      <c r="K65" s="11" t="str">
        <f aca="false">IFERROR(INDEX('Bank Schedule'!L:L, SMALL(IF('Bank Schedule'!$K$2:$K$817="Vacant", ROW('Bank Schedule'!$K$2:$K$817)), ROW(62:62))), "")</f>
        <v/>
      </c>
      <c r="L65" s="11" t="str">
        <f aca="false">IFERROR(INDEX('Bank Schedule'!M:M, SMALL(IF('Bank Schedule'!$K$2:$K$817="Vacant", ROW('Bank Schedule'!$K$2:$K$817)), ROW(62:62))), "")</f>
        <v/>
      </c>
      <c r="M65" s="71" t="n">
        <f aca="false" t="array" ref="M65:M65">IFERROR(INDEX('Bank Schedule'!N:N, SMALL(IF('Bank Schedule'!$K$2:$K$817="Vacant", ROW('Bank Schedule'!$K$2:$K$817)), ROW(62:62))), "")</f>
        <v>43593</v>
      </c>
      <c r="N65" s="11" t="str">
        <f aca="false">IFERROR(INDEX('Bank Schedule'!O:O, SMALL(IF('Bank Schedule'!$K$2:$K$817="Vacant", ROW('Bank Schedule'!$K$2:$K$817)), ROW(62:62))), "")</f>
        <v/>
      </c>
      <c r="O65" s="11" t="str">
        <f aca="false">IFERROR(INDEX('Bank Schedule'!P:P, SMALL(IF('Bank Schedule'!$K$2:$K$817="Vacant", ROW('Bank Schedule'!$K$2:$K$817)), ROW(62:62))), "")</f>
        <v/>
      </c>
      <c r="P65" s="11" t="n">
        <f aca="false" t="array" ref="P65:P65">IFERROR(INDEX('Bank Schedule'!Q:Q, SMALL(IF('Bank Schedule'!$K$2:$K$817="Vacant", ROW('Bank Schedule'!$K$2:$K$817)), ROW(62:62))), "")</f>
        <v>0</v>
      </c>
      <c r="Q65" s="11" t="n">
        <f aca="false" t="array" ref="Q65:Q65">IFERROR(INDEX('Bank Schedule'!R:R, SMALL(IF('Bank Schedule'!$K$2:$K$817="Vacant", ROW('Bank Schedule'!$K$2:$K$817)), ROW(62:62))), "")</f>
        <v>0</v>
      </c>
      <c r="R65" s="11" t="str">
        <f aca="false">IFERROR(INDEX('Bank Schedule'!S:S, SMALL(IF('Bank Schedule'!$K$2:$K$817="Vacant", ROW('Bank Schedule'!$K$2:$K$817)), ROW(62:62))), "")</f>
        <v/>
      </c>
      <c r="S65" s="281" t="n">
        <f aca="false" t="array" ref="S65:S65">IFERROR(INDEX('Bank Schedule'!T:T, SMALL(IF('Bank Schedule'!$K$2:$K$817="Vacant", ROW('Bank Schedule'!$K$2:$K$817)), ROW(62:62))), "")</f>
        <v>40000</v>
      </c>
      <c r="T65" s="281" t="n">
        <f aca="false" t="array" ref="T65:T65">IFERROR(INDEX('Bank Schedule'!U:U, SMALL(IF('Bank Schedule'!$K$2:$K$817="Vacant", ROW('Bank Schedule'!$K$2:$K$817)), ROW(62:62))), "")</f>
        <v>40000</v>
      </c>
      <c r="U65" s="281" t="n">
        <f aca="false" t="array" ref="U65:U65">IFERROR(INDEX('Bank Schedule'!V:V, SMALL(IF('Bank Schedule'!$K$2:$K$817="Vacant", ROW('Bank Schedule'!$K$2:$K$817)), ROW(62:62))), "")</f>
        <v>43700</v>
      </c>
      <c r="V65" s="281" t="n">
        <f aca="false" t="array" ref="V65:V65">IFERROR(INDEX('Bank Schedule'!W:W, SMALL(IF('Bank Schedule'!$K$2:$K$817="Vacant", ROW('Bank Schedule'!$K$2:$K$817)), ROW(62:62))), "")</f>
        <v>43700</v>
      </c>
      <c r="W65" s="282" t="n">
        <f aca="false" t="array" ref="W65:W65">IFERROR(INDEX('Bank Schedule'!X:X, SMALL(IF('Bank Schedule'!$K$2:$K$817="Vacant", ROW('Bank Schedule'!$K$2:$K$817)), ROW(62:62))), "")</f>
        <v>52.6315789473684</v>
      </c>
      <c r="X65" s="11" t="str">
        <f aca="false" t="array" ref="X65:X65">IFERROR(INDEX('Bank Schedule'!Y:Y, SMALL(IF('Bank Schedule'!$K$2:$K$817="Vacant", ROW('Bank Schedule'!$K$2:$K$817)), ROW(62:62))), "")</f>
        <v>D</v>
      </c>
      <c r="Y65" s="11" t="str">
        <f aca="false">IFERROR(INDEX('Bank Schedule'!Z:Z, SMALL(IF('Bank Schedule'!$K$2:$K$817="Vacant", ROW('Bank Schedule'!$K$2:$K$817)), ROW(62:62))), "")</f>
        <v/>
      </c>
      <c r="Z65" s="11" t="str">
        <f aca="false">IFERROR(INDEX('Bank Schedule'!AA:AA, SMALL(IF('Bank Schedule'!$K$2:$K$817="Vacant", ROW('Bank Schedule'!$K$2:$K$817)), ROW(62:62))), "")</f>
        <v/>
      </c>
      <c r="AA65" s="11" t="str">
        <f aca="false" t="array" ref="AA65:AA65">IFERROR(INDEX('Bank Schedule'!AB:AB, SMALL(IF('Bank Schedule'!$K$2:$K$817="Vacant", ROW('Bank Schedule'!$K$2:$K$817)), ROW(62:62))), "")</f>
        <v>No</v>
      </c>
      <c r="AB65" s="94" t="str">
        <f aca="false" t="array" ref="AB65:AB65">IFERROR(INDEX('Bank Schedule'!AC:AC, SMALL(IF('Bank Schedule'!$K$2:$K$817="Vacant", ROW('Bank Schedule'!$K$2:$K$817)), ROW(62:62))), "")</f>
        <v>To be refurbished.</v>
      </c>
      <c r="AC65" s="44" t="n">
        <f aca="false" t="array" ref="AC65:AC65">IFERROR(INDEX('Bank Schedule'!AD:AD, SMALL(IF('Bank Schedule'!$K$2:$K$817="Vacant", ROW('Bank Schedule'!$K$2:$K$817)), ROW(62:62))), "")</f>
        <v>62.5</v>
      </c>
      <c r="AD65" s="11" t="n">
        <f aca="false" t="array" ref="AD65:AD65">IFERROR(INDEX('Bank Schedule'!AE:AE, SMALL(IF('Bank Schedule'!$K$2:$K$817="Vacant", ROW('Bank Schedule'!$K$2:$K$817)), ROW(62:62))), "")</f>
        <v>2</v>
      </c>
      <c r="AE65" s="11" t="n">
        <f aca="false" t="array" ref="AE65:AE65">IFERROR(INDEX('Bank Schedule'!AF:AF, SMALL(IF('Bank Schedule'!$K$2:$K$817="Vacant", ROW('Bank Schedule'!$K$2:$K$817)), ROW(62:62))), "")</f>
        <v>3</v>
      </c>
      <c r="AF65" s="11" t="str">
        <f aca="false" t="array" ref="AF65:AF65">IFERROR(INDEX('Bank Schedule'!AG:AG, SMALL(IF('Bank Schedule'!$K$2:$K$817="Vacant", ROW('Bank Schedule'!$K$2:$K$817)), ROW(62:62))), "")</f>
        <v>LEM</v>
      </c>
      <c r="AG65" s="4"/>
    </row>
    <row r="66" customFormat="false" ht="28.5" hidden="false" customHeight="true" outlineLevel="0" collapsed="false">
      <c r="A66" s="28" t="str">
        <f aca="false">IFERROR(INDEX('Bank Schedule'!A:A, SMALL(IF('Bank Schedule'!$K$2:$K$817="Vacant", ROW('Bank Schedule'!$K$2:$K$817)), ROW(63:63))), "")</f>
        <v/>
      </c>
      <c r="B66" s="11" t="str">
        <f aca="false" t="array" ref="B66:B66">IFERROR(INDEX('Bank Schedule'!B:B, SMALL(IF('Bank Schedule'!$K$2:$K$817="Vacant", ROW('Bank Schedule'!$K$2:$K$817)), ROW(63:63))), "")</f>
        <v>CM</v>
      </c>
      <c r="C66" s="11" t="str">
        <f aca="false" t="array" ref="C66:C66">IFERROR(INDEX('Bank Schedule'!C:C, SMALL(IF('Bank Schedule'!$K$2:$K$817="Vacant", ROW('Bank Schedule'!$K$2:$K$817)), ROW(63:63))), "")</f>
        <v>MEL</v>
      </c>
      <c r="D66" s="11" t="n">
        <f aca="false" t="array" ref="D66:D66">IFERROR(INDEX('Bank Schedule'!D:D, SMALL(IF('Bank Schedule'!$K$2:$K$817="Vacant", ROW('Bank Schedule'!$K$2:$K$817)), ROW(63:63))), "")</f>
        <v>550610</v>
      </c>
      <c r="E66" s="94" t="str">
        <f aca="false" t="array" ref="E66:E66">IFERROR(INDEX('Bank Schedule'!E:E, SMALL(IF('Bank Schedule'!$K$2:$K$817="Vacant", ROW('Bank Schedule'!$K$2:$K$817)), ROW(63:63))), "")</f>
        <v>63-64 Margaret Street</v>
      </c>
      <c r="F66" s="94" t="str">
        <f aca="false" t="array" ref="F66:F66">IFERROR(INDEX('Bank Schedule'!F:F, SMALL(IF('Bank Schedule'!$K$2:$K$817="Vacant", ROW('Bank Schedule'!$K$2:$K$817)), ROW(63:63))), "")</f>
        <v>Third Floor (West)</v>
      </c>
      <c r="G66" s="94" t="str">
        <f aca="false" t="array" ref="G66:G66">IFERROR(INDEX('Bank Schedule'!G:G, SMALL(IF('Bank Schedule'!$K$2:$K$817="Vacant", ROW('Bank Schedule'!$K$2:$K$817)), ROW(63:63))), "")</f>
        <v>Office</v>
      </c>
      <c r="H66" s="14" t="n">
        <f aca="false" t="array" ref="H66:H66">IFERROR(INDEX('Bank Schedule'!H:H, SMALL(IF('Bank Schedule'!$K$2:$K$817="Vacant", ROW('Bank Schedule'!$K$2:$K$817)), ROW(63:63))), "")</f>
        <v>666</v>
      </c>
      <c r="I66" s="14" t="n">
        <f aca="false" t="array" ref="I66:I66">IFERROR(INDEX('Bank Schedule'!I:I, SMALL(IF('Bank Schedule'!$K$2:$K$817="Vacant", ROW('Bank Schedule'!$K$2:$K$817)), ROW(63:63))), "")</f>
        <v>666</v>
      </c>
      <c r="J66" s="11" t="str">
        <f aca="false" t="array" ref="J66:J66">IFERROR(INDEX('Bank Schedule'!K:K, SMALL(IF('Bank Schedule'!$K$2:$K$817="Vacant", ROW('Bank Schedule'!$K$2:$K$817)), ROW(63:63))), "")</f>
        <v>Vacant</v>
      </c>
      <c r="K66" s="11" t="str">
        <f aca="false">IFERROR(INDEX('Bank Schedule'!L:L, SMALL(IF('Bank Schedule'!$K$2:$K$817="Vacant", ROW('Bank Schedule'!$K$2:$K$817)), ROW(63:63))), "")</f>
        <v/>
      </c>
      <c r="L66" s="11" t="str">
        <f aca="false">IFERROR(INDEX('Bank Schedule'!M:M, SMALL(IF('Bank Schedule'!$K$2:$K$817="Vacant", ROW('Bank Schedule'!$K$2:$K$817)), ROW(63:63))), "")</f>
        <v/>
      </c>
      <c r="M66" s="71" t="n">
        <f aca="false" t="array" ref="M66:M66">IFERROR(INDEX('Bank Schedule'!N:N, SMALL(IF('Bank Schedule'!$K$2:$K$817="Vacant", ROW('Bank Schedule'!$K$2:$K$817)), ROW(63:63))), "")</f>
        <v>42905</v>
      </c>
      <c r="N66" s="11" t="str">
        <f aca="false">IFERROR(INDEX('Bank Schedule'!O:O, SMALL(IF('Bank Schedule'!$K$2:$K$817="Vacant", ROW('Bank Schedule'!$K$2:$K$817)), ROW(63:63))), "")</f>
        <v/>
      </c>
      <c r="O66" s="11" t="str">
        <f aca="false">IFERROR(INDEX('Bank Schedule'!P:P, SMALL(IF('Bank Schedule'!$K$2:$K$817="Vacant", ROW('Bank Schedule'!$K$2:$K$817)), ROW(63:63))), "")</f>
        <v/>
      </c>
      <c r="P66" s="11" t="n">
        <f aca="false" t="array" ref="P66:P66">IFERROR(INDEX('Bank Schedule'!Q:Q, SMALL(IF('Bank Schedule'!$K$2:$K$817="Vacant", ROW('Bank Schedule'!$K$2:$K$817)), ROW(63:63))), "")</f>
        <v>0</v>
      </c>
      <c r="Q66" s="11" t="n">
        <f aca="false" t="array" ref="Q66:Q66">IFERROR(INDEX('Bank Schedule'!R:R, SMALL(IF('Bank Schedule'!$K$2:$K$817="Vacant", ROW('Bank Schedule'!$K$2:$K$817)), ROW(63:63))), "")</f>
        <v>0</v>
      </c>
      <c r="R66" s="11" t="str">
        <f aca="false">IFERROR(INDEX('Bank Schedule'!S:S, SMALL(IF('Bank Schedule'!$K$2:$K$817="Vacant", ROW('Bank Schedule'!$K$2:$K$817)), ROW(63:63))), "")</f>
        <v/>
      </c>
      <c r="S66" s="281" t="n">
        <f aca="false" t="array" ref="S66:S66">IFERROR(INDEX('Bank Schedule'!T:T, SMALL(IF('Bank Schedule'!$K$2:$K$817="Vacant", ROW('Bank Schedule'!$K$2:$K$817)), ROW(63:63))), "")</f>
        <v>35000</v>
      </c>
      <c r="T66" s="281" t="n">
        <f aca="false" t="array" ref="T66:T66">IFERROR(INDEX('Bank Schedule'!U:U, SMALL(IF('Bank Schedule'!$K$2:$K$817="Vacant", ROW('Bank Schedule'!$K$2:$K$817)), ROW(63:63))), "")</f>
        <v>35000</v>
      </c>
      <c r="U66" s="281" t="n">
        <f aca="false" t="array" ref="U66:U66">IFERROR(INDEX('Bank Schedule'!V:V, SMALL(IF('Bank Schedule'!$K$2:$K$817="Vacant", ROW('Bank Schedule'!$K$2:$K$817)), ROW(63:63))), "")</f>
        <v>38300</v>
      </c>
      <c r="V66" s="281" t="n">
        <f aca="false" t="array" ref="V66:V66">IFERROR(INDEX('Bank Schedule'!W:W, SMALL(IF('Bank Schedule'!$K$2:$K$817="Vacant", ROW('Bank Schedule'!$K$2:$K$817)), ROW(63:63))), "")</f>
        <v>38300</v>
      </c>
      <c r="W66" s="282" t="n">
        <f aca="false" t="array" ref="W66:W66">IFERROR(INDEX('Bank Schedule'!X:X, SMALL(IF('Bank Schedule'!$K$2:$K$817="Vacant", ROW('Bank Schedule'!$K$2:$K$817)), ROW(63:63))), "")</f>
        <v>52.5525525525526</v>
      </c>
      <c r="X66" s="11" t="str">
        <f aca="false" t="array" ref="X66:X66">IFERROR(INDEX('Bank Schedule'!Y:Y, SMALL(IF('Bank Schedule'!$K$2:$K$817="Vacant", ROW('Bank Schedule'!$K$2:$K$817)), ROW(63:63))), "")</f>
        <v>D</v>
      </c>
      <c r="Y66" s="11" t="str">
        <f aca="false">IFERROR(INDEX('Bank Schedule'!Z:Z, SMALL(IF('Bank Schedule'!$K$2:$K$817="Vacant", ROW('Bank Schedule'!$K$2:$K$817)), ROW(63:63))), "")</f>
        <v/>
      </c>
      <c r="Z66" s="11" t="str">
        <f aca="false">IFERROR(INDEX('Bank Schedule'!AA:AA, SMALL(IF('Bank Schedule'!$K$2:$K$817="Vacant", ROW('Bank Schedule'!$K$2:$K$817)), ROW(63:63))), "")</f>
        <v/>
      </c>
      <c r="AA66" s="11" t="str">
        <f aca="false" t="array" ref="AA66:AA66">IFERROR(INDEX('Bank Schedule'!AB:AB, SMALL(IF('Bank Schedule'!$K$2:$K$817="Vacant", ROW('Bank Schedule'!$K$2:$K$817)), ROW(63:63))), "")</f>
        <v>No</v>
      </c>
      <c r="AB66" s="94" t="str">
        <f aca="false" t="array" ref="AB66:AB66">IFERROR(INDEX('Bank Schedule'!AC:AC, SMALL(IF('Bank Schedule'!$K$2:$K$817="Vacant", ROW('Bank Schedule'!$K$2:$K$817)), ROW(63:63))), "")</f>
        <v>To be refurbished.</v>
      </c>
      <c r="AC66" s="44" t="n">
        <f aca="false" t="array" ref="AC66:AC66">IFERROR(INDEX('Bank Schedule'!AD:AD, SMALL(IF('Bank Schedule'!$K$2:$K$817="Vacant", ROW('Bank Schedule'!$K$2:$K$817)), ROW(63:63))), "")</f>
        <v>62.5</v>
      </c>
      <c r="AD66" s="11" t="n">
        <f aca="false" t="array" ref="AD66:AD66">IFERROR(INDEX('Bank Schedule'!AE:AE, SMALL(IF('Bank Schedule'!$K$2:$K$817="Vacant", ROW('Bank Schedule'!$K$2:$K$817)), ROW(63:63))), "")</f>
        <v>0</v>
      </c>
      <c r="AE66" s="11" t="n">
        <f aca="false" t="array" ref="AE66:AE66">IFERROR(INDEX('Bank Schedule'!AF:AF, SMALL(IF('Bank Schedule'!$K$2:$K$817="Vacant", ROW('Bank Schedule'!$K$2:$K$817)), ROW(63:63))), "")</f>
        <v>1</v>
      </c>
      <c r="AF66" s="11" t="str">
        <f aca="false" t="array" ref="AF66:AF66">IFERROR(INDEX('Bank Schedule'!AG:AG, SMALL(IF('Bank Schedule'!$K$2:$K$817="Vacant", ROW('Bank Schedule'!$K$2:$K$817)), ROW(63:63))), "")</f>
        <v>LEM</v>
      </c>
      <c r="AG66" s="4"/>
    </row>
    <row r="67" customFormat="false" ht="28.5" hidden="false" customHeight="true" outlineLevel="0" collapsed="false">
      <c r="A67" s="28" t="str">
        <f aca="false">IFERROR(INDEX('Bank Schedule'!A:A, SMALL(IF('Bank Schedule'!$K$2:$K$817="Vacant", ROW('Bank Schedule'!$K$2:$K$817)), ROW(64:64))), "")</f>
        <v/>
      </c>
      <c r="B67" s="11" t="str">
        <f aca="false" t="array" ref="B67:B67">IFERROR(INDEX('Bank Schedule'!B:B, SMALL(IF('Bank Schedule'!$K$2:$K$817="Vacant", ROW('Bank Schedule'!$K$2:$K$817)), ROW(64:64))), "")</f>
        <v>CM</v>
      </c>
      <c r="C67" s="11" t="str">
        <f aca="false" t="array" ref="C67:C67">IFERROR(INDEX('Bank Schedule'!C:C, SMALL(IF('Bank Schedule'!$K$2:$K$817="Vacant", ROW('Bank Schedule'!$K$2:$K$817)), ROW(64:64))), "")</f>
        <v>MEL</v>
      </c>
      <c r="D67" s="11" t="n">
        <f aca="false" t="array" ref="D67:D67">IFERROR(INDEX('Bank Schedule'!D:D, SMALL(IF('Bank Schedule'!$K$2:$K$817="Vacant", ROW('Bank Schedule'!$K$2:$K$817)), ROW(64:64))), "")</f>
        <v>550610</v>
      </c>
      <c r="E67" s="94" t="str">
        <f aca="false" t="array" ref="E67:E67">IFERROR(INDEX('Bank Schedule'!E:E, SMALL(IF('Bank Schedule'!$K$2:$K$817="Vacant", ROW('Bank Schedule'!$K$2:$K$817)), ROW(64:64))), "")</f>
        <v>63-64 Margaret Street</v>
      </c>
      <c r="F67" s="94" t="str">
        <f aca="false" t="array" ref="F67:F67">IFERROR(INDEX('Bank Schedule'!F:F, SMALL(IF('Bank Schedule'!$K$2:$K$817="Vacant", ROW('Bank Schedule'!$K$2:$K$817)), ROW(64:64))), "")</f>
        <v>Fourth Floor (East)</v>
      </c>
      <c r="G67" s="94" t="str">
        <f aca="false" t="array" ref="G67:G67">IFERROR(INDEX('Bank Schedule'!G:G, SMALL(IF('Bank Schedule'!$K$2:$K$817="Vacant", ROW('Bank Schedule'!$K$2:$K$817)), ROW(64:64))), "")</f>
        <v>Office</v>
      </c>
      <c r="H67" s="14" t="n">
        <f aca="false" t="array" ref="H67:H67">IFERROR(INDEX('Bank Schedule'!H:H, SMALL(IF('Bank Schedule'!$K$2:$K$817="Vacant", ROW('Bank Schedule'!$K$2:$K$817)), ROW(64:64))), "")</f>
        <v>767</v>
      </c>
      <c r="I67" s="14" t="n">
        <f aca="false" t="array" ref="I67:I67">IFERROR(INDEX('Bank Schedule'!I:I, SMALL(IF('Bank Schedule'!$K$2:$K$817="Vacant", ROW('Bank Schedule'!$K$2:$K$817)), ROW(64:64))), "")</f>
        <v>767</v>
      </c>
      <c r="J67" s="11" t="str">
        <f aca="false" t="array" ref="J67:J67">IFERROR(INDEX('Bank Schedule'!K:K, SMALL(IF('Bank Schedule'!$K$2:$K$817="Vacant", ROW('Bank Schedule'!$K$2:$K$817)), ROW(64:64))), "")</f>
        <v>Vacant</v>
      </c>
      <c r="K67" s="11" t="str">
        <f aca="false">IFERROR(INDEX('Bank Schedule'!L:L, SMALL(IF('Bank Schedule'!$K$2:$K$817="Vacant", ROW('Bank Schedule'!$K$2:$K$817)), ROW(64:64))), "")</f>
        <v/>
      </c>
      <c r="L67" s="11" t="str">
        <f aca="false">IFERROR(INDEX('Bank Schedule'!M:M, SMALL(IF('Bank Schedule'!$K$2:$K$817="Vacant", ROW('Bank Schedule'!$K$2:$K$817)), ROW(64:64))), "")</f>
        <v/>
      </c>
      <c r="M67" s="71" t="n">
        <f aca="false" t="array" ref="M67:M67">IFERROR(INDEX('Bank Schedule'!N:N, SMALL(IF('Bank Schedule'!$K$2:$K$817="Vacant", ROW('Bank Schedule'!$K$2:$K$817)), ROW(64:64))), "")</f>
        <v>45719</v>
      </c>
      <c r="N67" s="11" t="str">
        <f aca="false">IFERROR(INDEX('Bank Schedule'!O:O, SMALL(IF('Bank Schedule'!$K$2:$K$817="Vacant", ROW('Bank Schedule'!$K$2:$K$817)), ROW(64:64))), "")</f>
        <v/>
      </c>
      <c r="O67" s="11" t="str">
        <f aca="false">IFERROR(INDEX('Bank Schedule'!P:P, SMALL(IF('Bank Schedule'!$K$2:$K$817="Vacant", ROW('Bank Schedule'!$K$2:$K$817)), ROW(64:64))), "")</f>
        <v/>
      </c>
      <c r="P67" s="11" t="n">
        <f aca="false" t="array" ref="P67:P67">IFERROR(INDEX('Bank Schedule'!Q:Q, SMALL(IF('Bank Schedule'!$K$2:$K$817="Vacant", ROW('Bank Schedule'!$K$2:$K$817)), ROW(64:64))), "")</f>
        <v>0</v>
      </c>
      <c r="Q67" s="11" t="n">
        <f aca="false" t="array" ref="Q67:Q67">IFERROR(INDEX('Bank Schedule'!R:R, SMALL(IF('Bank Schedule'!$K$2:$K$817="Vacant", ROW('Bank Schedule'!$K$2:$K$817)), ROW(64:64))), "")</f>
        <v>0</v>
      </c>
      <c r="R67" s="11" t="str">
        <f aca="false">IFERROR(INDEX('Bank Schedule'!S:S, SMALL(IF('Bank Schedule'!$K$2:$K$817="Vacant", ROW('Bank Schedule'!$K$2:$K$817)), ROW(64:64))), "")</f>
        <v/>
      </c>
      <c r="S67" s="281" t="n">
        <f aca="false" t="array" ref="S67:S67">IFERROR(INDEX('Bank Schedule'!T:T, SMALL(IF('Bank Schedule'!$K$2:$K$817="Vacant", ROW('Bank Schedule'!$K$2:$K$817)), ROW(64:64))), "")</f>
        <v>40000</v>
      </c>
      <c r="T67" s="281" t="n">
        <f aca="false" t="array" ref="T67:T67">IFERROR(INDEX('Bank Schedule'!U:U, SMALL(IF('Bank Schedule'!$K$2:$K$817="Vacant", ROW('Bank Schedule'!$K$2:$K$817)), ROW(64:64))), "")</f>
        <v>40000</v>
      </c>
      <c r="U67" s="281" t="n">
        <f aca="false" t="array" ref="U67:U67">IFERROR(INDEX('Bank Schedule'!V:V, SMALL(IF('Bank Schedule'!$K$2:$K$817="Vacant", ROW('Bank Schedule'!$K$2:$K$817)), ROW(64:64))), "")</f>
        <v>44100</v>
      </c>
      <c r="V67" s="281" t="n">
        <f aca="false" t="array" ref="V67:V67">IFERROR(INDEX('Bank Schedule'!W:W, SMALL(IF('Bank Schedule'!$K$2:$K$817="Vacant", ROW('Bank Schedule'!$K$2:$K$817)), ROW(64:64))), "")</f>
        <v>44100</v>
      </c>
      <c r="W67" s="282" t="n">
        <f aca="false" t="array" ref="W67:W67">IFERROR(INDEX('Bank Schedule'!X:X, SMALL(IF('Bank Schedule'!$K$2:$K$817="Vacant", ROW('Bank Schedule'!$K$2:$K$817)), ROW(64:64))), "")</f>
        <v>52.1512385919166</v>
      </c>
      <c r="X67" s="11" t="str">
        <f aca="false" t="array" ref="X67:X67">IFERROR(INDEX('Bank Schedule'!Y:Y, SMALL(IF('Bank Schedule'!$K$2:$K$817="Vacant", ROW('Bank Schedule'!$K$2:$K$817)), ROW(64:64))), "")</f>
        <v>D</v>
      </c>
      <c r="Y67" s="11" t="str">
        <f aca="false">IFERROR(INDEX('Bank Schedule'!Z:Z, SMALL(IF('Bank Schedule'!$K$2:$K$817="Vacant", ROW('Bank Schedule'!$K$2:$K$817)), ROW(64:64))), "")</f>
        <v/>
      </c>
      <c r="Z67" s="11" t="str">
        <f aca="false">IFERROR(INDEX('Bank Schedule'!AA:AA, SMALL(IF('Bank Schedule'!$K$2:$K$817="Vacant", ROW('Bank Schedule'!$K$2:$K$817)), ROW(64:64))), "")</f>
        <v/>
      </c>
      <c r="AA67" s="11" t="str">
        <f aca="false" t="array" ref="AA67:AA67">IFERROR(INDEX('Bank Schedule'!AB:AB, SMALL(IF('Bank Schedule'!$K$2:$K$817="Vacant", ROW('Bank Schedule'!$K$2:$K$817)), ROW(64:64))), "")</f>
        <v>No</v>
      </c>
      <c r="AB67" s="94" t="str">
        <f aca="false" t="array" ref="AB67:AB67">IFERROR(INDEX('Bank Schedule'!AC:AC, SMALL(IF('Bank Schedule'!$K$2:$K$817="Vacant", ROW('Bank Schedule'!$K$2:$K$817)), ROW(64:64))), "")</f>
        <v>To be refurbished.</v>
      </c>
      <c r="AC67" s="44" t="str">
        <f aca="false">IFERROR(INDEX('Bank Schedule'!AD:AD, SMALL(IF('Bank Schedule'!$K$2:$K$817="Vacant", ROW('Bank Schedule'!$K$2:$K$817)), ROW(64:64))), "")</f>
        <v/>
      </c>
      <c r="AD67" s="11" t="str">
        <f aca="false">IFERROR(INDEX('Bank Schedule'!AE:AE, SMALL(IF('Bank Schedule'!$K$2:$K$817="Vacant", ROW('Bank Schedule'!$K$2:$K$817)), ROW(64:64))), "")</f>
        <v/>
      </c>
      <c r="AE67" s="11" t="str">
        <f aca="false">IFERROR(INDEX('Bank Schedule'!AF:AF, SMALL(IF('Bank Schedule'!$K$2:$K$817="Vacant", ROW('Bank Schedule'!$K$2:$K$817)), ROW(64:64))), "")</f>
        <v/>
      </c>
      <c r="AF67" s="11" t="str">
        <f aca="false">IFERROR(INDEX('Bank Schedule'!AG:AG, SMALL(IF('Bank Schedule'!$K$2:$K$817="Vacant", ROW('Bank Schedule'!$K$2:$K$817)), ROW(64:64))), "")</f>
        <v/>
      </c>
      <c r="AG67" s="4"/>
    </row>
    <row r="68" customFormat="false" ht="28.5" hidden="false" customHeight="true" outlineLevel="0" collapsed="false">
      <c r="A68" s="28" t="n">
        <f aca="false">IFERROR(INDEX('Bank Schedule'!A:A, SMALL(IF('Bank Schedule'!$K$2:$K$817="Vacant", ROW('Bank Schedule'!$K$2:$K$817)), ROW(65:65))), "")</f>
        <v>0</v>
      </c>
      <c r="B68" s="11" t="str">
        <f aca="false" t="array" ref="B68:B68">IFERROR(INDEX('Bank Schedule'!B:B, SMALL(IF('Bank Schedule'!$K$2:$K$817="Vacant", ROW('Bank Schedule'!$K$2:$K$817)), ROW(65:65))), "")</f>
        <v>CM</v>
      </c>
      <c r="C68" s="11" t="str">
        <f aca="false" t="array" ref="C68:C68">IFERROR(INDEX('Bank Schedule'!C:C, SMALL(IF('Bank Schedule'!$K$2:$K$817="Vacant", ROW('Bank Schedule'!$K$2:$K$817)), ROW(65:65))), "")</f>
        <v>MEL</v>
      </c>
      <c r="D68" s="11" t="n">
        <f aca="false" t="array" ref="D68:D68">IFERROR(INDEX('Bank Schedule'!D:D, SMALL(IF('Bank Schedule'!$K$2:$K$817="Vacant", ROW('Bank Schedule'!$K$2:$K$817)), ROW(65:65))), "")</f>
        <v>550610</v>
      </c>
      <c r="E68" s="94" t="str">
        <f aca="false" t="array" ref="E68:E68">IFERROR(INDEX('Bank Schedule'!E:E, SMALL(IF('Bank Schedule'!$K$2:$K$817="Vacant", ROW('Bank Schedule'!$K$2:$K$817)), ROW(65:65))), "")</f>
        <v>63-64 Margaret Street</v>
      </c>
      <c r="F68" s="94" t="str">
        <f aca="false" t="array" ref="F68:F68">IFERROR(INDEX('Bank Schedule'!F:F, SMALL(IF('Bank Schedule'!$K$2:$K$817="Vacant", ROW('Bank Schedule'!$K$2:$K$817)), ROW(65:65))), "")</f>
        <v>Fourth Floor (West)</v>
      </c>
      <c r="G68" s="94" t="str">
        <f aca="false" t="array" ref="G68:G68">IFERROR(INDEX('Bank Schedule'!G:G, SMALL(IF('Bank Schedule'!$K$2:$K$817="Vacant", ROW('Bank Schedule'!$K$2:$K$817)), ROW(65:65))), "")</f>
        <v>Office</v>
      </c>
      <c r="H68" s="14" t="n">
        <f aca="false" t="array" ref="H68:H68">IFERROR(INDEX('Bank Schedule'!H:H, SMALL(IF('Bank Schedule'!$K$2:$K$817="Vacant", ROW('Bank Schedule'!$K$2:$K$817)), ROW(65:65))), "")</f>
        <v>645</v>
      </c>
      <c r="I68" s="14" t="n">
        <f aca="false" t="array" ref="I68:I68">IFERROR(INDEX('Bank Schedule'!I:I, SMALL(IF('Bank Schedule'!$K$2:$K$817="Vacant", ROW('Bank Schedule'!$K$2:$K$817)), ROW(65:65))), "")</f>
        <v>645</v>
      </c>
      <c r="J68" s="11" t="str">
        <f aca="false" t="array" ref="J68:J68">IFERROR(INDEX('Bank Schedule'!K:K, SMALL(IF('Bank Schedule'!$K$2:$K$817="Vacant", ROW('Bank Schedule'!$K$2:$K$817)), ROW(65:65))), "")</f>
        <v>Vacant</v>
      </c>
      <c r="K68" s="8" t="n">
        <f aca="false">IFERROR(INDEX('Bank Schedule'!L:L, SMALL(IF('Bank Schedule'!$K$2:$K$817="Vacant", ROW('Bank Schedule'!$K$2:$K$817)), ROW(65:65))), "")</f>
        <v>45384</v>
      </c>
      <c r="L68" s="8" t="n">
        <f aca="false">IFERROR(INDEX('Bank Schedule'!M:M, SMALL(IF('Bank Schedule'!$K$2:$K$817="Vacant", ROW('Bank Schedule'!$K$2:$K$817)), ROW(65:65))), "")</f>
        <v>47209</v>
      </c>
      <c r="M68" s="71" t="n">
        <f aca="false" t="array" ref="M68:M68">IFERROR(INDEX('Bank Schedule'!N:N, SMALL(IF('Bank Schedule'!$K$2:$K$817="Vacant", ROW('Bank Schedule'!$K$2:$K$817)), ROW(65:65))), "")</f>
        <v>44263</v>
      </c>
      <c r="N68" s="8" t="n">
        <f aca="false">IFERROR(INDEX('Bank Schedule'!O:O, SMALL(IF('Bank Schedule'!$K$2:$K$817="Vacant", ROW('Bank Schedule'!$K$2:$K$817)), ROW(65:65))), "")</f>
        <v>0</v>
      </c>
      <c r="O68" s="8" t="n">
        <f aca="false">IFERROR(INDEX('Bank Schedule'!P:P, SMALL(IF('Bank Schedule'!$K$2:$K$817="Vacant", ROW('Bank Schedule'!$K$2:$K$817)), ROW(65:65))), "")</f>
        <v>46478</v>
      </c>
      <c r="P68" s="11" t="n">
        <f aca="false" t="array" ref="P68:P68">IFERROR(INDEX('Bank Schedule'!Q:Q, SMALL(IF('Bank Schedule'!$K$2:$K$817="Vacant", ROW('Bank Schedule'!$K$2:$K$817)), ROW(65:65))), "")</f>
        <v>0</v>
      </c>
      <c r="Q68" s="11" t="n">
        <f aca="false" t="array" ref="Q68:Q68">IFERROR(INDEX('Bank Schedule'!R:R, SMALL(IF('Bank Schedule'!$K$2:$K$817="Vacant", ROW('Bank Schedule'!$K$2:$K$817)), ROW(65:65))), "")</f>
        <v>0</v>
      </c>
      <c r="R68" s="9" t="n">
        <f aca="false">IFERROR(INDEX('Bank Schedule'!S:S, SMALL(IF('Bank Schedule'!$K$2:$K$817="Vacant", ROW('Bank Schedule'!$K$2:$K$817)), ROW(65:65))), "")</f>
        <v>0</v>
      </c>
      <c r="S68" s="281" t="n">
        <f aca="false" t="array" ref="S68:S68">IFERROR(INDEX('Bank Schedule'!T:T, SMALL(IF('Bank Schedule'!$K$2:$K$817="Vacant", ROW('Bank Schedule'!$K$2:$K$817)), ROW(65:65))), "")</f>
        <v>35000</v>
      </c>
      <c r="T68" s="281" t="n">
        <f aca="false" t="array" ref="T68:T68">IFERROR(INDEX('Bank Schedule'!U:U, SMALL(IF('Bank Schedule'!$K$2:$K$817="Vacant", ROW('Bank Schedule'!$K$2:$K$817)), ROW(65:65))), "")</f>
        <v>35000</v>
      </c>
      <c r="U68" s="281" t="n">
        <f aca="false" t="array" ref="U68:U68">IFERROR(INDEX('Bank Schedule'!V:V, SMALL(IF('Bank Schedule'!$K$2:$K$817="Vacant", ROW('Bank Schedule'!$K$2:$K$817)), ROW(65:65))), "")</f>
        <v>37100</v>
      </c>
      <c r="V68" s="281" t="n">
        <f aca="false" t="array" ref="V68:V68">IFERROR(INDEX('Bank Schedule'!W:W, SMALL(IF('Bank Schedule'!$K$2:$K$817="Vacant", ROW('Bank Schedule'!$K$2:$K$817)), ROW(65:65))), "")</f>
        <v>37100</v>
      </c>
      <c r="W68" s="282" t="n">
        <f aca="false" t="array" ref="W68:W68">IFERROR(INDEX('Bank Schedule'!X:X, SMALL(IF('Bank Schedule'!$K$2:$K$817="Vacant", ROW('Bank Schedule'!$K$2:$K$817)), ROW(65:65))), "")</f>
        <v>54.2635658914729</v>
      </c>
      <c r="X68" s="11" t="str">
        <f aca="false" t="array" ref="X68:X68">IFERROR(INDEX('Bank Schedule'!Y:Y, SMALL(IF('Bank Schedule'!$K$2:$K$817="Vacant", ROW('Bank Schedule'!$K$2:$K$817)), ROW(65:65))), "")</f>
        <v>D</v>
      </c>
      <c r="Y68" s="9" t="n">
        <f aca="false">IFERROR(INDEX('Bank Schedule'!Z:Z, SMALL(IF('Bank Schedule'!$K$2:$K$817="Vacant", ROW('Bank Schedule'!$K$2:$K$817)), ROW(65:65))), "")</f>
        <v>0</v>
      </c>
      <c r="Z68" s="283" t="n">
        <f aca="false">IFERROR(INDEX('Bank Schedule'!AA:AA, SMALL(IF('Bank Schedule'!$K$2:$K$817="Vacant", ROW('Bank Schedule'!$K$2:$K$817)), ROW(65:65))), "")</f>
        <v>0</v>
      </c>
      <c r="AA68" s="11" t="str">
        <f aca="false" t="array" ref="AA68:AA68">IFERROR(INDEX('Bank Schedule'!AB:AB, SMALL(IF('Bank Schedule'!$K$2:$K$817="Vacant", ROW('Bank Schedule'!$K$2:$K$817)), ROW(65:65))), "")</f>
        <v>No</v>
      </c>
      <c r="AB68" s="94" t="str">
        <f aca="false" t="array" ref="AB68:AB68">IFERROR(INDEX('Bank Schedule'!AC:AC, SMALL(IF('Bank Schedule'!$K$2:$K$817="Vacant", ROW('Bank Schedule'!$K$2:$K$817)), ROW(65:65))), "")</f>
        <v>To be refurbished.</v>
      </c>
      <c r="AC68" s="44" t="n">
        <f aca="false" t="array" ref="AC68:AC68">IFERROR(INDEX('Bank Schedule'!AD:AD, SMALL(IF('Bank Schedule'!$K$2:$K$817="Vacant", ROW('Bank Schedule'!$K$2:$K$817)), ROW(65:65))), "")</f>
        <v>60</v>
      </c>
      <c r="AD68" s="11" t="n">
        <f aca="false">IFERROR(INDEX('Bank Schedule'!AE:AE, SMALL(IF('Bank Schedule'!$K$2:$K$817="Vacant", ROW('Bank Schedule'!$K$2:$K$817)), ROW(65:65))), "")</f>
        <v>0</v>
      </c>
      <c r="AE68" s="11" t="n">
        <f aca="false">IFERROR(INDEX('Bank Schedule'!AF:AF, SMALL(IF('Bank Schedule'!$K$2:$K$817="Vacant", ROW('Bank Schedule'!$K$2:$K$817)), ROW(65:65))), "")</f>
        <v>0</v>
      </c>
      <c r="AF68" s="11" t="n">
        <f aca="false">IFERROR(INDEX('Bank Schedule'!AG:AG, SMALL(IF('Bank Schedule'!$K$2:$K$817="Vacant", ROW('Bank Schedule'!$K$2:$K$817)), ROW(65:65))), "")</f>
        <v>0</v>
      </c>
      <c r="AG68" s="4"/>
    </row>
    <row r="69" customFormat="false" ht="28.5" hidden="false" customHeight="true" outlineLevel="0" collapsed="false">
      <c r="A69" s="28" t="str">
        <f aca="false">IFERROR(INDEX('Bank Schedule'!A:A, SMALL(IF('Bank Schedule'!$K$2:$K$817="Vacant", ROW('Bank Schedule'!$K$2:$K$817)), ROW(66:66))), "")</f>
        <v/>
      </c>
      <c r="B69" s="11" t="str">
        <f aca="false" t="array" ref="B69:B69">IFERROR(INDEX('Bank Schedule'!B:B, SMALL(IF('Bank Schedule'!$K$2:$K$817="Vacant", ROW('Bank Schedule'!$K$2:$K$817)), ROW(66:66))), "")</f>
        <v>CM</v>
      </c>
      <c r="C69" s="11" t="str">
        <f aca="false" t="array" ref="C69:C69">IFERROR(INDEX('Bank Schedule'!C:C, SMALL(IF('Bank Schedule'!$K$2:$K$817="Vacant", ROW('Bank Schedule'!$K$2:$K$817)), ROW(66:66))), "")</f>
        <v>MEL</v>
      </c>
      <c r="D69" s="11" t="n">
        <f aca="false" t="array" ref="D69:D69">IFERROR(INDEX('Bank Schedule'!D:D, SMALL(IF('Bank Schedule'!$K$2:$K$817="Vacant", ROW('Bank Schedule'!$K$2:$K$817)), ROW(66:66))), "")</f>
        <v>550610</v>
      </c>
      <c r="E69" s="94" t="str">
        <f aca="false" t="array" ref="E69:E69">IFERROR(INDEX('Bank Schedule'!E:E, SMALL(IF('Bank Schedule'!$K$2:$K$817="Vacant", ROW('Bank Schedule'!$K$2:$K$817)), ROW(66:66))), "")</f>
        <v>63-64 Margaret Street</v>
      </c>
      <c r="F69" s="94" t="str">
        <f aca="false" t="array" ref="F69:F69">IFERROR(INDEX('Bank Schedule'!F:F, SMALL(IF('Bank Schedule'!$K$2:$K$817="Vacant", ROW('Bank Schedule'!$K$2:$K$817)), ROW(66:66))), "")</f>
        <v>Fifth Floor (East)</v>
      </c>
      <c r="G69" s="94" t="str">
        <f aca="false" t="array" ref="G69:G69">IFERROR(INDEX('Bank Schedule'!G:G, SMALL(IF('Bank Schedule'!$K$2:$K$817="Vacant", ROW('Bank Schedule'!$K$2:$K$817)), ROW(66:66))), "")</f>
        <v>Office</v>
      </c>
      <c r="H69" s="14" t="n">
        <f aca="false" t="array" ref="H69:H69">IFERROR(INDEX('Bank Schedule'!H:H, SMALL(IF('Bank Schedule'!$K$2:$K$817="Vacant", ROW('Bank Schedule'!$K$2:$K$817)), ROW(66:66))), "")</f>
        <v>767</v>
      </c>
      <c r="I69" s="14" t="n">
        <f aca="false" t="array" ref="I69:I69">IFERROR(INDEX('Bank Schedule'!I:I, SMALL(IF('Bank Schedule'!$K$2:$K$817="Vacant", ROW('Bank Schedule'!$K$2:$K$817)), ROW(66:66))), "")</f>
        <v>767</v>
      </c>
      <c r="J69" s="11" t="str">
        <f aca="false" t="array" ref="J69:J69">IFERROR(INDEX('Bank Schedule'!K:K, SMALL(IF('Bank Schedule'!$K$2:$K$817="Vacant", ROW('Bank Schedule'!$K$2:$K$817)), ROW(66:66))), "")</f>
        <v>Vacant</v>
      </c>
      <c r="K69" s="11" t="str">
        <f aca="false">IFERROR(INDEX('Bank Schedule'!L:L, SMALL(IF('Bank Schedule'!$K$2:$K$817="Vacant", ROW('Bank Schedule'!$K$2:$K$817)), ROW(66:66))), "")</f>
        <v/>
      </c>
      <c r="L69" s="11" t="str">
        <f aca="false">IFERROR(INDEX('Bank Schedule'!M:M, SMALL(IF('Bank Schedule'!$K$2:$K$817="Vacant", ROW('Bank Schedule'!$K$2:$K$817)), ROW(66:66))), "")</f>
        <v/>
      </c>
      <c r="M69" s="71" t="n">
        <f aca="false" t="array" ref="M69:M69">IFERROR(INDEX('Bank Schedule'!N:N, SMALL(IF('Bank Schedule'!$K$2:$K$817="Vacant", ROW('Bank Schedule'!$K$2:$K$817)), ROW(66:66))), "")</f>
        <v>44263</v>
      </c>
      <c r="N69" s="11" t="str">
        <f aca="false">IFERROR(INDEX('Bank Schedule'!O:O, SMALL(IF('Bank Schedule'!$K$2:$K$817="Vacant", ROW('Bank Schedule'!$K$2:$K$817)), ROW(66:66))), "")</f>
        <v/>
      </c>
      <c r="O69" s="11" t="str">
        <f aca="false">IFERROR(INDEX('Bank Schedule'!P:P, SMALL(IF('Bank Schedule'!$K$2:$K$817="Vacant", ROW('Bank Schedule'!$K$2:$K$817)), ROW(66:66))), "")</f>
        <v/>
      </c>
      <c r="P69" s="11" t="n">
        <f aca="false" t="array" ref="P69:P69">IFERROR(INDEX('Bank Schedule'!Q:Q, SMALL(IF('Bank Schedule'!$K$2:$K$817="Vacant", ROW('Bank Schedule'!$K$2:$K$817)), ROW(66:66))), "")</f>
        <v>0</v>
      </c>
      <c r="Q69" s="11" t="n">
        <f aca="false" t="array" ref="Q69:Q69">IFERROR(INDEX('Bank Schedule'!R:R, SMALL(IF('Bank Schedule'!$K$2:$K$817="Vacant", ROW('Bank Schedule'!$K$2:$K$817)), ROW(66:66))), "")</f>
        <v>0</v>
      </c>
      <c r="R69" s="11" t="str">
        <f aca="false">IFERROR(INDEX('Bank Schedule'!S:S, SMALL(IF('Bank Schedule'!$K$2:$K$817="Vacant", ROW('Bank Schedule'!$K$2:$K$817)), ROW(66:66))), "")</f>
        <v/>
      </c>
      <c r="S69" s="281" t="n">
        <f aca="false" t="array" ref="S69:S69">IFERROR(INDEX('Bank Schedule'!T:T, SMALL(IF('Bank Schedule'!$K$2:$K$817="Vacant", ROW('Bank Schedule'!$K$2:$K$817)), ROW(66:66))), "")</f>
        <v>40000</v>
      </c>
      <c r="T69" s="281" t="n">
        <f aca="false" t="array" ref="T69:T69">IFERROR(INDEX('Bank Schedule'!U:U, SMALL(IF('Bank Schedule'!$K$2:$K$817="Vacant", ROW('Bank Schedule'!$K$2:$K$817)), ROW(66:66))), "")</f>
        <v>40000</v>
      </c>
      <c r="U69" s="281" t="n">
        <f aca="false" t="array" ref="U69:U69">IFERROR(INDEX('Bank Schedule'!V:V, SMALL(IF('Bank Schedule'!$K$2:$K$817="Vacant", ROW('Bank Schedule'!$K$2:$K$817)), ROW(66:66))), "")</f>
        <v>44100</v>
      </c>
      <c r="V69" s="281" t="n">
        <f aca="false" t="array" ref="V69:V69">IFERROR(INDEX('Bank Schedule'!W:W, SMALL(IF('Bank Schedule'!$K$2:$K$817="Vacant", ROW('Bank Schedule'!$K$2:$K$817)), ROW(66:66))), "")</f>
        <v>44100</v>
      </c>
      <c r="W69" s="282" t="n">
        <f aca="false" t="array" ref="W69:W69">IFERROR(INDEX('Bank Schedule'!X:X, SMALL(IF('Bank Schedule'!$K$2:$K$817="Vacant", ROW('Bank Schedule'!$K$2:$K$817)), ROW(66:66))), "")</f>
        <v>52.1512385919166</v>
      </c>
      <c r="X69" s="11" t="str">
        <f aca="false" t="array" ref="X69:X69">IFERROR(INDEX('Bank Schedule'!Y:Y, SMALL(IF('Bank Schedule'!$K$2:$K$817="Vacant", ROW('Bank Schedule'!$K$2:$K$817)), ROW(66:66))), "")</f>
        <v>D</v>
      </c>
      <c r="Y69" s="11" t="str">
        <f aca="false">IFERROR(INDEX('Bank Schedule'!Z:Z, SMALL(IF('Bank Schedule'!$K$2:$K$817="Vacant", ROW('Bank Schedule'!$K$2:$K$817)), ROW(66:66))), "")</f>
        <v/>
      </c>
      <c r="Z69" s="11" t="str">
        <f aca="false">IFERROR(INDEX('Bank Schedule'!AA:AA, SMALL(IF('Bank Schedule'!$K$2:$K$817="Vacant", ROW('Bank Schedule'!$K$2:$K$817)), ROW(66:66))), "")</f>
        <v/>
      </c>
      <c r="AA69" s="11" t="str">
        <f aca="false" t="array" ref="AA69:AA69">IFERROR(INDEX('Bank Schedule'!AB:AB, SMALL(IF('Bank Schedule'!$K$2:$K$817="Vacant", ROW('Bank Schedule'!$K$2:$K$817)), ROW(66:66))), "")</f>
        <v>No</v>
      </c>
      <c r="AB69" s="94" t="str">
        <f aca="false" t="array" ref="AB69:AB69">IFERROR(INDEX('Bank Schedule'!AC:AC, SMALL(IF('Bank Schedule'!$K$2:$K$817="Vacant", ROW('Bank Schedule'!$K$2:$K$817)), ROW(66:66))), "")</f>
        <v>To be refurbished.</v>
      </c>
      <c r="AC69" s="44" t="n">
        <f aca="false" t="array" ref="AC69:AC69">IFERROR(INDEX('Bank Schedule'!AD:AD, SMALL(IF('Bank Schedule'!$K$2:$K$817="Vacant", ROW('Bank Schedule'!$K$2:$K$817)), ROW(66:66))), "")</f>
        <v>60</v>
      </c>
      <c r="AD69" s="11" t="str">
        <f aca="false">IFERROR(INDEX('Bank Schedule'!AE:AE, SMALL(IF('Bank Schedule'!$K$2:$K$817="Vacant", ROW('Bank Schedule'!$K$2:$K$817)), ROW(66:66))), "")</f>
        <v/>
      </c>
      <c r="AE69" s="11" t="str">
        <f aca="false">IFERROR(INDEX('Bank Schedule'!AF:AF, SMALL(IF('Bank Schedule'!$K$2:$K$817="Vacant", ROW('Bank Schedule'!$K$2:$K$817)), ROW(66:66))), "")</f>
        <v/>
      </c>
      <c r="AF69" s="11" t="str">
        <f aca="false">IFERROR(INDEX('Bank Schedule'!AG:AG, SMALL(IF('Bank Schedule'!$K$2:$K$817="Vacant", ROW('Bank Schedule'!$K$2:$K$817)), ROW(66:66))), "")</f>
        <v/>
      </c>
      <c r="AG69" s="4"/>
    </row>
    <row r="70" customFormat="false" ht="28.5" hidden="false" customHeight="true" outlineLevel="0" collapsed="false">
      <c r="A70" s="28" t="str">
        <f aca="false">IFERROR(INDEX('Bank Schedule'!A:A, SMALL(IF('Bank Schedule'!$K$2:$K$817="Vacant", ROW('Bank Schedule'!$K$2:$K$817)), ROW(67:67))), "")</f>
        <v/>
      </c>
      <c r="B70" s="11" t="str">
        <f aca="false" t="array" ref="B70:B70">IFERROR(INDEX('Bank Schedule'!B:B, SMALL(IF('Bank Schedule'!$K$2:$K$817="Vacant", ROW('Bank Schedule'!$K$2:$K$817)), ROW(67:67))), "")</f>
        <v>CM</v>
      </c>
      <c r="C70" s="11" t="str">
        <f aca="false" t="array" ref="C70:C70">IFERROR(INDEX('Bank Schedule'!C:C, SMALL(IF('Bank Schedule'!$K$2:$K$817="Vacant", ROW('Bank Schedule'!$K$2:$K$817)), ROW(67:67))), "")</f>
        <v>MEL</v>
      </c>
      <c r="D70" s="11" t="n">
        <f aca="false" t="array" ref="D70:D70">IFERROR(INDEX('Bank Schedule'!D:D, SMALL(IF('Bank Schedule'!$K$2:$K$817="Vacant", ROW('Bank Schedule'!$K$2:$K$817)), ROW(67:67))), "")</f>
        <v>550610</v>
      </c>
      <c r="E70" s="94" t="str">
        <f aca="false" t="array" ref="E70:E70">IFERROR(INDEX('Bank Schedule'!E:E, SMALL(IF('Bank Schedule'!$K$2:$K$817="Vacant", ROW('Bank Schedule'!$K$2:$K$817)), ROW(67:67))), "")</f>
        <v>63-64 Margaret Street</v>
      </c>
      <c r="F70" s="94" t="str">
        <f aca="false" t="array" ref="F70:F70">IFERROR(INDEX('Bank Schedule'!F:F, SMALL(IF('Bank Schedule'!$K$2:$K$817="Vacant", ROW('Bank Schedule'!$K$2:$K$817)), ROW(67:67))), "")</f>
        <v>Fifth Floor (West)</v>
      </c>
      <c r="G70" s="94" t="str">
        <f aca="false" t="array" ref="G70:G70">IFERROR(INDEX('Bank Schedule'!G:G, SMALL(IF('Bank Schedule'!$K$2:$K$817="Vacant", ROW('Bank Schedule'!$K$2:$K$817)), ROW(67:67))), "")</f>
        <v>Office</v>
      </c>
      <c r="H70" s="14" t="n">
        <f aca="false" t="array" ref="H70:H70">IFERROR(INDEX('Bank Schedule'!H:H, SMALL(IF('Bank Schedule'!$K$2:$K$817="Vacant", ROW('Bank Schedule'!$K$2:$K$817)), ROW(67:67))), "")</f>
        <v>534</v>
      </c>
      <c r="I70" s="14" t="n">
        <f aca="false" t="array" ref="I70:I70">IFERROR(INDEX('Bank Schedule'!I:I, SMALL(IF('Bank Schedule'!$K$2:$K$817="Vacant", ROW('Bank Schedule'!$K$2:$K$817)), ROW(67:67))), "")</f>
        <v>534</v>
      </c>
      <c r="J70" s="11" t="str">
        <f aca="false" t="array" ref="J70:J70">IFERROR(INDEX('Bank Schedule'!K:K, SMALL(IF('Bank Schedule'!$K$2:$K$817="Vacant", ROW('Bank Schedule'!$K$2:$K$817)), ROW(67:67))), "")</f>
        <v>Vacant</v>
      </c>
      <c r="K70" s="11" t="str">
        <f aca="false">IFERROR(INDEX('Bank Schedule'!L:L, SMALL(IF('Bank Schedule'!$K$2:$K$817="Vacant", ROW('Bank Schedule'!$K$2:$K$817)), ROW(67:67))), "")</f>
        <v/>
      </c>
      <c r="L70" s="11" t="str">
        <f aca="false">IFERROR(INDEX('Bank Schedule'!M:M, SMALL(IF('Bank Schedule'!$K$2:$K$817="Vacant", ROW('Bank Schedule'!$K$2:$K$817)), ROW(67:67))), "")</f>
        <v/>
      </c>
      <c r="M70" s="71" t="n">
        <f aca="false" t="array" ref="M70:M70">IFERROR(INDEX('Bank Schedule'!N:N, SMALL(IF('Bank Schedule'!$K$2:$K$817="Vacant", ROW('Bank Schedule'!$K$2:$K$817)), ROW(67:67))), "")</f>
        <v>43061</v>
      </c>
      <c r="N70" s="11" t="str">
        <f aca="false">IFERROR(INDEX('Bank Schedule'!O:O, SMALL(IF('Bank Schedule'!$K$2:$K$817="Vacant", ROW('Bank Schedule'!$K$2:$K$817)), ROW(67:67))), "")</f>
        <v/>
      </c>
      <c r="O70" s="11" t="str">
        <f aca="false">IFERROR(INDEX('Bank Schedule'!P:P, SMALL(IF('Bank Schedule'!$K$2:$K$817="Vacant", ROW('Bank Schedule'!$K$2:$K$817)), ROW(67:67))), "")</f>
        <v/>
      </c>
      <c r="P70" s="11" t="n">
        <f aca="false" t="array" ref="P70:P70">IFERROR(INDEX('Bank Schedule'!Q:Q, SMALL(IF('Bank Schedule'!$K$2:$K$817="Vacant", ROW('Bank Schedule'!$K$2:$K$817)), ROW(67:67))), "")</f>
        <v>0</v>
      </c>
      <c r="Q70" s="11" t="n">
        <f aca="false" t="array" ref="Q70:Q70">IFERROR(INDEX('Bank Schedule'!R:R, SMALL(IF('Bank Schedule'!$K$2:$K$817="Vacant", ROW('Bank Schedule'!$K$2:$K$817)), ROW(67:67))), "")</f>
        <v>0</v>
      </c>
      <c r="R70" s="11" t="str">
        <f aca="false">IFERROR(INDEX('Bank Schedule'!S:S, SMALL(IF('Bank Schedule'!$K$2:$K$817="Vacant", ROW('Bank Schedule'!$K$2:$K$817)), ROW(67:67))), "")</f>
        <v/>
      </c>
      <c r="S70" s="281" t="n">
        <f aca="false" t="array" ref="S70:S70">IFERROR(INDEX('Bank Schedule'!T:T, SMALL(IF('Bank Schedule'!$K$2:$K$817="Vacant", ROW('Bank Schedule'!$K$2:$K$817)), ROW(67:67))), "")</f>
        <v>0</v>
      </c>
      <c r="T70" s="281" t="n">
        <f aca="false" t="array" ref="T70:T70">IFERROR(INDEX('Bank Schedule'!U:U, SMALL(IF('Bank Schedule'!$K$2:$K$817="Vacant", ROW('Bank Schedule'!$K$2:$K$817)), ROW(67:67))), "")</f>
        <v>0</v>
      </c>
      <c r="U70" s="281" t="n">
        <f aca="false" t="array" ref="U70:U70">IFERROR(INDEX('Bank Schedule'!V:V, SMALL(IF('Bank Schedule'!$K$2:$K$817="Vacant", ROW('Bank Schedule'!$K$2:$K$817)), ROW(67:67))), "")</f>
        <v>30700</v>
      </c>
      <c r="V70" s="281" t="n">
        <f aca="false" t="array" ref="V70:V70">IFERROR(INDEX('Bank Schedule'!W:W, SMALL(IF('Bank Schedule'!$K$2:$K$817="Vacant", ROW('Bank Schedule'!$K$2:$K$817)), ROW(67:67))), "")</f>
        <v>30700</v>
      </c>
      <c r="W70" s="282" t="n">
        <f aca="false" t="array" ref="W70:W70">IFERROR(INDEX('Bank Schedule'!X:X, SMALL(IF('Bank Schedule'!$K$2:$K$817="Vacant", ROW('Bank Schedule'!$K$2:$K$817)), ROW(67:67))), "")</f>
        <v>0</v>
      </c>
      <c r="X70" s="11" t="str">
        <f aca="false" t="array" ref="X70:X70">IFERROR(INDEX('Bank Schedule'!Y:Y, SMALL(IF('Bank Schedule'!$K$2:$K$817="Vacant", ROW('Bank Schedule'!$K$2:$K$817)), ROW(67:67))), "")</f>
        <v>D</v>
      </c>
      <c r="Y70" s="11" t="str">
        <f aca="false">IFERROR(INDEX('Bank Schedule'!Z:Z, SMALL(IF('Bank Schedule'!$K$2:$K$817="Vacant", ROW('Bank Schedule'!$K$2:$K$817)), ROW(67:67))), "")</f>
        <v/>
      </c>
      <c r="Z70" s="11" t="str">
        <f aca="false">IFERROR(INDEX('Bank Schedule'!AA:AA, SMALL(IF('Bank Schedule'!$K$2:$K$817="Vacant", ROW('Bank Schedule'!$K$2:$K$817)), ROW(67:67))), "")</f>
        <v/>
      </c>
      <c r="AA70" s="11" t="str">
        <f aca="false" t="array" ref="AA70:AA70">IFERROR(INDEX('Bank Schedule'!AB:AB, SMALL(IF('Bank Schedule'!$K$2:$K$817="Vacant", ROW('Bank Schedule'!$K$2:$K$817)), ROW(67:67))), "")</f>
        <v>No</v>
      </c>
      <c r="AB70" s="94" t="str">
        <f aca="false" t="array" ref="AB70:AB70">IFERROR(INDEX('Bank Schedule'!AC:AC, SMALL(IF('Bank Schedule'!$K$2:$K$817="Vacant", ROW('Bank Schedule'!$K$2:$K$817)), ROW(67:67))), "")</f>
        <v>To be refurbished.</v>
      </c>
      <c r="AC70" s="44" t="n">
        <f aca="false" t="array" ref="AC70:AC70">IFERROR(INDEX('Bank Schedule'!AD:AD, SMALL(IF('Bank Schedule'!$K$2:$K$817="Vacant", ROW('Bank Schedule'!$K$2:$K$817)), ROW(67:67))), "")</f>
        <v>60</v>
      </c>
      <c r="AD70" s="11" t="str">
        <f aca="false">IFERROR(INDEX('Bank Schedule'!AE:AE, SMALL(IF('Bank Schedule'!$K$2:$K$817="Vacant", ROW('Bank Schedule'!$K$2:$K$817)), ROW(67:67))), "")</f>
        <v/>
      </c>
      <c r="AE70" s="11" t="str">
        <f aca="false">IFERROR(INDEX('Bank Schedule'!AF:AF, SMALL(IF('Bank Schedule'!$K$2:$K$817="Vacant", ROW('Bank Schedule'!$K$2:$K$817)), ROW(67:67))), "")</f>
        <v/>
      </c>
      <c r="AF70" s="11" t="str">
        <f aca="false">IFERROR(INDEX('Bank Schedule'!AG:AG, SMALL(IF('Bank Schedule'!$K$2:$K$817="Vacant", ROW('Bank Schedule'!$K$2:$K$817)), ROW(67:67))), "")</f>
        <v/>
      </c>
      <c r="AG70" s="4"/>
    </row>
    <row r="71" customFormat="false" ht="28.5" hidden="false" customHeight="true" outlineLevel="0" collapsed="false">
      <c r="A71" s="28" t="str">
        <f aca="false">IFERROR(INDEX('Bank Schedule'!A:A, SMALL(IF('Bank Schedule'!$K$2:$K$817="Vacant", ROW('Bank Schedule'!$K$2:$K$817)), ROW(68:68))), "")</f>
        <v/>
      </c>
      <c r="B71" s="11" t="str">
        <f aca="false" t="array" ref="B71:B71">IFERROR(INDEX('Bank Schedule'!B:B, SMALL(IF('Bank Schedule'!$K$2:$K$817="Vacant", ROW('Bank Schedule'!$K$2:$K$817)), ROW(68:68))), "")</f>
        <v>CD</v>
      </c>
      <c r="C71" s="11" t="str">
        <f aca="false" t="array" ref="C71:C71">IFERROR(INDEX('Bank Schedule'!C:C, SMALL(IF('Bank Schedule'!$K$2:$K$817="Vacant", ROW('Bank Schedule'!$K$2:$K$817)), ROW(68:68))), "")</f>
        <v>MEL</v>
      </c>
      <c r="D71" s="11" t="n">
        <f aca="false" t="array" ref="D71:D71">IFERROR(INDEX('Bank Schedule'!D:D, SMALL(IF('Bank Schedule'!$K$2:$K$817="Vacant", ROW('Bank Schedule'!$K$2:$K$817)), ROW(68:68))), "")</f>
        <v>550640</v>
      </c>
      <c r="E71" s="94" t="str">
        <f aca="false" t="array" ref="E71:E71">IFERROR(INDEX('Bank Schedule'!E:E, SMALL(IF('Bank Schedule'!$K$2:$K$817="Vacant", ROW('Bank Schedule'!$K$2:$K$817)), ROW(68:68))), "")</f>
        <v>75-77 Margaret Street</v>
      </c>
      <c r="F71" s="94" t="str">
        <f aca="false" t="array" ref="F71:F71">IFERROR(INDEX('Bank Schedule'!F:F, SMALL(IF('Bank Schedule'!$K$2:$K$817="Vacant", ROW('Bank Schedule'!$K$2:$K$817)), ROW(68:68))), "")</f>
        <v>First Floor (Rear)</v>
      </c>
      <c r="G71" s="94" t="str">
        <f aca="false" t="array" ref="G71:G71">IFERROR(INDEX('Bank Schedule'!G:G, SMALL(IF('Bank Schedule'!$K$2:$K$817="Vacant", ROW('Bank Schedule'!$K$2:$K$817)), ROW(68:68))), "")</f>
        <v>Office</v>
      </c>
      <c r="H71" s="14" t="n">
        <f aca="false" t="array" ref="H71:H71">IFERROR(INDEX('Bank Schedule'!H:H, SMALL(IF('Bank Schedule'!$K$2:$K$817="Vacant", ROW('Bank Schedule'!$K$2:$K$817)), ROW(68:68))), "")</f>
        <v>1218</v>
      </c>
      <c r="I71" s="14" t="n">
        <f aca="false" t="array" ref="I71:I71">IFERROR(INDEX('Bank Schedule'!I:I, SMALL(IF('Bank Schedule'!$K$2:$K$817="Vacant", ROW('Bank Schedule'!$K$2:$K$817)), ROW(68:68))), "")</f>
        <v>1218</v>
      </c>
      <c r="J71" s="11" t="str">
        <f aca="false" t="array" ref="J71:J71">IFERROR(INDEX('Bank Schedule'!K:K, SMALL(IF('Bank Schedule'!$K$2:$K$817="Vacant", ROW('Bank Schedule'!$K$2:$K$817)), ROW(68:68))), "")</f>
        <v>Vacant</v>
      </c>
      <c r="K71" s="11" t="str">
        <f aca="false">IFERROR(INDEX('Bank Schedule'!L:L, SMALL(IF('Bank Schedule'!$K$2:$K$817="Vacant", ROW('Bank Schedule'!$K$2:$K$817)), ROW(68:68))), "")</f>
        <v/>
      </c>
      <c r="L71" s="11" t="str">
        <f aca="false">IFERROR(INDEX('Bank Schedule'!M:M, SMALL(IF('Bank Schedule'!$K$2:$K$817="Vacant", ROW('Bank Schedule'!$K$2:$K$817)), ROW(68:68))), "")</f>
        <v/>
      </c>
      <c r="M71" s="71" t="n">
        <f aca="false" t="array" ref="M71:M71">IFERROR(INDEX('Bank Schedule'!N:N, SMALL(IF('Bank Schedule'!$K$2:$K$817="Vacant", ROW('Bank Schedule'!$K$2:$K$817)), ROW(68:68))), "")</f>
        <v>42705</v>
      </c>
      <c r="N71" s="11" t="str">
        <f aca="false">IFERROR(INDEX('Bank Schedule'!O:O, SMALL(IF('Bank Schedule'!$K$2:$K$817="Vacant", ROW('Bank Schedule'!$K$2:$K$817)), ROW(68:68))), "")</f>
        <v/>
      </c>
      <c r="O71" s="11" t="str">
        <f aca="false">IFERROR(INDEX('Bank Schedule'!P:P, SMALL(IF('Bank Schedule'!$K$2:$K$817="Vacant", ROW('Bank Schedule'!$K$2:$K$817)), ROW(68:68))), "")</f>
        <v/>
      </c>
      <c r="P71" s="11" t="n">
        <f aca="false" t="array" ref="P71:P71">IFERROR(INDEX('Bank Schedule'!Q:Q, SMALL(IF('Bank Schedule'!$K$2:$K$817="Vacant", ROW('Bank Schedule'!$K$2:$K$817)), ROW(68:68))), "")</f>
        <v>0</v>
      </c>
      <c r="Q71" s="11" t="n">
        <f aca="false" t="array" ref="Q71:Q71">IFERROR(INDEX('Bank Schedule'!R:R, SMALL(IF('Bank Schedule'!$K$2:$K$817="Vacant", ROW('Bank Schedule'!$K$2:$K$817)), ROW(68:68))), "")</f>
        <v>0</v>
      </c>
      <c r="R71" s="11" t="str">
        <f aca="false">IFERROR(INDEX('Bank Schedule'!S:S, SMALL(IF('Bank Schedule'!$K$2:$K$817="Vacant", ROW('Bank Schedule'!$K$2:$K$817)), ROW(68:68))), "")</f>
        <v/>
      </c>
      <c r="S71" s="281" t="n">
        <f aca="false" t="array" ref="S71:S71">IFERROR(INDEX('Bank Schedule'!T:T, SMALL(IF('Bank Schedule'!$K$2:$K$817="Vacant", ROW('Bank Schedule'!$K$2:$K$817)), ROW(68:68))), "")</f>
        <v>61500</v>
      </c>
      <c r="T71" s="281" t="n">
        <f aca="false" t="array" ref="T71:T71">IFERROR(INDEX('Bank Schedule'!U:U, SMALL(IF('Bank Schedule'!$K$2:$K$817="Vacant", ROW('Bank Schedule'!$K$2:$K$817)), ROW(68:68))), "")</f>
        <v>61500</v>
      </c>
      <c r="U71" s="281" t="n">
        <f aca="false" t="array" ref="U71:U71">IFERROR(INDEX('Bank Schedule'!V:V, SMALL(IF('Bank Schedule'!$K$2:$K$817="Vacant", ROW('Bank Schedule'!$K$2:$K$817)), ROW(68:68))), "")</f>
        <v>67000</v>
      </c>
      <c r="V71" s="281" t="n">
        <f aca="false" t="array" ref="V71:V71">IFERROR(INDEX('Bank Schedule'!W:W, SMALL(IF('Bank Schedule'!$K$2:$K$817="Vacant", ROW('Bank Schedule'!$K$2:$K$817)), ROW(68:68))), "")</f>
        <v>67000</v>
      </c>
      <c r="W71" s="282" t="n">
        <f aca="false" t="array" ref="W71:W71">IFERROR(INDEX('Bank Schedule'!X:X, SMALL(IF('Bank Schedule'!$K$2:$K$817="Vacant", ROW('Bank Schedule'!$K$2:$K$817)), ROW(68:68))), "")</f>
        <v>50.4926108374384</v>
      </c>
      <c r="X71" s="11" t="str">
        <f aca="false" t="array" ref="X71:X71">IFERROR(INDEX('Bank Schedule'!Y:Y, SMALL(IF('Bank Schedule'!$K$2:$K$817="Vacant", ROW('Bank Schedule'!$K$2:$K$817)), ROW(68:68))), "")</f>
        <v>D</v>
      </c>
      <c r="Y71" s="11" t="str">
        <f aca="false">IFERROR(INDEX('Bank Schedule'!Z:Z, SMALL(IF('Bank Schedule'!$K$2:$K$817="Vacant", ROW('Bank Schedule'!$K$2:$K$817)), ROW(68:68))), "")</f>
        <v/>
      </c>
      <c r="Z71" s="11" t="str">
        <f aca="false">IFERROR(INDEX('Bank Schedule'!AA:AA, SMALL(IF('Bank Schedule'!$K$2:$K$817="Vacant", ROW('Bank Schedule'!$K$2:$K$817)), ROW(68:68))), "")</f>
        <v/>
      </c>
      <c r="AA71" s="11" t="str">
        <f aca="false" t="array" ref="AA71:AA71">IFERROR(INDEX('Bank Schedule'!AB:AB, SMALL(IF('Bank Schedule'!$K$2:$K$817="Vacant", ROW('Bank Schedule'!$K$2:$K$817)), ROW(68:68))), "")</f>
        <v>No</v>
      </c>
      <c r="AB71" s="94" t="str">
        <f aca="false" t="array" ref="AB71:AB71">IFERROR(INDEX('Bank Schedule'!AC:AC, SMALL(IF('Bank Schedule'!$K$2:$K$817="Vacant", ROW('Bank Schedule'!$K$2:$K$817)), ROW(68:68))), "")</f>
        <v>To be refurbished.</v>
      </c>
      <c r="AC71" s="44" t="n">
        <f aca="false" t="array" ref="AC71:AC71">IFERROR(INDEX('Bank Schedule'!AD:AD, SMALL(IF('Bank Schedule'!$K$2:$K$817="Vacant", ROW('Bank Schedule'!$K$2:$K$817)), ROW(68:68))), "")</f>
        <v>62.5</v>
      </c>
      <c r="AD71" s="11" t="str">
        <f aca="false">IFERROR(INDEX('Bank Schedule'!AE:AE, SMALL(IF('Bank Schedule'!$K$2:$K$817="Vacant", ROW('Bank Schedule'!$K$2:$K$817)), ROW(68:68))), "")</f>
        <v/>
      </c>
      <c r="AE71" s="11" t="str">
        <f aca="false">IFERROR(INDEX('Bank Schedule'!AF:AF, SMALL(IF('Bank Schedule'!$K$2:$K$817="Vacant", ROW('Bank Schedule'!$K$2:$K$817)), ROW(68:68))), "")</f>
        <v/>
      </c>
      <c r="AF71" s="11" t="str">
        <f aca="false">IFERROR(INDEX('Bank Schedule'!AG:AG, SMALL(IF('Bank Schedule'!$K$2:$K$817="Vacant", ROW('Bank Schedule'!$K$2:$K$817)), ROW(68:68))), "")</f>
        <v/>
      </c>
      <c r="AG71" s="4"/>
    </row>
    <row r="72" customFormat="false" ht="28.5" hidden="false" customHeight="true" outlineLevel="0" collapsed="false">
      <c r="A72" s="28" t="str">
        <f aca="false">IFERROR(INDEX('Bank Schedule'!A:A, SMALL(IF('Bank Schedule'!$K$2:$K$817="Vacant", ROW('Bank Schedule'!$K$2:$K$817)), ROW(69:69))), "")</f>
        <v/>
      </c>
      <c r="B72" s="11" t="str">
        <f aca="false" t="array" ref="B72:B72">IFERROR(INDEX('Bank Schedule'!B:B, SMALL(IF('Bank Schedule'!$K$2:$K$817="Vacant", ROW('Bank Schedule'!$K$2:$K$817)), ROW(69:69))), "")</f>
        <v>CD</v>
      </c>
      <c r="C72" s="11" t="str">
        <f aca="false" t="array" ref="C72:C72">IFERROR(INDEX('Bank Schedule'!C:C, SMALL(IF('Bank Schedule'!$K$2:$K$817="Vacant", ROW('Bank Schedule'!$K$2:$K$817)), ROW(69:69))), "")</f>
        <v>MEL</v>
      </c>
      <c r="D72" s="11" t="n">
        <f aca="false" t="array" ref="D72:D72">IFERROR(INDEX('Bank Schedule'!D:D, SMALL(IF('Bank Schedule'!$K$2:$K$817="Vacant", ROW('Bank Schedule'!$K$2:$K$817)), ROW(69:69))), "")</f>
        <v>550640</v>
      </c>
      <c r="E72" s="94" t="str">
        <f aca="false" t="array" ref="E72:E72">IFERROR(INDEX('Bank Schedule'!E:E, SMALL(IF('Bank Schedule'!$K$2:$K$817="Vacant", ROW('Bank Schedule'!$K$2:$K$817)), ROW(69:69))), "")</f>
        <v>75-77 Margaret Street</v>
      </c>
      <c r="F72" s="94" t="str">
        <f aca="false" t="array" ref="F72:F72">IFERROR(INDEX('Bank Schedule'!F:F, SMALL(IF('Bank Schedule'!$K$2:$K$817="Vacant", ROW('Bank Schedule'!$K$2:$K$817)), ROW(69:69))), "")</f>
        <v>Second Floor (Front)</v>
      </c>
      <c r="G72" s="94" t="str">
        <f aca="false" t="array" ref="G72:G72">IFERROR(INDEX('Bank Schedule'!G:G, SMALL(IF('Bank Schedule'!$K$2:$K$817="Vacant", ROW('Bank Schedule'!$K$2:$K$817)), ROW(69:69))), "")</f>
        <v>Office</v>
      </c>
      <c r="H72" s="14" t="n">
        <f aca="false" t="array" ref="H72:H72">IFERROR(INDEX('Bank Schedule'!H:H, SMALL(IF('Bank Schedule'!$K$2:$K$817="Vacant", ROW('Bank Schedule'!$K$2:$K$817)), ROW(69:69))), "")</f>
        <v>2256</v>
      </c>
      <c r="I72" s="14" t="n">
        <f aca="false" t="array" ref="I72:I72">IFERROR(INDEX('Bank Schedule'!I:I, SMALL(IF('Bank Schedule'!$K$2:$K$817="Vacant", ROW('Bank Schedule'!$K$2:$K$817)), ROW(69:69))), "")</f>
        <v>2256</v>
      </c>
      <c r="J72" s="11" t="str">
        <f aca="false" t="array" ref="J72:J72">IFERROR(INDEX('Bank Schedule'!K:K, SMALL(IF('Bank Schedule'!$K$2:$K$817="Vacant", ROW('Bank Schedule'!$K$2:$K$817)), ROW(69:69))), "")</f>
        <v>Vacant</v>
      </c>
      <c r="K72" s="11" t="str">
        <f aca="false">IFERROR(INDEX('Bank Schedule'!L:L, SMALL(IF('Bank Schedule'!$K$2:$K$817="Vacant", ROW('Bank Schedule'!$K$2:$K$817)), ROW(69:69))), "")</f>
        <v/>
      </c>
      <c r="L72" s="11" t="str">
        <f aca="false">IFERROR(INDEX('Bank Schedule'!M:M, SMALL(IF('Bank Schedule'!$K$2:$K$817="Vacant", ROW('Bank Schedule'!$K$2:$K$817)), ROW(69:69))), "")</f>
        <v/>
      </c>
      <c r="M72" s="71" t="n">
        <f aca="false" t="array" ref="M72:M72">IFERROR(INDEX('Bank Schedule'!N:N, SMALL(IF('Bank Schedule'!$K$2:$K$817="Vacant", ROW('Bank Schedule'!$K$2:$K$817)), ROW(69:69))), "")</f>
        <v>44782</v>
      </c>
      <c r="N72" s="11" t="str">
        <f aca="false">IFERROR(INDEX('Bank Schedule'!O:O, SMALL(IF('Bank Schedule'!$K$2:$K$817="Vacant", ROW('Bank Schedule'!$K$2:$K$817)), ROW(69:69))), "")</f>
        <v/>
      </c>
      <c r="O72" s="11" t="str">
        <f aca="false">IFERROR(INDEX('Bank Schedule'!P:P, SMALL(IF('Bank Schedule'!$K$2:$K$817="Vacant", ROW('Bank Schedule'!$K$2:$K$817)), ROW(69:69))), "")</f>
        <v/>
      </c>
      <c r="P72" s="11" t="n">
        <f aca="false" t="array" ref="P72:P72">IFERROR(INDEX('Bank Schedule'!Q:Q, SMALL(IF('Bank Schedule'!$K$2:$K$817="Vacant", ROW('Bank Schedule'!$K$2:$K$817)), ROW(69:69))), "")</f>
        <v>0</v>
      </c>
      <c r="Q72" s="11" t="n">
        <f aca="false" t="array" ref="Q72:Q72">IFERROR(INDEX('Bank Schedule'!R:R, SMALL(IF('Bank Schedule'!$K$2:$K$817="Vacant", ROW('Bank Schedule'!$K$2:$K$817)), ROW(69:69))), "")</f>
        <v>0</v>
      </c>
      <c r="R72" s="11" t="str">
        <f aca="false">IFERROR(INDEX('Bank Schedule'!S:S, SMALL(IF('Bank Schedule'!$K$2:$K$817="Vacant", ROW('Bank Schedule'!$K$2:$K$817)), ROW(69:69))), "")</f>
        <v/>
      </c>
      <c r="S72" s="281" t="n">
        <f aca="false" t="array" ref="S72:S72">IFERROR(INDEX('Bank Schedule'!T:T, SMALL(IF('Bank Schedule'!$K$2:$K$817="Vacant", ROW('Bank Schedule'!$K$2:$K$817)), ROW(69:69))), "")</f>
        <v>129200</v>
      </c>
      <c r="T72" s="281" t="n">
        <f aca="false" t="array" ref="T72:T72">IFERROR(INDEX('Bank Schedule'!U:U, SMALL(IF('Bank Schedule'!$K$2:$K$817="Vacant", ROW('Bank Schedule'!$K$2:$K$817)), ROW(69:69))), "")</f>
        <v>129200</v>
      </c>
      <c r="U72" s="281" t="n">
        <f aca="false" t="array" ref="U72:U72">IFERROR(INDEX('Bank Schedule'!V:V, SMALL(IF('Bank Schedule'!$K$2:$K$817="Vacant", ROW('Bank Schedule'!$K$2:$K$817)), ROW(69:69))), "")</f>
        <v>135400</v>
      </c>
      <c r="V72" s="281" t="n">
        <f aca="false" t="array" ref="V72:V72">IFERROR(INDEX('Bank Schedule'!W:W, SMALL(IF('Bank Schedule'!$K$2:$K$817="Vacant", ROW('Bank Schedule'!$K$2:$K$817)), ROW(69:69))), "")</f>
        <v>135400</v>
      </c>
      <c r="W72" s="282" t="n">
        <f aca="false" t="array" ref="W72:W72">IFERROR(INDEX('Bank Schedule'!X:X, SMALL(IF('Bank Schedule'!$K$2:$K$817="Vacant", ROW('Bank Schedule'!$K$2:$K$817)), ROW(69:69))), "")</f>
        <v>57.2695035460993</v>
      </c>
      <c r="X72" s="11" t="str">
        <f aca="false" t="array" ref="X72:X72">IFERROR(INDEX('Bank Schedule'!Y:Y, SMALL(IF('Bank Schedule'!$K$2:$K$817="Vacant", ROW('Bank Schedule'!$K$2:$K$817)), ROW(69:69))), "")</f>
        <v>D</v>
      </c>
      <c r="Y72" s="11" t="str">
        <f aca="false">IFERROR(INDEX('Bank Schedule'!Z:Z, SMALL(IF('Bank Schedule'!$K$2:$K$817="Vacant", ROW('Bank Schedule'!$K$2:$K$817)), ROW(69:69))), "")</f>
        <v/>
      </c>
      <c r="Z72" s="11" t="str">
        <f aca="false">IFERROR(INDEX('Bank Schedule'!AA:AA, SMALL(IF('Bank Schedule'!$K$2:$K$817="Vacant", ROW('Bank Schedule'!$K$2:$K$817)), ROW(69:69))), "")</f>
        <v/>
      </c>
      <c r="AA72" s="11" t="str">
        <f aca="false" t="array" ref="AA72:AA72">IFERROR(INDEX('Bank Schedule'!AB:AB, SMALL(IF('Bank Schedule'!$K$2:$K$817="Vacant", ROW('Bank Schedule'!$K$2:$K$817)), ROW(69:69))), "")</f>
        <v>No</v>
      </c>
      <c r="AB72" s="94" t="str">
        <f aca="false" t="array" ref="AB72:AB72">IFERROR(INDEX('Bank Schedule'!AC:AC, SMALL(IF('Bank Schedule'!$K$2:$K$817="Vacant", ROW('Bank Schedule'!$K$2:$K$817)), ROW(69:69))), "")</f>
        <v>To be refurbished.</v>
      </c>
      <c r="AC72" s="44" t="n">
        <f aca="false" t="array" ref="AC72:AC72">IFERROR(INDEX('Bank Schedule'!AD:AD, SMALL(IF('Bank Schedule'!$K$2:$K$817="Vacant", ROW('Bank Schedule'!$K$2:$K$817)), ROW(69:69))), "")</f>
        <v>62.5</v>
      </c>
      <c r="AD72" s="11" t="n">
        <f aca="false" t="array" ref="AD72:AD72">IFERROR(INDEX('Bank Schedule'!AE:AE, SMALL(IF('Bank Schedule'!$K$2:$K$817="Vacant", ROW('Bank Schedule'!$K$2:$K$817)), ROW(69:69))), "")</f>
        <v>1</v>
      </c>
      <c r="AE72" s="11" t="n">
        <f aca="false" t="array" ref="AE72:AE72">IFERROR(INDEX('Bank Schedule'!AF:AF, SMALL(IF('Bank Schedule'!$K$2:$K$817="Vacant", ROW('Bank Schedule'!$K$2:$K$817)), ROW(69:69))), "")</f>
        <v>1</v>
      </c>
      <c r="AF72" s="11" t="str">
        <f aca="false">IFERROR(INDEX('Bank Schedule'!AG:AG, SMALL(IF('Bank Schedule'!$K$2:$K$817="Vacant", ROW('Bank Schedule'!$K$2:$K$817)), ROW(69:69))), "")</f>
        <v/>
      </c>
      <c r="AG72" s="4"/>
    </row>
    <row r="73" customFormat="false" ht="28.5" hidden="false" customHeight="true" outlineLevel="0" collapsed="false">
      <c r="A73" s="28" t="str">
        <f aca="false">IFERROR(INDEX('Bank Schedule'!A:A, SMALL(IF('Bank Schedule'!$K$2:$K$817="Vacant", ROW('Bank Schedule'!$K$2:$K$817)), ROW(70:70))), "")</f>
        <v/>
      </c>
      <c r="B73" s="11" t="str">
        <f aca="false" t="array" ref="B73:B73">IFERROR(INDEX('Bank Schedule'!B:B, SMALL(IF('Bank Schedule'!$K$2:$K$817="Vacant", ROW('Bank Schedule'!$K$2:$K$817)), ROW(70:70))), "")</f>
        <v>CD</v>
      </c>
      <c r="C73" s="11" t="str">
        <f aca="false" t="array" ref="C73:C73">IFERROR(INDEX('Bank Schedule'!C:C, SMALL(IF('Bank Schedule'!$K$2:$K$817="Vacant", ROW('Bank Schedule'!$K$2:$K$817)), ROW(70:70))), "")</f>
        <v>MEL</v>
      </c>
      <c r="D73" s="11" t="n">
        <f aca="false" t="array" ref="D73:D73">IFERROR(INDEX('Bank Schedule'!D:D, SMALL(IF('Bank Schedule'!$K$2:$K$817="Vacant", ROW('Bank Schedule'!$K$2:$K$817)), ROW(70:70))), "")</f>
        <v>550640</v>
      </c>
      <c r="E73" s="94" t="str">
        <f aca="false" t="array" ref="E73:E73">IFERROR(INDEX('Bank Schedule'!E:E, SMALL(IF('Bank Schedule'!$K$2:$K$817="Vacant", ROW('Bank Schedule'!$K$2:$K$817)), ROW(70:70))), "")</f>
        <v>75-77 Margaret Street</v>
      </c>
      <c r="F73" s="94" t="str">
        <f aca="false" t="array" ref="F73:F73">IFERROR(INDEX('Bank Schedule'!F:F, SMALL(IF('Bank Schedule'!$K$2:$K$817="Vacant", ROW('Bank Schedule'!$K$2:$K$817)), ROW(70:70))), "")</f>
        <v>Second Floor (Rear)</v>
      </c>
      <c r="G73" s="94" t="str">
        <f aca="false" t="array" ref="G73:G73">IFERROR(INDEX('Bank Schedule'!G:G, SMALL(IF('Bank Schedule'!$K$2:$K$817="Vacant", ROW('Bank Schedule'!$K$2:$K$817)), ROW(70:70))), "")</f>
        <v>Office</v>
      </c>
      <c r="H73" s="14" t="n">
        <f aca="false" t="array" ref="H73:H73">IFERROR(INDEX('Bank Schedule'!H:H, SMALL(IF('Bank Schedule'!$K$2:$K$817="Vacant", ROW('Bank Schedule'!$K$2:$K$817)), ROW(70:70))), "")</f>
        <v>1218</v>
      </c>
      <c r="I73" s="14" t="n">
        <f aca="false" t="array" ref="I73:I73">IFERROR(INDEX('Bank Schedule'!I:I, SMALL(IF('Bank Schedule'!$K$2:$K$817="Vacant", ROW('Bank Schedule'!$K$2:$K$817)), ROW(70:70))), "")</f>
        <v>1218</v>
      </c>
      <c r="J73" s="11" t="str">
        <f aca="false" t="array" ref="J73:J73">IFERROR(INDEX('Bank Schedule'!K:K, SMALL(IF('Bank Schedule'!$K$2:$K$817="Vacant", ROW('Bank Schedule'!$K$2:$K$817)), ROW(70:70))), "")</f>
        <v>Vacant</v>
      </c>
      <c r="K73" s="11" t="str">
        <f aca="false">IFERROR(INDEX('Bank Schedule'!L:L, SMALL(IF('Bank Schedule'!$K$2:$K$817="Vacant", ROW('Bank Schedule'!$K$2:$K$817)), ROW(70:70))), "")</f>
        <v/>
      </c>
      <c r="L73" s="11" t="str">
        <f aca="false">IFERROR(INDEX('Bank Schedule'!M:M, SMALL(IF('Bank Schedule'!$K$2:$K$817="Vacant", ROW('Bank Schedule'!$K$2:$K$817)), ROW(70:70))), "")</f>
        <v/>
      </c>
      <c r="M73" s="71" t="n">
        <f aca="false" t="array" ref="M73:M73">IFERROR(INDEX('Bank Schedule'!N:N, SMALL(IF('Bank Schedule'!$K$2:$K$817="Vacant", ROW('Bank Schedule'!$K$2:$K$817)), ROW(70:70))), "")</f>
        <v>42513</v>
      </c>
      <c r="N73" s="11" t="str">
        <f aca="false">IFERROR(INDEX('Bank Schedule'!O:O, SMALL(IF('Bank Schedule'!$K$2:$K$817="Vacant", ROW('Bank Schedule'!$K$2:$K$817)), ROW(70:70))), "")</f>
        <v/>
      </c>
      <c r="O73" s="11" t="str">
        <f aca="false">IFERROR(INDEX('Bank Schedule'!P:P, SMALL(IF('Bank Schedule'!$K$2:$K$817="Vacant", ROW('Bank Schedule'!$K$2:$K$817)), ROW(70:70))), "")</f>
        <v/>
      </c>
      <c r="P73" s="11" t="n">
        <f aca="false" t="array" ref="P73:P73">IFERROR(INDEX('Bank Schedule'!Q:Q, SMALL(IF('Bank Schedule'!$K$2:$K$817="Vacant", ROW('Bank Schedule'!$K$2:$K$817)), ROW(70:70))), "")</f>
        <v>0</v>
      </c>
      <c r="Q73" s="11" t="n">
        <f aca="false" t="array" ref="Q73:Q73">IFERROR(INDEX('Bank Schedule'!R:R, SMALL(IF('Bank Schedule'!$K$2:$K$817="Vacant", ROW('Bank Schedule'!$K$2:$K$817)), ROW(70:70))), "")</f>
        <v>0</v>
      </c>
      <c r="R73" s="11" t="str">
        <f aca="false">IFERROR(INDEX('Bank Schedule'!S:S, SMALL(IF('Bank Schedule'!$K$2:$K$817="Vacant", ROW('Bank Schedule'!$K$2:$K$817)), ROW(70:70))), "")</f>
        <v/>
      </c>
      <c r="S73" s="281" t="n">
        <f aca="false" t="array" ref="S73:S73">IFERROR(INDEX('Bank Schedule'!T:T, SMALL(IF('Bank Schedule'!$K$2:$K$817="Vacant", ROW('Bank Schedule'!$K$2:$K$817)), ROW(70:70))), "")</f>
        <v>59700</v>
      </c>
      <c r="T73" s="281" t="n">
        <f aca="false" t="array" ref="T73:T73">IFERROR(INDEX('Bank Schedule'!U:U, SMALL(IF('Bank Schedule'!$K$2:$K$817="Vacant", ROW('Bank Schedule'!$K$2:$K$817)), ROW(70:70))), "")</f>
        <v>59700</v>
      </c>
      <c r="U73" s="281" t="n">
        <f aca="false" t="array" ref="U73:U73">IFERROR(INDEX('Bank Schedule'!V:V, SMALL(IF('Bank Schedule'!$K$2:$K$817="Vacant", ROW('Bank Schedule'!$K$2:$K$817)), ROW(70:70))), "")</f>
        <v>67000</v>
      </c>
      <c r="V73" s="281" t="n">
        <f aca="false" t="array" ref="V73:V73">IFERROR(INDEX('Bank Schedule'!W:W, SMALL(IF('Bank Schedule'!$K$2:$K$817="Vacant", ROW('Bank Schedule'!$K$2:$K$817)), ROW(70:70))), "")</f>
        <v>67000</v>
      </c>
      <c r="W73" s="282" t="n">
        <f aca="false" t="array" ref="W73:W73">IFERROR(INDEX('Bank Schedule'!X:X, SMALL(IF('Bank Schedule'!$K$2:$K$817="Vacant", ROW('Bank Schedule'!$K$2:$K$817)), ROW(70:70))), "")</f>
        <v>49.0147783251232</v>
      </c>
      <c r="X73" s="11" t="str">
        <f aca="false" t="array" ref="X73:X73">IFERROR(INDEX('Bank Schedule'!Y:Y, SMALL(IF('Bank Schedule'!$K$2:$K$817="Vacant", ROW('Bank Schedule'!$K$2:$K$817)), ROW(70:70))), "")</f>
        <v>E</v>
      </c>
      <c r="Y73" s="11" t="str">
        <f aca="false">IFERROR(INDEX('Bank Schedule'!Z:Z, SMALL(IF('Bank Schedule'!$K$2:$K$817="Vacant", ROW('Bank Schedule'!$K$2:$K$817)), ROW(70:70))), "")</f>
        <v/>
      </c>
      <c r="Z73" s="11" t="str">
        <f aca="false">IFERROR(INDEX('Bank Schedule'!AA:AA, SMALL(IF('Bank Schedule'!$K$2:$K$817="Vacant", ROW('Bank Schedule'!$K$2:$K$817)), ROW(70:70))), "")</f>
        <v/>
      </c>
      <c r="AA73" s="11" t="str">
        <f aca="false" t="array" ref="AA73:AA73">IFERROR(INDEX('Bank Schedule'!AB:AB, SMALL(IF('Bank Schedule'!$K$2:$K$817="Vacant", ROW('Bank Schedule'!$K$2:$K$817)), ROW(70:70))), "")</f>
        <v>No</v>
      </c>
      <c r="AB73" s="94" t="str">
        <f aca="false" t="array" ref="AB73:AB73">IFERROR(INDEX('Bank Schedule'!AC:AC, SMALL(IF('Bank Schedule'!$K$2:$K$817="Vacant", ROW('Bank Schedule'!$K$2:$K$817)), ROW(70:70))), "")</f>
        <v>To be refurbished.</v>
      </c>
      <c r="AC73" s="44" t="n">
        <f aca="false" t="array" ref="AC73:AC73">IFERROR(INDEX('Bank Schedule'!AD:AD, SMALL(IF('Bank Schedule'!$K$2:$K$817="Vacant", ROW('Bank Schedule'!$K$2:$K$817)), ROW(70:70))), "")</f>
        <v>62.5</v>
      </c>
      <c r="AD73" s="11" t="str">
        <f aca="false">IFERROR(INDEX('Bank Schedule'!AE:AE, SMALL(IF('Bank Schedule'!$K$2:$K$817="Vacant", ROW('Bank Schedule'!$K$2:$K$817)), ROW(70:70))), "")</f>
        <v/>
      </c>
      <c r="AE73" s="11" t="str">
        <f aca="false">IFERROR(INDEX('Bank Schedule'!AF:AF, SMALL(IF('Bank Schedule'!$K$2:$K$817="Vacant", ROW('Bank Schedule'!$K$2:$K$817)), ROW(70:70))), "")</f>
        <v/>
      </c>
      <c r="AF73" s="11" t="str">
        <f aca="false">IFERROR(INDEX('Bank Schedule'!AG:AG, SMALL(IF('Bank Schedule'!$K$2:$K$817="Vacant", ROW('Bank Schedule'!$K$2:$K$817)), ROW(70:70))), "")</f>
        <v/>
      </c>
      <c r="AG73" s="4"/>
    </row>
    <row r="74" customFormat="false" ht="28.5" hidden="false" customHeight="true" outlineLevel="0" collapsed="false">
      <c r="A74" s="28" t="str">
        <f aca="false">IFERROR(INDEX('Bank Schedule'!A:A, SMALL(IF('Bank Schedule'!$K$2:$K$817="Vacant", ROW('Bank Schedule'!$K$2:$K$817)), ROW(71:71))), "")</f>
        <v/>
      </c>
      <c r="B74" s="11" t="str">
        <f aca="false" t="array" ref="B74:B74">IFERROR(INDEX('Bank Schedule'!B:B, SMALL(IF('Bank Schedule'!$K$2:$K$817="Vacant", ROW('Bank Schedule'!$K$2:$K$817)), ROW(71:71))), "")</f>
        <v>CD</v>
      </c>
      <c r="C74" s="11" t="str">
        <f aca="false" t="array" ref="C74:C74">IFERROR(INDEX('Bank Schedule'!C:C, SMALL(IF('Bank Schedule'!$K$2:$K$817="Vacant", ROW('Bank Schedule'!$K$2:$K$817)), ROW(71:71))), "")</f>
        <v>MEL</v>
      </c>
      <c r="D74" s="11" t="n">
        <f aca="false" t="array" ref="D74:D74">IFERROR(INDEX('Bank Schedule'!D:D, SMALL(IF('Bank Schedule'!$K$2:$K$817="Vacant", ROW('Bank Schedule'!$K$2:$K$817)), ROW(71:71))), "")</f>
        <v>550640</v>
      </c>
      <c r="E74" s="94" t="str">
        <f aca="false" t="array" ref="E74:E74">IFERROR(INDEX('Bank Schedule'!E:E, SMALL(IF('Bank Schedule'!$K$2:$K$817="Vacant", ROW('Bank Schedule'!$K$2:$K$817)), ROW(71:71))), "")</f>
        <v>75-77 Margaret Street</v>
      </c>
      <c r="F74" s="94" t="str">
        <f aca="false" t="array" ref="F74:F74">IFERROR(INDEX('Bank Schedule'!F:F, SMALL(IF('Bank Schedule'!$K$2:$K$817="Vacant", ROW('Bank Schedule'!$K$2:$K$817)), ROW(71:71))), "")</f>
        <v>Fourth Floor</v>
      </c>
      <c r="G74" s="94" t="str">
        <f aca="false" t="array" ref="G74:G74">IFERROR(INDEX('Bank Schedule'!G:G, SMALL(IF('Bank Schedule'!$K$2:$K$817="Vacant", ROW('Bank Schedule'!$K$2:$K$817)), ROW(71:71))), "")</f>
        <v>Office</v>
      </c>
      <c r="H74" s="14" t="n">
        <f aca="false" t="array" ref="H74:H74">IFERROR(INDEX('Bank Schedule'!H:H, SMALL(IF('Bank Schedule'!$K$2:$K$817="Vacant", ROW('Bank Schedule'!$K$2:$K$817)), ROW(71:71))), "")</f>
        <v>2080</v>
      </c>
      <c r="I74" s="14" t="n">
        <f aca="false" t="array" ref="I74:I74">IFERROR(INDEX('Bank Schedule'!I:I, SMALL(IF('Bank Schedule'!$K$2:$K$817="Vacant", ROW('Bank Schedule'!$K$2:$K$817)), ROW(71:71))), "")</f>
        <v>2080</v>
      </c>
      <c r="J74" s="11" t="str">
        <f aca="false" t="array" ref="J74:J74">IFERROR(INDEX('Bank Schedule'!K:K, SMALL(IF('Bank Schedule'!$K$2:$K$817="Vacant", ROW('Bank Schedule'!$K$2:$K$817)), ROW(71:71))), "")</f>
        <v>Vacant</v>
      </c>
      <c r="K74" s="11" t="str">
        <f aca="false">IFERROR(INDEX('Bank Schedule'!L:L, SMALL(IF('Bank Schedule'!$K$2:$K$817="Vacant", ROW('Bank Schedule'!$K$2:$K$817)), ROW(71:71))), "")</f>
        <v/>
      </c>
      <c r="L74" s="11" t="str">
        <f aca="false">IFERROR(INDEX('Bank Schedule'!M:M, SMALL(IF('Bank Schedule'!$K$2:$K$817="Vacant", ROW('Bank Schedule'!$K$2:$K$817)), ROW(71:71))), "")</f>
        <v/>
      </c>
      <c r="M74" s="71" t="n">
        <f aca="false" t="array" ref="M74:M74">IFERROR(INDEX('Bank Schedule'!N:N, SMALL(IF('Bank Schedule'!$K$2:$K$817="Vacant", ROW('Bank Schedule'!$K$2:$K$817)), ROW(71:71))), "")</f>
        <v>44647</v>
      </c>
      <c r="N74" s="11" t="str">
        <f aca="false">IFERROR(INDEX('Bank Schedule'!O:O, SMALL(IF('Bank Schedule'!$K$2:$K$817="Vacant", ROW('Bank Schedule'!$K$2:$K$817)), ROW(71:71))), "")</f>
        <v/>
      </c>
      <c r="O74" s="11" t="str">
        <f aca="false">IFERROR(INDEX('Bank Schedule'!P:P, SMALL(IF('Bank Schedule'!$K$2:$K$817="Vacant", ROW('Bank Schedule'!$K$2:$K$817)), ROW(71:71))), "")</f>
        <v/>
      </c>
      <c r="P74" s="11" t="n">
        <f aca="false" t="array" ref="P74:P74">IFERROR(INDEX('Bank Schedule'!Q:Q, SMALL(IF('Bank Schedule'!$K$2:$K$817="Vacant", ROW('Bank Schedule'!$K$2:$K$817)), ROW(71:71))), "")</f>
        <v>0</v>
      </c>
      <c r="Q74" s="11" t="n">
        <f aca="false" t="array" ref="Q74:Q74">IFERROR(INDEX('Bank Schedule'!R:R, SMALL(IF('Bank Schedule'!$K$2:$K$817="Vacant", ROW('Bank Schedule'!$K$2:$K$817)), ROW(71:71))), "")</f>
        <v>0</v>
      </c>
      <c r="R74" s="11" t="str">
        <f aca="false">IFERROR(INDEX('Bank Schedule'!S:S, SMALL(IF('Bank Schedule'!$K$2:$K$817="Vacant", ROW('Bank Schedule'!$K$2:$K$817)), ROW(71:71))), "")</f>
        <v/>
      </c>
      <c r="S74" s="281" t="n">
        <f aca="false" t="array" ref="S74:S74">IFERROR(INDEX('Bank Schedule'!T:T, SMALL(IF('Bank Schedule'!$K$2:$K$817="Vacant", ROW('Bank Schedule'!$K$2:$K$817)), ROW(71:71))), "")</f>
        <v>117900</v>
      </c>
      <c r="T74" s="281" t="n">
        <f aca="false" t="array" ref="T74:T74">IFERROR(INDEX('Bank Schedule'!U:U, SMALL(IF('Bank Schedule'!$K$2:$K$817="Vacant", ROW('Bank Schedule'!$K$2:$K$817)), ROW(71:71))), "")</f>
        <v>117900</v>
      </c>
      <c r="U74" s="281" t="n">
        <f aca="false" t="array" ref="U74:U74">IFERROR(INDEX('Bank Schedule'!V:V, SMALL(IF('Bank Schedule'!$K$2:$K$817="Vacant", ROW('Bank Schedule'!$K$2:$K$817)), ROW(71:71))), "")</f>
        <v>127900</v>
      </c>
      <c r="V74" s="281" t="n">
        <f aca="false" t="array" ref="V74:V74">IFERROR(INDEX('Bank Schedule'!W:W, SMALL(IF('Bank Schedule'!$K$2:$K$817="Vacant", ROW('Bank Schedule'!$K$2:$K$817)), ROW(71:71))), "")</f>
        <v>127900</v>
      </c>
      <c r="W74" s="282" t="n">
        <f aca="false" t="array" ref="W74:W74">IFERROR(INDEX('Bank Schedule'!X:X, SMALL(IF('Bank Schedule'!$K$2:$K$817="Vacant", ROW('Bank Schedule'!$K$2:$K$817)), ROW(71:71))), "")</f>
        <v>56.6826923076923</v>
      </c>
      <c r="X74" s="11" t="str">
        <f aca="false" t="array" ref="X74:X74">IFERROR(INDEX('Bank Schedule'!Y:Y, SMALL(IF('Bank Schedule'!$K$2:$K$817="Vacant", ROW('Bank Schedule'!$K$2:$K$817)), ROW(71:71))), "")</f>
        <v>D</v>
      </c>
      <c r="Y74" s="11" t="str">
        <f aca="false">IFERROR(INDEX('Bank Schedule'!Z:Z, SMALL(IF('Bank Schedule'!$K$2:$K$817="Vacant", ROW('Bank Schedule'!$K$2:$K$817)), ROW(71:71))), "")</f>
        <v/>
      </c>
      <c r="Z74" s="11" t="str">
        <f aca="false">IFERROR(INDEX('Bank Schedule'!AA:AA, SMALL(IF('Bank Schedule'!$K$2:$K$817="Vacant", ROW('Bank Schedule'!$K$2:$K$817)), ROW(71:71))), "")</f>
        <v/>
      </c>
      <c r="AA74" s="11" t="str">
        <f aca="false" t="array" ref="AA74:AA74">IFERROR(INDEX('Bank Schedule'!AB:AB, SMALL(IF('Bank Schedule'!$K$2:$K$817="Vacant", ROW('Bank Schedule'!$K$2:$K$817)), ROW(71:71))), "")</f>
        <v>No</v>
      </c>
      <c r="AB74" s="94" t="str">
        <f aca="false" t="array" ref="AB74:AB74">IFERROR(INDEX('Bank Schedule'!AC:AC, SMALL(IF('Bank Schedule'!$K$2:$K$817="Vacant", ROW('Bank Schedule'!$K$2:$K$817)), ROW(71:71))), "")</f>
        <v>To be refurbished.</v>
      </c>
      <c r="AC74" s="44" t="n">
        <f aca="false" t="array" ref="AC74:AC74">IFERROR(INDEX('Bank Schedule'!AD:AD, SMALL(IF('Bank Schedule'!$K$2:$K$817="Vacant", ROW('Bank Schedule'!$K$2:$K$817)), ROW(71:71))), "")</f>
        <v>63</v>
      </c>
      <c r="AD74" s="11" t="n">
        <f aca="false" t="array" ref="AD74:AD74">IFERROR(INDEX('Bank Schedule'!AE:AE, SMALL(IF('Bank Schedule'!$K$2:$K$817="Vacant", ROW('Bank Schedule'!$K$2:$K$817)), ROW(71:71))), "")</f>
        <v>1</v>
      </c>
      <c r="AE74" s="11" t="n">
        <f aca="false" t="array" ref="AE74:AE74">IFERROR(INDEX('Bank Schedule'!AF:AF, SMALL(IF('Bank Schedule'!$K$2:$K$817="Vacant", ROW('Bank Schedule'!$K$2:$K$817)), ROW(71:71))), "")</f>
        <v>4</v>
      </c>
      <c r="AF74" s="11" t="str">
        <f aca="false" t="array" ref="AF74:AF74">IFERROR(INDEX('Bank Schedule'!AG:AG, SMALL(IF('Bank Schedule'!$K$2:$K$817="Vacant", ROW('Bank Schedule'!$K$2:$K$817)), ROW(71:71))), "")</f>
        <v>LEM / LDG</v>
      </c>
      <c r="AG74" s="4"/>
    </row>
    <row r="75" customFormat="false" ht="28.5" hidden="false" customHeight="true" outlineLevel="0" collapsed="false">
      <c r="A75" s="28" t="str">
        <f aca="false">IFERROR(INDEX('Bank Schedule'!A:A, SMALL(IF('Bank Schedule'!$K$2:$K$817="Vacant", ROW('Bank Schedule'!$K$2:$K$817)), ROW(72:72))), "")</f>
        <v/>
      </c>
      <c r="B75" s="11" t="str">
        <f aca="false" t="array" ref="B75:B75">IFERROR(INDEX('Bank Schedule'!B:B, SMALL(IF('Bank Schedule'!$K$2:$K$817="Vacant", ROW('Bank Schedule'!$K$2:$K$817)), ROW(72:72))), "")</f>
        <v>CD</v>
      </c>
      <c r="C75" s="11" t="str">
        <f aca="false" t="array" ref="C75:C75">IFERROR(INDEX('Bank Schedule'!C:C, SMALL(IF('Bank Schedule'!$K$2:$K$817="Vacant", ROW('Bank Schedule'!$K$2:$K$817)), ROW(72:72))), "")</f>
        <v>MEL</v>
      </c>
      <c r="D75" s="11" t="n">
        <f aca="false" t="array" ref="D75:D75">IFERROR(INDEX('Bank Schedule'!D:D, SMALL(IF('Bank Schedule'!$K$2:$K$817="Vacant", ROW('Bank Schedule'!$K$2:$K$817)), ROW(72:72))), "")</f>
        <v>550640</v>
      </c>
      <c r="E75" s="94" t="str">
        <f aca="false" t="array" ref="E75:E75">IFERROR(INDEX('Bank Schedule'!E:E, SMALL(IF('Bank Schedule'!$K$2:$K$817="Vacant", ROW('Bank Schedule'!$K$2:$K$817)), ROW(72:72))), "")</f>
        <v>75-77 Margaret Street</v>
      </c>
      <c r="F75" s="94" t="str">
        <f aca="false" t="array" ref="F75:F75">IFERROR(INDEX('Bank Schedule'!F:F, SMALL(IF('Bank Schedule'!$K$2:$K$817="Vacant", ROW('Bank Schedule'!$K$2:$K$817)), ROW(72:72))), "")</f>
        <v>Fifth Floor</v>
      </c>
      <c r="G75" s="94" t="str">
        <f aca="false" t="array" ref="G75:G75">IFERROR(INDEX('Bank Schedule'!G:G, SMALL(IF('Bank Schedule'!$K$2:$K$817="Vacant", ROW('Bank Schedule'!$K$2:$K$817)), ROW(72:72))), "")</f>
        <v>Office</v>
      </c>
      <c r="H75" s="14" t="n">
        <f aca="false" t="array" ref="H75:H75">IFERROR(INDEX('Bank Schedule'!H:H, SMALL(IF('Bank Schedule'!$K$2:$K$817="Vacant", ROW('Bank Schedule'!$K$2:$K$817)), ROW(72:72))), "")</f>
        <v>1713</v>
      </c>
      <c r="I75" s="14" t="n">
        <f aca="false" t="array" ref="I75:I75">IFERROR(INDEX('Bank Schedule'!I:I, SMALL(IF('Bank Schedule'!$K$2:$K$817="Vacant", ROW('Bank Schedule'!$K$2:$K$817)), ROW(72:72))), "")</f>
        <v>1713</v>
      </c>
      <c r="J75" s="11" t="str">
        <f aca="false" t="array" ref="J75:J75">IFERROR(INDEX('Bank Schedule'!K:K, SMALL(IF('Bank Schedule'!$K$2:$K$817="Vacant", ROW('Bank Schedule'!$K$2:$K$817)), ROW(72:72))), "")</f>
        <v>Vacant</v>
      </c>
      <c r="K75" s="11" t="str">
        <f aca="false">IFERROR(INDEX('Bank Schedule'!L:L, SMALL(IF('Bank Schedule'!$K$2:$K$817="Vacant", ROW('Bank Schedule'!$K$2:$K$817)), ROW(72:72))), "")</f>
        <v/>
      </c>
      <c r="L75" s="11" t="str">
        <f aca="false">IFERROR(INDEX('Bank Schedule'!M:M, SMALL(IF('Bank Schedule'!$K$2:$K$817="Vacant", ROW('Bank Schedule'!$K$2:$K$817)), ROW(72:72))), "")</f>
        <v/>
      </c>
      <c r="M75" s="71" t="n">
        <f aca="false" t="array" ref="M75:M75">IFERROR(INDEX('Bank Schedule'!N:N, SMALL(IF('Bank Schedule'!$K$2:$K$817="Vacant", ROW('Bank Schedule'!$K$2:$K$817)), ROW(72:72))), "")</f>
        <v>45195</v>
      </c>
      <c r="N75" s="11" t="str">
        <f aca="false">IFERROR(INDEX('Bank Schedule'!O:O, SMALL(IF('Bank Schedule'!$K$2:$K$817="Vacant", ROW('Bank Schedule'!$K$2:$K$817)), ROW(72:72))), "")</f>
        <v/>
      </c>
      <c r="O75" s="11" t="str">
        <f aca="false">IFERROR(INDEX('Bank Schedule'!P:P, SMALL(IF('Bank Schedule'!$K$2:$K$817="Vacant", ROW('Bank Schedule'!$K$2:$K$817)), ROW(72:72))), "")</f>
        <v/>
      </c>
      <c r="P75" s="11" t="n">
        <f aca="false" t="array" ref="P75:P75">IFERROR(INDEX('Bank Schedule'!Q:Q, SMALL(IF('Bank Schedule'!$K$2:$K$817="Vacant", ROW('Bank Schedule'!$K$2:$K$817)), ROW(72:72))), "")</f>
        <v>0</v>
      </c>
      <c r="Q75" s="11" t="n">
        <f aca="false" t="array" ref="Q75:Q75">IFERROR(INDEX('Bank Schedule'!R:R, SMALL(IF('Bank Schedule'!$K$2:$K$817="Vacant", ROW('Bank Schedule'!$K$2:$K$817)), ROW(72:72))), "")</f>
        <v>0</v>
      </c>
      <c r="R75" s="11" t="str">
        <f aca="false">IFERROR(INDEX('Bank Schedule'!S:S, SMALL(IF('Bank Schedule'!$K$2:$K$817="Vacant", ROW('Bank Schedule'!$K$2:$K$817)), ROW(72:72))), "")</f>
        <v/>
      </c>
      <c r="S75" s="281" t="n">
        <f aca="false" t="array" ref="S75:S75">IFERROR(INDEX('Bank Schedule'!T:T, SMALL(IF('Bank Schedule'!$K$2:$K$817="Vacant", ROW('Bank Schedule'!$K$2:$K$817)), ROW(72:72))), "")</f>
        <v>94300</v>
      </c>
      <c r="T75" s="281" t="n">
        <f aca="false" t="array" ref="T75:T75">IFERROR(INDEX('Bank Schedule'!U:U, SMALL(IF('Bank Schedule'!$K$2:$K$817="Vacant", ROW('Bank Schedule'!$K$2:$K$817)), ROW(72:72))), "")</f>
        <v>94300</v>
      </c>
      <c r="U75" s="281" t="n">
        <f aca="false" t="array" ref="U75:U75">IFERROR(INDEX('Bank Schedule'!V:V, SMALL(IF('Bank Schedule'!$K$2:$K$817="Vacant", ROW('Bank Schedule'!$K$2:$K$817)), ROW(72:72))), "")</f>
        <v>105300</v>
      </c>
      <c r="V75" s="281" t="n">
        <f aca="false" t="array" ref="V75:V75">IFERROR(INDEX('Bank Schedule'!W:W, SMALL(IF('Bank Schedule'!$K$2:$K$817="Vacant", ROW('Bank Schedule'!$K$2:$K$817)), ROW(72:72))), "")</f>
        <v>105300</v>
      </c>
      <c r="W75" s="282" t="n">
        <f aca="false" t="array" ref="W75:W75">IFERROR(INDEX('Bank Schedule'!X:X, SMALL(IF('Bank Schedule'!$K$2:$K$817="Vacant", ROW('Bank Schedule'!$K$2:$K$817)), ROW(72:72))), "")</f>
        <v>55.0496205487449</v>
      </c>
      <c r="X75" s="11" t="str">
        <f aca="false" t="array" ref="X75:X75">IFERROR(INDEX('Bank Schedule'!Y:Y, SMALL(IF('Bank Schedule'!$K$2:$K$817="Vacant", ROW('Bank Schedule'!$K$2:$K$817)), ROW(72:72))), "")</f>
        <v>E</v>
      </c>
      <c r="Y75" s="11" t="str">
        <f aca="false">IFERROR(INDEX('Bank Schedule'!Z:Z, SMALL(IF('Bank Schedule'!$K$2:$K$817="Vacant", ROW('Bank Schedule'!$K$2:$K$817)), ROW(72:72))), "")</f>
        <v/>
      </c>
      <c r="Z75" s="11" t="str">
        <f aca="false">IFERROR(INDEX('Bank Schedule'!AA:AA, SMALL(IF('Bank Schedule'!$K$2:$K$817="Vacant", ROW('Bank Schedule'!$K$2:$K$817)), ROW(72:72))), "")</f>
        <v/>
      </c>
      <c r="AA75" s="11" t="str">
        <f aca="false" t="array" ref="AA75:AA75">IFERROR(INDEX('Bank Schedule'!AB:AB, SMALL(IF('Bank Schedule'!$K$2:$K$817="Vacant", ROW('Bank Schedule'!$K$2:$K$817)), ROW(72:72))), "")</f>
        <v>No</v>
      </c>
      <c r="AB75" s="94" t="str">
        <f aca="false" t="array" ref="AB75:AB75">IFERROR(INDEX('Bank Schedule'!AC:AC, SMALL(IF('Bank Schedule'!$K$2:$K$817="Vacant", ROW('Bank Schedule'!$K$2:$K$817)), ROW(72:72))), "")</f>
        <v>To be refurbished.</v>
      </c>
      <c r="AC75" s="44" t="n">
        <f aca="false" t="array" ref="AC75:AC75">IFERROR(INDEX('Bank Schedule'!AD:AD, SMALL(IF('Bank Schedule'!$K$2:$K$817="Vacant", ROW('Bank Schedule'!$K$2:$K$817)), ROW(72:72))), "")</f>
        <v>65</v>
      </c>
      <c r="AD75" s="11" t="n">
        <f aca="false" t="array" ref="AD75:AD75">IFERROR(INDEX('Bank Schedule'!AE:AE, SMALL(IF('Bank Schedule'!$K$2:$K$817="Vacant", ROW('Bank Schedule'!$K$2:$K$817)), ROW(72:72))), "")</f>
        <v>1</v>
      </c>
      <c r="AE75" s="11" t="n">
        <f aca="false" t="array" ref="AE75:AE75">IFERROR(INDEX('Bank Schedule'!AF:AF, SMALL(IF('Bank Schedule'!$K$2:$K$817="Vacant", ROW('Bank Schedule'!$K$2:$K$817)), ROW(72:72))), "")</f>
        <v>1</v>
      </c>
      <c r="AF75" s="11" t="str">
        <f aca="false">IFERROR(INDEX('Bank Schedule'!AG:AG, SMALL(IF('Bank Schedule'!$K$2:$K$817="Vacant", ROW('Bank Schedule'!$K$2:$K$817)), ROW(72:72))), "")</f>
        <v/>
      </c>
      <c r="AG75" s="4"/>
    </row>
    <row r="76" customFormat="false" ht="28.5" hidden="false" customHeight="true" outlineLevel="0" collapsed="false">
      <c r="A76" s="28" t="n">
        <f aca="false">IFERROR(INDEX('Bank Schedule'!A:A, SMALL(IF('Bank Schedule'!$K$2:$K$817="Vacant", ROW('Bank Schedule'!$K$2:$K$817)), ROW(73:73))), "")</f>
        <v>0</v>
      </c>
      <c r="B76" s="11" t="str">
        <f aca="false" t="array" ref="B76:B76">IFERROR(INDEX('Bank Schedule'!B:B, SMALL(IF('Bank Schedule'!$K$2:$K$817="Vacant", ROW('Bank Schedule'!$K$2:$K$817)), ROW(73:73))), "")</f>
        <v>JM</v>
      </c>
      <c r="C76" s="11" t="str">
        <f aca="false" t="array" ref="C76:C76">IFERROR(INDEX('Bank Schedule'!C:C, SMALL(IF('Bank Schedule'!$K$2:$K$817="Vacant", ROW('Bank Schedule'!$K$2:$K$817)), ROW(73:73))), "")</f>
        <v>MEL</v>
      </c>
      <c r="D76" s="11" t="n">
        <f aca="false" t="array" ref="D76:D76">IFERROR(INDEX('Bank Schedule'!D:D, SMALL(IF('Bank Schedule'!$K$2:$K$817="Vacant", ROW('Bank Schedule'!$K$2:$K$817)), ROW(73:73))), "")</f>
        <v>550630</v>
      </c>
      <c r="E76" s="94" t="str">
        <f aca="false" t="array" ref="E76:E76">IFERROR(INDEX('Bank Schedule'!E:E, SMALL(IF('Bank Schedule'!$K$2:$K$817="Vacant", ROW('Bank Schedule'!$K$2:$K$817)), ROW(73:73))), "")</f>
        <v>Sackville House - 78 Margaret Street</v>
      </c>
      <c r="F76" s="94" t="str">
        <f aca="false" t="array" ref="F76:F76">IFERROR(INDEX('Bank Schedule'!F:F, SMALL(IF('Bank Schedule'!$K$2:$K$817="Vacant", ROW('Bank Schedule'!$K$2:$K$817)), ROW(73:73))), "")</f>
        <v>Basement</v>
      </c>
      <c r="G76" s="94" t="str">
        <f aca="false" t="array" ref="G76:G76">IFERROR(INDEX('Bank Schedule'!G:G, SMALL(IF('Bank Schedule'!$K$2:$K$817="Vacant", ROW('Bank Schedule'!$K$2:$K$817)), ROW(73:73))), "")</f>
        <v>Storage</v>
      </c>
      <c r="H76" s="14" t="n">
        <f aca="false" t="array" ref="H76:H76">IFERROR(INDEX('Bank Schedule'!H:H, SMALL(IF('Bank Schedule'!$K$2:$K$817="Vacant", ROW('Bank Schedule'!$K$2:$K$817)), ROW(73:73))), "")</f>
        <v>927</v>
      </c>
      <c r="I76" s="14" t="n">
        <f aca="false" t="array" ref="I76:I76">IFERROR(INDEX('Bank Schedule'!I:I, SMALL(IF('Bank Schedule'!$K$2:$K$817="Vacant", ROW('Bank Schedule'!$K$2:$K$817)), ROW(73:73))), "")</f>
        <v>927</v>
      </c>
      <c r="J76" s="11" t="str">
        <f aca="false" t="array" ref="J76:J76">IFERROR(INDEX('Bank Schedule'!K:K, SMALL(IF('Bank Schedule'!$K$2:$K$817="Vacant", ROW('Bank Schedule'!$K$2:$K$817)), ROW(73:73))), "")</f>
        <v>Vacant</v>
      </c>
      <c r="K76" s="8" t="n">
        <f aca="false">IFERROR(INDEX('Bank Schedule'!L:L, SMALL(IF('Bank Schedule'!$K$2:$K$817="Vacant", ROW('Bank Schedule'!$K$2:$K$817)), ROW(73:73))), "")</f>
        <v>45622</v>
      </c>
      <c r="L76" s="8" t="n">
        <f aca="false">IFERROR(INDEX('Bank Schedule'!M:M, SMALL(IF('Bank Schedule'!$K$2:$K$817="Vacant", ROW('Bank Schedule'!$K$2:$K$817)), ROW(73:73))), "")</f>
        <v>47447</v>
      </c>
      <c r="M76" s="71" t="n">
        <f aca="false" t="array" ref="M76:M76">IFERROR(INDEX('Bank Schedule'!N:N, SMALL(IF('Bank Schedule'!$K$2:$K$817="Vacant", ROW('Bank Schedule'!$K$2:$K$817)), ROW(73:73))), "")</f>
        <v>45785</v>
      </c>
      <c r="N76" s="8" t="n">
        <f aca="false">IFERROR(INDEX('Bank Schedule'!O:O, SMALL(IF('Bank Schedule'!$K$2:$K$817="Vacant", ROW('Bank Schedule'!$K$2:$K$817)), ROW(73:73))), "")</f>
        <v>0</v>
      </c>
      <c r="O76" s="8" t="n">
        <f aca="false">IFERROR(INDEX('Bank Schedule'!P:P, SMALL(IF('Bank Schedule'!$K$2:$K$817="Vacant", ROW('Bank Schedule'!$K$2:$K$817)), ROW(73:73))), "")</f>
        <v>46716</v>
      </c>
      <c r="P76" s="11" t="n">
        <f aca="false" t="array" ref="P76:P76">IFERROR(INDEX('Bank Schedule'!Q:Q, SMALL(IF('Bank Schedule'!$K$2:$K$817="Vacant", ROW('Bank Schedule'!$K$2:$K$817)), ROW(73:73))), "")</f>
        <v>0</v>
      </c>
      <c r="Q76" s="11" t="n">
        <f aca="false" t="array" ref="Q76:Q76">IFERROR(INDEX('Bank Schedule'!R:R, SMALL(IF('Bank Schedule'!$K$2:$K$817="Vacant", ROW('Bank Schedule'!$K$2:$K$817)), ROW(73:73))), "")</f>
        <v>0</v>
      </c>
      <c r="R76" s="9" t="n">
        <f aca="false">IFERROR(INDEX('Bank Schedule'!S:S, SMALL(IF('Bank Schedule'!$K$2:$K$817="Vacant", ROW('Bank Schedule'!$K$2:$K$817)), ROW(73:73))), "")</f>
        <v>0</v>
      </c>
      <c r="S76" s="281" t="n">
        <f aca="false" t="array" ref="S76:S76">IFERROR(INDEX('Bank Schedule'!T:T, SMALL(IF('Bank Schedule'!$K$2:$K$817="Vacant", ROW('Bank Schedule'!$K$2:$K$817)), ROW(73:73))), "")</f>
        <v>13900</v>
      </c>
      <c r="T76" s="281" t="n">
        <f aca="false" t="array" ref="T76:T76">IFERROR(INDEX('Bank Schedule'!U:U, SMALL(IF('Bank Schedule'!$K$2:$K$817="Vacant", ROW('Bank Schedule'!$K$2:$K$817)), ROW(73:73))), "")</f>
        <v>13900</v>
      </c>
      <c r="U76" s="281" t="n">
        <f aca="false" t="array" ref="U76:U76">IFERROR(INDEX('Bank Schedule'!V:V, SMALL(IF('Bank Schedule'!$K$2:$K$817="Vacant", ROW('Bank Schedule'!$K$2:$K$817)), ROW(73:73))), "")</f>
        <v>18500</v>
      </c>
      <c r="V76" s="281" t="n">
        <f aca="false" t="array" ref="V76:V76">IFERROR(INDEX('Bank Schedule'!W:W, SMALL(IF('Bank Schedule'!$K$2:$K$817="Vacant", ROW('Bank Schedule'!$K$2:$K$817)), ROW(73:73))), "")</f>
        <v>18500</v>
      </c>
      <c r="W76" s="282" t="n">
        <f aca="false" t="array" ref="W76:W76">IFERROR(INDEX('Bank Schedule'!X:X, SMALL(IF('Bank Schedule'!$K$2:$K$817="Vacant", ROW('Bank Schedule'!$K$2:$K$817)), ROW(73:73))), "")</f>
        <v>14.9946062567422</v>
      </c>
      <c r="X76" s="11" t="str">
        <f aca="false" t="array" ref="X76:X76">IFERROR(INDEX('Bank Schedule'!Y:Y, SMALL(IF('Bank Schedule'!$K$2:$K$817="Vacant", ROW('Bank Schedule'!$K$2:$K$817)), ROW(73:73))), "")</f>
        <v>D</v>
      </c>
      <c r="Y76" s="9" t="n">
        <f aca="false">IFERROR(INDEX('Bank Schedule'!Z:Z, SMALL(IF('Bank Schedule'!$K$2:$K$817="Vacant", ROW('Bank Schedule'!$K$2:$K$817)), ROW(73:73))), "")</f>
        <v>0</v>
      </c>
      <c r="Z76" s="283" t="n">
        <f aca="false">IFERROR(INDEX('Bank Schedule'!AA:AA, SMALL(IF('Bank Schedule'!$K$2:$K$817="Vacant", ROW('Bank Schedule'!$K$2:$K$817)), ROW(73:73))), "")</f>
        <v>0</v>
      </c>
      <c r="AA76" s="11" t="str">
        <f aca="false" t="array" ref="AA76:AA76">IFERROR(INDEX('Bank Schedule'!AB:AB, SMALL(IF('Bank Schedule'!$K$2:$K$817="Vacant", ROW('Bank Schedule'!$K$2:$K$817)), ROW(73:73))), "")</f>
        <v>No</v>
      </c>
      <c r="AB76" s="94" t="str">
        <f aca="false" t="array" ref="AB76:AB76">IFERROR(INDEX('Bank Schedule'!AC:AC, SMALL(IF('Bank Schedule'!$K$2:$K$817="Vacant", ROW('Bank Schedule'!$K$2:$K$817)), ROW(73:73))), "")</f>
        <v>Mothballed.</v>
      </c>
      <c r="AC76" s="44" t="n">
        <f aca="false">IFERROR(INDEX('Bank Schedule'!AD:AD, SMALL(IF('Bank Schedule'!$K$2:$K$817="Vacant", ROW('Bank Schedule'!$K$2:$K$817)), ROW(73:73))), "")</f>
        <v>0</v>
      </c>
      <c r="AD76" s="11" t="n">
        <f aca="false">IFERROR(INDEX('Bank Schedule'!AE:AE, SMALL(IF('Bank Schedule'!$K$2:$K$817="Vacant", ROW('Bank Schedule'!$K$2:$K$817)), ROW(73:73))), "")</f>
        <v>0</v>
      </c>
      <c r="AE76" s="11" t="n">
        <f aca="false">IFERROR(INDEX('Bank Schedule'!AF:AF, SMALL(IF('Bank Schedule'!$K$2:$K$817="Vacant", ROW('Bank Schedule'!$K$2:$K$817)), ROW(73:73))), "")</f>
        <v>1</v>
      </c>
      <c r="AF76" s="11" t="str">
        <f aca="false">IFERROR(INDEX('Bank Schedule'!AG:AG, SMALL(IF('Bank Schedule'!$K$2:$K$817="Vacant", ROW('Bank Schedule'!$K$2:$K$817)), ROW(73:73))), "")</f>
        <v>LEM/LDG</v>
      </c>
      <c r="AG76" s="4"/>
    </row>
    <row r="77" customFormat="false" ht="28.5" hidden="false" customHeight="true" outlineLevel="0" collapsed="false">
      <c r="A77" s="28" t="str">
        <f aca="false">IFERROR(INDEX('Bank Schedule'!A:A, SMALL(IF('Bank Schedule'!$K$2:$K$817="Vacant", ROW('Bank Schedule'!$K$2:$K$817)), ROW(74:74))), "")</f>
        <v/>
      </c>
      <c r="B77" s="11" t="str">
        <f aca="false" t="array" ref="B77:B77">IFERROR(INDEX('Bank Schedule'!B:B, SMALL(IF('Bank Schedule'!$K$2:$K$817="Vacant", ROW('Bank Schedule'!$K$2:$K$817)), ROW(74:74))), "")</f>
        <v>JM</v>
      </c>
      <c r="C77" s="11" t="str">
        <f aca="false" t="array" ref="C77:C77">IFERROR(INDEX('Bank Schedule'!C:C, SMALL(IF('Bank Schedule'!$K$2:$K$817="Vacant", ROW('Bank Schedule'!$K$2:$K$817)), ROW(74:74))), "")</f>
        <v>MEL</v>
      </c>
      <c r="D77" s="11" t="n">
        <f aca="false" t="array" ref="D77:D77">IFERROR(INDEX('Bank Schedule'!D:D, SMALL(IF('Bank Schedule'!$K$2:$K$817="Vacant", ROW('Bank Schedule'!$K$2:$K$817)), ROW(74:74))), "")</f>
        <v>550630</v>
      </c>
      <c r="E77" s="94" t="str">
        <f aca="false" t="array" ref="E77:E77">IFERROR(INDEX('Bank Schedule'!E:E, SMALL(IF('Bank Schedule'!$K$2:$K$817="Vacant", ROW('Bank Schedule'!$K$2:$K$817)), ROW(74:74))), "")</f>
        <v>Sackville House - 78 Margaret Street</v>
      </c>
      <c r="F77" s="94" t="str">
        <f aca="false" t="array" ref="F77:F77">IFERROR(INDEX('Bank Schedule'!F:F, SMALL(IF('Bank Schedule'!$K$2:$K$817="Vacant", ROW('Bank Schedule'!$K$2:$K$817)), ROW(74:74))), "")</f>
        <v>Ground</v>
      </c>
      <c r="G77" s="94" t="str">
        <f aca="false" t="array" ref="G77:G77">IFERROR(INDEX('Bank Schedule'!G:G, SMALL(IF('Bank Schedule'!$K$2:$K$817="Vacant", ROW('Bank Schedule'!$K$2:$K$817)), ROW(74:74))), "")</f>
        <v>Office</v>
      </c>
      <c r="H77" s="14" t="n">
        <f aca="false" t="array" ref="H77:H77">IFERROR(INDEX('Bank Schedule'!H:H, SMALL(IF('Bank Schedule'!$K$2:$K$817="Vacant", ROW('Bank Schedule'!$K$2:$K$817)), ROW(74:74))), "")</f>
        <v>1010</v>
      </c>
      <c r="I77" s="14" t="n">
        <f aca="false" t="array" ref="I77:I77">IFERROR(INDEX('Bank Schedule'!I:I, SMALL(IF('Bank Schedule'!$K$2:$K$817="Vacant", ROW('Bank Schedule'!$K$2:$K$817)), ROW(74:74))), "")</f>
        <v>1010</v>
      </c>
      <c r="J77" s="11" t="str">
        <f aca="false" t="array" ref="J77:J77">IFERROR(INDEX('Bank Schedule'!K:K, SMALL(IF('Bank Schedule'!$K$2:$K$817="Vacant", ROW('Bank Schedule'!$K$2:$K$817)), ROW(74:74))), "")</f>
        <v>Vacant</v>
      </c>
      <c r="K77" s="11" t="str">
        <f aca="false">IFERROR(INDEX('Bank Schedule'!L:L, SMALL(IF('Bank Schedule'!$K$2:$K$817="Vacant", ROW('Bank Schedule'!$K$2:$K$817)), ROW(74:74))), "")</f>
        <v/>
      </c>
      <c r="L77" s="11" t="str">
        <f aca="false">IFERROR(INDEX('Bank Schedule'!M:M, SMALL(IF('Bank Schedule'!$K$2:$K$817="Vacant", ROW('Bank Schedule'!$K$2:$K$817)), ROW(74:74))), "")</f>
        <v/>
      </c>
      <c r="M77" s="71" t="n">
        <f aca="false" t="array" ref="M77:M77">IFERROR(INDEX('Bank Schedule'!N:N, SMALL(IF('Bank Schedule'!$K$2:$K$817="Vacant", ROW('Bank Schedule'!$K$2:$K$817)), ROW(74:74))), "")</f>
        <v>42794</v>
      </c>
      <c r="N77" s="11" t="str">
        <f aca="false">IFERROR(INDEX('Bank Schedule'!O:O, SMALL(IF('Bank Schedule'!$K$2:$K$817="Vacant", ROW('Bank Schedule'!$K$2:$K$817)), ROW(74:74))), "")</f>
        <v/>
      </c>
      <c r="O77" s="11" t="str">
        <f aca="false">IFERROR(INDEX('Bank Schedule'!P:P, SMALL(IF('Bank Schedule'!$K$2:$K$817="Vacant", ROW('Bank Schedule'!$K$2:$K$817)), ROW(74:74))), "")</f>
        <v/>
      </c>
      <c r="P77" s="11" t="n">
        <f aca="false" t="array" ref="P77:P77">IFERROR(INDEX('Bank Schedule'!Q:Q, SMALL(IF('Bank Schedule'!$K$2:$K$817="Vacant", ROW('Bank Schedule'!$K$2:$K$817)), ROW(74:74))), "")</f>
        <v>0</v>
      </c>
      <c r="Q77" s="11" t="n">
        <f aca="false" t="array" ref="Q77:Q77">IFERROR(INDEX('Bank Schedule'!R:R, SMALL(IF('Bank Schedule'!$K$2:$K$817="Vacant", ROW('Bank Schedule'!$K$2:$K$817)), ROW(74:74))), "")</f>
        <v>0</v>
      </c>
      <c r="R77" s="11" t="str">
        <f aca="false">IFERROR(INDEX('Bank Schedule'!S:S, SMALL(IF('Bank Schedule'!$K$2:$K$817="Vacant", ROW('Bank Schedule'!$K$2:$K$817)), ROW(74:74))), "")</f>
        <v/>
      </c>
      <c r="S77" s="281" t="n">
        <f aca="false" t="array" ref="S77:S77">IFERROR(INDEX('Bank Schedule'!T:T, SMALL(IF('Bank Schedule'!$K$2:$K$817="Vacant", ROW('Bank Schedule'!$K$2:$K$817)), ROW(74:74))), "")</f>
        <v>55600</v>
      </c>
      <c r="T77" s="281" t="n">
        <f aca="false" t="array" ref="T77:T77">IFERROR(INDEX('Bank Schedule'!U:U, SMALL(IF('Bank Schedule'!$K$2:$K$817="Vacant", ROW('Bank Schedule'!$K$2:$K$817)), ROW(74:74))), "")</f>
        <v>55600</v>
      </c>
      <c r="U77" s="281" t="n">
        <f aca="false" t="array" ref="U77:U77">IFERROR(INDEX('Bank Schedule'!V:V, SMALL(IF('Bank Schedule'!$K$2:$K$817="Vacant", ROW('Bank Schedule'!$K$2:$K$817)), ROW(74:74))), "")</f>
        <v>60600</v>
      </c>
      <c r="V77" s="281" t="n">
        <f aca="false" t="array" ref="V77:V77">IFERROR(INDEX('Bank Schedule'!W:W, SMALL(IF('Bank Schedule'!$K$2:$K$817="Vacant", ROW('Bank Schedule'!$K$2:$K$817)), ROW(74:74))), "")</f>
        <v>60600</v>
      </c>
      <c r="W77" s="282" t="n">
        <f aca="false" t="array" ref="W77:W77">IFERROR(INDEX('Bank Schedule'!X:X, SMALL(IF('Bank Schedule'!$K$2:$K$817="Vacant", ROW('Bank Schedule'!$K$2:$K$817)), ROW(74:74))), "")</f>
        <v>55.0495049504951</v>
      </c>
      <c r="X77" s="11" t="str">
        <f aca="false" t="array" ref="X77:X77">IFERROR(INDEX('Bank Schedule'!Y:Y, SMALL(IF('Bank Schedule'!$K$2:$K$817="Vacant", ROW('Bank Schedule'!$K$2:$K$817)), ROW(74:74))), "")</f>
        <v>D</v>
      </c>
      <c r="Y77" s="11" t="str">
        <f aca="false">IFERROR(INDEX('Bank Schedule'!Z:Z, SMALL(IF('Bank Schedule'!$K$2:$K$817="Vacant", ROW('Bank Schedule'!$K$2:$K$817)), ROW(74:74))), "")</f>
        <v/>
      </c>
      <c r="Z77" s="11" t="str">
        <f aca="false">IFERROR(INDEX('Bank Schedule'!AA:AA, SMALL(IF('Bank Schedule'!$K$2:$K$817="Vacant", ROW('Bank Schedule'!$K$2:$K$817)), ROW(74:74))), "")</f>
        <v/>
      </c>
      <c r="AA77" s="11" t="str">
        <f aca="false" t="array" ref="AA77:AA77">IFERROR(INDEX('Bank Schedule'!AB:AB, SMALL(IF('Bank Schedule'!$K$2:$K$817="Vacant", ROW('Bank Schedule'!$K$2:$K$817)), ROW(74:74))), "")</f>
        <v>No</v>
      </c>
      <c r="AB77" s="94" t="str">
        <f aca="false" t="array" ref="AB77:AB77">IFERROR(INDEX('Bank Schedule'!AC:AC, SMALL(IF('Bank Schedule'!$K$2:$K$817="Vacant", ROW('Bank Schedule'!$K$2:$K$817)), ROW(74:74))), "")</f>
        <v>Mothballed.</v>
      </c>
      <c r="AC77" s="44" t="str">
        <f aca="false">IFERROR(INDEX('Bank Schedule'!AD:AD, SMALL(IF('Bank Schedule'!$K$2:$K$817="Vacant", ROW('Bank Schedule'!$K$2:$K$817)), ROW(74:74))), "")</f>
        <v/>
      </c>
      <c r="AD77" s="11" t="str">
        <f aca="false">IFERROR(INDEX('Bank Schedule'!AE:AE, SMALL(IF('Bank Schedule'!$K$2:$K$817="Vacant", ROW('Bank Schedule'!$K$2:$K$817)), ROW(74:74))), "")</f>
        <v/>
      </c>
      <c r="AE77" s="11" t="str">
        <f aca="false">IFERROR(INDEX('Bank Schedule'!AF:AF, SMALL(IF('Bank Schedule'!$K$2:$K$817="Vacant", ROW('Bank Schedule'!$K$2:$K$817)), ROW(74:74))), "")</f>
        <v/>
      </c>
      <c r="AF77" s="11" t="str">
        <f aca="false">IFERROR(INDEX('Bank Schedule'!AG:AG, SMALL(IF('Bank Schedule'!$K$2:$K$817="Vacant", ROW('Bank Schedule'!$K$2:$K$817)), ROW(74:74))), "")</f>
        <v/>
      </c>
      <c r="AG77" s="4"/>
    </row>
    <row r="78" customFormat="false" ht="28.5" hidden="false" customHeight="true" outlineLevel="0" collapsed="false">
      <c r="A78" s="28" t="str">
        <f aca="false">IFERROR(INDEX('Bank Schedule'!A:A, SMALL(IF('Bank Schedule'!$K$2:$K$817="Vacant", ROW('Bank Schedule'!$K$2:$K$817)), ROW(75:75))), "")</f>
        <v/>
      </c>
      <c r="B78" s="11" t="str">
        <f aca="false" t="array" ref="B78:B78">IFERROR(INDEX('Bank Schedule'!B:B, SMALL(IF('Bank Schedule'!$K$2:$K$817="Vacant", ROW('Bank Schedule'!$K$2:$K$817)), ROW(75:75))), "")</f>
        <v>JM</v>
      </c>
      <c r="C78" s="11" t="str">
        <f aca="false" t="array" ref="C78:C78">IFERROR(INDEX('Bank Schedule'!C:C, SMALL(IF('Bank Schedule'!$K$2:$K$817="Vacant", ROW('Bank Schedule'!$K$2:$K$817)), ROW(75:75))), "")</f>
        <v>MEL</v>
      </c>
      <c r="D78" s="11" t="n">
        <f aca="false" t="array" ref="D78:D78">IFERROR(INDEX('Bank Schedule'!D:D, SMALL(IF('Bank Schedule'!$K$2:$K$817="Vacant", ROW('Bank Schedule'!$K$2:$K$817)), ROW(75:75))), "")</f>
        <v>550630</v>
      </c>
      <c r="E78" s="94" t="str">
        <f aca="false" t="array" ref="E78:E78">IFERROR(INDEX('Bank Schedule'!E:E, SMALL(IF('Bank Schedule'!$K$2:$K$817="Vacant", ROW('Bank Schedule'!$K$2:$K$817)), ROW(75:75))), "")</f>
        <v>Sackville House - 78 Margaret Street</v>
      </c>
      <c r="F78" s="94" t="str">
        <f aca="false" t="array" ref="F78:F78">IFERROR(INDEX('Bank Schedule'!F:F, SMALL(IF('Bank Schedule'!$K$2:$K$817="Vacant", ROW('Bank Schedule'!$K$2:$K$817)), ROW(75:75))), "")</f>
        <v>First Floor</v>
      </c>
      <c r="G78" s="94" t="str">
        <f aca="false" t="array" ref="G78:G78">IFERROR(INDEX('Bank Schedule'!G:G, SMALL(IF('Bank Schedule'!$K$2:$K$817="Vacant", ROW('Bank Schedule'!$K$2:$K$817)), ROW(75:75))), "")</f>
        <v>Office</v>
      </c>
      <c r="H78" s="14" t="n">
        <f aca="false" t="array" ref="H78:H78">IFERROR(INDEX('Bank Schedule'!H:H, SMALL(IF('Bank Schedule'!$K$2:$K$817="Vacant", ROW('Bank Schedule'!$K$2:$K$817)), ROW(75:75))), "")</f>
        <v>971</v>
      </c>
      <c r="I78" s="14" t="n">
        <f aca="false" t="array" ref="I78:I78">IFERROR(INDEX('Bank Schedule'!I:I, SMALL(IF('Bank Schedule'!$K$2:$K$817="Vacant", ROW('Bank Schedule'!$K$2:$K$817)), ROW(75:75))), "")</f>
        <v>971</v>
      </c>
      <c r="J78" s="11" t="str">
        <f aca="false" t="array" ref="J78:J78">IFERROR(INDEX('Bank Schedule'!K:K, SMALL(IF('Bank Schedule'!$K$2:$K$817="Vacant", ROW('Bank Schedule'!$K$2:$K$817)), ROW(75:75))), "")</f>
        <v>Vacant</v>
      </c>
      <c r="K78" s="11" t="str">
        <f aca="false">IFERROR(INDEX('Bank Schedule'!L:L, SMALL(IF('Bank Schedule'!$K$2:$K$817="Vacant", ROW('Bank Schedule'!$K$2:$K$817)), ROW(75:75))), "")</f>
        <v/>
      </c>
      <c r="L78" s="11" t="str">
        <f aca="false">IFERROR(INDEX('Bank Schedule'!M:M, SMALL(IF('Bank Schedule'!$K$2:$K$817="Vacant", ROW('Bank Schedule'!$K$2:$K$817)), ROW(75:75))), "")</f>
        <v/>
      </c>
      <c r="M78" s="71" t="n">
        <f aca="false" t="array" ref="M78:M78">IFERROR(INDEX('Bank Schedule'!N:N, SMALL(IF('Bank Schedule'!$K$2:$K$817="Vacant", ROW('Bank Schedule'!$K$2:$K$817)), ROW(75:75))), "")</f>
        <v>44071</v>
      </c>
      <c r="N78" s="11" t="str">
        <f aca="false">IFERROR(INDEX('Bank Schedule'!O:O, SMALL(IF('Bank Schedule'!$K$2:$K$817="Vacant", ROW('Bank Schedule'!$K$2:$K$817)), ROW(75:75))), "")</f>
        <v/>
      </c>
      <c r="O78" s="11" t="str">
        <f aca="false">IFERROR(INDEX('Bank Schedule'!P:P, SMALL(IF('Bank Schedule'!$K$2:$K$817="Vacant", ROW('Bank Schedule'!$K$2:$K$817)), ROW(75:75))), "")</f>
        <v/>
      </c>
      <c r="P78" s="11" t="n">
        <f aca="false" t="array" ref="P78:P78">IFERROR(INDEX('Bank Schedule'!Q:Q, SMALL(IF('Bank Schedule'!$K$2:$K$817="Vacant", ROW('Bank Schedule'!$K$2:$K$817)), ROW(75:75))), "")</f>
        <v>0</v>
      </c>
      <c r="Q78" s="11" t="n">
        <f aca="false" t="array" ref="Q78:Q78">IFERROR(INDEX('Bank Schedule'!R:R, SMALL(IF('Bank Schedule'!$K$2:$K$817="Vacant", ROW('Bank Schedule'!$K$2:$K$817)), ROW(75:75))), "")</f>
        <v>0</v>
      </c>
      <c r="R78" s="11" t="str">
        <f aca="false">IFERROR(INDEX('Bank Schedule'!S:S, SMALL(IF('Bank Schedule'!$K$2:$K$817="Vacant", ROW('Bank Schedule'!$K$2:$K$817)), ROW(75:75))), "")</f>
        <v/>
      </c>
      <c r="S78" s="281" t="n">
        <f aca="false" t="array" ref="S78:S78">IFERROR(INDEX('Bank Schedule'!T:T, SMALL(IF('Bank Schedule'!$K$2:$K$817="Vacant", ROW('Bank Schedule'!$K$2:$K$817)), ROW(75:75))), "")</f>
        <v>53400</v>
      </c>
      <c r="T78" s="281" t="n">
        <f aca="false" t="array" ref="T78:T78">IFERROR(INDEX('Bank Schedule'!U:U, SMALL(IF('Bank Schedule'!$K$2:$K$817="Vacant", ROW('Bank Schedule'!$K$2:$K$817)), ROW(75:75))), "")</f>
        <v>53400</v>
      </c>
      <c r="U78" s="281" t="n">
        <f aca="false" t="array" ref="U78:U78">IFERROR(INDEX('Bank Schedule'!V:V, SMALL(IF('Bank Schedule'!$K$2:$K$817="Vacant", ROW('Bank Schedule'!$K$2:$K$817)), ROW(75:75))), "")</f>
        <v>58300</v>
      </c>
      <c r="V78" s="281" t="n">
        <f aca="false" t="array" ref="V78:V78">IFERROR(INDEX('Bank Schedule'!W:W, SMALL(IF('Bank Schedule'!$K$2:$K$817="Vacant", ROW('Bank Schedule'!$K$2:$K$817)), ROW(75:75))), "")</f>
        <v>58300</v>
      </c>
      <c r="W78" s="282" t="n">
        <f aca="false" t="array" ref="W78:W78">IFERROR(INDEX('Bank Schedule'!X:X, SMALL(IF('Bank Schedule'!$K$2:$K$817="Vacant", ROW('Bank Schedule'!$K$2:$K$817)), ROW(75:75))), "")</f>
        <v>54.994850669413</v>
      </c>
      <c r="X78" s="11" t="str">
        <f aca="false" t="array" ref="X78:X78">IFERROR(INDEX('Bank Schedule'!Y:Y, SMALL(IF('Bank Schedule'!$K$2:$K$817="Vacant", ROW('Bank Schedule'!$K$2:$K$817)), ROW(75:75))), "")</f>
        <v>D</v>
      </c>
      <c r="Y78" s="11" t="str">
        <f aca="false">IFERROR(INDEX('Bank Schedule'!Z:Z, SMALL(IF('Bank Schedule'!$K$2:$K$817="Vacant", ROW('Bank Schedule'!$K$2:$K$817)), ROW(75:75))), "")</f>
        <v/>
      </c>
      <c r="Z78" s="11" t="str">
        <f aca="false">IFERROR(INDEX('Bank Schedule'!AA:AA, SMALL(IF('Bank Schedule'!$K$2:$K$817="Vacant", ROW('Bank Schedule'!$K$2:$K$817)), ROW(75:75))), "")</f>
        <v/>
      </c>
      <c r="AA78" s="11" t="str">
        <f aca="false" t="array" ref="AA78:AA78">IFERROR(INDEX('Bank Schedule'!AB:AB, SMALL(IF('Bank Schedule'!$K$2:$K$817="Vacant", ROW('Bank Schedule'!$K$2:$K$817)), ROW(75:75))), "")</f>
        <v>No</v>
      </c>
      <c r="AB78" s="94" t="str">
        <f aca="false" t="array" ref="AB78:AB78">IFERROR(INDEX('Bank Schedule'!AC:AC, SMALL(IF('Bank Schedule'!$K$2:$K$817="Vacant", ROW('Bank Schedule'!$K$2:$K$817)), ROW(75:75))), "")</f>
        <v>Mothballed.</v>
      </c>
      <c r="AC78" s="44" t="str">
        <f aca="false">IFERROR(INDEX('Bank Schedule'!AD:AD, SMALL(IF('Bank Schedule'!$K$2:$K$817="Vacant", ROW('Bank Schedule'!$K$2:$K$817)), ROW(75:75))), "")</f>
        <v/>
      </c>
      <c r="AD78" s="11" t="str">
        <f aca="false">IFERROR(INDEX('Bank Schedule'!AE:AE, SMALL(IF('Bank Schedule'!$K$2:$K$817="Vacant", ROW('Bank Schedule'!$K$2:$K$817)), ROW(75:75))), "")</f>
        <v/>
      </c>
      <c r="AE78" s="11" t="str">
        <f aca="false">IFERROR(INDEX('Bank Schedule'!AF:AF, SMALL(IF('Bank Schedule'!$K$2:$K$817="Vacant", ROW('Bank Schedule'!$K$2:$K$817)), ROW(75:75))), "")</f>
        <v/>
      </c>
      <c r="AF78" s="11" t="str">
        <f aca="false">IFERROR(INDEX('Bank Schedule'!AG:AG, SMALL(IF('Bank Schedule'!$K$2:$K$817="Vacant", ROW('Bank Schedule'!$K$2:$K$817)), ROW(75:75))), "")</f>
        <v/>
      </c>
      <c r="AG78" s="4"/>
    </row>
    <row r="79" customFormat="false" ht="28.5" hidden="false" customHeight="true" outlineLevel="0" collapsed="false">
      <c r="A79" s="28" t="str">
        <f aca="false">IFERROR(INDEX('Bank Schedule'!A:A, SMALL(IF('Bank Schedule'!$K$2:$K$817="Vacant", ROW('Bank Schedule'!$K$2:$K$817)), ROW(76:76))), "")</f>
        <v/>
      </c>
      <c r="B79" s="11" t="str">
        <f aca="false" t="array" ref="B79:B79">IFERROR(INDEX('Bank Schedule'!B:B, SMALL(IF('Bank Schedule'!$K$2:$K$817="Vacant", ROW('Bank Schedule'!$K$2:$K$817)), ROW(76:76))), "")</f>
        <v>JM</v>
      </c>
      <c r="C79" s="11" t="str">
        <f aca="false" t="array" ref="C79:C79">IFERROR(INDEX('Bank Schedule'!C:C, SMALL(IF('Bank Schedule'!$K$2:$K$817="Vacant", ROW('Bank Schedule'!$K$2:$K$817)), ROW(76:76))), "")</f>
        <v>MEL</v>
      </c>
      <c r="D79" s="11" t="n">
        <f aca="false" t="array" ref="D79:D79">IFERROR(INDEX('Bank Schedule'!D:D, SMALL(IF('Bank Schedule'!$K$2:$K$817="Vacant", ROW('Bank Schedule'!$K$2:$K$817)), ROW(76:76))), "")</f>
        <v>550630</v>
      </c>
      <c r="E79" s="94" t="str">
        <f aca="false" t="array" ref="E79:E79">IFERROR(INDEX('Bank Schedule'!E:E, SMALL(IF('Bank Schedule'!$K$2:$K$817="Vacant", ROW('Bank Schedule'!$K$2:$K$817)), ROW(76:76))), "")</f>
        <v>Sackville House - 78 Margaret Street</v>
      </c>
      <c r="F79" s="94" t="str">
        <f aca="false" t="array" ref="F79:F79">IFERROR(INDEX('Bank Schedule'!F:F, SMALL(IF('Bank Schedule'!$K$2:$K$817="Vacant", ROW('Bank Schedule'!$K$2:$K$817)), ROW(76:76))), "")</f>
        <v>Second Floor</v>
      </c>
      <c r="G79" s="94" t="str">
        <f aca="false" t="array" ref="G79:G79">IFERROR(INDEX('Bank Schedule'!G:G, SMALL(IF('Bank Schedule'!$K$2:$K$817="Vacant", ROW('Bank Schedule'!$K$2:$K$817)), ROW(76:76))), "")</f>
        <v>Office</v>
      </c>
      <c r="H79" s="14" t="n">
        <f aca="false" t="array" ref="H79:H79">IFERROR(INDEX('Bank Schedule'!H:H, SMALL(IF('Bank Schedule'!$K$2:$K$817="Vacant", ROW('Bank Schedule'!$K$2:$K$817)), ROW(76:76))), "")</f>
        <v>1000</v>
      </c>
      <c r="I79" s="14" t="n">
        <f aca="false" t="array" ref="I79:I79">IFERROR(INDEX('Bank Schedule'!I:I, SMALL(IF('Bank Schedule'!$K$2:$K$817="Vacant", ROW('Bank Schedule'!$K$2:$K$817)), ROW(76:76))), "")</f>
        <v>1000</v>
      </c>
      <c r="J79" s="11" t="str">
        <f aca="false" t="array" ref="J79:J79">IFERROR(INDEX('Bank Schedule'!K:K, SMALL(IF('Bank Schedule'!$K$2:$K$817="Vacant", ROW('Bank Schedule'!$K$2:$K$817)), ROW(76:76))), "")</f>
        <v>Vacant</v>
      </c>
      <c r="K79" s="11" t="str">
        <f aca="false">IFERROR(INDEX('Bank Schedule'!L:L, SMALL(IF('Bank Schedule'!$K$2:$K$817="Vacant", ROW('Bank Schedule'!$K$2:$K$817)), ROW(76:76))), "")</f>
        <v/>
      </c>
      <c r="L79" s="11" t="str">
        <f aca="false">IFERROR(INDEX('Bank Schedule'!M:M, SMALL(IF('Bank Schedule'!$K$2:$K$817="Vacant", ROW('Bank Schedule'!$K$2:$K$817)), ROW(76:76))), "")</f>
        <v/>
      </c>
      <c r="M79" s="71" t="n">
        <f aca="false" t="array" ref="M79:M79">IFERROR(INDEX('Bank Schedule'!N:N, SMALL(IF('Bank Schedule'!$K$2:$K$817="Vacant", ROW('Bank Schedule'!$K$2:$K$817)), ROW(76:76))), "")</f>
        <v>43261</v>
      </c>
      <c r="N79" s="11" t="str">
        <f aca="false">IFERROR(INDEX('Bank Schedule'!O:O, SMALL(IF('Bank Schedule'!$K$2:$K$817="Vacant", ROW('Bank Schedule'!$K$2:$K$817)), ROW(76:76))), "")</f>
        <v/>
      </c>
      <c r="O79" s="11" t="str">
        <f aca="false">IFERROR(INDEX('Bank Schedule'!P:P, SMALL(IF('Bank Schedule'!$K$2:$K$817="Vacant", ROW('Bank Schedule'!$K$2:$K$817)), ROW(76:76))), "")</f>
        <v/>
      </c>
      <c r="P79" s="11" t="n">
        <f aca="false" t="array" ref="P79:P79">IFERROR(INDEX('Bank Schedule'!Q:Q, SMALL(IF('Bank Schedule'!$K$2:$K$817="Vacant", ROW('Bank Schedule'!$K$2:$K$817)), ROW(76:76))), "")</f>
        <v>0</v>
      </c>
      <c r="Q79" s="11" t="n">
        <f aca="false" t="array" ref="Q79:Q79">IFERROR(INDEX('Bank Schedule'!R:R, SMALL(IF('Bank Schedule'!$K$2:$K$817="Vacant", ROW('Bank Schedule'!$K$2:$K$817)), ROW(76:76))), "")</f>
        <v>0</v>
      </c>
      <c r="R79" s="11" t="str">
        <f aca="false">IFERROR(INDEX('Bank Schedule'!S:S, SMALL(IF('Bank Schedule'!$K$2:$K$817="Vacant", ROW('Bank Schedule'!$K$2:$K$817)), ROW(76:76))), "")</f>
        <v/>
      </c>
      <c r="S79" s="281" t="n">
        <f aca="false" t="array" ref="S79:S79">IFERROR(INDEX('Bank Schedule'!T:T, SMALL(IF('Bank Schedule'!$K$2:$K$817="Vacant", ROW('Bank Schedule'!$K$2:$K$817)), ROW(76:76))), "")</f>
        <v>52500</v>
      </c>
      <c r="T79" s="281" t="n">
        <f aca="false" t="array" ref="T79:T79">IFERROR(INDEX('Bank Schedule'!U:U, SMALL(IF('Bank Schedule'!$K$2:$K$817="Vacant", ROW('Bank Schedule'!$K$2:$K$817)), ROW(76:76))), "")</f>
        <v>52500</v>
      </c>
      <c r="U79" s="281" t="n">
        <f aca="false" t="array" ref="U79:U79">IFERROR(INDEX('Bank Schedule'!V:V, SMALL(IF('Bank Schedule'!$K$2:$K$817="Vacant", ROW('Bank Schedule'!$K$2:$K$817)), ROW(76:76))), "")</f>
        <v>57500</v>
      </c>
      <c r="V79" s="281" t="n">
        <f aca="false" t="array" ref="V79:V79">IFERROR(INDEX('Bank Schedule'!W:W, SMALL(IF('Bank Schedule'!$K$2:$K$817="Vacant", ROW('Bank Schedule'!$K$2:$K$817)), ROW(76:76))), "")</f>
        <v>57500</v>
      </c>
      <c r="W79" s="282" t="n">
        <f aca="false" t="array" ref="W79:W79">IFERROR(INDEX('Bank Schedule'!X:X, SMALL(IF('Bank Schedule'!$K$2:$K$817="Vacant", ROW('Bank Schedule'!$K$2:$K$817)), ROW(76:76))), "")</f>
        <v>52.5</v>
      </c>
      <c r="X79" s="11" t="str">
        <f aca="false" t="array" ref="X79:X79">IFERROR(INDEX('Bank Schedule'!Y:Y, SMALL(IF('Bank Schedule'!$K$2:$K$817="Vacant", ROW('Bank Schedule'!$K$2:$K$817)), ROW(76:76))), "")</f>
        <v>D</v>
      </c>
      <c r="Y79" s="11" t="str">
        <f aca="false">IFERROR(INDEX('Bank Schedule'!Z:Z, SMALL(IF('Bank Schedule'!$K$2:$K$817="Vacant", ROW('Bank Schedule'!$K$2:$K$817)), ROW(76:76))), "")</f>
        <v/>
      </c>
      <c r="Z79" s="11" t="str">
        <f aca="false">IFERROR(INDEX('Bank Schedule'!AA:AA, SMALL(IF('Bank Schedule'!$K$2:$K$817="Vacant", ROW('Bank Schedule'!$K$2:$K$817)), ROW(76:76))), "")</f>
        <v/>
      </c>
      <c r="AA79" s="11" t="str">
        <f aca="false" t="array" ref="AA79:AA79">IFERROR(INDEX('Bank Schedule'!AB:AB, SMALL(IF('Bank Schedule'!$K$2:$K$817="Vacant", ROW('Bank Schedule'!$K$2:$K$817)), ROW(76:76))), "")</f>
        <v>No</v>
      </c>
      <c r="AB79" s="94" t="str">
        <f aca="false" t="array" ref="AB79:AB79">IFERROR(INDEX('Bank Schedule'!AC:AC, SMALL(IF('Bank Schedule'!$K$2:$K$817="Vacant", ROW('Bank Schedule'!$K$2:$K$817)), ROW(76:76))), "")</f>
        <v>Mothballed.</v>
      </c>
      <c r="AC79" s="44" t="str">
        <f aca="false">IFERROR(INDEX('Bank Schedule'!AD:AD, SMALL(IF('Bank Schedule'!$K$2:$K$817="Vacant", ROW('Bank Schedule'!$K$2:$K$817)), ROW(76:76))), "")</f>
        <v/>
      </c>
      <c r="AD79" s="11" t="str">
        <f aca="false">IFERROR(INDEX('Bank Schedule'!AE:AE, SMALL(IF('Bank Schedule'!$K$2:$K$817="Vacant", ROW('Bank Schedule'!$K$2:$K$817)), ROW(76:76))), "")</f>
        <v/>
      </c>
      <c r="AE79" s="11" t="str">
        <f aca="false">IFERROR(INDEX('Bank Schedule'!AF:AF, SMALL(IF('Bank Schedule'!$K$2:$K$817="Vacant", ROW('Bank Schedule'!$K$2:$K$817)), ROW(76:76))), "")</f>
        <v/>
      </c>
      <c r="AF79" s="11" t="str">
        <f aca="false">IFERROR(INDEX('Bank Schedule'!AG:AG, SMALL(IF('Bank Schedule'!$K$2:$K$817="Vacant", ROW('Bank Schedule'!$K$2:$K$817)), ROW(76:76))), "")</f>
        <v/>
      </c>
      <c r="AG79" s="4"/>
    </row>
    <row r="80" customFormat="false" ht="28.5" hidden="false" customHeight="true" outlineLevel="0" collapsed="false">
      <c r="A80" s="28" t="str">
        <f aca="false">IFERROR(INDEX('Bank Schedule'!A:A, SMALL(IF('Bank Schedule'!$K$2:$K$817="Vacant", ROW('Bank Schedule'!$K$2:$K$817)), ROW(77:77))), "")</f>
        <v/>
      </c>
      <c r="B80" s="11" t="str">
        <f aca="false" t="array" ref="B80:B80">IFERROR(INDEX('Bank Schedule'!B:B, SMALL(IF('Bank Schedule'!$K$2:$K$817="Vacant", ROW('Bank Schedule'!$K$2:$K$817)), ROW(77:77))), "")</f>
        <v>JM</v>
      </c>
      <c r="C80" s="11" t="str">
        <f aca="false" t="array" ref="C80:C80">IFERROR(INDEX('Bank Schedule'!C:C, SMALL(IF('Bank Schedule'!$K$2:$K$817="Vacant", ROW('Bank Schedule'!$K$2:$K$817)), ROW(77:77))), "")</f>
        <v>MEL</v>
      </c>
      <c r="D80" s="11" t="n">
        <f aca="false" t="array" ref="D80:D80">IFERROR(INDEX('Bank Schedule'!D:D, SMALL(IF('Bank Schedule'!$K$2:$K$817="Vacant", ROW('Bank Schedule'!$K$2:$K$817)), ROW(77:77))), "")</f>
        <v>550690</v>
      </c>
      <c r="E80" s="94" t="str">
        <f aca="false" t="array" ref="E80:E80">IFERROR(INDEX('Bank Schedule'!E:E, SMALL(IF('Bank Schedule'!$K$2:$K$817="Vacant", ROW('Bank Schedule'!$K$2:$K$817)), ROW(77:77))), "")</f>
        <v>Kenilworth House - 79-80 Margaret Street</v>
      </c>
      <c r="F80" s="94" t="str">
        <f aca="false" t="array" ref="F80:F80">IFERROR(INDEX('Bank Schedule'!F:F, SMALL(IF('Bank Schedule'!$K$2:$K$817="Vacant", ROW('Bank Schedule'!$K$2:$K$817)), ROW(77:77))), "")</f>
        <v>First Floor (East)</v>
      </c>
      <c r="G80" s="94" t="str">
        <f aca="false" t="array" ref="G80:G80">IFERROR(INDEX('Bank Schedule'!G:G, SMALL(IF('Bank Schedule'!$K$2:$K$817="Vacant", ROW('Bank Schedule'!$K$2:$K$817)), ROW(77:77))), "")</f>
        <v>Showroom/ Office</v>
      </c>
      <c r="H80" s="14" t="n">
        <f aca="false" t="array" ref="H80:H80">IFERROR(INDEX('Bank Schedule'!H:H, SMALL(IF('Bank Schedule'!$K$2:$K$817="Vacant", ROW('Bank Schedule'!$K$2:$K$817)), ROW(77:77))), "")</f>
        <v>1143</v>
      </c>
      <c r="I80" s="14" t="n">
        <f aca="false" t="array" ref="I80:I80">IFERROR(INDEX('Bank Schedule'!I:I, SMALL(IF('Bank Schedule'!$K$2:$K$817="Vacant", ROW('Bank Schedule'!$K$2:$K$817)), ROW(77:77))), "")</f>
        <v>1143</v>
      </c>
      <c r="J80" s="11" t="str">
        <f aca="false" t="array" ref="J80:J80">IFERROR(INDEX('Bank Schedule'!K:K, SMALL(IF('Bank Schedule'!$K$2:$K$817="Vacant", ROW('Bank Schedule'!$K$2:$K$817)), ROW(77:77))), "")</f>
        <v>Vacant</v>
      </c>
      <c r="K80" s="11" t="str">
        <f aca="false">IFERROR(INDEX('Bank Schedule'!L:L, SMALL(IF('Bank Schedule'!$K$2:$K$817="Vacant", ROW('Bank Schedule'!$K$2:$K$817)), ROW(77:77))), "")</f>
        <v/>
      </c>
      <c r="L80" s="11" t="str">
        <f aca="false">IFERROR(INDEX('Bank Schedule'!M:M, SMALL(IF('Bank Schedule'!$K$2:$K$817="Vacant", ROW('Bank Schedule'!$K$2:$K$817)), ROW(77:77))), "")</f>
        <v/>
      </c>
      <c r="M80" s="71" t="n">
        <f aca="false" t="array" ref="M80:M80">IFERROR(INDEX('Bank Schedule'!N:N, SMALL(IF('Bank Schedule'!$K$2:$K$817="Vacant", ROW('Bank Schedule'!$K$2:$K$817)), ROW(77:77))), "")</f>
        <v>44293</v>
      </c>
      <c r="N80" s="11" t="str">
        <f aca="false">IFERROR(INDEX('Bank Schedule'!O:O, SMALL(IF('Bank Schedule'!$K$2:$K$817="Vacant", ROW('Bank Schedule'!$K$2:$K$817)), ROW(77:77))), "")</f>
        <v/>
      </c>
      <c r="O80" s="11" t="str">
        <f aca="false">IFERROR(INDEX('Bank Schedule'!P:P, SMALL(IF('Bank Schedule'!$K$2:$K$817="Vacant", ROW('Bank Schedule'!$K$2:$K$817)), ROW(77:77))), "")</f>
        <v/>
      </c>
      <c r="P80" s="11" t="n">
        <f aca="false" t="array" ref="P80:P80">IFERROR(INDEX('Bank Schedule'!Q:Q, SMALL(IF('Bank Schedule'!$K$2:$K$817="Vacant", ROW('Bank Schedule'!$K$2:$K$817)), ROW(77:77))), "")</f>
        <v>0</v>
      </c>
      <c r="Q80" s="11" t="n">
        <f aca="false" t="array" ref="Q80:Q80">IFERROR(INDEX('Bank Schedule'!R:R, SMALL(IF('Bank Schedule'!$K$2:$K$817="Vacant", ROW('Bank Schedule'!$K$2:$K$817)), ROW(77:77))), "")</f>
        <v>0</v>
      </c>
      <c r="R80" s="11" t="str">
        <f aca="false">IFERROR(INDEX('Bank Schedule'!S:S, SMALL(IF('Bank Schedule'!$K$2:$K$817="Vacant", ROW('Bank Schedule'!$K$2:$K$817)), ROW(77:77))), "")</f>
        <v/>
      </c>
      <c r="S80" s="281" t="n">
        <f aca="false" t="array" ref="S80:S80">IFERROR(INDEX('Bank Schedule'!T:T, SMALL(IF('Bank Schedule'!$K$2:$K$817="Vacant", ROW('Bank Schedule'!$K$2:$K$817)), ROW(77:77))), "")</f>
        <v>73600</v>
      </c>
      <c r="T80" s="281" t="n">
        <f aca="false" t="array" ref="T80:T80">IFERROR(INDEX('Bank Schedule'!U:U, SMALL(IF('Bank Schedule'!$K$2:$K$817="Vacant", ROW('Bank Schedule'!$K$2:$K$817)), ROW(77:77))), "")</f>
        <v>73600</v>
      </c>
      <c r="U80" s="281" t="n">
        <f aca="false" t="array" ref="U80:U80">IFERROR(INDEX('Bank Schedule'!V:V, SMALL(IF('Bank Schedule'!$K$2:$K$817="Vacant", ROW('Bank Schedule'!$K$2:$K$817)), ROW(77:77))), "")</f>
        <v>74300</v>
      </c>
      <c r="V80" s="281" t="n">
        <f aca="false" t="array" ref="V80:V80">IFERROR(INDEX('Bank Schedule'!W:W, SMALL(IF('Bank Schedule'!$K$2:$K$817="Vacant", ROW('Bank Schedule'!$K$2:$K$817)), ROW(77:77))), "")</f>
        <v>74300</v>
      </c>
      <c r="W80" s="282" t="n">
        <f aca="false" t="array" ref="W80:W80">IFERROR(INDEX('Bank Schedule'!X:X, SMALL(IF('Bank Schedule'!$K$2:$K$817="Vacant", ROW('Bank Schedule'!$K$2:$K$817)), ROW(77:77))), "")</f>
        <v>64.3919510061242</v>
      </c>
      <c r="X80" s="11" t="str">
        <f aca="false" t="array" ref="X80:X80">IFERROR(INDEX('Bank Schedule'!Y:Y, SMALL(IF('Bank Schedule'!$K$2:$K$817="Vacant", ROW('Bank Schedule'!$K$2:$K$817)), ROW(77:77))), "")</f>
        <v>D</v>
      </c>
      <c r="Y80" s="11" t="str">
        <f aca="false">IFERROR(INDEX('Bank Schedule'!Z:Z, SMALL(IF('Bank Schedule'!$K$2:$K$817="Vacant", ROW('Bank Schedule'!$K$2:$K$817)), ROW(77:77))), "")</f>
        <v/>
      </c>
      <c r="Z80" s="11" t="str">
        <f aca="false">IFERROR(INDEX('Bank Schedule'!AA:AA, SMALL(IF('Bank Schedule'!$K$2:$K$817="Vacant", ROW('Bank Schedule'!$K$2:$K$817)), ROW(77:77))), "")</f>
        <v/>
      </c>
      <c r="AA80" s="11" t="str">
        <f aca="false" t="array" ref="AA80:AA80">IFERROR(INDEX('Bank Schedule'!AB:AB, SMALL(IF('Bank Schedule'!$K$2:$K$817="Vacant", ROW('Bank Schedule'!$K$2:$K$817)), ROW(77:77))), "")</f>
        <v>No</v>
      </c>
      <c r="AB80" s="94" t="str">
        <f aca="false" t="array" ref="AB80:AB80">IFERROR(INDEX('Bank Schedule'!AC:AC, SMALL(IF('Bank Schedule'!$K$2:$K$817="Vacant", ROW('Bank Schedule'!$K$2:$K$817)), ROW(77:77))), "")</f>
        <v>Mothballed.</v>
      </c>
      <c r="AC80" s="44" t="str">
        <f aca="false">IFERROR(INDEX('Bank Schedule'!AD:AD, SMALL(IF('Bank Schedule'!$K$2:$K$817="Vacant", ROW('Bank Schedule'!$K$2:$K$817)), ROW(77:77))), "")</f>
        <v/>
      </c>
      <c r="AD80" s="11" t="str">
        <f aca="false">IFERROR(INDEX('Bank Schedule'!AE:AE, SMALL(IF('Bank Schedule'!$K$2:$K$817="Vacant", ROW('Bank Schedule'!$K$2:$K$817)), ROW(77:77))), "")</f>
        <v/>
      </c>
      <c r="AE80" s="11" t="str">
        <f aca="false">IFERROR(INDEX('Bank Schedule'!AF:AF, SMALL(IF('Bank Schedule'!$K$2:$K$817="Vacant", ROW('Bank Schedule'!$K$2:$K$817)), ROW(77:77))), "")</f>
        <v/>
      </c>
      <c r="AF80" s="11" t="str">
        <f aca="false">IFERROR(INDEX('Bank Schedule'!AG:AG, SMALL(IF('Bank Schedule'!$K$2:$K$817="Vacant", ROW('Bank Schedule'!$K$2:$K$817)), ROW(77:77))), "")</f>
        <v/>
      </c>
      <c r="AG80" s="4"/>
    </row>
    <row r="81" customFormat="false" ht="28.5" hidden="false" customHeight="true" outlineLevel="0" collapsed="false">
      <c r="A81" s="28" t="str">
        <f aca="false">IFERROR(INDEX('Bank Schedule'!A:A, SMALL(IF('Bank Schedule'!$K$2:$K$817="Vacant", ROW('Bank Schedule'!$K$2:$K$817)), ROW(78:78))), "")</f>
        <v/>
      </c>
      <c r="B81" s="11" t="str">
        <f aca="false" t="array" ref="B81:B81">IFERROR(INDEX('Bank Schedule'!B:B, SMALL(IF('Bank Schedule'!$K$2:$K$817="Vacant", ROW('Bank Schedule'!$K$2:$K$817)), ROW(78:78))), "")</f>
        <v>JM</v>
      </c>
      <c r="C81" s="11" t="str">
        <f aca="false" t="array" ref="C81:C81">IFERROR(INDEX('Bank Schedule'!C:C, SMALL(IF('Bank Schedule'!$K$2:$K$817="Vacant", ROW('Bank Schedule'!$K$2:$K$817)), ROW(78:78))), "")</f>
        <v>MEL</v>
      </c>
      <c r="D81" s="11" t="n">
        <f aca="false" t="array" ref="D81:D81">IFERROR(INDEX('Bank Schedule'!D:D, SMALL(IF('Bank Schedule'!$K$2:$K$817="Vacant", ROW('Bank Schedule'!$K$2:$K$817)), ROW(78:78))), "")</f>
        <v>550690</v>
      </c>
      <c r="E81" s="94" t="str">
        <f aca="false" t="array" ref="E81:E81">IFERROR(INDEX('Bank Schedule'!E:E, SMALL(IF('Bank Schedule'!$K$2:$K$817="Vacant", ROW('Bank Schedule'!$K$2:$K$817)), ROW(78:78))), "")</f>
        <v>Kenilworth House - 79-80 Margaret Street</v>
      </c>
      <c r="F81" s="94" t="str">
        <f aca="false" t="array" ref="F81:F81">IFERROR(INDEX('Bank Schedule'!F:F, SMALL(IF('Bank Schedule'!$K$2:$K$817="Vacant", ROW('Bank Schedule'!$K$2:$K$817)), ROW(78:78))), "")</f>
        <v>First Floor (West)</v>
      </c>
      <c r="G81" s="94" t="str">
        <f aca="false" t="array" ref="G81:G81">IFERROR(INDEX('Bank Schedule'!G:G, SMALL(IF('Bank Schedule'!$K$2:$K$817="Vacant", ROW('Bank Schedule'!$K$2:$K$817)), ROW(78:78))), "")</f>
        <v>Office</v>
      </c>
      <c r="H81" s="14" t="n">
        <f aca="false" t="array" ref="H81:H81">IFERROR(INDEX('Bank Schedule'!H:H, SMALL(IF('Bank Schedule'!$K$2:$K$817="Vacant", ROW('Bank Schedule'!$K$2:$K$817)), ROW(78:78))), "")</f>
        <v>805</v>
      </c>
      <c r="I81" s="14" t="n">
        <f aca="false" t="array" ref="I81:I81">IFERROR(INDEX('Bank Schedule'!I:I, SMALL(IF('Bank Schedule'!$K$2:$K$817="Vacant", ROW('Bank Schedule'!$K$2:$K$817)), ROW(78:78))), "")</f>
        <v>805</v>
      </c>
      <c r="J81" s="11" t="str">
        <f aca="false" t="array" ref="J81:J81">IFERROR(INDEX('Bank Schedule'!K:K, SMALL(IF('Bank Schedule'!$K$2:$K$817="Vacant", ROW('Bank Schedule'!$K$2:$K$817)), ROW(78:78))), "")</f>
        <v>Vacant</v>
      </c>
      <c r="K81" s="11" t="str">
        <f aca="false">IFERROR(INDEX('Bank Schedule'!L:L, SMALL(IF('Bank Schedule'!$K$2:$K$817="Vacant", ROW('Bank Schedule'!$K$2:$K$817)), ROW(78:78))), "")</f>
        <v/>
      </c>
      <c r="L81" s="11" t="str">
        <f aca="false">IFERROR(INDEX('Bank Schedule'!M:M, SMALL(IF('Bank Schedule'!$K$2:$K$817="Vacant", ROW('Bank Schedule'!$K$2:$K$817)), ROW(78:78))), "")</f>
        <v/>
      </c>
      <c r="M81" s="71" t="n">
        <f aca="false" t="array" ref="M81:M81">IFERROR(INDEX('Bank Schedule'!N:N, SMALL(IF('Bank Schedule'!$K$2:$K$817="Vacant", ROW('Bank Schedule'!$K$2:$K$817)), ROW(78:78))), "")</f>
        <v>44336</v>
      </c>
      <c r="N81" s="11" t="str">
        <f aca="false">IFERROR(INDEX('Bank Schedule'!O:O, SMALL(IF('Bank Schedule'!$K$2:$K$817="Vacant", ROW('Bank Schedule'!$K$2:$K$817)), ROW(78:78))), "")</f>
        <v/>
      </c>
      <c r="O81" s="11" t="str">
        <f aca="false">IFERROR(INDEX('Bank Schedule'!P:P, SMALL(IF('Bank Schedule'!$K$2:$K$817="Vacant", ROW('Bank Schedule'!$K$2:$K$817)), ROW(78:78))), "")</f>
        <v/>
      </c>
      <c r="P81" s="11" t="n">
        <f aca="false" t="array" ref="P81:P81">IFERROR(INDEX('Bank Schedule'!Q:Q, SMALL(IF('Bank Schedule'!$K$2:$K$817="Vacant", ROW('Bank Schedule'!$K$2:$K$817)), ROW(78:78))), "")</f>
        <v>0</v>
      </c>
      <c r="Q81" s="11" t="n">
        <f aca="false" t="array" ref="Q81:Q81">IFERROR(INDEX('Bank Schedule'!R:R, SMALL(IF('Bank Schedule'!$K$2:$K$817="Vacant", ROW('Bank Schedule'!$K$2:$K$817)), ROW(78:78))), "")</f>
        <v>0</v>
      </c>
      <c r="R81" s="11" t="str">
        <f aca="false">IFERROR(INDEX('Bank Schedule'!S:S, SMALL(IF('Bank Schedule'!$K$2:$K$817="Vacant", ROW('Bank Schedule'!$K$2:$K$817)), ROW(78:78))), "")</f>
        <v/>
      </c>
      <c r="S81" s="281" t="n">
        <f aca="false" t="array" ref="S81:S81">IFERROR(INDEX('Bank Schedule'!T:T, SMALL(IF('Bank Schedule'!$K$2:$K$817="Vacant", ROW('Bank Schedule'!$K$2:$K$817)), ROW(78:78))), "")</f>
        <v>45600</v>
      </c>
      <c r="T81" s="281" t="n">
        <f aca="false" t="array" ref="T81:T81">IFERROR(INDEX('Bank Schedule'!U:U, SMALL(IF('Bank Schedule'!$K$2:$K$817="Vacant", ROW('Bank Schedule'!$K$2:$K$817)), ROW(78:78))), "")</f>
        <v>45600</v>
      </c>
      <c r="U81" s="281" t="n">
        <f aca="false" t="array" ref="U81:U81">IFERROR(INDEX('Bank Schedule'!V:V, SMALL(IF('Bank Schedule'!$K$2:$K$817="Vacant", ROW('Bank Schedule'!$K$2:$K$817)), ROW(78:78))), "")</f>
        <v>52300</v>
      </c>
      <c r="V81" s="281" t="n">
        <f aca="false" t="array" ref="V81:V81">IFERROR(INDEX('Bank Schedule'!W:W, SMALL(IF('Bank Schedule'!$K$2:$K$817="Vacant", ROW('Bank Schedule'!$K$2:$K$817)), ROW(78:78))), "")</f>
        <v>52300</v>
      </c>
      <c r="W81" s="282" t="n">
        <f aca="false" t="array" ref="W81:W81">IFERROR(INDEX('Bank Schedule'!X:X, SMALL(IF('Bank Schedule'!$K$2:$K$817="Vacant", ROW('Bank Schedule'!$K$2:$K$817)), ROW(78:78))), "")</f>
        <v>56.6459627329193</v>
      </c>
      <c r="X81" s="11" t="str">
        <f aca="false" t="array" ref="X81:X81">IFERROR(INDEX('Bank Schedule'!Y:Y, SMALL(IF('Bank Schedule'!$K$2:$K$817="Vacant", ROW('Bank Schedule'!$K$2:$K$817)), ROW(78:78))), "")</f>
        <v>D</v>
      </c>
      <c r="Y81" s="11" t="str">
        <f aca="false">IFERROR(INDEX('Bank Schedule'!Z:Z, SMALL(IF('Bank Schedule'!$K$2:$K$817="Vacant", ROW('Bank Schedule'!$K$2:$K$817)), ROW(78:78))), "")</f>
        <v/>
      </c>
      <c r="Z81" s="11" t="str">
        <f aca="false">IFERROR(INDEX('Bank Schedule'!AA:AA, SMALL(IF('Bank Schedule'!$K$2:$K$817="Vacant", ROW('Bank Schedule'!$K$2:$K$817)), ROW(78:78))), "")</f>
        <v/>
      </c>
      <c r="AA81" s="11" t="str">
        <f aca="false" t="array" ref="AA81:AA81">IFERROR(INDEX('Bank Schedule'!AB:AB, SMALL(IF('Bank Schedule'!$K$2:$K$817="Vacant", ROW('Bank Schedule'!$K$2:$K$817)), ROW(78:78))), "")</f>
        <v>No</v>
      </c>
      <c r="AB81" s="94" t="str">
        <f aca="false" t="array" ref="AB81:AB81">IFERROR(INDEX('Bank Schedule'!AC:AC, SMALL(IF('Bank Schedule'!$K$2:$K$817="Vacant", ROW('Bank Schedule'!$K$2:$K$817)), ROW(78:78))), "")</f>
        <v>Mothballed.</v>
      </c>
      <c r="AC81" s="44" t="str">
        <f aca="false">IFERROR(INDEX('Bank Schedule'!AD:AD, SMALL(IF('Bank Schedule'!$K$2:$K$817="Vacant", ROW('Bank Schedule'!$K$2:$K$817)), ROW(78:78))), "")</f>
        <v/>
      </c>
      <c r="AD81" s="11" t="str">
        <f aca="false">IFERROR(INDEX('Bank Schedule'!AE:AE, SMALL(IF('Bank Schedule'!$K$2:$K$817="Vacant", ROW('Bank Schedule'!$K$2:$K$817)), ROW(78:78))), "")</f>
        <v/>
      </c>
      <c r="AE81" s="11" t="str">
        <f aca="false">IFERROR(INDEX('Bank Schedule'!AF:AF, SMALL(IF('Bank Schedule'!$K$2:$K$817="Vacant", ROW('Bank Schedule'!$K$2:$K$817)), ROW(78:78))), "")</f>
        <v/>
      </c>
      <c r="AF81" s="11" t="str">
        <f aca="false">IFERROR(INDEX('Bank Schedule'!AG:AG, SMALL(IF('Bank Schedule'!$K$2:$K$817="Vacant", ROW('Bank Schedule'!$K$2:$K$817)), ROW(78:78))), "")</f>
        <v/>
      </c>
      <c r="AG81" s="4"/>
    </row>
    <row r="82" customFormat="false" ht="28.5" hidden="false" customHeight="true" outlineLevel="0" collapsed="false">
      <c r="A82" s="28" t="str">
        <f aca="false">IFERROR(INDEX('Bank Schedule'!A:A, SMALL(IF('Bank Schedule'!$K$2:$K$817="Vacant", ROW('Bank Schedule'!$K$2:$K$817)), ROW(79:79))), "")</f>
        <v/>
      </c>
      <c r="B82" s="11" t="str">
        <f aca="false" t="array" ref="B82:B82">IFERROR(INDEX('Bank Schedule'!B:B, SMALL(IF('Bank Schedule'!$K$2:$K$817="Vacant", ROW('Bank Schedule'!$K$2:$K$817)), ROW(79:79))), "")</f>
        <v>JM</v>
      </c>
      <c r="C82" s="11" t="str">
        <f aca="false" t="array" ref="C82:C82">IFERROR(INDEX('Bank Schedule'!C:C, SMALL(IF('Bank Schedule'!$K$2:$K$817="Vacant", ROW('Bank Schedule'!$K$2:$K$817)), ROW(79:79))), "")</f>
        <v>MEL</v>
      </c>
      <c r="D82" s="11" t="n">
        <f aca="false" t="array" ref="D82:D82">IFERROR(INDEX('Bank Schedule'!D:D, SMALL(IF('Bank Schedule'!$K$2:$K$817="Vacant", ROW('Bank Schedule'!$K$2:$K$817)), ROW(79:79))), "")</f>
        <v>550690</v>
      </c>
      <c r="E82" s="94" t="str">
        <f aca="false" t="array" ref="E82:E82">IFERROR(INDEX('Bank Schedule'!E:E, SMALL(IF('Bank Schedule'!$K$2:$K$817="Vacant", ROW('Bank Schedule'!$K$2:$K$817)), ROW(79:79))), "")</f>
        <v>Kenilworth House - 79-80 Margaret Street</v>
      </c>
      <c r="F82" s="94" t="str">
        <f aca="false" t="array" ref="F82:F82">IFERROR(INDEX('Bank Schedule'!F:F, SMALL(IF('Bank Schedule'!$K$2:$K$817="Vacant", ROW('Bank Schedule'!$K$2:$K$817)), ROW(79:79))), "")</f>
        <v>Second Floor (East)</v>
      </c>
      <c r="G82" s="94" t="str">
        <f aca="false" t="array" ref="G82:G82">IFERROR(INDEX('Bank Schedule'!G:G, SMALL(IF('Bank Schedule'!$K$2:$K$817="Vacant", ROW('Bank Schedule'!$K$2:$K$817)), ROW(79:79))), "")</f>
        <v>Office</v>
      </c>
      <c r="H82" s="14" t="n">
        <f aca="false" t="array" ref="H82:H82">IFERROR(INDEX('Bank Schedule'!H:H, SMALL(IF('Bank Schedule'!$K$2:$K$817="Vacant", ROW('Bank Schedule'!$K$2:$K$817)), ROW(79:79))), "")</f>
        <v>1171</v>
      </c>
      <c r="I82" s="14" t="n">
        <f aca="false" t="array" ref="I82:I82">IFERROR(INDEX('Bank Schedule'!I:I, SMALL(IF('Bank Schedule'!$K$2:$K$817="Vacant", ROW('Bank Schedule'!$K$2:$K$817)), ROW(79:79))), "")</f>
        <v>1171</v>
      </c>
      <c r="J82" s="11" t="str">
        <f aca="false" t="array" ref="J82:J82">IFERROR(INDEX('Bank Schedule'!K:K, SMALL(IF('Bank Schedule'!$K$2:$K$817="Vacant", ROW('Bank Schedule'!$K$2:$K$817)), ROW(79:79))), "")</f>
        <v>Vacant</v>
      </c>
      <c r="K82" s="11" t="str">
        <f aca="false">IFERROR(INDEX('Bank Schedule'!L:L, SMALL(IF('Bank Schedule'!$K$2:$K$817="Vacant", ROW('Bank Schedule'!$K$2:$K$817)), ROW(79:79))), "")</f>
        <v/>
      </c>
      <c r="L82" s="11" t="str">
        <f aca="false">IFERROR(INDEX('Bank Schedule'!M:M, SMALL(IF('Bank Schedule'!$K$2:$K$817="Vacant", ROW('Bank Schedule'!$K$2:$K$817)), ROW(79:79))), "")</f>
        <v/>
      </c>
      <c r="M82" s="71" t="n">
        <f aca="false" t="array" ref="M82:M82">IFERROR(INDEX('Bank Schedule'!N:N, SMALL(IF('Bank Schedule'!$K$2:$K$817="Vacant", ROW('Bank Schedule'!$K$2:$K$817)), ROW(79:79))), "")</f>
        <v>44049</v>
      </c>
      <c r="N82" s="11" t="str">
        <f aca="false">IFERROR(INDEX('Bank Schedule'!O:O, SMALL(IF('Bank Schedule'!$K$2:$K$817="Vacant", ROW('Bank Schedule'!$K$2:$K$817)), ROW(79:79))), "")</f>
        <v/>
      </c>
      <c r="O82" s="11" t="str">
        <f aca="false">IFERROR(INDEX('Bank Schedule'!P:P, SMALL(IF('Bank Schedule'!$K$2:$K$817="Vacant", ROW('Bank Schedule'!$K$2:$K$817)), ROW(79:79))), "")</f>
        <v/>
      </c>
      <c r="P82" s="11" t="n">
        <f aca="false" t="array" ref="P82:P82">IFERROR(INDEX('Bank Schedule'!Q:Q, SMALL(IF('Bank Schedule'!$K$2:$K$817="Vacant", ROW('Bank Schedule'!$K$2:$K$817)), ROW(79:79))), "")</f>
        <v>0</v>
      </c>
      <c r="Q82" s="11" t="n">
        <f aca="false" t="array" ref="Q82:Q82">IFERROR(INDEX('Bank Schedule'!R:R, SMALL(IF('Bank Schedule'!$K$2:$K$817="Vacant", ROW('Bank Schedule'!$K$2:$K$817)), ROW(79:79))), "")</f>
        <v>0</v>
      </c>
      <c r="R82" s="11" t="str">
        <f aca="false">IFERROR(INDEX('Bank Schedule'!S:S, SMALL(IF('Bank Schedule'!$K$2:$K$817="Vacant", ROW('Bank Schedule'!$K$2:$K$817)), ROW(79:79))), "")</f>
        <v/>
      </c>
      <c r="S82" s="281" t="n">
        <f aca="false" t="array" ref="S82:S82">IFERROR(INDEX('Bank Schedule'!T:T, SMALL(IF('Bank Schedule'!$K$2:$K$817="Vacant", ROW('Bank Schedule'!$K$2:$K$817)), ROW(79:79))), "")</f>
        <v>72300</v>
      </c>
      <c r="T82" s="281" t="n">
        <f aca="false" t="array" ref="T82:T82">IFERROR(INDEX('Bank Schedule'!U:U, SMALL(IF('Bank Schedule'!$K$2:$K$817="Vacant", ROW('Bank Schedule'!$K$2:$K$817)), ROW(79:79))), "")</f>
        <v>72300</v>
      </c>
      <c r="U82" s="281" t="n">
        <f aca="false" t="array" ref="U82:U82">IFERROR(INDEX('Bank Schedule'!V:V, SMALL(IF('Bank Schedule'!$K$2:$K$817="Vacant", ROW('Bank Schedule'!$K$2:$K$817)), ROW(79:79))), "")</f>
        <v>76100</v>
      </c>
      <c r="V82" s="281" t="n">
        <f aca="false" t="array" ref="V82:V82">IFERROR(INDEX('Bank Schedule'!W:W, SMALL(IF('Bank Schedule'!$K$2:$K$817="Vacant", ROW('Bank Schedule'!$K$2:$K$817)), ROW(79:79))), "")</f>
        <v>76100</v>
      </c>
      <c r="W82" s="282" t="n">
        <f aca="false" t="array" ref="W82:W82">IFERROR(INDEX('Bank Schedule'!X:X, SMALL(IF('Bank Schedule'!$K$2:$K$817="Vacant", ROW('Bank Schedule'!$K$2:$K$817)), ROW(79:79))), "")</f>
        <v>61.7421007685739</v>
      </c>
      <c r="X82" s="11" t="str">
        <f aca="false" t="array" ref="X82:X82">IFERROR(INDEX('Bank Schedule'!Y:Y, SMALL(IF('Bank Schedule'!$K$2:$K$817="Vacant", ROW('Bank Schedule'!$K$2:$K$817)), ROW(79:79))), "")</f>
        <v>D</v>
      </c>
      <c r="Y82" s="11" t="str">
        <f aca="false">IFERROR(INDEX('Bank Schedule'!Z:Z, SMALL(IF('Bank Schedule'!$K$2:$K$817="Vacant", ROW('Bank Schedule'!$K$2:$K$817)), ROW(79:79))), "")</f>
        <v/>
      </c>
      <c r="Z82" s="11" t="str">
        <f aca="false">IFERROR(INDEX('Bank Schedule'!AA:AA, SMALL(IF('Bank Schedule'!$K$2:$K$817="Vacant", ROW('Bank Schedule'!$K$2:$K$817)), ROW(79:79))), "")</f>
        <v/>
      </c>
      <c r="AA82" s="11" t="str">
        <f aca="false" t="array" ref="AA82:AA82">IFERROR(INDEX('Bank Schedule'!AB:AB, SMALL(IF('Bank Schedule'!$K$2:$K$817="Vacant", ROW('Bank Schedule'!$K$2:$K$817)), ROW(79:79))), "")</f>
        <v>No</v>
      </c>
      <c r="AB82" s="94" t="str">
        <f aca="false" t="array" ref="AB82:AB82">IFERROR(INDEX('Bank Schedule'!AC:AC, SMALL(IF('Bank Schedule'!$K$2:$K$817="Vacant", ROW('Bank Schedule'!$K$2:$K$817)), ROW(79:79))), "")</f>
        <v>Mothballed.</v>
      </c>
      <c r="AC82" s="44" t="str">
        <f aca="false">IFERROR(INDEX('Bank Schedule'!AD:AD, SMALL(IF('Bank Schedule'!$K$2:$K$817="Vacant", ROW('Bank Schedule'!$K$2:$K$817)), ROW(79:79))), "")</f>
        <v/>
      </c>
      <c r="AD82" s="11" t="str">
        <f aca="false">IFERROR(INDEX('Bank Schedule'!AE:AE, SMALL(IF('Bank Schedule'!$K$2:$K$817="Vacant", ROW('Bank Schedule'!$K$2:$K$817)), ROW(79:79))), "")</f>
        <v/>
      </c>
      <c r="AE82" s="11" t="str">
        <f aca="false">IFERROR(INDEX('Bank Schedule'!AF:AF, SMALL(IF('Bank Schedule'!$K$2:$K$817="Vacant", ROW('Bank Schedule'!$K$2:$K$817)), ROW(79:79))), "")</f>
        <v/>
      </c>
      <c r="AF82" s="11" t="str">
        <f aca="false">IFERROR(INDEX('Bank Schedule'!AG:AG, SMALL(IF('Bank Schedule'!$K$2:$K$817="Vacant", ROW('Bank Schedule'!$K$2:$K$817)), ROW(79:79))), "")</f>
        <v/>
      </c>
      <c r="AG82" s="4"/>
    </row>
    <row r="83" customFormat="false" ht="28.5" hidden="false" customHeight="true" outlineLevel="0" collapsed="false">
      <c r="A83" s="28" t="str">
        <f aca="false">IFERROR(INDEX('Bank Schedule'!A:A, SMALL(IF('Bank Schedule'!$K$2:$K$817="Vacant", ROW('Bank Schedule'!$K$2:$K$817)), ROW(80:80))), "")</f>
        <v/>
      </c>
      <c r="B83" s="11" t="str">
        <f aca="false" t="array" ref="B83:B83">IFERROR(INDEX('Bank Schedule'!B:B, SMALL(IF('Bank Schedule'!$K$2:$K$817="Vacant", ROW('Bank Schedule'!$K$2:$K$817)), ROW(80:80))), "")</f>
        <v>JM</v>
      </c>
      <c r="C83" s="11" t="str">
        <f aca="false" t="array" ref="C83:C83">IFERROR(INDEX('Bank Schedule'!C:C, SMALL(IF('Bank Schedule'!$K$2:$K$817="Vacant", ROW('Bank Schedule'!$K$2:$K$817)), ROW(80:80))), "")</f>
        <v>MEL</v>
      </c>
      <c r="D83" s="11" t="n">
        <f aca="false" t="array" ref="D83:D83">IFERROR(INDEX('Bank Schedule'!D:D, SMALL(IF('Bank Schedule'!$K$2:$K$817="Vacant", ROW('Bank Schedule'!$K$2:$K$817)), ROW(80:80))), "")</f>
        <v>550690</v>
      </c>
      <c r="E83" s="94" t="str">
        <f aca="false" t="array" ref="E83:E83">IFERROR(INDEX('Bank Schedule'!E:E, SMALL(IF('Bank Schedule'!$K$2:$K$817="Vacant", ROW('Bank Schedule'!$K$2:$K$817)), ROW(80:80))), "")</f>
        <v>Kenilworth House - 79-80 Margaret Street</v>
      </c>
      <c r="F83" s="94" t="str">
        <f aca="false" t="array" ref="F83:F83">IFERROR(INDEX('Bank Schedule'!F:F, SMALL(IF('Bank Schedule'!$K$2:$K$817="Vacant", ROW('Bank Schedule'!$K$2:$K$817)), ROW(80:80))), "")</f>
        <v>Second Floor (West)</v>
      </c>
      <c r="G83" s="94" t="str">
        <f aca="false" t="array" ref="G83:G83">IFERROR(INDEX('Bank Schedule'!G:G, SMALL(IF('Bank Schedule'!$K$2:$K$817="Vacant", ROW('Bank Schedule'!$K$2:$K$817)), ROW(80:80))), "")</f>
        <v>Office</v>
      </c>
      <c r="H83" s="14" t="n">
        <f aca="false" t="array" ref="H83:H83">IFERROR(INDEX('Bank Schedule'!H:H, SMALL(IF('Bank Schedule'!$K$2:$K$817="Vacant", ROW('Bank Schedule'!$K$2:$K$817)), ROW(80:80))), "")</f>
        <v>793</v>
      </c>
      <c r="I83" s="14" t="n">
        <f aca="false" t="array" ref="I83:I83">IFERROR(INDEX('Bank Schedule'!I:I, SMALL(IF('Bank Schedule'!$K$2:$K$817="Vacant", ROW('Bank Schedule'!$K$2:$K$817)), ROW(80:80))), "")</f>
        <v>793</v>
      </c>
      <c r="J83" s="11" t="str">
        <f aca="false" t="array" ref="J83:J83">IFERROR(INDEX('Bank Schedule'!K:K, SMALL(IF('Bank Schedule'!$K$2:$K$817="Vacant", ROW('Bank Schedule'!$K$2:$K$817)), ROW(80:80))), "")</f>
        <v>Vacant</v>
      </c>
      <c r="K83" s="11" t="str">
        <f aca="false">IFERROR(INDEX('Bank Schedule'!L:L, SMALL(IF('Bank Schedule'!$K$2:$K$817="Vacant", ROW('Bank Schedule'!$K$2:$K$817)), ROW(80:80))), "")</f>
        <v/>
      </c>
      <c r="L83" s="11" t="str">
        <f aca="false">IFERROR(INDEX('Bank Schedule'!M:M, SMALL(IF('Bank Schedule'!$K$2:$K$817="Vacant", ROW('Bank Schedule'!$K$2:$K$817)), ROW(80:80))), "")</f>
        <v/>
      </c>
      <c r="M83" s="71" t="n">
        <f aca="false" t="array" ref="M83:M83">IFERROR(INDEX('Bank Schedule'!N:N, SMALL(IF('Bank Schedule'!$K$2:$K$817="Vacant", ROW('Bank Schedule'!$K$2:$K$817)), ROW(80:80))), "")</f>
        <v>44805</v>
      </c>
      <c r="N83" s="11" t="str">
        <f aca="false">IFERROR(INDEX('Bank Schedule'!O:O, SMALL(IF('Bank Schedule'!$K$2:$K$817="Vacant", ROW('Bank Schedule'!$K$2:$K$817)), ROW(80:80))), "")</f>
        <v/>
      </c>
      <c r="O83" s="11" t="str">
        <f aca="false">IFERROR(INDEX('Bank Schedule'!P:P, SMALL(IF('Bank Schedule'!$K$2:$K$817="Vacant", ROW('Bank Schedule'!$K$2:$K$817)), ROW(80:80))), "")</f>
        <v/>
      </c>
      <c r="P83" s="11" t="n">
        <f aca="false" t="array" ref="P83:P83">IFERROR(INDEX('Bank Schedule'!Q:Q, SMALL(IF('Bank Schedule'!$K$2:$K$817="Vacant", ROW('Bank Schedule'!$K$2:$K$817)), ROW(80:80))), "")</f>
        <v>0</v>
      </c>
      <c r="Q83" s="11" t="n">
        <f aca="false" t="array" ref="Q83:Q83">IFERROR(INDEX('Bank Schedule'!R:R, SMALL(IF('Bank Schedule'!$K$2:$K$817="Vacant", ROW('Bank Schedule'!$K$2:$K$817)), ROW(80:80))), "")</f>
        <v>0</v>
      </c>
      <c r="R83" s="11" t="str">
        <f aca="false">IFERROR(INDEX('Bank Schedule'!S:S, SMALL(IF('Bank Schedule'!$K$2:$K$817="Vacant", ROW('Bank Schedule'!$K$2:$K$817)), ROW(80:80))), "")</f>
        <v/>
      </c>
      <c r="S83" s="281" t="n">
        <f aca="false" t="array" ref="S83:S83">IFERROR(INDEX('Bank Schedule'!T:T, SMALL(IF('Bank Schedule'!$K$2:$K$817="Vacant", ROW('Bank Schedule'!$K$2:$K$817)), ROW(80:80))), "")</f>
        <v>46300</v>
      </c>
      <c r="T83" s="281" t="n">
        <f aca="false" t="array" ref="T83:T83">IFERROR(INDEX('Bank Schedule'!U:U, SMALL(IF('Bank Schedule'!$K$2:$K$817="Vacant", ROW('Bank Schedule'!$K$2:$K$817)), ROW(80:80))), "")</f>
        <v>46300</v>
      </c>
      <c r="U83" s="281" t="n">
        <f aca="false" t="array" ref="U83:U83">IFERROR(INDEX('Bank Schedule'!V:V, SMALL(IF('Bank Schedule'!$K$2:$K$817="Vacant", ROW('Bank Schedule'!$K$2:$K$817)), ROW(80:80))), "")</f>
        <v>51500</v>
      </c>
      <c r="V83" s="281" t="n">
        <f aca="false" t="array" ref="V83:V83">IFERROR(INDEX('Bank Schedule'!W:W, SMALL(IF('Bank Schedule'!$K$2:$K$817="Vacant", ROW('Bank Schedule'!$K$2:$K$817)), ROW(80:80))), "")</f>
        <v>51500</v>
      </c>
      <c r="W83" s="282" t="n">
        <f aca="false" t="array" ref="W83:W83">IFERROR(INDEX('Bank Schedule'!X:X, SMALL(IF('Bank Schedule'!$K$2:$K$817="Vacant", ROW('Bank Schedule'!$K$2:$K$817)), ROW(80:80))), "")</f>
        <v>58.3858764186633</v>
      </c>
      <c r="X83" s="11" t="str">
        <f aca="false" t="array" ref="X83:X83">IFERROR(INDEX('Bank Schedule'!Y:Y, SMALL(IF('Bank Schedule'!$K$2:$K$817="Vacant", ROW('Bank Schedule'!$K$2:$K$817)), ROW(80:80))), "")</f>
        <v>D</v>
      </c>
      <c r="Y83" s="11" t="str">
        <f aca="false">IFERROR(INDEX('Bank Schedule'!Z:Z, SMALL(IF('Bank Schedule'!$K$2:$K$817="Vacant", ROW('Bank Schedule'!$K$2:$K$817)), ROW(80:80))), "")</f>
        <v/>
      </c>
      <c r="Z83" s="11" t="str">
        <f aca="false">IFERROR(INDEX('Bank Schedule'!AA:AA, SMALL(IF('Bank Schedule'!$K$2:$K$817="Vacant", ROW('Bank Schedule'!$K$2:$K$817)), ROW(80:80))), "")</f>
        <v/>
      </c>
      <c r="AA83" s="11" t="str">
        <f aca="false" t="array" ref="AA83:AA83">IFERROR(INDEX('Bank Schedule'!AB:AB, SMALL(IF('Bank Schedule'!$K$2:$K$817="Vacant", ROW('Bank Schedule'!$K$2:$K$817)), ROW(80:80))), "")</f>
        <v>No</v>
      </c>
      <c r="AB83" s="94" t="str">
        <f aca="false" t="array" ref="AB83:AB83">IFERROR(INDEX('Bank Schedule'!AC:AC, SMALL(IF('Bank Schedule'!$K$2:$K$817="Vacant", ROW('Bank Schedule'!$K$2:$K$817)), ROW(80:80))), "")</f>
        <v>Mothballed.</v>
      </c>
      <c r="AC83" s="44" t="str">
        <f aca="false">IFERROR(INDEX('Bank Schedule'!AD:AD, SMALL(IF('Bank Schedule'!$K$2:$K$817="Vacant", ROW('Bank Schedule'!$K$2:$K$817)), ROW(80:80))), "")</f>
        <v/>
      </c>
      <c r="AD83" s="11" t="str">
        <f aca="false">IFERROR(INDEX('Bank Schedule'!AE:AE, SMALL(IF('Bank Schedule'!$K$2:$K$817="Vacant", ROW('Bank Schedule'!$K$2:$K$817)), ROW(80:80))), "")</f>
        <v/>
      </c>
      <c r="AE83" s="11" t="str">
        <f aca="false">IFERROR(INDEX('Bank Schedule'!AF:AF, SMALL(IF('Bank Schedule'!$K$2:$K$817="Vacant", ROW('Bank Schedule'!$K$2:$K$817)), ROW(80:80))), "")</f>
        <v/>
      </c>
      <c r="AF83" s="11" t="str">
        <f aca="false">IFERROR(INDEX('Bank Schedule'!AG:AG, SMALL(IF('Bank Schedule'!$K$2:$K$817="Vacant", ROW('Bank Schedule'!$K$2:$K$817)), ROW(80:80))), "")</f>
        <v/>
      </c>
      <c r="AG83" s="4"/>
    </row>
    <row r="84" customFormat="false" ht="28.5" hidden="false" customHeight="true" outlineLevel="0" collapsed="false">
      <c r="A84" s="28" t="str">
        <f aca="false">IFERROR(INDEX('Bank Schedule'!A:A, SMALL(IF('Bank Schedule'!$K$2:$K$817="Vacant", ROW('Bank Schedule'!$K$2:$K$817)), ROW(81:81))), "")</f>
        <v/>
      </c>
      <c r="B84" s="11" t="str">
        <f aca="false" t="array" ref="B84:B84">IFERROR(INDEX('Bank Schedule'!B:B, SMALL(IF('Bank Schedule'!$K$2:$K$817="Vacant", ROW('Bank Schedule'!$K$2:$K$817)), ROW(81:81))), "")</f>
        <v>JM</v>
      </c>
      <c r="C84" s="11" t="str">
        <f aca="false" t="array" ref="C84:C84">IFERROR(INDEX('Bank Schedule'!C:C, SMALL(IF('Bank Schedule'!$K$2:$K$817="Vacant", ROW('Bank Schedule'!$K$2:$K$817)), ROW(81:81))), "")</f>
        <v>MEL</v>
      </c>
      <c r="D84" s="11" t="n">
        <f aca="false" t="array" ref="D84:D84">IFERROR(INDEX('Bank Schedule'!D:D, SMALL(IF('Bank Schedule'!$K$2:$K$817="Vacant", ROW('Bank Schedule'!$K$2:$K$817)), ROW(81:81))), "")</f>
        <v>550690</v>
      </c>
      <c r="E84" s="94" t="str">
        <f aca="false" t="array" ref="E84:E84">IFERROR(INDEX('Bank Schedule'!E:E, SMALL(IF('Bank Schedule'!$K$2:$K$817="Vacant", ROW('Bank Schedule'!$K$2:$K$817)), ROW(81:81))), "")</f>
        <v>Kenilworth House - 79-80 Margaret Street</v>
      </c>
      <c r="F84" s="94" t="str">
        <f aca="false" t="array" ref="F84:F84">IFERROR(INDEX('Bank Schedule'!F:F, SMALL(IF('Bank Schedule'!$K$2:$K$817="Vacant", ROW('Bank Schedule'!$K$2:$K$817)), ROW(81:81))), "")</f>
        <v>Third Floor (East)</v>
      </c>
      <c r="G84" s="94" t="str">
        <f aca="false" t="array" ref="G84:G84">IFERROR(INDEX('Bank Schedule'!G:G, SMALL(IF('Bank Schedule'!$K$2:$K$817="Vacant", ROW('Bank Schedule'!$K$2:$K$817)), ROW(81:81))), "")</f>
        <v>Office</v>
      </c>
      <c r="H84" s="14" t="n">
        <f aca="false" t="array" ref="H84:H84">IFERROR(INDEX('Bank Schedule'!H:H, SMALL(IF('Bank Schedule'!$K$2:$K$817="Vacant", ROW('Bank Schedule'!$K$2:$K$817)), ROW(81:81))), "")</f>
        <v>1030</v>
      </c>
      <c r="I84" s="14" t="n">
        <f aca="false" t="array" ref="I84:I84">IFERROR(INDEX('Bank Schedule'!I:I, SMALL(IF('Bank Schedule'!$K$2:$K$817="Vacant", ROW('Bank Schedule'!$K$2:$K$817)), ROW(81:81))), "")</f>
        <v>1030</v>
      </c>
      <c r="J84" s="11" t="str">
        <f aca="false" t="array" ref="J84:J84">IFERROR(INDEX('Bank Schedule'!K:K, SMALL(IF('Bank Schedule'!$K$2:$K$817="Vacant", ROW('Bank Schedule'!$K$2:$K$817)), ROW(81:81))), "")</f>
        <v>Vacant</v>
      </c>
      <c r="K84" s="11" t="str">
        <f aca="false">IFERROR(INDEX('Bank Schedule'!L:L, SMALL(IF('Bank Schedule'!$K$2:$K$817="Vacant", ROW('Bank Schedule'!$K$2:$K$817)), ROW(81:81))), "")</f>
        <v/>
      </c>
      <c r="L84" s="11" t="str">
        <f aca="false">IFERROR(INDEX('Bank Schedule'!M:M, SMALL(IF('Bank Schedule'!$K$2:$K$817="Vacant", ROW('Bank Schedule'!$K$2:$K$817)), ROW(81:81))), "")</f>
        <v/>
      </c>
      <c r="M84" s="71" t="n">
        <f aca="false" t="array" ref="M84:M84">IFERROR(INDEX('Bank Schedule'!N:N, SMALL(IF('Bank Schedule'!$K$2:$K$817="Vacant", ROW('Bank Schedule'!$K$2:$K$817)), ROW(81:81))), "")</f>
        <v>43914</v>
      </c>
      <c r="N84" s="11" t="str">
        <f aca="false">IFERROR(INDEX('Bank Schedule'!O:O, SMALL(IF('Bank Schedule'!$K$2:$K$817="Vacant", ROW('Bank Schedule'!$K$2:$K$817)), ROW(81:81))), "")</f>
        <v/>
      </c>
      <c r="O84" s="11" t="str">
        <f aca="false">IFERROR(INDEX('Bank Schedule'!P:P, SMALL(IF('Bank Schedule'!$K$2:$K$817="Vacant", ROW('Bank Schedule'!$K$2:$K$817)), ROW(81:81))), "")</f>
        <v/>
      </c>
      <c r="P84" s="11" t="n">
        <f aca="false" t="array" ref="P84:P84">IFERROR(INDEX('Bank Schedule'!Q:Q, SMALL(IF('Bank Schedule'!$K$2:$K$817="Vacant", ROW('Bank Schedule'!$K$2:$K$817)), ROW(81:81))), "")</f>
        <v>0</v>
      </c>
      <c r="Q84" s="11" t="n">
        <f aca="false" t="array" ref="Q84:Q84">IFERROR(INDEX('Bank Schedule'!R:R, SMALL(IF('Bank Schedule'!$K$2:$K$817="Vacant", ROW('Bank Schedule'!$K$2:$K$817)), ROW(81:81))), "")</f>
        <v>0</v>
      </c>
      <c r="R84" s="11" t="str">
        <f aca="false">IFERROR(INDEX('Bank Schedule'!S:S, SMALL(IF('Bank Schedule'!$K$2:$K$817="Vacant", ROW('Bank Schedule'!$K$2:$K$817)), ROW(81:81))), "")</f>
        <v/>
      </c>
      <c r="S84" s="281" t="n">
        <f aca="false" t="array" ref="S84:S84">IFERROR(INDEX('Bank Schedule'!T:T, SMALL(IF('Bank Schedule'!$K$2:$K$817="Vacant", ROW('Bank Schedule'!$K$2:$K$817)), ROW(81:81))), "")</f>
        <v>63800</v>
      </c>
      <c r="T84" s="281" t="n">
        <f aca="false" t="array" ref="T84:T84">IFERROR(INDEX('Bank Schedule'!U:U, SMALL(IF('Bank Schedule'!$K$2:$K$817="Vacant", ROW('Bank Schedule'!$K$2:$K$817)), ROW(81:81))), "")</f>
        <v>63800</v>
      </c>
      <c r="U84" s="281" t="n">
        <f aca="false" t="array" ref="U84:U84">IFERROR(INDEX('Bank Schedule'!V:V, SMALL(IF('Bank Schedule'!$K$2:$K$817="Vacant", ROW('Bank Schedule'!$K$2:$K$817)), ROW(81:81))), "")</f>
        <v>67000</v>
      </c>
      <c r="V84" s="281" t="n">
        <f aca="false" t="array" ref="V84:V84">IFERROR(INDEX('Bank Schedule'!W:W, SMALL(IF('Bank Schedule'!$K$2:$K$817="Vacant", ROW('Bank Schedule'!$K$2:$K$817)), ROW(81:81))), "")</f>
        <v>67000</v>
      </c>
      <c r="W84" s="282" t="n">
        <f aca="false" t="array" ref="W84:W84">IFERROR(INDEX('Bank Schedule'!X:X, SMALL(IF('Bank Schedule'!$K$2:$K$817="Vacant", ROW('Bank Schedule'!$K$2:$K$817)), ROW(81:81))), "")</f>
        <v>61.9417475728155</v>
      </c>
      <c r="X84" s="11" t="str">
        <f aca="false" t="array" ref="X84:X84">IFERROR(INDEX('Bank Schedule'!Y:Y, SMALL(IF('Bank Schedule'!$K$2:$K$817="Vacant", ROW('Bank Schedule'!$K$2:$K$817)), ROW(81:81))), "")</f>
        <v>D</v>
      </c>
      <c r="Y84" s="11" t="str">
        <f aca="false">IFERROR(INDEX('Bank Schedule'!Z:Z, SMALL(IF('Bank Schedule'!$K$2:$K$817="Vacant", ROW('Bank Schedule'!$K$2:$K$817)), ROW(81:81))), "")</f>
        <v/>
      </c>
      <c r="Z84" s="11" t="str">
        <f aca="false">IFERROR(INDEX('Bank Schedule'!AA:AA, SMALL(IF('Bank Schedule'!$K$2:$K$817="Vacant", ROW('Bank Schedule'!$K$2:$K$817)), ROW(81:81))), "")</f>
        <v/>
      </c>
      <c r="AA84" s="11" t="str">
        <f aca="false" t="array" ref="AA84:AA84">IFERROR(INDEX('Bank Schedule'!AB:AB, SMALL(IF('Bank Schedule'!$K$2:$K$817="Vacant", ROW('Bank Schedule'!$K$2:$K$817)), ROW(81:81))), "")</f>
        <v>No</v>
      </c>
      <c r="AB84" s="94" t="str">
        <f aca="false" t="array" ref="AB84:AB84">IFERROR(INDEX('Bank Schedule'!AC:AC, SMALL(IF('Bank Schedule'!$K$2:$K$817="Vacant", ROW('Bank Schedule'!$K$2:$K$817)), ROW(81:81))), "")</f>
        <v>Mothballed.</v>
      </c>
      <c r="AC84" s="44" t="str">
        <f aca="false">IFERROR(INDEX('Bank Schedule'!AD:AD, SMALL(IF('Bank Schedule'!$K$2:$K$817="Vacant", ROW('Bank Schedule'!$K$2:$K$817)), ROW(81:81))), "")</f>
        <v/>
      </c>
      <c r="AD84" s="11" t="str">
        <f aca="false">IFERROR(INDEX('Bank Schedule'!AE:AE, SMALL(IF('Bank Schedule'!$K$2:$K$817="Vacant", ROW('Bank Schedule'!$K$2:$K$817)), ROW(81:81))), "")</f>
        <v/>
      </c>
      <c r="AE84" s="11" t="str">
        <f aca="false">IFERROR(INDEX('Bank Schedule'!AF:AF, SMALL(IF('Bank Schedule'!$K$2:$K$817="Vacant", ROW('Bank Schedule'!$K$2:$K$817)), ROW(81:81))), "")</f>
        <v/>
      </c>
      <c r="AF84" s="11" t="str">
        <f aca="false">IFERROR(INDEX('Bank Schedule'!AG:AG, SMALL(IF('Bank Schedule'!$K$2:$K$817="Vacant", ROW('Bank Schedule'!$K$2:$K$817)), ROW(81:81))), "")</f>
        <v/>
      </c>
      <c r="AG84" s="4"/>
    </row>
    <row r="85" customFormat="false" ht="28.5" hidden="false" customHeight="true" outlineLevel="0" collapsed="false">
      <c r="A85" s="28" t="str">
        <f aca="false">IFERROR(INDEX('Bank Schedule'!A:A, SMALL(IF('Bank Schedule'!$K$2:$K$817="Vacant", ROW('Bank Schedule'!$K$2:$K$817)), ROW(82:82))), "")</f>
        <v/>
      </c>
      <c r="B85" s="11" t="str">
        <f aca="false" t="array" ref="B85:B85">IFERROR(INDEX('Bank Schedule'!B:B, SMALL(IF('Bank Schedule'!$K$2:$K$817="Vacant", ROW('Bank Schedule'!$K$2:$K$817)), ROW(82:82))), "")</f>
        <v>JM</v>
      </c>
      <c r="C85" s="11" t="str">
        <f aca="false" t="array" ref="C85:C85">IFERROR(INDEX('Bank Schedule'!C:C, SMALL(IF('Bank Schedule'!$K$2:$K$817="Vacant", ROW('Bank Schedule'!$K$2:$K$817)), ROW(82:82))), "")</f>
        <v>MEL</v>
      </c>
      <c r="D85" s="11" t="n">
        <f aca="false" t="array" ref="D85:D85">IFERROR(INDEX('Bank Schedule'!D:D, SMALL(IF('Bank Schedule'!$K$2:$K$817="Vacant", ROW('Bank Schedule'!$K$2:$K$817)), ROW(82:82))), "")</f>
        <v>550690</v>
      </c>
      <c r="E85" s="94" t="str">
        <f aca="false" t="array" ref="E85:E85">IFERROR(INDEX('Bank Schedule'!E:E, SMALL(IF('Bank Schedule'!$K$2:$K$817="Vacant", ROW('Bank Schedule'!$K$2:$K$817)), ROW(82:82))), "")</f>
        <v>Kenilworth House - 79-80 Margaret Street</v>
      </c>
      <c r="F85" s="94" t="str">
        <f aca="false" t="array" ref="F85:F85">IFERROR(INDEX('Bank Schedule'!F:F, SMALL(IF('Bank Schedule'!$K$2:$K$817="Vacant", ROW('Bank Schedule'!$K$2:$K$817)), ROW(82:82))), "")</f>
        <v>Third Floor (West)</v>
      </c>
      <c r="G85" s="94" t="str">
        <f aca="false" t="array" ref="G85:G85">IFERROR(INDEX('Bank Schedule'!G:G, SMALL(IF('Bank Schedule'!$K$2:$K$817="Vacant", ROW('Bank Schedule'!$K$2:$K$817)), ROW(82:82))), "")</f>
        <v>Office</v>
      </c>
      <c r="H85" s="14" t="n">
        <f aca="false" t="array" ref="H85:H85">IFERROR(INDEX('Bank Schedule'!H:H, SMALL(IF('Bank Schedule'!$K$2:$K$817="Vacant", ROW('Bank Schedule'!$K$2:$K$817)), ROW(82:82))), "")</f>
        <v>731</v>
      </c>
      <c r="I85" s="14" t="n">
        <f aca="false" t="array" ref="I85:I85">IFERROR(INDEX('Bank Schedule'!I:I, SMALL(IF('Bank Schedule'!$K$2:$K$817="Vacant", ROW('Bank Schedule'!$K$2:$K$817)), ROW(82:82))), "")</f>
        <v>731</v>
      </c>
      <c r="J85" s="11" t="str">
        <f aca="false" t="array" ref="J85:J85">IFERROR(INDEX('Bank Schedule'!K:K, SMALL(IF('Bank Schedule'!$K$2:$K$817="Vacant", ROW('Bank Schedule'!$K$2:$K$817)), ROW(82:82))), "")</f>
        <v>Vacant</v>
      </c>
      <c r="K85" s="11" t="str">
        <f aca="false">IFERROR(INDEX('Bank Schedule'!L:L, SMALL(IF('Bank Schedule'!$K$2:$K$817="Vacant", ROW('Bank Schedule'!$K$2:$K$817)), ROW(82:82))), "")</f>
        <v/>
      </c>
      <c r="L85" s="11" t="str">
        <f aca="false">IFERROR(INDEX('Bank Schedule'!M:M, SMALL(IF('Bank Schedule'!$K$2:$K$817="Vacant", ROW('Bank Schedule'!$K$2:$K$817)), ROW(82:82))), "")</f>
        <v/>
      </c>
      <c r="M85" s="71" t="n">
        <f aca="false" t="array" ref="M85:M85">IFERROR(INDEX('Bank Schedule'!N:N, SMALL(IF('Bank Schedule'!$K$2:$K$817="Vacant", ROW('Bank Schedule'!$K$2:$K$817)), ROW(82:82))), "")</f>
        <v>44321</v>
      </c>
      <c r="N85" s="11" t="str">
        <f aca="false">IFERROR(INDEX('Bank Schedule'!O:O, SMALL(IF('Bank Schedule'!$K$2:$K$817="Vacant", ROW('Bank Schedule'!$K$2:$K$817)), ROW(82:82))), "")</f>
        <v/>
      </c>
      <c r="O85" s="11" t="str">
        <f aca="false">IFERROR(INDEX('Bank Schedule'!P:P, SMALL(IF('Bank Schedule'!$K$2:$K$817="Vacant", ROW('Bank Schedule'!$K$2:$K$817)), ROW(82:82))), "")</f>
        <v/>
      </c>
      <c r="P85" s="11" t="n">
        <f aca="false" t="array" ref="P85:P85">IFERROR(INDEX('Bank Schedule'!Q:Q, SMALL(IF('Bank Schedule'!$K$2:$K$817="Vacant", ROW('Bank Schedule'!$K$2:$K$817)), ROW(82:82))), "")</f>
        <v>0</v>
      </c>
      <c r="Q85" s="11" t="n">
        <f aca="false" t="array" ref="Q85:Q85">IFERROR(INDEX('Bank Schedule'!R:R, SMALL(IF('Bank Schedule'!$K$2:$K$817="Vacant", ROW('Bank Schedule'!$K$2:$K$817)), ROW(82:82))), "")</f>
        <v>0</v>
      </c>
      <c r="R85" s="11" t="str">
        <f aca="false">IFERROR(INDEX('Bank Schedule'!S:S, SMALL(IF('Bank Schedule'!$K$2:$K$817="Vacant", ROW('Bank Schedule'!$K$2:$K$817)), ROW(82:82))), "")</f>
        <v/>
      </c>
      <c r="S85" s="281" t="n">
        <f aca="false" t="array" ref="S85:S85">IFERROR(INDEX('Bank Schedule'!T:T, SMALL(IF('Bank Schedule'!$K$2:$K$817="Vacant", ROW('Bank Schedule'!$K$2:$K$817)), ROW(82:82))), "")</f>
        <v>46100</v>
      </c>
      <c r="T85" s="281" t="n">
        <f aca="false" t="array" ref="T85:T85">IFERROR(INDEX('Bank Schedule'!U:U, SMALL(IF('Bank Schedule'!$K$2:$K$817="Vacant", ROW('Bank Schedule'!$K$2:$K$817)), ROW(82:82))), "")</f>
        <v>46100</v>
      </c>
      <c r="U85" s="281" t="n">
        <f aca="false" t="array" ref="U85:U85">IFERROR(INDEX('Bank Schedule'!V:V, SMALL(IF('Bank Schedule'!$K$2:$K$817="Vacant", ROW('Bank Schedule'!$K$2:$K$817)), ROW(82:82))), "")</f>
        <v>47500</v>
      </c>
      <c r="V85" s="281" t="n">
        <f aca="false" t="array" ref="V85:V85">IFERROR(INDEX('Bank Schedule'!W:W, SMALL(IF('Bank Schedule'!$K$2:$K$817="Vacant", ROW('Bank Schedule'!$K$2:$K$817)), ROW(82:82))), "")</f>
        <v>47500</v>
      </c>
      <c r="W85" s="282" t="n">
        <f aca="false" t="array" ref="W85:W85">IFERROR(INDEX('Bank Schedule'!X:X, SMALL(IF('Bank Schedule'!$K$2:$K$817="Vacant", ROW('Bank Schedule'!$K$2:$K$817)), ROW(82:82))), "")</f>
        <v>63.0642954856361</v>
      </c>
      <c r="X85" s="11" t="str">
        <f aca="false" t="array" ref="X85:X85">IFERROR(INDEX('Bank Schedule'!Y:Y, SMALL(IF('Bank Schedule'!$K$2:$K$817="Vacant", ROW('Bank Schedule'!$K$2:$K$817)), ROW(82:82))), "")</f>
        <v>D</v>
      </c>
      <c r="Y85" s="11" t="str">
        <f aca="false">IFERROR(INDEX('Bank Schedule'!Z:Z, SMALL(IF('Bank Schedule'!$K$2:$K$817="Vacant", ROW('Bank Schedule'!$K$2:$K$817)), ROW(82:82))), "")</f>
        <v/>
      </c>
      <c r="Z85" s="11" t="str">
        <f aca="false">IFERROR(INDEX('Bank Schedule'!AA:AA, SMALL(IF('Bank Schedule'!$K$2:$K$817="Vacant", ROW('Bank Schedule'!$K$2:$K$817)), ROW(82:82))), "")</f>
        <v/>
      </c>
      <c r="AA85" s="11" t="str">
        <f aca="false" t="array" ref="AA85:AA85">IFERROR(INDEX('Bank Schedule'!AB:AB, SMALL(IF('Bank Schedule'!$K$2:$K$817="Vacant", ROW('Bank Schedule'!$K$2:$K$817)), ROW(82:82))), "")</f>
        <v>No</v>
      </c>
      <c r="AB85" s="94" t="str">
        <f aca="false" t="array" ref="AB85:AB85">IFERROR(INDEX('Bank Schedule'!AC:AC, SMALL(IF('Bank Schedule'!$K$2:$K$817="Vacant", ROW('Bank Schedule'!$K$2:$K$817)), ROW(82:82))), "")</f>
        <v>Mothballed.</v>
      </c>
      <c r="AC85" s="44" t="str">
        <f aca="false">IFERROR(INDEX('Bank Schedule'!AD:AD, SMALL(IF('Bank Schedule'!$K$2:$K$817="Vacant", ROW('Bank Schedule'!$K$2:$K$817)), ROW(82:82))), "")</f>
        <v/>
      </c>
      <c r="AD85" s="11" t="str">
        <f aca="false">IFERROR(INDEX('Bank Schedule'!AE:AE, SMALL(IF('Bank Schedule'!$K$2:$K$817="Vacant", ROW('Bank Schedule'!$K$2:$K$817)), ROW(82:82))), "")</f>
        <v/>
      </c>
      <c r="AE85" s="11" t="str">
        <f aca="false">IFERROR(INDEX('Bank Schedule'!AF:AF, SMALL(IF('Bank Schedule'!$K$2:$K$817="Vacant", ROW('Bank Schedule'!$K$2:$K$817)), ROW(82:82))), "")</f>
        <v/>
      </c>
      <c r="AF85" s="11" t="str">
        <f aca="false">IFERROR(INDEX('Bank Schedule'!AG:AG, SMALL(IF('Bank Schedule'!$K$2:$K$817="Vacant", ROW('Bank Schedule'!$K$2:$K$817)), ROW(82:82))), "")</f>
        <v/>
      </c>
      <c r="AG85" s="4"/>
    </row>
    <row r="86" customFormat="false" ht="28.5" hidden="false" customHeight="true" outlineLevel="0" collapsed="false">
      <c r="A86" s="28" t="n">
        <f aca="false">IFERROR(INDEX('Bank Schedule'!A:A, SMALL(IF('Bank Schedule'!$K$2:$K$817="Vacant", ROW('Bank Schedule'!$K$2:$K$817)), ROW(83:83))), "")</f>
        <v>0</v>
      </c>
      <c r="B86" s="11" t="str">
        <f aca="false" t="array" ref="B86:B86">IFERROR(INDEX('Bank Schedule'!B:B, SMALL(IF('Bank Schedule'!$K$2:$K$817="Vacant", ROW('Bank Schedule'!$K$2:$K$817)), ROW(83:83))), "")</f>
        <v>JM</v>
      </c>
      <c r="C86" s="11" t="str">
        <f aca="false" t="array" ref="C86:C86">IFERROR(INDEX('Bank Schedule'!C:C, SMALL(IF('Bank Schedule'!$K$2:$K$817="Vacant", ROW('Bank Schedule'!$K$2:$K$817)), ROW(83:83))), "")</f>
        <v>MEL</v>
      </c>
      <c r="D86" s="11" t="n">
        <f aca="false" t="array" ref="D86:D86">IFERROR(INDEX('Bank Schedule'!D:D, SMALL(IF('Bank Schedule'!$K$2:$K$817="Vacant", ROW('Bank Schedule'!$K$2:$K$817)), ROW(83:83))), "")</f>
        <v>550690</v>
      </c>
      <c r="E86" s="94" t="str">
        <f aca="false" t="array" ref="E86:E86">IFERROR(INDEX('Bank Schedule'!E:E, SMALL(IF('Bank Schedule'!$K$2:$K$817="Vacant", ROW('Bank Schedule'!$K$2:$K$817)), ROW(83:83))), "")</f>
        <v>Kenilworth House - 79-80 Margaret Street</v>
      </c>
      <c r="F86" s="94" t="str">
        <f aca="false" t="array" ref="F86:F86">IFERROR(INDEX('Bank Schedule'!F:F, SMALL(IF('Bank Schedule'!$K$2:$K$817="Vacant", ROW('Bank Schedule'!$K$2:$K$817)), ROW(83:83))), "")</f>
        <v>Fourth Floor (East)</v>
      </c>
      <c r="G86" s="94" t="str">
        <f aca="false" t="array" ref="G86:G86">IFERROR(INDEX('Bank Schedule'!G:G, SMALL(IF('Bank Schedule'!$K$2:$K$817="Vacant", ROW('Bank Schedule'!$K$2:$K$817)), ROW(83:83))), "")</f>
        <v>Office</v>
      </c>
      <c r="H86" s="14" t="n">
        <f aca="false" t="array" ref="H86:H86">IFERROR(INDEX('Bank Schedule'!H:H, SMALL(IF('Bank Schedule'!$K$2:$K$817="Vacant", ROW('Bank Schedule'!$K$2:$K$817)), ROW(83:83))), "")</f>
        <v>949</v>
      </c>
      <c r="I86" s="14" t="n">
        <f aca="false" t="array" ref="I86:I86">IFERROR(INDEX('Bank Schedule'!I:I, SMALL(IF('Bank Schedule'!$K$2:$K$817="Vacant", ROW('Bank Schedule'!$K$2:$K$817)), ROW(83:83))), "")</f>
        <v>949</v>
      </c>
      <c r="J86" s="11" t="str">
        <f aca="false" t="array" ref="J86:J86">IFERROR(INDEX('Bank Schedule'!K:K, SMALL(IF('Bank Schedule'!$K$2:$K$817="Vacant", ROW('Bank Schedule'!$K$2:$K$817)), ROW(83:83))), "")</f>
        <v>Vacant</v>
      </c>
      <c r="K86" s="8" t="n">
        <f aca="false">IFERROR(INDEX('Bank Schedule'!L:L, SMALL(IF('Bank Schedule'!$K$2:$K$817="Vacant", ROW('Bank Schedule'!$K$2:$K$817)), ROW(83:83))), "")</f>
        <v>45699</v>
      </c>
      <c r="L86" s="8" t="n">
        <f aca="false">IFERROR(INDEX('Bank Schedule'!M:M, SMALL(IF('Bank Schedule'!$K$2:$K$817="Vacant", ROW('Bank Schedule'!$K$2:$K$817)), ROW(83:83))), "")</f>
        <v>47524</v>
      </c>
      <c r="M86" s="71" t="n">
        <f aca="false" t="array" ref="M86:M86">IFERROR(INDEX('Bank Schedule'!N:N, SMALL(IF('Bank Schedule'!$K$2:$K$817="Vacant", ROW('Bank Schedule'!$K$2:$K$817)), ROW(83:83))), "")</f>
        <v>42550</v>
      </c>
      <c r="N86" s="8" t="n">
        <f aca="false">IFERROR(INDEX('Bank Schedule'!O:O, SMALL(IF('Bank Schedule'!$K$2:$K$817="Vacant", ROW('Bank Schedule'!$K$2:$K$817)), ROW(83:83))), "")</f>
        <v>0</v>
      </c>
      <c r="O86" s="8" t="n">
        <f aca="false">IFERROR(INDEX('Bank Schedule'!P:P, SMALL(IF('Bank Schedule'!$K$2:$K$817="Vacant", ROW('Bank Schedule'!$K$2:$K$817)), ROW(83:83))), "")</f>
        <v>46793</v>
      </c>
      <c r="P86" s="11" t="n">
        <f aca="false" t="array" ref="P86:P86">IFERROR(INDEX('Bank Schedule'!Q:Q, SMALL(IF('Bank Schedule'!$K$2:$K$817="Vacant", ROW('Bank Schedule'!$K$2:$K$817)), ROW(83:83))), "")</f>
        <v>0</v>
      </c>
      <c r="Q86" s="11" t="n">
        <f aca="false" t="array" ref="Q86:Q86">IFERROR(INDEX('Bank Schedule'!R:R, SMALL(IF('Bank Schedule'!$K$2:$K$817="Vacant", ROW('Bank Schedule'!$K$2:$K$817)), ROW(83:83))), "")</f>
        <v>0</v>
      </c>
      <c r="R86" s="9" t="n">
        <f aca="false">IFERROR(INDEX('Bank Schedule'!S:S, SMALL(IF('Bank Schedule'!$K$2:$K$817="Vacant", ROW('Bank Schedule'!$K$2:$K$817)), ROW(83:83))), "")</f>
        <v>0</v>
      </c>
      <c r="S86" s="281" t="n">
        <f aca="false" t="array" ref="S86:S86">IFERROR(INDEX('Bank Schedule'!T:T, SMALL(IF('Bank Schedule'!$K$2:$K$817="Vacant", ROW('Bank Schedule'!$K$2:$K$817)), ROW(83:83))), "")</f>
        <v>55600</v>
      </c>
      <c r="T86" s="281" t="n">
        <f aca="false" t="array" ref="T86:T86">IFERROR(INDEX('Bank Schedule'!U:U, SMALL(IF('Bank Schedule'!$K$2:$K$817="Vacant", ROW('Bank Schedule'!$K$2:$K$817)), ROW(83:83))), "")</f>
        <v>55600</v>
      </c>
      <c r="U86" s="281" t="n">
        <f aca="false" t="array" ref="U86:U86">IFERROR(INDEX('Bank Schedule'!V:V, SMALL(IF('Bank Schedule'!$K$2:$K$817="Vacant", ROW('Bank Schedule'!$K$2:$K$817)), ROW(83:83))), "")</f>
        <v>59300</v>
      </c>
      <c r="V86" s="281" t="n">
        <f aca="false" t="array" ref="V86:V86">IFERROR(INDEX('Bank Schedule'!W:W, SMALL(IF('Bank Schedule'!$K$2:$K$817="Vacant", ROW('Bank Schedule'!$K$2:$K$817)), ROW(83:83))), "")</f>
        <v>59300</v>
      </c>
      <c r="W86" s="282" t="n">
        <f aca="false" t="array" ref="W86:W86">IFERROR(INDEX('Bank Schedule'!X:X, SMALL(IF('Bank Schedule'!$K$2:$K$817="Vacant", ROW('Bank Schedule'!$K$2:$K$817)), ROW(83:83))), "")</f>
        <v>58.5879873551106</v>
      </c>
      <c r="X86" s="11" t="str">
        <f aca="false" t="array" ref="X86:X86">IFERROR(INDEX('Bank Schedule'!Y:Y, SMALL(IF('Bank Schedule'!$K$2:$K$817="Vacant", ROW('Bank Schedule'!$K$2:$K$817)), ROW(83:83))), "")</f>
        <v>D</v>
      </c>
      <c r="Y86" s="9" t="n">
        <f aca="false">IFERROR(INDEX('Bank Schedule'!Z:Z, SMALL(IF('Bank Schedule'!$K$2:$K$817="Vacant", ROW('Bank Schedule'!$K$2:$K$817)), ROW(83:83))), "")</f>
        <v>0</v>
      </c>
      <c r="Z86" s="283" t="n">
        <f aca="false">IFERROR(INDEX('Bank Schedule'!AA:AA, SMALL(IF('Bank Schedule'!$K$2:$K$817="Vacant", ROW('Bank Schedule'!$K$2:$K$817)), ROW(83:83))), "")</f>
        <v>0</v>
      </c>
      <c r="AA86" s="11" t="str">
        <f aca="false" t="array" ref="AA86:AA86">IFERROR(INDEX('Bank Schedule'!AB:AB, SMALL(IF('Bank Schedule'!$K$2:$K$817="Vacant", ROW('Bank Schedule'!$K$2:$K$817)), ROW(83:83))), "")</f>
        <v>No</v>
      </c>
      <c r="AB86" s="94" t="str">
        <f aca="false" t="array" ref="AB86:AB86">IFERROR(INDEX('Bank Schedule'!AC:AC, SMALL(IF('Bank Schedule'!$K$2:$K$817="Vacant", ROW('Bank Schedule'!$K$2:$K$817)), ROW(83:83))), "")</f>
        <v>Mothballed.</v>
      </c>
      <c r="AC86" s="44" t="n">
        <f aca="false">IFERROR(INDEX('Bank Schedule'!AD:AD, SMALL(IF('Bank Schedule'!$K$2:$K$817="Vacant", ROW('Bank Schedule'!$K$2:$K$817)), ROW(83:83))), "")</f>
        <v>68</v>
      </c>
      <c r="AD86" s="11" t="n">
        <f aca="false">IFERROR(INDEX('Bank Schedule'!AE:AE, SMALL(IF('Bank Schedule'!$K$2:$K$817="Vacant", ROW('Bank Schedule'!$K$2:$K$817)), ROW(83:83))), "")</f>
        <v>1</v>
      </c>
      <c r="AE86" s="11" t="n">
        <f aca="false">IFERROR(INDEX('Bank Schedule'!AF:AF, SMALL(IF('Bank Schedule'!$K$2:$K$817="Vacant", ROW('Bank Schedule'!$K$2:$K$817)), ROW(83:83))), "")</f>
        <v>13</v>
      </c>
      <c r="AF86" s="11" t="str">
        <f aca="false">IFERROR(INDEX('Bank Schedule'!AG:AG, SMALL(IF('Bank Schedule'!$K$2:$K$817="Vacant", ROW('Bank Schedule'!$K$2:$K$817)), ROW(83:83))), "")</f>
        <v>LEM / Colliers</v>
      </c>
      <c r="AG86" s="4"/>
    </row>
    <row r="87" customFormat="false" ht="28.5" hidden="false" customHeight="true" outlineLevel="0" collapsed="false">
      <c r="A87" s="28" t="n">
        <f aca="false">IFERROR(INDEX('Bank Schedule'!A:A, SMALL(IF('Bank Schedule'!$K$2:$K$817="Vacant", ROW('Bank Schedule'!$K$2:$K$817)), ROW(84:84))), "")</f>
        <v>0</v>
      </c>
      <c r="B87" s="11" t="str">
        <f aca="false" t="array" ref="B87:B87">IFERROR(INDEX('Bank Schedule'!B:B, SMALL(IF('Bank Schedule'!$K$2:$K$817="Vacant", ROW('Bank Schedule'!$K$2:$K$817)), ROW(84:84))), "")</f>
        <v>JM</v>
      </c>
      <c r="C87" s="11" t="str">
        <f aca="false" t="array" ref="C87:C87">IFERROR(INDEX('Bank Schedule'!C:C, SMALL(IF('Bank Schedule'!$K$2:$K$817="Vacant", ROW('Bank Schedule'!$K$2:$K$817)), ROW(84:84))), "")</f>
        <v>MEL</v>
      </c>
      <c r="D87" s="11" t="n">
        <f aca="false" t="array" ref="D87:D87">IFERROR(INDEX('Bank Schedule'!D:D, SMALL(IF('Bank Schedule'!$K$2:$K$817="Vacant", ROW('Bank Schedule'!$K$2:$K$817)), ROW(84:84))), "")</f>
        <v>550690</v>
      </c>
      <c r="E87" s="94" t="str">
        <f aca="false" t="array" ref="E87:E87">IFERROR(INDEX('Bank Schedule'!E:E, SMALL(IF('Bank Schedule'!$K$2:$K$817="Vacant", ROW('Bank Schedule'!$K$2:$K$817)), ROW(84:84))), "")</f>
        <v>Kenilworth House - 79-80 Margaret Street</v>
      </c>
      <c r="F87" s="94" t="str">
        <f aca="false" t="array" ref="F87:F87">IFERROR(INDEX('Bank Schedule'!F:F, SMALL(IF('Bank Schedule'!$K$2:$K$817="Vacant", ROW('Bank Schedule'!$K$2:$K$817)), ROW(84:84))), "")</f>
        <v>Fourth Floor (West)</v>
      </c>
      <c r="G87" s="94" t="str">
        <f aca="false" t="array" ref="G87:G87">IFERROR(INDEX('Bank Schedule'!G:G, SMALL(IF('Bank Schedule'!$K$2:$K$817="Vacant", ROW('Bank Schedule'!$K$2:$K$817)), ROW(84:84))), "")</f>
        <v>Office</v>
      </c>
      <c r="H87" s="14" t="n">
        <f aca="false" t="array" ref="H87:H87">IFERROR(INDEX('Bank Schedule'!H:H, SMALL(IF('Bank Schedule'!$K$2:$K$817="Vacant", ROW('Bank Schedule'!$K$2:$K$817)), ROW(84:84))), "")</f>
        <v>601</v>
      </c>
      <c r="I87" s="14" t="n">
        <f aca="false" t="array" ref="I87:I87">IFERROR(INDEX('Bank Schedule'!I:I, SMALL(IF('Bank Schedule'!$K$2:$K$817="Vacant", ROW('Bank Schedule'!$K$2:$K$817)), ROW(84:84))), "")</f>
        <v>601</v>
      </c>
      <c r="J87" s="11" t="str">
        <f aca="false" t="array" ref="J87:J87">IFERROR(INDEX('Bank Schedule'!K:K, SMALL(IF('Bank Schedule'!$K$2:$K$817="Vacant", ROW('Bank Schedule'!$K$2:$K$817)), ROW(84:84))), "")</f>
        <v>Vacant</v>
      </c>
      <c r="K87" s="8" t="n">
        <f aca="false">IFERROR(INDEX('Bank Schedule'!L:L, SMALL(IF('Bank Schedule'!$K$2:$K$817="Vacant", ROW('Bank Schedule'!$K$2:$K$817)), ROW(84:84))), "")</f>
        <v>44452</v>
      </c>
      <c r="L87" s="8" t="n">
        <f aca="false">IFERROR(INDEX('Bank Schedule'!M:M, SMALL(IF('Bank Schedule'!$K$2:$K$817="Vacant", ROW('Bank Schedule'!$K$2:$K$817)), ROW(84:84))), "")</f>
        <v>46277</v>
      </c>
      <c r="M87" s="71" t="n">
        <f aca="false" t="array" ref="M87:M87">IFERROR(INDEX('Bank Schedule'!N:N, SMALL(IF('Bank Schedule'!$K$2:$K$817="Vacant", ROW('Bank Schedule'!$K$2:$K$817)), ROW(84:84))), "")</f>
        <v>44027</v>
      </c>
      <c r="N87" s="8" t="n">
        <f aca="false">IFERROR(INDEX('Bank Schedule'!O:O, SMALL(IF('Bank Schedule'!$K$2:$K$817="Vacant", ROW('Bank Schedule'!$K$2:$K$817)), ROW(84:84))), "")</f>
        <v>0</v>
      </c>
      <c r="O87" s="8" t="n">
        <f aca="false">IFERROR(INDEX('Bank Schedule'!P:P, SMALL(IF('Bank Schedule'!$K$2:$K$817="Vacant", ROW('Bank Schedule'!$K$2:$K$817)), ROW(84:84))), "")</f>
        <v>0</v>
      </c>
      <c r="P87" s="11" t="n">
        <f aca="false" t="array" ref="P87:P87">IFERROR(INDEX('Bank Schedule'!Q:Q, SMALL(IF('Bank Schedule'!$K$2:$K$817="Vacant", ROW('Bank Schedule'!$K$2:$K$817)), ROW(84:84))), "")</f>
        <v>0</v>
      </c>
      <c r="Q87" s="11" t="n">
        <f aca="false" t="array" ref="Q87:Q87">IFERROR(INDEX('Bank Schedule'!R:R, SMALL(IF('Bank Schedule'!$K$2:$K$817="Vacant", ROW('Bank Schedule'!$K$2:$K$817)), ROW(84:84))), "")</f>
        <v>0</v>
      </c>
      <c r="R87" s="9" t="n">
        <f aca="false">IFERROR(INDEX('Bank Schedule'!S:S, SMALL(IF('Bank Schedule'!$K$2:$K$817="Vacant", ROW('Bank Schedule'!$K$2:$K$817)), ROW(84:84))), "")</f>
        <v>0</v>
      </c>
      <c r="S87" s="281" t="n">
        <f aca="false" t="array" ref="S87:S87">IFERROR(INDEX('Bank Schedule'!T:T, SMALL(IF('Bank Schedule'!$K$2:$K$817="Vacant", ROW('Bank Schedule'!$K$2:$K$817)), ROW(84:84))), "")</f>
        <v>36800</v>
      </c>
      <c r="T87" s="281" t="n">
        <f aca="false" t="array" ref="T87:T87">IFERROR(INDEX('Bank Schedule'!U:U, SMALL(IF('Bank Schedule'!$K$2:$K$817="Vacant", ROW('Bank Schedule'!$K$2:$K$817)), ROW(84:84))), "")</f>
        <v>36800</v>
      </c>
      <c r="U87" s="281" t="n">
        <f aca="false" t="array" ref="U87:U87">IFERROR(INDEX('Bank Schedule'!V:V, SMALL(IF('Bank Schedule'!$K$2:$K$817="Vacant", ROW('Bank Schedule'!$K$2:$K$817)), ROW(84:84))), "")</f>
        <v>37600</v>
      </c>
      <c r="V87" s="281" t="n">
        <f aca="false" t="array" ref="V87:V87">IFERROR(INDEX('Bank Schedule'!W:W, SMALL(IF('Bank Schedule'!$K$2:$K$817="Vacant", ROW('Bank Schedule'!$K$2:$K$817)), ROW(84:84))), "")</f>
        <v>37600</v>
      </c>
      <c r="W87" s="282" t="n">
        <f aca="false" t="array" ref="W87:W87">IFERROR(INDEX('Bank Schedule'!X:X, SMALL(IF('Bank Schedule'!$K$2:$K$817="Vacant", ROW('Bank Schedule'!$K$2:$K$817)), ROW(84:84))), "")</f>
        <v>61.2312811980033</v>
      </c>
      <c r="X87" s="11" t="str">
        <f aca="false" t="array" ref="X87:X87">IFERROR(INDEX('Bank Schedule'!Y:Y, SMALL(IF('Bank Schedule'!$K$2:$K$817="Vacant", ROW('Bank Schedule'!$K$2:$K$817)), ROW(84:84))), "")</f>
        <v>D</v>
      </c>
      <c r="Y87" s="9" t="n">
        <f aca="false">IFERROR(INDEX('Bank Schedule'!Z:Z, SMALL(IF('Bank Schedule'!$K$2:$K$817="Vacant", ROW('Bank Schedule'!$K$2:$K$817)), ROW(84:84))), "")</f>
        <v>0</v>
      </c>
      <c r="Z87" s="283" t="n">
        <f aca="false">IFERROR(INDEX('Bank Schedule'!AA:AA, SMALL(IF('Bank Schedule'!$K$2:$K$817="Vacant", ROW('Bank Schedule'!$K$2:$K$817)), ROW(84:84))), "")</f>
        <v>0</v>
      </c>
      <c r="AA87" s="11" t="str">
        <f aca="false" t="array" ref="AA87:AA87">IFERROR(INDEX('Bank Schedule'!AB:AB, SMALL(IF('Bank Schedule'!$K$2:$K$817="Vacant", ROW('Bank Schedule'!$K$2:$K$817)), ROW(84:84))), "")</f>
        <v>No</v>
      </c>
      <c r="AB87" s="94" t="str">
        <f aca="false" t="array" ref="AB87:AB87">IFERROR(INDEX('Bank Schedule'!AC:AC, SMALL(IF('Bank Schedule'!$K$2:$K$817="Vacant", ROW('Bank Schedule'!$K$2:$K$817)), ROW(84:84))), "")</f>
        <v>Mothballed.</v>
      </c>
      <c r="AC87" s="44" t="n">
        <f aca="false">IFERROR(INDEX('Bank Schedule'!AD:AD, SMALL(IF('Bank Schedule'!$K$2:$K$817="Vacant", ROW('Bank Schedule'!$K$2:$K$817)), ROW(84:84))), "")</f>
        <v>0</v>
      </c>
      <c r="AD87" s="11" t="n">
        <f aca="false">IFERROR(INDEX('Bank Schedule'!AE:AE, SMALL(IF('Bank Schedule'!$K$2:$K$817="Vacant", ROW('Bank Schedule'!$K$2:$K$817)), ROW(84:84))), "")</f>
        <v>0</v>
      </c>
      <c r="AE87" s="11" t="n">
        <f aca="false">IFERROR(INDEX('Bank Schedule'!AF:AF, SMALL(IF('Bank Schedule'!$K$2:$K$817="Vacant", ROW('Bank Schedule'!$K$2:$K$817)), ROW(84:84))), "")</f>
        <v>0</v>
      </c>
      <c r="AF87" s="11" t="n">
        <f aca="false">IFERROR(INDEX('Bank Schedule'!AG:AG, SMALL(IF('Bank Schedule'!$K$2:$K$817="Vacant", ROW('Bank Schedule'!$K$2:$K$817)), ROW(84:84))), "")</f>
        <v>0</v>
      </c>
      <c r="AG87" s="4"/>
    </row>
    <row r="88" customFormat="false" ht="28.5" hidden="false" customHeight="true" outlineLevel="0" collapsed="false">
      <c r="A88" s="28" t="n">
        <f aca="false">IFERROR(INDEX('Bank Schedule'!A:A, SMALL(IF('Bank Schedule'!$K$2:$K$817="Vacant", ROW('Bank Schedule'!$K$2:$K$817)), ROW(85:85))), "")</f>
        <v>0</v>
      </c>
      <c r="B88" s="11" t="str">
        <f aca="false" t="array" ref="B88:B88">IFERROR(INDEX('Bank Schedule'!B:B, SMALL(IF('Bank Schedule'!$K$2:$K$817="Vacant", ROW('Bank Schedule'!$K$2:$K$817)), ROW(85:85))), "")</f>
        <v>JM</v>
      </c>
      <c r="C88" s="11" t="str">
        <f aca="false" t="array" ref="C88:C88">IFERROR(INDEX('Bank Schedule'!C:C, SMALL(IF('Bank Schedule'!$K$2:$K$817="Vacant", ROW('Bank Schedule'!$K$2:$K$817)), ROW(85:85))), "")</f>
        <v>MEL</v>
      </c>
      <c r="D88" s="11" t="n">
        <f aca="false" t="array" ref="D88:D88">IFERROR(INDEX('Bank Schedule'!D:D, SMALL(IF('Bank Schedule'!$K$2:$K$817="Vacant", ROW('Bank Schedule'!$K$2:$K$817)), ROW(85:85))), "")</f>
        <v>550690</v>
      </c>
      <c r="E88" s="94" t="str">
        <f aca="false" t="array" ref="E88:E88">IFERROR(INDEX('Bank Schedule'!E:E, SMALL(IF('Bank Schedule'!$K$2:$K$817="Vacant", ROW('Bank Schedule'!$K$2:$K$817)), ROW(85:85))), "")</f>
        <v>Kenilworth House - 79-80 Margaret Street</v>
      </c>
      <c r="F88" s="94" t="str">
        <f aca="false" t="array" ref="F88:F88">IFERROR(INDEX('Bank Schedule'!F:F, SMALL(IF('Bank Schedule'!$K$2:$K$817="Vacant", ROW('Bank Schedule'!$K$2:$K$817)), ROW(85:85))), "")</f>
        <v>Fifth Floor (East)</v>
      </c>
      <c r="G88" s="94" t="str">
        <f aca="false" t="array" ref="G88:G88">IFERROR(INDEX('Bank Schedule'!G:G, SMALL(IF('Bank Schedule'!$K$2:$K$817="Vacant", ROW('Bank Schedule'!$K$2:$K$817)), ROW(85:85))), "")</f>
        <v>Office</v>
      </c>
      <c r="H88" s="14" t="n">
        <f aca="false" t="array" ref="H88:H88">IFERROR(INDEX('Bank Schedule'!H:H, SMALL(IF('Bank Schedule'!$K$2:$K$817="Vacant", ROW('Bank Schedule'!$K$2:$K$817)), ROW(85:85))), "")</f>
        <v>730</v>
      </c>
      <c r="I88" s="14" t="n">
        <f aca="false" t="array" ref="I88:I88">IFERROR(INDEX('Bank Schedule'!I:I, SMALL(IF('Bank Schedule'!$K$2:$K$817="Vacant", ROW('Bank Schedule'!$K$2:$K$817)), ROW(85:85))), "")</f>
        <v>730</v>
      </c>
      <c r="J88" s="11" t="str">
        <f aca="false" t="array" ref="J88:J88">IFERROR(INDEX('Bank Schedule'!K:K, SMALL(IF('Bank Schedule'!$K$2:$K$817="Vacant", ROW('Bank Schedule'!$K$2:$K$817)), ROW(85:85))), "")</f>
        <v>Vacant</v>
      </c>
      <c r="K88" s="8" t="n">
        <f aca="false">IFERROR(INDEX('Bank Schedule'!L:L, SMALL(IF('Bank Schedule'!$K$2:$K$817="Vacant", ROW('Bank Schedule'!$K$2:$K$817)), ROW(85:85))), "")</f>
        <v>0</v>
      </c>
      <c r="L88" s="8" t="n">
        <f aca="false">IFERROR(INDEX('Bank Schedule'!M:M, SMALL(IF('Bank Schedule'!$K$2:$K$817="Vacant", ROW('Bank Schedule'!$K$2:$K$817)), ROW(85:85))), "")</f>
        <v>0</v>
      </c>
      <c r="M88" s="71" t="n">
        <f aca="false" t="array" ref="M88:M88">IFERROR(INDEX('Bank Schedule'!N:N, SMALL(IF('Bank Schedule'!$K$2:$K$817="Vacant", ROW('Bank Schedule'!$K$2:$K$817)), ROW(85:85))), "")</f>
        <v>42723</v>
      </c>
      <c r="N88" s="8" t="n">
        <f aca="false">IFERROR(INDEX('Bank Schedule'!O:O, SMALL(IF('Bank Schedule'!$K$2:$K$817="Vacant", ROW('Bank Schedule'!$K$2:$K$817)), ROW(85:85))), "")</f>
        <v>0</v>
      </c>
      <c r="O88" s="8" t="n">
        <f aca="false">IFERROR(INDEX('Bank Schedule'!P:P, SMALL(IF('Bank Schedule'!$K$2:$K$817="Vacant", ROW('Bank Schedule'!$K$2:$K$817)), ROW(85:85))), "")</f>
        <v>0</v>
      </c>
      <c r="P88" s="11" t="n">
        <f aca="false" t="array" ref="P88:P88">IFERROR(INDEX('Bank Schedule'!Q:Q, SMALL(IF('Bank Schedule'!$K$2:$K$817="Vacant", ROW('Bank Schedule'!$K$2:$K$817)), ROW(85:85))), "")</f>
        <v>0</v>
      </c>
      <c r="Q88" s="11" t="n">
        <f aca="false" t="array" ref="Q88:Q88">IFERROR(INDEX('Bank Schedule'!R:R, SMALL(IF('Bank Schedule'!$K$2:$K$817="Vacant", ROW('Bank Schedule'!$K$2:$K$817)), ROW(85:85))), "")</f>
        <v>0</v>
      </c>
      <c r="R88" s="9" t="n">
        <f aca="false">IFERROR(INDEX('Bank Schedule'!S:S, SMALL(IF('Bank Schedule'!$K$2:$K$817="Vacant", ROW('Bank Schedule'!$K$2:$K$817)), ROW(85:85))), "")</f>
        <v>0</v>
      </c>
      <c r="S88" s="281" t="n">
        <f aca="false" t="array" ref="S88:S88">IFERROR(INDEX('Bank Schedule'!T:T, SMALL(IF('Bank Schedule'!$K$2:$K$817="Vacant", ROW('Bank Schedule'!$K$2:$K$817)), ROW(85:85))), "")</f>
        <v>44700</v>
      </c>
      <c r="T88" s="281" t="n">
        <f aca="false" t="array" ref="T88:T88">IFERROR(INDEX('Bank Schedule'!U:U, SMALL(IF('Bank Schedule'!$K$2:$K$817="Vacant", ROW('Bank Schedule'!$K$2:$K$817)), ROW(85:85))), "")</f>
        <v>44700</v>
      </c>
      <c r="U88" s="281" t="n">
        <f aca="false" t="array" ref="U88:U88">IFERROR(INDEX('Bank Schedule'!V:V, SMALL(IF('Bank Schedule'!$K$2:$K$817="Vacant", ROW('Bank Schedule'!$K$2:$K$817)), ROW(85:85))), "")</f>
        <v>45600</v>
      </c>
      <c r="V88" s="281" t="n">
        <f aca="false" t="array" ref="V88:V88">IFERROR(INDEX('Bank Schedule'!W:W, SMALL(IF('Bank Schedule'!$K$2:$K$817="Vacant", ROW('Bank Schedule'!$K$2:$K$817)), ROW(85:85))), "")</f>
        <v>45600</v>
      </c>
      <c r="W88" s="282" t="n">
        <f aca="false" t="array" ref="W88:W88">IFERROR(INDEX('Bank Schedule'!X:X, SMALL(IF('Bank Schedule'!$K$2:$K$817="Vacant", ROW('Bank Schedule'!$K$2:$K$817)), ROW(85:85))), "")</f>
        <v>61.2328767123288</v>
      </c>
      <c r="X88" s="11" t="str">
        <f aca="false" t="array" ref="X88:X88">IFERROR(INDEX('Bank Schedule'!Y:Y, SMALL(IF('Bank Schedule'!$K$2:$K$817="Vacant", ROW('Bank Schedule'!$K$2:$K$817)), ROW(85:85))), "")</f>
        <v>D</v>
      </c>
      <c r="Y88" s="9" t="n">
        <f aca="false">IFERROR(INDEX('Bank Schedule'!Z:Z, SMALL(IF('Bank Schedule'!$K$2:$K$817="Vacant", ROW('Bank Schedule'!$K$2:$K$817)), ROW(85:85))), "")</f>
        <v>0</v>
      </c>
      <c r="Z88" s="283" t="n">
        <f aca="false">IFERROR(INDEX('Bank Schedule'!AA:AA, SMALL(IF('Bank Schedule'!$K$2:$K$817="Vacant", ROW('Bank Schedule'!$K$2:$K$817)), ROW(85:85))), "")</f>
        <v>0</v>
      </c>
      <c r="AA88" s="11" t="str">
        <f aca="false" t="array" ref="AA88:AA88">IFERROR(INDEX('Bank Schedule'!AB:AB, SMALL(IF('Bank Schedule'!$K$2:$K$817="Vacant", ROW('Bank Schedule'!$K$2:$K$817)), ROW(85:85))), "")</f>
        <v>No</v>
      </c>
      <c r="AB88" s="94" t="str">
        <f aca="false" t="array" ref="AB88:AB88">IFERROR(INDEX('Bank Schedule'!AC:AC, SMALL(IF('Bank Schedule'!$K$2:$K$817="Vacant", ROW('Bank Schedule'!$K$2:$K$817)), ROW(85:85))), "")</f>
        <v>Mothballed.</v>
      </c>
      <c r="AC88" s="44" t="n">
        <f aca="false">IFERROR(INDEX('Bank Schedule'!AD:AD, SMALL(IF('Bank Schedule'!$K$2:$K$817="Vacant", ROW('Bank Schedule'!$K$2:$K$817)), ROW(85:85))), "")</f>
        <v>65</v>
      </c>
      <c r="AD88" s="11" t="n">
        <f aca="false">IFERROR(INDEX('Bank Schedule'!AE:AE, SMALL(IF('Bank Schedule'!$K$2:$K$817="Vacant", ROW('Bank Schedule'!$K$2:$K$817)), ROW(85:85))), "")</f>
        <v>0</v>
      </c>
      <c r="AE88" s="11" t="n">
        <f aca="false">IFERROR(INDEX('Bank Schedule'!AF:AF, SMALL(IF('Bank Schedule'!$K$2:$K$817="Vacant", ROW('Bank Schedule'!$K$2:$K$817)), ROW(85:85))), "")</f>
        <v>0</v>
      </c>
      <c r="AF88" s="11" t="n">
        <f aca="false">IFERROR(INDEX('Bank Schedule'!AG:AG, SMALL(IF('Bank Schedule'!$K$2:$K$817="Vacant", ROW('Bank Schedule'!$K$2:$K$817)), ROW(85:85))), "")</f>
        <v>0</v>
      </c>
      <c r="AG88" s="4"/>
    </row>
    <row r="89" customFormat="false" ht="28.5" hidden="false" customHeight="true" outlineLevel="0" collapsed="false">
      <c r="A89" s="28" t="str">
        <f aca="false">IFERROR(INDEX('Bank Schedule'!A:A, SMALL(IF('Bank Schedule'!$K$2:$K$817="Vacant", ROW('Bank Schedule'!$K$2:$K$817)), ROW(86:86))), "")</f>
        <v/>
      </c>
      <c r="B89" s="11" t="str">
        <f aca="false" t="array" ref="B89:B89">IFERROR(INDEX('Bank Schedule'!B:B, SMALL(IF('Bank Schedule'!$K$2:$K$817="Vacant", ROW('Bank Schedule'!$K$2:$K$817)), ROW(86:86))), "")</f>
        <v>JM</v>
      </c>
      <c r="C89" s="11" t="str">
        <f aca="false" t="array" ref="C89:C89">IFERROR(INDEX('Bank Schedule'!C:C, SMALL(IF('Bank Schedule'!$K$2:$K$817="Vacant", ROW('Bank Schedule'!$K$2:$K$817)), ROW(86:86))), "")</f>
        <v>MEL</v>
      </c>
      <c r="D89" s="11" t="n">
        <f aca="false" t="array" ref="D89:D89">IFERROR(INDEX('Bank Schedule'!D:D, SMALL(IF('Bank Schedule'!$K$2:$K$817="Vacant", ROW('Bank Schedule'!$K$2:$K$817)), ROW(86:86))), "")</f>
        <v>550690</v>
      </c>
      <c r="E89" s="94" t="str">
        <f aca="false" t="array" ref="E89:E89">IFERROR(INDEX('Bank Schedule'!E:E, SMALL(IF('Bank Schedule'!$K$2:$K$817="Vacant", ROW('Bank Schedule'!$K$2:$K$817)), ROW(86:86))), "")</f>
        <v>Kenilworth House - 79-80 Margaret Street</v>
      </c>
      <c r="F89" s="94" t="str">
        <f aca="false" t="array" ref="F89:F89">IFERROR(INDEX('Bank Schedule'!F:F, SMALL(IF('Bank Schedule'!$K$2:$K$817="Vacant", ROW('Bank Schedule'!$K$2:$K$817)), ROW(86:86))), "")</f>
        <v>Fifth Floor (West)</v>
      </c>
      <c r="G89" s="94" t="str">
        <f aca="false" t="array" ref="G89:G89">IFERROR(INDEX('Bank Schedule'!G:G, SMALL(IF('Bank Schedule'!$K$2:$K$817="Vacant", ROW('Bank Schedule'!$K$2:$K$817)), ROW(86:86))), "")</f>
        <v>Office</v>
      </c>
      <c r="H89" s="14" t="n">
        <f aca="false" t="array" ref="H89:H89">IFERROR(INDEX('Bank Schedule'!H:H, SMALL(IF('Bank Schedule'!$K$2:$K$817="Vacant", ROW('Bank Schedule'!$K$2:$K$817)), ROW(86:86))), "")</f>
        <v>462</v>
      </c>
      <c r="I89" s="14" t="n">
        <f aca="false" t="array" ref="I89:I89">IFERROR(INDEX('Bank Schedule'!I:I, SMALL(IF('Bank Schedule'!$K$2:$K$817="Vacant", ROW('Bank Schedule'!$K$2:$K$817)), ROW(86:86))), "")</f>
        <v>462</v>
      </c>
      <c r="J89" s="11" t="str">
        <f aca="false" t="array" ref="J89:J89">IFERROR(INDEX('Bank Schedule'!K:K, SMALL(IF('Bank Schedule'!$K$2:$K$817="Vacant", ROW('Bank Schedule'!$K$2:$K$817)), ROW(86:86))), "")</f>
        <v>Vacant</v>
      </c>
      <c r="K89" s="11" t="str">
        <f aca="false">IFERROR(INDEX('Bank Schedule'!L:L, SMALL(IF('Bank Schedule'!$K$2:$K$817="Vacant", ROW('Bank Schedule'!$K$2:$K$817)), ROW(86:86))), "")</f>
        <v/>
      </c>
      <c r="L89" s="11" t="str">
        <f aca="false">IFERROR(INDEX('Bank Schedule'!M:M, SMALL(IF('Bank Schedule'!$K$2:$K$817="Vacant", ROW('Bank Schedule'!$K$2:$K$817)), ROW(86:86))), "")</f>
        <v/>
      </c>
      <c r="M89" s="71" t="n">
        <f aca="false" t="array" ref="M89:M89">IFERROR(INDEX('Bank Schedule'!N:N, SMALL(IF('Bank Schedule'!$K$2:$K$817="Vacant", ROW('Bank Schedule'!$K$2:$K$817)), ROW(86:86))), "")</f>
        <v>43824</v>
      </c>
      <c r="N89" s="11" t="str">
        <f aca="false">IFERROR(INDEX('Bank Schedule'!O:O, SMALL(IF('Bank Schedule'!$K$2:$K$817="Vacant", ROW('Bank Schedule'!$K$2:$K$817)), ROW(86:86))), "")</f>
        <v/>
      </c>
      <c r="O89" s="11" t="str">
        <f aca="false">IFERROR(INDEX('Bank Schedule'!P:P, SMALL(IF('Bank Schedule'!$K$2:$K$817="Vacant", ROW('Bank Schedule'!$K$2:$K$817)), ROW(86:86))), "")</f>
        <v/>
      </c>
      <c r="P89" s="11" t="n">
        <f aca="false" t="array" ref="P89:P89">IFERROR(INDEX('Bank Schedule'!Q:Q, SMALL(IF('Bank Schedule'!$K$2:$K$817="Vacant", ROW('Bank Schedule'!$K$2:$K$817)), ROW(86:86))), "")</f>
        <v>0</v>
      </c>
      <c r="Q89" s="11" t="n">
        <f aca="false" t="array" ref="Q89:Q89">IFERROR(INDEX('Bank Schedule'!R:R, SMALL(IF('Bank Schedule'!$K$2:$K$817="Vacant", ROW('Bank Schedule'!$K$2:$K$817)), ROW(86:86))), "")</f>
        <v>0</v>
      </c>
      <c r="R89" s="11" t="str">
        <f aca="false">IFERROR(INDEX('Bank Schedule'!S:S, SMALL(IF('Bank Schedule'!$K$2:$K$817="Vacant", ROW('Bank Schedule'!$K$2:$K$817)), ROW(86:86))), "")</f>
        <v/>
      </c>
      <c r="S89" s="281" t="n">
        <f aca="false" t="array" ref="S89:S89">IFERROR(INDEX('Bank Schedule'!T:T, SMALL(IF('Bank Schedule'!$K$2:$K$817="Vacant", ROW('Bank Schedule'!$K$2:$K$817)), ROW(86:86))), "")</f>
        <v>27300</v>
      </c>
      <c r="T89" s="281" t="n">
        <f aca="false" t="array" ref="T89:T89">IFERROR(INDEX('Bank Schedule'!U:U, SMALL(IF('Bank Schedule'!$K$2:$K$817="Vacant", ROW('Bank Schedule'!$K$2:$K$817)), ROW(86:86))), "")</f>
        <v>27300</v>
      </c>
      <c r="U89" s="281" t="n">
        <f aca="false" t="array" ref="U89:U89">IFERROR(INDEX('Bank Schedule'!V:V, SMALL(IF('Bank Schedule'!$K$2:$K$817="Vacant", ROW('Bank Schedule'!$K$2:$K$817)), ROW(86:86))), "")</f>
        <v>28900</v>
      </c>
      <c r="V89" s="281" t="n">
        <f aca="false" t="array" ref="V89:V89">IFERROR(INDEX('Bank Schedule'!W:W, SMALL(IF('Bank Schedule'!$K$2:$K$817="Vacant", ROW('Bank Schedule'!$K$2:$K$817)), ROW(86:86))), "")</f>
        <v>28900</v>
      </c>
      <c r="W89" s="282" t="n">
        <f aca="false" t="array" ref="W89:W89">IFERROR(INDEX('Bank Schedule'!X:X, SMALL(IF('Bank Schedule'!$K$2:$K$817="Vacant", ROW('Bank Schedule'!$K$2:$K$817)), ROW(86:86))), "")</f>
        <v>59.0909090909091</v>
      </c>
      <c r="X89" s="11" t="str">
        <f aca="false" t="array" ref="X89:X89">IFERROR(INDEX('Bank Schedule'!Y:Y, SMALL(IF('Bank Schedule'!$K$2:$K$817="Vacant", ROW('Bank Schedule'!$K$2:$K$817)), ROW(86:86))), "")</f>
        <v>D</v>
      </c>
      <c r="Y89" s="11" t="str">
        <f aca="false">IFERROR(INDEX('Bank Schedule'!Z:Z, SMALL(IF('Bank Schedule'!$K$2:$K$817="Vacant", ROW('Bank Schedule'!$K$2:$K$817)), ROW(86:86))), "")</f>
        <v/>
      </c>
      <c r="Z89" s="11" t="str">
        <f aca="false">IFERROR(INDEX('Bank Schedule'!AA:AA, SMALL(IF('Bank Schedule'!$K$2:$K$817="Vacant", ROW('Bank Schedule'!$K$2:$K$817)), ROW(86:86))), "")</f>
        <v/>
      </c>
      <c r="AA89" s="11" t="str">
        <f aca="false" t="array" ref="AA89:AA89">IFERROR(INDEX('Bank Schedule'!AB:AB, SMALL(IF('Bank Schedule'!$K$2:$K$817="Vacant", ROW('Bank Schedule'!$K$2:$K$817)), ROW(86:86))), "")</f>
        <v>No</v>
      </c>
      <c r="AB89" s="94" t="str">
        <f aca="false" t="array" ref="AB89:AB89">IFERROR(INDEX('Bank Schedule'!AC:AC, SMALL(IF('Bank Schedule'!$K$2:$K$817="Vacant", ROW('Bank Schedule'!$K$2:$K$817)), ROW(86:86))), "")</f>
        <v>Mothballed.</v>
      </c>
      <c r="AC89" s="44" t="str">
        <f aca="false">IFERROR(INDEX('Bank Schedule'!AD:AD, SMALL(IF('Bank Schedule'!$K$2:$K$817="Vacant", ROW('Bank Schedule'!$K$2:$K$817)), ROW(86:86))), "")</f>
        <v/>
      </c>
      <c r="AD89" s="11" t="str">
        <f aca="false">IFERROR(INDEX('Bank Schedule'!AE:AE, SMALL(IF('Bank Schedule'!$K$2:$K$817="Vacant", ROW('Bank Schedule'!$K$2:$K$817)), ROW(86:86))), "")</f>
        <v/>
      </c>
      <c r="AE89" s="11" t="str">
        <f aca="false">IFERROR(INDEX('Bank Schedule'!AF:AF, SMALL(IF('Bank Schedule'!$K$2:$K$817="Vacant", ROW('Bank Schedule'!$K$2:$K$817)), ROW(86:86))), "")</f>
        <v/>
      </c>
      <c r="AF89" s="11" t="str">
        <f aca="false">IFERROR(INDEX('Bank Schedule'!AG:AG, SMALL(IF('Bank Schedule'!$K$2:$K$817="Vacant", ROW('Bank Schedule'!$K$2:$K$817)), ROW(86:86))), "")</f>
        <v/>
      </c>
      <c r="AG89" s="4"/>
    </row>
    <row r="90" customFormat="false" ht="28.5" hidden="false" customHeight="true" outlineLevel="0" collapsed="false">
      <c r="A90" s="28" t="str">
        <f aca="false">IFERROR(INDEX('Bank Schedule'!A:A, SMALL(IF('Bank Schedule'!$K$2:$K$817="Vacant", ROW('Bank Schedule'!$K$2:$K$817)), ROW(87:87))), "")</f>
        <v/>
      </c>
      <c r="B90" s="11" t="str">
        <f aca="false" t="array" ref="B90:B90">IFERROR(INDEX('Bank Schedule'!B:B, SMALL(IF('Bank Schedule'!$K$2:$K$817="Vacant", ROW('Bank Schedule'!$K$2:$K$817)), ROW(87:87))), "")</f>
        <v>JM</v>
      </c>
      <c r="C90" s="11" t="str">
        <f aca="false" t="array" ref="C90:C90">IFERROR(INDEX('Bank Schedule'!C:C, SMALL(IF('Bank Schedule'!$K$2:$K$817="Vacant", ROW('Bank Schedule'!$K$2:$K$817)), ROW(87:87))), "")</f>
        <v>MEL</v>
      </c>
      <c r="D90" s="11" t="n">
        <f aca="false" t="array" ref="D90:D90">IFERROR(INDEX('Bank Schedule'!D:D, SMALL(IF('Bank Schedule'!$K$2:$K$817="Vacant", ROW('Bank Schedule'!$K$2:$K$817)), ROW(87:87))), "")</f>
        <v>550940</v>
      </c>
      <c r="E90" s="94" t="str">
        <f aca="false" t="array" ref="E90:E90">IFERROR(INDEX('Bank Schedule'!E:E, SMALL(IF('Bank Schedule'!$K$2:$K$817="Vacant", ROW('Bank Schedule'!$K$2:$K$817)), ROW(87:87))), "")</f>
        <v>Radiant House, 34-38 Mortimer Street &amp; 3-4 Bywell Place</v>
      </c>
      <c r="F90" s="94" t="str">
        <f aca="false" t="array" ref="F90:F90">IFERROR(INDEX('Bank Schedule'!F:F, SMALL(IF('Bank Schedule'!$K$2:$K$817="Vacant", ROW('Bank Schedule'!$K$2:$K$817)), ROW(87:87))), "")</f>
        <v>Part Ground, First to Fourth Floor (34)</v>
      </c>
      <c r="G90" s="94" t="str">
        <f aca="false" t="array" ref="G90:G90">IFERROR(INDEX('Bank Schedule'!G:G, SMALL(IF('Bank Schedule'!$K$2:$K$817="Vacant", ROW('Bank Schedule'!$K$2:$K$817)), ROW(87:87))), "")</f>
        <v>Office</v>
      </c>
      <c r="H90" s="14" t="n">
        <f aca="false" t="array" ref="H90:H90">IFERROR(INDEX('Bank Schedule'!H:H, SMALL(IF('Bank Schedule'!$K$2:$K$817="Vacant", ROW('Bank Schedule'!$K$2:$K$817)), ROW(87:87))), "")</f>
        <v>2274</v>
      </c>
      <c r="I90" s="14" t="n">
        <f aca="false" t="array" ref="I90:I90">IFERROR(INDEX('Bank Schedule'!I:I, SMALL(IF('Bank Schedule'!$K$2:$K$817="Vacant", ROW('Bank Schedule'!$K$2:$K$817)), ROW(87:87))), "")</f>
        <v>2274</v>
      </c>
      <c r="J90" s="11" t="str">
        <f aca="false" t="array" ref="J90:J90">IFERROR(INDEX('Bank Schedule'!K:K, SMALL(IF('Bank Schedule'!$K$2:$K$817="Vacant", ROW('Bank Schedule'!$K$2:$K$817)), ROW(87:87))), "")</f>
        <v>Vacant</v>
      </c>
      <c r="K90" s="11" t="str">
        <f aca="false">IFERROR(INDEX('Bank Schedule'!L:L, SMALL(IF('Bank Schedule'!$K$2:$K$817="Vacant", ROW('Bank Schedule'!$K$2:$K$817)), ROW(87:87))), "")</f>
        <v/>
      </c>
      <c r="L90" s="11" t="str">
        <f aca="false">IFERROR(INDEX('Bank Schedule'!M:M, SMALL(IF('Bank Schedule'!$K$2:$K$817="Vacant", ROW('Bank Schedule'!$K$2:$K$817)), ROW(87:87))), "")</f>
        <v/>
      </c>
      <c r="M90" s="71" t="n">
        <f aca="false" t="array" ref="M90:M90">IFERROR(INDEX('Bank Schedule'!N:N, SMALL(IF('Bank Schedule'!$K$2:$K$817="Vacant", ROW('Bank Schedule'!$K$2:$K$817)), ROW(87:87))), "")</f>
        <v>44280</v>
      </c>
      <c r="N90" s="11" t="str">
        <f aca="false">IFERROR(INDEX('Bank Schedule'!O:O, SMALL(IF('Bank Schedule'!$K$2:$K$817="Vacant", ROW('Bank Schedule'!$K$2:$K$817)), ROW(87:87))), "")</f>
        <v/>
      </c>
      <c r="O90" s="11" t="str">
        <f aca="false">IFERROR(INDEX('Bank Schedule'!P:P, SMALL(IF('Bank Schedule'!$K$2:$K$817="Vacant", ROW('Bank Schedule'!$K$2:$K$817)), ROW(87:87))), "")</f>
        <v/>
      </c>
      <c r="P90" s="11" t="n">
        <f aca="false" t="array" ref="P90:P90">IFERROR(INDEX('Bank Schedule'!Q:Q, SMALL(IF('Bank Schedule'!$K$2:$K$817="Vacant", ROW('Bank Schedule'!$K$2:$K$817)), ROW(87:87))), "")</f>
        <v>0</v>
      </c>
      <c r="Q90" s="11" t="n">
        <f aca="false" t="array" ref="Q90:Q90">IFERROR(INDEX('Bank Schedule'!R:R, SMALL(IF('Bank Schedule'!$K$2:$K$817="Vacant", ROW('Bank Schedule'!$K$2:$K$817)), ROW(87:87))), "")</f>
        <v>0</v>
      </c>
      <c r="R90" s="11" t="str">
        <f aca="false">IFERROR(INDEX('Bank Schedule'!S:S, SMALL(IF('Bank Schedule'!$K$2:$K$817="Vacant", ROW('Bank Schedule'!$K$2:$K$817)), ROW(87:87))), "")</f>
        <v/>
      </c>
      <c r="S90" s="281" t="n">
        <f aca="false" t="array" ref="S90:S90">IFERROR(INDEX('Bank Schedule'!T:T, SMALL(IF('Bank Schedule'!$K$2:$K$817="Vacant", ROW('Bank Schedule'!$K$2:$K$817)), ROW(87:87))), "")</f>
        <v>124700</v>
      </c>
      <c r="T90" s="281" t="n">
        <f aca="false" t="array" ref="T90:T90">IFERROR(INDEX('Bank Schedule'!U:U, SMALL(IF('Bank Schedule'!$K$2:$K$817="Vacant", ROW('Bank Schedule'!$K$2:$K$817)), ROW(87:87))), "")</f>
        <v>124700</v>
      </c>
      <c r="U90" s="281" t="n">
        <f aca="false" t="array" ref="U90:U90">IFERROR(INDEX('Bank Schedule'!V:V, SMALL(IF('Bank Schedule'!$K$2:$K$817="Vacant", ROW('Bank Schedule'!$K$2:$K$817)), ROW(87:87))), "")</f>
        <v>125100</v>
      </c>
      <c r="V90" s="281" t="n">
        <f aca="false" t="array" ref="V90:V90">IFERROR(INDEX('Bank Schedule'!W:W, SMALL(IF('Bank Schedule'!$K$2:$K$817="Vacant", ROW('Bank Schedule'!$K$2:$K$817)), ROW(87:87))), "")</f>
        <v>125100</v>
      </c>
      <c r="W90" s="282" t="n">
        <f aca="false" t="array" ref="W90:W90">IFERROR(INDEX('Bank Schedule'!X:X, SMALL(IF('Bank Schedule'!$K$2:$K$817="Vacant", ROW('Bank Schedule'!$K$2:$K$817)), ROW(87:87))), "")</f>
        <v>54.8372911169745</v>
      </c>
      <c r="X90" s="11" t="str">
        <f aca="false" t="array" ref="X90:X90">IFERROR(INDEX('Bank Schedule'!Y:Y, SMALL(IF('Bank Schedule'!$K$2:$K$817="Vacant", ROW('Bank Schedule'!$K$2:$K$817)), ROW(87:87))), "")</f>
        <v>E</v>
      </c>
      <c r="Y90" s="11" t="str">
        <f aca="false">IFERROR(INDEX('Bank Schedule'!Z:Z, SMALL(IF('Bank Schedule'!$K$2:$K$817="Vacant", ROW('Bank Schedule'!$K$2:$K$817)), ROW(87:87))), "")</f>
        <v/>
      </c>
      <c r="Z90" s="11" t="str">
        <f aca="false">IFERROR(INDEX('Bank Schedule'!AA:AA, SMALL(IF('Bank Schedule'!$K$2:$K$817="Vacant", ROW('Bank Schedule'!$K$2:$K$817)), ROW(87:87))), "")</f>
        <v/>
      </c>
      <c r="AA90" s="11" t="str">
        <f aca="false" t="array" ref="AA90:AA90">IFERROR(INDEX('Bank Schedule'!AB:AB, SMALL(IF('Bank Schedule'!$K$2:$K$817="Vacant", ROW('Bank Schedule'!$K$2:$K$817)), ROW(87:87))), "")</f>
        <v>Yes</v>
      </c>
      <c r="AB90" s="94" t="str">
        <f aca="false" t="array" ref="AB90:AB90">IFERROR(INDEX('Bank Schedule'!AC:AC, SMALL(IF('Bank Schedule'!$K$2:$K$817="Vacant", ROW('Bank Schedule'!$K$2:$K$817)), ROW(87:87))), "")</f>
        <v>LEM marketing.</v>
      </c>
      <c r="AC90" s="44" t="str">
        <f aca="false">IFERROR(INDEX('Bank Schedule'!AD:AD, SMALL(IF('Bank Schedule'!$K$2:$K$817="Vacant", ROW('Bank Schedule'!$K$2:$K$817)), ROW(87:87))), "")</f>
        <v/>
      </c>
      <c r="AD90" s="11" t="str">
        <f aca="false">IFERROR(INDEX('Bank Schedule'!AE:AE, SMALL(IF('Bank Schedule'!$K$2:$K$817="Vacant", ROW('Bank Schedule'!$K$2:$K$817)), ROW(87:87))), "")</f>
        <v/>
      </c>
      <c r="AE90" s="11" t="str">
        <f aca="false">IFERROR(INDEX('Bank Schedule'!AF:AF, SMALL(IF('Bank Schedule'!$K$2:$K$817="Vacant", ROW('Bank Schedule'!$K$2:$K$817)), ROW(87:87))), "")</f>
        <v/>
      </c>
      <c r="AF90" s="11" t="str">
        <f aca="false">IFERROR(INDEX('Bank Schedule'!AG:AG, SMALL(IF('Bank Schedule'!$K$2:$K$817="Vacant", ROW('Bank Schedule'!$K$2:$K$817)), ROW(87:87))), "")</f>
        <v/>
      </c>
      <c r="AG90" s="4"/>
    </row>
    <row r="91" customFormat="false" ht="28.5" hidden="false" customHeight="true" outlineLevel="0" collapsed="false">
      <c r="A91" s="28" t="str">
        <f aca="false">IFERROR(INDEX('Bank Schedule'!A:A, SMALL(IF('Bank Schedule'!$K$2:$K$817="Vacant", ROW('Bank Schedule'!$K$2:$K$817)), ROW(88:88))), "")</f>
        <v/>
      </c>
      <c r="B91" s="11" t="str">
        <f aca="false" t="array" ref="B91:B91">IFERROR(INDEX('Bank Schedule'!B:B, SMALL(IF('Bank Schedule'!$K$2:$K$817="Vacant", ROW('Bank Schedule'!$K$2:$K$817)), ROW(88:88))), "")</f>
        <v>JM</v>
      </c>
      <c r="C91" s="11" t="str">
        <f aca="false" t="array" ref="C91:C91">IFERROR(INDEX('Bank Schedule'!C:C, SMALL(IF('Bank Schedule'!$K$2:$K$817="Vacant", ROW('Bank Schedule'!$K$2:$K$817)), ROW(88:88))), "")</f>
        <v>MEL</v>
      </c>
      <c r="D91" s="11" t="n">
        <f aca="false" t="array" ref="D91:D91">IFERROR(INDEX('Bank Schedule'!D:D, SMALL(IF('Bank Schedule'!$K$2:$K$817="Vacant", ROW('Bank Schedule'!$K$2:$K$817)), ROW(88:88))), "")</f>
        <v>550940</v>
      </c>
      <c r="E91" s="94" t="str">
        <f aca="false" t="array" ref="E91:E91">IFERROR(INDEX('Bank Schedule'!E:E, SMALL(IF('Bank Schedule'!$K$2:$K$817="Vacant", ROW('Bank Schedule'!$K$2:$K$817)), ROW(88:88))), "")</f>
        <v>Radiant House, 34-38 Mortimer Street &amp; 3-4 Bywell Place</v>
      </c>
      <c r="F91" s="94" t="str">
        <f aca="false" t="array" ref="F91:F91">IFERROR(INDEX('Bank Schedule'!F:F, SMALL(IF('Bank Schedule'!$K$2:$K$817="Vacant", ROW('Bank Schedule'!$K$2:$K$817)), ROW(88:88))), "")</f>
        <v>First (36-38)</v>
      </c>
      <c r="G91" s="94" t="str">
        <f aca="false" t="array" ref="G91:G91">IFERROR(INDEX('Bank Schedule'!G:G, SMALL(IF('Bank Schedule'!$K$2:$K$817="Vacant", ROW('Bank Schedule'!$K$2:$K$817)), ROW(88:88))), "")</f>
        <v>Office</v>
      </c>
      <c r="H91" s="14" t="n">
        <f aca="false" t="array" ref="H91:H91">IFERROR(INDEX('Bank Schedule'!H:H, SMALL(IF('Bank Schedule'!$K$2:$K$817="Vacant", ROW('Bank Schedule'!$K$2:$K$817)), ROW(88:88))), "")</f>
        <v>1201</v>
      </c>
      <c r="I91" s="14" t="n">
        <f aca="false" t="array" ref="I91:I91">IFERROR(INDEX('Bank Schedule'!I:I, SMALL(IF('Bank Schedule'!$K$2:$K$817="Vacant", ROW('Bank Schedule'!$K$2:$K$817)), ROW(88:88))), "")</f>
        <v>1201</v>
      </c>
      <c r="J91" s="11" t="str">
        <f aca="false" t="array" ref="J91:J91">IFERROR(INDEX('Bank Schedule'!K:K, SMALL(IF('Bank Schedule'!$K$2:$K$817="Vacant", ROW('Bank Schedule'!$K$2:$K$817)), ROW(88:88))), "")</f>
        <v>Vacant</v>
      </c>
      <c r="K91" s="11" t="str">
        <f aca="false">IFERROR(INDEX('Bank Schedule'!L:L, SMALL(IF('Bank Schedule'!$K$2:$K$817="Vacant", ROW('Bank Schedule'!$K$2:$K$817)), ROW(88:88))), "")</f>
        <v/>
      </c>
      <c r="L91" s="11" t="str">
        <f aca="false">IFERROR(INDEX('Bank Schedule'!M:M, SMALL(IF('Bank Schedule'!$K$2:$K$817="Vacant", ROW('Bank Schedule'!$K$2:$K$817)), ROW(88:88))), "")</f>
        <v/>
      </c>
      <c r="M91" s="71" t="n">
        <f aca="false" t="array" ref="M91:M91">IFERROR(INDEX('Bank Schedule'!N:N, SMALL(IF('Bank Schedule'!$K$2:$K$817="Vacant", ROW('Bank Schedule'!$K$2:$K$817)), ROW(88:88))), "")</f>
        <v>45521</v>
      </c>
      <c r="N91" s="11" t="str">
        <f aca="false">IFERROR(INDEX('Bank Schedule'!O:O, SMALL(IF('Bank Schedule'!$K$2:$K$817="Vacant", ROW('Bank Schedule'!$K$2:$K$817)), ROW(88:88))), "")</f>
        <v/>
      </c>
      <c r="O91" s="11" t="str">
        <f aca="false">IFERROR(INDEX('Bank Schedule'!P:P, SMALL(IF('Bank Schedule'!$K$2:$K$817="Vacant", ROW('Bank Schedule'!$K$2:$K$817)), ROW(88:88))), "")</f>
        <v/>
      </c>
      <c r="P91" s="11" t="n">
        <f aca="false" t="array" ref="P91:P91">IFERROR(INDEX('Bank Schedule'!Q:Q, SMALL(IF('Bank Schedule'!$K$2:$K$817="Vacant", ROW('Bank Schedule'!$K$2:$K$817)), ROW(88:88))), "")</f>
        <v>0</v>
      </c>
      <c r="Q91" s="11" t="n">
        <f aca="false" t="array" ref="Q91:Q91">IFERROR(INDEX('Bank Schedule'!R:R, SMALL(IF('Bank Schedule'!$K$2:$K$817="Vacant", ROW('Bank Schedule'!$K$2:$K$817)), ROW(88:88))), "")</f>
        <v>0</v>
      </c>
      <c r="R91" s="11" t="str">
        <f aca="false">IFERROR(INDEX('Bank Schedule'!S:S, SMALL(IF('Bank Schedule'!$K$2:$K$817="Vacant", ROW('Bank Schedule'!$K$2:$K$817)), ROW(88:88))), "")</f>
        <v/>
      </c>
      <c r="S91" s="281" t="n">
        <f aca="false" t="array" ref="S91:S91">IFERROR(INDEX('Bank Schedule'!T:T, SMALL(IF('Bank Schedule'!$K$2:$K$817="Vacant", ROW('Bank Schedule'!$K$2:$K$817)), ROW(88:88))), "")</f>
        <v>64100</v>
      </c>
      <c r="T91" s="281" t="n">
        <f aca="false" t="array" ref="T91:T91">IFERROR(INDEX('Bank Schedule'!U:U, SMALL(IF('Bank Schedule'!$K$2:$K$817="Vacant", ROW('Bank Schedule'!$K$2:$K$817)), ROW(88:88))), "")</f>
        <v>64100</v>
      </c>
      <c r="U91" s="281" t="n">
        <f aca="false" t="array" ref="U91:U91">IFERROR(INDEX('Bank Schedule'!V:V, SMALL(IF('Bank Schedule'!$K$2:$K$817="Vacant", ROW('Bank Schedule'!$K$2:$K$817)), ROW(88:88))), "")</f>
        <v>63100</v>
      </c>
      <c r="V91" s="281" t="n">
        <f aca="false" t="array" ref="V91:V91">IFERROR(INDEX('Bank Schedule'!W:W, SMALL(IF('Bank Schedule'!$K$2:$K$817="Vacant", ROW('Bank Schedule'!$K$2:$K$817)), ROW(88:88))), "")</f>
        <v>63100</v>
      </c>
      <c r="W91" s="282" t="n">
        <f aca="false" t="array" ref="W91:W91">IFERROR(INDEX('Bank Schedule'!X:X, SMALL(IF('Bank Schedule'!$K$2:$K$817="Vacant", ROW('Bank Schedule'!$K$2:$K$817)), ROW(88:88))), "")</f>
        <v>53.3721898417985</v>
      </c>
      <c r="X91" s="11" t="str">
        <f aca="false" t="array" ref="X91:X91">IFERROR(INDEX('Bank Schedule'!Y:Y, SMALL(IF('Bank Schedule'!$K$2:$K$817="Vacant", ROW('Bank Schedule'!$K$2:$K$817)), ROW(88:88))), "")</f>
        <v>D</v>
      </c>
      <c r="Y91" s="11" t="str">
        <f aca="false">IFERROR(INDEX('Bank Schedule'!Z:Z, SMALL(IF('Bank Schedule'!$K$2:$K$817="Vacant", ROW('Bank Schedule'!$K$2:$K$817)), ROW(88:88))), "")</f>
        <v/>
      </c>
      <c r="Z91" s="11" t="str">
        <f aca="false">IFERROR(INDEX('Bank Schedule'!AA:AA, SMALL(IF('Bank Schedule'!$K$2:$K$817="Vacant", ROW('Bank Schedule'!$K$2:$K$817)), ROW(88:88))), "")</f>
        <v/>
      </c>
      <c r="AA91" s="11" t="str">
        <f aca="false" t="array" ref="AA91:AA91">IFERROR(INDEX('Bank Schedule'!AB:AB, SMALL(IF('Bank Schedule'!$K$2:$K$817="Vacant", ROW('Bank Schedule'!$K$2:$K$817)), ROW(88:88))), "")</f>
        <v>No</v>
      </c>
      <c r="AB91" s="94" t="str">
        <f aca="false" t="array" ref="AB91:AB91">IFERROR(INDEX('Bank Schedule'!AC:AC, SMALL(IF('Bank Schedule'!$K$2:$K$817="Vacant", ROW('Bank Schedule'!$K$2:$K$817)), ROW(88:88))), "")</f>
        <v>LEM marketing.</v>
      </c>
      <c r="AC91" s="44" t="str">
        <f aca="false">IFERROR(INDEX('Bank Schedule'!AD:AD, SMALL(IF('Bank Schedule'!$K$2:$K$817="Vacant", ROW('Bank Schedule'!$K$2:$K$817)), ROW(88:88))), "")</f>
        <v/>
      </c>
      <c r="AD91" s="11" t="str">
        <f aca="false">IFERROR(INDEX('Bank Schedule'!AE:AE, SMALL(IF('Bank Schedule'!$K$2:$K$817="Vacant", ROW('Bank Schedule'!$K$2:$K$817)), ROW(88:88))), "")</f>
        <v/>
      </c>
      <c r="AE91" s="11" t="str">
        <f aca="false">IFERROR(INDEX('Bank Schedule'!AF:AF, SMALL(IF('Bank Schedule'!$K$2:$K$817="Vacant", ROW('Bank Schedule'!$K$2:$K$817)), ROW(88:88))), "")</f>
        <v/>
      </c>
      <c r="AF91" s="11" t="str">
        <f aca="false">IFERROR(INDEX('Bank Schedule'!AG:AG, SMALL(IF('Bank Schedule'!$K$2:$K$817="Vacant", ROW('Bank Schedule'!$K$2:$K$817)), ROW(88:88))), "")</f>
        <v/>
      </c>
      <c r="AG91" s="4"/>
    </row>
    <row r="92" customFormat="false" ht="28.5" hidden="false" customHeight="true" outlineLevel="0" collapsed="false">
      <c r="A92" s="28" t="str">
        <f aca="false">IFERROR(INDEX('Bank Schedule'!A:A, SMALL(IF('Bank Schedule'!$K$2:$K$817="Vacant", ROW('Bank Schedule'!$K$2:$K$817)), ROW(89:89))), "")</f>
        <v/>
      </c>
      <c r="B92" s="11" t="str">
        <f aca="false" t="array" ref="B92:B92">IFERROR(INDEX('Bank Schedule'!B:B, SMALL(IF('Bank Schedule'!$K$2:$K$817="Vacant", ROW('Bank Schedule'!$K$2:$K$817)), ROW(89:89))), "")</f>
        <v>JM</v>
      </c>
      <c r="C92" s="11" t="str">
        <f aca="false" t="array" ref="C92:C92">IFERROR(INDEX('Bank Schedule'!C:C, SMALL(IF('Bank Schedule'!$K$2:$K$817="Vacant", ROW('Bank Schedule'!$K$2:$K$817)), ROW(89:89))), "")</f>
        <v>MEL</v>
      </c>
      <c r="D92" s="11" t="n">
        <f aca="false" t="array" ref="D92:D92">IFERROR(INDEX('Bank Schedule'!D:D, SMALL(IF('Bank Schedule'!$K$2:$K$817="Vacant", ROW('Bank Schedule'!$K$2:$K$817)), ROW(89:89))), "")</f>
        <v>550940</v>
      </c>
      <c r="E92" s="94" t="str">
        <f aca="false" t="array" ref="E92:E92">IFERROR(INDEX('Bank Schedule'!E:E, SMALL(IF('Bank Schedule'!$K$2:$K$817="Vacant", ROW('Bank Schedule'!$K$2:$K$817)), ROW(89:89))), "")</f>
        <v>Radiant House, 34-38 Mortimer Street &amp; 3-4 Bywell Place</v>
      </c>
      <c r="F92" s="94" t="str">
        <f aca="false" t="array" ref="F92:F92">IFERROR(INDEX('Bank Schedule'!F:F, SMALL(IF('Bank Schedule'!$K$2:$K$817="Vacant", ROW('Bank Schedule'!$K$2:$K$817)), ROW(89:89))), "")</f>
        <v>Second (36-38)</v>
      </c>
      <c r="G92" s="94" t="str">
        <f aca="false" t="array" ref="G92:G92">IFERROR(INDEX('Bank Schedule'!G:G, SMALL(IF('Bank Schedule'!$K$2:$K$817="Vacant", ROW('Bank Schedule'!$K$2:$K$817)), ROW(89:89))), "")</f>
        <v>Office</v>
      </c>
      <c r="H92" s="14" t="n">
        <f aca="false" t="array" ref="H92:H92">IFERROR(INDEX('Bank Schedule'!H:H, SMALL(IF('Bank Schedule'!$K$2:$K$817="Vacant", ROW('Bank Schedule'!$K$2:$K$817)), ROW(89:89))), "")</f>
        <v>1255</v>
      </c>
      <c r="I92" s="14" t="n">
        <f aca="false" t="array" ref="I92:I92">IFERROR(INDEX('Bank Schedule'!I:I, SMALL(IF('Bank Schedule'!$K$2:$K$817="Vacant", ROW('Bank Schedule'!$K$2:$K$817)), ROW(89:89))), "")</f>
        <v>1255</v>
      </c>
      <c r="J92" s="11" t="str">
        <f aca="false" t="array" ref="J92:J92">IFERROR(INDEX('Bank Schedule'!K:K, SMALL(IF('Bank Schedule'!$K$2:$K$817="Vacant", ROW('Bank Schedule'!$K$2:$K$817)), ROW(89:89))), "")</f>
        <v>Vacant</v>
      </c>
      <c r="K92" s="11" t="str">
        <f aca="false">IFERROR(INDEX('Bank Schedule'!L:L, SMALL(IF('Bank Schedule'!$K$2:$K$817="Vacant", ROW('Bank Schedule'!$K$2:$K$817)), ROW(89:89))), "")</f>
        <v/>
      </c>
      <c r="L92" s="11" t="str">
        <f aca="false">IFERROR(INDEX('Bank Schedule'!M:M, SMALL(IF('Bank Schedule'!$K$2:$K$817="Vacant", ROW('Bank Schedule'!$K$2:$K$817)), ROW(89:89))), "")</f>
        <v/>
      </c>
      <c r="M92" s="71" t="n">
        <f aca="false" t="array" ref="M92:M92">IFERROR(INDEX('Bank Schedule'!N:N, SMALL(IF('Bank Schedule'!$K$2:$K$817="Vacant", ROW('Bank Schedule'!$K$2:$K$817)), ROW(89:89))), "")</f>
        <v>44320</v>
      </c>
      <c r="N92" s="11" t="str">
        <f aca="false">IFERROR(INDEX('Bank Schedule'!O:O, SMALL(IF('Bank Schedule'!$K$2:$K$817="Vacant", ROW('Bank Schedule'!$K$2:$K$817)), ROW(89:89))), "")</f>
        <v/>
      </c>
      <c r="O92" s="11" t="str">
        <f aca="false">IFERROR(INDEX('Bank Schedule'!P:P, SMALL(IF('Bank Schedule'!$K$2:$K$817="Vacant", ROW('Bank Schedule'!$K$2:$K$817)), ROW(89:89))), "")</f>
        <v/>
      </c>
      <c r="P92" s="11" t="n">
        <f aca="false" t="array" ref="P92:P92">IFERROR(INDEX('Bank Schedule'!Q:Q, SMALL(IF('Bank Schedule'!$K$2:$K$817="Vacant", ROW('Bank Schedule'!$K$2:$K$817)), ROW(89:89))), "")</f>
        <v>0</v>
      </c>
      <c r="Q92" s="11" t="n">
        <f aca="false" t="array" ref="Q92:Q92">IFERROR(INDEX('Bank Schedule'!R:R, SMALL(IF('Bank Schedule'!$K$2:$K$817="Vacant", ROW('Bank Schedule'!$K$2:$K$817)), ROW(89:89))), "")</f>
        <v>0</v>
      </c>
      <c r="R92" s="11" t="str">
        <f aca="false">IFERROR(INDEX('Bank Schedule'!S:S, SMALL(IF('Bank Schedule'!$K$2:$K$817="Vacant", ROW('Bank Schedule'!$K$2:$K$817)), ROW(89:89))), "")</f>
        <v/>
      </c>
      <c r="S92" s="281" t="n">
        <f aca="false" t="array" ref="S92:S92">IFERROR(INDEX('Bank Schedule'!T:T, SMALL(IF('Bank Schedule'!$K$2:$K$817="Vacant", ROW('Bank Schedule'!$K$2:$K$817)), ROW(89:89))), "")</f>
        <v>67300</v>
      </c>
      <c r="T92" s="281" t="n">
        <f aca="false" t="array" ref="T92:T92">IFERROR(INDEX('Bank Schedule'!U:U, SMALL(IF('Bank Schedule'!$K$2:$K$817="Vacant", ROW('Bank Schedule'!$K$2:$K$817)), ROW(89:89))), "")</f>
        <v>67300</v>
      </c>
      <c r="U92" s="281" t="n">
        <f aca="false" t="array" ref="U92:U92">IFERROR(INDEX('Bank Schedule'!V:V, SMALL(IF('Bank Schedule'!$K$2:$K$817="Vacant", ROW('Bank Schedule'!$K$2:$K$817)), ROW(89:89))), "")</f>
        <v>69000</v>
      </c>
      <c r="V92" s="281" t="n">
        <f aca="false" t="array" ref="V92:V92">IFERROR(INDEX('Bank Schedule'!W:W, SMALL(IF('Bank Schedule'!$K$2:$K$817="Vacant", ROW('Bank Schedule'!$K$2:$K$817)), ROW(89:89))), "")</f>
        <v>69000</v>
      </c>
      <c r="W92" s="282" t="n">
        <f aca="false" t="array" ref="W92:W92">IFERROR(INDEX('Bank Schedule'!X:X, SMALL(IF('Bank Schedule'!$K$2:$K$817="Vacant", ROW('Bank Schedule'!$K$2:$K$817)), ROW(89:89))), "")</f>
        <v>53.6254980079681</v>
      </c>
      <c r="X92" s="11" t="str">
        <f aca="false" t="array" ref="X92:X92">IFERROR(INDEX('Bank Schedule'!Y:Y, SMALL(IF('Bank Schedule'!$K$2:$K$817="Vacant", ROW('Bank Schedule'!$K$2:$K$817)), ROW(89:89))), "")</f>
        <v>D</v>
      </c>
      <c r="Y92" s="11" t="str">
        <f aca="false">IFERROR(INDEX('Bank Schedule'!Z:Z, SMALL(IF('Bank Schedule'!$K$2:$K$817="Vacant", ROW('Bank Schedule'!$K$2:$K$817)), ROW(89:89))), "")</f>
        <v/>
      </c>
      <c r="Z92" s="11" t="str">
        <f aca="false">IFERROR(INDEX('Bank Schedule'!AA:AA, SMALL(IF('Bank Schedule'!$K$2:$K$817="Vacant", ROW('Bank Schedule'!$K$2:$K$817)), ROW(89:89))), "")</f>
        <v/>
      </c>
      <c r="AA92" s="11" t="str">
        <f aca="false" t="array" ref="AA92:AA92">IFERROR(INDEX('Bank Schedule'!AB:AB, SMALL(IF('Bank Schedule'!$K$2:$K$817="Vacant", ROW('Bank Schedule'!$K$2:$K$817)), ROW(89:89))), "")</f>
        <v>No</v>
      </c>
      <c r="AB92" s="94" t="str">
        <f aca="false" t="array" ref="AB92:AB92">IFERROR(INDEX('Bank Schedule'!AC:AC, SMALL(IF('Bank Schedule'!$K$2:$K$817="Vacant", ROW('Bank Schedule'!$K$2:$K$817)), ROW(89:89))), "")</f>
        <v>To be refurbished.</v>
      </c>
      <c r="AC92" s="44" t="str">
        <f aca="false">IFERROR(INDEX('Bank Schedule'!AD:AD, SMALL(IF('Bank Schedule'!$K$2:$K$817="Vacant", ROW('Bank Schedule'!$K$2:$K$817)), ROW(89:89))), "")</f>
        <v/>
      </c>
      <c r="AD92" s="11" t="str">
        <f aca="false">IFERROR(INDEX('Bank Schedule'!AE:AE, SMALL(IF('Bank Schedule'!$K$2:$K$817="Vacant", ROW('Bank Schedule'!$K$2:$K$817)), ROW(89:89))), "")</f>
        <v/>
      </c>
      <c r="AE92" s="11" t="str">
        <f aca="false">IFERROR(INDEX('Bank Schedule'!AF:AF, SMALL(IF('Bank Schedule'!$K$2:$K$817="Vacant", ROW('Bank Schedule'!$K$2:$K$817)), ROW(89:89))), "")</f>
        <v/>
      </c>
      <c r="AF92" s="11" t="str">
        <f aca="false">IFERROR(INDEX('Bank Schedule'!AG:AG, SMALL(IF('Bank Schedule'!$K$2:$K$817="Vacant", ROW('Bank Schedule'!$K$2:$K$817)), ROW(89:89))), "")</f>
        <v/>
      </c>
      <c r="AG92" s="4"/>
    </row>
    <row r="93" customFormat="false" ht="28.5" hidden="false" customHeight="true" outlineLevel="0" collapsed="false">
      <c r="A93" s="28" t="str">
        <f aca="false">IFERROR(INDEX('Bank Schedule'!A:A, SMALL(IF('Bank Schedule'!$K$2:$K$817="Vacant", ROW('Bank Schedule'!$K$2:$K$817)), ROW(90:90))), "")</f>
        <v/>
      </c>
      <c r="B93" s="11" t="str">
        <f aca="false" t="array" ref="B93:B93">IFERROR(INDEX('Bank Schedule'!B:B, SMALL(IF('Bank Schedule'!$K$2:$K$817="Vacant", ROW('Bank Schedule'!$K$2:$K$817)), ROW(90:90))), "")</f>
        <v>JM</v>
      </c>
      <c r="C93" s="11" t="str">
        <f aca="false" t="array" ref="C93:C93">IFERROR(INDEX('Bank Schedule'!C:C, SMALL(IF('Bank Schedule'!$K$2:$K$817="Vacant", ROW('Bank Schedule'!$K$2:$K$817)), ROW(90:90))), "")</f>
        <v>MEL</v>
      </c>
      <c r="D93" s="11" t="n">
        <f aca="false" t="array" ref="D93:D93">IFERROR(INDEX('Bank Schedule'!D:D, SMALL(IF('Bank Schedule'!$K$2:$K$817="Vacant", ROW('Bank Schedule'!$K$2:$K$817)), ROW(90:90))), "")</f>
        <v>550940</v>
      </c>
      <c r="E93" s="94" t="str">
        <f aca="false" t="array" ref="E93:E93">IFERROR(INDEX('Bank Schedule'!E:E, SMALL(IF('Bank Schedule'!$K$2:$K$817="Vacant", ROW('Bank Schedule'!$K$2:$K$817)), ROW(90:90))), "")</f>
        <v>Radiant House, 34-38 Mortimer Street &amp; 3-4 Bywell Place</v>
      </c>
      <c r="F93" s="94" t="str">
        <f aca="false" t="array" ref="F93:F93">IFERROR(INDEX('Bank Schedule'!F:F, SMALL(IF('Bank Schedule'!$K$2:$K$817="Vacant", ROW('Bank Schedule'!$K$2:$K$817)), ROW(90:90))), "")</f>
        <v>Third (36-38)</v>
      </c>
      <c r="G93" s="94" t="str">
        <f aca="false" t="array" ref="G93:G93">IFERROR(INDEX('Bank Schedule'!G:G, SMALL(IF('Bank Schedule'!$K$2:$K$817="Vacant", ROW('Bank Schedule'!$K$2:$K$817)), ROW(90:90))), "")</f>
        <v>Office</v>
      </c>
      <c r="H93" s="14" t="n">
        <f aca="false" t="array" ref="H93:H93">IFERROR(INDEX('Bank Schedule'!H:H, SMALL(IF('Bank Schedule'!$K$2:$K$817="Vacant", ROW('Bank Schedule'!$K$2:$K$817)), ROW(90:90))), "")</f>
        <v>1252</v>
      </c>
      <c r="I93" s="14" t="n">
        <f aca="false" t="array" ref="I93:I93">IFERROR(INDEX('Bank Schedule'!I:I, SMALL(IF('Bank Schedule'!$K$2:$K$817="Vacant", ROW('Bank Schedule'!$K$2:$K$817)), ROW(90:90))), "")</f>
        <v>1252</v>
      </c>
      <c r="J93" s="11" t="str">
        <f aca="false" t="array" ref="J93:J93">IFERROR(INDEX('Bank Schedule'!K:K, SMALL(IF('Bank Schedule'!$K$2:$K$817="Vacant", ROW('Bank Schedule'!$K$2:$K$817)), ROW(90:90))), "")</f>
        <v>Vacant</v>
      </c>
      <c r="K93" s="11" t="str">
        <f aca="false">IFERROR(INDEX('Bank Schedule'!L:L, SMALL(IF('Bank Schedule'!$K$2:$K$817="Vacant", ROW('Bank Schedule'!$K$2:$K$817)), ROW(90:90))), "")</f>
        <v/>
      </c>
      <c r="L93" s="11" t="str">
        <f aca="false">IFERROR(INDEX('Bank Schedule'!M:M, SMALL(IF('Bank Schedule'!$K$2:$K$817="Vacant", ROW('Bank Schedule'!$K$2:$K$817)), ROW(90:90))), "")</f>
        <v/>
      </c>
      <c r="M93" s="71" t="n">
        <f aca="false" t="array" ref="M93:M93">IFERROR(INDEX('Bank Schedule'!N:N, SMALL(IF('Bank Schedule'!$K$2:$K$817="Vacant", ROW('Bank Schedule'!$K$2:$K$817)), ROW(90:90))), "")</f>
        <v>44622</v>
      </c>
      <c r="N93" s="11" t="str">
        <f aca="false">IFERROR(INDEX('Bank Schedule'!O:O, SMALL(IF('Bank Schedule'!$K$2:$K$817="Vacant", ROW('Bank Schedule'!$K$2:$K$817)), ROW(90:90))), "")</f>
        <v/>
      </c>
      <c r="O93" s="11" t="str">
        <f aca="false">IFERROR(INDEX('Bank Schedule'!P:P, SMALL(IF('Bank Schedule'!$K$2:$K$817="Vacant", ROW('Bank Schedule'!$K$2:$K$817)), ROW(90:90))), "")</f>
        <v/>
      </c>
      <c r="P93" s="11" t="n">
        <f aca="false" t="array" ref="P93:P93">IFERROR(INDEX('Bank Schedule'!Q:Q, SMALL(IF('Bank Schedule'!$K$2:$K$817="Vacant", ROW('Bank Schedule'!$K$2:$K$817)), ROW(90:90))), "")</f>
        <v>0</v>
      </c>
      <c r="Q93" s="11" t="n">
        <f aca="false" t="array" ref="Q93:Q93">IFERROR(INDEX('Bank Schedule'!R:R, SMALL(IF('Bank Schedule'!$K$2:$K$817="Vacant", ROW('Bank Schedule'!$K$2:$K$817)), ROW(90:90))), "")</f>
        <v>0</v>
      </c>
      <c r="R93" s="11" t="str">
        <f aca="false">IFERROR(INDEX('Bank Schedule'!S:S, SMALL(IF('Bank Schedule'!$K$2:$K$817="Vacant", ROW('Bank Schedule'!$K$2:$K$817)), ROW(90:90))), "")</f>
        <v/>
      </c>
      <c r="S93" s="281" t="n">
        <f aca="false" t="array" ref="S93:S93">IFERROR(INDEX('Bank Schedule'!T:T, SMALL(IF('Bank Schedule'!$K$2:$K$817="Vacant", ROW('Bank Schedule'!$K$2:$K$817)), ROW(90:90))), "")</f>
        <v>67600</v>
      </c>
      <c r="T93" s="281" t="n">
        <f aca="false" t="array" ref="T93:T93">IFERROR(INDEX('Bank Schedule'!U:U, SMALL(IF('Bank Schedule'!$K$2:$K$817="Vacant", ROW('Bank Schedule'!$K$2:$K$817)), ROW(90:90))), "")</f>
        <v>67600</v>
      </c>
      <c r="U93" s="281" t="n">
        <f aca="false" t="array" ref="U93:U93">IFERROR(INDEX('Bank Schedule'!V:V, SMALL(IF('Bank Schedule'!$K$2:$K$817="Vacant", ROW('Bank Schedule'!$K$2:$K$817)), ROW(90:90))), "")</f>
        <v>68900</v>
      </c>
      <c r="V93" s="281" t="n">
        <f aca="false" t="array" ref="V93:V93">IFERROR(INDEX('Bank Schedule'!W:W, SMALL(IF('Bank Schedule'!$K$2:$K$817="Vacant", ROW('Bank Schedule'!$K$2:$K$817)), ROW(90:90))), "")</f>
        <v>68900</v>
      </c>
      <c r="W93" s="282" t="n">
        <f aca="false" t="array" ref="W93:W93">IFERROR(INDEX('Bank Schedule'!X:X, SMALL(IF('Bank Schedule'!$K$2:$K$817="Vacant", ROW('Bank Schedule'!$K$2:$K$817)), ROW(90:90))), "")</f>
        <v>53.9936102236422</v>
      </c>
      <c r="X93" s="11" t="str">
        <f aca="false" t="array" ref="X93:X93">IFERROR(INDEX('Bank Schedule'!Y:Y, SMALL(IF('Bank Schedule'!$K$2:$K$817="Vacant", ROW('Bank Schedule'!$K$2:$K$817)), ROW(90:90))), "")</f>
        <v>E</v>
      </c>
      <c r="Y93" s="11" t="str">
        <f aca="false">IFERROR(INDEX('Bank Schedule'!Z:Z, SMALL(IF('Bank Schedule'!$K$2:$K$817="Vacant", ROW('Bank Schedule'!$K$2:$K$817)), ROW(90:90))), "")</f>
        <v/>
      </c>
      <c r="Z93" s="11" t="str">
        <f aca="false">IFERROR(INDEX('Bank Schedule'!AA:AA, SMALL(IF('Bank Schedule'!$K$2:$K$817="Vacant", ROW('Bank Schedule'!$K$2:$K$817)), ROW(90:90))), "")</f>
        <v/>
      </c>
      <c r="AA93" s="11" t="str">
        <f aca="false" t="array" ref="AA93:AA93">IFERROR(INDEX('Bank Schedule'!AB:AB, SMALL(IF('Bank Schedule'!$K$2:$K$817="Vacant", ROW('Bank Schedule'!$K$2:$K$817)), ROW(90:90))), "")</f>
        <v>No</v>
      </c>
      <c r="AB93" s="94" t="str">
        <f aca="false" t="array" ref="AB93:AB93">IFERROR(INDEX('Bank Schedule'!AC:AC, SMALL(IF('Bank Schedule'!$K$2:$K$817="Vacant", ROW('Bank Schedule'!$K$2:$K$817)), ROW(90:90))), "")</f>
        <v>To be refurbished.</v>
      </c>
      <c r="AC93" s="44" t="str">
        <f aca="false">IFERROR(INDEX('Bank Schedule'!AD:AD, SMALL(IF('Bank Schedule'!$K$2:$K$817="Vacant", ROW('Bank Schedule'!$K$2:$K$817)), ROW(90:90))), "")</f>
        <v/>
      </c>
      <c r="AD93" s="11" t="str">
        <f aca="false">IFERROR(INDEX('Bank Schedule'!AE:AE, SMALL(IF('Bank Schedule'!$K$2:$K$817="Vacant", ROW('Bank Schedule'!$K$2:$K$817)), ROW(90:90))), "")</f>
        <v/>
      </c>
      <c r="AE93" s="11" t="str">
        <f aca="false">IFERROR(INDEX('Bank Schedule'!AF:AF, SMALL(IF('Bank Schedule'!$K$2:$K$817="Vacant", ROW('Bank Schedule'!$K$2:$K$817)), ROW(90:90))), "")</f>
        <v/>
      </c>
      <c r="AF93" s="11" t="str">
        <f aca="false">IFERROR(INDEX('Bank Schedule'!AG:AG, SMALL(IF('Bank Schedule'!$K$2:$K$817="Vacant", ROW('Bank Schedule'!$K$2:$K$817)), ROW(90:90))), "")</f>
        <v/>
      </c>
      <c r="AG93" s="4"/>
    </row>
    <row r="94" customFormat="false" ht="28.5" hidden="false" customHeight="true" outlineLevel="0" collapsed="false">
      <c r="A94" s="28" t="str">
        <f aca="false">IFERROR(INDEX('Bank Schedule'!A:A, SMALL(IF('Bank Schedule'!$K$2:$K$817="Vacant", ROW('Bank Schedule'!$K$2:$K$817)), ROW(91:91))), "")</f>
        <v/>
      </c>
      <c r="B94" s="11" t="str">
        <f aca="false" t="array" ref="B94:B94">IFERROR(INDEX('Bank Schedule'!B:B, SMALL(IF('Bank Schedule'!$K$2:$K$817="Vacant", ROW('Bank Schedule'!$K$2:$K$817)), ROW(91:91))), "")</f>
        <v>JM</v>
      </c>
      <c r="C94" s="11" t="str">
        <f aca="false" t="array" ref="C94:C94">IFERROR(INDEX('Bank Schedule'!C:C, SMALL(IF('Bank Schedule'!$K$2:$K$817="Vacant", ROW('Bank Schedule'!$K$2:$K$817)), ROW(91:91))), "")</f>
        <v>MEL</v>
      </c>
      <c r="D94" s="11" t="n">
        <f aca="false" t="array" ref="D94:D94">IFERROR(INDEX('Bank Schedule'!D:D, SMALL(IF('Bank Schedule'!$K$2:$K$817="Vacant", ROW('Bank Schedule'!$K$2:$K$817)), ROW(91:91))), "")</f>
        <v>550940</v>
      </c>
      <c r="E94" s="94" t="str">
        <f aca="false" t="array" ref="E94:E94">IFERROR(INDEX('Bank Schedule'!E:E, SMALL(IF('Bank Schedule'!$K$2:$K$817="Vacant", ROW('Bank Schedule'!$K$2:$K$817)), ROW(91:91))), "")</f>
        <v>Radiant House, 34-38 Mortimer Street &amp; 3-4 Bywell Place</v>
      </c>
      <c r="F94" s="94" t="str">
        <f aca="false" t="array" ref="F94:F94">IFERROR(INDEX('Bank Schedule'!F:F, SMALL(IF('Bank Schedule'!$K$2:$K$817="Vacant", ROW('Bank Schedule'!$K$2:$K$817)), ROW(91:91))), "")</f>
        <v>Second, 3-4 Bywell Place</v>
      </c>
      <c r="G94" s="94" t="str">
        <f aca="false" t="array" ref="G94:G94">IFERROR(INDEX('Bank Schedule'!G:G, SMALL(IF('Bank Schedule'!$K$2:$K$817="Vacant", ROW('Bank Schedule'!$K$2:$K$817)), ROW(91:91))), "")</f>
        <v>Office</v>
      </c>
      <c r="H94" s="14" t="n">
        <f aca="false" t="array" ref="H94:H94">IFERROR(INDEX('Bank Schedule'!H:H, SMALL(IF('Bank Schedule'!$K$2:$K$817="Vacant", ROW('Bank Schedule'!$K$2:$K$817)), ROW(91:91))), "")</f>
        <v>781</v>
      </c>
      <c r="I94" s="14" t="n">
        <f aca="false" t="array" ref="I94:I94">IFERROR(INDEX('Bank Schedule'!I:I, SMALL(IF('Bank Schedule'!$K$2:$K$817="Vacant", ROW('Bank Schedule'!$K$2:$K$817)), ROW(91:91))), "")</f>
        <v>781</v>
      </c>
      <c r="J94" s="11" t="str">
        <f aca="false" t="array" ref="J94:J94">IFERROR(INDEX('Bank Schedule'!K:K, SMALL(IF('Bank Schedule'!$K$2:$K$817="Vacant", ROW('Bank Schedule'!$K$2:$K$817)), ROW(91:91))), "")</f>
        <v>Vacant</v>
      </c>
      <c r="K94" s="11" t="str">
        <f aca="false">IFERROR(INDEX('Bank Schedule'!L:L, SMALL(IF('Bank Schedule'!$K$2:$K$817="Vacant", ROW('Bank Schedule'!$K$2:$K$817)), ROW(91:91))), "")</f>
        <v/>
      </c>
      <c r="L94" s="11" t="str">
        <f aca="false">IFERROR(INDEX('Bank Schedule'!M:M, SMALL(IF('Bank Schedule'!$K$2:$K$817="Vacant", ROW('Bank Schedule'!$K$2:$K$817)), ROW(91:91))), "")</f>
        <v/>
      </c>
      <c r="M94" s="71" t="n">
        <f aca="false" t="array" ref="M94:M94">IFERROR(INDEX('Bank Schedule'!N:N, SMALL(IF('Bank Schedule'!$K$2:$K$817="Vacant", ROW('Bank Schedule'!$K$2:$K$817)), ROW(91:91))), "")</f>
        <v>45383</v>
      </c>
      <c r="N94" s="11" t="str">
        <f aca="false">IFERROR(INDEX('Bank Schedule'!O:O, SMALL(IF('Bank Schedule'!$K$2:$K$817="Vacant", ROW('Bank Schedule'!$K$2:$K$817)), ROW(91:91))), "")</f>
        <v/>
      </c>
      <c r="O94" s="11" t="str">
        <f aca="false">IFERROR(INDEX('Bank Schedule'!P:P, SMALL(IF('Bank Schedule'!$K$2:$K$817="Vacant", ROW('Bank Schedule'!$K$2:$K$817)), ROW(91:91))), "")</f>
        <v/>
      </c>
      <c r="P94" s="11" t="n">
        <f aca="false" t="array" ref="P94:P94">IFERROR(INDEX('Bank Schedule'!Q:Q, SMALL(IF('Bank Schedule'!$K$2:$K$817="Vacant", ROW('Bank Schedule'!$K$2:$K$817)), ROW(91:91))), "")</f>
        <v>0</v>
      </c>
      <c r="Q94" s="11" t="n">
        <f aca="false" t="array" ref="Q94:Q94">IFERROR(INDEX('Bank Schedule'!R:R, SMALL(IF('Bank Schedule'!$K$2:$K$817="Vacant", ROW('Bank Schedule'!$K$2:$K$817)), ROW(91:91))), "")</f>
        <v>0</v>
      </c>
      <c r="R94" s="11" t="str">
        <f aca="false">IFERROR(INDEX('Bank Schedule'!S:S, SMALL(IF('Bank Schedule'!$K$2:$K$817="Vacant", ROW('Bank Schedule'!$K$2:$K$817)), ROW(91:91))), "")</f>
        <v/>
      </c>
      <c r="S94" s="281" t="n">
        <f aca="false" t="array" ref="S94:S94">IFERROR(INDEX('Bank Schedule'!T:T, SMALL(IF('Bank Schedule'!$K$2:$K$817="Vacant", ROW('Bank Schedule'!$K$2:$K$817)), ROW(91:91))), "")</f>
        <v>37300</v>
      </c>
      <c r="T94" s="281" t="n">
        <f aca="false" t="array" ref="T94:T94">IFERROR(INDEX('Bank Schedule'!U:U, SMALL(IF('Bank Schedule'!$K$2:$K$817="Vacant", ROW('Bank Schedule'!$K$2:$K$817)), ROW(91:91))), "")</f>
        <v>37300</v>
      </c>
      <c r="U94" s="281" t="n">
        <f aca="false" t="array" ref="U94:U94">IFERROR(INDEX('Bank Schedule'!V:V, SMALL(IF('Bank Schedule'!$K$2:$K$817="Vacant", ROW('Bank Schedule'!$K$2:$K$817)), ROW(91:91))), "")</f>
        <v>33200</v>
      </c>
      <c r="V94" s="281" t="n">
        <f aca="false" t="array" ref="V94:V94">IFERROR(INDEX('Bank Schedule'!W:W, SMALL(IF('Bank Schedule'!$K$2:$K$817="Vacant", ROW('Bank Schedule'!$K$2:$K$817)), ROW(91:91))), "")</f>
        <v>33200</v>
      </c>
      <c r="W94" s="282" t="n">
        <f aca="false" t="array" ref="W94:W94">IFERROR(INDEX('Bank Schedule'!X:X, SMALL(IF('Bank Schedule'!$K$2:$K$817="Vacant", ROW('Bank Schedule'!$K$2:$K$817)), ROW(91:91))), "")</f>
        <v>47.7592829705506</v>
      </c>
      <c r="X94" s="11" t="str">
        <f aca="false" t="array" ref="X94:X94">IFERROR(INDEX('Bank Schedule'!Y:Y, SMALL(IF('Bank Schedule'!$K$2:$K$817="Vacant", ROW('Bank Schedule'!$K$2:$K$817)), ROW(91:91))), "")</f>
        <v>B</v>
      </c>
      <c r="Y94" s="11" t="str">
        <f aca="false" t="array" ref="Y94:Y94">IFERROR(INDEX('Bank Schedule'!Z:Z, SMALL(IF('Bank Schedule'!$K$2:$K$817="Vacant", ROW('Bank Schedule'!$K$2:$K$817)), ROW(91:91))), "")</f>
        <v>*</v>
      </c>
      <c r="Z94" s="11" t="str">
        <f aca="false">IFERROR(INDEX('Bank Schedule'!AA:AA, SMALL(IF('Bank Schedule'!$K$2:$K$817="Vacant", ROW('Bank Schedule'!$K$2:$K$817)), ROW(91:91))), "")</f>
        <v/>
      </c>
      <c r="AA94" s="11" t="str">
        <f aca="false" t="array" ref="AA94:AA94">IFERROR(INDEX('Bank Schedule'!AB:AB, SMALL(IF('Bank Schedule'!$K$2:$K$817="Vacant", ROW('Bank Schedule'!$K$2:$K$817)), ROW(91:91))), "")</f>
        <v>No</v>
      </c>
      <c r="AB94" s="94" t="str">
        <f aca="false" t="array" ref="AB94:AB94">IFERROR(INDEX('Bank Schedule'!AC:AC, SMALL(IF('Bank Schedule'!$K$2:$K$817="Vacant", ROW('Bank Schedule'!$K$2:$K$817)), ROW(91:91))), "")</f>
        <v>LEM marketing.</v>
      </c>
      <c r="AC94" s="44" t="str">
        <f aca="false">IFERROR(INDEX('Bank Schedule'!AD:AD, SMALL(IF('Bank Schedule'!$K$2:$K$817="Vacant", ROW('Bank Schedule'!$K$2:$K$817)), ROW(91:91))), "")</f>
        <v/>
      </c>
      <c r="AD94" s="11" t="str">
        <f aca="false">IFERROR(INDEX('Bank Schedule'!AE:AE, SMALL(IF('Bank Schedule'!$K$2:$K$817="Vacant", ROW('Bank Schedule'!$K$2:$K$817)), ROW(91:91))), "")</f>
        <v/>
      </c>
      <c r="AE94" s="11" t="str">
        <f aca="false">IFERROR(INDEX('Bank Schedule'!AF:AF, SMALL(IF('Bank Schedule'!$K$2:$K$817="Vacant", ROW('Bank Schedule'!$K$2:$K$817)), ROW(91:91))), "")</f>
        <v/>
      </c>
      <c r="AF94" s="11" t="str">
        <f aca="false">IFERROR(INDEX('Bank Schedule'!AG:AG, SMALL(IF('Bank Schedule'!$K$2:$K$817="Vacant", ROW('Bank Schedule'!$K$2:$K$817)), ROW(91:91))), "")</f>
        <v/>
      </c>
      <c r="AG94" s="4"/>
    </row>
    <row r="95" customFormat="false" ht="28.5" hidden="false" customHeight="true" outlineLevel="0" collapsed="false">
      <c r="A95" s="28" t="str">
        <f aca="false">IFERROR(INDEX('Bank Schedule'!A:A, SMALL(IF('Bank Schedule'!$K$2:$K$817="Vacant", ROW('Bank Schedule'!$K$2:$K$817)), ROW(92:92))), "")</f>
        <v/>
      </c>
      <c r="B95" s="11" t="str">
        <f aca="false" t="array" ref="B95:B95">IFERROR(INDEX('Bank Schedule'!B:B, SMALL(IF('Bank Schedule'!$K$2:$K$817="Vacant", ROW('Bank Schedule'!$K$2:$K$817)), ROW(92:92))), "")</f>
        <v>WS</v>
      </c>
      <c r="C95" s="11" t="str">
        <f aca="false" t="array" ref="C95:C95">IFERROR(INDEX('Bank Schedule'!C:C, SMALL(IF('Bank Schedule'!$K$2:$K$817="Vacant", ROW('Bank Schedule'!$K$2:$K$817)), ROW(92:92))), "")</f>
        <v>MEL</v>
      </c>
      <c r="D95" s="11" t="n">
        <f aca="false" t="array" ref="D95:D95">IFERROR(INDEX('Bank Schedule'!D:D, SMALL(IF('Bank Schedule'!$K$2:$K$817="Vacant", ROW('Bank Schedule'!$K$2:$K$817)), ROW(92:92))), "")</f>
        <v>550870</v>
      </c>
      <c r="E95" s="94" t="str">
        <f aca="false" t="array" ref="E95:E95">IFERROR(INDEX('Bank Schedule'!E:E, SMALL(IF('Bank Schedule'!$K$2:$K$817="Vacant", ROW('Bank Schedule'!$K$2:$K$817)), ROW(92:92))), "")</f>
        <v>67 - 81 Mortimer Street</v>
      </c>
      <c r="F95" s="94" t="str">
        <f aca="false" t="array" ref="F95:F95">IFERROR(INDEX('Bank Schedule'!F:F, SMALL(IF('Bank Schedule'!$K$2:$K$817="Vacant", ROW('Bank Schedule'!$K$2:$K$817)), ROW(92:92))), "")</f>
        <v>Second Floor (West)</v>
      </c>
      <c r="G95" s="94" t="str">
        <f aca="false" t="array" ref="G95:G95">IFERROR(INDEX('Bank Schedule'!G:G, SMALL(IF('Bank Schedule'!$K$2:$K$817="Vacant", ROW('Bank Schedule'!$K$2:$K$817)), ROW(92:92))), "")</f>
        <v>Office</v>
      </c>
      <c r="H95" s="14" t="n">
        <f aca="false" t="array" ref="H95:H95">IFERROR(INDEX('Bank Schedule'!H:H, SMALL(IF('Bank Schedule'!$K$2:$K$817="Vacant", ROW('Bank Schedule'!$K$2:$K$817)), ROW(92:92))), "")</f>
        <v>1395</v>
      </c>
      <c r="I95" s="14" t="n">
        <f aca="false" t="array" ref="I95:I95">IFERROR(INDEX('Bank Schedule'!I:I, SMALL(IF('Bank Schedule'!$K$2:$K$817="Vacant", ROW('Bank Schedule'!$K$2:$K$817)), ROW(92:92))), "")</f>
        <v>1395</v>
      </c>
      <c r="J95" s="11" t="str">
        <f aca="false" t="array" ref="J95:J95">IFERROR(INDEX('Bank Schedule'!K:K, SMALL(IF('Bank Schedule'!$K$2:$K$817="Vacant", ROW('Bank Schedule'!$K$2:$K$817)), ROW(92:92))), "")</f>
        <v>Vacant</v>
      </c>
      <c r="K95" s="11" t="str">
        <f aca="false">IFERROR(INDEX('Bank Schedule'!L:L, SMALL(IF('Bank Schedule'!$K$2:$K$817="Vacant", ROW('Bank Schedule'!$K$2:$K$817)), ROW(92:92))), "")</f>
        <v/>
      </c>
      <c r="L95" s="11" t="str">
        <f aca="false">IFERROR(INDEX('Bank Schedule'!M:M, SMALL(IF('Bank Schedule'!$K$2:$K$817="Vacant", ROW('Bank Schedule'!$K$2:$K$817)), ROW(92:92))), "")</f>
        <v/>
      </c>
      <c r="M95" s="71" t="n">
        <f aca="false" t="array" ref="M95:M95">IFERROR(INDEX('Bank Schedule'!N:N, SMALL(IF('Bank Schedule'!$K$2:$K$817="Vacant", ROW('Bank Schedule'!$K$2:$K$817)), ROW(92:92))), "")</f>
        <v>45837</v>
      </c>
      <c r="N95" s="11" t="str">
        <f aca="false">IFERROR(INDEX('Bank Schedule'!O:O, SMALL(IF('Bank Schedule'!$K$2:$K$817="Vacant", ROW('Bank Schedule'!$K$2:$K$817)), ROW(92:92))), "")</f>
        <v/>
      </c>
      <c r="O95" s="11" t="str">
        <f aca="false">IFERROR(INDEX('Bank Schedule'!P:P, SMALL(IF('Bank Schedule'!$K$2:$K$817="Vacant", ROW('Bank Schedule'!$K$2:$K$817)), ROW(92:92))), "")</f>
        <v/>
      </c>
      <c r="P95" s="11" t="n">
        <f aca="false" t="array" ref="P95:P95">IFERROR(INDEX('Bank Schedule'!Q:Q, SMALL(IF('Bank Schedule'!$K$2:$K$817="Vacant", ROW('Bank Schedule'!$K$2:$K$817)), ROW(92:92))), "")</f>
        <v>0</v>
      </c>
      <c r="Q95" s="11" t="n">
        <f aca="false" t="array" ref="Q95:Q95">IFERROR(INDEX('Bank Schedule'!R:R, SMALL(IF('Bank Schedule'!$K$2:$K$817="Vacant", ROW('Bank Schedule'!$K$2:$K$817)), ROW(92:92))), "")</f>
        <v>0</v>
      </c>
      <c r="R95" s="11" t="str">
        <f aca="false">IFERROR(INDEX('Bank Schedule'!S:S, SMALL(IF('Bank Schedule'!$K$2:$K$817="Vacant", ROW('Bank Schedule'!$K$2:$K$817)), ROW(92:92))), "")</f>
        <v/>
      </c>
      <c r="S95" s="281" t="n">
        <f aca="false" t="array" ref="S95:S95">IFERROR(INDEX('Bank Schedule'!T:T, SMALL(IF('Bank Schedule'!$K$2:$K$817="Vacant", ROW('Bank Schedule'!$K$2:$K$817)), ROW(92:92))), "")</f>
        <v>76700</v>
      </c>
      <c r="T95" s="281" t="n">
        <f aca="false" t="array" ref="T95:T95">IFERROR(INDEX('Bank Schedule'!U:U, SMALL(IF('Bank Schedule'!$K$2:$K$817="Vacant", ROW('Bank Schedule'!$K$2:$K$817)), ROW(92:92))), "")</f>
        <v>76700</v>
      </c>
      <c r="U95" s="281" t="n">
        <f aca="false" t="array" ref="U95:U95">IFERROR(INDEX('Bank Schedule'!V:V, SMALL(IF('Bank Schedule'!$K$2:$K$817="Vacant", ROW('Bank Schedule'!$K$2:$K$817)), ROW(92:92))), "")</f>
        <v>76700</v>
      </c>
      <c r="V95" s="281" t="n">
        <f aca="false" t="array" ref="V95:V95">IFERROR(INDEX('Bank Schedule'!W:W, SMALL(IF('Bank Schedule'!$K$2:$K$817="Vacant", ROW('Bank Schedule'!$K$2:$K$817)), ROW(92:92))), "")</f>
        <v>76700</v>
      </c>
      <c r="W95" s="282" t="n">
        <f aca="false" t="array" ref="W95:W95">IFERROR(INDEX('Bank Schedule'!X:X, SMALL(IF('Bank Schedule'!$K$2:$K$817="Vacant", ROW('Bank Schedule'!$K$2:$K$817)), ROW(92:92))), "")</f>
        <v>54.9820788530466</v>
      </c>
      <c r="X95" s="11" t="str">
        <f aca="false" t="array" ref="X95:X95">IFERROR(INDEX('Bank Schedule'!Y:Y, SMALL(IF('Bank Schedule'!$K$2:$K$817="Vacant", ROW('Bank Schedule'!$K$2:$K$817)), ROW(92:92))), "")</f>
        <v>E</v>
      </c>
      <c r="Y95" s="11" t="str">
        <f aca="false">IFERROR(INDEX('Bank Schedule'!Z:Z, SMALL(IF('Bank Schedule'!$K$2:$K$817="Vacant", ROW('Bank Schedule'!$K$2:$K$817)), ROW(92:92))), "")</f>
        <v/>
      </c>
      <c r="Z95" s="11" t="str">
        <f aca="false">IFERROR(INDEX('Bank Schedule'!AA:AA, SMALL(IF('Bank Schedule'!$K$2:$K$817="Vacant", ROW('Bank Schedule'!$K$2:$K$817)), ROW(92:92))), "")</f>
        <v/>
      </c>
      <c r="AA95" s="11" t="str">
        <f aca="false" t="array" ref="AA95:AA95">IFERROR(INDEX('Bank Schedule'!AB:AB, SMALL(IF('Bank Schedule'!$K$2:$K$817="Vacant", ROW('Bank Schedule'!$K$2:$K$817)), ROW(92:92))), "")</f>
        <v>No</v>
      </c>
      <c r="AB95" s="94" t="str">
        <f aca="false" t="array" ref="AB95:AB95">IFERROR(INDEX('Bank Schedule'!AC:AC, SMALL(IF('Bank Schedule'!$K$2:$K$817="Vacant", ROW('Bank Schedule'!$K$2:$K$817)), ROW(92:92))), "")</f>
        <v>Unit Under offer.</v>
      </c>
      <c r="AC95" s="44" t="str">
        <f aca="false">IFERROR(INDEX('Bank Schedule'!AD:AD, SMALL(IF('Bank Schedule'!$K$2:$K$817="Vacant", ROW('Bank Schedule'!$K$2:$K$817)), ROW(92:92))), "")</f>
        <v/>
      </c>
      <c r="AD95" s="11" t="str">
        <f aca="false">IFERROR(INDEX('Bank Schedule'!AE:AE, SMALL(IF('Bank Schedule'!$K$2:$K$817="Vacant", ROW('Bank Schedule'!$K$2:$K$817)), ROW(92:92))), "")</f>
        <v/>
      </c>
      <c r="AE95" s="11" t="str">
        <f aca="false">IFERROR(INDEX('Bank Schedule'!AF:AF, SMALL(IF('Bank Schedule'!$K$2:$K$817="Vacant", ROW('Bank Schedule'!$K$2:$K$817)), ROW(92:92))), "")</f>
        <v/>
      </c>
      <c r="AF95" s="11" t="str">
        <f aca="false">IFERROR(INDEX('Bank Schedule'!AG:AG, SMALL(IF('Bank Schedule'!$K$2:$K$817="Vacant", ROW('Bank Schedule'!$K$2:$K$817)), ROW(92:92))), "")</f>
        <v/>
      </c>
      <c r="AG95" s="4"/>
    </row>
    <row r="96" customFormat="false" ht="28.5" hidden="false" customHeight="true" outlineLevel="0" collapsed="false">
      <c r="A96" s="28" t="str">
        <f aca="false">IFERROR(INDEX('Bank Schedule'!A:A, SMALL(IF('Bank Schedule'!$K$2:$K$817="Vacant", ROW('Bank Schedule'!$K$2:$K$817)), ROW(93:93))), "")</f>
        <v/>
      </c>
      <c r="B96" s="11" t="str">
        <f aca="false" t="array" ref="B96:B96">IFERROR(INDEX('Bank Schedule'!B:B, SMALL(IF('Bank Schedule'!$K$2:$K$817="Vacant", ROW('Bank Schedule'!$K$2:$K$817)), ROW(93:93))), "")</f>
        <v>WS</v>
      </c>
      <c r="C96" s="11" t="str">
        <f aca="false" t="array" ref="C96:C96">IFERROR(INDEX('Bank Schedule'!C:C, SMALL(IF('Bank Schedule'!$K$2:$K$817="Vacant", ROW('Bank Schedule'!$K$2:$K$817)), ROW(93:93))), "")</f>
        <v>MEL</v>
      </c>
      <c r="D96" s="11" t="n">
        <f aca="false" t="array" ref="D96:D96">IFERROR(INDEX('Bank Schedule'!D:D, SMALL(IF('Bank Schedule'!$K$2:$K$817="Vacant", ROW('Bank Schedule'!$K$2:$K$817)), ROW(93:93))), "")</f>
        <v>550870</v>
      </c>
      <c r="E96" s="94" t="str">
        <f aca="false" t="array" ref="E96:E96">IFERROR(INDEX('Bank Schedule'!E:E, SMALL(IF('Bank Schedule'!$K$2:$K$817="Vacant", ROW('Bank Schedule'!$K$2:$K$817)), ROW(93:93))), "")</f>
        <v>67 - 81 Mortimer Street</v>
      </c>
      <c r="F96" s="94" t="str">
        <f aca="false" t="array" ref="F96:F96">IFERROR(INDEX('Bank Schedule'!F:F, SMALL(IF('Bank Schedule'!$K$2:$K$817="Vacant", ROW('Bank Schedule'!$K$2:$K$817)), ROW(93:93))), "")</f>
        <v>Third Floor (East)</v>
      </c>
      <c r="G96" s="94" t="str">
        <f aca="false" t="array" ref="G96:G96">IFERROR(INDEX('Bank Schedule'!G:G, SMALL(IF('Bank Schedule'!$K$2:$K$817="Vacant", ROW('Bank Schedule'!$K$2:$K$817)), ROW(93:93))), "")</f>
        <v>Office</v>
      </c>
      <c r="H96" s="14" t="n">
        <f aca="false" t="array" ref="H96:H96">IFERROR(INDEX('Bank Schedule'!H:H, SMALL(IF('Bank Schedule'!$K$2:$K$817="Vacant", ROW('Bank Schedule'!$K$2:$K$817)), ROW(93:93))), "")</f>
        <v>1371</v>
      </c>
      <c r="I96" s="14" t="n">
        <f aca="false" t="array" ref="I96:I96">IFERROR(INDEX('Bank Schedule'!I:I, SMALL(IF('Bank Schedule'!$K$2:$K$817="Vacant", ROW('Bank Schedule'!$K$2:$K$817)), ROW(93:93))), "")</f>
        <v>1371</v>
      </c>
      <c r="J96" s="11" t="str">
        <f aca="false" t="array" ref="J96:J96">IFERROR(INDEX('Bank Schedule'!K:K, SMALL(IF('Bank Schedule'!$K$2:$K$817="Vacant", ROW('Bank Schedule'!$K$2:$K$817)), ROW(93:93))), "")</f>
        <v>Vacant</v>
      </c>
      <c r="K96" s="11" t="str">
        <f aca="false">IFERROR(INDEX('Bank Schedule'!L:L, SMALL(IF('Bank Schedule'!$K$2:$K$817="Vacant", ROW('Bank Schedule'!$K$2:$K$817)), ROW(93:93))), "")</f>
        <v/>
      </c>
      <c r="L96" s="11" t="str">
        <f aca="false">IFERROR(INDEX('Bank Schedule'!M:M, SMALL(IF('Bank Schedule'!$K$2:$K$817="Vacant", ROW('Bank Schedule'!$K$2:$K$817)), ROW(93:93))), "")</f>
        <v/>
      </c>
      <c r="M96" s="71" t="n">
        <f aca="false" t="array" ref="M96:M96">IFERROR(INDEX('Bank Schedule'!N:N, SMALL(IF('Bank Schedule'!$K$2:$K$817="Vacant", ROW('Bank Schedule'!$K$2:$K$817)), ROW(93:93))), "")</f>
        <v>44647</v>
      </c>
      <c r="N96" s="11" t="str">
        <f aca="false">IFERROR(INDEX('Bank Schedule'!O:O, SMALL(IF('Bank Schedule'!$K$2:$K$817="Vacant", ROW('Bank Schedule'!$K$2:$K$817)), ROW(93:93))), "")</f>
        <v/>
      </c>
      <c r="O96" s="11" t="str">
        <f aca="false">IFERROR(INDEX('Bank Schedule'!P:P, SMALL(IF('Bank Schedule'!$K$2:$K$817="Vacant", ROW('Bank Schedule'!$K$2:$K$817)), ROW(93:93))), "")</f>
        <v/>
      </c>
      <c r="P96" s="11" t="n">
        <f aca="false" t="array" ref="P96:P96">IFERROR(INDEX('Bank Schedule'!Q:Q, SMALL(IF('Bank Schedule'!$K$2:$K$817="Vacant", ROW('Bank Schedule'!$K$2:$K$817)), ROW(93:93))), "")</f>
        <v>0</v>
      </c>
      <c r="Q96" s="11" t="n">
        <f aca="false" t="array" ref="Q96:Q96">IFERROR(INDEX('Bank Schedule'!R:R, SMALL(IF('Bank Schedule'!$K$2:$K$817="Vacant", ROW('Bank Schedule'!$K$2:$K$817)), ROW(93:93))), "")</f>
        <v>0</v>
      </c>
      <c r="R96" s="11" t="str">
        <f aca="false">IFERROR(INDEX('Bank Schedule'!S:S, SMALL(IF('Bank Schedule'!$K$2:$K$817="Vacant", ROW('Bank Schedule'!$K$2:$K$817)), ROW(93:93))), "")</f>
        <v/>
      </c>
      <c r="S96" s="281" t="n">
        <f aca="false" t="array" ref="S96:S96">IFERROR(INDEX('Bank Schedule'!T:T, SMALL(IF('Bank Schedule'!$K$2:$K$817="Vacant", ROW('Bank Schedule'!$K$2:$K$817)), ROW(93:93))), "")</f>
        <v>75400</v>
      </c>
      <c r="T96" s="281" t="n">
        <f aca="false" t="array" ref="T96:T96">IFERROR(INDEX('Bank Schedule'!U:U, SMALL(IF('Bank Schedule'!$K$2:$K$817="Vacant", ROW('Bank Schedule'!$K$2:$K$817)), ROW(93:93))), "")</f>
        <v>75400</v>
      </c>
      <c r="U96" s="281" t="n">
        <f aca="false" t="array" ref="U96:U96">IFERROR(INDEX('Bank Schedule'!V:V, SMALL(IF('Bank Schedule'!$K$2:$K$817="Vacant", ROW('Bank Schedule'!$K$2:$K$817)), ROW(93:93))), "")</f>
        <v>75400</v>
      </c>
      <c r="V96" s="281" t="n">
        <f aca="false" t="array" ref="V96:V96">IFERROR(INDEX('Bank Schedule'!W:W, SMALL(IF('Bank Schedule'!$K$2:$K$817="Vacant", ROW('Bank Schedule'!$K$2:$K$817)), ROW(93:93))), "")</f>
        <v>75400</v>
      </c>
      <c r="W96" s="282" t="n">
        <f aca="false" t="array" ref="W96:W96">IFERROR(INDEX('Bank Schedule'!X:X, SMALL(IF('Bank Schedule'!$K$2:$K$817="Vacant", ROW('Bank Schedule'!$K$2:$K$817)), ROW(93:93))), "")</f>
        <v>54.9963530269876</v>
      </c>
      <c r="X96" s="11" t="str">
        <f aca="false" t="array" ref="X96:X96">IFERROR(INDEX('Bank Schedule'!Y:Y, SMALL(IF('Bank Schedule'!$K$2:$K$817="Vacant", ROW('Bank Schedule'!$K$2:$K$817)), ROW(93:93))), "")</f>
        <v>B</v>
      </c>
      <c r="Y96" s="11" t="str">
        <f aca="false">IFERROR(INDEX('Bank Schedule'!Z:Z, SMALL(IF('Bank Schedule'!$K$2:$K$817="Vacant", ROW('Bank Schedule'!$K$2:$K$817)), ROW(93:93))), "")</f>
        <v/>
      </c>
      <c r="Z96" s="11" t="str">
        <f aca="false">IFERROR(INDEX('Bank Schedule'!AA:AA, SMALL(IF('Bank Schedule'!$K$2:$K$817="Vacant", ROW('Bank Schedule'!$K$2:$K$817)), ROW(93:93))), "")</f>
        <v/>
      </c>
      <c r="AA96" s="11" t="str">
        <f aca="false" t="array" ref="AA96:AA96">IFERROR(INDEX('Bank Schedule'!AB:AB, SMALL(IF('Bank Schedule'!$K$2:$K$817="Vacant", ROW('Bank Schedule'!$K$2:$K$817)), ROW(93:93))), "")</f>
        <v>No</v>
      </c>
      <c r="AB96" s="94" t="str">
        <f aca="false" t="array" ref="AB96:AB96">IFERROR(INDEX('Bank Schedule'!AC:AC, SMALL(IF('Bank Schedule'!$K$2:$K$817="Vacant", ROW('Bank Schedule'!$K$2:$K$817)), ROW(93:93))), "")</f>
        <v>Under offer</v>
      </c>
      <c r="AC96" s="44" t="n">
        <f aca="false" t="array" ref="AC96:AC96">IFERROR(INDEX('Bank Schedule'!AD:AD, SMALL(IF('Bank Schedule'!$K$2:$K$817="Vacant", ROW('Bank Schedule'!$K$2:$K$817)), ROW(93:93))), "")</f>
        <v>62</v>
      </c>
      <c r="AD96" s="11" t="str">
        <f aca="false">IFERROR(INDEX('Bank Schedule'!AE:AE, SMALL(IF('Bank Schedule'!$K$2:$K$817="Vacant", ROW('Bank Schedule'!$K$2:$K$817)), ROW(93:93))), "")</f>
        <v/>
      </c>
      <c r="AE96" s="11" t="str">
        <f aca="false">IFERROR(INDEX('Bank Schedule'!AF:AF, SMALL(IF('Bank Schedule'!$K$2:$K$817="Vacant", ROW('Bank Schedule'!$K$2:$K$817)), ROW(93:93))), "")</f>
        <v/>
      </c>
      <c r="AF96" s="11" t="str">
        <f aca="false">IFERROR(INDEX('Bank Schedule'!AG:AG, SMALL(IF('Bank Schedule'!$K$2:$K$817="Vacant", ROW('Bank Schedule'!$K$2:$K$817)), ROW(93:93))), "")</f>
        <v/>
      </c>
      <c r="AG96" s="4"/>
    </row>
    <row r="97" customFormat="false" ht="28.5" hidden="false" customHeight="true" outlineLevel="0" collapsed="false">
      <c r="A97" s="28" t="str">
        <f aca="false">IFERROR(INDEX('Bank Schedule'!A:A, SMALL(IF('Bank Schedule'!$K$2:$K$817="Vacant", ROW('Bank Schedule'!$K$2:$K$817)), ROW(94:94))), "")</f>
        <v/>
      </c>
      <c r="B97" s="11" t="str">
        <f aca="false" t="array" ref="B97:B97">IFERROR(INDEX('Bank Schedule'!B:B, SMALL(IF('Bank Schedule'!$K$2:$K$817="Vacant", ROW('Bank Schedule'!$K$2:$K$817)), ROW(94:94))), "")</f>
        <v>WS</v>
      </c>
      <c r="C97" s="11" t="str">
        <f aca="false" t="array" ref="C97:C97">IFERROR(INDEX('Bank Schedule'!C:C, SMALL(IF('Bank Schedule'!$K$2:$K$817="Vacant", ROW('Bank Schedule'!$K$2:$K$817)), ROW(94:94))), "")</f>
        <v>MEL</v>
      </c>
      <c r="D97" s="11" t="n">
        <f aca="false" t="array" ref="D97:D97">IFERROR(INDEX('Bank Schedule'!D:D, SMALL(IF('Bank Schedule'!$K$2:$K$817="Vacant", ROW('Bank Schedule'!$K$2:$K$817)), ROW(94:94))), "")</f>
        <v>550870</v>
      </c>
      <c r="E97" s="94" t="str">
        <f aca="false" t="array" ref="E97:E97">IFERROR(INDEX('Bank Schedule'!E:E, SMALL(IF('Bank Schedule'!$K$2:$K$817="Vacant", ROW('Bank Schedule'!$K$2:$K$817)), ROW(94:94))), "")</f>
        <v>67 - 81 Mortimer Street</v>
      </c>
      <c r="F97" s="94" t="str">
        <f aca="false" t="array" ref="F97:F97">IFERROR(INDEX('Bank Schedule'!F:F, SMALL(IF('Bank Schedule'!$K$2:$K$817="Vacant", ROW('Bank Schedule'!$K$2:$K$817)), ROW(94:94))), "")</f>
        <v>Third Floor (West)</v>
      </c>
      <c r="G97" s="94" t="str">
        <f aca="false" t="array" ref="G97:G97">IFERROR(INDEX('Bank Schedule'!G:G, SMALL(IF('Bank Schedule'!$K$2:$K$817="Vacant", ROW('Bank Schedule'!$K$2:$K$817)), ROW(94:94))), "")</f>
        <v>Office</v>
      </c>
      <c r="H97" s="14" t="n">
        <f aca="false" t="array" ref="H97:H97">IFERROR(INDEX('Bank Schedule'!H:H, SMALL(IF('Bank Schedule'!$K$2:$K$817="Vacant", ROW('Bank Schedule'!$K$2:$K$817)), ROW(94:94))), "")</f>
        <v>1204</v>
      </c>
      <c r="I97" s="14" t="n">
        <f aca="false" t="array" ref="I97:I97">IFERROR(INDEX('Bank Schedule'!I:I, SMALL(IF('Bank Schedule'!$K$2:$K$817="Vacant", ROW('Bank Schedule'!$K$2:$K$817)), ROW(94:94))), "")</f>
        <v>1204</v>
      </c>
      <c r="J97" s="11" t="str">
        <f aca="false" t="array" ref="J97:J97">IFERROR(INDEX('Bank Schedule'!K:K, SMALL(IF('Bank Schedule'!$K$2:$K$817="Vacant", ROW('Bank Schedule'!$K$2:$K$817)), ROW(94:94))), "")</f>
        <v>Vacant</v>
      </c>
      <c r="K97" s="11" t="str">
        <f aca="false">IFERROR(INDEX('Bank Schedule'!L:L, SMALL(IF('Bank Schedule'!$K$2:$K$817="Vacant", ROW('Bank Schedule'!$K$2:$K$817)), ROW(94:94))), "")</f>
        <v/>
      </c>
      <c r="L97" s="11" t="str">
        <f aca="false">IFERROR(INDEX('Bank Schedule'!M:M, SMALL(IF('Bank Schedule'!$K$2:$K$817="Vacant", ROW('Bank Schedule'!$K$2:$K$817)), ROW(94:94))), "")</f>
        <v/>
      </c>
      <c r="M97" s="71" t="n">
        <f aca="false" t="array" ref="M97:M97">IFERROR(INDEX('Bank Schedule'!N:N, SMALL(IF('Bank Schedule'!$K$2:$K$817="Vacant", ROW('Bank Schedule'!$K$2:$K$817)), ROW(94:94))), "")</f>
        <v>42983</v>
      </c>
      <c r="N97" s="11" t="str">
        <f aca="false">IFERROR(INDEX('Bank Schedule'!O:O, SMALL(IF('Bank Schedule'!$K$2:$K$817="Vacant", ROW('Bank Schedule'!$K$2:$K$817)), ROW(94:94))), "")</f>
        <v/>
      </c>
      <c r="O97" s="11" t="str">
        <f aca="false">IFERROR(INDEX('Bank Schedule'!P:P, SMALL(IF('Bank Schedule'!$K$2:$K$817="Vacant", ROW('Bank Schedule'!$K$2:$K$817)), ROW(94:94))), "")</f>
        <v/>
      </c>
      <c r="P97" s="11" t="n">
        <f aca="false" t="array" ref="P97:P97">IFERROR(INDEX('Bank Schedule'!Q:Q, SMALL(IF('Bank Schedule'!$K$2:$K$817="Vacant", ROW('Bank Schedule'!$K$2:$K$817)), ROW(94:94))), "")</f>
        <v>0</v>
      </c>
      <c r="Q97" s="11" t="n">
        <f aca="false" t="array" ref="Q97:Q97">IFERROR(INDEX('Bank Schedule'!R:R, SMALL(IF('Bank Schedule'!$K$2:$K$817="Vacant", ROW('Bank Schedule'!$K$2:$K$817)), ROW(94:94))), "")</f>
        <v>0</v>
      </c>
      <c r="R97" s="11" t="str">
        <f aca="false">IFERROR(INDEX('Bank Schedule'!S:S, SMALL(IF('Bank Schedule'!$K$2:$K$817="Vacant", ROW('Bank Schedule'!$K$2:$K$817)), ROW(94:94))), "")</f>
        <v/>
      </c>
      <c r="S97" s="281" t="n">
        <f aca="false" t="array" ref="S97:S97">IFERROR(INDEX('Bank Schedule'!T:T, SMALL(IF('Bank Schedule'!$K$2:$K$817="Vacant", ROW('Bank Schedule'!$K$2:$K$817)), ROW(94:94))), "")</f>
        <v>66200</v>
      </c>
      <c r="T97" s="281" t="n">
        <f aca="false" t="array" ref="T97:T97">IFERROR(INDEX('Bank Schedule'!U:U, SMALL(IF('Bank Schedule'!$K$2:$K$817="Vacant", ROW('Bank Schedule'!$K$2:$K$817)), ROW(94:94))), "")</f>
        <v>66200</v>
      </c>
      <c r="U97" s="281" t="n">
        <f aca="false" t="array" ref="U97:U97">IFERROR(INDEX('Bank Schedule'!V:V, SMALL(IF('Bank Schedule'!$K$2:$K$817="Vacant", ROW('Bank Schedule'!$K$2:$K$817)), ROW(94:94))), "")</f>
        <v>66200</v>
      </c>
      <c r="V97" s="281" t="n">
        <f aca="false" t="array" ref="V97:V97">IFERROR(INDEX('Bank Schedule'!W:W, SMALL(IF('Bank Schedule'!$K$2:$K$817="Vacant", ROW('Bank Schedule'!$K$2:$K$817)), ROW(94:94))), "")</f>
        <v>66200</v>
      </c>
      <c r="W97" s="282" t="n">
        <f aca="false" t="array" ref="W97:W97">IFERROR(INDEX('Bank Schedule'!X:X, SMALL(IF('Bank Schedule'!$K$2:$K$817="Vacant", ROW('Bank Schedule'!$K$2:$K$817)), ROW(94:94))), "")</f>
        <v>54.9833887043189</v>
      </c>
      <c r="X97" s="11" t="str">
        <f aca="false" t="array" ref="X97:X97">IFERROR(INDEX('Bank Schedule'!Y:Y, SMALL(IF('Bank Schedule'!$K$2:$K$817="Vacant", ROW('Bank Schedule'!$K$2:$K$817)), ROW(94:94))), "")</f>
        <v>B</v>
      </c>
      <c r="Y97" s="11" t="str">
        <f aca="false">IFERROR(INDEX('Bank Schedule'!Z:Z, SMALL(IF('Bank Schedule'!$K$2:$K$817="Vacant", ROW('Bank Schedule'!$K$2:$K$817)), ROW(94:94))), "")</f>
        <v/>
      </c>
      <c r="Z97" s="11" t="str">
        <f aca="false">IFERROR(INDEX('Bank Schedule'!AA:AA, SMALL(IF('Bank Schedule'!$K$2:$K$817="Vacant", ROW('Bank Schedule'!$K$2:$K$817)), ROW(94:94))), "")</f>
        <v/>
      </c>
      <c r="AA97" s="11" t="str">
        <f aca="false" t="array" ref="AA97:AA97">IFERROR(INDEX('Bank Schedule'!AB:AB, SMALL(IF('Bank Schedule'!$K$2:$K$817="Vacant", ROW('Bank Schedule'!$K$2:$K$817)), ROW(94:94))), "")</f>
        <v>No</v>
      </c>
      <c r="AB97" s="94" t="str">
        <f aca="false" t="array" ref="AB97:AB97">IFERROR(INDEX('Bank Schedule'!AC:AC, SMALL(IF('Bank Schedule'!$K$2:$K$817="Vacant", ROW('Bank Schedule'!$K$2:$K$817)), ROW(94:94))), "")</f>
        <v>Under offer</v>
      </c>
      <c r="AC97" s="44" t="n">
        <f aca="false" t="array" ref="AC97:AC97">IFERROR(INDEX('Bank Schedule'!AD:AD, SMALL(IF('Bank Schedule'!$K$2:$K$817="Vacant", ROW('Bank Schedule'!$K$2:$K$817)), ROW(94:94))), "")</f>
        <v>62</v>
      </c>
      <c r="AD97" s="11" t="str">
        <f aca="false">IFERROR(INDEX('Bank Schedule'!AE:AE, SMALL(IF('Bank Schedule'!$K$2:$K$817="Vacant", ROW('Bank Schedule'!$K$2:$K$817)), ROW(94:94))), "")</f>
        <v/>
      </c>
      <c r="AE97" s="11" t="str">
        <f aca="false">IFERROR(INDEX('Bank Schedule'!AF:AF, SMALL(IF('Bank Schedule'!$K$2:$K$817="Vacant", ROW('Bank Schedule'!$K$2:$K$817)), ROW(94:94))), "")</f>
        <v/>
      </c>
      <c r="AF97" s="11" t="str">
        <f aca="false">IFERROR(INDEX('Bank Schedule'!AG:AG, SMALL(IF('Bank Schedule'!$K$2:$K$817="Vacant", ROW('Bank Schedule'!$K$2:$K$817)), ROW(94:94))), "")</f>
        <v/>
      </c>
      <c r="AG97" s="4"/>
    </row>
    <row r="98" customFormat="false" ht="28.5" hidden="false" customHeight="true" outlineLevel="0" collapsed="false">
      <c r="A98" s="28" t="str">
        <f aca="false">IFERROR(INDEX('Bank Schedule'!A:A, SMALL(IF('Bank Schedule'!$K$2:$K$817="Vacant", ROW('Bank Schedule'!$K$2:$K$817)), ROW(95:95))), "")</f>
        <v/>
      </c>
      <c r="B98" s="11" t="str">
        <f aca="false" t="array" ref="B98:B98">IFERROR(INDEX('Bank Schedule'!B:B, SMALL(IF('Bank Schedule'!$K$2:$K$817="Vacant", ROW('Bank Schedule'!$K$2:$K$817)), ROW(95:95))), "")</f>
        <v>JM</v>
      </c>
      <c r="C98" s="11" t="str">
        <f aca="false" t="array" ref="C98:C98">IFERROR(INDEX('Bank Schedule'!C:C, SMALL(IF('Bank Schedule'!$K$2:$K$817="Vacant", ROW('Bank Schedule'!$K$2:$K$817)), ROW(95:95))), "")</f>
        <v>MEL</v>
      </c>
      <c r="D98" s="11" t="n">
        <f aca="false" t="array" ref="D98:D98">IFERROR(INDEX('Bank Schedule'!D:D, SMALL(IF('Bank Schedule'!$K$2:$K$817="Vacant", ROW('Bank Schedule'!$K$2:$K$817)), ROW(95:95))), "")</f>
        <v>100670</v>
      </c>
      <c r="E98" s="94" t="str">
        <f aca="false" t="array" ref="E98:E98">IFERROR(INDEX('Bank Schedule'!E:E, SMALL(IF('Bank Schedule'!$K$2:$K$817="Vacant", ROW('Bank Schedule'!$K$2:$K$817)), ROW(95:95))), "")</f>
        <v>146/148 Oxford Street</v>
      </c>
      <c r="F98" s="94" t="str">
        <f aca="false" t="array" ref="F98:F98">IFERROR(INDEX('Bank Schedule'!F:F, SMALL(IF('Bank Schedule'!$K$2:$K$817="Vacant", ROW('Bank Schedule'!$K$2:$K$817)), ROW(95:95))), "")</f>
        <v>First to Fourth Floors</v>
      </c>
      <c r="G98" s="94" t="str">
        <f aca="false" t="array" ref="G98:G98">IFERROR(INDEX('Bank Schedule'!G:G, SMALL(IF('Bank Schedule'!$K$2:$K$817="Vacant", ROW('Bank Schedule'!$K$2:$K$817)), ROW(95:95))), "")</f>
        <v>Educational</v>
      </c>
      <c r="H98" s="14" t="n">
        <f aca="false" t="array" ref="H98:H98">IFERROR(INDEX('Bank Schedule'!H:H, SMALL(IF('Bank Schedule'!$K$2:$K$817="Vacant", ROW('Bank Schedule'!$K$2:$K$817)), ROW(95:95))), "")</f>
        <v>2964</v>
      </c>
      <c r="I98" s="14" t="n">
        <f aca="false" t="array" ref="I98:I98">IFERROR(INDEX('Bank Schedule'!I:I, SMALL(IF('Bank Schedule'!$K$2:$K$817="Vacant", ROW('Bank Schedule'!$K$2:$K$817)), ROW(95:95))), "")</f>
        <v>2964</v>
      </c>
      <c r="J98" s="11" t="str">
        <f aca="false" t="array" ref="J98:J98">IFERROR(INDEX('Bank Schedule'!K:K, SMALL(IF('Bank Schedule'!$K$2:$K$817="Vacant", ROW('Bank Schedule'!$K$2:$K$817)), ROW(95:95))), "")</f>
        <v>Vacant</v>
      </c>
      <c r="K98" s="11" t="str">
        <f aca="false">IFERROR(INDEX('Bank Schedule'!L:L, SMALL(IF('Bank Schedule'!$K$2:$K$817="Vacant", ROW('Bank Schedule'!$K$2:$K$817)), ROW(95:95))), "")</f>
        <v/>
      </c>
      <c r="L98" s="11" t="str">
        <f aca="false">IFERROR(INDEX('Bank Schedule'!M:M, SMALL(IF('Bank Schedule'!$K$2:$K$817="Vacant", ROW('Bank Schedule'!$K$2:$K$817)), ROW(95:95))), "")</f>
        <v/>
      </c>
      <c r="M98" s="71" t="n">
        <f aca="false" t="array" ref="M98:M98">IFERROR(INDEX('Bank Schedule'!N:N, SMALL(IF('Bank Schedule'!$K$2:$K$817="Vacant", ROW('Bank Schedule'!$K$2:$K$817)), ROW(95:95))), "")</f>
        <v>42593</v>
      </c>
      <c r="N98" s="11" t="str">
        <f aca="false">IFERROR(INDEX('Bank Schedule'!O:O, SMALL(IF('Bank Schedule'!$K$2:$K$817="Vacant", ROW('Bank Schedule'!$K$2:$K$817)), ROW(95:95))), "")</f>
        <v/>
      </c>
      <c r="O98" s="11" t="str">
        <f aca="false">IFERROR(INDEX('Bank Schedule'!P:P, SMALL(IF('Bank Schedule'!$K$2:$K$817="Vacant", ROW('Bank Schedule'!$K$2:$K$817)), ROW(95:95))), "")</f>
        <v/>
      </c>
      <c r="P98" s="11" t="n">
        <f aca="false" t="array" ref="P98:P98">IFERROR(INDEX('Bank Schedule'!Q:Q, SMALL(IF('Bank Schedule'!$K$2:$K$817="Vacant", ROW('Bank Schedule'!$K$2:$K$817)), ROW(95:95))), "")</f>
        <v>0</v>
      </c>
      <c r="Q98" s="11" t="n">
        <f aca="false" t="array" ref="Q98:Q98">IFERROR(INDEX('Bank Schedule'!R:R, SMALL(IF('Bank Schedule'!$K$2:$K$817="Vacant", ROW('Bank Schedule'!$K$2:$K$817)), ROW(95:95))), "")</f>
        <v>0</v>
      </c>
      <c r="R98" s="11" t="str">
        <f aca="false">IFERROR(INDEX('Bank Schedule'!S:S, SMALL(IF('Bank Schedule'!$K$2:$K$817="Vacant", ROW('Bank Schedule'!$K$2:$K$817)), ROW(95:95))), "")</f>
        <v/>
      </c>
      <c r="S98" s="281" t="n">
        <f aca="false" t="array" ref="S98:S98">IFERROR(INDEX('Bank Schedule'!T:T, SMALL(IF('Bank Schedule'!$K$2:$K$817="Vacant", ROW('Bank Schedule'!$K$2:$K$817)), ROW(95:95))), "")</f>
        <v>115000</v>
      </c>
      <c r="T98" s="281" t="n">
        <f aca="false" t="array" ref="T98:T98">IFERROR(INDEX('Bank Schedule'!U:U, SMALL(IF('Bank Schedule'!$K$2:$K$817="Vacant", ROW('Bank Schedule'!$K$2:$K$817)), ROW(95:95))), "")</f>
        <v>115000</v>
      </c>
      <c r="U98" s="281" t="n">
        <f aca="false" t="array" ref="U98:U98">IFERROR(INDEX('Bank Schedule'!V:V, SMALL(IF('Bank Schedule'!$K$2:$K$817="Vacant", ROW('Bank Schedule'!$K$2:$K$817)), ROW(95:95))), "")</f>
        <v>115000</v>
      </c>
      <c r="V98" s="281" t="n">
        <f aca="false" t="array" ref="V98:V98">IFERROR(INDEX('Bank Schedule'!W:W, SMALL(IF('Bank Schedule'!$K$2:$K$817="Vacant", ROW('Bank Schedule'!$K$2:$K$817)), ROW(95:95))), "")</f>
        <v>115000</v>
      </c>
      <c r="W98" s="282" t="n">
        <f aca="false" t="array" ref="W98:W98">IFERROR(INDEX('Bank Schedule'!X:X, SMALL(IF('Bank Schedule'!$K$2:$K$817="Vacant", ROW('Bank Schedule'!$K$2:$K$817)), ROW(95:95))), "")</f>
        <v>38.7989203778677</v>
      </c>
      <c r="X98" s="11" t="str">
        <f aca="false" t="array" ref="X98:X98">IFERROR(INDEX('Bank Schedule'!Y:Y, SMALL(IF('Bank Schedule'!$K$2:$K$817="Vacant", ROW('Bank Schedule'!$K$2:$K$817)), ROW(95:95))), "")</f>
        <v>E</v>
      </c>
      <c r="Y98" s="11" t="str">
        <f aca="false">IFERROR(INDEX('Bank Schedule'!Z:Z, SMALL(IF('Bank Schedule'!$K$2:$K$817="Vacant", ROW('Bank Schedule'!$K$2:$K$817)), ROW(95:95))), "")</f>
        <v/>
      </c>
      <c r="Z98" s="11" t="str">
        <f aca="false">IFERROR(INDEX('Bank Schedule'!AA:AA, SMALL(IF('Bank Schedule'!$K$2:$K$817="Vacant", ROW('Bank Schedule'!$K$2:$K$817)), ROW(95:95))), "")</f>
        <v/>
      </c>
      <c r="AA98" s="11" t="str">
        <f aca="false" t="array" ref="AA98:AA98">IFERROR(INDEX('Bank Schedule'!AB:AB, SMALL(IF('Bank Schedule'!$K$2:$K$817="Vacant", ROW('Bank Schedule'!$K$2:$K$817)), ROW(95:95))), "")</f>
        <v>No</v>
      </c>
      <c r="AB98" s="94" t="str">
        <f aca="false" t="array" ref="AB98:AB98">IFERROR(INDEX('Bank Schedule'!AC:AC, SMALL(IF('Bank Schedule'!$K$2:$K$817="Vacant", ROW('Bank Schedule'!$K$2:$K$817)), ROW(95:95))), "")</f>
        <v>Unit being stripped back to shell.</v>
      </c>
      <c r="AC98" s="44" t="str">
        <f aca="false">IFERROR(INDEX('Bank Schedule'!AD:AD, SMALL(IF('Bank Schedule'!$K$2:$K$817="Vacant", ROW('Bank Schedule'!$K$2:$K$817)), ROW(95:95))), "")</f>
        <v/>
      </c>
      <c r="AD98" s="11" t="str">
        <f aca="false">IFERROR(INDEX('Bank Schedule'!AE:AE, SMALL(IF('Bank Schedule'!$K$2:$K$817="Vacant", ROW('Bank Schedule'!$K$2:$K$817)), ROW(95:95))), "")</f>
        <v/>
      </c>
      <c r="AE98" s="11" t="str">
        <f aca="false">IFERROR(INDEX('Bank Schedule'!AF:AF, SMALL(IF('Bank Schedule'!$K$2:$K$817="Vacant", ROW('Bank Schedule'!$K$2:$K$817)), ROW(95:95))), "")</f>
        <v/>
      </c>
      <c r="AF98" s="11" t="str">
        <f aca="false">IFERROR(INDEX('Bank Schedule'!AG:AG, SMALL(IF('Bank Schedule'!$K$2:$K$817="Vacant", ROW('Bank Schedule'!$K$2:$K$817)), ROW(95:95))), "")</f>
        <v/>
      </c>
      <c r="AG98" s="4"/>
    </row>
    <row r="99" customFormat="false" ht="28.5" hidden="false" customHeight="true" outlineLevel="0" collapsed="false">
      <c r="A99" s="28" t="str">
        <f aca="false">IFERROR(INDEX('Bank Schedule'!A:A, SMALL(IF('Bank Schedule'!$K$2:$K$817="Vacant", ROW('Bank Schedule'!$K$2:$K$817)), ROW(96:96))), "")</f>
        <v/>
      </c>
      <c r="B99" s="11" t="str">
        <f aca="false" t="array" ref="B99:B99">IFERROR(INDEX('Bank Schedule'!B:B, SMALL(IF('Bank Schedule'!$K$2:$K$817="Vacant", ROW('Bank Schedule'!$K$2:$K$817)), ROW(96:96))), "")</f>
        <v>JM</v>
      </c>
      <c r="C99" s="11" t="str">
        <f aca="false" t="array" ref="C99:C99">IFERROR(INDEX('Bank Schedule'!C:C, SMALL(IF('Bank Schedule'!$K$2:$K$817="Vacant", ROW('Bank Schedule'!$K$2:$K$817)), ROW(96:96))), "")</f>
        <v>MEL</v>
      </c>
      <c r="D99" s="11" t="n">
        <f aca="false" t="array" ref="D99:D99">IFERROR(INDEX('Bank Schedule'!D:D, SMALL(IF('Bank Schedule'!$K$2:$K$817="Vacant", ROW('Bank Schedule'!$K$2:$K$817)), ROW(96:96))), "")</f>
        <v>100650</v>
      </c>
      <c r="E99" s="94" t="str">
        <f aca="false" t="array" ref="E99:E99">IFERROR(INDEX('Bank Schedule'!E:E, SMALL(IF('Bank Schedule'!$K$2:$K$817="Vacant", ROW('Bank Schedule'!$K$2:$K$817)), ROW(96:96))), "")</f>
        <v>50-60 Eastcastle Street</v>
      </c>
      <c r="F99" s="94" t="str">
        <f aca="false" t="array" ref="F99:F99">IFERROR(INDEX('Bank Schedule'!F:F, SMALL(IF('Bank Schedule'!$K$2:$K$817="Vacant", ROW('Bank Schedule'!$K$2:$K$817)), ROW(96:96))), "")</f>
        <v>Basement 56-57 Eastcastle St.</v>
      </c>
      <c r="G99" s="94" t="str">
        <f aca="false" t="array" ref="G99:G99">IFERROR(INDEX('Bank Schedule'!G:G, SMALL(IF('Bank Schedule'!$K$2:$K$817="Vacant", ROW('Bank Schedule'!$K$2:$K$817)), ROW(96:96))), "")</f>
        <v>Showroom</v>
      </c>
      <c r="H99" s="14" t="n">
        <f aca="false" t="array" ref="H99:H99">IFERROR(INDEX('Bank Schedule'!H:H, SMALL(IF('Bank Schedule'!$K$2:$K$817="Vacant", ROW('Bank Schedule'!$K$2:$K$817)), ROW(96:96))), "")</f>
        <v>1716</v>
      </c>
      <c r="I99" s="14" t="n">
        <f aca="false" t="array" ref="I99:I99">IFERROR(INDEX('Bank Schedule'!I:I, SMALL(IF('Bank Schedule'!$K$2:$K$817="Vacant", ROW('Bank Schedule'!$K$2:$K$817)), ROW(96:96))), "")</f>
        <v>1716</v>
      </c>
      <c r="J99" s="11" t="str">
        <f aca="false" t="array" ref="J99:J99">IFERROR(INDEX('Bank Schedule'!K:K, SMALL(IF('Bank Schedule'!$K$2:$K$817="Vacant", ROW('Bank Schedule'!$K$2:$K$817)), ROW(96:96))), "")</f>
        <v>Vacant</v>
      </c>
      <c r="K99" s="11" t="str">
        <f aca="false">IFERROR(INDEX('Bank Schedule'!L:L, SMALL(IF('Bank Schedule'!$K$2:$K$817="Vacant", ROW('Bank Schedule'!$K$2:$K$817)), ROW(96:96))), "")</f>
        <v/>
      </c>
      <c r="L99" s="11" t="str">
        <f aca="false">IFERROR(INDEX('Bank Schedule'!M:M, SMALL(IF('Bank Schedule'!$K$2:$K$817="Vacant", ROW('Bank Schedule'!$K$2:$K$817)), ROW(96:96))), "")</f>
        <v/>
      </c>
      <c r="M99" s="71" t="str">
        <f aca="false">IFERROR(INDEX('Bank Schedule'!N:N, SMALL(IF('Bank Schedule'!$K$2:$K$817="Vacant", ROW('Bank Schedule'!$K$2:$K$817)), ROW(96:96))), "")</f>
        <v/>
      </c>
      <c r="N99" s="11" t="str">
        <f aca="false">IFERROR(INDEX('Bank Schedule'!O:O, SMALL(IF('Bank Schedule'!$K$2:$K$817="Vacant", ROW('Bank Schedule'!$K$2:$K$817)), ROW(96:96))), "")</f>
        <v/>
      </c>
      <c r="O99" s="11" t="str">
        <f aca="false">IFERROR(INDEX('Bank Schedule'!P:P, SMALL(IF('Bank Schedule'!$K$2:$K$817="Vacant", ROW('Bank Schedule'!$K$2:$K$817)), ROW(96:96))), "")</f>
        <v/>
      </c>
      <c r="P99" s="11" t="n">
        <f aca="false" t="array" ref="P99:P99">IFERROR(INDEX('Bank Schedule'!Q:Q, SMALL(IF('Bank Schedule'!$K$2:$K$817="Vacant", ROW('Bank Schedule'!$K$2:$K$817)), ROW(96:96))), "")</f>
        <v>0</v>
      </c>
      <c r="Q99" s="11" t="n">
        <f aca="false" t="array" ref="Q99:Q99">IFERROR(INDEX('Bank Schedule'!R:R, SMALL(IF('Bank Schedule'!$K$2:$K$817="Vacant", ROW('Bank Schedule'!$K$2:$K$817)), ROW(96:96))), "")</f>
        <v>0</v>
      </c>
      <c r="R99" s="11" t="str">
        <f aca="false">IFERROR(INDEX('Bank Schedule'!S:S, SMALL(IF('Bank Schedule'!$K$2:$K$817="Vacant", ROW('Bank Schedule'!$K$2:$K$817)), ROW(96:96))), "")</f>
        <v/>
      </c>
      <c r="S99" s="281" t="n">
        <f aca="false" t="array" ref="S99:S99">IFERROR(INDEX('Bank Schedule'!T:T, SMALL(IF('Bank Schedule'!$K$2:$K$817="Vacant", ROW('Bank Schedule'!$K$2:$K$817)), ROW(96:96))), "")</f>
        <v>107600</v>
      </c>
      <c r="T99" s="281" t="n">
        <f aca="false" t="array" ref="T99:T99">IFERROR(INDEX('Bank Schedule'!U:U, SMALL(IF('Bank Schedule'!$K$2:$K$817="Vacant", ROW('Bank Schedule'!$K$2:$K$817)), ROW(96:96))), "")</f>
        <v>107600</v>
      </c>
      <c r="U99" s="281" t="n">
        <f aca="false" t="array" ref="U99:U99">IFERROR(INDEX('Bank Schedule'!V:V, SMALL(IF('Bank Schedule'!$K$2:$K$817="Vacant", ROW('Bank Schedule'!$K$2:$K$817)), ROW(96:96))), "")</f>
        <v>0</v>
      </c>
      <c r="V99" s="281" t="n">
        <f aca="false" t="array" ref="V99:V99">IFERROR(INDEX('Bank Schedule'!W:W, SMALL(IF('Bank Schedule'!$K$2:$K$817="Vacant", ROW('Bank Schedule'!$K$2:$K$817)), ROW(96:96))), "")</f>
        <v>0</v>
      </c>
      <c r="W99" s="282" t="n">
        <f aca="false" t="array" ref="W99:W99">IFERROR(INDEX('Bank Schedule'!X:X, SMALL(IF('Bank Schedule'!$K$2:$K$817="Vacant", ROW('Bank Schedule'!$K$2:$K$817)), ROW(96:96))), "")</f>
        <v>62.7039627039627</v>
      </c>
      <c r="X99" s="11" t="str">
        <f aca="false">IFERROR(INDEX('Bank Schedule'!Y:Y, SMALL(IF('Bank Schedule'!$K$2:$K$817="Vacant", ROW('Bank Schedule'!$K$2:$K$817)), ROW(96:96))), "")</f>
        <v/>
      </c>
      <c r="Y99" s="11" t="str">
        <f aca="false">IFERROR(INDEX('Bank Schedule'!Z:Z, SMALL(IF('Bank Schedule'!$K$2:$K$817="Vacant", ROW('Bank Schedule'!$K$2:$K$817)), ROW(96:96))), "")</f>
        <v/>
      </c>
      <c r="Z99" s="11" t="str">
        <f aca="false">IFERROR(INDEX('Bank Schedule'!AA:AA, SMALL(IF('Bank Schedule'!$K$2:$K$817="Vacant", ROW('Bank Schedule'!$K$2:$K$817)), ROW(96:96))), "")</f>
        <v/>
      </c>
      <c r="AA99" s="11" t="str">
        <f aca="false" t="array" ref="AA99:AA99">IFERROR(INDEX('Bank Schedule'!AB:AB, SMALL(IF('Bank Schedule'!$K$2:$K$817="Vacant", ROW('Bank Schedule'!$K$2:$K$817)), ROW(96:96))), "")</f>
        <v>No</v>
      </c>
      <c r="AB99" s="94" t="str">
        <f aca="false" t="array" ref="AB99:AB99">IFERROR(INDEX('Bank Schedule'!AC:AC, SMALL(IF('Bank Schedule'!$K$2:$K$817="Vacant", ROW('Bank Schedule'!$K$2:$K$817)), ROW(96:96))), "")</f>
        <v>Mothballed.</v>
      </c>
      <c r="AC99" s="44" t="str">
        <f aca="false">IFERROR(INDEX('Bank Schedule'!AD:AD, SMALL(IF('Bank Schedule'!$K$2:$K$817="Vacant", ROW('Bank Schedule'!$K$2:$K$817)), ROW(96:96))), "")</f>
        <v/>
      </c>
      <c r="AD99" s="11" t="str">
        <f aca="false">IFERROR(INDEX('Bank Schedule'!AE:AE, SMALL(IF('Bank Schedule'!$K$2:$K$817="Vacant", ROW('Bank Schedule'!$K$2:$K$817)), ROW(96:96))), "")</f>
        <v/>
      </c>
      <c r="AE99" s="11" t="str">
        <f aca="false">IFERROR(INDEX('Bank Schedule'!AF:AF, SMALL(IF('Bank Schedule'!$K$2:$K$817="Vacant", ROW('Bank Schedule'!$K$2:$K$817)), ROW(96:96))), "")</f>
        <v/>
      </c>
      <c r="AF99" s="11" t="str">
        <f aca="false">IFERROR(INDEX('Bank Schedule'!AG:AG, SMALL(IF('Bank Schedule'!$K$2:$K$817="Vacant", ROW('Bank Schedule'!$K$2:$K$817)), ROW(96:96))), "")</f>
        <v/>
      </c>
      <c r="AG99" s="4"/>
    </row>
    <row r="100" customFormat="false" ht="28.5" hidden="false" customHeight="true" outlineLevel="0" collapsed="false">
      <c r="A100" s="28" t="str">
        <f aca="false">IFERROR(INDEX('Bank Schedule'!A:A, SMALL(IF('Bank Schedule'!$K$2:$K$817="Vacant", ROW('Bank Schedule'!$K$2:$K$817)), ROW(97:97))), "")</f>
        <v/>
      </c>
      <c r="B100" s="11" t="str">
        <f aca="false" t="array" ref="B100:B100">IFERROR(INDEX('Bank Schedule'!B:B, SMALL(IF('Bank Schedule'!$K$2:$K$817="Vacant", ROW('Bank Schedule'!$K$2:$K$817)), ROW(97:97))), "")</f>
        <v>JM</v>
      </c>
      <c r="C100" s="11" t="str">
        <f aca="false" t="array" ref="C100:C100">IFERROR(INDEX('Bank Schedule'!C:C, SMALL(IF('Bank Schedule'!$K$2:$K$817="Vacant", ROW('Bank Schedule'!$K$2:$K$817)), ROW(97:97))), "")</f>
        <v>MEL</v>
      </c>
      <c r="D100" s="11" t="n">
        <f aca="false" t="array" ref="D100:D100">IFERROR(INDEX('Bank Schedule'!D:D, SMALL(IF('Bank Schedule'!$K$2:$K$817="Vacant", ROW('Bank Schedule'!$K$2:$K$817)), ROW(97:97))), "")</f>
        <v>100650</v>
      </c>
      <c r="E100" s="94" t="str">
        <f aca="false" t="array" ref="E100:E100">IFERROR(INDEX('Bank Schedule'!E:E, SMALL(IF('Bank Schedule'!$K$2:$K$817="Vacant", ROW('Bank Schedule'!$K$2:$K$817)), ROW(97:97))), "")</f>
        <v>50-60 Eastcastle Street</v>
      </c>
      <c r="F100" s="94" t="str">
        <f aca="false" t="array" ref="F100:F100">IFERROR(INDEX('Bank Schedule'!F:F, SMALL(IF('Bank Schedule'!$K$2:$K$817="Vacant", ROW('Bank Schedule'!$K$2:$K$817)), ROW(97:97))), "")</f>
        <v>Grnd/Basement - 55 Eastcastle St.</v>
      </c>
      <c r="G100" s="94" t="str">
        <f aca="false" t="array" ref="G100:G100">IFERROR(INDEX('Bank Schedule'!G:G, SMALL(IF('Bank Schedule'!$K$2:$K$817="Vacant", ROW('Bank Schedule'!$K$2:$K$817)), ROW(97:97))), "")</f>
        <v>Art Gallery</v>
      </c>
      <c r="H100" s="14" t="n">
        <f aca="false" t="array" ref="H100:H100">IFERROR(INDEX('Bank Schedule'!H:H, SMALL(IF('Bank Schedule'!$K$2:$K$817="Vacant", ROW('Bank Schedule'!$K$2:$K$817)), ROW(97:97))), "")</f>
        <v>1710</v>
      </c>
      <c r="I100" s="14" t="n">
        <f aca="false" t="array" ref="I100:I100">IFERROR(INDEX('Bank Schedule'!I:I, SMALL(IF('Bank Schedule'!$K$2:$K$817="Vacant", ROW('Bank Schedule'!$K$2:$K$817)), ROW(97:97))), "")</f>
        <v>1710</v>
      </c>
      <c r="J100" s="11" t="str">
        <f aca="false" t="array" ref="J100:J100">IFERROR(INDEX('Bank Schedule'!K:K, SMALL(IF('Bank Schedule'!$K$2:$K$817="Vacant", ROW('Bank Schedule'!$K$2:$K$817)), ROW(97:97))), "")</f>
        <v>Vacant</v>
      </c>
      <c r="K100" s="11" t="str">
        <f aca="false">IFERROR(INDEX('Bank Schedule'!L:L, SMALL(IF('Bank Schedule'!$K$2:$K$817="Vacant", ROW('Bank Schedule'!$K$2:$K$817)), ROW(97:97))), "")</f>
        <v/>
      </c>
      <c r="L100" s="11" t="str">
        <f aca="false">IFERROR(INDEX('Bank Schedule'!M:M, SMALL(IF('Bank Schedule'!$K$2:$K$817="Vacant", ROW('Bank Schedule'!$K$2:$K$817)), ROW(97:97))), "")</f>
        <v/>
      </c>
      <c r="M100" s="71" t="n">
        <f aca="false" t="array" ref="M100:M100">IFERROR(INDEX('Bank Schedule'!N:N, SMALL(IF('Bank Schedule'!$K$2:$K$817="Vacant", ROW('Bank Schedule'!$K$2:$K$817)), ROW(97:97))), "")</f>
        <v>45874</v>
      </c>
      <c r="N100" s="11" t="str">
        <f aca="false">IFERROR(INDEX('Bank Schedule'!O:O, SMALL(IF('Bank Schedule'!$K$2:$K$817="Vacant", ROW('Bank Schedule'!$K$2:$K$817)), ROW(97:97))), "")</f>
        <v/>
      </c>
      <c r="O100" s="11" t="str">
        <f aca="false">IFERROR(INDEX('Bank Schedule'!P:P, SMALL(IF('Bank Schedule'!$K$2:$K$817="Vacant", ROW('Bank Schedule'!$K$2:$K$817)), ROW(97:97))), "")</f>
        <v/>
      </c>
      <c r="P100" s="11" t="n">
        <f aca="false" t="array" ref="P100:P100">IFERROR(INDEX('Bank Schedule'!Q:Q, SMALL(IF('Bank Schedule'!$K$2:$K$817="Vacant", ROW('Bank Schedule'!$K$2:$K$817)), ROW(97:97))), "")</f>
        <v>0</v>
      </c>
      <c r="Q100" s="11" t="n">
        <f aca="false" t="array" ref="Q100:Q100">IFERROR(INDEX('Bank Schedule'!R:R, SMALL(IF('Bank Schedule'!$K$2:$K$817="Vacant", ROW('Bank Schedule'!$K$2:$K$817)), ROW(97:97))), "")</f>
        <v>0</v>
      </c>
      <c r="R100" s="11" t="str">
        <f aca="false">IFERROR(INDEX('Bank Schedule'!S:S, SMALL(IF('Bank Schedule'!$K$2:$K$817="Vacant", ROW('Bank Schedule'!$K$2:$K$817)), ROW(97:97))), "")</f>
        <v/>
      </c>
      <c r="S100" s="281" t="n">
        <f aca="false" t="array" ref="S100:S100">IFERROR(INDEX('Bank Schedule'!T:T, SMALL(IF('Bank Schedule'!$K$2:$K$817="Vacant", ROW('Bank Schedule'!$K$2:$K$817)), ROW(97:97))), "")</f>
        <v>85500</v>
      </c>
      <c r="T100" s="281" t="n">
        <f aca="false" t="array" ref="T100:T100">IFERROR(INDEX('Bank Schedule'!U:U, SMALL(IF('Bank Schedule'!$K$2:$K$817="Vacant", ROW('Bank Schedule'!$K$2:$K$817)), ROW(97:97))), "")</f>
        <v>85500</v>
      </c>
      <c r="U100" s="281" t="n">
        <f aca="false" t="array" ref="U100:U100">IFERROR(INDEX('Bank Schedule'!V:V, SMALL(IF('Bank Schedule'!$K$2:$K$817="Vacant", ROW('Bank Schedule'!$K$2:$K$817)), ROW(97:97))), "")</f>
        <v>100000</v>
      </c>
      <c r="V100" s="281" t="n">
        <f aca="false" t="array" ref="V100:V100">IFERROR(INDEX('Bank Schedule'!W:W, SMALL(IF('Bank Schedule'!$K$2:$K$817="Vacant", ROW('Bank Schedule'!$K$2:$K$817)), ROW(97:97))), "")</f>
        <v>100000</v>
      </c>
      <c r="W100" s="282" t="n">
        <f aca="false" t="array" ref="W100:W100">IFERROR(INDEX('Bank Schedule'!X:X, SMALL(IF('Bank Schedule'!$K$2:$K$817="Vacant", ROW('Bank Schedule'!$K$2:$K$817)), ROW(97:97))), "")</f>
        <v>50</v>
      </c>
      <c r="X100" s="11" t="str">
        <f aca="false" t="array" ref="X100:X100">IFERROR(INDEX('Bank Schedule'!Y:Y, SMALL(IF('Bank Schedule'!$K$2:$K$817="Vacant", ROW('Bank Schedule'!$K$2:$K$817)), ROW(97:97))), "")</f>
        <v>D</v>
      </c>
      <c r="Y100" s="11" t="str">
        <f aca="false">IFERROR(INDEX('Bank Schedule'!Z:Z, SMALL(IF('Bank Schedule'!$K$2:$K$817="Vacant", ROW('Bank Schedule'!$K$2:$K$817)), ROW(97:97))), "")</f>
        <v/>
      </c>
      <c r="Z100" s="11" t="str">
        <f aca="false">IFERROR(INDEX('Bank Schedule'!AA:AA, SMALL(IF('Bank Schedule'!$K$2:$K$817="Vacant", ROW('Bank Schedule'!$K$2:$K$817)), ROW(97:97))), "")</f>
        <v/>
      </c>
      <c r="AA100" s="11" t="str">
        <f aca="false" t="array" ref="AA100:AA100">IFERROR(INDEX('Bank Schedule'!AB:AB, SMALL(IF('Bank Schedule'!$K$2:$K$817="Vacant", ROW('Bank Schedule'!$K$2:$K$817)), ROW(97:97))), "")</f>
        <v>No</v>
      </c>
      <c r="AB100" s="94" t="str">
        <f aca="false" t="array" ref="AB100:AB100">IFERROR(INDEX('Bank Schedule'!AC:AC, SMALL(IF('Bank Schedule'!$K$2:$K$817="Vacant", ROW('Bank Schedule'!$K$2:$K$817)), ROW(97:97))), "")</f>
        <v>LEM marketing.</v>
      </c>
      <c r="AC100" s="44" t="str">
        <f aca="false">IFERROR(INDEX('Bank Schedule'!AD:AD, SMALL(IF('Bank Schedule'!$K$2:$K$817="Vacant", ROW('Bank Schedule'!$K$2:$K$817)), ROW(97:97))), "")</f>
        <v/>
      </c>
      <c r="AD100" s="11" t="str">
        <f aca="false">IFERROR(INDEX('Bank Schedule'!AE:AE, SMALL(IF('Bank Schedule'!$K$2:$K$817="Vacant", ROW('Bank Schedule'!$K$2:$K$817)), ROW(97:97))), "")</f>
        <v/>
      </c>
      <c r="AE100" s="11" t="str">
        <f aca="false">IFERROR(INDEX('Bank Schedule'!AF:AF, SMALL(IF('Bank Schedule'!$K$2:$K$817="Vacant", ROW('Bank Schedule'!$K$2:$K$817)), ROW(97:97))), "")</f>
        <v/>
      </c>
      <c r="AF100" s="11" t="str">
        <f aca="false">IFERROR(INDEX('Bank Schedule'!AG:AG, SMALL(IF('Bank Schedule'!$K$2:$K$817="Vacant", ROW('Bank Schedule'!$K$2:$K$817)), ROW(97:97))), "")</f>
        <v/>
      </c>
      <c r="AG100" s="4"/>
    </row>
    <row r="101" customFormat="false" ht="28.5" hidden="false" customHeight="true" outlineLevel="0" collapsed="false">
      <c r="A101" s="28" t="str">
        <f aca="false">IFERROR(INDEX('Bank Schedule'!A:A, SMALL(IF('Bank Schedule'!$K$2:$K$817="Vacant", ROW('Bank Schedule'!$K$2:$K$817)), ROW(98:98))), "")</f>
        <v/>
      </c>
      <c r="B101" s="11" t="str">
        <f aca="false" t="array" ref="B101:B101">IFERROR(INDEX('Bank Schedule'!B:B, SMALL(IF('Bank Schedule'!$K$2:$K$817="Vacant", ROW('Bank Schedule'!$K$2:$K$817)), ROW(98:98))), "")</f>
        <v>JM</v>
      </c>
      <c r="C101" s="11" t="str">
        <f aca="false" t="array" ref="C101:C101">IFERROR(INDEX('Bank Schedule'!C:C, SMALL(IF('Bank Schedule'!$K$2:$K$817="Vacant", ROW('Bank Schedule'!$K$2:$K$817)), ROW(98:98))), "")</f>
        <v>MEL</v>
      </c>
      <c r="D101" s="11" t="n">
        <f aca="false" t="array" ref="D101:D101">IFERROR(INDEX('Bank Schedule'!D:D, SMALL(IF('Bank Schedule'!$K$2:$K$817="Vacant", ROW('Bank Schedule'!$K$2:$K$817)), ROW(98:98))), "")</f>
        <v>100650</v>
      </c>
      <c r="E101" s="94" t="str">
        <f aca="false" t="array" ref="E101:E101">IFERROR(INDEX('Bank Schedule'!E:E, SMALL(IF('Bank Schedule'!$K$2:$K$817="Vacant", ROW('Bank Schedule'!$K$2:$K$817)), ROW(98:98))), "")</f>
        <v>50-60 Eastcastle Street</v>
      </c>
      <c r="F101" s="94" t="str">
        <f aca="false" t="array" ref="F101:F101">IFERROR(INDEX('Bank Schedule'!F:F, SMALL(IF('Bank Schedule'!$K$2:$K$817="Vacant", ROW('Bank Schedule'!$K$2:$K$817)), ROW(98:98))), "")</f>
        <v>First Floor</v>
      </c>
      <c r="G101" s="94" t="str">
        <f aca="false" t="array" ref="G101:G101">IFERROR(INDEX('Bank Schedule'!G:G, SMALL(IF('Bank Schedule'!$K$2:$K$817="Vacant", ROW('Bank Schedule'!$K$2:$K$817)), ROW(98:98))), "")</f>
        <v>Showroom/ Office</v>
      </c>
      <c r="H101" s="14" t="n">
        <f aca="false" t="array" ref="H101:H101">IFERROR(INDEX('Bank Schedule'!H:H, SMALL(IF('Bank Schedule'!$K$2:$K$817="Vacant", ROW('Bank Schedule'!$K$2:$K$817)), ROW(98:98))), "")</f>
        <v>13294</v>
      </c>
      <c r="I101" s="14" t="n">
        <f aca="false" t="array" ref="I101:I101">IFERROR(INDEX('Bank Schedule'!I:I, SMALL(IF('Bank Schedule'!$K$2:$K$817="Vacant", ROW('Bank Schedule'!$K$2:$K$817)), ROW(98:98))), "")</f>
        <v>13294</v>
      </c>
      <c r="J101" s="11" t="str">
        <f aca="false" t="array" ref="J101:J101">IFERROR(INDEX('Bank Schedule'!K:K, SMALL(IF('Bank Schedule'!$K$2:$K$817="Vacant", ROW('Bank Schedule'!$K$2:$K$817)), ROW(98:98))), "")</f>
        <v>Vacant</v>
      </c>
      <c r="K101" s="11" t="str">
        <f aca="false">IFERROR(INDEX('Bank Schedule'!L:L, SMALL(IF('Bank Schedule'!$K$2:$K$817="Vacant", ROW('Bank Schedule'!$K$2:$K$817)), ROW(98:98))), "")</f>
        <v/>
      </c>
      <c r="L101" s="11" t="str">
        <f aca="false">IFERROR(INDEX('Bank Schedule'!M:M, SMALL(IF('Bank Schedule'!$K$2:$K$817="Vacant", ROW('Bank Schedule'!$K$2:$K$817)), ROW(98:98))), "")</f>
        <v/>
      </c>
      <c r="M101" s="71" t="n">
        <f aca="false" t="array" ref="M101:M101">IFERROR(INDEX('Bank Schedule'!N:N, SMALL(IF('Bank Schedule'!$K$2:$K$817="Vacant", ROW('Bank Schedule'!$K$2:$K$817)), ROW(98:98))), "")</f>
        <v>44682</v>
      </c>
      <c r="N101" s="11" t="str">
        <f aca="false">IFERROR(INDEX('Bank Schedule'!O:O, SMALL(IF('Bank Schedule'!$K$2:$K$817="Vacant", ROW('Bank Schedule'!$K$2:$K$817)), ROW(98:98))), "")</f>
        <v/>
      </c>
      <c r="O101" s="11" t="str">
        <f aca="false">IFERROR(INDEX('Bank Schedule'!P:P, SMALL(IF('Bank Schedule'!$K$2:$K$817="Vacant", ROW('Bank Schedule'!$K$2:$K$817)), ROW(98:98))), "")</f>
        <v/>
      </c>
      <c r="P101" s="11" t="n">
        <f aca="false" t="array" ref="P101:P101">IFERROR(INDEX('Bank Schedule'!Q:Q, SMALL(IF('Bank Schedule'!$K$2:$K$817="Vacant", ROW('Bank Schedule'!$K$2:$K$817)), ROW(98:98))), "")</f>
        <v>0</v>
      </c>
      <c r="Q101" s="11" t="n">
        <f aca="false" t="array" ref="Q101:Q101">IFERROR(INDEX('Bank Schedule'!R:R, SMALL(IF('Bank Schedule'!$K$2:$K$817="Vacant", ROW('Bank Schedule'!$K$2:$K$817)), ROW(98:98))), "")</f>
        <v>0</v>
      </c>
      <c r="R101" s="11" t="str">
        <f aca="false">IFERROR(INDEX('Bank Schedule'!S:S, SMALL(IF('Bank Schedule'!$K$2:$K$817="Vacant", ROW('Bank Schedule'!$K$2:$K$817)), ROW(98:98))), "")</f>
        <v/>
      </c>
      <c r="S101" s="281" t="n">
        <f aca="false" t="array" ref="S101:S101">IFERROR(INDEX('Bank Schedule'!T:T, SMALL(IF('Bank Schedule'!$K$2:$K$817="Vacant", ROW('Bank Schedule'!$K$2:$K$817)), ROW(98:98))), "")</f>
        <v>670700</v>
      </c>
      <c r="T101" s="281" t="n">
        <f aca="false" t="array" ref="T101:T101">IFERROR(INDEX('Bank Schedule'!U:U, SMALL(IF('Bank Schedule'!$K$2:$K$817="Vacant", ROW('Bank Schedule'!$K$2:$K$817)), ROW(98:98))), "")</f>
        <v>670700</v>
      </c>
      <c r="U101" s="281" t="n">
        <f aca="false" t="array" ref="U101:U101">IFERROR(INDEX('Bank Schedule'!V:V, SMALL(IF('Bank Schedule'!$K$2:$K$817="Vacant", ROW('Bank Schedule'!$K$2:$K$817)), ROW(98:98))), "")</f>
        <v>897300</v>
      </c>
      <c r="V101" s="281" t="n">
        <f aca="false" t="array" ref="V101:V101">IFERROR(INDEX('Bank Schedule'!W:W, SMALL(IF('Bank Schedule'!$K$2:$K$817="Vacant", ROW('Bank Schedule'!$K$2:$K$817)), ROW(98:98))), "")</f>
        <v>897300</v>
      </c>
      <c r="W101" s="282" t="n">
        <f aca="false" t="array" ref="W101:W101">IFERROR(INDEX('Bank Schedule'!X:X, SMALL(IF('Bank Schedule'!$K$2:$K$817="Vacant", ROW('Bank Schedule'!$K$2:$K$817)), ROW(98:98))), "")</f>
        <v>50.4513314277118</v>
      </c>
      <c r="X101" s="11" t="str">
        <f aca="false" t="array" ref="X101:X101">IFERROR(INDEX('Bank Schedule'!Y:Y, SMALL(IF('Bank Schedule'!$K$2:$K$817="Vacant", ROW('Bank Schedule'!$K$2:$K$817)), ROW(98:98))), "")</f>
        <v>D</v>
      </c>
      <c r="Y101" s="11" t="str">
        <f aca="false">IFERROR(INDEX('Bank Schedule'!Z:Z, SMALL(IF('Bank Schedule'!$K$2:$K$817="Vacant", ROW('Bank Schedule'!$K$2:$K$817)), ROW(98:98))), "")</f>
        <v/>
      </c>
      <c r="Z101" s="11" t="str">
        <f aca="false">IFERROR(INDEX('Bank Schedule'!AA:AA, SMALL(IF('Bank Schedule'!$K$2:$K$817="Vacant", ROW('Bank Schedule'!$K$2:$K$817)), ROW(98:98))), "")</f>
        <v/>
      </c>
      <c r="AA101" s="11" t="str">
        <f aca="false" t="array" ref="AA101:AA101">IFERROR(INDEX('Bank Schedule'!AB:AB, SMALL(IF('Bank Schedule'!$K$2:$K$817="Vacant", ROW('Bank Schedule'!$K$2:$K$817)), ROW(98:98))), "")</f>
        <v>No</v>
      </c>
      <c r="AB101" s="94" t="str">
        <f aca="false" t="array" ref="AB101:AB101">IFERROR(INDEX('Bank Schedule'!AC:AC, SMALL(IF('Bank Schedule'!$K$2:$K$817="Vacant", ROW('Bank Schedule'!$K$2:$K$817)), ROW(98:98))), "")</f>
        <v>Under refurb. All four units combined. Floor area remeasured</v>
      </c>
      <c r="AC101" s="44" t="str">
        <f aca="false">IFERROR(INDEX('Bank Schedule'!AD:AD, SMALL(IF('Bank Schedule'!$K$2:$K$817="Vacant", ROW('Bank Schedule'!$K$2:$K$817)), ROW(98:98))), "")</f>
        <v/>
      </c>
      <c r="AD101" s="11" t="str">
        <f aca="false">IFERROR(INDEX('Bank Schedule'!AE:AE, SMALL(IF('Bank Schedule'!$K$2:$K$817="Vacant", ROW('Bank Schedule'!$K$2:$K$817)), ROW(98:98))), "")</f>
        <v/>
      </c>
      <c r="AE101" s="11" t="str">
        <f aca="false">IFERROR(INDEX('Bank Schedule'!AF:AF, SMALL(IF('Bank Schedule'!$K$2:$K$817="Vacant", ROW('Bank Schedule'!$K$2:$K$817)), ROW(98:98))), "")</f>
        <v/>
      </c>
      <c r="AF101" s="11" t="str">
        <f aca="false">IFERROR(INDEX('Bank Schedule'!AG:AG, SMALL(IF('Bank Schedule'!$K$2:$K$817="Vacant", ROW('Bank Schedule'!$K$2:$K$817)), ROW(98:98))), "")</f>
        <v/>
      </c>
      <c r="AG101" s="4"/>
    </row>
    <row r="102" customFormat="false" ht="28.5" hidden="false" customHeight="true" outlineLevel="0" collapsed="false">
      <c r="A102" s="28" t="n">
        <f aca="false">IFERROR(INDEX('Bank Schedule'!A:A, SMALL(IF('Bank Schedule'!$K$2:$K$817="Vacant", ROW('Bank Schedule'!$K$2:$K$817)), ROW(99:99))), "")</f>
        <v>0</v>
      </c>
      <c r="B102" s="11" t="str">
        <f aca="false" t="array" ref="B102:B102">IFERROR(INDEX('Bank Schedule'!B:B, SMALL(IF('Bank Schedule'!$K$2:$K$817="Vacant", ROW('Bank Schedule'!$K$2:$K$817)), ROW(99:99))), "")</f>
        <v>JM</v>
      </c>
      <c r="C102" s="11" t="str">
        <f aca="false" t="array" ref="C102:C102">IFERROR(INDEX('Bank Schedule'!C:C, SMALL(IF('Bank Schedule'!$K$2:$K$817="Vacant", ROW('Bank Schedule'!$K$2:$K$817)), ROW(99:99))), "")</f>
        <v>MEL</v>
      </c>
      <c r="D102" s="11" t="n">
        <f aca="false" t="array" ref="D102:D102">IFERROR(INDEX('Bank Schedule'!D:D, SMALL(IF('Bank Schedule'!$K$2:$K$817="Vacant", ROW('Bank Schedule'!$K$2:$K$817)), ROW(99:99))), "")</f>
        <v>100650</v>
      </c>
      <c r="E102" s="94" t="str">
        <f aca="false" t="array" ref="E102:E102">IFERROR(INDEX('Bank Schedule'!E:E, SMALL(IF('Bank Schedule'!$K$2:$K$817="Vacant", ROW('Bank Schedule'!$K$2:$K$817)), ROW(99:99))), "")</f>
        <v>50-60 Eastcastle Street</v>
      </c>
      <c r="F102" s="94" t="str">
        <f aca="false" t="array" ref="F102:F102">IFERROR(INDEX('Bank Schedule'!F:F, SMALL(IF('Bank Schedule'!$K$2:$K$817="Vacant", ROW('Bank Schedule'!$K$2:$K$817)), ROW(99:99))), "")</f>
        <v>Second Floor </v>
      </c>
      <c r="G102" s="94" t="str">
        <f aca="false" t="array" ref="G102:G102">IFERROR(INDEX('Bank Schedule'!G:G, SMALL(IF('Bank Schedule'!$K$2:$K$817="Vacant", ROW('Bank Schedule'!$K$2:$K$817)), ROW(99:99))), "")</f>
        <v>Office</v>
      </c>
      <c r="H102" s="14" t="n">
        <f aca="false" t="array" ref="H102:H102">IFERROR(INDEX('Bank Schedule'!H:H, SMALL(IF('Bank Schedule'!$K$2:$K$817="Vacant", ROW('Bank Schedule'!$K$2:$K$817)), ROW(99:99))), "")</f>
        <v>18378</v>
      </c>
      <c r="I102" s="14" t="n">
        <f aca="false" t="array" ref="I102:I102">IFERROR(INDEX('Bank Schedule'!I:I, SMALL(IF('Bank Schedule'!$K$2:$K$817="Vacant", ROW('Bank Schedule'!$K$2:$K$817)), ROW(99:99))), "")</f>
        <v>18378</v>
      </c>
      <c r="J102" s="11" t="str">
        <f aca="false" t="array" ref="J102:J102">IFERROR(INDEX('Bank Schedule'!K:K, SMALL(IF('Bank Schedule'!$K$2:$K$817="Vacant", ROW('Bank Schedule'!$K$2:$K$817)), ROW(99:99))), "")</f>
        <v>Vacant</v>
      </c>
      <c r="K102" s="8" t="n">
        <f aca="false">IFERROR(INDEX('Bank Schedule'!L:L, SMALL(IF('Bank Schedule'!$K$2:$K$817="Vacant", ROW('Bank Schedule'!$K$2:$K$817)), ROW(99:99))), "")</f>
        <v>0</v>
      </c>
      <c r="L102" s="8" t="n">
        <f aca="false">IFERROR(INDEX('Bank Schedule'!M:M, SMALL(IF('Bank Schedule'!$K$2:$K$817="Vacant", ROW('Bank Schedule'!$K$2:$K$817)), ROW(99:99))), "")</f>
        <v>0</v>
      </c>
      <c r="M102" s="71" t="n">
        <f aca="false" t="array" ref="M102:M102">IFERROR(INDEX('Bank Schedule'!N:N, SMALL(IF('Bank Schedule'!$K$2:$K$817="Vacant", ROW('Bank Schedule'!$K$2:$K$817)), ROW(99:99))), "")</f>
        <v>44849</v>
      </c>
      <c r="N102" s="8" t="n">
        <f aca="false">IFERROR(INDEX('Bank Schedule'!O:O, SMALL(IF('Bank Schedule'!$K$2:$K$817="Vacant", ROW('Bank Schedule'!$K$2:$K$817)), ROW(99:99))), "")</f>
        <v>0</v>
      </c>
      <c r="O102" s="8" t="n">
        <f aca="false">IFERROR(INDEX('Bank Schedule'!P:P, SMALL(IF('Bank Schedule'!$K$2:$K$817="Vacant", ROW('Bank Schedule'!$K$2:$K$817)), ROW(99:99))), "")</f>
        <v>0</v>
      </c>
      <c r="P102" s="11" t="n">
        <f aca="false" t="array" ref="P102:P102">IFERROR(INDEX('Bank Schedule'!Q:Q, SMALL(IF('Bank Schedule'!$K$2:$K$817="Vacant", ROW('Bank Schedule'!$K$2:$K$817)), ROW(99:99))), "")</f>
        <v>0</v>
      </c>
      <c r="Q102" s="11" t="n">
        <f aca="false" t="array" ref="Q102:Q102">IFERROR(INDEX('Bank Schedule'!R:R, SMALL(IF('Bank Schedule'!$K$2:$K$817="Vacant", ROW('Bank Schedule'!$K$2:$K$817)), ROW(99:99))), "")</f>
        <v>0</v>
      </c>
      <c r="R102" s="9" t="n">
        <f aca="false">IFERROR(INDEX('Bank Schedule'!S:S, SMALL(IF('Bank Schedule'!$K$2:$K$817="Vacant", ROW('Bank Schedule'!$K$2:$K$817)), ROW(99:99))), "")</f>
        <v>0</v>
      </c>
      <c r="S102" s="281" t="n">
        <f aca="false" t="array" ref="S102:S102">IFERROR(INDEX('Bank Schedule'!T:T, SMALL(IF('Bank Schedule'!$K$2:$K$817="Vacant", ROW('Bank Schedule'!$K$2:$K$817)), ROW(99:99))), "")</f>
        <v>1161100</v>
      </c>
      <c r="T102" s="281" t="n">
        <f aca="false" t="array" ref="T102:T102">IFERROR(INDEX('Bank Schedule'!U:U, SMALL(IF('Bank Schedule'!$K$2:$K$817="Vacant", ROW('Bank Schedule'!$K$2:$K$817)), ROW(99:99))), "")</f>
        <v>1161100</v>
      </c>
      <c r="U102" s="281" t="n">
        <f aca="false" t="array" ref="U102:U102">IFERROR(INDEX('Bank Schedule'!V:V, SMALL(IF('Bank Schedule'!$K$2:$K$817="Vacant", ROW('Bank Schedule'!$K$2:$K$817)), ROW(99:99))), "")</f>
        <v>1294400</v>
      </c>
      <c r="V102" s="281" t="n">
        <f aca="false" t="array" ref="V102:V102">IFERROR(INDEX('Bank Schedule'!W:W, SMALL(IF('Bank Schedule'!$K$2:$K$817="Vacant", ROW('Bank Schedule'!$K$2:$K$817)), ROW(99:99))), "")</f>
        <v>1294400</v>
      </c>
      <c r="W102" s="282" t="n">
        <f aca="false" t="array" ref="W102:W102">IFERROR(INDEX('Bank Schedule'!X:X, SMALL(IF('Bank Schedule'!$K$2:$K$817="Vacant", ROW('Bank Schedule'!$K$2:$K$817)), ROW(99:99))), "")</f>
        <v>63.1788007400152</v>
      </c>
      <c r="X102" s="11" t="str">
        <f aca="false" t="array" ref="X102:X102">IFERROR(INDEX('Bank Schedule'!Y:Y, SMALL(IF('Bank Schedule'!$K$2:$K$817="Vacant", ROW('Bank Schedule'!$K$2:$K$817)), ROW(99:99))), "")</f>
        <v>D</v>
      </c>
      <c r="Y102" s="9" t="n">
        <f aca="false">IFERROR(INDEX('Bank Schedule'!Z:Z, SMALL(IF('Bank Schedule'!$K$2:$K$817="Vacant", ROW('Bank Schedule'!$K$2:$K$817)), ROW(99:99))), "")</f>
        <v>0</v>
      </c>
      <c r="Z102" s="283" t="n">
        <f aca="false">IFERROR(INDEX('Bank Schedule'!AA:AA, SMALL(IF('Bank Schedule'!$K$2:$K$817="Vacant", ROW('Bank Schedule'!$K$2:$K$817)), ROW(99:99))), "")</f>
        <v>0</v>
      </c>
      <c r="AA102" s="11" t="str">
        <f aca="false" t="array" ref="AA102:AA102">IFERROR(INDEX('Bank Schedule'!AB:AB, SMALL(IF('Bank Schedule'!$K$2:$K$817="Vacant", ROW('Bank Schedule'!$K$2:$K$817)), ROW(99:99))), "")</f>
        <v>No</v>
      </c>
      <c r="AB102" s="94" t="str">
        <f aca="false" t="array" ref="AB102:AB102">IFERROR(INDEX('Bank Schedule'!AC:AC, SMALL(IF('Bank Schedule'!$K$2:$K$817="Vacant", ROW('Bank Schedule'!$K$2:$K$817)), ROW(99:99))), "")</f>
        <v>Under refurb. Three units combined. Floor area remeasured</v>
      </c>
      <c r="AC102" s="44" t="n">
        <f aca="false">IFERROR(INDEX('Bank Schedule'!AD:AD, SMALL(IF('Bank Schedule'!$K$2:$K$817="Vacant", ROW('Bank Schedule'!$K$2:$K$817)), ROW(99:99))), "")</f>
        <v>0</v>
      </c>
      <c r="AD102" s="11" t="n">
        <f aca="false">IFERROR(INDEX('Bank Schedule'!AE:AE, SMALL(IF('Bank Schedule'!$K$2:$K$817="Vacant", ROW('Bank Schedule'!$K$2:$K$817)), ROW(99:99))), "")</f>
        <v>0</v>
      </c>
      <c r="AE102" s="11" t="n">
        <f aca="false" t="array" ref="AE102:AE102">IFERROR(INDEX('Bank Schedule'!AF:AF, SMALL(IF('Bank Schedule'!$K$2:$K$817="Vacant", ROW('Bank Schedule'!$K$2:$K$817)), ROW(99:99))), "")</f>
        <v>1</v>
      </c>
      <c r="AF102" s="11" t="str">
        <f aca="false" t="array" ref="AF102:AF102">IFERROR(INDEX('Bank Schedule'!AG:AG, SMALL(IF('Bank Schedule'!$K$2:$K$817="Vacant", ROW('Bank Schedule'!$K$2:$K$817)), ROW(99:99))), "")</f>
        <v>LEM</v>
      </c>
      <c r="AG102" s="4"/>
    </row>
    <row r="103" customFormat="false" ht="28.5" hidden="false" customHeight="true" outlineLevel="0" collapsed="false">
      <c r="A103" s="28" t="n">
        <f aca="false">IFERROR(INDEX('Bank Schedule'!A:A, SMALL(IF('Bank Schedule'!$K$2:$K$817="Vacant", ROW('Bank Schedule'!$K$2:$K$817)), ROW(100:100))), "")</f>
        <v>0</v>
      </c>
      <c r="B103" s="11" t="str">
        <f aca="false" t="array" ref="B103:B103">IFERROR(INDEX('Bank Schedule'!B:B, SMALL(IF('Bank Schedule'!$K$2:$K$817="Vacant", ROW('Bank Schedule'!$K$2:$K$817)), ROW(100:100))), "")</f>
        <v>JM</v>
      </c>
      <c r="C103" s="11" t="str">
        <f aca="false" t="array" ref="C103:C103">IFERROR(INDEX('Bank Schedule'!C:C, SMALL(IF('Bank Schedule'!$K$2:$K$817="Vacant", ROW('Bank Schedule'!$K$2:$K$817)), ROW(100:100))), "")</f>
        <v>MEL</v>
      </c>
      <c r="D103" s="11" t="n">
        <f aca="false" t="array" ref="D103:D103">IFERROR(INDEX('Bank Schedule'!D:D, SMALL(IF('Bank Schedule'!$K$2:$K$817="Vacant", ROW('Bank Schedule'!$K$2:$K$817)), ROW(100:100))), "")</f>
        <v>100650</v>
      </c>
      <c r="E103" s="94" t="str">
        <f aca="false" t="array" ref="E103:E103">IFERROR(INDEX('Bank Schedule'!E:E, SMALL(IF('Bank Schedule'!$K$2:$K$817="Vacant", ROW('Bank Schedule'!$K$2:$K$817)), ROW(100:100))), "")</f>
        <v>50-60 Eastcastle Street</v>
      </c>
      <c r="F103" s="94" t="str">
        <f aca="false" t="array" ref="F103:F103">IFERROR(INDEX('Bank Schedule'!F:F, SMALL(IF('Bank Schedule'!$K$2:$K$817="Vacant", ROW('Bank Schedule'!$K$2:$K$817)), ROW(100:100))), "")</f>
        <v>Third Floor (303 &amp; 320)</v>
      </c>
      <c r="G103" s="94" t="str">
        <f aca="false" t="array" ref="G103:G103">IFERROR(INDEX('Bank Schedule'!G:G, SMALL(IF('Bank Schedule'!$K$2:$K$817="Vacant", ROW('Bank Schedule'!$K$2:$K$817)), ROW(100:100))), "")</f>
        <v>Offices</v>
      </c>
      <c r="H103" s="14" t="n">
        <f aca="false" t="array" ref="H103:H103">IFERROR(INDEX('Bank Schedule'!H:H, SMALL(IF('Bank Schedule'!$K$2:$K$817="Vacant", ROW('Bank Schedule'!$K$2:$K$817)), ROW(100:100))), "")</f>
        <v>7676</v>
      </c>
      <c r="I103" s="14" t="n">
        <f aca="false" t="array" ref="I103:I103">IFERROR(INDEX('Bank Schedule'!I:I, SMALL(IF('Bank Schedule'!$K$2:$K$817="Vacant", ROW('Bank Schedule'!$K$2:$K$817)), ROW(100:100))), "")</f>
        <v>7676</v>
      </c>
      <c r="J103" s="11" t="str">
        <f aca="false" t="array" ref="J103:J103">IFERROR(INDEX('Bank Schedule'!K:K, SMALL(IF('Bank Schedule'!$K$2:$K$817="Vacant", ROW('Bank Schedule'!$K$2:$K$817)), ROW(100:100))), "")</f>
        <v>Vacant</v>
      </c>
      <c r="K103" s="8" t="n">
        <f aca="false">IFERROR(INDEX('Bank Schedule'!L:L, SMALL(IF('Bank Schedule'!$K$2:$K$817="Vacant", ROW('Bank Schedule'!$K$2:$K$817)), ROW(100:100))), "")</f>
        <v>44729</v>
      </c>
      <c r="L103" s="8" t="n">
        <f aca="false">IFERROR(INDEX('Bank Schedule'!M:M, SMALL(IF('Bank Schedule'!$K$2:$K$817="Vacant", ROW('Bank Schedule'!$K$2:$K$817)), ROW(100:100))), "")</f>
        <v>50207</v>
      </c>
      <c r="M103" s="71" t="n">
        <f aca="false" t="array" ref="M103:M103">IFERROR(INDEX('Bank Schedule'!N:N, SMALL(IF('Bank Schedule'!$K$2:$K$817="Vacant", ROW('Bank Schedule'!$K$2:$K$817)), ROW(100:100))), "")</f>
        <v>44340</v>
      </c>
      <c r="N103" s="8" t="n">
        <f aca="false">IFERROR(INDEX('Bank Schedule'!O:O, SMALL(IF('Bank Schedule'!$K$2:$K$817="Vacant", ROW('Bank Schedule'!$K$2:$K$817)), ROW(100:100))), "")</f>
        <v>46555</v>
      </c>
      <c r="O103" s="8" t="n">
        <f aca="false">IFERROR(INDEX('Bank Schedule'!P:P, SMALL(IF('Bank Schedule'!$K$2:$K$817="Vacant", ROW('Bank Schedule'!$K$2:$K$817)), ROW(100:100))), "")</f>
        <v>48381</v>
      </c>
      <c r="P103" s="11" t="n">
        <f aca="false" t="array" ref="P103:P103">IFERROR(INDEX('Bank Schedule'!Q:Q, SMALL(IF('Bank Schedule'!$K$2:$K$817="Vacant", ROW('Bank Schedule'!$K$2:$K$817)), ROW(100:100))), "")</f>
        <v>0</v>
      </c>
      <c r="Q103" s="11" t="n">
        <f aca="false" t="array" ref="Q103:Q103">IFERROR(INDEX('Bank Schedule'!R:R, SMALL(IF('Bank Schedule'!$K$2:$K$817="Vacant", ROW('Bank Schedule'!$K$2:$K$817)), ROW(100:100))), "")</f>
        <v>0</v>
      </c>
      <c r="R103" s="9" t="n">
        <f aca="false">IFERROR(INDEX('Bank Schedule'!S:S, SMALL(IF('Bank Schedule'!$K$2:$K$817="Vacant", ROW('Bank Schedule'!$K$2:$K$817)), ROW(100:100))), "")</f>
        <v>0</v>
      </c>
      <c r="S103" s="281" t="n">
        <f aca="false" t="array" ref="S103:S103">IFERROR(INDEX('Bank Schedule'!T:T, SMALL(IF('Bank Schedule'!$K$2:$K$817="Vacant", ROW('Bank Schedule'!$K$2:$K$817)), ROW(100:100))), "")</f>
        <v>441300</v>
      </c>
      <c r="T103" s="281" t="n">
        <f aca="false" t="array" ref="T103:T103">IFERROR(INDEX('Bank Schedule'!U:U, SMALL(IF('Bank Schedule'!$K$2:$K$817="Vacant", ROW('Bank Schedule'!$K$2:$K$817)), ROW(100:100))), "")</f>
        <v>441300</v>
      </c>
      <c r="U103" s="281" t="n">
        <f aca="false" t="array" ref="U103:U103">IFERROR(INDEX('Bank Schedule'!V:V, SMALL(IF('Bank Schedule'!$K$2:$K$817="Vacant", ROW('Bank Schedule'!$K$2:$K$817)), ROW(100:100))), "")</f>
        <v>518100</v>
      </c>
      <c r="V103" s="281" t="n">
        <f aca="false" t="array" ref="V103:V103">IFERROR(INDEX('Bank Schedule'!W:W, SMALL(IF('Bank Schedule'!$K$2:$K$817="Vacant", ROW('Bank Schedule'!$K$2:$K$817)), ROW(100:100))), "")</f>
        <v>518100</v>
      </c>
      <c r="W103" s="282" t="n">
        <f aca="false" t="array" ref="W103:W103">IFERROR(INDEX('Bank Schedule'!X:X, SMALL(IF('Bank Schedule'!$K$2:$K$817="Vacant", ROW('Bank Schedule'!$K$2:$K$817)), ROW(100:100))), "")</f>
        <v>57.4908806670141</v>
      </c>
      <c r="X103" s="11" t="str">
        <f aca="false" t="array" ref="X103:X103">IFERROR(INDEX('Bank Schedule'!Y:Y, SMALL(IF('Bank Schedule'!$K$2:$K$817="Vacant", ROW('Bank Schedule'!$K$2:$K$817)), ROW(100:100))), "")</f>
        <v>E</v>
      </c>
      <c r="Y103" s="9" t="n">
        <f aca="false">IFERROR(INDEX('Bank Schedule'!Z:Z, SMALL(IF('Bank Schedule'!$K$2:$K$817="Vacant", ROW('Bank Schedule'!$K$2:$K$817)), ROW(100:100))), "")</f>
        <v>0</v>
      </c>
      <c r="Z103" s="283" t="n">
        <f aca="false">IFERROR(INDEX('Bank Schedule'!AA:AA, SMALL(IF('Bank Schedule'!$K$2:$K$817="Vacant", ROW('Bank Schedule'!$K$2:$K$817)), ROW(100:100))), "")</f>
        <v>0</v>
      </c>
      <c r="AA103" s="11" t="str">
        <f aca="false" t="array" ref="AA103:AA103">IFERROR(INDEX('Bank Schedule'!AB:AB, SMALL(IF('Bank Schedule'!$K$2:$K$817="Vacant", ROW('Bank Schedule'!$K$2:$K$817)), ROW(100:100))), "")</f>
        <v>No</v>
      </c>
      <c r="AB103" s="94" t="str">
        <f aca="false" t="array" ref="AB103:AB103">IFERROR(INDEX('Bank Schedule'!AC:AC, SMALL(IF('Bank Schedule'!$K$2:$K$817="Vacant", ROW('Bank Schedule'!$K$2:$K$817)), ROW(100:100))), "")</f>
        <v>Under refurb. Unit combined</v>
      </c>
      <c r="AC103" s="44" t="n">
        <f aca="false">IFERROR(INDEX('Bank Schedule'!AD:AD, SMALL(IF('Bank Schedule'!$K$2:$K$817="Vacant", ROW('Bank Schedule'!$K$2:$K$817)), ROW(100:100))), "")</f>
        <v>0</v>
      </c>
      <c r="AD103" s="11" t="n">
        <f aca="false" t="array" ref="AD103:AD103">IFERROR(INDEX('Bank Schedule'!AE:AE, SMALL(IF('Bank Schedule'!$K$2:$K$817="Vacant", ROW('Bank Schedule'!$K$2:$K$817)), ROW(100:100))), "")</f>
        <v>1</v>
      </c>
      <c r="AE103" s="11" t="n">
        <f aca="false" t="array" ref="AE103:AE103">IFERROR(INDEX('Bank Schedule'!AF:AF, SMALL(IF('Bank Schedule'!$K$2:$K$817="Vacant", ROW('Bank Schedule'!$K$2:$K$817)), ROW(100:100))), "")</f>
        <v>1</v>
      </c>
      <c r="AF103" s="11" t="str">
        <f aca="false" t="array" ref="AF103:AF103">IFERROR(INDEX('Bank Schedule'!AG:AG, SMALL(IF('Bank Schedule'!$K$2:$K$817="Vacant", ROW('Bank Schedule'!$K$2:$K$817)), ROW(100:100))), "")</f>
        <v>LEM</v>
      </c>
      <c r="AG103" s="4"/>
    </row>
    <row r="104" customFormat="false" ht="28.5" hidden="false" customHeight="true" outlineLevel="0" collapsed="false">
      <c r="A104" s="28" t="str">
        <f aca="false">IFERROR(INDEX('Bank Schedule'!A:A, SMALL(IF('Bank Schedule'!$K$2:$K$817="Vacant", ROW('Bank Schedule'!$K$2:$K$817)), ROW(101:101))), "")</f>
        <v/>
      </c>
      <c r="B104" s="11" t="str">
        <f aca="false" t="array" ref="B104:B104">IFERROR(INDEX('Bank Schedule'!B:B, SMALL(IF('Bank Schedule'!$K$2:$K$817="Vacant", ROW('Bank Schedule'!$K$2:$K$817)), ROW(101:101))), "")</f>
        <v>JM</v>
      </c>
      <c r="C104" s="11" t="str">
        <f aca="false" t="array" ref="C104:C104">IFERROR(INDEX('Bank Schedule'!C:C, SMALL(IF('Bank Schedule'!$K$2:$K$817="Vacant", ROW('Bank Schedule'!$K$2:$K$817)), ROW(101:101))), "")</f>
        <v>MEL</v>
      </c>
      <c r="D104" s="11" t="n">
        <f aca="false" t="array" ref="D104:D104">IFERROR(INDEX('Bank Schedule'!D:D, SMALL(IF('Bank Schedule'!$K$2:$K$817="Vacant", ROW('Bank Schedule'!$K$2:$K$817)), ROW(101:101))), "")</f>
        <v>100650</v>
      </c>
      <c r="E104" s="94" t="str">
        <f aca="false" t="array" ref="E104:E104">IFERROR(INDEX('Bank Schedule'!E:E, SMALL(IF('Bank Schedule'!$K$2:$K$817="Vacant", ROW('Bank Schedule'!$K$2:$K$817)), ROW(101:101))), "")</f>
        <v>50-60 Eastcastle Street</v>
      </c>
      <c r="F104" s="94" t="str">
        <f aca="false" t="array" ref="F104:F104">IFERROR(INDEX('Bank Schedule'!F:F, SMALL(IF('Bank Schedule'!$K$2:$K$817="Vacant", ROW('Bank Schedule'!$K$2:$K$817)), ROW(101:101))), "")</f>
        <v>Third Floor (325)</v>
      </c>
      <c r="G104" s="94" t="str">
        <f aca="false" t="array" ref="G104:G104">IFERROR(INDEX('Bank Schedule'!G:G, SMALL(IF('Bank Schedule'!$K$2:$K$817="Vacant", ROW('Bank Schedule'!$K$2:$K$817)), ROW(101:101))), "")</f>
        <v>Showroom/ Office</v>
      </c>
      <c r="H104" s="14" t="n">
        <f aca="false" t="array" ref="H104:H104">IFERROR(INDEX('Bank Schedule'!H:H, SMALL(IF('Bank Schedule'!$K$2:$K$817="Vacant", ROW('Bank Schedule'!$K$2:$K$817)), ROW(101:101))), "")</f>
        <v>363</v>
      </c>
      <c r="I104" s="14" t="n">
        <f aca="false" t="array" ref="I104:I104">IFERROR(INDEX('Bank Schedule'!I:I, SMALL(IF('Bank Schedule'!$K$2:$K$817="Vacant", ROW('Bank Schedule'!$K$2:$K$817)), ROW(101:101))), "")</f>
        <v>363</v>
      </c>
      <c r="J104" s="11" t="str">
        <f aca="false" t="array" ref="J104:J104">IFERROR(INDEX('Bank Schedule'!K:K, SMALL(IF('Bank Schedule'!$K$2:$K$817="Vacant", ROW('Bank Schedule'!$K$2:$K$817)), ROW(101:101))), "")</f>
        <v>Vacant</v>
      </c>
      <c r="K104" s="11" t="str">
        <f aca="false">IFERROR(INDEX('Bank Schedule'!L:L, SMALL(IF('Bank Schedule'!$K$2:$K$817="Vacant", ROW('Bank Schedule'!$K$2:$K$817)), ROW(101:101))), "")</f>
        <v/>
      </c>
      <c r="L104" s="11" t="str">
        <f aca="false">IFERROR(INDEX('Bank Schedule'!M:M, SMALL(IF('Bank Schedule'!$K$2:$K$817="Vacant", ROW('Bank Schedule'!$K$2:$K$817)), ROW(101:101))), "")</f>
        <v/>
      </c>
      <c r="M104" s="71" t="n">
        <f aca="false" t="array" ref="M104:M104">IFERROR(INDEX('Bank Schedule'!N:N, SMALL(IF('Bank Schedule'!$K$2:$K$817="Vacant", ROW('Bank Schedule'!$K$2:$K$817)), ROW(101:101))), "")</f>
        <v>45139</v>
      </c>
      <c r="N104" s="11" t="str">
        <f aca="false">IFERROR(INDEX('Bank Schedule'!O:O, SMALL(IF('Bank Schedule'!$K$2:$K$817="Vacant", ROW('Bank Schedule'!$K$2:$K$817)), ROW(101:101))), "")</f>
        <v/>
      </c>
      <c r="O104" s="11" t="str">
        <f aca="false">IFERROR(INDEX('Bank Schedule'!P:P, SMALL(IF('Bank Schedule'!$K$2:$K$817="Vacant", ROW('Bank Schedule'!$K$2:$K$817)), ROW(101:101))), "")</f>
        <v/>
      </c>
      <c r="P104" s="11" t="n">
        <f aca="false" t="array" ref="P104:P104">IFERROR(INDEX('Bank Schedule'!Q:Q, SMALL(IF('Bank Schedule'!$K$2:$K$817="Vacant", ROW('Bank Schedule'!$K$2:$K$817)), ROW(101:101))), "")</f>
        <v>0</v>
      </c>
      <c r="Q104" s="11" t="n">
        <f aca="false" t="array" ref="Q104:Q104">IFERROR(INDEX('Bank Schedule'!R:R, SMALL(IF('Bank Schedule'!$K$2:$K$817="Vacant", ROW('Bank Schedule'!$K$2:$K$817)), ROW(101:101))), "")</f>
        <v>0</v>
      </c>
      <c r="R104" s="11" t="str">
        <f aca="false">IFERROR(INDEX('Bank Schedule'!S:S, SMALL(IF('Bank Schedule'!$K$2:$K$817="Vacant", ROW('Bank Schedule'!$K$2:$K$817)), ROW(101:101))), "")</f>
        <v/>
      </c>
      <c r="S104" s="281" t="n">
        <f aca="false" t="array" ref="S104:S104">IFERROR(INDEX('Bank Schedule'!T:T, SMALL(IF('Bank Schedule'!$K$2:$K$817="Vacant", ROW('Bank Schedule'!$K$2:$K$817)), ROW(101:101))), "")</f>
        <v>20900</v>
      </c>
      <c r="T104" s="281" t="n">
        <f aca="false" t="array" ref="T104:T104">IFERROR(INDEX('Bank Schedule'!U:U, SMALL(IF('Bank Schedule'!$K$2:$K$817="Vacant", ROW('Bank Schedule'!$K$2:$K$817)), ROW(101:101))), "")</f>
        <v>20900</v>
      </c>
      <c r="U104" s="281" t="n">
        <f aca="false" t="array" ref="U104:U104">IFERROR(INDEX('Bank Schedule'!V:V, SMALL(IF('Bank Schedule'!$K$2:$K$817="Vacant", ROW('Bank Schedule'!$K$2:$K$817)), ROW(101:101))), "")</f>
        <v>27200</v>
      </c>
      <c r="V104" s="281" t="n">
        <f aca="false" t="array" ref="V104:V104">IFERROR(INDEX('Bank Schedule'!W:W, SMALL(IF('Bank Schedule'!$K$2:$K$817="Vacant", ROW('Bank Schedule'!$K$2:$K$817)), ROW(101:101))), "")</f>
        <v>27200</v>
      </c>
      <c r="W104" s="282" t="n">
        <f aca="false" t="array" ref="W104:W104">IFERROR(INDEX('Bank Schedule'!X:X, SMALL(IF('Bank Schedule'!$K$2:$K$817="Vacant", ROW('Bank Schedule'!$K$2:$K$817)), ROW(101:101))), "")</f>
        <v>57.5757575757576</v>
      </c>
      <c r="X104" s="11" t="str">
        <f aca="false" t="array" ref="X104:X104">IFERROR(INDEX('Bank Schedule'!Y:Y, SMALL(IF('Bank Schedule'!$K$2:$K$817="Vacant", ROW('Bank Schedule'!$K$2:$K$817)), ROW(101:101))), "")</f>
        <v>D</v>
      </c>
      <c r="Y104" s="11" t="str">
        <f aca="false">IFERROR(INDEX('Bank Schedule'!Z:Z, SMALL(IF('Bank Schedule'!$K$2:$K$817="Vacant", ROW('Bank Schedule'!$K$2:$K$817)), ROW(101:101))), "")</f>
        <v/>
      </c>
      <c r="Z104" s="11" t="str">
        <f aca="false">IFERROR(INDEX('Bank Schedule'!AA:AA, SMALL(IF('Bank Schedule'!$K$2:$K$817="Vacant", ROW('Bank Schedule'!$K$2:$K$817)), ROW(101:101))), "")</f>
        <v/>
      </c>
      <c r="AA104" s="11" t="str">
        <f aca="false" t="array" ref="AA104:AA104">IFERROR(INDEX('Bank Schedule'!AB:AB, SMALL(IF('Bank Schedule'!$K$2:$K$817="Vacant", ROW('Bank Schedule'!$K$2:$K$817)), ROW(101:101))), "")</f>
        <v>No</v>
      </c>
      <c r="AB104" s="94" t="str">
        <f aca="false" t="array" ref="AB104:AB104">IFERROR(INDEX('Bank Schedule'!AC:AC, SMALL(IF('Bank Schedule'!$K$2:$K$817="Vacant", ROW('Bank Schedule'!$K$2:$K$817)), ROW(101:101))), "")</f>
        <v>To be refurbished.</v>
      </c>
      <c r="AC104" s="44" t="str">
        <f aca="false">IFERROR(INDEX('Bank Schedule'!AD:AD, SMALL(IF('Bank Schedule'!$K$2:$K$817="Vacant", ROW('Bank Schedule'!$K$2:$K$817)), ROW(101:101))), "")</f>
        <v/>
      </c>
      <c r="AD104" s="11" t="str">
        <f aca="false">IFERROR(INDEX('Bank Schedule'!AE:AE, SMALL(IF('Bank Schedule'!$K$2:$K$817="Vacant", ROW('Bank Schedule'!$K$2:$K$817)), ROW(101:101))), "")</f>
        <v/>
      </c>
      <c r="AE104" s="11" t="str">
        <f aca="false">IFERROR(INDEX('Bank Schedule'!AF:AF, SMALL(IF('Bank Schedule'!$K$2:$K$817="Vacant", ROW('Bank Schedule'!$K$2:$K$817)), ROW(101:101))), "")</f>
        <v/>
      </c>
      <c r="AF104" s="11" t="str">
        <f aca="false">IFERROR(INDEX('Bank Schedule'!AG:AG, SMALL(IF('Bank Schedule'!$K$2:$K$817="Vacant", ROW('Bank Schedule'!$K$2:$K$817)), ROW(101:101))), "")</f>
        <v/>
      </c>
      <c r="AG104" s="4"/>
    </row>
    <row r="105" customFormat="false" ht="28.5" hidden="false" customHeight="true" outlineLevel="0" collapsed="false">
      <c r="A105" s="28" t="str">
        <f aca="false">IFERROR(INDEX('Bank Schedule'!A:A, SMALL(IF('Bank Schedule'!$K$2:$K$817="Vacant", ROW('Bank Schedule'!$K$2:$K$817)), ROW(102:102))), "")</f>
        <v/>
      </c>
      <c r="B105" s="11" t="str">
        <f aca="false" t="array" ref="B105:B105">IFERROR(INDEX('Bank Schedule'!B:B, SMALL(IF('Bank Schedule'!$K$2:$K$817="Vacant", ROW('Bank Schedule'!$K$2:$K$817)), ROW(102:102))), "")</f>
        <v>JM</v>
      </c>
      <c r="C105" s="11" t="str">
        <f aca="false" t="array" ref="C105:C105">IFERROR(INDEX('Bank Schedule'!C:C, SMALL(IF('Bank Schedule'!$K$2:$K$817="Vacant", ROW('Bank Schedule'!$K$2:$K$817)), ROW(102:102))), "")</f>
        <v>MEL</v>
      </c>
      <c r="D105" s="11" t="n">
        <f aca="false" t="array" ref="D105:D105">IFERROR(INDEX('Bank Schedule'!D:D, SMALL(IF('Bank Schedule'!$K$2:$K$817="Vacant", ROW('Bank Schedule'!$K$2:$K$817)), ROW(102:102))), "")</f>
        <v>100650</v>
      </c>
      <c r="E105" s="94" t="str">
        <f aca="false" t="array" ref="E105:E105">IFERROR(INDEX('Bank Schedule'!E:E, SMALL(IF('Bank Schedule'!$K$2:$K$817="Vacant", ROW('Bank Schedule'!$K$2:$K$817)), ROW(102:102))), "")</f>
        <v>50-60 Eastcastle Street</v>
      </c>
      <c r="F105" s="94" t="str">
        <f aca="false" t="array" ref="F105:F105">IFERROR(INDEX('Bank Schedule'!F:F, SMALL(IF('Bank Schedule'!$K$2:$K$817="Vacant", ROW('Bank Schedule'!$K$2:$K$817)), ROW(102:102))), "")</f>
        <v>Third Floor (335, 390)</v>
      </c>
      <c r="G105" s="94" t="str">
        <f aca="false" t="array" ref="G105:G105">IFERROR(INDEX('Bank Schedule'!G:G, SMALL(IF('Bank Schedule'!$K$2:$K$817="Vacant", ROW('Bank Schedule'!$K$2:$K$817)), ROW(102:102))), "")</f>
        <v>Showroom/ Office</v>
      </c>
      <c r="H105" s="14" t="n">
        <f aca="false" t="array" ref="H105:H105">IFERROR(INDEX('Bank Schedule'!H:H, SMALL(IF('Bank Schedule'!$K$2:$K$817="Vacant", ROW('Bank Schedule'!$K$2:$K$817)), ROW(102:102))), "")</f>
        <v>933</v>
      </c>
      <c r="I105" s="14" t="n">
        <f aca="false" t="array" ref="I105:I105">IFERROR(INDEX('Bank Schedule'!I:I, SMALL(IF('Bank Schedule'!$K$2:$K$817="Vacant", ROW('Bank Schedule'!$K$2:$K$817)), ROW(102:102))), "")</f>
        <v>933</v>
      </c>
      <c r="J105" s="11" t="str">
        <f aca="false" t="array" ref="J105:J105">IFERROR(INDEX('Bank Schedule'!K:K, SMALL(IF('Bank Schedule'!$K$2:$K$817="Vacant", ROW('Bank Schedule'!$K$2:$K$817)), ROW(102:102))), "")</f>
        <v>Vacant</v>
      </c>
      <c r="K105" s="11" t="str">
        <f aca="false">IFERROR(INDEX('Bank Schedule'!L:L, SMALL(IF('Bank Schedule'!$K$2:$K$817="Vacant", ROW('Bank Schedule'!$K$2:$K$817)), ROW(102:102))), "")</f>
        <v/>
      </c>
      <c r="L105" s="11" t="str">
        <f aca="false">IFERROR(INDEX('Bank Schedule'!M:M, SMALL(IF('Bank Schedule'!$K$2:$K$817="Vacant", ROW('Bank Schedule'!$K$2:$K$817)), ROW(102:102))), "")</f>
        <v/>
      </c>
      <c r="M105" s="71" t="n">
        <f aca="false" t="array" ref="M105:M105">IFERROR(INDEX('Bank Schedule'!N:N, SMALL(IF('Bank Schedule'!$K$2:$K$817="Vacant", ROW('Bank Schedule'!$K$2:$K$817)), ROW(102:102))), "")</f>
        <v>44340</v>
      </c>
      <c r="N105" s="11" t="str">
        <f aca="false">IFERROR(INDEX('Bank Schedule'!O:O, SMALL(IF('Bank Schedule'!$K$2:$K$817="Vacant", ROW('Bank Schedule'!$K$2:$K$817)), ROW(102:102))), "")</f>
        <v/>
      </c>
      <c r="O105" s="11" t="str">
        <f aca="false">IFERROR(INDEX('Bank Schedule'!P:P, SMALL(IF('Bank Schedule'!$K$2:$K$817="Vacant", ROW('Bank Schedule'!$K$2:$K$817)), ROW(102:102))), "")</f>
        <v/>
      </c>
      <c r="P105" s="11" t="n">
        <f aca="false" t="array" ref="P105:P105">IFERROR(INDEX('Bank Schedule'!Q:Q, SMALL(IF('Bank Schedule'!$K$2:$K$817="Vacant", ROW('Bank Schedule'!$K$2:$K$817)), ROW(102:102))), "")</f>
        <v>0</v>
      </c>
      <c r="Q105" s="11" t="n">
        <f aca="false" t="array" ref="Q105:Q105">IFERROR(INDEX('Bank Schedule'!R:R, SMALL(IF('Bank Schedule'!$K$2:$K$817="Vacant", ROW('Bank Schedule'!$K$2:$K$817)), ROW(102:102))), "")</f>
        <v>0</v>
      </c>
      <c r="R105" s="11" t="str">
        <f aca="false">IFERROR(INDEX('Bank Schedule'!S:S, SMALL(IF('Bank Schedule'!$K$2:$K$817="Vacant", ROW('Bank Schedule'!$K$2:$K$817)), ROW(102:102))), "")</f>
        <v/>
      </c>
      <c r="S105" s="281" t="n">
        <f aca="false" t="array" ref="S105:S105">IFERROR(INDEX('Bank Schedule'!T:T, SMALL(IF('Bank Schedule'!$K$2:$K$817="Vacant", ROW('Bank Schedule'!$K$2:$K$817)), ROW(102:102))), "")</f>
        <v>53600</v>
      </c>
      <c r="T105" s="281" t="n">
        <f aca="false" t="array" ref="T105:T105">IFERROR(INDEX('Bank Schedule'!U:U, SMALL(IF('Bank Schedule'!$K$2:$K$817="Vacant", ROW('Bank Schedule'!$K$2:$K$817)), ROW(102:102))), "")</f>
        <v>53600</v>
      </c>
      <c r="U105" s="281" t="n">
        <f aca="false" t="array" ref="U105:U105">IFERROR(INDEX('Bank Schedule'!V:V, SMALL(IF('Bank Schedule'!$K$2:$K$817="Vacant", ROW('Bank Schedule'!$K$2:$K$817)), ROW(102:102))), "")</f>
        <v>70000</v>
      </c>
      <c r="V105" s="281" t="n">
        <f aca="false" t="array" ref="V105:V105">IFERROR(INDEX('Bank Schedule'!W:W, SMALL(IF('Bank Schedule'!$K$2:$K$817="Vacant", ROW('Bank Schedule'!$K$2:$K$817)), ROW(102:102))), "")</f>
        <v>70000</v>
      </c>
      <c r="W105" s="282" t="n">
        <f aca="false" t="array" ref="W105:W105">IFERROR(INDEX('Bank Schedule'!X:X, SMALL(IF('Bank Schedule'!$K$2:$K$817="Vacant", ROW('Bank Schedule'!$K$2:$K$817)), ROW(102:102))), "")</f>
        <v>57.449088960343</v>
      </c>
      <c r="X105" s="11" t="str">
        <f aca="false" t="array" ref="X105:X105">IFERROR(INDEX('Bank Schedule'!Y:Y, SMALL(IF('Bank Schedule'!$K$2:$K$817="Vacant", ROW('Bank Schedule'!$K$2:$K$817)), ROW(102:102))), "")</f>
        <v>E</v>
      </c>
      <c r="Y105" s="11" t="str">
        <f aca="false">IFERROR(INDEX('Bank Schedule'!Z:Z, SMALL(IF('Bank Schedule'!$K$2:$K$817="Vacant", ROW('Bank Schedule'!$K$2:$K$817)), ROW(102:102))), "")</f>
        <v/>
      </c>
      <c r="Z105" s="11" t="str">
        <f aca="false">IFERROR(INDEX('Bank Schedule'!AA:AA, SMALL(IF('Bank Schedule'!$K$2:$K$817="Vacant", ROW('Bank Schedule'!$K$2:$K$817)), ROW(102:102))), "")</f>
        <v/>
      </c>
      <c r="AA105" s="11" t="str">
        <f aca="false" t="array" ref="AA105:AA105">IFERROR(INDEX('Bank Schedule'!AB:AB, SMALL(IF('Bank Schedule'!$K$2:$K$817="Vacant", ROW('Bank Schedule'!$K$2:$K$817)), ROW(102:102))), "")</f>
        <v>No</v>
      </c>
      <c r="AB105" s="94" t="str">
        <f aca="false" t="array" ref="AB105:AB105">IFERROR(INDEX('Bank Schedule'!AC:AC, SMALL(IF('Bank Schedule'!$K$2:$K$817="Vacant", ROW('Bank Schedule'!$K$2:$K$817)), ROW(102:102))), "")</f>
        <v>To be refurbished.</v>
      </c>
      <c r="AC105" s="44" t="str">
        <f aca="false">IFERROR(INDEX('Bank Schedule'!AD:AD, SMALL(IF('Bank Schedule'!$K$2:$K$817="Vacant", ROW('Bank Schedule'!$K$2:$K$817)), ROW(102:102))), "")</f>
        <v/>
      </c>
      <c r="AD105" s="11" t="str">
        <f aca="false">IFERROR(INDEX('Bank Schedule'!AE:AE, SMALL(IF('Bank Schedule'!$K$2:$K$817="Vacant", ROW('Bank Schedule'!$K$2:$K$817)), ROW(102:102))), "")</f>
        <v/>
      </c>
      <c r="AE105" s="11" t="n">
        <f aca="false" t="array" ref="AE105:AE105">IFERROR(INDEX('Bank Schedule'!AF:AF, SMALL(IF('Bank Schedule'!$K$2:$K$817="Vacant", ROW('Bank Schedule'!$K$2:$K$817)), ROW(102:102))), "")</f>
        <v>1</v>
      </c>
      <c r="AF105" s="11" t="str">
        <f aca="false" t="array" ref="AF105:AF105">IFERROR(INDEX('Bank Schedule'!AG:AG, SMALL(IF('Bank Schedule'!$K$2:$K$817="Vacant", ROW('Bank Schedule'!$K$2:$K$817)), ROW(102:102))), "")</f>
        <v>LEM</v>
      </c>
      <c r="AG105" s="4"/>
    </row>
    <row r="106" customFormat="false" ht="28.5" hidden="false" customHeight="true" outlineLevel="0" collapsed="false">
      <c r="A106" s="28" t="str">
        <f aca="false">IFERROR(INDEX('Bank Schedule'!A:A, SMALL(IF('Bank Schedule'!$K$2:$K$817="Vacant", ROW('Bank Schedule'!$K$2:$K$817)), ROW(103:103))), "")</f>
        <v/>
      </c>
      <c r="B106" s="11" t="str">
        <f aca="false" t="array" ref="B106:B106">IFERROR(INDEX('Bank Schedule'!B:B, SMALL(IF('Bank Schedule'!$K$2:$K$817="Vacant", ROW('Bank Schedule'!$K$2:$K$817)), ROW(103:103))), "")</f>
        <v>JM</v>
      </c>
      <c r="C106" s="11" t="str">
        <f aca="false" t="array" ref="C106:C106">IFERROR(INDEX('Bank Schedule'!C:C, SMALL(IF('Bank Schedule'!$K$2:$K$817="Vacant", ROW('Bank Schedule'!$K$2:$K$817)), ROW(103:103))), "")</f>
        <v>MEL</v>
      </c>
      <c r="D106" s="11" t="n">
        <f aca="false" t="array" ref="D106:D106">IFERROR(INDEX('Bank Schedule'!D:D, SMALL(IF('Bank Schedule'!$K$2:$K$817="Vacant", ROW('Bank Schedule'!$K$2:$K$817)), ROW(103:103))), "")</f>
        <v>100650</v>
      </c>
      <c r="E106" s="94" t="str">
        <f aca="false" t="array" ref="E106:E106">IFERROR(INDEX('Bank Schedule'!E:E, SMALL(IF('Bank Schedule'!$K$2:$K$817="Vacant", ROW('Bank Schedule'!$K$2:$K$817)), ROW(103:103))), "")</f>
        <v>50-60 Eastcastle Street</v>
      </c>
      <c r="F106" s="94" t="str">
        <f aca="false" t="array" ref="F106:F106">IFERROR(INDEX('Bank Schedule'!F:F, SMALL(IF('Bank Schedule'!$K$2:$K$817="Vacant", ROW('Bank Schedule'!$K$2:$K$817)), ROW(103:103))), "")</f>
        <v>Third Floor (340)</v>
      </c>
      <c r="G106" s="94" t="str">
        <f aca="false" t="array" ref="G106:G106">IFERROR(INDEX('Bank Schedule'!G:G, SMALL(IF('Bank Schedule'!$K$2:$K$817="Vacant", ROW('Bank Schedule'!$K$2:$K$817)), ROW(103:103))), "")</f>
        <v>Office</v>
      </c>
      <c r="H106" s="14" t="n">
        <f aca="false" t="array" ref="H106:H106">IFERROR(INDEX('Bank Schedule'!H:H, SMALL(IF('Bank Schedule'!$K$2:$K$817="Vacant", ROW('Bank Schedule'!$K$2:$K$817)), ROW(103:103))), "")</f>
        <v>688</v>
      </c>
      <c r="I106" s="14" t="n">
        <f aca="false" t="array" ref="I106:I106">IFERROR(INDEX('Bank Schedule'!I:I, SMALL(IF('Bank Schedule'!$K$2:$K$817="Vacant", ROW('Bank Schedule'!$K$2:$K$817)), ROW(103:103))), "")</f>
        <v>688</v>
      </c>
      <c r="J106" s="11" t="str">
        <f aca="false" t="array" ref="J106:J106">IFERROR(INDEX('Bank Schedule'!K:K, SMALL(IF('Bank Schedule'!$K$2:$K$817="Vacant", ROW('Bank Schedule'!$K$2:$K$817)), ROW(103:103))), "")</f>
        <v>Vacant</v>
      </c>
      <c r="K106" s="11" t="str">
        <f aca="false">IFERROR(INDEX('Bank Schedule'!L:L, SMALL(IF('Bank Schedule'!$K$2:$K$817="Vacant", ROW('Bank Schedule'!$K$2:$K$817)), ROW(103:103))), "")</f>
        <v/>
      </c>
      <c r="L106" s="11" t="str">
        <f aca="false">IFERROR(INDEX('Bank Schedule'!M:M, SMALL(IF('Bank Schedule'!$K$2:$K$817="Vacant", ROW('Bank Schedule'!$K$2:$K$817)), ROW(103:103))), "")</f>
        <v/>
      </c>
      <c r="M106" s="71" t="n">
        <f aca="false" t="array" ref="M106:M106">IFERROR(INDEX('Bank Schedule'!N:N, SMALL(IF('Bank Schedule'!$K$2:$K$817="Vacant", ROW('Bank Schedule'!$K$2:$K$817)), ROW(103:103))), "")</f>
        <v>45139</v>
      </c>
      <c r="N106" s="11" t="str">
        <f aca="false">IFERROR(INDEX('Bank Schedule'!O:O, SMALL(IF('Bank Schedule'!$K$2:$K$817="Vacant", ROW('Bank Schedule'!$K$2:$K$817)), ROW(103:103))), "")</f>
        <v/>
      </c>
      <c r="O106" s="11" t="str">
        <f aca="false">IFERROR(INDEX('Bank Schedule'!P:P, SMALL(IF('Bank Schedule'!$K$2:$K$817="Vacant", ROW('Bank Schedule'!$K$2:$K$817)), ROW(103:103))), "")</f>
        <v/>
      </c>
      <c r="P106" s="11" t="n">
        <f aca="false" t="array" ref="P106:P106">IFERROR(INDEX('Bank Schedule'!Q:Q, SMALL(IF('Bank Schedule'!$K$2:$K$817="Vacant", ROW('Bank Schedule'!$K$2:$K$817)), ROW(103:103))), "")</f>
        <v>0</v>
      </c>
      <c r="Q106" s="11" t="n">
        <f aca="false" t="array" ref="Q106:Q106">IFERROR(INDEX('Bank Schedule'!R:R, SMALL(IF('Bank Schedule'!$K$2:$K$817="Vacant", ROW('Bank Schedule'!$K$2:$K$817)), ROW(103:103))), "")</f>
        <v>0</v>
      </c>
      <c r="R106" s="11" t="str">
        <f aca="false">IFERROR(INDEX('Bank Schedule'!S:S, SMALL(IF('Bank Schedule'!$K$2:$K$817="Vacant", ROW('Bank Schedule'!$K$2:$K$817)), ROW(103:103))), "")</f>
        <v/>
      </c>
      <c r="S106" s="281" t="n">
        <f aca="false" t="array" ref="S106:S106">IFERROR(INDEX('Bank Schedule'!T:T, SMALL(IF('Bank Schedule'!$K$2:$K$817="Vacant", ROW('Bank Schedule'!$K$2:$K$817)), ROW(103:103))), "")</f>
        <v>39600</v>
      </c>
      <c r="T106" s="281" t="n">
        <f aca="false" t="array" ref="T106:T106">IFERROR(INDEX('Bank Schedule'!U:U, SMALL(IF('Bank Schedule'!$K$2:$K$817="Vacant", ROW('Bank Schedule'!$K$2:$K$817)), ROW(103:103))), "")</f>
        <v>39600</v>
      </c>
      <c r="U106" s="281" t="n">
        <f aca="false" t="array" ref="U106:U106">IFERROR(INDEX('Bank Schedule'!V:V, SMALL(IF('Bank Schedule'!$K$2:$K$817="Vacant", ROW('Bank Schedule'!$K$2:$K$817)), ROW(103:103))), "")</f>
        <v>51600</v>
      </c>
      <c r="V106" s="281" t="n">
        <f aca="false" t="array" ref="V106:V106">IFERROR(INDEX('Bank Schedule'!W:W, SMALL(IF('Bank Schedule'!$K$2:$K$817="Vacant", ROW('Bank Schedule'!$K$2:$K$817)), ROW(103:103))), "")</f>
        <v>51600</v>
      </c>
      <c r="W106" s="282" t="n">
        <f aca="false" t="array" ref="W106:W106">IFERROR(INDEX('Bank Schedule'!X:X, SMALL(IF('Bank Schedule'!$K$2:$K$817="Vacant", ROW('Bank Schedule'!$K$2:$K$817)), ROW(103:103))), "")</f>
        <v>57.5581395348837</v>
      </c>
      <c r="X106" s="11" t="str">
        <f aca="false" t="array" ref="X106:X106">IFERROR(INDEX('Bank Schedule'!Y:Y, SMALL(IF('Bank Schedule'!$K$2:$K$817="Vacant", ROW('Bank Schedule'!$K$2:$K$817)), ROW(103:103))), "")</f>
        <v>E</v>
      </c>
      <c r="Y106" s="11" t="str">
        <f aca="false">IFERROR(INDEX('Bank Schedule'!Z:Z, SMALL(IF('Bank Schedule'!$K$2:$K$817="Vacant", ROW('Bank Schedule'!$K$2:$K$817)), ROW(103:103))), "")</f>
        <v/>
      </c>
      <c r="Z106" s="11" t="str">
        <f aca="false">IFERROR(INDEX('Bank Schedule'!AA:AA, SMALL(IF('Bank Schedule'!$K$2:$K$817="Vacant", ROW('Bank Schedule'!$K$2:$K$817)), ROW(103:103))), "")</f>
        <v/>
      </c>
      <c r="AA106" s="11" t="str">
        <f aca="false" t="array" ref="AA106:AA106">IFERROR(INDEX('Bank Schedule'!AB:AB, SMALL(IF('Bank Schedule'!$K$2:$K$817="Vacant", ROW('Bank Schedule'!$K$2:$K$817)), ROW(103:103))), "")</f>
        <v>No</v>
      </c>
      <c r="AB106" s="94" t="str">
        <f aca="false" t="array" ref="AB106:AB106">IFERROR(INDEX('Bank Schedule'!AC:AC, SMALL(IF('Bank Schedule'!$K$2:$K$817="Vacant", ROW('Bank Schedule'!$K$2:$K$817)), ROW(103:103))), "")</f>
        <v>To be refurbished.</v>
      </c>
      <c r="AC106" s="44" t="str">
        <f aca="false">IFERROR(INDEX('Bank Schedule'!AD:AD, SMALL(IF('Bank Schedule'!$K$2:$K$817="Vacant", ROW('Bank Schedule'!$K$2:$K$817)), ROW(103:103))), "")</f>
        <v/>
      </c>
      <c r="AD106" s="11" t="str">
        <f aca="false">IFERROR(INDEX('Bank Schedule'!AE:AE, SMALL(IF('Bank Schedule'!$K$2:$K$817="Vacant", ROW('Bank Schedule'!$K$2:$K$817)), ROW(103:103))), "")</f>
        <v/>
      </c>
      <c r="AE106" s="11" t="str">
        <f aca="false">IFERROR(INDEX('Bank Schedule'!AF:AF, SMALL(IF('Bank Schedule'!$K$2:$K$817="Vacant", ROW('Bank Schedule'!$K$2:$K$817)), ROW(103:103))), "")</f>
        <v/>
      </c>
      <c r="AF106" s="11" t="str">
        <f aca="false">IFERROR(INDEX('Bank Schedule'!AG:AG, SMALL(IF('Bank Schedule'!$K$2:$K$817="Vacant", ROW('Bank Schedule'!$K$2:$K$817)), ROW(103:103))), "")</f>
        <v/>
      </c>
      <c r="AG106" s="4"/>
    </row>
    <row r="107" customFormat="false" ht="28.5" hidden="false" customHeight="true" outlineLevel="0" collapsed="false">
      <c r="A107" s="28" t="str">
        <f aca="false">IFERROR(INDEX('Bank Schedule'!A:A, SMALL(IF('Bank Schedule'!$K$2:$K$817="Vacant", ROW('Bank Schedule'!$K$2:$K$817)), ROW(104:104))), "")</f>
        <v/>
      </c>
      <c r="B107" s="11" t="str">
        <f aca="false" t="array" ref="B107:B107">IFERROR(INDEX('Bank Schedule'!B:B, SMALL(IF('Bank Schedule'!$K$2:$K$817="Vacant", ROW('Bank Schedule'!$K$2:$K$817)), ROW(104:104))), "")</f>
        <v>JM</v>
      </c>
      <c r="C107" s="11" t="str">
        <f aca="false" t="array" ref="C107:C107">IFERROR(INDEX('Bank Schedule'!C:C, SMALL(IF('Bank Schedule'!$K$2:$K$817="Vacant", ROW('Bank Schedule'!$K$2:$K$817)), ROW(104:104))), "")</f>
        <v>MEL</v>
      </c>
      <c r="D107" s="11" t="n">
        <f aca="false" t="array" ref="D107:D107">IFERROR(INDEX('Bank Schedule'!D:D, SMALL(IF('Bank Schedule'!$K$2:$K$817="Vacant", ROW('Bank Schedule'!$K$2:$K$817)), ROW(104:104))), "")</f>
        <v>100650</v>
      </c>
      <c r="E107" s="94" t="str">
        <f aca="false" t="array" ref="E107:E107">IFERROR(INDEX('Bank Schedule'!E:E, SMALL(IF('Bank Schedule'!$K$2:$K$817="Vacant", ROW('Bank Schedule'!$K$2:$K$817)), ROW(104:104))), "")</f>
        <v>50-60 Eastcastle Street</v>
      </c>
      <c r="F107" s="94" t="str">
        <f aca="false" t="array" ref="F107:F107">IFERROR(INDEX('Bank Schedule'!F:F, SMALL(IF('Bank Schedule'!$K$2:$K$817="Vacant", ROW('Bank Schedule'!$K$2:$K$817)), ROW(104:104))), "")</f>
        <v>Third Floor (345)</v>
      </c>
      <c r="G107" s="94" t="str">
        <f aca="false" t="array" ref="G107:G107">IFERROR(INDEX('Bank Schedule'!G:G, SMALL(IF('Bank Schedule'!$K$2:$K$817="Vacant", ROW('Bank Schedule'!$K$2:$K$817)), ROW(104:104))), "")</f>
        <v>Office</v>
      </c>
      <c r="H107" s="14" t="n">
        <f aca="false" t="array" ref="H107:H107">IFERROR(INDEX('Bank Schedule'!H:H, SMALL(IF('Bank Schedule'!$K$2:$K$817="Vacant", ROW('Bank Schedule'!$K$2:$K$817)), ROW(104:104))), "")</f>
        <v>325</v>
      </c>
      <c r="I107" s="14" t="n">
        <f aca="false" t="array" ref="I107:I107">IFERROR(INDEX('Bank Schedule'!I:I, SMALL(IF('Bank Schedule'!$K$2:$K$817="Vacant", ROW('Bank Schedule'!$K$2:$K$817)), ROW(104:104))), "")</f>
        <v>325</v>
      </c>
      <c r="J107" s="11" t="str">
        <f aca="false" t="array" ref="J107:J107">IFERROR(INDEX('Bank Schedule'!K:K, SMALL(IF('Bank Schedule'!$K$2:$K$817="Vacant", ROW('Bank Schedule'!$K$2:$K$817)), ROW(104:104))), "")</f>
        <v>Vacant</v>
      </c>
      <c r="K107" s="11" t="str">
        <f aca="false">IFERROR(INDEX('Bank Schedule'!L:L, SMALL(IF('Bank Schedule'!$K$2:$K$817="Vacant", ROW('Bank Schedule'!$K$2:$K$817)), ROW(104:104))), "")</f>
        <v/>
      </c>
      <c r="L107" s="11" t="str">
        <f aca="false">IFERROR(INDEX('Bank Schedule'!M:M, SMALL(IF('Bank Schedule'!$K$2:$K$817="Vacant", ROW('Bank Schedule'!$K$2:$K$817)), ROW(104:104))), "")</f>
        <v/>
      </c>
      <c r="M107" s="71" t="n">
        <f aca="false" t="array" ref="M107:M107">IFERROR(INDEX('Bank Schedule'!N:N, SMALL(IF('Bank Schedule'!$K$2:$K$817="Vacant", ROW('Bank Schedule'!$K$2:$K$817)), ROW(104:104))), "")</f>
        <v>44340</v>
      </c>
      <c r="N107" s="11" t="str">
        <f aca="false">IFERROR(INDEX('Bank Schedule'!O:O, SMALL(IF('Bank Schedule'!$K$2:$K$817="Vacant", ROW('Bank Schedule'!$K$2:$K$817)), ROW(104:104))), "")</f>
        <v/>
      </c>
      <c r="O107" s="11" t="str">
        <f aca="false">IFERROR(INDEX('Bank Schedule'!P:P, SMALL(IF('Bank Schedule'!$K$2:$K$817="Vacant", ROW('Bank Schedule'!$K$2:$K$817)), ROW(104:104))), "")</f>
        <v/>
      </c>
      <c r="P107" s="11" t="n">
        <f aca="false" t="array" ref="P107:P107">IFERROR(INDEX('Bank Schedule'!Q:Q, SMALL(IF('Bank Schedule'!$K$2:$K$817="Vacant", ROW('Bank Schedule'!$K$2:$K$817)), ROW(104:104))), "")</f>
        <v>0</v>
      </c>
      <c r="Q107" s="11" t="n">
        <f aca="false" t="array" ref="Q107:Q107">IFERROR(INDEX('Bank Schedule'!R:R, SMALL(IF('Bank Schedule'!$K$2:$K$817="Vacant", ROW('Bank Schedule'!$K$2:$K$817)), ROW(104:104))), "")</f>
        <v>0</v>
      </c>
      <c r="R107" s="11" t="str">
        <f aca="false">IFERROR(INDEX('Bank Schedule'!S:S, SMALL(IF('Bank Schedule'!$K$2:$K$817="Vacant", ROW('Bank Schedule'!$K$2:$K$817)), ROW(104:104))), "")</f>
        <v/>
      </c>
      <c r="S107" s="281" t="n">
        <f aca="false" t="array" ref="S107:S107">IFERROR(INDEX('Bank Schedule'!T:T, SMALL(IF('Bank Schedule'!$K$2:$K$817="Vacant", ROW('Bank Schedule'!$K$2:$K$817)), ROW(104:104))), "")</f>
        <v>18700</v>
      </c>
      <c r="T107" s="281" t="n">
        <f aca="false" t="array" ref="T107:T107">IFERROR(INDEX('Bank Schedule'!U:U, SMALL(IF('Bank Schedule'!$K$2:$K$817="Vacant", ROW('Bank Schedule'!$K$2:$K$817)), ROW(104:104))), "")</f>
        <v>18700</v>
      </c>
      <c r="U107" s="281" t="n">
        <f aca="false" t="array" ref="U107:U107">IFERROR(INDEX('Bank Schedule'!V:V, SMALL(IF('Bank Schedule'!$K$2:$K$817="Vacant", ROW('Bank Schedule'!$K$2:$K$817)), ROW(104:104))), "")</f>
        <v>24400</v>
      </c>
      <c r="V107" s="281" t="n">
        <f aca="false" t="array" ref="V107:V107">IFERROR(INDEX('Bank Schedule'!W:W, SMALL(IF('Bank Schedule'!$K$2:$K$817="Vacant", ROW('Bank Schedule'!$K$2:$K$817)), ROW(104:104))), "")</f>
        <v>24400</v>
      </c>
      <c r="W107" s="282" t="n">
        <f aca="false" t="array" ref="W107:W107">IFERROR(INDEX('Bank Schedule'!X:X, SMALL(IF('Bank Schedule'!$K$2:$K$817="Vacant", ROW('Bank Schedule'!$K$2:$K$817)), ROW(104:104))), "")</f>
        <v>57.5384615384615</v>
      </c>
      <c r="X107" s="11" t="str">
        <f aca="false" t="array" ref="X107:X107">IFERROR(INDEX('Bank Schedule'!Y:Y, SMALL(IF('Bank Schedule'!$K$2:$K$817="Vacant", ROW('Bank Schedule'!$K$2:$K$817)), ROW(104:104))), "")</f>
        <v>E</v>
      </c>
      <c r="Y107" s="11" t="str">
        <f aca="false">IFERROR(INDEX('Bank Schedule'!Z:Z, SMALL(IF('Bank Schedule'!$K$2:$K$817="Vacant", ROW('Bank Schedule'!$K$2:$K$817)), ROW(104:104))), "")</f>
        <v/>
      </c>
      <c r="Z107" s="11" t="str">
        <f aca="false">IFERROR(INDEX('Bank Schedule'!AA:AA, SMALL(IF('Bank Schedule'!$K$2:$K$817="Vacant", ROW('Bank Schedule'!$K$2:$K$817)), ROW(104:104))), "")</f>
        <v/>
      </c>
      <c r="AA107" s="11" t="str">
        <f aca="false" t="array" ref="AA107:AA107">IFERROR(INDEX('Bank Schedule'!AB:AB, SMALL(IF('Bank Schedule'!$K$2:$K$817="Vacant", ROW('Bank Schedule'!$K$2:$K$817)), ROW(104:104))), "")</f>
        <v>No</v>
      </c>
      <c r="AB107" s="94" t="str">
        <f aca="false" t="array" ref="AB107:AB107">IFERROR(INDEX('Bank Schedule'!AC:AC, SMALL(IF('Bank Schedule'!$K$2:$K$817="Vacant", ROW('Bank Schedule'!$K$2:$K$817)), ROW(104:104))), "")</f>
        <v>To be refurbished.</v>
      </c>
      <c r="AC107" s="44" t="str">
        <f aca="false">IFERROR(INDEX('Bank Schedule'!AD:AD, SMALL(IF('Bank Schedule'!$K$2:$K$817="Vacant", ROW('Bank Schedule'!$K$2:$K$817)), ROW(104:104))), "")</f>
        <v/>
      </c>
      <c r="AD107" s="11" t="str">
        <f aca="false">IFERROR(INDEX('Bank Schedule'!AE:AE, SMALL(IF('Bank Schedule'!$K$2:$K$817="Vacant", ROW('Bank Schedule'!$K$2:$K$817)), ROW(104:104))), "")</f>
        <v/>
      </c>
      <c r="AE107" s="11" t="str">
        <f aca="false">IFERROR(INDEX('Bank Schedule'!AF:AF, SMALL(IF('Bank Schedule'!$K$2:$K$817="Vacant", ROW('Bank Schedule'!$K$2:$K$817)), ROW(104:104))), "")</f>
        <v/>
      </c>
      <c r="AF107" s="11" t="str">
        <f aca="false">IFERROR(INDEX('Bank Schedule'!AG:AG, SMALL(IF('Bank Schedule'!$K$2:$K$817="Vacant", ROW('Bank Schedule'!$K$2:$K$817)), ROW(104:104))), "")</f>
        <v/>
      </c>
      <c r="AG107" s="4"/>
    </row>
    <row r="108" customFormat="false" ht="28.5" hidden="false" customHeight="true" outlineLevel="0" collapsed="false">
      <c r="A108" s="28" t="str">
        <f aca="false">IFERROR(INDEX('Bank Schedule'!A:A, SMALL(IF('Bank Schedule'!$K$2:$K$817="Vacant", ROW('Bank Schedule'!$K$2:$K$817)), ROW(105:105))), "")</f>
        <v/>
      </c>
      <c r="B108" s="11" t="str">
        <f aca="false" t="array" ref="B108:B108">IFERROR(INDEX('Bank Schedule'!B:B, SMALL(IF('Bank Schedule'!$K$2:$K$817="Vacant", ROW('Bank Schedule'!$K$2:$K$817)), ROW(105:105))), "")</f>
        <v>JM</v>
      </c>
      <c r="C108" s="11" t="str">
        <f aca="false" t="array" ref="C108:C108">IFERROR(INDEX('Bank Schedule'!C:C, SMALL(IF('Bank Schedule'!$K$2:$K$817="Vacant", ROW('Bank Schedule'!$K$2:$K$817)), ROW(105:105))), "")</f>
        <v>MEL</v>
      </c>
      <c r="D108" s="11" t="n">
        <f aca="false" t="array" ref="D108:D108">IFERROR(INDEX('Bank Schedule'!D:D, SMALL(IF('Bank Schedule'!$K$2:$K$817="Vacant", ROW('Bank Schedule'!$K$2:$K$817)), ROW(105:105))), "")</f>
        <v>100680</v>
      </c>
      <c r="E108" s="94" t="str">
        <f aca="false" t="array" ref="E108:E108">IFERROR(INDEX('Bank Schedule'!E:E, SMALL(IF('Bank Schedule'!$K$2:$K$817="Vacant", ROW('Bank Schedule'!$K$2:$K$817)), ROW(105:105))), "")</f>
        <v>Mappin House, 156-162 Oxford Street</v>
      </c>
      <c r="F108" s="94" t="str">
        <f aca="false" t="array" ref="F108:F108">IFERROR(INDEX('Bank Schedule'!F:F, SMALL(IF('Bank Schedule'!$K$2:$K$817="Vacant", ROW('Bank Schedule'!$K$2:$K$817)), ROW(105:105))), "")</f>
        <v>Third Floor</v>
      </c>
      <c r="G108" s="94" t="str">
        <f aca="false" t="array" ref="G108:G108">IFERROR(INDEX('Bank Schedule'!G:G, SMALL(IF('Bank Schedule'!$K$2:$K$817="Vacant", ROW('Bank Schedule'!$K$2:$K$817)), ROW(105:105))), "")</f>
        <v>Office</v>
      </c>
      <c r="H108" s="14" t="n">
        <f aca="false" t="array" ref="H108:H108">IFERROR(INDEX('Bank Schedule'!H:H, SMALL(IF('Bank Schedule'!$K$2:$K$817="Vacant", ROW('Bank Schedule'!$K$2:$K$817)), ROW(105:105))), "")</f>
        <v>6999</v>
      </c>
      <c r="I108" s="14" t="n">
        <f aca="false" t="array" ref="I108:I108">IFERROR(INDEX('Bank Schedule'!I:I, SMALL(IF('Bank Schedule'!$K$2:$K$817="Vacant", ROW('Bank Schedule'!$K$2:$K$817)), ROW(105:105))), "")</f>
        <v>6999</v>
      </c>
      <c r="J108" s="11" t="str">
        <f aca="false" t="array" ref="J108:J108">IFERROR(INDEX('Bank Schedule'!K:K, SMALL(IF('Bank Schedule'!$K$2:$K$817="Vacant", ROW('Bank Schedule'!$K$2:$K$817)), ROW(105:105))), "")</f>
        <v>Vacant</v>
      </c>
      <c r="K108" s="11" t="str">
        <f aca="false">IFERROR(INDEX('Bank Schedule'!L:L, SMALL(IF('Bank Schedule'!$K$2:$K$817="Vacant", ROW('Bank Schedule'!$K$2:$K$817)), ROW(105:105))), "")</f>
        <v/>
      </c>
      <c r="L108" s="11" t="str">
        <f aca="false">IFERROR(INDEX('Bank Schedule'!M:M, SMALL(IF('Bank Schedule'!$K$2:$K$817="Vacant", ROW('Bank Schedule'!$K$2:$K$817)), ROW(105:105))), "")</f>
        <v/>
      </c>
      <c r="M108" s="71" t="n">
        <f aca="false" t="array" ref="M108:M108">IFERROR(INDEX('Bank Schedule'!N:N, SMALL(IF('Bank Schedule'!$K$2:$K$817="Vacant", ROW('Bank Schedule'!$K$2:$K$817)), ROW(105:105))), "")</f>
        <v>45673</v>
      </c>
      <c r="N108" s="11" t="str">
        <f aca="false">IFERROR(INDEX('Bank Schedule'!O:O, SMALL(IF('Bank Schedule'!$K$2:$K$817="Vacant", ROW('Bank Schedule'!$K$2:$K$817)), ROW(105:105))), "")</f>
        <v/>
      </c>
      <c r="O108" s="11" t="str">
        <f aca="false">IFERROR(INDEX('Bank Schedule'!P:P, SMALL(IF('Bank Schedule'!$K$2:$K$817="Vacant", ROW('Bank Schedule'!$K$2:$K$817)), ROW(105:105))), "")</f>
        <v/>
      </c>
      <c r="P108" s="11" t="n">
        <f aca="false" t="array" ref="P108:P108">IFERROR(INDEX('Bank Schedule'!Q:Q, SMALL(IF('Bank Schedule'!$K$2:$K$817="Vacant", ROW('Bank Schedule'!$K$2:$K$817)), ROW(105:105))), "")</f>
        <v>0</v>
      </c>
      <c r="Q108" s="11" t="n">
        <f aca="false" t="array" ref="Q108:Q108">IFERROR(INDEX('Bank Schedule'!R:R, SMALL(IF('Bank Schedule'!$K$2:$K$817="Vacant", ROW('Bank Schedule'!$K$2:$K$817)), ROW(105:105))), "")</f>
        <v>0</v>
      </c>
      <c r="R108" s="11" t="str">
        <f aca="false">IFERROR(INDEX('Bank Schedule'!S:S, SMALL(IF('Bank Schedule'!$K$2:$K$817="Vacant", ROW('Bank Schedule'!$K$2:$K$817)), ROW(105:105))), "")</f>
        <v/>
      </c>
      <c r="S108" s="281" t="n">
        <f aca="false" t="array" ref="S108:S108">IFERROR(INDEX('Bank Schedule'!T:T, SMALL(IF('Bank Schedule'!$K$2:$K$817="Vacant", ROW('Bank Schedule'!$K$2:$K$817)), ROW(105:105))), "")</f>
        <v>448100</v>
      </c>
      <c r="T108" s="281" t="n">
        <f aca="false" t="array" ref="T108:T108">IFERROR(INDEX('Bank Schedule'!U:U, SMALL(IF('Bank Schedule'!$K$2:$K$817="Vacant", ROW('Bank Schedule'!$K$2:$K$817)), ROW(105:105))), "")</f>
        <v>448100</v>
      </c>
      <c r="U108" s="281" t="n">
        <f aca="false" t="array" ref="U108:U108">IFERROR(INDEX('Bank Schedule'!V:V, SMALL(IF('Bank Schedule'!$K$2:$K$817="Vacant", ROW('Bank Schedule'!$K$2:$K$817)), ROW(105:105))), "")</f>
        <v>489900</v>
      </c>
      <c r="V108" s="281" t="n">
        <f aca="false" t="array" ref="V108:V108">IFERROR(INDEX('Bank Schedule'!W:W, SMALL(IF('Bank Schedule'!$K$2:$K$817="Vacant", ROW('Bank Schedule'!$K$2:$K$817)), ROW(105:105))), "")</f>
        <v>489900</v>
      </c>
      <c r="W108" s="282" t="n">
        <f aca="false" t="array" ref="W108:W108">IFERROR(INDEX('Bank Schedule'!X:X, SMALL(IF('Bank Schedule'!$K$2:$K$817="Vacant", ROW('Bank Schedule'!$K$2:$K$817)), ROW(105:105))), "")</f>
        <v>64.0234319188456</v>
      </c>
      <c r="X108" s="11" t="str">
        <f aca="false" t="array" ref="X108:X108">IFERROR(INDEX('Bank Schedule'!Y:Y, SMALL(IF('Bank Schedule'!$K$2:$K$817="Vacant", ROW('Bank Schedule'!$K$2:$K$817)), ROW(105:105))), "")</f>
        <v>D</v>
      </c>
      <c r="Y108" s="11" t="str">
        <f aca="false">IFERROR(INDEX('Bank Schedule'!Z:Z, SMALL(IF('Bank Schedule'!$K$2:$K$817="Vacant", ROW('Bank Schedule'!$K$2:$K$817)), ROW(105:105))), "")</f>
        <v/>
      </c>
      <c r="Z108" s="11" t="str">
        <f aca="false">IFERROR(INDEX('Bank Schedule'!AA:AA, SMALL(IF('Bank Schedule'!$K$2:$K$817="Vacant", ROW('Bank Schedule'!$K$2:$K$817)), ROW(105:105))), "")</f>
        <v/>
      </c>
      <c r="AA108" s="11" t="str">
        <f aca="false" t="array" ref="AA108:AA108">IFERROR(INDEX('Bank Schedule'!AB:AB, SMALL(IF('Bank Schedule'!$K$2:$K$817="Vacant", ROW('Bank Schedule'!$K$2:$K$817)), ROW(105:105))), "")</f>
        <v>No</v>
      </c>
      <c r="AB108" s="94" t="str">
        <f aca="false" t="array" ref="AB108:AB108">IFERROR(INDEX('Bank Schedule'!AC:AC, SMALL(IF('Bank Schedule'!$K$2:$K$817="Vacant", ROW('Bank Schedule'!$K$2:$K$817)), ROW(105:105))), "")</f>
        <v>LEM marketing</v>
      </c>
      <c r="AC108" s="44" t="str">
        <f aca="false">IFERROR(INDEX('Bank Schedule'!AD:AD, SMALL(IF('Bank Schedule'!$K$2:$K$817="Vacant", ROW('Bank Schedule'!$K$2:$K$817)), ROW(105:105))), "")</f>
        <v/>
      </c>
      <c r="AD108" s="11" t="n">
        <f aca="false" t="array" ref="AD108:AD108">IFERROR(INDEX('Bank Schedule'!AE:AE, SMALL(IF('Bank Schedule'!$K$2:$K$817="Vacant", ROW('Bank Schedule'!$K$2:$K$817)), ROW(105:105))), "")</f>
        <v>1</v>
      </c>
      <c r="AE108" s="11" t="n">
        <f aca="false" t="array" ref="AE108:AE108">IFERROR(INDEX('Bank Schedule'!AF:AF, SMALL(IF('Bank Schedule'!$K$2:$K$817="Vacant", ROW('Bank Schedule'!$K$2:$K$817)), ROW(105:105))), "")</f>
        <v>1</v>
      </c>
      <c r="AF108" s="11" t="str">
        <f aca="false" t="array" ref="AF108:AF108">IFERROR(INDEX('Bank Schedule'!AG:AG, SMALL(IF('Bank Schedule'!$K$2:$K$817="Vacant", ROW('Bank Schedule'!$K$2:$K$817)), ROW(105:105))), "")</f>
        <v>LEM</v>
      </c>
      <c r="AG108" s="4"/>
    </row>
    <row r="109" customFormat="false" ht="28.5" hidden="false" customHeight="true" outlineLevel="0" collapsed="false">
      <c r="A109" s="28" t="str">
        <f aca="false">IFERROR(INDEX('Bank Schedule'!A:A, SMALL(IF('Bank Schedule'!$K$2:$K$817="Vacant", ROW('Bank Schedule'!$K$2:$K$817)), ROW(106:106))), "")</f>
        <v/>
      </c>
      <c r="B109" s="11" t="str">
        <f aca="false" t="array" ref="B109:B109">IFERROR(INDEX('Bank Schedule'!B:B, SMALL(IF('Bank Schedule'!$K$2:$K$817="Vacant", ROW('Bank Schedule'!$K$2:$K$817)), ROW(106:106))), "")</f>
        <v>CM</v>
      </c>
      <c r="C109" s="11" t="str">
        <f aca="false" t="array" ref="C109:C109">IFERROR(INDEX('Bank Schedule'!C:C, SMALL(IF('Bank Schedule'!$K$2:$K$817="Vacant", ROW('Bank Schedule'!$K$2:$K$817)), ROW(106:106))), "")</f>
        <v>MEL</v>
      </c>
      <c r="D109" s="11" t="n">
        <f aca="false" t="array" ref="D109:D109">IFERROR(INDEX('Bank Schedule'!D:D, SMALL(IF('Bank Schedule'!$K$2:$K$817="Vacant", ROW('Bank Schedule'!$K$2:$K$817)), ROW(106:106))), "")</f>
        <v>550030</v>
      </c>
      <c r="E109" s="94" t="str">
        <f aca="false" t="array" ref="E109:E109">IFERROR(INDEX('Bank Schedule'!E:E, SMALL(IF('Bank Schedule'!$K$2:$K$817="Vacant", ROW('Bank Schedule'!$K$2:$K$817)), ROW(106:106))), "")</f>
        <v>53 Wells Street</v>
      </c>
      <c r="F109" s="94" t="str">
        <f aca="false" t="array" ref="F109:F109">IFERROR(INDEX('Bank Schedule'!F:F, SMALL(IF('Bank Schedule'!$K$2:$K$817="Vacant", ROW('Bank Schedule'!$K$2:$K$817)), ROW(106:106))), "")</f>
        <v>Lower Ground Floor</v>
      </c>
      <c r="G109" s="94" t="str">
        <f aca="false" t="array" ref="G109:G109">IFERROR(INDEX('Bank Schedule'!G:G, SMALL(IF('Bank Schedule'!$K$2:$K$817="Vacant", ROW('Bank Schedule'!$K$2:$K$817)), ROW(106:106))), "")</f>
        <v>Office</v>
      </c>
      <c r="H109" s="14" t="n">
        <f aca="false" t="array" ref="H109:H109">IFERROR(INDEX('Bank Schedule'!H:H, SMALL(IF('Bank Schedule'!$K$2:$K$817="Vacant", ROW('Bank Schedule'!$K$2:$K$817)), ROW(106:106))), "")</f>
        <v>825</v>
      </c>
      <c r="I109" s="14" t="n">
        <f aca="false" t="array" ref="I109:I109">IFERROR(INDEX('Bank Schedule'!I:I, SMALL(IF('Bank Schedule'!$K$2:$K$817="Vacant", ROW('Bank Schedule'!$K$2:$K$817)), ROW(106:106))), "")</f>
        <v>825</v>
      </c>
      <c r="J109" s="11" t="str">
        <f aca="false" t="array" ref="J109:J109">IFERROR(INDEX('Bank Schedule'!K:K, SMALL(IF('Bank Schedule'!$K$2:$K$817="Vacant", ROW('Bank Schedule'!$K$2:$K$817)), ROW(106:106))), "")</f>
        <v>Vacant</v>
      </c>
      <c r="K109" s="11" t="str">
        <f aca="false">IFERROR(INDEX('Bank Schedule'!L:L, SMALL(IF('Bank Schedule'!$K$2:$K$817="Vacant", ROW('Bank Schedule'!$K$2:$K$817)), ROW(106:106))), "")</f>
        <v/>
      </c>
      <c r="L109" s="11" t="str">
        <f aca="false">IFERROR(INDEX('Bank Schedule'!M:M, SMALL(IF('Bank Schedule'!$K$2:$K$817="Vacant", ROW('Bank Schedule'!$K$2:$K$817)), ROW(106:106))), "")</f>
        <v/>
      </c>
      <c r="M109" s="71" t="n">
        <f aca="false" t="array" ref="M109:M109">IFERROR(INDEX('Bank Schedule'!N:N, SMALL(IF('Bank Schedule'!$K$2:$K$817="Vacant", ROW('Bank Schedule'!$K$2:$K$817)), ROW(106:106))), "")</f>
        <v>44709</v>
      </c>
      <c r="N109" s="11" t="str">
        <f aca="false">IFERROR(INDEX('Bank Schedule'!O:O, SMALL(IF('Bank Schedule'!$K$2:$K$817="Vacant", ROW('Bank Schedule'!$K$2:$K$817)), ROW(106:106))), "")</f>
        <v/>
      </c>
      <c r="O109" s="11" t="str">
        <f aca="false">IFERROR(INDEX('Bank Schedule'!P:P, SMALL(IF('Bank Schedule'!$K$2:$K$817="Vacant", ROW('Bank Schedule'!$K$2:$K$817)), ROW(106:106))), "")</f>
        <v/>
      </c>
      <c r="P109" s="11" t="n">
        <f aca="false" t="array" ref="P109:P109">IFERROR(INDEX('Bank Schedule'!Q:Q, SMALL(IF('Bank Schedule'!$K$2:$K$817="Vacant", ROW('Bank Schedule'!$K$2:$K$817)), ROW(106:106))), "")</f>
        <v>0</v>
      </c>
      <c r="Q109" s="11" t="n">
        <f aca="false" t="array" ref="Q109:Q109">IFERROR(INDEX('Bank Schedule'!R:R, SMALL(IF('Bank Schedule'!$K$2:$K$817="Vacant", ROW('Bank Schedule'!$K$2:$K$817)), ROW(106:106))), "")</f>
        <v>0</v>
      </c>
      <c r="R109" s="11" t="str">
        <f aca="false">IFERROR(INDEX('Bank Schedule'!S:S, SMALL(IF('Bank Schedule'!$K$2:$K$817="Vacant", ROW('Bank Schedule'!$K$2:$K$817)), ROW(106:106))), "")</f>
        <v/>
      </c>
      <c r="S109" s="281" t="n">
        <f aca="false" t="array" ref="S109:S109">IFERROR(INDEX('Bank Schedule'!T:T, SMALL(IF('Bank Schedule'!$K$2:$K$817="Vacant", ROW('Bank Schedule'!$K$2:$K$817)), ROW(106:106))), "")</f>
        <v>27200</v>
      </c>
      <c r="T109" s="281" t="n">
        <f aca="false" t="array" ref="T109:T109">IFERROR(INDEX('Bank Schedule'!U:U, SMALL(IF('Bank Schedule'!$K$2:$K$817="Vacant", ROW('Bank Schedule'!$K$2:$K$817)), ROW(106:106))), "")</f>
        <v>27200</v>
      </c>
      <c r="U109" s="281" t="n">
        <f aca="false" t="array" ref="U109:U109">IFERROR(INDEX('Bank Schedule'!V:V, SMALL(IF('Bank Schedule'!$K$2:$K$817="Vacant", ROW('Bank Schedule'!$K$2:$K$817)), ROW(106:106))), "")</f>
        <v>33000</v>
      </c>
      <c r="V109" s="281" t="n">
        <f aca="false" t="array" ref="V109:V109">IFERROR(INDEX('Bank Schedule'!W:W, SMALL(IF('Bank Schedule'!$K$2:$K$817="Vacant", ROW('Bank Schedule'!$K$2:$K$817)), ROW(106:106))), "")</f>
        <v>33000</v>
      </c>
      <c r="W109" s="282" t="n">
        <f aca="false" t="array" ref="W109:W109">IFERROR(INDEX('Bank Schedule'!X:X, SMALL(IF('Bank Schedule'!$K$2:$K$817="Vacant", ROW('Bank Schedule'!$K$2:$K$817)), ROW(106:106))), "")</f>
        <v>32.969696969697</v>
      </c>
      <c r="X109" s="11" t="str">
        <f aca="false" t="array" ref="X109:X109">IFERROR(INDEX('Bank Schedule'!Y:Y, SMALL(IF('Bank Schedule'!$K$2:$K$817="Vacant", ROW('Bank Schedule'!$K$2:$K$817)), ROW(106:106))), "")</f>
        <v>B</v>
      </c>
      <c r="Y109" s="11" t="str">
        <f aca="false">IFERROR(INDEX('Bank Schedule'!Z:Z, SMALL(IF('Bank Schedule'!$K$2:$K$817="Vacant", ROW('Bank Schedule'!$K$2:$K$817)), ROW(106:106))), "")</f>
        <v/>
      </c>
      <c r="Z109" s="11" t="str">
        <f aca="false">IFERROR(INDEX('Bank Schedule'!AA:AA, SMALL(IF('Bank Schedule'!$K$2:$K$817="Vacant", ROW('Bank Schedule'!$K$2:$K$817)), ROW(106:106))), "")</f>
        <v/>
      </c>
      <c r="AA109" s="11" t="str">
        <f aca="false" t="array" ref="AA109:AA109">IFERROR(INDEX('Bank Schedule'!AB:AB, SMALL(IF('Bank Schedule'!$K$2:$K$817="Vacant", ROW('Bank Schedule'!$K$2:$K$817)), ROW(106:106))), "")</f>
        <v>No</v>
      </c>
      <c r="AB109" s="94" t="str">
        <f aca="false">IFERROR(INDEX('Bank Schedule'!AC:AC, SMALL(IF('Bank Schedule'!$K$2:$K$817="Vacant", ROW('Bank Schedule'!$K$2:$K$817)), ROW(106:106))), "")</f>
        <v/>
      </c>
      <c r="AC109" s="44" t="str">
        <f aca="false">IFERROR(INDEX('Bank Schedule'!AD:AD, SMALL(IF('Bank Schedule'!$K$2:$K$817="Vacant", ROW('Bank Schedule'!$K$2:$K$817)), ROW(106:106))), "")</f>
        <v/>
      </c>
      <c r="AD109" s="11" t="str">
        <f aca="false">IFERROR(INDEX('Bank Schedule'!AE:AE, SMALL(IF('Bank Schedule'!$K$2:$K$817="Vacant", ROW('Bank Schedule'!$K$2:$K$817)), ROW(106:106))), "")</f>
        <v/>
      </c>
      <c r="AE109" s="11" t="str">
        <f aca="false">IFERROR(INDEX('Bank Schedule'!AF:AF, SMALL(IF('Bank Schedule'!$K$2:$K$817="Vacant", ROW('Bank Schedule'!$K$2:$K$817)), ROW(106:106))), "")</f>
        <v/>
      </c>
      <c r="AF109" s="11" t="str">
        <f aca="false">IFERROR(INDEX('Bank Schedule'!AG:AG, SMALL(IF('Bank Schedule'!$K$2:$K$817="Vacant", ROW('Bank Schedule'!$K$2:$K$817)), ROW(106:106))), "")</f>
        <v/>
      </c>
      <c r="AG109" s="4"/>
    </row>
    <row r="110" customFormat="false" ht="28.5" hidden="false" customHeight="true" outlineLevel="0" collapsed="false">
      <c r="A110" s="28" t="str">
        <f aca="false">IFERROR(INDEX('Bank Schedule'!A:A, SMALL(IF('Bank Schedule'!$K$2:$K$817="Vacant", ROW('Bank Schedule'!$K$2:$K$817)), ROW(107:107))), "")</f>
        <v/>
      </c>
      <c r="B110" s="11" t="str">
        <f aca="false" t="array" ref="B110:B110">IFERROR(INDEX('Bank Schedule'!B:B, SMALL(IF('Bank Schedule'!$K$2:$K$817="Vacant", ROW('Bank Schedule'!$K$2:$K$817)), ROW(107:107))), "")</f>
        <v>WS</v>
      </c>
      <c r="C110" s="11" t="str">
        <f aca="false" t="array" ref="C110:C110">IFERROR(INDEX('Bank Schedule'!C:C, SMALL(IF('Bank Schedule'!$K$2:$K$817="Vacant", ROW('Bank Schedule'!$K$2:$K$817)), ROW(107:107))), "")</f>
        <v>OPG</v>
      </c>
      <c r="D110" s="11" t="n">
        <f aca="false" t="array" ref="D110:D110">IFERROR(INDEX('Bank Schedule'!D:D, SMALL(IF('Bank Schedule'!$K$2:$K$817="Vacant", ROW('Bank Schedule'!$K$2:$K$817)), ROW(107:107))), "")</f>
        <v>800500</v>
      </c>
      <c r="E110" s="94" t="str">
        <f aca="false" t="array" ref="E110:E110">IFERROR(INDEX('Bank Schedule'!E:E, SMALL(IF('Bank Schedule'!$K$2:$K$817="Vacant", ROW('Bank Schedule'!$K$2:$K$817)), ROW(107:107))), "")</f>
        <v>85 Mortimer Street</v>
      </c>
      <c r="F110" s="94" t="str">
        <f aca="false" t="array" ref="F110:F110">IFERROR(INDEX('Bank Schedule'!F:F, SMALL(IF('Bank Schedule'!$K$2:$K$817="Vacant", ROW('Bank Schedule'!$K$2:$K$817)), ROW(107:107))), "")</f>
        <v>First to Third Floors</v>
      </c>
      <c r="G110" s="94" t="str">
        <f aca="false" t="array" ref="G110:G110">IFERROR(INDEX('Bank Schedule'!G:G, SMALL(IF('Bank Schedule'!$K$2:$K$817="Vacant", ROW('Bank Schedule'!$K$2:$K$817)), ROW(107:107))), "")</f>
        <v>Offices</v>
      </c>
      <c r="H110" s="14" t="n">
        <f aca="false" t="array" ref="H110:H110">IFERROR(INDEX('Bank Schedule'!H:H, SMALL(IF('Bank Schedule'!$K$2:$K$817="Vacant", ROW('Bank Schedule'!$K$2:$K$817)), ROW(107:107))), "")</f>
        <v>1248</v>
      </c>
      <c r="I110" s="14" t="n">
        <f aca="false" t="array" ref="I110:I110">IFERROR(INDEX('Bank Schedule'!I:I, SMALL(IF('Bank Schedule'!$K$2:$K$817="Vacant", ROW('Bank Schedule'!$K$2:$K$817)), ROW(107:107))), "")</f>
        <v>1248</v>
      </c>
      <c r="J110" s="11" t="str">
        <f aca="false" t="array" ref="J110:J110">IFERROR(INDEX('Bank Schedule'!K:K, SMALL(IF('Bank Schedule'!$K$2:$K$817="Vacant", ROW('Bank Schedule'!$K$2:$K$817)), ROW(107:107))), "")</f>
        <v>Vacant</v>
      </c>
      <c r="K110" s="11" t="str">
        <f aca="false">IFERROR(INDEX('Bank Schedule'!L:L, SMALL(IF('Bank Schedule'!$K$2:$K$817="Vacant", ROW('Bank Schedule'!$K$2:$K$817)), ROW(107:107))), "")</f>
        <v/>
      </c>
      <c r="L110" s="11" t="str">
        <f aca="false">IFERROR(INDEX('Bank Schedule'!M:M, SMALL(IF('Bank Schedule'!$K$2:$K$817="Vacant", ROW('Bank Schedule'!$K$2:$K$817)), ROW(107:107))), "")</f>
        <v/>
      </c>
      <c r="M110" s="71" t="n">
        <f aca="false" t="array" ref="M110:M110">IFERROR(INDEX('Bank Schedule'!N:N, SMALL(IF('Bank Schedule'!$K$2:$K$817="Vacant", ROW('Bank Schedule'!$K$2:$K$817)), ROW(107:107))), "")</f>
        <v>44550</v>
      </c>
      <c r="N110" s="11" t="str">
        <f aca="false">IFERROR(INDEX('Bank Schedule'!O:O, SMALL(IF('Bank Schedule'!$K$2:$K$817="Vacant", ROW('Bank Schedule'!$K$2:$K$817)), ROW(107:107))), "")</f>
        <v/>
      </c>
      <c r="O110" s="11" t="str">
        <f aca="false">IFERROR(INDEX('Bank Schedule'!P:P, SMALL(IF('Bank Schedule'!$K$2:$K$817="Vacant", ROW('Bank Schedule'!$K$2:$K$817)), ROW(107:107))), "")</f>
        <v/>
      </c>
      <c r="P110" s="11" t="n">
        <f aca="false" t="array" ref="P110:P110">IFERROR(INDEX('Bank Schedule'!Q:Q, SMALL(IF('Bank Schedule'!$K$2:$K$817="Vacant", ROW('Bank Schedule'!$K$2:$K$817)), ROW(107:107))), "")</f>
        <v>0</v>
      </c>
      <c r="Q110" s="11" t="n">
        <f aca="false" t="array" ref="Q110:Q110">IFERROR(INDEX('Bank Schedule'!R:R, SMALL(IF('Bank Schedule'!$K$2:$K$817="Vacant", ROW('Bank Schedule'!$K$2:$K$817)), ROW(107:107))), "")</f>
        <v>0</v>
      </c>
      <c r="R110" s="11" t="str">
        <f aca="false">IFERROR(INDEX('Bank Schedule'!S:S, SMALL(IF('Bank Schedule'!$K$2:$K$817="Vacant", ROW('Bank Schedule'!$K$2:$K$817)), ROW(107:107))), "")</f>
        <v/>
      </c>
      <c r="S110" s="281" t="n">
        <f aca="false" t="array" ref="S110:S110">IFERROR(INDEX('Bank Schedule'!T:T, SMALL(IF('Bank Schedule'!$K$2:$K$817="Vacant", ROW('Bank Schedule'!$K$2:$K$817)), ROW(107:107))), "")</f>
        <v>66800</v>
      </c>
      <c r="T110" s="281" t="n">
        <f aca="false" t="array" ref="T110:T110">IFERROR(INDEX('Bank Schedule'!U:U, SMALL(IF('Bank Schedule'!$K$2:$K$817="Vacant", ROW('Bank Schedule'!$K$2:$K$817)), ROW(107:107))), "")</f>
        <v>66800</v>
      </c>
      <c r="U110" s="281" t="n">
        <f aca="false" t="array" ref="U110:U110">IFERROR(INDEX('Bank Schedule'!V:V, SMALL(IF('Bank Schedule'!$K$2:$K$817="Vacant", ROW('Bank Schedule'!$K$2:$K$817)), ROW(107:107))), "")</f>
        <v>68600</v>
      </c>
      <c r="V110" s="281" t="n">
        <f aca="false" t="array" ref="V110:V110">IFERROR(INDEX('Bank Schedule'!W:W, SMALL(IF('Bank Schedule'!$K$2:$K$817="Vacant", ROW('Bank Schedule'!$K$2:$K$817)), ROW(107:107))), "")</f>
        <v>68600</v>
      </c>
      <c r="W110" s="282" t="n">
        <f aca="false" t="array" ref="W110:W110">IFERROR(INDEX('Bank Schedule'!X:X, SMALL(IF('Bank Schedule'!$K$2:$K$817="Vacant", ROW('Bank Schedule'!$K$2:$K$817)), ROW(107:107))), "")</f>
        <v>53.525641025641</v>
      </c>
      <c r="X110" s="11" t="str">
        <f aca="false" t="array" ref="X110:X110">IFERROR(INDEX('Bank Schedule'!Y:Y, SMALL(IF('Bank Schedule'!$K$2:$K$817="Vacant", ROW('Bank Schedule'!$K$2:$K$817)), ROW(107:107))), "")</f>
        <v>B</v>
      </c>
      <c r="Y110" s="11" t="str">
        <f aca="false">IFERROR(INDEX('Bank Schedule'!Z:Z, SMALL(IF('Bank Schedule'!$K$2:$K$817="Vacant", ROW('Bank Schedule'!$K$2:$K$817)), ROW(107:107))), "")</f>
        <v/>
      </c>
      <c r="Z110" s="11" t="str">
        <f aca="false">IFERROR(INDEX('Bank Schedule'!AA:AA, SMALL(IF('Bank Schedule'!$K$2:$K$817="Vacant", ROW('Bank Schedule'!$K$2:$K$817)), ROW(107:107))), "")</f>
        <v/>
      </c>
      <c r="AA110" s="11" t="str">
        <f aca="false" t="array" ref="AA110:AA110">IFERROR(INDEX('Bank Schedule'!AB:AB, SMALL(IF('Bank Schedule'!$K$2:$K$817="Vacant", ROW('Bank Schedule'!$K$2:$K$817)), ROW(107:107))), "")</f>
        <v>No</v>
      </c>
      <c r="AB110" s="94" t="str">
        <f aca="false" t="array" ref="AB110:AB110">IFERROR(INDEX('Bank Schedule'!AC:AC, SMALL(IF('Bank Schedule'!$K$2:$K$817="Vacant", ROW('Bank Schedule'!$K$2:$K$817)), ROW(107:107))), "")</f>
        <v>To be refurbished.</v>
      </c>
      <c r="AC110" s="44" t="n">
        <f aca="false" t="array" ref="AC110:AC110">IFERROR(INDEX('Bank Schedule'!AD:AD, SMALL(IF('Bank Schedule'!$K$2:$K$817="Vacant", ROW('Bank Schedule'!$K$2:$K$817)), ROW(107:107))), "")</f>
        <v>58</v>
      </c>
      <c r="AD110" s="11" t="str">
        <f aca="false">IFERROR(INDEX('Bank Schedule'!AE:AE, SMALL(IF('Bank Schedule'!$K$2:$K$817="Vacant", ROW('Bank Schedule'!$K$2:$K$817)), ROW(107:107))), "")</f>
        <v/>
      </c>
      <c r="AE110" s="11" t="str">
        <f aca="false">IFERROR(INDEX('Bank Schedule'!AF:AF, SMALL(IF('Bank Schedule'!$K$2:$K$817="Vacant", ROW('Bank Schedule'!$K$2:$K$817)), ROW(107:107))), "")</f>
        <v/>
      </c>
      <c r="AF110" s="11" t="str">
        <f aca="false">IFERROR(INDEX('Bank Schedule'!AG:AG, SMALL(IF('Bank Schedule'!$K$2:$K$817="Vacant", ROW('Bank Schedule'!$K$2:$K$817)), ROW(107:107))), "")</f>
        <v/>
      </c>
      <c r="AG110" s="4"/>
    </row>
    <row r="111" customFormat="false" ht="28.5" hidden="false" customHeight="true" outlineLevel="0" collapsed="false">
      <c r="A111" s="28" t="str">
        <f aca="false">IFERROR(INDEX('Bank Schedule'!A:A, SMALL(IF('Bank Schedule'!$K$2:$K$817="Vacant", ROW('Bank Schedule'!$K$2:$K$817)), ROW(108:108))), "")</f>
        <v/>
      </c>
      <c r="B111" s="11" t="str">
        <f aca="false" t="array" ref="B111:B111">IFERROR(INDEX('Bank Schedule'!B:B, SMALL(IF('Bank Schedule'!$K$2:$K$817="Vacant", ROW('Bank Schedule'!$K$2:$K$817)), ROW(108:108))), "")</f>
        <v>WS</v>
      </c>
      <c r="C111" s="11" t="str">
        <f aca="false" t="array" ref="C111:C111">IFERROR(INDEX('Bank Schedule'!C:C, SMALL(IF('Bank Schedule'!$K$2:$K$817="Vacant", ROW('Bank Schedule'!$K$2:$K$817)), ROW(108:108))), "")</f>
        <v>OPG</v>
      </c>
      <c r="D111" s="11" t="n">
        <f aca="false" t="array" ref="D111:D111">IFERROR(INDEX('Bank Schedule'!D:D, SMALL(IF('Bank Schedule'!$K$2:$K$817="Vacant", ROW('Bank Schedule'!$K$2:$K$817)), ROW(108:108))), "")</f>
        <v>800600</v>
      </c>
      <c r="E111" s="94" t="str">
        <f aca="false" t="array" ref="E111:E111">IFERROR(INDEX('Bank Schedule'!E:E, SMALL(IF('Bank Schedule'!$K$2:$K$817="Vacant", ROW('Bank Schedule'!$K$2:$K$817)), ROW(108:108))), "")</f>
        <v>Welbeck House, 66/67 Wells Street</v>
      </c>
      <c r="F111" s="94" t="str">
        <f aca="false" t="array" ref="F111:F111">IFERROR(INDEX('Bank Schedule'!F:F, SMALL(IF('Bank Schedule'!$K$2:$K$817="Vacant", ROW('Bank Schedule'!$K$2:$K$817)), ROW(108:108))), "")</f>
        <v>Basement &amp; Ground (67), Rear (66/67) &amp; 1st Floor (R) 66.</v>
      </c>
      <c r="G111" s="94" t="str">
        <f aca="false" t="array" ref="G111:G111">IFERROR(INDEX('Bank Schedule'!G:G, SMALL(IF('Bank Schedule'!$K$2:$K$817="Vacant", ROW('Bank Schedule'!$K$2:$K$817)), ROW(108:108))), "")</f>
        <v>Retail / Offices</v>
      </c>
      <c r="H111" s="14" t="n">
        <f aca="false" t="array" ref="H111:H111">IFERROR(INDEX('Bank Schedule'!H:H, SMALL(IF('Bank Schedule'!$K$2:$K$817="Vacant", ROW('Bank Schedule'!$K$2:$K$817)), ROW(108:108))), "")</f>
        <v>3356</v>
      </c>
      <c r="I111" s="14" t="n">
        <f aca="false" t="array" ref="I111:I111">IFERROR(INDEX('Bank Schedule'!I:I, SMALL(IF('Bank Schedule'!$K$2:$K$817="Vacant", ROW('Bank Schedule'!$K$2:$K$817)), ROW(108:108))), "")</f>
        <v>3356</v>
      </c>
      <c r="J111" s="11" t="str">
        <f aca="false" t="array" ref="J111:J111">IFERROR(INDEX('Bank Schedule'!K:K, SMALL(IF('Bank Schedule'!$K$2:$K$817="Vacant", ROW('Bank Schedule'!$K$2:$K$817)), ROW(108:108))), "")</f>
        <v>Vacant</v>
      </c>
      <c r="K111" s="11" t="str">
        <f aca="false">IFERROR(INDEX('Bank Schedule'!L:L, SMALL(IF('Bank Schedule'!$K$2:$K$817="Vacant", ROW('Bank Schedule'!$K$2:$K$817)), ROW(108:108))), "")</f>
        <v/>
      </c>
      <c r="L111" s="11" t="str">
        <f aca="false">IFERROR(INDEX('Bank Schedule'!M:M, SMALL(IF('Bank Schedule'!$K$2:$K$817="Vacant", ROW('Bank Schedule'!$K$2:$K$817)), ROW(108:108))), "")</f>
        <v/>
      </c>
      <c r="M111" s="71" t="n">
        <f aca="false" t="array" ref="M111:M111">IFERROR(INDEX('Bank Schedule'!N:N, SMALL(IF('Bank Schedule'!$K$2:$K$817="Vacant", ROW('Bank Schedule'!$K$2:$K$817)), ROW(108:108))), "")</f>
        <v>45457</v>
      </c>
      <c r="N111" s="11" t="str">
        <f aca="false">IFERROR(INDEX('Bank Schedule'!O:O, SMALL(IF('Bank Schedule'!$K$2:$K$817="Vacant", ROW('Bank Schedule'!$K$2:$K$817)), ROW(108:108))), "")</f>
        <v/>
      </c>
      <c r="O111" s="11" t="str">
        <f aca="false">IFERROR(INDEX('Bank Schedule'!P:P, SMALL(IF('Bank Schedule'!$K$2:$K$817="Vacant", ROW('Bank Schedule'!$K$2:$K$817)), ROW(108:108))), "")</f>
        <v/>
      </c>
      <c r="P111" s="11" t="n">
        <f aca="false" t="array" ref="P111:P111">IFERROR(INDEX('Bank Schedule'!Q:Q, SMALL(IF('Bank Schedule'!$K$2:$K$817="Vacant", ROW('Bank Schedule'!$K$2:$K$817)), ROW(108:108))), "")</f>
        <v>0</v>
      </c>
      <c r="Q111" s="11" t="n">
        <f aca="false" t="array" ref="Q111:Q111">IFERROR(INDEX('Bank Schedule'!R:R, SMALL(IF('Bank Schedule'!$K$2:$K$817="Vacant", ROW('Bank Schedule'!$K$2:$K$817)), ROW(108:108))), "")</f>
        <v>0</v>
      </c>
      <c r="R111" s="11" t="str">
        <f aca="false">IFERROR(INDEX('Bank Schedule'!S:S, SMALL(IF('Bank Schedule'!$K$2:$K$817="Vacant", ROW('Bank Schedule'!$K$2:$K$817)), ROW(108:108))), "")</f>
        <v/>
      </c>
      <c r="S111" s="281" t="n">
        <f aca="false" t="array" ref="S111:S111">IFERROR(INDEX('Bank Schedule'!T:T, SMALL(IF('Bank Schedule'!$K$2:$K$817="Vacant", ROW('Bank Schedule'!$K$2:$K$817)), ROW(108:108))), "")</f>
        <v>174600</v>
      </c>
      <c r="T111" s="281" t="n">
        <f aca="false" t="array" ref="T111:T111">IFERROR(INDEX('Bank Schedule'!U:U, SMALL(IF('Bank Schedule'!$K$2:$K$817="Vacant", ROW('Bank Schedule'!$K$2:$K$817)), ROW(108:108))), "")</f>
        <v>174600</v>
      </c>
      <c r="U111" s="281" t="n">
        <f aca="false" t="array" ref="U111:U111">IFERROR(INDEX('Bank Schedule'!V:V, SMALL(IF('Bank Schedule'!$K$2:$K$817="Vacant", ROW('Bank Schedule'!$K$2:$K$817)), ROW(108:108))), "")</f>
        <v>177700</v>
      </c>
      <c r="V111" s="281" t="n">
        <f aca="false" t="array" ref="V111:V111">IFERROR(INDEX('Bank Schedule'!W:W, SMALL(IF('Bank Schedule'!$K$2:$K$817="Vacant", ROW('Bank Schedule'!$K$2:$K$817)), ROW(108:108))), "")</f>
        <v>177700</v>
      </c>
      <c r="W111" s="282" t="n">
        <f aca="false" t="array" ref="W111:W111">IFERROR(INDEX('Bank Schedule'!X:X, SMALL(IF('Bank Schedule'!$K$2:$K$817="Vacant", ROW('Bank Schedule'!$K$2:$K$817)), ROW(108:108))), "")</f>
        <v>52.0262216924911</v>
      </c>
      <c r="X111" s="11" t="str">
        <f aca="false" t="array" ref="X111:X111">IFERROR(INDEX('Bank Schedule'!Y:Y, SMALL(IF('Bank Schedule'!$K$2:$K$817="Vacant", ROW('Bank Schedule'!$K$2:$K$817)), ROW(108:108))), "")</f>
        <v>B</v>
      </c>
      <c r="Y111" s="11" t="str">
        <f aca="false">IFERROR(INDEX('Bank Schedule'!Z:Z, SMALL(IF('Bank Schedule'!$K$2:$K$817="Vacant", ROW('Bank Schedule'!$K$2:$K$817)), ROW(108:108))), "")</f>
        <v/>
      </c>
      <c r="Z111" s="11" t="str">
        <f aca="false">IFERROR(INDEX('Bank Schedule'!AA:AA, SMALL(IF('Bank Schedule'!$K$2:$K$817="Vacant", ROW('Bank Schedule'!$K$2:$K$817)), ROW(108:108))), "")</f>
        <v/>
      </c>
      <c r="AA111" s="11" t="str">
        <f aca="false" t="array" ref="AA111:AA111">IFERROR(INDEX('Bank Schedule'!AB:AB, SMALL(IF('Bank Schedule'!$K$2:$K$817="Vacant", ROW('Bank Schedule'!$K$2:$K$817)), ROW(108:108))), "")</f>
        <v>No</v>
      </c>
      <c r="AB111" s="94" t="str">
        <f aca="false">IFERROR(INDEX('Bank Schedule'!AC:AC, SMALL(IF('Bank Schedule'!$K$2:$K$817="Vacant", ROW('Bank Schedule'!$K$2:$K$817)), ROW(108:108))), "")</f>
        <v/>
      </c>
      <c r="AC111" s="44" t="n">
        <f aca="false" t="array" ref="AC111:AC111">IFERROR(INDEX('Bank Schedule'!AD:AD, SMALL(IF('Bank Schedule'!$K$2:$K$817="Vacant", ROW('Bank Schedule'!$K$2:$K$817)), ROW(108:108))), "")</f>
        <v>45</v>
      </c>
      <c r="AD111" s="11" t="n">
        <f aca="false" t="array" ref="AD111:AD111">IFERROR(INDEX('Bank Schedule'!AE:AE, SMALL(IF('Bank Schedule'!$K$2:$K$817="Vacant", ROW('Bank Schedule'!$K$2:$K$817)), ROW(108:108))), "")</f>
        <v>2</v>
      </c>
      <c r="AE111" s="11" t="n">
        <f aca="false" t="array" ref="AE111:AE111">IFERROR(INDEX('Bank Schedule'!AF:AF, SMALL(IF('Bank Schedule'!$K$2:$K$817="Vacant", ROW('Bank Schedule'!$K$2:$K$817)), ROW(108:108))), "")</f>
        <v>2</v>
      </c>
      <c r="AF111" s="11" t="str">
        <f aca="false" t="array" ref="AF111:AF111">IFERROR(INDEX('Bank Schedule'!AG:AG, SMALL(IF('Bank Schedule'!$K$2:$K$817="Vacant", ROW('Bank Schedule'!$K$2:$K$817)), ROW(108:108))), "")</f>
        <v>LEM</v>
      </c>
      <c r="AG111" s="4"/>
    </row>
    <row r="112" customFormat="false" ht="28.5" hidden="false" customHeight="true" outlineLevel="0" collapsed="false">
      <c r="A112" s="28" t="str">
        <f aca="false">IFERROR(INDEX('Bank Schedule'!A:A, SMALL(IF('Bank Schedule'!$K$2:$K$817="Vacant", ROW('Bank Schedule'!$K$2:$K$817)), ROW(109:109))), "")</f>
        <v/>
      </c>
      <c r="B112" s="11" t="str">
        <f aca="false" t="array" ref="B112:B112">IFERROR(INDEX('Bank Schedule'!B:B, SMALL(IF('Bank Schedule'!$K$2:$K$817="Vacant", ROW('Bank Schedule'!$K$2:$K$817)), ROW(109:109))), "")</f>
        <v>WS</v>
      </c>
      <c r="C112" s="11" t="str">
        <f aca="false" t="array" ref="C112:C112">IFERROR(INDEX('Bank Schedule'!C:C, SMALL(IF('Bank Schedule'!$K$2:$K$817="Vacant", ROW('Bank Schedule'!$K$2:$K$817)), ROW(109:109))), "")</f>
        <v>OPG</v>
      </c>
      <c r="D112" s="11" t="n">
        <f aca="false" t="array" ref="D112:D112">IFERROR(INDEX('Bank Schedule'!D:D, SMALL(IF('Bank Schedule'!$K$2:$K$817="Vacant", ROW('Bank Schedule'!$K$2:$K$817)), ROW(109:109))), "")</f>
        <v>800600</v>
      </c>
      <c r="E112" s="94" t="str">
        <f aca="false" t="array" ref="E112:E112">IFERROR(INDEX('Bank Schedule'!E:E, SMALL(IF('Bank Schedule'!$K$2:$K$817="Vacant", ROW('Bank Schedule'!$K$2:$K$817)), ROW(109:109))), "")</f>
        <v>Welbeck House, 66/67 Wells Street</v>
      </c>
      <c r="F112" s="94" t="str">
        <f aca="false" t="array" ref="F112:F112">IFERROR(INDEX('Bank Schedule'!F:F, SMALL(IF('Bank Schedule'!$K$2:$K$817="Vacant", ROW('Bank Schedule'!$K$2:$K$817)), ROW(109:109))), "")</f>
        <v>First Floor (Front)</v>
      </c>
      <c r="G112" s="94" t="str">
        <f aca="false" t="array" ref="G112:G112">IFERROR(INDEX('Bank Schedule'!G:G, SMALL(IF('Bank Schedule'!$K$2:$K$817="Vacant", ROW('Bank Schedule'!$K$2:$K$817)), ROW(109:109))), "")</f>
        <v>Offices</v>
      </c>
      <c r="H112" s="14" t="n">
        <f aca="false" t="array" ref="H112:H112">IFERROR(INDEX('Bank Schedule'!H:H, SMALL(IF('Bank Schedule'!$K$2:$K$817="Vacant", ROW('Bank Schedule'!$K$2:$K$817)), ROW(109:109))), "")</f>
        <v>1015</v>
      </c>
      <c r="I112" s="14" t="n">
        <f aca="false" t="array" ref="I112:I112">IFERROR(INDEX('Bank Schedule'!I:I, SMALL(IF('Bank Schedule'!$K$2:$K$817="Vacant", ROW('Bank Schedule'!$K$2:$K$817)), ROW(109:109))), "")</f>
        <v>1015</v>
      </c>
      <c r="J112" s="11" t="str">
        <f aca="false" t="array" ref="J112:J112">IFERROR(INDEX('Bank Schedule'!K:K, SMALL(IF('Bank Schedule'!$K$2:$K$817="Vacant", ROW('Bank Schedule'!$K$2:$K$817)), ROW(109:109))), "")</f>
        <v>Vacant</v>
      </c>
      <c r="K112" s="11" t="str">
        <f aca="false">IFERROR(INDEX('Bank Schedule'!L:L, SMALL(IF('Bank Schedule'!$K$2:$K$817="Vacant", ROW('Bank Schedule'!$K$2:$K$817)), ROW(109:109))), "")</f>
        <v/>
      </c>
      <c r="L112" s="11" t="str">
        <f aca="false">IFERROR(INDEX('Bank Schedule'!M:M, SMALL(IF('Bank Schedule'!$K$2:$K$817="Vacant", ROW('Bank Schedule'!$K$2:$K$817)), ROW(109:109))), "")</f>
        <v/>
      </c>
      <c r="M112" s="71" t="n">
        <f aca="false" t="array" ref="M112:M112">IFERROR(INDEX('Bank Schedule'!N:N, SMALL(IF('Bank Schedule'!$K$2:$K$817="Vacant", ROW('Bank Schedule'!$K$2:$K$817)), ROW(109:109))), "")</f>
        <v>43840</v>
      </c>
      <c r="N112" s="11" t="str">
        <f aca="false">IFERROR(INDEX('Bank Schedule'!O:O, SMALL(IF('Bank Schedule'!$K$2:$K$817="Vacant", ROW('Bank Schedule'!$K$2:$K$817)), ROW(109:109))), "")</f>
        <v/>
      </c>
      <c r="O112" s="11" t="str">
        <f aca="false">IFERROR(INDEX('Bank Schedule'!P:P, SMALL(IF('Bank Schedule'!$K$2:$K$817="Vacant", ROW('Bank Schedule'!$K$2:$K$817)), ROW(109:109))), "")</f>
        <v/>
      </c>
      <c r="P112" s="11" t="n">
        <f aca="false" t="array" ref="P112:P112">IFERROR(INDEX('Bank Schedule'!Q:Q, SMALL(IF('Bank Schedule'!$K$2:$K$817="Vacant", ROW('Bank Schedule'!$K$2:$K$817)), ROW(109:109))), "")</f>
        <v>0</v>
      </c>
      <c r="Q112" s="11" t="n">
        <f aca="false" t="array" ref="Q112:Q112">IFERROR(INDEX('Bank Schedule'!R:R, SMALL(IF('Bank Schedule'!$K$2:$K$817="Vacant", ROW('Bank Schedule'!$K$2:$K$817)), ROW(109:109))), "")</f>
        <v>0</v>
      </c>
      <c r="R112" s="11" t="str">
        <f aca="false">IFERROR(INDEX('Bank Schedule'!S:S, SMALL(IF('Bank Schedule'!$K$2:$K$817="Vacant", ROW('Bank Schedule'!$K$2:$K$817)), ROW(109:109))), "")</f>
        <v/>
      </c>
      <c r="S112" s="281" t="n">
        <f aca="false" t="array" ref="S112:S112">IFERROR(INDEX('Bank Schedule'!T:T, SMALL(IF('Bank Schedule'!$K$2:$K$817="Vacant", ROW('Bank Schedule'!$K$2:$K$817)), ROW(109:109))), "")</f>
        <v>53300</v>
      </c>
      <c r="T112" s="281" t="n">
        <f aca="false" t="array" ref="T112:T112">IFERROR(INDEX('Bank Schedule'!U:U, SMALL(IF('Bank Schedule'!$K$2:$K$817="Vacant", ROW('Bank Schedule'!$K$2:$K$817)), ROW(109:109))), "")</f>
        <v>53300</v>
      </c>
      <c r="U112" s="281" t="n">
        <f aca="false" t="array" ref="U112:U112">IFERROR(INDEX('Bank Schedule'!V:V, SMALL(IF('Bank Schedule'!$K$2:$K$817="Vacant", ROW('Bank Schedule'!$K$2:$K$817)), ROW(109:109))), "")</f>
        <v>53300</v>
      </c>
      <c r="V112" s="281" t="n">
        <f aca="false" t="array" ref="V112:V112">IFERROR(INDEX('Bank Schedule'!W:W, SMALL(IF('Bank Schedule'!$K$2:$K$817="Vacant", ROW('Bank Schedule'!$K$2:$K$817)), ROW(109:109))), "")</f>
        <v>53300</v>
      </c>
      <c r="W112" s="282" t="n">
        <f aca="false" t="array" ref="W112:W112">IFERROR(INDEX('Bank Schedule'!X:X, SMALL(IF('Bank Schedule'!$K$2:$K$817="Vacant", ROW('Bank Schedule'!$K$2:$K$817)), ROW(109:109))), "")</f>
        <v>52.512315270936</v>
      </c>
      <c r="X112" s="11" t="str">
        <f aca="false" t="array" ref="X112:X112">IFERROR(INDEX('Bank Schedule'!Y:Y, SMALL(IF('Bank Schedule'!$K$2:$K$817="Vacant", ROW('Bank Schedule'!$K$2:$K$817)), ROW(109:109))), "")</f>
        <v>D</v>
      </c>
      <c r="Y112" s="11" t="str">
        <f aca="false">IFERROR(INDEX('Bank Schedule'!Z:Z, SMALL(IF('Bank Schedule'!$K$2:$K$817="Vacant", ROW('Bank Schedule'!$K$2:$K$817)), ROW(109:109))), "")</f>
        <v/>
      </c>
      <c r="Z112" s="11" t="str">
        <f aca="false">IFERROR(INDEX('Bank Schedule'!AA:AA, SMALL(IF('Bank Schedule'!$K$2:$K$817="Vacant", ROW('Bank Schedule'!$K$2:$K$817)), ROW(109:109))), "")</f>
        <v/>
      </c>
      <c r="AA112" s="11" t="str">
        <f aca="false" t="array" ref="AA112:AA112">IFERROR(INDEX('Bank Schedule'!AB:AB, SMALL(IF('Bank Schedule'!$K$2:$K$817="Vacant", ROW('Bank Schedule'!$K$2:$K$817)), ROW(109:109))), "")</f>
        <v>No</v>
      </c>
      <c r="AB112" s="94" t="str">
        <f aca="false" t="array" ref="AB112:AB112">IFERROR(INDEX('Bank Schedule'!AC:AC, SMALL(IF('Bank Schedule'!$K$2:$K$817="Vacant", ROW('Bank Schedule'!$K$2:$K$817)), ROW(109:109))), "")</f>
        <v>Mothballed.</v>
      </c>
      <c r="AC112" s="44" t="str">
        <f aca="false">IFERROR(INDEX('Bank Schedule'!AD:AD, SMALL(IF('Bank Schedule'!$K$2:$K$817="Vacant", ROW('Bank Schedule'!$K$2:$K$817)), ROW(109:109))), "")</f>
        <v/>
      </c>
      <c r="AD112" s="11" t="str">
        <f aca="false">IFERROR(INDEX('Bank Schedule'!AE:AE, SMALL(IF('Bank Schedule'!$K$2:$K$817="Vacant", ROW('Bank Schedule'!$K$2:$K$817)), ROW(109:109))), "")</f>
        <v/>
      </c>
      <c r="AE112" s="11" t="str">
        <f aca="false">IFERROR(INDEX('Bank Schedule'!AF:AF, SMALL(IF('Bank Schedule'!$K$2:$K$817="Vacant", ROW('Bank Schedule'!$K$2:$K$817)), ROW(109:109))), "")</f>
        <v/>
      </c>
      <c r="AF112" s="11" t="str">
        <f aca="false">IFERROR(INDEX('Bank Schedule'!AG:AG, SMALL(IF('Bank Schedule'!$K$2:$K$817="Vacant", ROW('Bank Schedule'!$K$2:$K$817)), ROW(109:109))), "")</f>
        <v/>
      </c>
      <c r="AG112" s="4"/>
    </row>
    <row r="113" customFormat="false" ht="28.5" hidden="false" customHeight="true" outlineLevel="0" collapsed="false">
      <c r="A113" s="28" t="str">
        <f aca="false">IFERROR(INDEX('Bank Schedule'!A:A, SMALL(IF('Bank Schedule'!$K$2:$K$817="Vacant", ROW('Bank Schedule'!$K$2:$K$817)), ROW(110:110))), "")</f>
        <v/>
      </c>
      <c r="B113" s="11" t="str">
        <f aca="false" t="array" ref="B113:B113">IFERROR(INDEX('Bank Schedule'!B:B, SMALL(IF('Bank Schedule'!$K$2:$K$817="Vacant", ROW('Bank Schedule'!$K$2:$K$817)), ROW(110:110))), "")</f>
        <v>WS</v>
      </c>
      <c r="C113" s="11" t="str">
        <f aca="false" t="array" ref="C113:C113">IFERROR(INDEX('Bank Schedule'!C:C, SMALL(IF('Bank Schedule'!$K$2:$K$817="Vacant", ROW('Bank Schedule'!$K$2:$K$817)), ROW(110:110))), "")</f>
        <v>OPG</v>
      </c>
      <c r="D113" s="11" t="n">
        <f aca="false" t="array" ref="D113:D113">IFERROR(INDEX('Bank Schedule'!D:D, SMALL(IF('Bank Schedule'!$K$2:$K$817="Vacant", ROW('Bank Schedule'!$K$2:$K$817)), ROW(110:110))), "")</f>
        <v>800600</v>
      </c>
      <c r="E113" s="94" t="str">
        <f aca="false" t="array" ref="E113:E113">IFERROR(INDEX('Bank Schedule'!E:E, SMALL(IF('Bank Schedule'!$K$2:$K$817="Vacant", ROW('Bank Schedule'!$K$2:$K$817)), ROW(110:110))), "")</f>
        <v>Welbeck House, 66/67 Wells Street</v>
      </c>
      <c r="F113" s="94" t="str">
        <f aca="false" t="array" ref="F113:F113">IFERROR(INDEX('Bank Schedule'!F:F, SMALL(IF('Bank Schedule'!$K$2:$K$817="Vacant", ROW('Bank Schedule'!$K$2:$K$817)), ROW(110:110))), "")</f>
        <v>First Floor (Rear)</v>
      </c>
      <c r="G113" s="94" t="str">
        <f aca="false" t="array" ref="G113:G113">IFERROR(INDEX('Bank Schedule'!G:G, SMALL(IF('Bank Schedule'!$K$2:$K$817="Vacant", ROW('Bank Schedule'!$K$2:$K$817)), ROW(110:110))), "")</f>
        <v>Offices</v>
      </c>
      <c r="H113" s="14" t="n">
        <f aca="false" t="array" ref="H113:H113">IFERROR(INDEX('Bank Schedule'!H:H, SMALL(IF('Bank Schedule'!$K$2:$K$817="Vacant", ROW('Bank Schedule'!$K$2:$K$817)), ROW(110:110))), "")</f>
        <v>250</v>
      </c>
      <c r="I113" s="14" t="n">
        <f aca="false" t="array" ref="I113:I113">IFERROR(INDEX('Bank Schedule'!I:I, SMALL(IF('Bank Schedule'!$K$2:$K$817="Vacant", ROW('Bank Schedule'!$K$2:$K$817)), ROW(110:110))), "")</f>
        <v>250</v>
      </c>
      <c r="J113" s="11" t="str">
        <f aca="false" t="array" ref="J113:J113">IFERROR(INDEX('Bank Schedule'!K:K, SMALL(IF('Bank Schedule'!$K$2:$K$817="Vacant", ROW('Bank Schedule'!$K$2:$K$817)), ROW(110:110))), "")</f>
        <v>Vacant</v>
      </c>
      <c r="K113" s="11" t="str">
        <f aca="false">IFERROR(INDEX('Bank Schedule'!L:L, SMALL(IF('Bank Schedule'!$K$2:$K$817="Vacant", ROW('Bank Schedule'!$K$2:$K$817)), ROW(110:110))), "")</f>
        <v/>
      </c>
      <c r="L113" s="11" t="str">
        <f aca="false">IFERROR(INDEX('Bank Schedule'!M:M, SMALL(IF('Bank Schedule'!$K$2:$K$817="Vacant", ROW('Bank Schedule'!$K$2:$K$817)), ROW(110:110))), "")</f>
        <v/>
      </c>
      <c r="M113" s="71" t="n">
        <f aca="false" t="array" ref="M113:M113">IFERROR(INDEX('Bank Schedule'!N:N, SMALL(IF('Bank Schedule'!$K$2:$K$817="Vacant", ROW('Bank Schedule'!$K$2:$K$817)), ROW(110:110))), "")</f>
        <v>45682</v>
      </c>
      <c r="N113" s="11" t="str">
        <f aca="false">IFERROR(INDEX('Bank Schedule'!O:O, SMALL(IF('Bank Schedule'!$K$2:$K$817="Vacant", ROW('Bank Schedule'!$K$2:$K$817)), ROW(110:110))), "")</f>
        <v/>
      </c>
      <c r="O113" s="11" t="str">
        <f aca="false">IFERROR(INDEX('Bank Schedule'!P:P, SMALL(IF('Bank Schedule'!$K$2:$K$817="Vacant", ROW('Bank Schedule'!$K$2:$K$817)), ROW(110:110))), "")</f>
        <v/>
      </c>
      <c r="P113" s="11" t="n">
        <f aca="false" t="array" ref="P113:P113">IFERROR(INDEX('Bank Schedule'!Q:Q, SMALL(IF('Bank Schedule'!$K$2:$K$817="Vacant", ROW('Bank Schedule'!$K$2:$K$817)), ROW(110:110))), "")</f>
        <v>0</v>
      </c>
      <c r="Q113" s="11" t="n">
        <f aca="false" t="array" ref="Q113:Q113">IFERROR(INDEX('Bank Schedule'!R:R, SMALL(IF('Bank Schedule'!$K$2:$K$817="Vacant", ROW('Bank Schedule'!$K$2:$K$817)), ROW(110:110))), "")</f>
        <v>0</v>
      </c>
      <c r="R113" s="11" t="str">
        <f aca="false">IFERROR(INDEX('Bank Schedule'!S:S, SMALL(IF('Bank Schedule'!$K$2:$K$817="Vacant", ROW('Bank Schedule'!$K$2:$K$817)), ROW(110:110))), "")</f>
        <v/>
      </c>
      <c r="S113" s="281" t="n">
        <f aca="false" t="array" ref="S113:S113">IFERROR(INDEX('Bank Schedule'!T:T, SMALL(IF('Bank Schedule'!$K$2:$K$817="Vacant", ROW('Bank Schedule'!$K$2:$K$817)), ROW(110:110))), "")</f>
        <v>14500</v>
      </c>
      <c r="T113" s="281" t="n">
        <f aca="false" t="array" ref="T113:T113">IFERROR(INDEX('Bank Schedule'!U:U, SMALL(IF('Bank Schedule'!$K$2:$K$817="Vacant", ROW('Bank Schedule'!$K$2:$K$817)), ROW(110:110))), "")</f>
        <v>14500</v>
      </c>
      <c r="U113" s="281" t="n">
        <f aca="false" t="array" ref="U113:U113">IFERROR(INDEX('Bank Schedule'!V:V, SMALL(IF('Bank Schedule'!$K$2:$K$817="Vacant", ROW('Bank Schedule'!$K$2:$K$817)), ROW(110:110))), "")</f>
        <v>14500</v>
      </c>
      <c r="V113" s="281" t="n">
        <f aca="false" t="array" ref="V113:V113">IFERROR(INDEX('Bank Schedule'!W:W, SMALL(IF('Bank Schedule'!$K$2:$K$817="Vacant", ROW('Bank Schedule'!$K$2:$K$817)), ROW(110:110))), "")</f>
        <v>14500</v>
      </c>
      <c r="W113" s="282" t="n">
        <f aca="false" t="array" ref="W113:W113">IFERROR(INDEX('Bank Schedule'!X:X, SMALL(IF('Bank Schedule'!$K$2:$K$817="Vacant", ROW('Bank Schedule'!$K$2:$K$817)), ROW(110:110))), "")</f>
        <v>58</v>
      </c>
      <c r="X113" s="11" t="str">
        <f aca="false" t="array" ref="X113:X113">IFERROR(INDEX('Bank Schedule'!Y:Y, SMALL(IF('Bank Schedule'!$K$2:$K$817="Vacant", ROW('Bank Schedule'!$K$2:$K$817)), ROW(110:110))), "")</f>
        <v>D</v>
      </c>
      <c r="Y113" s="11" t="str">
        <f aca="false">IFERROR(INDEX('Bank Schedule'!Z:Z, SMALL(IF('Bank Schedule'!$K$2:$K$817="Vacant", ROW('Bank Schedule'!$K$2:$K$817)), ROW(110:110))), "")</f>
        <v/>
      </c>
      <c r="Z113" s="11" t="str">
        <f aca="false">IFERROR(INDEX('Bank Schedule'!AA:AA, SMALL(IF('Bank Schedule'!$K$2:$K$817="Vacant", ROW('Bank Schedule'!$K$2:$K$817)), ROW(110:110))), "")</f>
        <v/>
      </c>
      <c r="AA113" s="11" t="str">
        <f aca="false" t="array" ref="AA113:AA113">IFERROR(INDEX('Bank Schedule'!AB:AB, SMALL(IF('Bank Schedule'!$K$2:$K$817="Vacant", ROW('Bank Schedule'!$K$2:$K$817)), ROW(110:110))), "")</f>
        <v>No</v>
      </c>
      <c r="AB113" s="94" t="str">
        <f aca="false" t="array" ref="AB113:AB113">IFERROR(INDEX('Bank Schedule'!AC:AC, SMALL(IF('Bank Schedule'!$K$2:$K$817="Vacant", ROW('Bank Schedule'!$K$2:$K$817)), ROW(110:110))), "")</f>
        <v>LEM marketing.</v>
      </c>
      <c r="AC113" s="44" t="str">
        <f aca="false">IFERROR(INDEX('Bank Schedule'!AD:AD, SMALL(IF('Bank Schedule'!$K$2:$K$817="Vacant", ROW('Bank Schedule'!$K$2:$K$817)), ROW(110:110))), "")</f>
        <v/>
      </c>
      <c r="AD113" s="11" t="str">
        <f aca="false">IFERROR(INDEX('Bank Schedule'!AE:AE, SMALL(IF('Bank Schedule'!$K$2:$K$817="Vacant", ROW('Bank Schedule'!$K$2:$K$817)), ROW(110:110))), "")</f>
        <v/>
      </c>
      <c r="AE113" s="11" t="str">
        <f aca="false">IFERROR(INDEX('Bank Schedule'!AF:AF, SMALL(IF('Bank Schedule'!$K$2:$K$817="Vacant", ROW('Bank Schedule'!$K$2:$K$817)), ROW(110:110))), "")</f>
        <v/>
      </c>
      <c r="AF113" s="11" t="str">
        <f aca="false">IFERROR(INDEX('Bank Schedule'!AG:AG, SMALL(IF('Bank Schedule'!$K$2:$K$817="Vacant", ROW('Bank Schedule'!$K$2:$K$817)), ROW(110:110))), "")</f>
        <v/>
      </c>
      <c r="AG113" s="4"/>
    </row>
    <row r="114" customFormat="false" ht="28.5" hidden="false" customHeight="true" outlineLevel="0" collapsed="false">
      <c r="A114" s="28" t="str">
        <f aca="false">IFERROR(INDEX('Bank Schedule'!A:A, SMALL(IF('Bank Schedule'!$K$2:$K$817="Vacant", ROW('Bank Schedule'!$K$2:$K$817)), ROW(111:111))), "")</f>
        <v/>
      </c>
      <c r="B114" s="11" t="str">
        <f aca="false" t="array" ref="B114:B114">IFERROR(INDEX('Bank Schedule'!B:B, SMALL(IF('Bank Schedule'!$K$2:$K$817="Vacant", ROW('Bank Schedule'!$K$2:$K$817)), ROW(111:111))), "")</f>
        <v>WS</v>
      </c>
      <c r="C114" s="11" t="str">
        <f aca="false" t="array" ref="C114:C114">IFERROR(INDEX('Bank Schedule'!C:C, SMALL(IF('Bank Schedule'!$K$2:$K$817="Vacant", ROW('Bank Schedule'!$K$2:$K$817)), ROW(111:111))), "")</f>
        <v>OPG</v>
      </c>
      <c r="D114" s="11" t="n">
        <f aca="false" t="array" ref="D114:D114">IFERROR(INDEX('Bank Schedule'!D:D, SMALL(IF('Bank Schedule'!$K$2:$K$817="Vacant", ROW('Bank Schedule'!$K$2:$K$817)), ROW(111:111))), "")</f>
        <v>800600</v>
      </c>
      <c r="E114" s="94" t="str">
        <f aca="false" t="array" ref="E114:E114">IFERROR(INDEX('Bank Schedule'!E:E, SMALL(IF('Bank Schedule'!$K$2:$K$817="Vacant", ROW('Bank Schedule'!$K$2:$K$817)), ROW(111:111))), "")</f>
        <v>Welbeck House, 66/67 Wells Street</v>
      </c>
      <c r="F114" s="94" t="str">
        <f aca="false" t="array" ref="F114:F114">IFERROR(INDEX('Bank Schedule'!F:F, SMALL(IF('Bank Schedule'!$K$2:$K$817="Vacant", ROW('Bank Schedule'!$K$2:$K$817)), ROW(111:111))), "")</f>
        <v>Second Floor (Front)</v>
      </c>
      <c r="G114" s="94" t="str">
        <f aca="false" t="array" ref="G114:G114">IFERROR(INDEX('Bank Schedule'!G:G, SMALL(IF('Bank Schedule'!$K$2:$K$817="Vacant", ROW('Bank Schedule'!$K$2:$K$817)), ROW(111:111))), "")</f>
        <v>Offices</v>
      </c>
      <c r="H114" s="14" t="n">
        <f aca="false" t="array" ref="H114:H114">IFERROR(INDEX('Bank Schedule'!H:H, SMALL(IF('Bank Schedule'!$K$2:$K$817="Vacant", ROW('Bank Schedule'!$K$2:$K$817)), ROW(111:111))), "")</f>
        <v>1026</v>
      </c>
      <c r="I114" s="14" t="n">
        <f aca="false" t="array" ref="I114:I114">IFERROR(INDEX('Bank Schedule'!I:I, SMALL(IF('Bank Schedule'!$K$2:$K$817="Vacant", ROW('Bank Schedule'!$K$2:$K$817)), ROW(111:111))), "")</f>
        <v>1026</v>
      </c>
      <c r="J114" s="11" t="str">
        <f aca="false" t="array" ref="J114:J114">IFERROR(INDEX('Bank Schedule'!K:K, SMALL(IF('Bank Schedule'!$K$2:$K$817="Vacant", ROW('Bank Schedule'!$K$2:$K$817)), ROW(111:111))), "")</f>
        <v>Vacant</v>
      </c>
      <c r="K114" s="11" t="str">
        <f aca="false">IFERROR(INDEX('Bank Schedule'!L:L, SMALL(IF('Bank Schedule'!$K$2:$K$817="Vacant", ROW('Bank Schedule'!$K$2:$K$817)), ROW(111:111))), "")</f>
        <v/>
      </c>
      <c r="L114" s="11" t="str">
        <f aca="false">IFERROR(INDEX('Bank Schedule'!M:M, SMALL(IF('Bank Schedule'!$K$2:$K$817="Vacant", ROW('Bank Schedule'!$K$2:$K$817)), ROW(111:111))), "")</f>
        <v/>
      </c>
      <c r="M114" s="71" t="n">
        <f aca="false" t="array" ref="M114:M114">IFERROR(INDEX('Bank Schedule'!N:N, SMALL(IF('Bank Schedule'!$K$2:$K$817="Vacant", ROW('Bank Schedule'!$K$2:$K$817)), ROW(111:111))), "")</f>
        <v>44500</v>
      </c>
      <c r="N114" s="11" t="str">
        <f aca="false">IFERROR(INDEX('Bank Schedule'!O:O, SMALL(IF('Bank Schedule'!$K$2:$K$817="Vacant", ROW('Bank Schedule'!$K$2:$K$817)), ROW(111:111))), "")</f>
        <v/>
      </c>
      <c r="O114" s="11" t="str">
        <f aca="false">IFERROR(INDEX('Bank Schedule'!P:P, SMALL(IF('Bank Schedule'!$K$2:$K$817="Vacant", ROW('Bank Schedule'!$K$2:$K$817)), ROW(111:111))), "")</f>
        <v/>
      </c>
      <c r="P114" s="11" t="n">
        <f aca="false" t="array" ref="P114:P114">IFERROR(INDEX('Bank Schedule'!Q:Q, SMALL(IF('Bank Schedule'!$K$2:$K$817="Vacant", ROW('Bank Schedule'!$K$2:$K$817)), ROW(111:111))), "")</f>
        <v>0</v>
      </c>
      <c r="Q114" s="11" t="n">
        <f aca="false" t="array" ref="Q114:Q114">IFERROR(INDEX('Bank Schedule'!R:R, SMALL(IF('Bank Schedule'!$K$2:$K$817="Vacant", ROW('Bank Schedule'!$K$2:$K$817)), ROW(111:111))), "")</f>
        <v>0</v>
      </c>
      <c r="R114" s="11" t="str">
        <f aca="false">IFERROR(INDEX('Bank Schedule'!S:S, SMALL(IF('Bank Schedule'!$K$2:$K$817="Vacant", ROW('Bank Schedule'!$K$2:$K$817)), ROW(111:111))), "")</f>
        <v/>
      </c>
      <c r="S114" s="281" t="n">
        <f aca="false" t="array" ref="S114:S114">IFERROR(INDEX('Bank Schedule'!T:T, SMALL(IF('Bank Schedule'!$K$2:$K$817="Vacant", ROW('Bank Schedule'!$K$2:$K$817)), ROW(111:111))), "")</f>
        <v>53900</v>
      </c>
      <c r="T114" s="281" t="n">
        <f aca="false" t="array" ref="T114:T114">IFERROR(INDEX('Bank Schedule'!U:U, SMALL(IF('Bank Schedule'!$K$2:$K$817="Vacant", ROW('Bank Schedule'!$K$2:$K$817)), ROW(111:111))), "")</f>
        <v>53900</v>
      </c>
      <c r="U114" s="281" t="n">
        <f aca="false" t="array" ref="U114:U114">IFERROR(INDEX('Bank Schedule'!V:V, SMALL(IF('Bank Schedule'!$K$2:$K$817="Vacant", ROW('Bank Schedule'!$K$2:$K$817)), ROW(111:111))), "")</f>
        <v>53900</v>
      </c>
      <c r="V114" s="281" t="n">
        <f aca="false" t="array" ref="V114:V114">IFERROR(INDEX('Bank Schedule'!W:W, SMALL(IF('Bank Schedule'!$K$2:$K$817="Vacant", ROW('Bank Schedule'!$K$2:$K$817)), ROW(111:111))), "")</f>
        <v>53900</v>
      </c>
      <c r="W114" s="282" t="n">
        <f aca="false" t="array" ref="W114:W114">IFERROR(INDEX('Bank Schedule'!X:X, SMALL(IF('Bank Schedule'!$K$2:$K$817="Vacant", ROW('Bank Schedule'!$K$2:$K$817)), ROW(111:111))), "")</f>
        <v>52.5341130604289</v>
      </c>
      <c r="X114" s="11" t="str">
        <f aca="false" t="array" ref="X114:X114">IFERROR(INDEX('Bank Schedule'!Y:Y, SMALL(IF('Bank Schedule'!$K$2:$K$817="Vacant", ROW('Bank Schedule'!$K$2:$K$817)), ROW(111:111))), "")</f>
        <v>C</v>
      </c>
      <c r="Y114" s="11" t="str">
        <f aca="false">IFERROR(INDEX('Bank Schedule'!Z:Z, SMALL(IF('Bank Schedule'!$K$2:$K$817="Vacant", ROW('Bank Schedule'!$K$2:$K$817)), ROW(111:111))), "")</f>
        <v/>
      </c>
      <c r="Z114" s="11" t="str">
        <f aca="false">IFERROR(INDEX('Bank Schedule'!AA:AA, SMALL(IF('Bank Schedule'!$K$2:$K$817="Vacant", ROW('Bank Schedule'!$K$2:$K$817)), ROW(111:111))), "")</f>
        <v/>
      </c>
      <c r="AA114" s="11" t="str">
        <f aca="false" t="array" ref="AA114:AA114">IFERROR(INDEX('Bank Schedule'!AB:AB, SMALL(IF('Bank Schedule'!$K$2:$K$817="Vacant", ROW('Bank Schedule'!$K$2:$K$817)), ROW(111:111))), "")</f>
        <v>No</v>
      </c>
      <c r="AB114" s="94" t="str">
        <f aca="false" t="array" ref="AB114:AB114">IFERROR(INDEX('Bank Schedule'!AC:AC, SMALL(IF('Bank Schedule'!$K$2:$K$817="Vacant", ROW('Bank Schedule'!$K$2:$K$817)), ROW(111:111))), "")</f>
        <v>Mothballed.</v>
      </c>
      <c r="AC114" s="44" t="str">
        <f aca="false">IFERROR(INDEX('Bank Schedule'!AD:AD, SMALL(IF('Bank Schedule'!$K$2:$K$817="Vacant", ROW('Bank Schedule'!$K$2:$K$817)), ROW(111:111))), "")</f>
        <v/>
      </c>
      <c r="AD114" s="11" t="str">
        <f aca="false">IFERROR(INDEX('Bank Schedule'!AE:AE, SMALL(IF('Bank Schedule'!$K$2:$K$817="Vacant", ROW('Bank Schedule'!$K$2:$K$817)), ROW(111:111))), "")</f>
        <v/>
      </c>
      <c r="AE114" s="11" t="str">
        <f aca="false">IFERROR(INDEX('Bank Schedule'!AF:AF, SMALL(IF('Bank Schedule'!$K$2:$K$817="Vacant", ROW('Bank Schedule'!$K$2:$K$817)), ROW(111:111))), "")</f>
        <v/>
      </c>
      <c r="AF114" s="11" t="str">
        <f aca="false">IFERROR(INDEX('Bank Schedule'!AG:AG, SMALL(IF('Bank Schedule'!$K$2:$K$817="Vacant", ROW('Bank Schedule'!$K$2:$K$817)), ROW(111:111))), "")</f>
        <v/>
      </c>
      <c r="AG114" s="4"/>
    </row>
    <row r="115" customFormat="false" ht="28.5" hidden="false" customHeight="true" outlineLevel="0" collapsed="false">
      <c r="A115" s="28" t="str">
        <f aca="false">IFERROR(INDEX('Bank Schedule'!A:A, SMALL(IF('Bank Schedule'!$K$2:$K$817="Vacant", ROW('Bank Schedule'!$K$2:$K$817)), ROW(112:112))), "")</f>
        <v/>
      </c>
      <c r="B115" s="11" t="str">
        <f aca="false" t="array" ref="B115:B115">IFERROR(INDEX('Bank Schedule'!B:B, SMALL(IF('Bank Schedule'!$K$2:$K$817="Vacant", ROW('Bank Schedule'!$K$2:$K$817)), ROW(112:112))), "")</f>
        <v>WS</v>
      </c>
      <c r="C115" s="11" t="str">
        <f aca="false" t="array" ref="C115:C115">IFERROR(INDEX('Bank Schedule'!C:C, SMALL(IF('Bank Schedule'!$K$2:$K$817="Vacant", ROW('Bank Schedule'!$K$2:$K$817)), ROW(112:112))), "")</f>
        <v>OPG</v>
      </c>
      <c r="D115" s="11" t="n">
        <f aca="false" t="array" ref="D115:D115">IFERROR(INDEX('Bank Schedule'!D:D, SMALL(IF('Bank Schedule'!$K$2:$K$817="Vacant", ROW('Bank Schedule'!$K$2:$K$817)), ROW(112:112))), "")</f>
        <v>800600</v>
      </c>
      <c r="E115" s="94" t="str">
        <f aca="false" t="array" ref="E115:E115">IFERROR(INDEX('Bank Schedule'!E:E, SMALL(IF('Bank Schedule'!$K$2:$K$817="Vacant", ROW('Bank Schedule'!$K$2:$K$817)), ROW(112:112))), "")</f>
        <v>Welbeck House, 66/67 Wells Street</v>
      </c>
      <c r="F115" s="94" t="str">
        <f aca="false" t="array" ref="F115:F115">IFERROR(INDEX('Bank Schedule'!F:F, SMALL(IF('Bank Schedule'!$K$2:$K$817="Vacant", ROW('Bank Schedule'!$K$2:$K$817)), ROW(112:112))), "")</f>
        <v>Second Floor (Rear)</v>
      </c>
      <c r="G115" s="94" t="str">
        <f aca="false" t="array" ref="G115:G115">IFERROR(INDEX('Bank Schedule'!G:G, SMALL(IF('Bank Schedule'!$K$2:$K$817="Vacant", ROW('Bank Schedule'!$K$2:$K$817)), ROW(112:112))), "")</f>
        <v>Offices</v>
      </c>
      <c r="H115" s="14" t="n">
        <f aca="false" t="array" ref="H115:H115">IFERROR(INDEX('Bank Schedule'!H:H, SMALL(IF('Bank Schedule'!$K$2:$K$817="Vacant", ROW('Bank Schedule'!$K$2:$K$817)), ROW(112:112))), "")</f>
        <v>242</v>
      </c>
      <c r="I115" s="14" t="n">
        <f aca="false" t="array" ref="I115:I115">IFERROR(INDEX('Bank Schedule'!I:I, SMALL(IF('Bank Schedule'!$K$2:$K$817="Vacant", ROW('Bank Schedule'!$K$2:$K$817)), ROW(112:112))), "")</f>
        <v>242</v>
      </c>
      <c r="J115" s="11" t="str">
        <f aca="false" t="array" ref="J115:J115">IFERROR(INDEX('Bank Schedule'!K:K, SMALL(IF('Bank Schedule'!$K$2:$K$817="Vacant", ROW('Bank Schedule'!$K$2:$K$817)), ROW(112:112))), "")</f>
        <v>Vacant</v>
      </c>
      <c r="K115" s="11" t="str">
        <f aca="false">IFERROR(INDEX('Bank Schedule'!L:L, SMALL(IF('Bank Schedule'!$K$2:$K$817="Vacant", ROW('Bank Schedule'!$K$2:$K$817)), ROW(112:112))), "")</f>
        <v/>
      </c>
      <c r="L115" s="11" t="str">
        <f aca="false">IFERROR(INDEX('Bank Schedule'!M:M, SMALL(IF('Bank Schedule'!$K$2:$K$817="Vacant", ROW('Bank Schedule'!$K$2:$K$817)), ROW(112:112))), "")</f>
        <v/>
      </c>
      <c r="M115" s="71" t="n">
        <f aca="false" t="array" ref="M115:M115">IFERROR(INDEX('Bank Schedule'!N:N, SMALL(IF('Bank Schedule'!$K$2:$K$817="Vacant", ROW('Bank Schedule'!$K$2:$K$817)), ROW(112:112))), "")</f>
        <v>44135</v>
      </c>
      <c r="N115" s="11" t="str">
        <f aca="false">IFERROR(INDEX('Bank Schedule'!O:O, SMALL(IF('Bank Schedule'!$K$2:$K$817="Vacant", ROW('Bank Schedule'!$K$2:$K$817)), ROW(112:112))), "")</f>
        <v/>
      </c>
      <c r="O115" s="11" t="str">
        <f aca="false">IFERROR(INDEX('Bank Schedule'!P:P, SMALL(IF('Bank Schedule'!$K$2:$K$817="Vacant", ROW('Bank Schedule'!$K$2:$K$817)), ROW(112:112))), "")</f>
        <v/>
      </c>
      <c r="P115" s="11" t="n">
        <f aca="false" t="array" ref="P115:P115">IFERROR(INDEX('Bank Schedule'!Q:Q, SMALL(IF('Bank Schedule'!$K$2:$K$817="Vacant", ROW('Bank Schedule'!$K$2:$K$817)), ROW(112:112))), "")</f>
        <v>0</v>
      </c>
      <c r="Q115" s="11" t="n">
        <f aca="false" t="array" ref="Q115:Q115">IFERROR(INDEX('Bank Schedule'!R:R, SMALL(IF('Bank Schedule'!$K$2:$K$817="Vacant", ROW('Bank Schedule'!$K$2:$K$817)), ROW(112:112))), "")</f>
        <v>0</v>
      </c>
      <c r="R115" s="11" t="str">
        <f aca="false">IFERROR(INDEX('Bank Schedule'!S:S, SMALL(IF('Bank Schedule'!$K$2:$K$817="Vacant", ROW('Bank Schedule'!$K$2:$K$817)), ROW(112:112))), "")</f>
        <v/>
      </c>
      <c r="S115" s="281" t="n">
        <f aca="false" t="array" ref="S115:S115">IFERROR(INDEX('Bank Schedule'!T:T, SMALL(IF('Bank Schedule'!$K$2:$K$817="Vacant", ROW('Bank Schedule'!$K$2:$K$817)), ROW(112:112))), "")</f>
        <v>14000</v>
      </c>
      <c r="T115" s="281" t="n">
        <f aca="false" t="array" ref="T115:T115">IFERROR(INDEX('Bank Schedule'!U:U, SMALL(IF('Bank Schedule'!$K$2:$K$817="Vacant", ROW('Bank Schedule'!$K$2:$K$817)), ROW(112:112))), "")</f>
        <v>14000</v>
      </c>
      <c r="U115" s="281" t="n">
        <f aca="false" t="array" ref="U115:U115">IFERROR(INDEX('Bank Schedule'!V:V, SMALL(IF('Bank Schedule'!$K$2:$K$817="Vacant", ROW('Bank Schedule'!$K$2:$K$817)), ROW(112:112))), "")</f>
        <v>14000</v>
      </c>
      <c r="V115" s="281" t="n">
        <f aca="false" t="array" ref="V115:V115">IFERROR(INDEX('Bank Schedule'!W:W, SMALL(IF('Bank Schedule'!$K$2:$K$817="Vacant", ROW('Bank Schedule'!$K$2:$K$817)), ROW(112:112))), "")</f>
        <v>14000</v>
      </c>
      <c r="W115" s="282" t="n">
        <f aca="false" t="array" ref="W115:W115">IFERROR(INDEX('Bank Schedule'!X:X, SMALL(IF('Bank Schedule'!$K$2:$K$817="Vacant", ROW('Bank Schedule'!$K$2:$K$817)), ROW(112:112))), "")</f>
        <v>57.8512396694215</v>
      </c>
      <c r="X115" s="11" t="str">
        <f aca="false" t="array" ref="X115:X115">IFERROR(INDEX('Bank Schedule'!Y:Y, SMALL(IF('Bank Schedule'!$K$2:$K$817="Vacant", ROW('Bank Schedule'!$K$2:$K$817)), ROW(112:112))), "")</f>
        <v>E</v>
      </c>
      <c r="Y115" s="11" t="str">
        <f aca="false">IFERROR(INDEX('Bank Schedule'!Z:Z, SMALL(IF('Bank Schedule'!$K$2:$K$817="Vacant", ROW('Bank Schedule'!$K$2:$K$817)), ROW(112:112))), "")</f>
        <v/>
      </c>
      <c r="Z115" s="11" t="str">
        <f aca="false">IFERROR(INDEX('Bank Schedule'!AA:AA, SMALL(IF('Bank Schedule'!$K$2:$K$817="Vacant", ROW('Bank Schedule'!$K$2:$K$817)), ROW(112:112))), "")</f>
        <v/>
      </c>
      <c r="AA115" s="11" t="str">
        <f aca="false" t="array" ref="AA115:AA115">IFERROR(INDEX('Bank Schedule'!AB:AB, SMALL(IF('Bank Schedule'!$K$2:$K$817="Vacant", ROW('Bank Schedule'!$K$2:$K$817)), ROW(112:112))), "")</f>
        <v>No</v>
      </c>
      <c r="AB115" s="94" t="str">
        <f aca="false" t="array" ref="AB115:AB115">IFERROR(INDEX('Bank Schedule'!AC:AC, SMALL(IF('Bank Schedule'!$K$2:$K$817="Vacant", ROW('Bank Schedule'!$K$2:$K$817)), ROW(112:112))), "")</f>
        <v>Mothballed.</v>
      </c>
      <c r="AC115" s="44" t="str">
        <f aca="false">IFERROR(INDEX('Bank Schedule'!AD:AD, SMALL(IF('Bank Schedule'!$K$2:$K$817="Vacant", ROW('Bank Schedule'!$K$2:$K$817)), ROW(112:112))), "")</f>
        <v/>
      </c>
      <c r="AD115" s="11" t="str">
        <f aca="false">IFERROR(INDEX('Bank Schedule'!AE:AE, SMALL(IF('Bank Schedule'!$K$2:$K$817="Vacant", ROW('Bank Schedule'!$K$2:$K$817)), ROW(112:112))), "")</f>
        <v/>
      </c>
      <c r="AE115" s="11" t="str">
        <f aca="false">IFERROR(INDEX('Bank Schedule'!AF:AF, SMALL(IF('Bank Schedule'!$K$2:$K$817="Vacant", ROW('Bank Schedule'!$K$2:$K$817)), ROW(112:112))), "")</f>
        <v/>
      </c>
      <c r="AF115" s="11" t="str">
        <f aca="false">IFERROR(INDEX('Bank Schedule'!AG:AG, SMALL(IF('Bank Schedule'!$K$2:$K$817="Vacant", ROW('Bank Schedule'!$K$2:$K$817)), ROW(112:112))), "")</f>
        <v/>
      </c>
      <c r="AG115" s="4"/>
    </row>
    <row r="116" customFormat="false" ht="28.5" hidden="false" customHeight="true" outlineLevel="0" collapsed="false">
      <c r="A116" s="28" t="str">
        <f aca="false">IFERROR(INDEX('Bank Schedule'!A:A, SMALL(IF('Bank Schedule'!$K$2:$K$817="Vacant", ROW('Bank Schedule'!$K$2:$K$817)), ROW(113:113))), "")</f>
        <v/>
      </c>
      <c r="B116" s="11" t="str">
        <f aca="false" t="array" ref="B116:B116">IFERROR(INDEX('Bank Schedule'!B:B, SMALL(IF('Bank Schedule'!$K$2:$K$817="Vacant", ROW('Bank Schedule'!$K$2:$K$817)), ROW(113:113))), "")</f>
        <v>WS</v>
      </c>
      <c r="C116" s="11" t="str">
        <f aca="false" t="array" ref="C116:C116">IFERROR(INDEX('Bank Schedule'!C:C, SMALL(IF('Bank Schedule'!$K$2:$K$817="Vacant", ROW('Bank Schedule'!$K$2:$K$817)), ROW(113:113))), "")</f>
        <v>OPG</v>
      </c>
      <c r="D116" s="11" t="n">
        <f aca="false" t="array" ref="D116:D116">IFERROR(INDEX('Bank Schedule'!D:D, SMALL(IF('Bank Schedule'!$K$2:$K$817="Vacant", ROW('Bank Schedule'!$K$2:$K$817)), ROW(113:113))), "")</f>
        <v>800600</v>
      </c>
      <c r="E116" s="94" t="str">
        <f aca="false" t="array" ref="E116:E116">IFERROR(INDEX('Bank Schedule'!E:E, SMALL(IF('Bank Schedule'!$K$2:$K$817="Vacant", ROW('Bank Schedule'!$K$2:$K$817)), ROW(113:113))), "")</f>
        <v>Welbeck House, 66/67 Wells Street</v>
      </c>
      <c r="F116" s="94" t="str">
        <f aca="false" t="array" ref="F116:F116">IFERROR(INDEX('Bank Schedule'!F:F, SMALL(IF('Bank Schedule'!$K$2:$K$817="Vacant", ROW('Bank Schedule'!$K$2:$K$817)), ROW(113:113))), "")</f>
        <v>Fourth Floor</v>
      </c>
      <c r="G116" s="94" t="str">
        <f aca="false" t="array" ref="G116:G116">IFERROR(INDEX('Bank Schedule'!G:G, SMALL(IF('Bank Schedule'!$K$2:$K$817="Vacant", ROW('Bank Schedule'!$K$2:$K$817)), ROW(113:113))), "")</f>
        <v>Offices</v>
      </c>
      <c r="H116" s="14" t="n">
        <f aca="false" t="array" ref="H116:H116">IFERROR(INDEX('Bank Schedule'!H:H, SMALL(IF('Bank Schedule'!$K$2:$K$817="Vacant", ROW('Bank Schedule'!$K$2:$K$817)), ROW(113:113))), "")</f>
        <v>834</v>
      </c>
      <c r="I116" s="14" t="n">
        <f aca="false" t="array" ref="I116:I116">IFERROR(INDEX('Bank Schedule'!I:I, SMALL(IF('Bank Schedule'!$K$2:$K$817="Vacant", ROW('Bank Schedule'!$K$2:$K$817)), ROW(113:113))), "")</f>
        <v>834</v>
      </c>
      <c r="J116" s="11" t="str">
        <f aca="false" t="array" ref="J116:J116">IFERROR(INDEX('Bank Schedule'!K:K, SMALL(IF('Bank Schedule'!$K$2:$K$817="Vacant", ROW('Bank Schedule'!$K$2:$K$817)), ROW(113:113))), "")</f>
        <v>Vacant</v>
      </c>
      <c r="K116" s="11" t="str">
        <f aca="false">IFERROR(INDEX('Bank Schedule'!L:L, SMALL(IF('Bank Schedule'!$K$2:$K$817="Vacant", ROW('Bank Schedule'!$K$2:$K$817)), ROW(113:113))), "")</f>
        <v/>
      </c>
      <c r="L116" s="11" t="str">
        <f aca="false">IFERROR(INDEX('Bank Schedule'!M:M, SMALL(IF('Bank Schedule'!$K$2:$K$817="Vacant", ROW('Bank Schedule'!$K$2:$K$817)), ROW(113:113))), "")</f>
        <v/>
      </c>
      <c r="M116" s="71" t="n">
        <f aca="false" t="array" ref="M116:M116">IFERROR(INDEX('Bank Schedule'!N:N, SMALL(IF('Bank Schedule'!$K$2:$K$817="Vacant", ROW('Bank Schedule'!$K$2:$K$817)), ROW(113:113))), "")</f>
        <v>43840</v>
      </c>
      <c r="N116" s="11" t="str">
        <f aca="false">IFERROR(INDEX('Bank Schedule'!O:O, SMALL(IF('Bank Schedule'!$K$2:$K$817="Vacant", ROW('Bank Schedule'!$K$2:$K$817)), ROW(113:113))), "")</f>
        <v/>
      </c>
      <c r="O116" s="11" t="str">
        <f aca="false">IFERROR(INDEX('Bank Schedule'!P:P, SMALL(IF('Bank Schedule'!$K$2:$K$817="Vacant", ROW('Bank Schedule'!$K$2:$K$817)), ROW(113:113))), "")</f>
        <v/>
      </c>
      <c r="P116" s="11" t="n">
        <f aca="false" t="array" ref="P116:P116">IFERROR(INDEX('Bank Schedule'!Q:Q, SMALL(IF('Bank Schedule'!$K$2:$K$817="Vacant", ROW('Bank Schedule'!$K$2:$K$817)), ROW(113:113))), "")</f>
        <v>0</v>
      </c>
      <c r="Q116" s="11" t="n">
        <f aca="false" t="array" ref="Q116:Q116">IFERROR(INDEX('Bank Schedule'!R:R, SMALL(IF('Bank Schedule'!$K$2:$K$817="Vacant", ROW('Bank Schedule'!$K$2:$K$817)), ROW(113:113))), "")</f>
        <v>0</v>
      </c>
      <c r="R116" s="11" t="str">
        <f aca="false">IFERROR(INDEX('Bank Schedule'!S:S, SMALL(IF('Bank Schedule'!$K$2:$K$817="Vacant", ROW('Bank Schedule'!$K$2:$K$817)), ROW(113:113))), "")</f>
        <v/>
      </c>
      <c r="S116" s="281" t="n">
        <f aca="false" t="array" ref="S116:S116">IFERROR(INDEX('Bank Schedule'!T:T, SMALL(IF('Bank Schedule'!$K$2:$K$817="Vacant", ROW('Bank Schedule'!$K$2:$K$817)), ROW(113:113))), "")</f>
        <v>43800</v>
      </c>
      <c r="T116" s="281" t="n">
        <f aca="false" t="array" ref="T116:T116">IFERROR(INDEX('Bank Schedule'!U:U, SMALL(IF('Bank Schedule'!$K$2:$K$817="Vacant", ROW('Bank Schedule'!$K$2:$K$817)), ROW(113:113))), "")</f>
        <v>43800</v>
      </c>
      <c r="U116" s="281" t="n">
        <f aca="false" t="array" ref="U116:U116">IFERROR(INDEX('Bank Schedule'!V:V, SMALL(IF('Bank Schedule'!$K$2:$K$817="Vacant", ROW('Bank Schedule'!$K$2:$K$817)), ROW(113:113))), "")</f>
        <v>43800</v>
      </c>
      <c r="V116" s="281" t="n">
        <f aca="false" t="array" ref="V116:V116">IFERROR(INDEX('Bank Schedule'!W:W, SMALL(IF('Bank Schedule'!$K$2:$K$817="Vacant", ROW('Bank Schedule'!$K$2:$K$817)), ROW(113:113))), "")</f>
        <v>43800</v>
      </c>
      <c r="W116" s="282" t="n">
        <f aca="false" t="array" ref="W116:W116">IFERROR(INDEX('Bank Schedule'!X:X, SMALL(IF('Bank Schedule'!$K$2:$K$817="Vacant", ROW('Bank Schedule'!$K$2:$K$817)), ROW(113:113))), "")</f>
        <v>52.5179856115108</v>
      </c>
      <c r="X116" s="11" t="str">
        <f aca="false" t="array" ref="X116:X116">IFERROR(INDEX('Bank Schedule'!Y:Y, SMALL(IF('Bank Schedule'!$K$2:$K$817="Vacant", ROW('Bank Schedule'!$K$2:$K$817)), ROW(113:113))), "")</f>
        <v>D</v>
      </c>
      <c r="Y116" s="11" t="str">
        <f aca="false">IFERROR(INDEX('Bank Schedule'!Z:Z, SMALL(IF('Bank Schedule'!$K$2:$K$817="Vacant", ROW('Bank Schedule'!$K$2:$K$817)), ROW(113:113))), "")</f>
        <v/>
      </c>
      <c r="Z116" s="11" t="str">
        <f aca="false">IFERROR(INDEX('Bank Schedule'!AA:AA, SMALL(IF('Bank Schedule'!$K$2:$K$817="Vacant", ROW('Bank Schedule'!$K$2:$K$817)), ROW(113:113))), "")</f>
        <v/>
      </c>
      <c r="AA116" s="11" t="str">
        <f aca="false" t="array" ref="AA116:AA116">IFERROR(INDEX('Bank Schedule'!AB:AB, SMALL(IF('Bank Schedule'!$K$2:$K$817="Vacant", ROW('Bank Schedule'!$K$2:$K$817)), ROW(113:113))), "")</f>
        <v>No</v>
      </c>
      <c r="AB116" s="94" t="str">
        <f aca="false" t="array" ref="AB116:AB116">IFERROR(INDEX('Bank Schedule'!AC:AC, SMALL(IF('Bank Schedule'!$K$2:$K$817="Vacant", ROW('Bank Schedule'!$K$2:$K$817)), ROW(113:113))), "")</f>
        <v>Mothballed.</v>
      </c>
      <c r="AC116" s="44" t="str">
        <f aca="false">IFERROR(INDEX('Bank Schedule'!AD:AD, SMALL(IF('Bank Schedule'!$K$2:$K$817="Vacant", ROW('Bank Schedule'!$K$2:$K$817)), ROW(113:113))), "")</f>
        <v/>
      </c>
      <c r="AD116" s="11" t="str">
        <f aca="false">IFERROR(INDEX('Bank Schedule'!AE:AE, SMALL(IF('Bank Schedule'!$K$2:$K$817="Vacant", ROW('Bank Schedule'!$K$2:$K$817)), ROW(113:113))), "")</f>
        <v/>
      </c>
      <c r="AE116" s="11" t="str">
        <f aca="false">IFERROR(INDEX('Bank Schedule'!AF:AF, SMALL(IF('Bank Schedule'!$K$2:$K$817="Vacant", ROW('Bank Schedule'!$K$2:$K$817)), ROW(113:113))), "")</f>
        <v/>
      </c>
      <c r="AF116" s="11" t="str">
        <f aca="false">IFERROR(INDEX('Bank Schedule'!AG:AG, SMALL(IF('Bank Schedule'!$K$2:$K$817="Vacant", ROW('Bank Schedule'!$K$2:$K$817)), ROW(113:113))), "")</f>
        <v/>
      </c>
      <c r="AG116" s="4"/>
    </row>
    <row r="117" customFormat="false" ht="28.5" hidden="false" customHeight="true" outlineLevel="0" collapsed="false">
      <c r="A117" s="28" t="str">
        <f aca="false">IFERROR(INDEX('Bank Schedule'!A:A, SMALL(IF('Bank Schedule'!$K$2:$K$817="Vacant", ROW('Bank Schedule'!$K$2:$K$817)), ROW(114:114))), "")</f>
        <v/>
      </c>
      <c r="B117" s="11" t="str">
        <f aca="false" t="array" ref="B117:B117">IFERROR(INDEX('Bank Schedule'!B:B, SMALL(IF('Bank Schedule'!$K$2:$K$817="Vacant", ROW('Bank Schedule'!$K$2:$K$817)), ROW(114:114))), "")</f>
        <v>CD</v>
      </c>
      <c r="C117" s="11" t="str">
        <f aca="false" t="array" ref="C117:C117">IFERROR(INDEX('Bank Schedule'!C:C, SMALL(IF('Bank Schedule'!$K$2:$K$817="Vacant", ROW('Bank Schedule'!$K$2:$K$817)), ROW(114:114))), "")</f>
        <v>PEL</v>
      </c>
      <c r="D117" s="11" t="n">
        <f aca="false" t="array" ref="D117:D117">IFERROR(INDEX('Bank Schedule'!D:D, SMALL(IF('Bank Schedule'!$K$2:$K$817="Vacant", ROW('Bank Schedule'!$K$2:$K$817)), ROW(114:114))), "")</f>
        <v>111010</v>
      </c>
      <c r="E117" s="94" t="str">
        <f aca="false" t="array" ref="E117:E117">IFERROR(INDEX('Bank Schedule'!E:E, SMALL(IF('Bank Schedule'!$K$2:$K$817="Vacant", ROW('Bank Schedule'!$K$2:$K$817)), ROW(114:114))), "")</f>
        <v>32-36 Great Portland Street</v>
      </c>
      <c r="F117" s="94" t="str">
        <f aca="false" t="array" ref="F117:F117">IFERROR(INDEX('Bank Schedule'!F:F, SMALL(IF('Bank Schedule'!$K$2:$K$817="Vacant", ROW('Bank Schedule'!$K$2:$K$817)), ROW(114:114))), "")</f>
        <v>First Floor</v>
      </c>
      <c r="G117" s="94" t="str">
        <f aca="false" t="array" ref="G117:G117">IFERROR(INDEX('Bank Schedule'!G:G, SMALL(IF('Bank Schedule'!$K$2:$K$817="Vacant", ROW('Bank Schedule'!$K$2:$K$817)), ROW(114:114))), "")</f>
        <v>Offices</v>
      </c>
      <c r="H117" s="14" t="n">
        <f aca="false" t="array" ref="H117:H117">IFERROR(INDEX('Bank Schedule'!H:H, SMALL(IF('Bank Schedule'!$K$2:$K$817="Vacant", ROW('Bank Schedule'!$K$2:$K$817)), ROW(114:114))), "")</f>
        <v>2279</v>
      </c>
      <c r="I117" s="14" t="n">
        <f aca="false" t="array" ref="I117:I117">IFERROR(INDEX('Bank Schedule'!I:I, SMALL(IF('Bank Schedule'!$K$2:$K$817="Vacant", ROW('Bank Schedule'!$K$2:$K$817)), ROW(114:114))), "")</f>
        <v>2279</v>
      </c>
      <c r="J117" s="11" t="str">
        <f aca="false" t="array" ref="J117:J117">IFERROR(INDEX('Bank Schedule'!K:K, SMALL(IF('Bank Schedule'!$K$2:$K$817="Vacant", ROW('Bank Schedule'!$K$2:$K$817)), ROW(114:114))), "")</f>
        <v>Vacant</v>
      </c>
      <c r="K117" s="11" t="str">
        <f aca="false">IFERROR(INDEX('Bank Schedule'!L:L, SMALL(IF('Bank Schedule'!$K$2:$K$817="Vacant", ROW('Bank Schedule'!$K$2:$K$817)), ROW(114:114))), "")</f>
        <v/>
      </c>
      <c r="L117" s="11" t="str">
        <f aca="false">IFERROR(INDEX('Bank Schedule'!M:M, SMALL(IF('Bank Schedule'!$K$2:$K$817="Vacant", ROW('Bank Schedule'!$K$2:$K$817)), ROW(114:114))), "")</f>
        <v/>
      </c>
      <c r="M117" s="71" t="n">
        <f aca="false" t="array" ref="M117:M117">IFERROR(INDEX('Bank Schedule'!N:N, SMALL(IF('Bank Schedule'!$K$2:$K$817="Vacant", ROW('Bank Schedule'!$K$2:$K$817)), ROW(114:114))), "")</f>
        <v>44577</v>
      </c>
      <c r="N117" s="11" t="str">
        <f aca="false">IFERROR(INDEX('Bank Schedule'!O:O, SMALL(IF('Bank Schedule'!$K$2:$K$817="Vacant", ROW('Bank Schedule'!$K$2:$K$817)), ROW(114:114))), "")</f>
        <v/>
      </c>
      <c r="O117" s="11" t="str">
        <f aca="false">IFERROR(INDEX('Bank Schedule'!P:P, SMALL(IF('Bank Schedule'!$K$2:$K$817="Vacant", ROW('Bank Schedule'!$K$2:$K$817)), ROW(114:114))), "")</f>
        <v/>
      </c>
      <c r="P117" s="11" t="n">
        <f aca="false" t="array" ref="P117:P117">IFERROR(INDEX('Bank Schedule'!Q:Q, SMALL(IF('Bank Schedule'!$K$2:$K$817="Vacant", ROW('Bank Schedule'!$K$2:$K$817)), ROW(114:114))), "")</f>
        <v>0</v>
      </c>
      <c r="Q117" s="11" t="n">
        <f aca="false" t="array" ref="Q117:Q117">IFERROR(INDEX('Bank Schedule'!R:R, SMALL(IF('Bank Schedule'!$K$2:$K$817="Vacant", ROW('Bank Schedule'!$K$2:$K$817)), ROW(114:114))), "")</f>
        <v>0</v>
      </c>
      <c r="R117" s="11" t="str">
        <f aca="false">IFERROR(INDEX('Bank Schedule'!S:S, SMALL(IF('Bank Schedule'!$K$2:$K$817="Vacant", ROW('Bank Schedule'!$K$2:$K$817)), ROW(114:114))), "")</f>
        <v/>
      </c>
      <c r="S117" s="281" t="str">
        <f aca="false">IFERROR(INDEX('Bank Schedule'!T:T, SMALL(IF('Bank Schedule'!$K$2:$K$817="Vacant", ROW('Bank Schedule'!$K$2:$K$817)), ROW(114:114))), "")</f>
        <v/>
      </c>
      <c r="T117" s="281" t="str">
        <f aca="false">IFERROR(INDEX('Bank Schedule'!U:U, SMALL(IF('Bank Schedule'!$K$2:$K$817="Vacant", ROW('Bank Schedule'!$K$2:$K$817)), ROW(114:114))), "")</f>
        <v/>
      </c>
      <c r="U117" s="281" t="n">
        <f aca="false" t="array" ref="U117:U117">IFERROR(INDEX('Bank Schedule'!V:V, SMALL(IF('Bank Schedule'!$K$2:$K$817="Vacant", ROW('Bank Schedule'!$K$2:$K$817)), ROW(114:114))), "")</f>
        <v>159500</v>
      </c>
      <c r="V117" s="281" t="n">
        <f aca="false" t="array" ref="V117:V117">IFERROR(INDEX('Bank Schedule'!W:W, SMALL(IF('Bank Schedule'!$K$2:$K$817="Vacant", ROW('Bank Schedule'!$K$2:$K$817)), ROW(114:114))), "")</f>
        <v>159500</v>
      </c>
      <c r="W117" s="282" t="n">
        <f aca="false" t="array" ref="W117:W117">IFERROR(INDEX('Bank Schedule'!X:X, SMALL(IF('Bank Schedule'!$K$2:$K$817="Vacant", ROW('Bank Schedule'!$K$2:$K$817)), ROW(114:114))), "")</f>
        <v>0</v>
      </c>
      <c r="X117" s="11" t="str">
        <f aca="false" t="array" ref="X117:X117">IFERROR(INDEX('Bank Schedule'!Y:Y, SMALL(IF('Bank Schedule'!$K$2:$K$817="Vacant", ROW('Bank Schedule'!$K$2:$K$817)), ROW(114:114))), "")</f>
        <v>C</v>
      </c>
      <c r="Y117" s="11" t="str">
        <f aca="false" t="array" ref="Y117:Y117">IFERROR(INDEX('Bank Schedule'!Z:Z, SMALL(IF('Bank Schedule'!$K$2:$K$817="Vacant", ROW('Bank Schedule'!$K$2:$K$817)), ROW(114:114))), "")</f>
        <v>*</v>
      </c>
      <c r="Z117" s="11" t="str">
        <f aca="false">IFERROR(INDEX('Bank Schedule'!AA:AA, SMALL(IF('Bank Schedule'!$K$2:$K$817="Vacant", ROW('Bank Schedule'!$K$2:$K$817)), ROW(114:114))), "")</f>
        <v/>
      </c>
      <c r="AA117" s="11" t="str">
        <f aca="false" t="array" ref="AA117:AA117">IFERROR(INDEX('Bank Schedule'!AB:AB, SMALL(IF('Bank Schedule'!$K$2:$K$817="Vacant", ROW('Bank Schedule'!$K$2:$K$817)), ROW(114:114))), "")</f>
        <v>No</v>
      </c>
      <c r="AB117" s="94" t="str">
        <f aca="false" t="array" ref="AB117:AB117">IFERROR(INDEX('Bank Schedule'!AC:AC, SMALL(IF('Bank Schedule'!$K$2:$K$817="Vacant", ROW('Bank Schedule'!$K$2:$K$817)), ROW(114:114))), "")</f>
        <v>LEM marketing.</v>
      </c>
      <c r="AC117" s="44" t="n">
        <f aca="false" t="array" ref="AC117:AC117">IFERROR(INDEX('Bank Schedule'!AD:AD, SMALL(IF('Bank Schedule'!$K$2:$K$817="Vacant", ROW('Bank Schedule'!$K$2:$K$817)), ROW(114:114))), "")</f>
        <v>75</v>
      </c>
      <c r="AD117" s="11" t="n">
        <f aca="false" t="array" ref="AD117:AD117">IFERROR(INDEX('Bank Schedule'!AE:AE, SMALL(IF('Bank Schedule'!$K$2:$K$817="Vacant", ROW('Bank Schedule'!$K$2:$K$817)), ROW(114:114))), "")</f>
        <v>1</v>
      </c>
      <c r="AE117" s="11" t="n">
        <f aca="false" t="array" ref="AE117:AE117">IFERROR(INDEX('Bank Schedule'!AF:AF, SMALL(IF('Bank Schedule'!$K$2:$K$817="Vacant", ROW('Bank Schedule'!$K$2:$K$817)), ROW(114:114))), "")</f>
        <v>1</v>
      </c>
      <c r="AF117" s="11" t="str">
        <f aca="false" t="array" ref="AF117:AF117">IFERROR(INDEX('Bank Schedule'!AG:AG, SMALL(IF('Bank Schedule'!$K$2:$K$817="Vacant", ROW('Bank Schedule'!$K$2:$K$817)), ROW(114:114))), "")</f>
        <v>LEM</v>
      </c>
      <c r="AG117" s="4"/>
    </row>
    <row r="118" customFormat="false" ht="28.5" hidden="false" customHeight="true" outlineLevel="0" collapsed="false">
      <c r="A118" s="28" t="str">
        <f aca="false">IFERROR(INDEX('Bank Schedule'!A:A, SMALL(IF('Bank Schedule'!$K$2:$K$817="Vacant", ROW('Bank Schedule'!$K$2:$K$817)), ROW(115:115))), "")</f>
        <v/>
      </c>
      <c r="B118" s="11" t="str">
        <f aca="false" t="array" ref="B118:B118">IFERROR(INDEX('Bank Schedule'!B:B, SMALL(IF('Bank Schedule'!$K$2:$K$817="Vacant", ROW('Bank Schedule'!$K$2:$K$817)), ROW(115:115))), "")</f>
        <v>CD</v>
      </c>
      <c r="C118" s="11" t="str">
        <f aca="false" t="array" ref="C118:C118">IFERROR(INDEX('Bank Schedule'!C:C, SMALL(IF('Bank Schedule'!$K$2:$K$817="Vacant", ROW('Bank Schedule'!$K$2:$K$817)), ROW(115:115))), "")</f>
        <v>PEL</v>
      </c>
      <c r="D118" s="11" t="n">
        <f aca="false" t="array" ref="D118:D118">IFERROR(INDEX('Bank Schedule'!D:D, SMALL(IF('Bank Schedule'!$K$2:$K$817="Vacant", ROW('Bank Schedule'!$K$2:$K$817)), ROW(115:115))), "")</f>
        <v>111010</v>
      </c>
      <c r="E118" s="94" t="str">
        <f aca="false" t="array" ref="E118:E118">IFERROR(INDEX('Bank Schedule'!E:E, SMALL(IF('Bank Schedule'!$K$2:$K$817="Vacant", ROW('Bank Schedule'!$K$2:$K$817)), ROW(115:115))), "")</f>
        <v>32-36 Great Portland Street</v>
      </c>
      <c r="F118" s="94" t="str">
        <f aca="false" t="array" ref="F118:F118">IFERROR(INDEX('Bank Schedule'!F:F, SMALL(IF('Bank Schedule'!$K$2:$K$817="Vacant", ROW('Bank Schedule'!$K$2:$K$817)), ROW(115:115))), "")</f>
        <v>Third Floor</v>
      </c>
      <c r="G118" s="94" t="str">
        <f aca="false" t="array" ref="G118:G118">IFERROR(INDEX('Bank Schedule'!G:G, SMALL(IF('Bank Schedule'!$K$2:$K$817="Vacant", ROW('Bank Schedule'!$K$2:$K$817)), ROW(115:115))), "")</f>
        <v>Offices</v>
      </c>
      <c r="H118" s="14" t="n">
        <f aca="false" t="array" ref="H118:H118">IFERROR(INDEX('Bank Schedule'!H:H, SMALL(IF('Bank Schedule'!$K$2:$K$817="Vacant", ROW('Bank Schedule'!$K$2:$K$817)), ROW(115:115))), "")</f>
        <v>1641</v>
      </c>
      <c r="I118" s="14" t="n">
        <f aca="false" t="array" ref="I118:I118">IFERROR(INDEX('Bank Schedule'!I:I, SMALL(IF('Bank Schedule'!$K$2:$K$817="Vacant", ROW('Bank Schedule'!$K$2:$K$817)), ROW(115:115))), "")</f>
        <v>1641</v>
      </c>
      <c r="J118" s="11" t="str">
        <f aca="false" t="array" ref="J118:J118">IFERROR(INDEX('Bank Schedule'!K:K, SMALL(IF('Bank Schedule'!$K$2:$K$817="Vacant", ROW('Bank Schedule'!$K$2:$K$817)), ROW(115:115))), "")</f>
        <v>Vacant</v>
      </c>
      <c r="K118" s="11" t="str">
        <f aca="false">IFERROR(INDEX('Bank Schedule'!L:L, SMALL(IF('Bank Schedule'!$K$2:$K$817="Vacant", ROW('Bank Schedule'!$K$2:$K$817)), ROW(115:115))), "")</f>
        <v/>
      </c>
      <c r="L118" s="11" t="str">
        <f aca="false">IFERROR(INDEX('Bank Schedule'!M:M, SMALL(IF('Bank Schedule'!$K$2:$K$817="Vacant", ROW('Bank Schedule'!$K$2:$K$817)), ROW(115:115))), "")</f>
        <v/>
      </c>
      <c r="M118" s="71" t="n">
        <f aca="false" t="array" ref="M118:M118">IFERROR(INDEX('Bank Schedule'!N:N, SMALL(IF('Bank Schedule'!$K$2:$K$817="Vacant", ROW('Bank Schedule'!$K$2:$K$817)), ROW(115:115))), "")</f>
        <v>44603</v>
      </c>
      <c r="N118" s="11" t="str">
        <f aca="false">IFERROR(INDEX('Bank Schedule'!O:O, SMALL(IF('Bank Schedule'!$K$2:$K$817="Vacant", ROW('Bank Schedule'!$K$2:$K$817)), ROW(115:115))), "")</f>
        <v/>
      </c>
      <c r="O118" s="11" t="str">
        <f aca="false">IFERROR(INDEX('Bank Schedule'!P:P, SMALL(IF('Bank Schedule'!$K$2:$K$817="Vacant", ROW('Bank Schedule'!$K$2:$K$817)), ROW(115:115))), "")</f>
        <v/>
      </c>
      <c r="P118" s="11" t="n">
        <f aca="false" t="array" ref="P118:P118">IFERROR(INDEX('Bank Schedule'!Q:Q, SMALL(IF('Bank Schedule'!$K$2:$K$817="Vacant", ROW('Bank Schedule'!$K$2:$K$817)), ROW(115:115))), "")</f>
        <v>0</v>
      </c>
      <c r="Q118" s="11" t="n">
        <f aca="false" t="array" ref="Q118:Q118">IFERROR(INDEX('Bank Schedule'!R:R, SMALL(IF('Bank Schedule'!$K$2:$K$817="Vacant", ROW('Bank Schedule'!$K$2:$K$817)), ROW(115:115))), "")</f>
        <v>0</v>
      </c>
      <c r="R118" s="11" t="str">
        <f aca="false">IFERROR(INDEX('Bank Schedule'!S:S, SMALL(IF('Bank Schedule'!$K$2:$K$817="Vacant", ROW('Bank Schedule'!$K$2:$K$817)), ROW(115:115))), "")</f>
        <v/>
      </c>
      <c r="S118" s="281" t="n">
        <f aca="false" t="array" ref="S118:S118">IFERROR(INDEX('Bank Schedule'!T:T, SMALL(IF('Bank Schedule'!$K$2:$K$817="Vacant", ROW('Bank Schedule'!$K$2:$K$817)), ROW(115:115))), "")</f>
        <v>120000</v>
      </c>
      <c r="T118" s="281" t="n">
        <f aca="false" t="array" ref="T118:T118">IFERROR(INDEX('Bank Schedule'!U:U, SMALL(IF('Bank Schedule'!$K$2:$K$817="Vacant", ROW('Bank Schedule'!$K$2:$K$817)), ROW(115:115))), "")</f>
        <v>120000</v>
      </c>
      <c r="U118" s="281" t="n">
        <f aca="false" t="array" ref="U118:U118">IFERROR(INDEX('Bank Schedule'!V:V, SMALL(IF('Bank Schedule'!$K$2:$K$817="Vacant", ROW('Bank Schedule'!$K$2:$K$817)), ROW(115:115))), "")</f>
        <v>114900</v>
      </c>
      <c r="V118" s="281" t="n">
        <f aca="false" t="array" ref="V118:V118">IFERROR(INDEX('Bank Schedule'!W:W, SMALL(IF('Bank Schedule'!$K$2:$K$817="Vacant", ROW('Bank Schedule'!$K$2:$K$817)), ROW(115:115))), "")</f>
        <v>114900</v>
      </c>
      <c r="W118" s="282" t="n">
        <f aca="false" t="array" ref="W118:W118">IFERROR(INDEX('Bank Schedule'!X:X, SMALL(IF('Bank Schedule'!$K$2:$K$817="Vacant", ROW('Bank Schedule'!$K$2:$K$817)), ROW(115:115))), "")</f>
        <v>73.1261425959781</v>
      </c>
      <c r="X118" s="11" t="str">
        <f aca="false" t="array" ref="X118:X118">IFERROR(INDEX('Bank Schedule'!Y:Y, SMALL(IF('Bank Schedule'!$K$2:$K$817="Vacant", ROW('Bank Schedule'!$K$2:$K$817)), ROW(115:115))), "")</f>
        <v>C</v>
      </c>
      <c r="Y118" s="11" t="str">
        <f aca="false" t="array" ref="Y118:Y118">IFERROR(INDEX('Bank Schedule'!Z:Z, SMALL(IF('Bank Schedule'!$K$2:$K$817="Vacant", ROW('Bank Schedule'!$K$2:$K$817)), ROW(115:115))), "")</f>
        <v>*</v>
      </c>
      <c r="Z118" s="11" t="str">
        <f aca="false">IFERROR(INDEX('Bank Schedule'!AA:AA, SMALL(IF('Bank Schedule'!$K$2:$K$817="Vacant", ROW('Bank Schedule'!$K$2:$K$817)), ROW(115:115))), "")</f>
        <v/>
      </c>
      <c r="AA118" s="11" t="str">
        <f aca="false" t="array" ref="AA118:AA118">IFERROR(INDEX('Bank Schedule'!AB:AB, SMALL(IF('Bank Schedule'!$K$2:$K$817="Vacant", ROW('Bank Schedule'!$K$2:$K$817)), ROW(115:115))), "")</f>
        <v>No</v>
      </c>
      <c r="AB118" s="94" t="str">
        <f aca="false" t="array" ref="AB118:AB118">IFERROR(INDEX('Bank Schedule'!AC:AC, SMALL(IF('Bank Schedule'!$K$2:$K$817="Vacant", ROW('Bank Schedule'!$K$2:$K$817)), ROW(115:115))), "")</f>
        <v>LEM marketing.</v>
      </c>
      <c r="AC118" s="44" t="n">
        <f aca="false" t="array" ref="AC118:AC118">IFERROR(INDEX('Bank Schedule'!AD:AD, SMALL(IF('Bank Schedule'!$K$2:$K$817="Vacant", ROW('Bank Schedule'!$K$2:$K$817)), ROW(115:115))), "")</f>
        <v>75</v>
      </c>
      <c r="AD118" s="11" t="n">
        <f aca="false" t="array" ref="AD118:AD118">IFERROR(INDEX('Bank Schedule'!AE:AE, SMALL(IF('Bank Schedule'!$K$2:$K$817="Vacant", ROW('Bank Schedule'!$K$2:$K$817)), ROW(115:115))), "")</f>
        <v>1</v>
      </c>
      <c r="AE118" s="11" t="n">
        <f aca="false" t="array" ref="AE118:AE118">IFERROR(INDEX('Bank Schedule'!AF:AF, SMALL(IF('Bank Schedule'!$K$2:$K$817="Vacant", ROW('Bank Schedule'!$K$2:$K$817)), ROW(115:115))), "")</f>
        <v>1</v>
      </c>
      <c r="AF118" s="11" t="str">
        <f aca="false" t="array" ref="AF118:AF118">IFERROR(INDEX('Bank Schedule'!AG:AG, SMALL(IF('Bank Schedule'!$K$2:$K$817="Vacant", ROW('Bank Schedule'!$K$2:$K$817)), ROW(115:115))), "")</f>
        <v>LEM</v>
      </c>
      <c r="AG118" s="4"/>
    </row>
    <row r="119" customFormat="false" ht="28.5" hidden="false" customHeight="true" outlineLevel="0" collapsed="false">
      <c r="A119" s="28" t="str">
        <f aca="false">IFERROR(INDEX('Bank Schedule'!A:A, SMALL(IF('Bank Schedule'!$K$2:$K$817="Vacant", ROW('Bank Schedule'!$K$2:$K$817)), ROW(116:116))), "")</f>
        <v/>
      </c>
      <c r="B119" s="11" t="str">
        <f aca="false" t="array" ref="B119:B119">IFERROR(INDEX('Bank Schedule'!B:B, SMALL(IF('Bank Schedule'!$K$2:$K$817="Vacant", ROW('Bank Schedule'!$K$2:$K$817)), ROW(116:116))), "")</f>
        <v>CD</v>
      </c>
      <c r="C119" s="11" t="str">
        <f aca="false" t="array" ref="C119:C119">IFERROR(INDEX('Bank Schedule'!C:C, SMALL(IF('Bank Schedule'!$K$2:$K$817="Vacant", ROW('Bank Schedule'!$K$2:$K$817)), ROW(116:116))), "")</f>
        <v>PEL</v>
      </c>
      <c r="D119" s="11" t="n">
        <f aca="false" t="array" ref="D119:D119">IFERROR(INDEX('Bank Schedule'!D:D, SMALL(IF('Bank Schedule'!$K$2:$K$817="Vacant", ROW('Bank Schedule'!$K$2:$K$817)), ROW(116:116))), "")</f>
        <v>111010</v>
      </c>
      <c r="E119" s="94" t="str">
        <f aca="false" t="array" ref="E119:E119">IFERROR(INDEX('Bank Schedule'!E:E, SMALL(IF('Bank Schedule'!$K$2:$K$817="Vacant", ROW('Bank Schedule'!$K$2:$K$817)), ROW(116:116))), "")</f>
        <v>32-36 Great Portland Street</v>
      </c>
      <c r="F119" s="94" t="str">
        <f aca="false" t="array" ref="F119:F119">IFERROR(INDEX('Bank Schedule'!F:F, SMALL(IF('Bank Schedule'!$K$2:$K$817="Vacant", ROW('Bank Schedule'!$K$2:$K$817)), ROW(116:116))), "")</f>
        <v>Fourth Floor </v>
      </c>
      <c r="G119" s="94" t="str">
        <f aca="false" t="array" ref="G119:G119">IFERROR(INDEX('Bank Schedule'!G:G, SMALL(IF('Bank Schedule'!$K$2:$K$817="Vacant", ROW('Bank Schedule'!$K$2:$K$817)), ROW(116:116))), "")</f>
        <v>Offices</v>
      </c>
      <c r="H119" s="14" t="n">
        <f aca="false" t="array" ref="H119:H119">IFERROR(INDEX('Bank Schedule'!H:H, SMALL(IF('Bank Schedule'!$K$2:$K$817="Vacant", ROW('Bank Schedule'!$K$2:$K$817)), ROW(116:116))), "")</f>
        <v>1636</v>
      </c>
      <c r="I119" s="14" t="n">
        <f aca="false" t="array" ref="I119:I119">IFERROR(INDEX('Bank Schedule'!I:I, SMALL(IF('Bank Schedule'!$K$2:$K$817="Vacant", ROW('Bank Schedule'!$K$2:$K$817)), ROW(116:116))), "")</f>
        <v>1636</v>
      </c>
      <c r="J119" s="11" t="str">
        <f aca="false" t="array" ref="J119:J119">IFERROR(INDEX('Bank Schedule'!K:K, SMALL(IF('Bank Schedule'!$K$2:$K$817="Vacant", ROW('Bank Schedule'!$K$2:$K$817)), ROW(116:116))), "")</f>
        <v>Vacant</v>
      </c>
      <c r="K119" s="11" t="str">
        <f aca="false">IFERROR(INDEX('Bank Schedule'!L:L, SMALL(IF('Bank Schedule'!$K$2:$K$817="Vacant", ROW('Bank Schedule'!$K$2:$K$817)), ROW(116:116))), "")</f>
        <v/>
      </c>
      <c r="L119" s="11" t="str">
        <f aca="false">IFERROR(INDEX('Bank Schedule'!M:M, SMALL(IF('Bank Schedule'!$K$2:$K$817="Vacant", ROW('Bank Schedule'!$K$2:$K$817)), ROW(116:116))), "")</f>
        <v/>
      </c>
      <c r="M119" s="71" t="n">
        <f aca="false" t="array" ref="M119:M119">IFERROR(INDEX('Bank Schedule'!N:N, SMALL(IF('Bank Schedule'!$K$2:$K$817="Vacant", ROW('Bank Schedule'!$K$2:$K$817)), ROW(116:116))), "")</f>
        <v>45579</v>
      </c>
      <c r="N119" s="11" t="str">
        <f aca="false">IFERROR(INDEX('Bank Schedule'!O:O, SMALL(IF('Bank Schedule'!$K$2:$K$817="Vacant", ROW('Bank Schedule'!$K$2:$K$817)), ROW(116:116))), "")</f>
        <v/>
      </c>
      <c r="O119" s="11" t="str">
        <f aca="false">IFERROR(INDEX('Bank Schedule'!P:P, SMALL(IF('Bank Schedule'!$K$2:$K$817="Vacant", ROW('Bank Schedule'!$K$2:$K$817)), ROW(116:116))), "")</f>
        <v/>
      </c>
      <c r="P119" s="11" t="n">
        <f aca="false" t="array" ref="P119:P119">IFERROR(INDEX('Bank Schedule'!Q:Q, SMALL(IF('Bank Schedule'!$K$2:$K$817="Vacant", ROW('Bank Schedule'!$K$2:$K$817)), ROW(116:116))), "")</f>
        <v>0</v>
      </c>
      <c r="Q119" s="11" t="n">
        <f aca="false" t="array" ref="Q119:Q119">IFERROR(INDEX('Bank Schedule'!R:R, SMALL(IF('Bank Schedule'!$K$2:$K$817="Vacant", ROW('Bank Schedule'!$K$2:$K$817)), ROW(116:116))), "")</f>
        <v>0</v>
      </c>
      <c r="R119" s="11" t="str">
        <f aca="false">IFERROR(INDEX('Bank Schedule'!S:S, SMALL(IF('Bank Schedule'!$K$2:$K$817="Vacant", ROW('Bank Schedule'!$K$2:$K$817)), ROW(116:116))), "")</f>
        <v/>
      </c>
      <c r="S119" s="281" t="n">
        <f aca="false" t="array" ref="S119:S119">IFERROR(INDEX('Bank Schedule'!T:T, SMALL(IF('Bank Schedule'!$K$2:$K$817="Vacant", ROW('Bank Schedule'!$K$2:$K$817)), ROW(116:116))), "")</f>
        <v>103900</v>
      </c>
      <c r="T119" s="281" t="n">
        <f aca="false" t="array" ref="T119:T119">IFERROR(INDEX('Bank Schedule'!U:U, SMALL(IF('Bank Schedule'!$K$2:$K$817="Vacant", ROW('Bank Schedule'!$K$2:$K$817)), ROW(116:116))), "")</f>
        <v>103900</v>
      </c>
      <c r="U119" s="281" t="n">
        <f aca="false" t="array" ref="U119:U119">IFERROR(INDEX('Bank Schedule'!V:V, SMALL(IF('Bank Schedule'!$K$2:$K$817="Vacant", ROW('Bank Schedule'!$K$2:$K$817)), ROW(116:116))), "")</f>
        <v>118600</v>
      </c>
      <c r="V119" s="281" t="n">
        <f aca="false" t="array" ref="V119:V119">IFERROR(INDEX('Bank Schedule'!W:W, SMALL(IF('Bank Schedule'!$K$2:$K$817="Vacant", ROW('Bank Schedule'!$K$2:$K$817)), ROW(116:116))), "")</f>
        <v>118600</v>
      </c>
      <c r="W119" s="282" t="n">
        <f aca="false" t="array" ref="W119:W119">IFERROR(INDEX('Bank Schedule'!X:X, SMALL(IF('Bank Schedule'!$K$2:$K$817="Vacant", ROW('Bank Schedule'!$K$2:$K$817)), ROW(116:116))), "")</f>
        <v>63.5085574572127</v>
      </c>
      <c r="X119" s="11" t="str">
        <f aca="false" t="array" ref="X119:X119">IFERROR(INDEX('Bank Schedule'!Y:Y, SMALL(IF('Bank Schedule'!$K$2:$K$817="Vacant", ROW('Bank Schedule'!$K$2:$K$817)), ROW(116:116))), "")</f>
        <v>B</v>
      </c>
      <c r="Y119" s="11" t="str">
        <f aca="false" t="array" ref="Y119:Y119">IFERROR(INDEX('Bank Schedule'!Z:Z, SMALL(IF('Bank Schedule'!$K$2:$K$817="Vacant", ROW('Bank Schedule'!$K$2:$K$817)), ROW(116:116))), "")</f>
        <v>*</v>
      </c>
      <c r="Z119" s="11" t="str">
        <f aca="false">IFERROR(INDEX('Bank Schedule'!AA:AA, SMALL(IF('Bank Schedule'!$K$2:$K$817="Vacant", ROW('Bank Schedule'!$K$2:$K$817)), ROW(116:116))), "")</f>
        <v/>
      </c>
      <c r="AA119" s="11" t="str">
        <f aca="false" t="array" ref="AA119:AA119">IFERROR(INDEX('Bank Schedule'!AB:AB, SMALL(IF('Bank Schedule'!$K$2:$K$817="Vacant", ROW('Bank Schedule'!$K$2:$K$817)), ROW(116:116))), "")</f>
        <v>No</v>
      </c>
      <c r="AB119" s="94" t="str">
        <f aca="false" t="array" ref="AB119:AB119">IFERROR(INDEX('Bank Schedule'!AC:AC, SMALL(IF('Bank Schedule'!$K$2:$K$817="Vacant", ROW('Bank Schedule'!$K$2:$K$817)), ROW(116:116))), "")</f>
        <v>LEM marketing.</v>
      </c>
      <c r="AC119" s="44" t="n">
        <f aca="false" t="array" ref="AC119:AC119">IFERROR(INDEX('Bank Schedule'!AD:AD, SMALL(IF('Bank Schedule'!$K$2:$K$817="Vacant", ROW('Bank Schedule'!$K$2:$K$817)), ROW(116:116))), "")</f>
        <v>75</v>
      </c>
      <c r="AD119" s="11" t="n">
        <f aca="false" t="array" ref="AD119:AD119">IFERROR(INDEX('Bank Schedule'!AE:AE, SMALL(IF('Bank Schedule'!$K$2:$K$817="Vacant", ROW('Bank Schedule'!$K$2:$K$817)), ROW(116:116))), "")</f>
        <v>1</v>
      </c>
      <c r="AE119" s="11" t="n">
        <f aca="false" t="array" ref="AE119:AE119">IFERROR(INDEX('Bank Schedule'!AF:AF, SMALL(IF('Bank Schedule'!$K$2:$K$817="Vacant", ROW('Bank Schedule'!$K$2:$K$817)), ROW(116:116))), "")</f>
        <v>1</v>
      </c>
      <c r="AF119" s="11" t="str">
        <f aca="false" t="array" ref="AF119:AF119">IFERROR(INDEX('Bank Schedule'!AG:AG, SMALL(IF('Bank Schedule'!$K$2:$K$817="Vacant", ROW('Bank Schedule'!$K$2:$K$817)), ROW(116:116))), "")</f>
        <v>LEM / LDG</v>
      </c>
      <c r="AG119" s="4"/>
    </row>
    <row r="120" customFormat="false" ht="28.5" hidden="false" customHeight="true" outlineLevel="0" collapsed="false">
      <c r="A120" s="28" t="str">
        <f aca="false">IFERROR(INDEX('Bank Schedule'!A:A, SMALL(IF('Bank Schedule'!$K$2:$K$817="Vacant", ROW('Bank Schedule'!$K$2:$K$817)), ROW(117:117))), "")</f>
        <v/>
      </c>
      <c r="B120" s="11" t="str">
        <f aca="false" t="array" ref="B120:B120">IFERROR(INDEX('Bank Schedule'!B:B, SMALL(IF('Bank Schedule'!$K$2:$K$817="Vacant", ROW('Bank Schedule'!$K$2:$K$817)), ROW(117:117))), "")</f>
        <v>CD</v>
      </c>
      <c r="C120" s="11" t="str">
        <f aca="false" t="array" ref="C120:C120">IFERROR(INDEX('Bank Schedule'!C:C, SMALL(IF('Bank Schedule'!$K$2:$K$817="Vacant", ROW('Bank Schedule'!$K$2:$K$817)), ROW(117:117))), "")</f>
        <v>OOS</v>
      </c>
      <c r="D120" s="11" t="n">
        <f aca="false" t="array" ref="D120:D120">IFERROR(INDEX('Bank Schedule'!D:D, SMALL(IF('Bank Schedule'!$K$2:$K$817="Vacant", ROW('Bank Schedule'!$K$2:$K$817)), ROW(117:117))), "")</f>
        <v>888010</v>
      </c>
      <c r="E120" s="94" t="str">
        <f aca="false" t="array" ref="E120:E120">IFERROR(INDEX('Bank Schedule'!E:E, SMALL(IF('Bank Schedule'!$K$2:$K$817="Vacant", ROW('Bank Schedule'!$K$2:$K$817)), ROW(117:117))), "")</f>
        <v>184-190 Oxford Street &amp; 28/30 Market Place</v>
      </c>
      <c r="F120" s="94" t="str">
        <f aca="false" t="array" ref="F120:F120">IFERROR(INDEX('Bank Schedule'!F:F, SMALL(IF('Bank Schedule'!$K$2:$K$817="Vacant", ROW('Bank Schedule'!$K$2:$K$817)), ROW(117:117))), "")</f>
        <v>3rd Floor, 30 Market Place</v>
      </c>
      <c r="G120" s="94" t="str">
        <f aca="false" t="array" ref="G120:G120">IFERROR(INDEX('Bank Schedule'!G:G, SMALL(IF('Bank Schedule'!$K$2:$K$817="Vacant", ROW('Bank Schedule'!$K$2:$K$817)), ROW(117:117))), "")</f>
        <v>Office</v>
      </c>
      <c r="H120" s="14" t="n">
        <f aca="false" t="array" ref="H120:H120">IFERROR(INDEX('Bank Schedule'!H:H, SMALL(IF('Bank Schedule'!$K$2:$K$817="Vacant", ROW('Bank Schedule'!$K$2:$K$817)), ROW(117:117))), "")</f>
        <v>4462</v>
      </c>
      <c r="I120" s="14" t="n">
        <f aca="false" t="array" ref="I120:I120">IFERROR(INDEX('Bank Schedule'!I:I, SMALL(IF('Bank Schedule'!$K$2:$K$817="Vacant", ROW('Bank Schedule'!$K$2:$K$817)), ROW(117:117))), "")</f>
        <v>4462</v>
      </c>
      <c r="J120" s="11" t="str">
        <f aca="false" t="array" ref="J120:J120">IFERROR(INDEX('Bank Schedule'!K:K, SMALL(IF('Bank Schedule'!$K$2:$K$817="Vacant", ROW('Bank Schedule'!$K$2:$K$817)), ROW(117:117))), "")</f>
        <v>Vacant</v>
      </c>
      <c r="K120" s="11" t="str">
        <f aca="false">IFERROR(INDEX('Bank Schedule'!L:L, SMALL(IF('Bank Schedule'!$K$2:$K$817="Vacant", ROW('Bank Schedule'!$K$2:$K$817)), ROW(117:117))), "")</f>
        <v/>
      </c>
      <c r="L120" s="11" t="str">
        <f aca="false">IFERROR(INDEX('Bank Schedule'!M:M, SMALL(IF('Bank Schedule'!$K$2:$K$817="Vacant", ROW('Bank Schedule'!$K$2:$K$817)), ROW(117:117))), "")</f>
        <v/>
      </c>
      <c r="M120" s="71" t="n">
        <f aca="false" t="array" ref="M120:M120">IFERROR(INDEX('Bank Schedule'!N:N, SMALL(IF('Bank Schedule'!$K$2:$K$817="Vacant", ROW('Bank Schedule'!$K$2:$K$817)), ROW(117:117))), "")</f>
        <v>45490</v>
      </c>
      <c r="N120" s="11" t="str">
        <f aca="false">IFERROR(INDEX('Bank Schedule'!O:O, SMALL(IF('Bank Schedule'!$K$2:$K$817="Vacant", ROW('Bank Schedule'!$K$2:$K$817)), ROW(117:117))), "")</f>
        <v/>
      </c>
      <c r="O120" s="11" t="str">
        <f aca="false">IFERROR(INDEX('Bank Schedule'!P:P, SMALL(IF('Bank Schedule'!$K$2:$K$817="Vacant", ROW('Bank Schedule'!$K$2:$K$817)), ROW(117:117))), "")</f>
        <v/>
      </c>
      <c r="P120" s="11" t="n">
        <f aca="false" t="array" ref="P120:P120">IFERROR(INDEX('Bank Schedule'!Q:Q, SMALL(IF('Bank Schedule'!$K$2:$K$817="Vacant", ROW('Bank Schedule'!$K$2:$K$817)), ROW(117:117))), "")</f>
        <v>0</v>
      </c>
      <c r="Q120" s="11" t="n">
        <f aca="false" t="array" ref="Q120:Q120">IFERROR(INDEX('Bank Schedule'!R:R, SMALL(IF('Bank Schedule'!$K$2:$K$817="Vacant", ROW('Bank Schedule'!$K$2:$K$817)), ROW(117:117))), "")</f>
        <v>0</v>
      </c>
      <c r="R120" s="11" t="str">
        <f aca="false">IFERROR(INDEX('Bank Schedule'!S:S, SMALL(IF('Bank Schedule'!$K$2:$K$817="Vacant", ROW('Bank Schedule'!$K$2:$K$817)), ROW(117:117))), "")</f>
        <v/>
      </c>
      <c r="S120" s="281" t="n">
        <f aca="false" t="array" ref="S120:S120">IFERROR(INDEX('Bank Schedule'!T:T, SMALL(IF('Bank Schedule'!$K$2:$K$817="Vacant", ROW('Bank Schedule'!$K$2:$K$817)), ROW(117:117))), "")</f>
        <v>357800</v>
      </c>
      <c r="T120" s="281" t="n">
        <f aca="false" t="array" ref="T120:T120">IFERROR(INDEX('Bank Schedule'!U:U, SMALL(IF('Bank Schedule'!$K$2:$K$817="Vacant", ROW('Bank Schedule'!$K$2:$K$817)), ROW(117:117))), "")</f>
        <v>357800</v>
      </c>
      <c r="U120" s="281" t="n">
        <f aca="false" t="array" ref="U120:U120">IFERROR(INDEX('Bank Schedule'!V:V, SMALL(IF('Bank Schedule'!$K$2:$K$817="Vacant", ROW('Bank Schedule'!$K$2:$K$817)), ROW(117:117))), "")</f>
        <v>379000</v>
      </c>
      <c r="V120" s="281" t="n">
        <f aca="false" t="array" ref="V120:V120">IFERROR(INDEX('Bank Schedule'!W:W, SMALL(IF('Bank Schedule'!$K$2:$K$817="Vacant", ROW('Bank Schedule'!$K$2:$K$817)), ROW(117:117))), "")</f>
        <v>379000</v>
      </c>
      <c r="W120" s="282" t="n">
        <f aca="false" t="array" ref="W120:W120">IFERROR(INDEX('Bank Schedule'!X:X, SMALL(IF('Bank Schedule'!$K$2:$K$817="Vacant", ROW('Bank Schedule'!$K$2:$K$817)), ROW(117:117))), "")</f>
        <v>80.1882563872703</v>
      </c>
      <c r="X120" s="11" t="str">
        <f aca="false" t="array" ref="X120:X120">IFERROR(INDEX('Bank Schedule'!Y:Y, SMALL(IF('Bank Schedule'!$K$2:$K$817="Vacant", ROW('Bank Schedule'!$K$2:$K$817)), ROW(117:117))), "")</f>
        <v>A</v>
      </c>
      <c r="Y120" s="11" t="str">
        <f aca="false">IFERROR(INDEX('Bank Schedule'!Z:Z, SMALL(IF('Bank Schedule'!$K$2:$K$817="Vacant", ROW('Bank Schedule'!$K$2:$K$817)), ROW(117:117))), "")</f>
        <v/>
      </c>
      <c r="Z120" s="11" t="str">
        <f aca="false">IFERROR(INDEX('Bank Schedule'!AA:AA, SMALL(IF('Bank Schedule'!$K$2:$K$817="Vacant", ROW('Bank Schedule'!$K$2:$K$817)), ROW(117:117))), "")</f>
        <v/>
      </c>
      <c r="AA120" s="11" t="str">
        <f aca="false">IFERROR(INDEX('Bank Schedule'!AB:AB, SMALL(IF('Bank Schedule'!$K$2:$K$817="Vacant", ROW('Bank Schedule'!$K$2:$K$817)), ROW(117:117))), "")</f>
        <v/>
      </c>
      <c r="AB120" s="94" t="str">
        <f aca="false" t="array" ref="AB120:AB120">IFERROR(INDEX('Bank Schedule'!AC:AC, SMALL(IF('Bank Schedule'!$K$2:$K$817="Vacant", ROW('Bank Schedule'!$K$2:$K$817)), ROW(117:117))), "")</f>
        <v>LEM marketing.</v>
      </c>
      <c r="AC120" s="44" t="n">
        <f aca="false" t="array" ref="AC120:AC120">IFERROR(INDEX('Bank Schedule'!AD:AD, SMALL(IF('Bank Schedule'!$K$2:$K$817="Vacant", ROW('Bank Schedule'!$K$2:$K$817)), ROW(117:117))), "")</f>
        <v>85</v>
      </c>
      <c r="AD120" s="11" t="n">
        <f aca="false" t="array" ref="AD120:AD120">IFERROR(INDEX('Bank Schedule'!AE:AE, SMALL(IF('Bank Schedule'!$K$2:$K$817="Vacant", ROW('Bank Schedule'!$K$2:$K$817)), ROW(117:117))), "")</f>
        <v>1</v>
      </c>
      <c r="AE120" s="11" t="n">
        <f aca="false" t="array" ref="AE120:AE120">IFERROR(INDEX('Bank Schedule'!AF:AF, SMALL(IF('Bank Schedule'!$K$2:$K$817="Vacant", ROW('Bank Schedule'!$K$2:$K$817)), ROW(117:117))), "")</f>
        <v>4</v>
      </c>
      <c r="AF120" s="11" t="str">
        <f aca="false" t="array" ref="AF120:AF120">IFERROR(INDEX('Bank Schedule'!AG:AG, SMALL(IF('Bank Schedule'!$K$2:$K$817="Vacant", ROW('Bank Schedule'!$K$2:$K$817)), ROW(117:117))), "")</f>
        <v>LEM / EC&amp;P</v>
      </c>
      <c r="AG120" s="4"/>
    </row>
    <row r="121" customFormat="false" ht="28.5" hidden="false" customHeight="true" outlineLevel="0" collapsed="false">
      <c r="A121" s="28" t="str">
        <f aca="false" t="array" ref="A121:A121">IFERROR(INDEX('Bank Schedule'!A:A, SMALL(IF('Bank Schedule'!$K$2:$K$817="Vacant", ROW('Bank Schedule'!$K$2:$K$817)), ROW(118:118))), "")</f>
        <v/>
      </c>
      <c r="B121" s="11" t="str">
        <f aca="false" t="array" ref="B121:B121">IFERROR(INDEX('Bank Schedule'!B:B, SMALL(IF('Bank Schedule'!$K$2:$K$817="Vacant", ROW('Bank Schedule'!$K$2:$K$817)), ROW(118:118))), "")</f>
        <v/>
      </c>
      <c r="C121" s="11" t="str">
        <f aca="false" t="array" ref="C121:C121">IFERROR(INDEX('Bank Schedule'!C:C, SMALL(IF('Bank Schedule'!$K$2:$K$817="Vacant", ROW('Bank Schedule'!$K$2:$K$817)), ROW(118:118))), "")</f>
        <v/>
      </c>
      <c r="D121" s="11" t="str">
        <f aca="false" t="array" ref="D121:D121">IFERROR(INDEX('Bank Schedule'!D:D, SMALL(IF('Bank Schedule'!$K$2:$K$817="Vacant", ROW('Bank Schedule'!$K$2:$K$817)), ROW(118:118))), "")</f>
        <v/>
      </c>
      <c r="E121" s="94" t="str">
        <f aca="false" t="array" ref="E121:E121">IFERROR(INDEX('Bank Schedule'!E:E, SMALL(IF('Bank Schedule'!$K$2:$K$817="Vacant", ROW('Bank Schedule'!$K$2:$K$817)), ROW(118:118))), "")</f>
        <v/>
      </c>
      <c r="F121" s="94" t="str">
        <f aca="false" t="array" ref="F121:F121">IFERROR(INDEX('Bank Schedule'!F:F, SMALL(IF('Bank Schedule'!$K$2:$K$817="Vacant", ROW('Bank Schedule'!$K$2:$K$817)), ROW(118:118))), "")</f>
        <v/>
      </c>
      <c r="G121" s="94" t="str">
        <f aca="false" t="array" ref="G121:G121">IFERROR(INDEX('Bank Schedule'!G:G, SMALL(IF('Bank Schedule'!$K$2:$K$817="Vacant", ROW('Bank Schedule'!$K$2:$K$817)), ROW(118:118))), "")</f>
        <v/>
      </c>
      <c r="H121" s="14" t="str">
        <f aca="false" t="array" ref="H121:H121">IFERROR(INDEX('Bank Schedule'!H:H, SMALL(IF('Bank Schedule'!$K$2:$K$817="Vacant", ROW('Bank Schedule'!$K$2:$K$817)), ROW(118:118))), "")</f>
        <v/>
      </c>
      <c r="I121" s="14" t="str">
        <f aca="false" t="array" ref="I121:I121">IFERROR(INDEX('Bank Schedule'!I:I, SMALL(IF('Bank Schedule'!$K$2:$K$817="Vacant", ROW('Bank Schedule'!$K$2:$K$817)), ROW(118:118))), "")</f>
        <v/>
      </c>
      <c r="J121" s="11" t="str">
        <f aca="false" t="array" ref="J121:J121">IFERROR(INDEX('Bank Schedule'!K:K, SMALL(IF('Bank Schedule'!$K$2:$K$817="Vacant", ROW('Bank Schedule'!$K$2:$K$817)), ROW(118:118))), "")</f>
        <v/>
      </c>
      <c r="K121" s="11" t="str">
        <f aca="false" t="array" ref="K121:K121">IFERROR(INDEX('Bank Schedule'!L:L, SMALL(IF('Bank Schedule'!$K$2:$K$817="Vacant", ROW('Bank Schedule'!$K$2:$K$817)), ROW(118:118))), "")</f>
        <v/>
      </c>
      <c r="L121" s="11" t="str">
        <f aca="false" t="array" ref="L121:L121">IFERROR(INDEX('Bank Schedule'!M:M, SMALL(IF('Bank Schedule'!$K$2:$K$817="Vacant", ROW('Bank Schedule'!$K$2:$K$817)), ROW(118:118))), "")</f>
        <v/>
      </c>
      <c r="M121" s="71" t="str">
        <f aca="false" t="array" ref="M121:M121">IFERROR(INDEX('Bank Schedule'!N:N, SMALL(IF('Bank Schedule'!$K$2:$K$817="Vacant", ROW('Bank Schedule'!$K$2:$K$817)), ROW(118:118))), "")</f>
        <v/>
      </c>
      <c r="N121" s="11" t="str">
        <f aca="false" t="array" ref="N121:N121">IFERROR(INDEX('Bank Schedule'!O:O, SMALL(IF('Bank Schedule'!$K$2:$K$817="Vacant", ROW('Bank Schedule'!$K$2:$K$817)), ROW(118:118))), "")</f>
        <v/>
      </c>
      <c r="O121" s="11" t="str">
        <f aca="false" t="array" ref="O121:O121">IFERROR(INDEX('Bank Schedule'!P:P, SMALL(IF('Bank Schedule'!$K$2:$K$817="Vacant", ROW('Bank Schedule'!$K$2:$K$817)), ROW(118:118))), "")</f>
        <v/>
      </c>
      <c r="P121" s="11" t="str">
        <f aca="false" t="array" ref="P121:P121">IFERROR(INDEX('Bank Schedule'!Q:Q, SMALL(IF('Bank Schedule'!$K$2:$K$817="Vacant", ROW('Bank Schedule'!$K$2:$K$817)), ROW(118:118))), "")</f>
        <v/>
      </c>
      <c r="Q121" s="11" t="str">
        <f aca="false" t="array" ref="Q121:Q121">IFERROR(INDEX('Bank Schedule'!R:R, SMALL(IF('Bank Schedule'!$K$2:$K$817="Vacant", ROW('Bank Schedule'!$K$2:$K$817)), ROW(118:118))), "")</f>
        <v/>
      </c>
      <c r="R121" s="11" t="str">
        <f aca="false" t="array" ref="R121:R121">IFERROR(INDEX('Bank Schedule'!S:S, SMALL(IF('Bank Schedule'!$K$2:$K$817="Vacant", ROW('Bank Schedule'!$K$2:$K$817)), ROW(118:118))), "")</f>
        <v/>
      </c>
      <c r="S121" s="281" t="str">
        <f aca="false" t="array" ref="S121:S121">IFERROR(INDEX('Bank Schedule'!T:T, SMALL(IF('Bank Schedule'!$K$2:$K$817="Vacant", ROW('Bank Schedule'!$K$2:$K$817)), ROW(118:118))), "")</f>
        <v/>
      </c>
      <c r="T121" s="281" t="str">
        <f aca="false" t="array" ref="T121:T121">IFERROR(INDEX('Bank Schedule'!U:U, SMALL(IF('Bank Schedule'!$K$2:$K$817="Vacant", ROW('Bank Schedule'!$K$2:$K$817)), ROW(118:118))), "")</f>
        <v/>
      </c>
      <c r="U121" s="281" t="str">
        <f aca="false" t="array" ref="U121:U121">IFERROR(INDEX('Bank Schedule'!V:V, SMALL(IF('Bank Schedule'!$K$2:$K$817="Vacant", ROW('Bank Schedule'!$K$2:$K$817)), ROW(118:118))), "")</f>
        <v/>
      </c>
      <c r="V121" s="281" t="str">
        <f aca="false" t="array" ref="V121:V121">IFERROR(INDEX('Bank Schedule'!W:W, SMALL(IF('Bank Schedule'!$K$2:$K$817="Vacant", ROW('Bank Schedule'!$K$2:$K$817)), ROW(118:118))), "")</f>
        <v/>
      </c>
      <c r="W121" s="282" t="str">
        <f aca="false" t="array" ref="W121:W121">IFERROR(INDEX('Bank Schedule'!X:X, SMALL(IF('Bank Schedule'!$K$2:$K$817="Vacant", ROW('Bank Schedule'!$K$2:$K$817)), ROW(118:118))), "")</f>
        <v/>
      </c>
      <c r="X121" s="11" t="str">
        <f aca="false" t="array" ref="X121:X121">IFERROR(INDEX('Bank Schedule'!Y:Y, SMALL(IF('Bank Schedule'!$K$2:$K$817="Vacant", ROW('Bank Schedule'!$K$2:$K$817)), ROW(118:118))), "")</f>
        <v/>
      </c>
      <c r="Y121" s="11" t="str">
        <f aca="false" t="array" ref="Y121:Y121">IFERROR(INDEX('Bank Schedule'!Z:Z, SMALL(IF('Bank Schedule'!$K$2:$K$817="Vacant", ROW('Bank Schedule'!$K$2:$K$817)), ROW(118:118))), "")</f>
        <v/>
      </c>
      <c r="Z121" s="11" t="str">
        <f aca="false" t="array" ref="Z121:Z121">IFERROR(INDEX('Bank Schedule'!AA:AA, SMALL(IF('Bank Schedule'!$K$2:$K$817="Vacant", ROW('Bank Schedule'!$K$2:$K$817)), ROW(118:118))), "")</f>
        <v/>
      </c>
      <c r="AA121" s="11" t="str">
        <f aca="false" t="array" ref="AA121:AA121">IFERROR(INDEX('Bank Schedule'!AB:AB, SMALL(IF('Bank Schedule'!$K$2:$K$817="Vacant", ROW('Bank Schedule'!$K$2:$K$817)), ROW(118:118))), "")</f>
        <v/>
      </c>
      <c r="AB121" s="94" t="str">
        <f aca="false" t="array" ref="AB121:AB121">IFERROR(INDEX('Bank Schedule'!AC:AC, SMALL(IF('Bank Schedule'!$K$2:$K$817="Vacant", ROW('Bank Schedule'!$K$2:$K$817)), ROW(118:118))), "")</f>
        <v/>
      </c>
      <c r="AC121" s="44" t="str">
        <f aca="false" t="array" ref="AC121:AC121">IFERROR(INDEX('Bank Schedule'!AD:AD, SMALL(IF('Bank Schedule'!$K$2:$K$817="Vacant", ROW('Bank Schedule'!$K$2:$K$817)), ROW(118:118))), "")</f>
        <v/>
      </c>
      <c r="AD121" s="11" t="str">
        <f aca="false" t="array" ref="AD121:AD121">IFERROR(INDEX('Bank Schedule'!AE:AE, SMALL(IF('Bank Schedule'!$K$2:$K$817="Vacant", ROW('Bank Schedule'!$K$2:$K$817)), ROW(118:118))), "")</f>
        <v/>
      </c>
      <c r="AE121" s="11" t="str">
        <f aca="false" t="array" ref="AE121:AE121">IFERROR(INDEX('Bank Schedule'!AF:AF, SMALL(IF('Bank Schedule'!$K$2:$K$817="Vacant", ROW('Bank Schedule'!$K$2:$K$817)), ROW(118:118))), "")</f>
        <v/>
      </c>
      <c r="AF121" s="11" t="str">
        <f aca="false" t="array" ref="AF121:AF121">IFERROR(INDEX('Bank Schedule'!AG:AG, SMALL(IF('Bank Schedule'!$K$2:$K$817="Vacant", ROW('Bank Schedule'!$K$2:$K$817)), ROW(118:118))), "")</f>
        <v/>
      </c>
      <c r="AG121" s="4"/>
    </row>
    <row r="122" customFormat="false" ht="28.5" hidden="false" customHeight="true" outlineLevel="0" collapsed="false">
      <c r="A122" s="28" t="str">
        <f aca="false" t="array" ref="A122:A122">IFERROR(INDEX('Bank Schedule'!A:A, SMALL(IF('Bank Schedule'!$K$2:$K$817="Vacant", ROW('Bank Schedule'!$K$2:$K$817)), ROW(119:119))), "")</f>
        <v/>
      </c>
      <c r="B122" s="11" t="str">
        <f aca="false" t="array" ref="B122:B122">IFERROR(INDEX('Bank Schedule'!B:B, SMALL(IF('Bank Schedule'!$K$2:$K$817="Vacant", ROW('Bank Schedule'!$K$2:$K$817)), ROW(119:119))), "")</f>
        <v/>
      </c>
      <c r="C122" s="11" t="str">
        <f aca="false" t="array" ref="C122:C122">IFERROR(INDEX('Bank Schedule'!C:C, SMALL(IF('Bank Schedule'!$K$2:$K$817="Vacant", ROW('Bank Schedule'!$K$2:$K$817)), ROW(119:119))), "")</f>
        <v/>
      </c>
      <c r="D122" s="11" t="str">
        <f aca="false" t="array" ref="D122:D122">IFERROR(INDEX('Bank Schedule'!D:D, SMALL(IF('Bank Schedule'!$K$2:$K$817="Vacant", ROW('Bank Schedule'!$K$2:$K$817)), ROW(119:119))), "")</f>
        <v/>
      </c>
      <c r="E122" s="94" t="str">
        <f aca="false" t="array" ref="E122:E122">IFERROR(INDEX('Bank Schedule'!E:E, SMALL(IF('Bank Schedule'!$K$2:$K$817="Vacant", ROW('Bank Schedule'!$K$2:$K$817)), ROW(119:119))), "")</f>
        <v/>
      </c>
      <c r="F122" s="94" t="str">
        <f aca="false" t="array" ref="F122:F122">IFERROR(INDEX('Bank Schedule'!F:F, SMALL(IF('Bank Schedule'!$K$2:$K$817="Vacant", ROW('Bank Schedule'!$K$2:$K$817)), ROW(119:119))), "")</f>
        <v/>
      </c>
      <c r="G122" s="94" t="str">
        <f aca="false" t="array" ref="G122:G122">IFERROR(INDEX('Bank Schedule'!G:G, SMALL(IF('Bank Schedule'!$K$2:$K$817="Vacant", ROW('Bank Schedule'!$K$2:$K$817)), ROW(119:119))), "")</f>
        <v/>
      </c>
      <c r="H122" s="14" t="str">
        <f aca="false" t="array" ref="H122:H122">IFERROR(INDEX('Bank Schedule'!H:H, SMALL(IF('Bank Schedule'!$K$2:$K$817="Vacant", ROW('Bank Schedule'!$K$2:$K$817)), ROW(119:119))), "")</f>
        <v/>
      </c>
      <c r="I122" s="14" t="str">
        <f aca="false" t="array" ref="I122:I122">IFERROR(INDEX('Bank Schedule'!I:I, SMALL(IF('Bank Schedule'!$K$2:$K$817="Vacant", ROW('Bank Schedule'!$K$2:$K$817)), ROW(119:119))), "")</f>
        <v/>
      </c>
      <c r="J122" s="11" t="str">
        <f aca="false" t="array" ref="J122:J122">IFERROR(INDEX('Bank Schedule'!K:K, SMALL(IF('Bank Schedule'!$K$2:$K$817="Vacant", ROW('Bank Schedule'!$K$2:$K$817)), ROW(119:119))), "")</f>
        <v/>
      </c>
      <c r="K122" s="11" t="str">
        <f aca="false" t="array" ref="K122:K122">IFERROR(INDEX('Bank Schedule'!L:L, SMALL(IF('Bank Schedule'!$K$2:$K$817="Vacant", ROW('Bank Schedule'!$K$2:$K$817)), ROW(119:119))), "")</f>
        <v/>
      </c>
      <c r="L122" s="11" t="str">
        <f aca="false" t="array" ref="L122:L122">IFERROR(INDEX('Bank Schedule'!M:M, SMALL(IF('Bank Schedule'!$K$2:$K$817="Vacant", ROW('Bank Schedule'!$K$2:$K$817)), ROW(119:119))), "")</f>
        <v/>
      </c>
      <c r="M122" s="71" t="str">
        <f aca="false" t="array" ref="M122:M122">IFERROR(INDEX('Bank Schedule'!N:N, SMALL(IF('Bank Schedule'!$K$2:$K$817="Vacant", ROW('Bank Schedule'!$K$2:$K$817)), ROW(119:119))), "")</f>
        <v/>
      </c>
      <c r="N122" s="11" t="str">
        <f aca="false" t="array" ref="N122:N122">IFERROR(INDEX('Bank Schedule'!O:O, SMALL(IF('Bank Schedule'!$K$2:$K$817="Vacant", ROW('Bank Schedule'!$K$2:$K$817)), ROW(119:119))), "")</f>
        <v/>
      </c>
      <c r="O122" s="11" t="str">
        <f aca="false" t="array" ref="O122:O122">IFERROR(INDEX('Bank Schedule'!P:P, SMALL(IF('Bank Schedule'!$K$2:$K$817="Vacant", ROW('Bank Schedule'!$K$2:$K$817)), ROW(119:119))), "")</f>
        <v/>
      </c>
      <c r="P122" s="11" t="str">
        <f aca="false" t="array" ref="P122:P122">IFERROR(INDEX('Bank Schedule'!Q:Q, SMALL(IF('Bank Schedule'!$K$2:$K$817="Vacant", ROW('Bank Schedule'!$K$2:$K$817)), ROW(119:119))), "")</f>
        <v/>
      </c>
      <c r="Q122" s="11" t="str">
        <f aca="false" t="array" ref="Q122:Q122">IFERROR(INDEX('Bank Schedule'!R:R, SMALL(IF('Bank Schedule'!$K$2:$K$817="Vacant", ROW('Bank Schedule'!$K$2:$K$817)), ROW(119:119))), "")</f>
        <v/>
      </c>
      <c r="R122" s="11" t="str">
        <f aca="false" t="array" ref="R122:R122">IFERROR(INDEX('Bank Schedule'!S:S, SMALL(IF('Bank Schedule'!$K$2:$K$817="Vacant", ROW('Bank Schedule'!$K$2:$K$817)), ROW(119:119))), "")</f>
        <v/>
      </c>
      <c r="S122" s="281" t="str">
        <f aca="false" t="array" ref="S122:S122">IFERROR(INDEX('Bank Schedule'!T:T, SMALL(IF('Bank Schedule'!$K$2:$K$817="Vacant", ROW('Bank Schedule'!$K$2:$K$817)), ROW(119:119))), "")</f>
        <v/>
      </c>
      <c r="T122" s="281" t="str">
        <f aca="false" t="array" ref="T122:T122">IFERROR(INDEX('Bank Schedule'!U:U, SMALL(IF('Bank Schedule'!$K$2:$K$817="Vacant", ROW('Bank Schedule'!$K$2:$K$817)), ROW(119:119))), "")</f>
        <v/>
      </c>
      <c r="U122" s="281" t="str">
        <f aca="false" t="array" ref="U122:U122">IFERROR(INDEX('Bank Schedule'!V:V, SMALL(IF('Bank Schedule'!$K$2:$K$817="Vacant", ROW('Bank Schedule'!$K$2:$K$817)), ROW(119:119))), "")</f>
        <v/>
      </c>
      <c r="V122" s="281" t="str">
        <f aca="false" t="array" ref="V122:V122">IFERROR(INDEX('Bank Schedule'!W:W, SMALL(IF('Bank Schedule'!$K$2:$K$817="Vacant", ROW('Bank Schedule'!$K$2:$K$817)), ROW(119:119))), "")</f>
        <v/>
      </c>
      <c r="W122" s="282" t="str">
        <f aca="false" t="array" ref="W122:W122">IFERROR(INDEX('Bank Schedule'!X:X, SMALL(IF('Bank Schedule'!$K$2:$K$817="Vacant", ROW('Bank Schedule'!$K$2:$K$817)), ROW(119:119))), "")</f>
        <v/>
      </c>
      <c r="X122" s="11" t="str">
        <f aca="false" t="array" ref="X122:X122">IFERROR(INDEX('Bank Schedule'!Y:Y, SMALL(IF('Bank Schedule'!$K$2:$K$817="Vacant", ROW('Bank Schedule'!$K$2:$K$817)), ROW(119:119))), "")</f>
        <v/>
      </c>
      <c r="Y122" s="11" t="str">
        <f aca="false" t="array" ref="Y122:Y122">IFERROR(INDEX('Bank Schedule'!Z:Z, SMALL(IF('Bank Schedule'!$K$2:$K$817="Vacant", ROW('Bank Schedule'!$K$2:$K$817)), ROW(119:119))), "")</f>
        <v/>
      </c>
      <c r="Z122" s="11" t="str">
        <f aca="false" t="array" ref="Z122:Z122">IFERROR(INDEX('Bank Schedule'!AA:AA, SMALL(IF('Bank Schedule'!$K$2:$K$817="Vacant", ROW('Bank Schedule'!$K$2:$K$817)), ROW(119:119))), "")</f>
        <v/>
      </c>
      <c r="AA122" s="11" t="str">
        <f aca="false" t="array" ref="AA122:AA122">IFERROR(INDEX('Bank Schedule'!AB:AB, SMALL(IF('Bank Schedule'!$K$2:$K$817="Vacant", ROW('Bank Schedule'!$K$2:$K$817)), ROW(119:119))), "")</f>
        <v/>
      </c>
      <c r="AB122" s="94" t="str">
        <f aca="false" t="array" ref="AB122:AB122">IFERROR(INDEX('Bank Schedule'!AC:AC, SMALL(IF('Bank Schedule'!$K$2:$K$817="Vacant", ROW('Bank Schedule'!$K$2:$K$817)), ROW(119:119))), "")</f>
        <v/>
      </c>
      <c r="AC122" s="44" t="str">
        <f aca="false" t="array" ref="AC122:AC122">IFERROR(INDEX('Bank Schedule'!AD:AD, SMALL(IF('Bank Schedule'!$K$2:$K$817="Vacant", ROW('Bank Schedule'!$K$2:$K$817)), ROW(119:119))), "")</f>
        <v/>
      </c>
      <c r="AD122" s="11" t="str">
        <f aca="false" t="array" ref="AD122:AD122">IFERROR(INDEX('Bank Schedule'!AE:AE, SMALL(IF('Bank Schedule'!$K$2:$K$817="Vacant", ROW('Bank Schedule'!$K$2:$K$817)), ROW(119:119))), "")</f>
        <v/>
      </c>
      <c r="AE122" s="11" t="str">
        <f aca="false" t="array" ref="AE122:AE122">IFERROR(INDEX('Bank Schedule'!AF:AF, SMALL(IF('Bank Schedule'!$K$2:$K$817="Vacant", ROW('Bank Schedule'!$K$2:$K$817)), ROW(119:119))), "")</f>
        <v/>
      </c>
      <c r="AF122" s="11" t="str">
        <f aca="false" t="array" ref="AF122:AF122">IFERROR(INDEX('Bank Schedule'!AG:AG, SMALL(IF('Bank Schedule'!$K$2:$K$817="Vacant", ROW('Bank Schedule'!$K$2:$K$817)), ROW(119:119))), "")</f>
        <v/>
      </c>
      <c r="AG122" s="4"/>
    </row>
    <row r="123" customFormat="false" ht="28.5" hidden="false" customHeight="true" outlineLevel="0" collapsed="false">
      <c r="A123" s="28" t="str">
        <f aca="false" t="array" ref="A123:A123">IFERROR(INDEX('Bank Schedule'!A:A, SMALL(IF('Bank Schedule'!$K$2:$K$817="Vacant", ROW('Bank Schedule'!$K$2:$K$817)), ROW(120:120))), "")</f>
        <v/>
      </c>
      <c r="B123" s="11" t="str">
        <f aca="false" t="array" ref="B123:B123">IFERROR(INDEX('Bank Schedule'!B:B, SMALL(IF('Bank Schedule'!$K$2:$K$817="Vacant", ROW('Bank Schedule'!$K$2:$K$817)), ROW(120:120))), "")</f>
        <v/>
      </c>
      <c r="C123" s="11" t="str">
        <f aca="false" t="array" ref="C123:C123">IFERROR(INDEX('Bank Schedule'!C:C, SMALL(IF('Bank Schedule'!$K$2:$K$817="Vacant", ROW('Bank Schedule'!$K$2:$K$817)), ROW(120:120))), "")</f>
        <v/>
      </c>
      <c r="D123" s="11" t="str">
        <f aca="false" t="array" ref="D123:D123">IFERROR(INDEX('Bank Schedule'!D:D, SMALL(IF('Bank Schedule'!$K$2:$K$817="Vacant", ROW('Bank Schedule'!$K$2:$K$817)), ROW(120:120))), "")</f>
        <v/>
      </c>
      <c r="E123" s="94" t="str">
        <f aca="false" t="array" ref="E123:E123">IFERROR(INDEX('Bank Schedule'!E:E, SMALL(IF('Bank Schedule'!$K$2:$K$817="Vacant", ROW('Bank Schedule'!$K$2:$K$817)), ROW(120:120))), "")</f>
        <v/>
      </c>
      <c r="F123" s="94" t="str">
        <f aca="false" t="array" ref="F123:F123">IFERROR(INDEX('Bank Schedule'!F:F, SMALL(IF('Bank Schedule'!$K$2:$K$817="Vacant", ROW('Bank Schedule'!$K$2:$K$817)), ROW(120:120))), "")</f>
        <v/>
      </c>
      <c r="G123" s="94" t="str">
        <f aca="false" t="array" ref="G123:G123">IFERROR(INDEX('Bank Schedule'!G:G, SMALL(IF('Bank Schedule'!$K$2:$K$817="Vacant", ROW('Bank Schedule'!$K$2:$K$817)), ROW(120:120))), "")</f>
        <v/>
      </c>
      <c r="H123" s="14" t="str">
        <f aca="false" t="array" ref="H123:H123">IFERROR(INDEX('Bank Schedule'!H:H, SMALL(IF('Bank Schedule'!$K$2:$K$817="Vacant", ROW('Bank Schedule'!$K$2:$K$817)), ROW(120:120))), "")</f>
        <v/>
      </c>
      <c r="I123" s="14" t="str">
        <f aca="false" t="array" ref="I123:I123">IFERROR(INDEX('Bank Schedule'!I:I, SMALL(IF('Bank Schedule'!$K$2:$K$817="Vacant", ROW('Bank Schedule'!$K$2:$K$817)), ROW(120:120))), "")</f>
        <v/>
      </c>
      <c r="J123" s="11" t="str">
        <f aca="false" t="array" ref="J123:J123">IFERROR(INDEX('Bank Schedule'!K:K, SMALL(IF('Bank Schedule'!$K$2:$K$817="Vacant", ROW('Bank Schedule'!$K$2:$K$817)), ROW(120:120))), "")</f>
        <v/>
      </c>
      <c r="K123" s="11" t="str">
        <f aca="false" t="array" ref="K123:K123">IFERROR(INDEX('Bank Schedule'!L:L, SMALL(IF('Bank Schedule'!$K$2:$K$817="Vacant", ROW('Bank Schedule'!$K$2:$K$817)), ROW(120:120))), "")</f>
        <v/>
      </c>
      <c r="L123" s="11" t="str">
        <f aca="false" t="array" ref="L123:L123">IFERROR(INDEX('Bank Schedule'!M:M, SMALL(IF('Bank Schedule'!$K$2:$K$817="Vacant", ROW('Bank Schedule'!$K$2:$K$817)), ROW(120:120))), "")</f>
        <v/>
      </c>
      <c r="M123" s="71" t="str">
        <f aca="false" t="array" ref="M123:M123">IFERROR(INDEX('Bank Schedule'!N:N, SMALL(IF('Bank Schedule'!$K$2:$K$817="Vacant", ROW('Bank Schedule'!$K$2:$K$817)), ROW(120:120))), "")</f>
        <v/>
      </c>
      <c r="N123" s="11" t="str">
        <f aca="false" t="array" ref="N123:N123">IFERROR(INDEX('Bank Schedule'!O:O, SMALL(IF('Bank Schedule'!$K$2:$K$817="Vacant", ROW('Bank Schedule'!$K$2:$K$817)), ROW(120:120))), "")</f>
        <v/>
      </c>
      <c r="O123" s="11" t="str">
        <f aca="false" t="array" ref="O123:O123">IFERROR(INDEX('Bank Schedule'!P:P, SMALL(IF('Bank Schedule'!$K$2:$K$817="Vacant", ROW('Bank Schedule'!$K$2:$K$817)), ROW(120:120))), "")</f>
        <v/>
      </c>
      <c r="P123" s="11" t="str">
        <f aca="false" t="array" ref="P123:P123">IFERROR(INDEX('Bank Schedule'!Q:Q, SMALL(IF('Bank Schedule'!$K$2:$K$817="Vacant", ROW('Bank Schedule'!$K$2:$K$817)), ROW(120:120))), "")</f>
        <v/>
      </c>
      <c r="Q123" s="11" t="str">
        <f aca="false" t="array" ref="Q123:Q123">IFERROR(INDEX('Bank Schedule'!R:R, SMALL(IF('Bank Schedule'!$K$2:$K$817="Vacant", ROW('Bank Schedule'!$K$2:$K$817)), ROW(120:120))), "")</f>
        <v/>
      </c>
      <c r="R123" s="11" t="str">
        <f aca="false" t="array" ref="R123:R123">IFERROR(INDEX('Bank Schedule'!S:S, SMALL(IF('Bank Schedule'!$K$2:$K$817="Vacant", ROW('Bank Schedule'!$K$2:$K$817)), ROW(120:120))), "")</f>
        <v/>
      </c>
      <c r="S123" s="281" t="str">
        <f aca="false" t="array" ref="S123:S123">IFERROR(INDEX('Bank Schedule'!T:T, SMALL(IF('Bank Schedule'!$K$2:$K$817="Vacant", ROW('Bank Schedule'!$K$2:$K$817)), ROW(120:120))), "")</f>
        <v/>
      </c>
      <c r="T123" s="281" t="str">
        <f aca="false" t="array" ref="T123:T123">IFERROR(INDEX('Bank Schedule'!U:U, SMALL(IF('Bank Schedule'!$K$2:$K$817="Vacant", ROW('Bank Schedule'!$K$2:$K$817)), ROW(120:120))), "")</f>
        <v/>
      </c>
      <c r="U123" s="281" t="str">
        <f aca="false" t="array" ref="U123:U123">IFERROR(INDEX('Bank Schedule'!V:V, SMALL(IF('Bank Schedule'!$K$2:$K$817="Vacant", ROW('Bank Schedule'!$K$2:$K$817)), ROW(120:120))), "")</f>
        <v/>
      </c>
      <c r="V123" s="281" t="str">
        <f aca="false" t="array" ref="V123:V123">IFERROR(INDEX('Bank Schedule'!W:W, SMALL(IF('Bank Schedule'!$K$2:$K$817="Vacant", ROW('Bank Schedule'!$K$2:$K$817)), ROW(120:120))), "")</f>
        <v/>
      </c>
      <c r="W123" s="282" t="str">
        <f aca="false" t="array" ref="W123:W123">IFERROR(INDEX('Bank Schedule'!X:X, SMALL(IF('Bank Schedule'!$K$2:$K$817="Vacant", ROW('Bank Schedule'!$K$2:$K$817)), ROW(120:120))), "")</f>
        <v/>
      </c>
      <c r="X123" s="11" t="str">
        <f aca="false" t="array" ref="X123:X123">IFERROR(INDEX('Bank Schedule'!Y:Y, SMALL(IF('Bank Schedule'!$K$2:$K$817="Vacant", ROW('Bank Schedule'!$K$2:$K$817)), ROW(120:120))), "")</f>
        <v/>
      </c>
      <c r="Y123" s="11" t="str">
        <f aca="false" t="array" ref="Y123:Y123">IFERROR(INDEX('Bank Schedule'!Z:Z, SMALL(IF('Bank Schedule'!$K$2:$K$817="Vacant", ROW('Bank Schedule'!$K$2:$K$817)), ROW(120:120))), "")</f>
        <v/>
      </c>
      <c r="Z123" s="11" t="str">
        <f aca="false" t="array" ref="Z123:Z123">IFERROR(INDEX('Bank Schedule'!AA:AA, SMALL(IF('Bank Schedule'!$K$2:$K$817="Vacant", ROW('Bank Schedule'!$K$2:$K$817)), ROW(120:120))), "")</f>
        <v/>
      </c>
      <c r="AA123" s="11" t="str">
        <f aca="false" t="array" ref="AA123:AA123">IFERROR(INDEX('Bank Schedule'!AB:AB, SMALL(IF('Bank Schedule'!$K$2:$K$817="Vacant", ROW('Bank Schedule'!$K$2:$K$817)), ROW(120:120))), "")</f>
        <v/>
      </c>
      <c r="AB123" s="94" t="str">
        <f aca="false" t="array" ref="AB123:AB123">IFERROR(INDEX('Bank Schedule'!AC:AC, SMALL(IF('Bank Schedule'!$K$2:$K$817="Vacant", ROW('Bank Schedule'!$K$2:$K$817)), ROW(120:120))), "")</f>
        <v/>
      </c>
      <c r="AC123" s="44" t="str">
        <f aca="false" t="array" ref="AC123:AC123">IFERROR(INDEX('Bank Schedule'!AD:AD, SMALL(IF('Bank Schedule'!$K$2:$K$817="Vacant", ROW('Bank Schedule'!$K$2:$K$817)), ROW(120:120))), "")</f>
        <v/>
      </c>
      <c r="AD123" s="11" t="str">
        <f aca="false" t="array" ref="AD123:AD123">IFERROR(INDEX('Bank Schedule'!AE:AE, SMALL(IF('Bank Schedule'!$K$2:$K$817="Vacant", ROW('Bank Schedule'!$K$2:$K$817)), ROW(120:120))), "")</f>
        <v/>
      </c>
      <c r="AE123" s="11" t="str">
        <f aca="false" t="array" ref="AE123:AE123">IFERROR(INDEX('Bank Schedule'!AF:AF, SMALL(IF('Bank Schedule'!$K$2:$K$817="Vacant", ROW('Bank Schedule'!$K$2:$K$817)), ROW(120:120))), "")</f>
        <v/>
      </c>
      <c r="AF123" s="11" t="str">
        <f aca="false" t="array" ref="AF123:AF123">IFERROR(INDEX('Bank Schedule'!AG:AG, SMALL(IF('Bank Schedule'!$K$2:$K$817="Vacant", ROW('Bank Schedule'!$K$2:$K$817)), ROW(120:120))), "")</f>
        <v/>
      </c>
      <c r="AG123" s="4"/>
    </row>
    <row r="124" customFormat="false" ht="28.5" hidden="false" customHeight="true" outlineLevel="0" collapsed="false">
      <c r="A124" s="28" t="str">
        <f aca="false" t="array" ref="A124:A124">IFERROR(INDEX('Bank Schedule'!A:A, SMALL(IF('Bank Schedule'!$K$2:$K$817="Vacant", ROW('Bank Schedule'!$K$2:$K$817)), ROW(121:121))), "")</f>
        <v/>
      </c>
      <c r="B124" s="11" t="str">
        <f aca="false" t="array" ref="B124:B124">IFERROR(INDEX('Bank Schedule'!B:B, SMALL(IF('Bank Schedule'!$K$2:$K$817="Vacant", ROW('Bank Schedule'!$K$2:$K$817)), ROW(121:121))), "")</f>
        <v/>
      </c>
      <c r="C124" s="11" t="str">
        <f aca="false" t="array" ref="C124:C124">IFERROR(INDEX('Bank Schedule'!C:C, SMALL(IF('Bank Schedule'!$K$2:$K$817="Vacant", ROW('Bank Schedule'!$K$2:$K$817)), ROW(121:121))), "")</f>
        <v/>
      </c>
      <c r="D124" s="11" t="str">
        <f aca="false" t="array" ref="D124:D124">IFERROR(INDEX('Bank Schedule'!D:D, SMALL(IF('Bank Schedule'!$K$2:$K$817="Vacant", ROW('Bank Schedule'!$K$2:$K$817)), ROW(121:121))), "")</f>
        <v/>
      </c>
      <c r="E124" s="94" t="str">
        <f aca="false" t="array" ref="E124:E124">IFERROR(INDEX('Bank Schedule'!E:E, SMALL(IF('Bank Schedule'!$K$2:$K$817="Vacant", ROW('Bank Schedule'!$K$2:$K$817)), ROW(121:121))), "")</f>
        <v/>
      </c>
      <c r="F124" s="94" t="str">
        <f aca="false" t="array" ref="F124:F124">IFERROR(INDEX('Bank Schedule'!F:F, SMALL(IF('Bank Schedule'!$K$2:$K$817="Vacant", ROW('Bank Schedule'!$K$2:$K$817)), ROW(121:121))), "")</f>
        <v/>
      </c>
      <c r="G124" s="94" t="str">
        <f aca="false" t="array" ref="G124:G124">IFERROR(INDEX('Bank Schedule'!G:G, SMALL(IF('Bank Schedule'!$K$2:$K$817="Vacant", ROW('Bank Schedule'!$K$2:$K$817)), ROW(121:121))), "")</f>
        <v/>
      </c>
      <c r="H124" s="14" t="str">
        <f aca="false" t="array" ref="H124:H124">IFERROR(INDEX('Bank Schedule'!H:H, SMALL(IF('Bank Schedule'!$K$2:$K$817="Vacant", ROW('Bank Schedule'!$K$2:$K$817)), ROW(121:121))), "")</f>
        <v/>
      </c>
      <c r="I124" s="14" t="str">
        <f aca="false" t="array" ref="I124:I124">IFERROR(INDEX('Bank Schedule'!I:I, SMALL(IF('Bank Schedule'!$K$2:$K$817="Vacant", ROW('Bank Schedule'!$K$2:$K$817)), ROW(121:121))), "")</f>
        <v/>
      </c>
      <c r="J124" s="11" t="str">
        <f aca="false" t="array" ref="J124:J124">IFERROR(INDEX('Bank Schedule'!K:K, SMALL(IF('Bank Schedule'!$K$2:$K$817="Vacant", ROW('Bank Schedule'!$K$2:$K$817)), ROW(121:121))), "")</f>
        <v/>
      </c>
      <c r="K124" s="11" t="str">
        <f aca="false" t="array" ref="K124:K124">IFERROR(INDEX('Bank Schedule'!L:L, SMALL(IF('Bank Schedule'!$K$2:$K$817="Vacant", ROW('Bank Schedule'!$K$2:$K$817)), ROW(121:121))), "")</f>
        <v/>
      </c>
      <c r="L124" s="11" t="str">
        <f aca="false" t="array" ref="L124:L124">IFERROR(INDEX('Bank Schedule'!M:M, SMALL(IF('Bank Schedule'!$K$2:$K$817="Vacant", ROW('Bank Schedule'!$K$2:$K$817)), ROW(121:121))), "")</f>
        <v/>
      </c>
      <c r="M124" s="71" t="str">
        <f aca="false" t="array" ref="M124:M124">IFERROR(INDEX('Bank Schedule'!N:N, SMALL(IF('Bank Schedule'!$K$2:$K$817="Vacant", ROW('Bank Schedule'!$K$2:$K$817)), ROW(121:121))), "")</f>
        <v/>
      </c>
      <c r="N124" s="11" t="str">
        <f aca="false" t="array" ref="N124:N124">IFERROR(INDEX('Bank Schedule'!O:O, SMALL(IF('Bank Schedule'!$K$2:$K$817="Vacant", ROW('Bank Schedule'!$K$2:$K$817)), ROW(121:121))), "")</f>
        <v/>
      </c>
      <c r="O124" s="11" t="str">
        <f aca="false" t="array" ref="O124:O124">IFERROR(INDEX('Bank Schedule'!P:P, SMALL(IF('Bank Schedule'!$K$2:$K$817="Vacant", ROW('Bank Schedule'!$K$2:$K$817)), ROW(121:121))), "")</f>
        <v/>
      </c>
      <c r="P124" s="11" t="str">
        <f aca="false" t="array" ref="P124:P124">IFERROR(INDEX('Bank Schedule'!Q:Q, SMALL(IF('Bank Schedule'!$K$2:$K$817="Vacant", ROW('Bank Schedule'!$K$2:$K$817)), ROW(121:121))), "")</f>
        <v/>
      </c>
      <c r="Q124" s="11" t="str">
        <f aca="false" t="array" ref="Q124:Q124">IFERROR(INDEX('Bank Schedule'!R:R, SMALL(IF('Bank Schedule'!$K$2:$K$817="Vacant", ROW('Bank Schedule'!$K$2:$K$817)), ROW(121:121))), "")</f>
        <v/>
      </c>
      <c r="R124" s="11" t="str">
        <f aca="false" t="array" ref="R124:R124">IFERROR(INDEX('Bank Schedule'!S:S, SMALL(IF('Bank Schedule'!$K$2:$K$817="Vacant", ROW('Bank Schedule'!$K$2:$K$817)), ROW(121:121))), "")</f>
        <v/>
      </c>
      <c r="S124" s="281" t="str">
        <f aca="false" t="array" ref="S124:S124">IFERROR(INDEX('Bank Schedule'!T:T, SMALL(IF('Bank Schedule'!$K$2:$K$817="Vacant", ROW('Bank Schedule'!$K$2:$K$817)), ROW(121:121))), "")</f>
        <v/>
      </c>
      <c r="T124" s="281" t="str">
        <f aca="false" t="array" ref="T124:T124">IFERROR(INDEX('Bank Schedule'!U:U, SMALL(IF('Bank Schedule'!$K$2:$K$817="Vacant", ROW('Bank Schedule'!$K$2:$K$817)), ROW(121:121))), "")</f>
        <v/>
      </c>
      <c r="U124" s="281" t="str">
        <f aca="false" t="array" ref="U124:U124">IFERROR(INDEX('Bank Schedule'!V:V, SMALL(IF('Bank Schedule'!$K$2:$K$817="Vacant", ROW('Bank Schedule'!$K$2:$K$817)), ROW(121:121))), "")</f>
        <v/>
      </c>
      <c r="V124" s="281" t="str">
        <f aca="false" t="array" ref="V124:V124">IFERROR(INDEX('Bank Schedule'!W:W, SMALL(IF('Bank Schedule'!$K$2:$K$817="Vacant", ROW('Bank Schedule'!$K$2:$K$817)), ROW(121:121))), "")</f>
        <v/>
      </c>
      <c r="W124" s="282" t="str">
        <f aca="false" t="array" ref="W124:W124">IFERROR(INDEX('Bank Schedule'!X:X, SMALL(IF('Bank Schedule'!$K$2:$K$817="Vacant", ROW('Bank Schedule'!$K$2:$K$817)), ROW(121:121))), "")</f>
        <v/>
      </c>
      <c r="X124" s="11" t="str">
        <f aca="false" t="array" ref="X124:X124">IFERROR(INDEX('Bank Schedule'!Y:Y, SMALL(IF('Bank Schedule'!$K$2:$K$817="Vacant", ROW('Bank Schedule'!$K$2:$K$817)), ROW(121:121))), "")</f>
        <v/>
      </c>
      <c r="Y124" s="11" t="str">
        <f aca="false" t="array" ref="Y124:Y124">IFERROR(INDEX('Bank Schedule'!Z:Z, SMALL(IF('Bank Schedule'!$K$2:$K$817="Vacant", ROW('Bank Schedule'!$K$2:$K$817)), ROW(121:121))), "")</f>
        <v/>
      </c>
      <c r="Z124" s="11" t="str">
        <f aca="false" t="array" ref="Z124:Z124">IFERROR(INDEX('Bank Schedule'!AA:AA, SMALL(IF('Bank Schedule'!$K$2:$K$817="Vacant", ROW('Bank Schedule'!$K$2:$K$817)), ROW(121:121))), "")</f>
        <v/>
      </c>
      <c r="AA124" s="11" t="str">
        <f aca="false" t="array" ref="AA124:AA124">IFERROR(INDEX('Bank Schedule'!AB:AB, SMALL(IF('Bank Schedule'!$K$2:$K$817="Vacant", ROW('Bank Schedule'!$K$2:$K$817)), ROW(121:121))), "")</f>
        <v/>
      </c>
      <c r="AB124" s="94" t="str">
        <f aca="false" t="array" ref="AB124:AB124">IFERROR(INDEX('Bank Schedule'!AC:AC, SMALL(IF('Bank Schedule'!$K$2:$K$817="Vacant", ROW('Bank Schedule'!$K$2:$K$817)), ROW(121:121))), "")</f>
        <v/>
      </c>
      <c r="AC124" s="44" t="str">
        <f aca="false" t="array" ref="AC124:AC124">IFERROR(INDEX('Bank Schedule'!AD:AD, SMALL(IF('Bank Schedule'!$K$2:$K$817="Vacant", ROW('Bank Schedule'!$K$2:$K$817)), ROW(121:121))), "")</f>
        <v/>
      </c>
      <c r="AD124" s="11" t="str">
        <f aca="false" t="array" ref="AD124:AD124">IFERROR(INDEX('Bank Schedule'!AE:AE, SMALL(IF('Bank Schedule'!$K$2:$K$817="Vacant", ROW('Bank Schedule'!$K$2:$K$817)), ROW(121:121))), "")</f>
        <v/>
      </c>
      <c r="AE124" s="11" t="str">
        <f aca="false" t="array" ref="AE124:AE124">IFERROR(INDEX('Bank Schedule'!AF:AF, SMALL(IF('Bank Schedule'!$K$2:$K$817="Vacant", ROW('Bank Schedule'!$K$2:$K$817)), ROW(121:121))), "")</f>
        <v/>
      </c>
      <c r="AF124" s="11" t="str">
        <f aca="false" t="array" ref="AF124:AF124">IFERROR(INDEX('Bank Schedule'!AG:AG, SMALL(IF('Bank Schedule'!$K$2:$K$817="Vacant", ROW('Bank Schedule'!$K$2:$K$817)), ROW(121:121))), "")</f>
        <v/>
      </c>
      <c r="AG124" s="4"/>
    </row>
    <row r="125" customFormat="false" ht="28.5" hidden="false" customHeight="true" outlineLevel="0" collapsed="false">
      <c r="A125" s="28" t="str">
        <f aca="false" t="array" ref="A125:A125">IFERROR(INDEX('Bank Schedule'!A:A, SMALL(IF('Bank Schedule'!$K$2:$K$817="Vacant", ROW('Bank Schedule'!$K$2:$K$817)), ROW(122:122))), "")</f>
        <v/>
      </c>
      <c r="B125" s="11" t="str">
        <f aca="false" t="array" ref="B125:B125">IFERROR(INDEX('Bank Schedule'!B:B, SMALL(IF('Bank Schedule'!$K$2:$K$817="Vacant", ROW('Bank Schedule'!$K$2:$K$817)), ROW(122:122))), "")</f>
        <v/>
      </c>
      <c r="C125" s="11" t="str">
        <f aca="false" t="array" ref="C125:C125">IFERROR(INDEX('Bank Schedule'!C:C, SMALL(IF('Bank Schedule'!$K$2:$K$817="Vacant", ROW('Bank Schedule'!$K$2:$K$817)), ROW(122:122))), "")</f>
        <v/>
      </c>
      <c r="D125" s="11" t="str">
        <f aca="false" t="array" ref="D125:D125">IFERROR(INDEX('Bank Schedule'!D:D, SMALL(IF('Bank Schedule'!$K$2:$K$817="Vacant", ROW('Bank Schedule'!$K$2:$K$817)), ROW(122:122))), "")</f>
        <v/>
      </c>
      <c r="E125" s="94" t="str">
        <f aca="false" t="array" ref="E125:E125">IFERROR(INDEX('Bank Schedule'!E:E, SMALL(IF('Bank Schedule'!$K$2:$K$817="Vacant", ROW('Bank Schedule'!$K$2:$K$817)), ROW(122:122))), "")</f>
        <v/>
      </c>
      <c r="F125" s="94" t="str">
        <f aca="false" t="array" ref="F125:F125">IFERROR(INDEX('Bank Schedule'!F:F, SMALL(IF('Bank Schedule'!$K$2:$K$817="Vacant", ROW('Bank Schedule'!$K$2:$K$817)), ROW(122:122))), "")</f>
        <v/>
      </c>
      <c r="G125" s="94" t="str">
        <f aca="false" t="array" ref="G125:G125">IFERROR(INDEX('Bank Schedule'!G:G, SMALL(IF('Bank Schedule'!$K$2:$K$817="Vacant", ROW('Bank Schedule'!$K$2:$K$817)), ROW(122:122))), "")</f>
        <v/>
      </c>
      <c r="H125" s="14" t="str">
        <f aca="false" t="array" ref="H125:H125">IFERROR(INDEX('Bank Schedule'!H:H, SMALL(IF('Bank Schedule'!$K$2:$K$817="Vacant", ROW('Bank Schedule'!$K$2:$K$817)), ROW(122:122))), "")</f>
        <v/>
      </c>
      <c r="I125" s="14" t="str">
        <f aca="false" t="array" ref="I125:I125">IFERROR(INDEX('Bank Schedule'!I:I, SMALL(IF('Bank Schedule'!$K$2:$K$817="Vacant", ROW('Bank Schedule'!$K$2:$K$817)), ROW(122:122))), "")</f>
        <v/>
      </c>
      <c r="J125" s="11" t="str">
        <f aca="false" t="array" ref="J125:J125">IFERROR(INDEX('Bank Schedule'!K:K, SMALL(IF('Bank Schedule'!$K$2:$K$817="Vacant", ROW('Bank Schedule'!$K$2:$K$817)), ROW(122:122))), "")</f>
        <v/>
      </c>
      <c r="K125" s="11" t="str">
        <f aca="false" t="array" ref="K125:K125">IFERROR(INDEX('Bank Schedule'!L:L, SMALL(IF('Bank Schedule'!$K$2:$K$817="Vacant", ROW('Bank Schedule'!$K$2:$K$817)), ROW(122:122))), "")</f>
        <v/>
      </c>
      <c r="L125" s="11" t="str">
        <f aca="false" t="array" ref="L125:L125">IFERROR(INDEX('Bank Schedule'!M:M, SMALL(IF('Bank Schedule'!$K$2:$K$817="Vacant", ROW('Bank Schedule'!$K$2:$K$817)), ROW(122:122))), "")</f>
        <v/>
      </c>
      <c r="M125" s="71" t="str">
        <f aca="false" t="array" ref="M125:M125">IFERROR(INDEX('Bank Schedule'!N:N, SMALL(IF('Bank Schedule'!$K$2:$K$817="Vacant", ROW('Bank Schedule'!$K$2:$K$817)), ROW(122:122))), "")</f>
        <v/>
      </c>
      <c r="N125" s="11" t="str">
        <f aca="false" t="array" ref="N125:N125">IFERROR(INDEX('Bank Schedule'!O:O, SMALL(IF('Bank Schedule'!$K$2:$K$817="Vacant", ROW('Bank Schedule'!$K$2:$K$817)), ROW(122:122))), "")</f>
        <v/>
      </c>
      <c r="O125" s="11" t="str">
        <f aca="false" t="array" ref="O125:O125">IFERROR(INDEX('Bank Schedule'!P:P, SMALL(IF('Bank Schedule'!$K$2:$K$817="Vacant", ROW('Bank Schedule'!$K$2:$K$817)), ROW(122:122))), "")</f>
        <v/>
      </c>
      <c r="P125" s="11" t="str">
        <f aca="false" t="array" ref="P125:P125">IFERROR(INDEX('Bank Schedule'!Q:Q, SMALL(IF('Bank Schedule'!$K$2:$K$817="Vacant", ROW('Bank Schedule'!$K$2:$K$817)), ROW(122:122))), "")</f>
        <v/>
      </c>
      <c r="Q125" s="11" t="str">
        <f aca="false" t="array" ref="Q125:Q125">IFERROR(INDEX('Bank Schedule'!R:R, SMALL(IF('Bank Schedule'!$K$2:$K$817="Vacant", ROW('Bank Schedule'!$K$2:$K$817)), ROW(122:122))), "")</f>
        <v/>
      </c>
      <c r="R125" s="11" t="str">
        <f aca="false" t="array" ref="R125:R125">IFERROR(INDEX('Bank Schedule'!S:S, SMALL(IF('Bank Schedule'!$K$2:$K$817="Vacant", ROW('Bank Schedule'!$K$2:$K$817)), ROW(122:122))), "")</f>
        <v/>
      </c>
      <c r="S125" s="281" t="str">
        <f aca="false" t="array" ref="S125:S125">IFERROR(INDEX('Bank Schedule'!T:T, SMALL(IF('Bank Schedule'!$K$2:$K$817="Vacant", ROW('Bank Schedule'!$K$2:$K$817)), ROW(122:122))), "")</f>
        <v/>
      </c>
      <c r="T125" s="281" t="str">
        <f aca="false" t="array" ref="T125:T125">IFERROR(INDEX('Bank Schedule'!U:U, SMALL(IF('Bank Schedule'!$K$2:$K$817="Vacant", ROW('Bank Schedule'!$K$2:$K$817)), ROW(122:122))), "")</f>
        <v/>
      </c>
      <c r="U125" s="281" t="str">
        <f aca="false" t="array" ref="U125:U125">IFERROR(INDEX('Bank Schedule'!V:V, SMALL(IF('Bank Schedule'!$K$2:$K$817="Vacant", ROW('Bank Schedule'!$K$2:$K$817)), ROW(122:122))), "")</f>
        <v/>
      </c>
      <c r="V125" s="281" t="str">
        <f aca="false" t="array" ref="V125:V125">IFERROR(INDEX('Bank Schedule'!W:W, SMALL(IF('Bank Schedule'!$K$2:$K$817="Vacant", ROW('Bank Schedule'!$K$2:$K$817)), ROW(122:122))), "")</f>
        <v/>
      </c>
      <c r="W125" s="282" t="str">
        <f aca="false" t="array" ref="W125:W125">IFERROR(INDEX('Bank Schedule'!X:X, SMALL(IF('Bank Schedule'!$K$2:$K$817="Vacant", ROW('Bank Schedule'!$K$2:$K$817)), ROW(122:122))), "")</f>
        <v/>
      </c>
      <c r="X125" s="11" t="str">
        <f aca="false" t="array" ref="X125:X125">IFERROR(INDEX('Bank Schedule'!Y:Y, SMALL(IF('Bank Schedule'!$K$2:$K$817="Vacant", ROW('Bank Schedule'!$K$2:$K$817)), ROW(122:122))), "")</f>
        <v/>
      </c>
      <c r="Y125" s="11" t="str">
        <f aca="false" t="array" ref="Y125:Y125">IFERROR(INDEX('Bank Schedule'!Z:Z, SMALL(IF('Bank Schedule'!$K$2:$K$817="Vacant", ROW('Bank Schedule'!$K$2:$K$817)), ROW(122:122))), "")</f>
        <v/>
      </c>
      <c r="Z125" s="11" t="str">
        <f aca="false" t="array" ref="Z125:Z125">IFERROR(INDEX('Bank Schedule'!AA:AA, SMALL(IF('Bank Schedule'!$K$2:$K$817="Vacant", ROW('Bank Schedule'!$K$2:$K$817)), ROW(122:122))), "")</f>
        <v/>
      </c>
      <c r="AA125" s="11" t="str">
        <f aca="false" t="array" ref="AA125:AA125">IFERROR(INDEX('Bank Schedule'!AB:AB, SMALL(IF('Bank Schedule'!$K$2:$K$817="Vacant", ROW('Bank Schedule'!$K$2:$K$817)), ROW(122:122))), "")</f>
        <v/>
      </c>
      <c r="AB125" s="94" t="str">
        <f aca="false" t="array" ref="AB125:AB125">IFERROR(INDEX('Bank Schedule'!AC:AC, SMALL(IF('Bank Schedule'!$K$2:$K$817="Vacant", ROW('Bank Schedule'!$K$2:$K$817)), ROW(122:122))), "")</f>
        <v/>
      </c>
      <c r="AC125" s="44" t="str">
        <f aca="false" t="array" ref="AC125:AC125">IFERROR(INDEX('Bank Schedule'!AD:AD, SMALL(IF('Bank Schedule'!$K$2:$K$817="Vacant", ROW('Bank Schedule'!$K$2:$K$817)), ROW(122:122))), "")</f>
        <v/>
      </c>
      <c r="AD125" s="11" t="str">
        <f aca="false" t="array" ref="AD125:AD125">IFERROR(INDEX('Bank Schedule'!AE:AE, SMALL(IF('Bank Schedule'!$K$2:$K$817="Vacant", ROW('Bank Schedule'!$K$2:$K$817)), ROW(122:122))), "")</f>
        <v/>
      </c>
      <c r="AE125" s="11" t="str">
        <f aca="false" t="array" ref="AE125:AE125">IFERROR(INDEX('Bank Schedule'!AF:AF, SMALL(IF('Bank Schedule'!$K$2:$K$817="Vacant", ROW('Bank Schedule'!$K$2:$K$817)), ROW(122:122))), "")</f>
        <v/>
      </c>
      <c r="AF125" s="11" t="str">
        <f aca="false" t="array" ref="AF125:AF125">IFERROR(INDEX('Bank Schedule'!AG:AG, SMALL(IF('Bank Schedule'!$K$2:$K$817="Vacant", ROW('Bank Schedule'!$K$2:$K$817)), ROW(122:122))), "")</f>
        <v/>
      </c>
      <c r="AG125" s="4"/>
    </row>
    <row r="126" customFormat="false" ht="28.5" hidden="false" customHeight="true" outlineLevel="0" collapsed="false">
      <c r="A126" s="28" t="str">
        <f aca="false" t="array" ref="A126:A126">IFERROR(INDEX('Bank Schedule'!A:A, SMALL(IF('Bank Schedule'!$K$2:$K$817="Vacant", ROW('Bank Schedule'!$K$2:$K$817)), ROW(123:123))), "")</f>
        <v/>
      </c>
      <c r="B126" s="11" t="str">
        <f aca="false" t="array" ref="B126:B126">IFERROR(INDEX('Bank Schedule'!B:B, SMALL(IF('Bank Schedule'!$K$2:$K$817="Vacant", ROW('Bank Schedule'!$K$2:$K$817)), ROW(123:123))), "")</f>
        <v/>
      </c>
      <c r="C126" s="11" t="str">
        <f aca="false" t="array" ref="C126:C126">IFERROR(INDEX('Bank Schedule'!C:C, SMALL(IF('Bank Schedule'!$K$2:$K$817="Vacant", ROW('Bank Schedule'!$K$2:$K$817)), ROW(123:123))), "")</f>
        <v/>
      </c>
      <c r="D126" s="11" t="str">
        <f aca="false" t="array" ref="D126:D126">IFERROR(INDEX('Bank Schedule'!D:D, SMALL(IF('Bank Schedule'!$K$2:$K$817="Vacant", ROW('Bank Schedule'!$K$2:$K$817)), ROW(123:123))), "")</f>
        <v/>
      </c>
      <c r="E126" s="94" t="str">
        <f aca="false" t="array" ref="E126:E126">IFERROR(INDEX('Bank Schedule'!E:E, SMALL(IF('Bank Schedule'!$K$2:$K$817="Vacant", ROW('Bank Schedule'!$K$2:$K$817)), ROW(123:123))), "")</f>
        <v/>
      </c>
      <c r="F126" s="94" t="str">
        <f aca="false" t="array" ref="F126:F126">IFERROR(INDEX('Bank Schedule'!F:F, SMALL(IF('Bank Schedule'!$K$2:$K$817="Vacant", ROW('Bank Schedule'!$K$2:$K$817)), ROW(123:123))), "")</f>
        <v/>
      </c>
      <c r="G126" s="94" t="str">
        <f aca="false" t="array" ref="G126:G126">IFERROR(INDEX('Bank Schedule'!G:G, SMALL(IF('Bank Schedule'!$K$2:$K$817="Vacant", ROW('Bank Schedule'!$K$2:$K$817)), ROW(123:123))), "")</f>
        <v/>
      </c>
      <c r="H126" s="14" t="str">
        <f aca="false" t="array" ref="H126:H126">IFERROR(INDEX('Bank Schedule'!H:H, SMALL(IF('Bank Schedule'!$K$2:$K$817="Vacant", ROW('Bank Schedule'!$K$2:$K$817)), ROW(123:123))), "")</f>
        <v/>
      </c>
      <c r="I126" s="14" t="str">
        <f aca="false" t="array" ref="I126:I126">IFERROR(INDEX('Bank Schedule'!I:I, SMALL(IF('Bank Schedule'!$K$2:$K$817="Vacant", ROW('Bank Schedule'!$K$2:$K$817)), ROW(123:123))), "")</f>
        <v/>
      </c>
      <c r="J126" s="11" t="str">
        <f aca="false" t="array" ref="J126:J126">IFERROR(INDEX('Bank Schedule'!K:K, SMALL(IF('Bank Schedule'!$K$2:$K$817="Vacant", ROW('Bank Schedule'!$K$2:$K$817)), ROW(123:123))), "")</f>
        <v/>
      </c>
      <c r="K126" s="11" t="str">
        <f aca="false" t="array" ref="K126:K126">IFERROR(INDEX('Bank Schedule'!L:L, SMALL(IF('Bank Schedule'!$K$2:$K$817="Vacant", ROW('Bank Schedule'!$K$2:$K$817)), ROW(123:123))), "")</f>
        <v/>
      </c>
      <c r="L126" s="11" t="str">
        <f aca="false" t="array" ref="L126:L126">IFERROR(INDEX('Bank Schedule'!M:M, SMALL(IF('Bank Schedule'!$K$2:$K$817="Vacant", ROW('Bank Schedule'!$K$2:$K$817)), ROW(123:123))), "")</f>
        <v/>
      </c>
      <c r="M126" s="71" t="str">
        <f aca="false" t="array" ref="M126:M126">IFERROR(INDEX('Bank Schedule'!N:N, SMALL(IF('Bank Schedule'!$K$2:$K$817="Vacant", ROW('Bank Schedule'!$K$2:$K$817)), ROW(123:123))), "")</f>
        <v/>
      </c>
      <c r="N126" s="11" t="str">
        <f aca="false" t="array" ref="N126:N126">IFERROR(INDEX('Bank Schedule'!O:O, SMALL(IF('Bank Schedule'!$K$2:$K$817="Vacant", ROW('Bank Schedule'!$K$2:$K$817)), ROW(123:123))), "")</f>
        <v/>
      </c>
      <c r="O126" s="11" t="str">
        <f aca="false" t="array" ref="O126:O126">IFERROR(INDEX('Bank Schedule'!P:P, SMALL(IF('Bank Schedule'!$K$2:$K$817="Vacant", ROW('Bank Schedule'!$K$2:$K$817)), ROW(123:123))), "")</f>
        <v/>
      </c>
      <c r="P126" s="11" t="str">
        <f aca="false" t="array" ref="P126:P126">IFERROR(INDEX('Bank Schedule'!Q:Q, SMALL(IF('Bank Schedule'!$K$2:$K$817="Vacant", ROW('Bank Schedule'!$K$2:$K$817)), ROW(123:123))), "")</f>
        <v/>
      </c>
      <c r="Q126" s="11" t="str">
        <f aca="false" t="array" ref="Q126:Q126">IFERROR(INDEX('Bank Schedule'!R:R, SMALL(IF('Bank Schedule'!$K$2:$K$817="Vacant", ROW('Bank Schedule'!$K$2:$K$817)), ROW(123:123))), "")</f>
        <v/>
      </c>
      <c r="R126" s="11" t="str">
        <f aca="false" t="array" ref="R126:R126">IFERROR(INDEX('Bank Schedule'!S:S, SMALL(IF('Bank Schedule'!$K$2:$K$817="Vacant", ROW('Bank Schedule'!$K$2:$K$817)), ROW(123:123))), "")</f>
        <v/>
      </c>
      <c r="S126" s="281" t="str">
        <f aca="false" t="array" ref="S126:S126">IFERROR(INDEX('Bank Schedule'!T:T, SMALL(IF('Bank Schedule'!$K$2:$K$817="Vacant", ROW('Bank Schedule'!$K$2:$K$817)), ROW(123:123))), "")</f>
        <v/>
      </c>
      <c r="T126" s="281" t="str">
        <f aca="false" t="array" ref="T126:T126">IFERROR(INDEX('Bank Schedule'!U:U, SMALL(IF('Bank Schedule'!$K$2:$K$817="Vacant", ROW('Bank Schedule'!$K$2:$K$817)), ROW(123:123))), "")</f>
        <v/>
      </c>
      <c r="U126" s="281" t="str">
        <f aca="false" t="array" ref="U126:U126">IFERROR(INDEX('Bank Schedule'!V:V, SMALL(IF('Bank Schedule'!$K$2:$K$817="Vacant", ROW('Bank Schedule'!$K$2:$K$817)), ROW(123:123))), "")</f>
        <v/>
      </c>
      <c r="V126" s="281" t="str">
        <f aca="false" t="array" ref="V126:V126">IFERROR(INDEX('Bank Schedule'!W:W, SMALL(IF('Bank Schedule'!$K$2:$K$817="Vacant", ROW('Bank Schedule'!$K$2:$K$817)), ROW(123:123))), "")</f>
        <v/>
      </c>
      <c r="W126" s="282" t="str">
        <f aca="false" t="array" ref="W126:W126">IFERROR(INDEX('Bank Schedule'!X:X, SMALL(IF('Bank Schedule'!$K$2:$K$817="Vacant", ROW('Bank Schedule'!$K$2:$K$817)), ROW(123:123))), "")</f>
        <v/>
      </c>
      <c r="X126" s="11" t="str">
        <f aca="false" t="array" ref="X126:X126">IFERROR(INDEX('Bank Schedule'!Y:Y, SMALL(IF('Bank Schedule'!$K$2:$K$817="Vacant", ROW('Bank Schedule'!$K$2:$K$817)), ROW(123:123))), "")</f>
        <v/>
      </c>
      <c r="Y126" s="11" t="str">
        <f aca="false" t="array" ref="Y126:Y126">IFERROR(INDEX('Bank Schedule'!Z:Z, SMALL(IF('Bank Schedule'!$K$2:$K$817="Vacant", ROW('Bank Schedule'!$K$2:$K$817)), ROW(123:123))), "")</f>
        <v/>
      </c>
      <c r="Z126" s="11" t="str">
        <f aca="false" t="array" ref="Z126:Z126">IFERROR(INDEX('Bank Schedule'!AA:AA, SMALL(IF('Bank Schedule'!$K$2:$K$817="Vacant", ROW('Bank Schedule'!$K$2:$K$817)), ROW(123:123))), "")</f>
        <v/>
      </c>
      <c r="AA126" s="11" t="str">
        <f aca="false" t="array" ref="AA126:AA126">IFERROR(INDEX('Bank Schedule'!AB:AB, SMALL(IF('Bank Schedule'!$K$2:$K$817="Vacant", ROW('Bank Schedule'!$K$2:$K$817)), ROW(123:123))), "")</f>
        <v/>
      </c>
      <c r="AB126" s="94" t="str">
        <f aca="false" t="array" ref="AB126:AB126">IFERROR(INDEX('Bank Schedule'!AC:AC, SMALL(IF('Bank Schedule'!$K$2:$K$817="Vacant", ROW('Bank Schedule'!$K$2:$K$817)), ROW(123:123))), "")</f>
        <v/>
      </c>
      <c r="AC126" s="44" t="str">
        <f aca="false" t="array" ref="AC126:AC126">IFERROR(INDEX('Bank Schedule'!AD:AD, SMALL(IF('Bank Schedule'!$K$2:$K$817="Vacant", ROW('Bank Schedule'!$K$2:$K$817)), ROW(123:123))), "")</f>
        <v/>
      </c>
      <c r="AD126" s="11" t="str">
        <f aca="false" t="array" ref="AD126:AD126">IFERROR(INDEX('Bank Schedule'!AE:AE, SMALL(IF('Bank Schedule'!$K$2:$K$817="Vacant", ROW('Bank Schedule'!$K$2:$K$817)), ROW(123:123))), "")</f>
        <v/>
      </c>
      <c r="AE126" s="11" t="str">
        <f aca="false" t="array" ref="AE126:AE126">IFERROR(INDEX('Bank Schedule'!AF:AF, SMALL(IF('Bank Schedule'!$K$2:$K$817="Vacant", ROW('Bank Schedule'!$K$2:$K$817)), ROW(123:123))), "")</f>
        <v/>
      </c>
      <c r="AF126" s="11" t="str">
        <f aca="false" t="array" ref="AF126:AF126">IFERROR(INDEX('Bank Schedule'!AG:AG, SMALL(IF('Bank Schedule'!$K$2:$K$817="Vacant", ROW('Bank Schedule'!$K$2:$K$817)), ROW(123:123))), "")</f>
        <v/>
      </c>
      <c r="AG126" s="4"/>
    </row>
    <row r="127" customFormat="false" ht="28.5" hidden="false" customHeight="true" outlineLevel="0" collapsed="false">
      <c r="A127" s="28" t="str">
        <f aca="false" t="array" ref="A127:A127">IFERROR(INDEX('Bank Schedule'!A:A, SMALL(IF('Bank Schedule'!$K$2:$K$817="Vacant", ROW('Bank Schedule'!$K$2:$K$817)), ROW(124:124))), "")</f>
        <v/>
      </c>
      <c r="B127" s="11" t="str">
        <f aca="false" t="array" ref="B127:B127">IFERROR(INDEX('Bank Schedule'!B:B, SMALL(IF('Bank Schedule'!$K$2:$K$817="Vacant", ROW('Bank Schedule'!$K$2:$K$817)), ROW(124:124))), "")</f>
        <v/>
      </c>
      <c r="C127" s="11" t="str">
        <f aca="false" t="array" ref="C127:C127">IFERROR(INDEX('Bank Schedule'!C:C, SMALL(IF('Bank Schedule'!$K$2:$K$817="Vacant", ROW('Bank Schedule'!$K$2:$K$817)), ROW(124:124))), "")</f>
        <v/>
      </c>
      <c r="D127" s="11" t="str">
        <f aca="false" t="array" ref="D127:D127">IFERROR(INDEX('Bank Schedule'!D:D, SMALL(IF('Bank Schedule'!$K$2:$K$817="Vacant", ROW('Bank Schedule'!$K$2:$K$817)), ROW(124:124))), "")</f>
        <v/>
      </c>
      <c r="E127" s="94" t="str">
        <f aca="false" t="array" ref="E127:E127">IFERROR(INDEX('Bank Schedule'!E:E, SMALL(IF('Bank Schedule'!$K$2:$K$817="Vacant", ROW('Bank Schedule'!$K$2:$K$817)), ROW(124:124))), "")</f>
        <v/>
      </c>
      <c r="F127" s="94" t="str">
        <f aca="false" t="array" ref="F127:F127">IFERROR(INDEX('Bank Schedule'!F:F, SMALL(IF('Bank Schedule'!$K$2:$K$817="Vacant", ROW('Bank Schedule'!$K$2:$K$817)), ROW(124:124))), "")</f>
        <v/>
      </c>
      <c r="G127" s="94" t="str">
        <f aca="false" t="array" ref="G127:G127">IFERROR(INDEX('Bank Schedule'!G:G, SMALL(IF('Bank Schedule'!$K$2:$K$817="Vacant", ROW('Bank Schedule'!$K$2:$K$817)), ROW(124:124))), "")</f>
        <v/>
      </c>
      <c r="H127" s="14" t="str">
        <f aca="false" t="array" ref="H127:H127">IFERROR(INDEX('Bank Schedule'!H:H, SMALL(IF('Bank Schedule'!$K$2:$K$817="Vacant", ROW('Bank Schedule'!$K$2:$K$817)), ROW(124:124))), "")</f>
        <v/>
      </c>
      <c r="I127" s="14" t="str">
        <f aca="false" t="array" ref="I127:I127">IFERROR(INDEX('Bank Schedule'!I:I, SMALL(IF('Bank Schedule'!$K$2:$K$817="Vacant", ROW('Bank Schedule'!$K$2:$K$817)), ROW(124:124))), "")</f>
        <v/>
      </c>
      <c r="J127" s="11" t="str">
        <f aca="false" t="array" ref="J127:J127">IFERROR(INDEX('Bank Schedule'!K:K, SMALL(IF('Bank Schedule'!$K$2:$K$817="Vacant", ROW('Bank Schedule'!$K$2:$K$817)), ROW(124:124))), "")</f>
        <v/>
      </c>
      <c r="K127" s="11" t="str">
        <f aca="false" t="array" ref="K127:K127">IFERROR(INDEX('Bank Schedule'!L:L, SMALL(IF('Bank Schedule'!$K$2:$K$817="Vacant", ROW('Bank Schedule'!$K$2:$K$817)), ROW(124:124))), "")</f>
        <v/>
      </c>
      <c r="L127" s="11" t="str">
        <f aca="false" t="array" ref="L127:L127">IFERROR(INDEX('Bank Schedule'!M:M, SMALL(IF('Bank Schedule'!$K$2:$K$817="Vacant", ROW('Bank Schedule'!$K$2:$K$817)), ROW(124:124))), "")</f>
        <v/>
      </c>
      <c r="M127" s="71" t="str">
        <f aca="false" t="array" ref="M127:M127">IFERROR(INDEX('Bank Schedule'!N:N, SMALL(IF('Bank Schedule'!$K$2:$K$817="Vacant", ROW('Bank Schedule'!$K$2:$K$817)), ROW(124:124))), "")</f>
        <v/>
      </c>
      <c r="N127" s="11" t="str">
        <f aca="false" t="array" ref="N127:N127">IFERROR(INDEX('Bank Schedule'!O:O, SMALL(IF('Bank Schedule'!$K$2:$K$817="Vacant", ROW('Bank Schedule'!$K$2:$K$817)), ROW(124:124))), "")</f>
        <v/>
      </c>
      <c r="O127" s="11" t="str">
        <f aca="false" t="array" ref="O127:O127">IFERROR(INDEX('Bank Schedule'!P:P, SMALL(IF('Bank Schedule'!$K$2:$K$817="Vacant", ROW('Bank Schedule'!$K$2:$K$817)), ROW(124:124))), "")</f>
        <v/>
      </c>
      <c r="P127" s="11" t="str">
        <f aca="false" t="array" ref="P127:P127">IFERROR(INDEX('Bank Schedule'!Q:Q, SMALL(IF('Bank Schedule'!$K$2:$K$817="Vacant", ROW('Bank Schedule'!$K$2:$K$817)), ROW(124:124))), "")</f>
        <v/>
      </c>
      <c r="Q127" s="11" t="str">
        <f aca="false" t="array" ref="Q127:Q127">IFERROR(INDEX('Bank Schedule'!R:R, SMALL(IF('Bank Schedule'!$K$2:$K$817="Vacant", ROW('Bank Schedule'!$K$2:$K$817)), ROW(124:124))), "")</f>
        <v/>
      </c>
      <c r="R127" s="11" t="str">
        <f aca="false" t="array" ref="R127:R127">IFERROR(INDEX('Bank Schedule'!S:S, SMALL(IF('Bank Schedule'!$K$2:$K$817="Vacant", ROW('Bank Schedule'!$K$2:$K$817)), ROW(124:124))), "")</f>
        <v/>
      </c>
      <c r="S127" s="281" t="str">
        <f aca="false" t="array" ref="S127:S127">IFERROR(INDEX('Bank Schedule'!T:T, SMALL(IF('Bank Schedule'!$K$2:$K$817="Vacant", ROW('Bank Schedule'!$K$2:$K$817)), ROW(124:124))), "")</f>
        <v/>
      </c>
      <c r="T127" s="281" t="str">
        <f aca="false" t="array" ref="T127:T127">IFERROR(INDEX('Bank Schedule'!U:U, SMALL(IF('Bank Schedule'!$K$2:$K$817="Vacant", ROW('Bank Schedule'!$K$2:$K$817)), ROW(124:124))), "")</f>
        <v/>
      </c>
      <c r="U127" s="281" t="str">
        <f aca="false" t="array" ref="U127:U127">IFERROR(INDEX('Bank Schedule'!V:V, SMALL(IF('Bank Schedule'!$K$2:$K$817="Vacant", ROW('Bank Schedule'!$K$2:$K$817)), ROW(124:124))), "")</f>
        <v/>
      </c>
      <c r="V127" s="281" t="str">
        <f aca="false" t="array" ref="V127:V127">IFERROR(INDEX('Bank Schedule'!W:W, SMALL(IF('Bank Schedule'!$K$2:$K$817="Vacant", ROW('Bank Schedule'!$K$2:$K$817)), ROW(124:124))), "")</f>
        <v/>
      </c>
      <c r="W127" s="282" t="str">
        <f aca="false" t="array" ref="W127:W127">IFERROR(INDEX('Bank Schedule'!X:X, SMALL(IF('Bank Schedule'!$K$2:$K$817="Vacant", ROW('Bank Schedule'!$K$2:$K$817)), ROW(124:124))), "")</f>
        <v/>
      </c>
      <c r="X127" s="11" t="str">
        <f aca="false" t="array" ref="X127:X127">IFERROR(INDEX('Bank Schedule'!Y:Y, SMALL(IF('Bank Schedule'!$K$2:$K$817="Vacant", ROW('Bank Schedule'!$K$2:$K$817)), ROW(124:124))), "")</f>
        <v/>
      </c>
      <c r="Y127" s="11" t="str">
        <f aca="false" t="array" ref="Y127:Y127">IFERROR(INDEX('Bank Schedule'!Z:Z, SMALL(IF('Bank Schedule'!$K$2:$K$817="Vacant", ROW('Bank Schedule'!$K$2:$K$817)), ROW(124:124))), "")</f>
        <v/>
      </c>
      <c r="Z127" s="11" t="str">
        <f aca="false" t="array" ref="Z127:Z127">IFERROR(INDEX('Bank Schedule'!AA:AA, SMALL(IF('Bank Schedule'!$K$2:$K$817="Vacant", ROW('Bank Schedule'!$K$2:$K$817)), ROW(124:124))), "")</f>
        <v/>
      </c>
      <c r="AA127" s="11" t="str">
        <f aca="false" t="array" ref="AA127:AA127">IFERROR(INDEX('Bank Schedule'!AB:AB, SMALL(IF('Bank Schedule'!$K$2:$K$817="Vacant", ROW('Bank Schedule'!$K$2:$K$817)), ROW(124:124))), "")</f>
        <v/>
      </c>
      <c r="AB127" s="94" t="str">
        <f aca="false" t="array" ref="AB127:AB127">IFERROR(INDEX('Bank Schedule'!AC:AC, SMALL(IF('Bank Schedule'!$K$2:$K$817="Vacant", ROW('Bank Schedule'!$K$2:$K$817)), ROW(124:124))), "")</f>
        <v/>
      </c>
      <c r="AC127" s="44" t="str">
        <f aca="false" t="array" ref="AC127:AC127">IFERROR(INDEX('Bank Schedule'!AD:AD, SMALL(IF('Bank Schedule'!$K$2:$K$817="Vacant", ROW('Bank Schedule'!$K$2:$K$817)), ROW(124:124))), "")</f>
        <v/>
      </c>
      <c r="AD127" s="11" t="str">
        <f aca="false" t="array" ref="AD127:AD127">IFERROR(INDEX('Bank Schedule'!AE:AE, SMALL(IF('Bank Schedule'!$K$2:$K$817="Vacant", ROW('Bank Schedule'!$K$2:$K$817)), ROW(124:124))), "")</f>
        <v/>
      </c>
      <c r="AE127" s="11" t="str">
        <f aca="false" t="array" ref="AE127:AE127">IFERROR(INDEX('Bank Schedule'!AF:AF, SMALL(IF('Bank Schedule'!$K$2:$K$817="Vacant", ROW('Bank Schedule'!$K$2:$K$817)), ROW(124:124))), "")</f>
        <v/>
      </c>
      <c r="AF127" s="11" t="str">
        <f aca="false" t="array" ref="AF127:AF127">IFERROR(INDEX('Bank Schedule'!AG:AG, SMALL(IF('Bank Schedule'!$K$2:$K$817="Vacant", ROW('Bank Schedule'!$K$2:$K$817)), ROW(124:124))), "")</f>
        <v/>
      </c>
      <c r="AG127" s="4"/>
    </row>
    <row r="128" customFormat="false" ht="28.5" hidden="false" customHeight="true" outlineLevel="0" collapsed="false">
      <c r="A128" s="28" t="str">
        <f aca="false" t="array" ref="A128:A128">IFERROR(INDEX('Bank Schedule'!A:A, SMALL(IF('Bank Schedule'!$K$2:$K$817="Vacant", ROW('Bank Schedule'!$K$2:$K$817)), ROW(125:125))), "")</f>
        <v/>
      </c>
      <c r="B128" s="11" t="str">
        <f aca="false" t="array" ref="B128:B128">IFERROR(INDEX('Bank Schedule'!B:B, SMALL(IF('Bank Schedule'!$K$2:$K$817="Vacant", ROW('Bank Schedule'!$K$2:$K$817)), ROW(125:125))), "")</f>
        <v/>
      </c>
      <c r="C128" s="11" t="str">
        <f aca="false" t="array" ref="C128:C128">IFERROR(INDEX('Bank Schedule'!C:C, SMALL(IF('Bank Schedule'!$K$2:$K$817="Vacant", ROW('Bank Schedule'!$K$2:$K$817)), ROW(125:125))), "")</f>
        <v/>
      </c>
      <c r="D128" s="11" t="str">
        <f aca="false" t="array" ref="D128:D128">IFERROR(INDEX('Bank Schedule'!D:D, SMALL(IF('Bank Schedule'!$K$2:$K$817="Vacant", ROW('Bank Schedule'!$K$2:$K$817)), ROW(125:125))), "")</f>
        <v/>
      </c>
      <c r="E128" s="94" t="str">
        <f aca="false" t="array" ref="E128:E128">IFERROR(INDEX('Bank Schedule'!E:E, SMALL(IF('Bank Schedule'!$K$2:$K$817="Vacant", ROW('Bank Schedule'!$K$2:$K$817)), ROW(125:125))), "")</f>
        <v/>
      </c>
      <c r="F128" s="94" t="str">
        <f aca="false" t="array" ref="F128:F128">IFERROR(INDEX('Bank Schedule'!F:F, SMALL(IF('Bank Schedule'!$K$2:$K$817="Vacant", ROW('Bank Schedule'!$K$2:$K$817)), ROW(125:125))), "")</f>
        <v/>
      </c>
      <c r="G128" s="94" t="str">
        <f aca="false" t="array" ref="G128:G128">IFERROR(INDEX('Bank Schedule'!G:G, SMALL(IF('Bank Schedule'!$K$2:$K$817="Vacant", ROW('Bank Schedule'!$K$2:$K$817)), ROW(125:125))), "")</f>
        <v/>
      </c>
      <c r="H128" s="14" t="str">
        <f aca="false" t="array" ref="H128:H128">IFERROR(INDEX('Bank Schedule'!H:H, SMALL(IF('Bank Schedule'!$K$2:$K$817="Vacant", ROW('Bank Schedule'!$K$2:$K$817)), ROW(125:125))), "")</f>
        <v/>
      </c>
      <c r="I128" s="14" t="str">
        <f aca="false" t="array" ref="I128:I128">IFERROR(INDEX('Bank Schedule'!I:I, SMALL(IF('Bank Schedule'!$K$2:$K$817="Vacant", ROW('Bank Schedule'!$K$2:$K$817)), ROW(125:125))), "")</f>
        <v/>
      </c>
      <c r="J128" s="11" t="str">
        <f aca="false" t="array" ref="J128:J128">IFERROR(INDEX('Bank Schedule'!K:K, SMALL(IF('Bank Schedule'!$K$2:$K$817="Vacant", ROW('Bank Schedule'!$K$2:$K$817)), ROW(125:125))), "")</f>
        <v/>
      </c>
      <c r="K128" s="11" t="str">
        <f aca="false" t="array" ref="K128:K128">IFERROR(INDEX('Bank Schedule'!L:L, SMALL(IF('Bank Schedule'!$K$2:$K$817="Vacant", ROW('Bank Schedule'!$K$2:$K$817)), ROW(125:125))), "")</f>
        <v/>
      </c>
      <c r="L128" s="11" t="str">
        <f aca="false" t="array" ref="L128:L128">IFERROR(INDEX('Bank Schedule'!M:M, SMALL(IF('Bank Schedule'!$K$2:$K$817="Vacant", ROW('Bank Schedule'!$K$2:$K$817)), ROW(125:125))), "")</f>
        <v/>
      </c>
      <c r="M128" s="71" t="str">
        <f aca="false" t="array" ref="M128:M128">IFERROR(INDEX('Bank Schedule'!N:N, SMALL(IF('Bank Schedule'!$K$2:$K$817="Vacant", ROW('Bank Schedule'!$K$2:$K$817)), ROW(125:125))), "")</f>
        <v/>
      </c>
      <c r="N128" s="11" t="str">
        <f aca="false" t="array" ref="N128:N128">IFERROR(INDEX('Bank Schedule'!O:O, SMALL(IF('Bank Schedule'!$K$2:$K$817="Vacant", ROW('Bank Schedule'!$K$2:$K$817)), ROW(125:125))), "")</f>
        <v/>
      </c>
      <c r="O128" s="11" t="str">
        <f aca="false" t="array" ref="O128:O128">IFERROR(INDEX('Bank Schedule'!P:P, SMALL(IF('Bank Schedule'!$K$2:$K$817="Vacant", ROW('Bank Schedule'!$K$2:$K$817)), ROW(125:125))), "")</f>
        <v/>
      </c>
      <c r="P128" s="11" t="str">
        <f aca="false" t="array" ref="P128:P128">IFERROR(INDEX('Bank Schedule'!Q:Q, SMALL(IF('Bank Schedule'!$K$2:$K$817="Vacant", ROW('Bank Schedule'!$K$2:$K$817)), ROW(125:125))), "")</f>
        <v/>
      </c>
      <c r="Q128" s="11" t="str">
        <f aca="false" t="array" ref="Q128:Q128">IFERROR(INDEX('Bank Schedule'!R:R, SMALL(IF('Bank Schedule'!$K$2:$K$817="Vacant", ROW('Bank Schedule'!$K$2:$K$817)), ROW(125:125))), "")</f>
        <v/>
      </c>
      <c r="R128" s="11" t="str">
        <f aca="false" t="array" ref="R128:R128">IFERROR(INDEX('Bank Schedule'!S:S, SMALL(IF('Bank Schedule'!$K$2:$K$817="Vacant", ROW('Bank Schedule'!$K$2:$K$817)), ROW(125:125))), "")</f>
        <v/>
      </c>
      <c r="S128" s="281" t="str">
        <f aca="false" t="array" ref="S128:S128">IFERROR(INDEX('Bank Schedule'!T:T, SMALL(IF('Bank Schedule'!$K$2:$K$817="Vacant", ROW('Bank Schedule'!$K$2:$K$817)), ROW(125:125))), "")</f>
        <v/>
      </c>
      <c r="T128" s="281" t="str">
        <f aca="false" t="array" ref="T128:T128">IFERROR(INDEX('Bank Schedule'!U:U, SMALL(IF('Bank Schedule'!$K$2:$K$817="Vacant", ROW('Bank Schedule'!$K$2:$K$817)), ROW(125:125))), "")</f>
        <v/>
      </c>
      <c r="U128" s="281" t="str">
        <f aca="false" t="array" ref="U128:U128">IFERROR(INDEX('Bank Schedule'!V:V, SMALL(IF('Bank Schedule'!$K$2:$K$817="Vacant", ROW('Bank Schedule'!$K$2:$K$817)), ROW(125:125))), "")</f>
        <v/>
      </c>
      <c r="V128" s="281" t="str">
        <f aca="false" t="array" ref="V128:V128">IFERROR(INDEX('Bank Schedule'!W:W, SMALL(IF('Bank Schedule'!$K$2:$K$817="Vacant", ROW('Bank Schedule'!$K$2:$K$817)), ROW(125:125))), "")</f>
        <v/>
      </c>
      <c r="W128" s="282" t="str">
        <f aca="false" t="array" ref="W128:W128">IFERROR(INDEX('Bank Schedule'!X:X, SMALL(IF('Bank Schedule'!$K$2:$K$817="Vacant", ROW('Bank Schedule'!$K$2:$K$817)), ROW(125:125))), "")</f>
        <v/>
      </c>
      <c r="X128" s="11" t="str">
        <f aca="false" t="array" ref="X128:X128">IFERROR(INDEX('Bank Schedule'!Y:Y, SMALL(IF('Bank Schedule'!$K$2:$K$817="Vacant", ROW('Bank Schedule'!$K$2:$K$817)), ROW(125:125))), "")</f>
        <v/>
      </c>
      <c r="Y128" s="11" t="str">
        <f aca="false" t="array" ref="Y128:Y128">IFERROR(INDEX('Bank Schedule'!Z:Z, SMALL(IF('Bank Schedule'!$K$2:$K$817="Vacant", ROW('Bank Schedule'!$K$2:$K$817)), ROW(125:125))), "")</f>
        <v/>
      </c>
      <c r="Z128" s="11" t="str">
        <f aca="false" t="array" ref="Z128:Z128">IFERROR(INDEX('Bank Schedule'!AA:AA, SMALL(IF('Bank Schedule'!$K$2:$K$817="Vacant", ROW('Bank Schedule'!$K$2:$K$817)), ROW(125:125))), "")</f>
        <v/>
      </c>
      <c r="AA128" s="11" t="str">
        <f aca="false" t="array" ref="AA128:AA128">IFERROR(INDEX('Bank Schedule'!AB:AB, SMALL(IF('Bank Schedule'!$K$2:$K$817="Vacant", ROW('Bank Schedule'!$K$2:$K$817)), ROW(125:125))), "")</f>
        <v/>
      </c>
      <c r="AB128" s="94" t="str">
        <f aca="false" t="array" ref="AB128:AB128">IFERROR(INDEX('Bank Schedule'!AC:AC, SMALL(IF('Bank Schedule'!$K$2:$K$817="Vacant", ROW('Bank Schedule'!$K$2:$K$817)), ROW(125:125))), "")</f>
        <v/>
      </c>
      <c r="AC128" s="44" t="str">
        <f aca="false" t="array" ref="AC128:AC128">IFERROR(INDEX('Bank Schedule'!AD:AD, SMALL(IF('Bank Schedule'!$K$2:$K$817="Vacant", ROW('Bank Schedule'!$K$2:$K$817)), ROW(125:125))), "")</f>
        <v/>
      </c>
      <c r="AD128" s="11" t="str">
        <f aca="false" t="array" ref="AD128:AD128">IFERROR(INDEX('Bank Schedule'!AE:AE, SMALL(IF('Bank Schedule'!$K$2:$K$817="Vacant", ROW('Bank Schedule'!$K$2:$K$817)), ROW(125:125))), "")</f>
        <v/>
      </c>
      <c r="AE128" s="11" t="str">
        <f aca="false" t="array" ref="AE128:AE128">IFERROR(INDEX('Bank Schedule'!AF:AF, SMALL(IF('Bank Schedule'!$K$2:$K$817="Vacant", ROW('Bank Schedule'!$K$2:$K$817)), ROW(125:125))), "")</f>
        <v/>
      </c>
      <c r="AF128" s="11" t="str">
        <f aca="false" t="array" ref="AF128:AF128">IFERROR(INDEX('Bank Schedule'!AG:AG, SMALL(IF('Bank Schedule'!$K$2:$K$817="Vacant", ROW('Bank Schedule'!$K$2:$K$817)), ROW(125:125))), "")</f>
        <v/>
      </c>
      <c r="AG128" s="4"/>
    </row>
    <row r="129" customFormat="false" ht="28.5" hidden="false" customHeight="true" outlineLevel="0" collapsed="false">
      <c r="A129" s="28" t="str">
        <f aca="false" t="array" ref="A129:A129">IFERROR(INDEX('Bank Schedule'!A:A, SMALL(IF('Bank Schedule'!$K$2:$K$817="Vacant", ROW('Bank Schedule'!$K$2:$K$817)), ROW(126:126))), "")</f>
        <v/>
      </c>
      <c r="B129" s="11" t="str">
        <f aca="false" t="array" ref="B129:B129">IFERROR(INDEX('Bank Schedule'!B:B, SMALL(IF('Bank Schedule'!$K$2:$K$817="Vacant", ROW('Bank Schedule'!$K$2:$K$817)), ROW(126:126))), "")</f>
        <v/>
      </c>
      <c r="C129" s="11" t="str">
        <f aca="false" t="array" ref="C129:C129">IFERROR(INDEX('Bank Schedule'!C:C, SMALL(IF('Bank Schedule'!$K$2:$K$817="Vacant", ROW('Bank Schedule'!$K$2:$K$817)), ROW(126:126))), "")</f>
        <v/>
      </c>
      <c r="D129" s="11" t="str">
        <f aca="false" t="array" ref="D129:D129">IFERROR(INDEX('Bank Schedule'!D:D, SMALL(IF('Bank Schedule'!$K$2:$K$817="Vacant", ROW('Bank Schedule'!$K$2:$K$817)), ROW(126:126))), "")</f>
        <v/>
      </c>
      <c r="E129" s="94" t="str">
        <f aca="false" t="array" ref="E129:E129">IFERROR(INDEX('Bank Schedule'!E:E, SMALL(IF('Bank Schedule'!$K$2:$K$817="Vacant", ROW('Bank Schedule'!$K$2:$K$817)), ROW(126:126))), "")</f>
        <v/>
      </c>
      <c r="F129" s="94" t="str">
        <f aca="false" t="array" ref="F129:F129">IFERROR(INDEX('Bank Schedule'!F:F, SMALL(IF('Bank Schedule'!$K$2:$K$817="Vacant", ROW('Bank Schedule'!$K$2:$K$817)), ROW(126:126))), "")</f>
        <v/>
      </c>
      <c r="G129" s="94" t="str">
        <f aca="false" t="array" ref="G129:G129">IFERROR(INDEX('Bank Schedule'!G:G, SMALL(IF('Bank Schedule'!$K$2:$K$817="Vacant", ROW('Bank Schedule'!$K$2:$K$817)), ROW(126:126))), "")</f>
        <v/>
      </c>
      <c r="H129" s="14" t="str">
        <f aca="false" t="array" ref="H129:H129">IFERROR(INDEX('Bank Schedule'!H:H, SMALL(IF('Bank Schedule'!$K$2:$K$817="Vacant", ROW('Bank Schedule'!$K$2:$K$817)), ROW(126:126))), "")</f>
        <v/>
      </c>
      <c r="I129" s="14" t="str">
        <f aca="false" t="array" ref="I129:I129">IFERROR(INDEX('Bank Schedule'!I:I, SMALL(IF('Bank Schedule'!$K$2:$K$817="Vacant", ROW('Bank Schedule'!$K$2:$K$817)), ROW(126:126))), "")</f>
        <v/>
      </c>
      <c r="J129" s="11" t="str">
        <f aca="false" t="array" ref="J129:J129">IFERROR(INDEX('Bank Schedule'!K:K, SMALL(IF('Bank Schedule'!$K$2:$K$817="Vacant", ROW('Bank Schedule'!$K$2:$K$817)), ROW(126:126))), "")</f>
        <v/>
      </c>
      <c r="K129" s="11" t="str">
        <f aca="false" t="array" ref="K129:K129">IFERROR(INDEX('Bank Schedule'!L:L, SMALL(IF('Bank Schedule'!$K$2:$K$817="Vacant", ROW('Bank Schedule'!$K$2:$K$817)), ROW(126:126))), "")</f>
        <v/>
      </c>
      <c r="L129" s="11" t="str">
        <f aca="false" t="array" ref="L129:L129">IFERROR(INDEX('Bank Schedule'!M:M, SMALL(IF('Bank Schedule'!$K$2:$K$817="Vacant", ROW('Bank Schedule'!$K$2:$K$817)), ROW(126:126))), "")</f>
        <v/>
      </c>
      <c r="M129" s="71" t="str">
        <f aca="false" t="array" ref="M129:M129">IFERROR(INDEX('Bank Schedule'!N:N, SMALL(IF('Bank Schedule'!$K$2:$K$817="Vacant", ROW('Bank Schedule'!$K$2:$K$817)), ROW(126:126))), "")</f>
        <v/>
      </c>
      <c r="N129" s="11" t="str">
        <f aca="false" t="array" ref="N129:N129">IFERROR(INDEX('Bank Schedule'!O:O, SMALL(IF('Bank Schedule'!$K$2:$K$817="Vacant", ROW('Bank Schedule'!$K$2:$K$817)), ROW(126:126))), "")</f>
        <v/>
      </c>
      <c r="O129" s="11" t="str">
        <f aca="false" t="array" ref="O129:O129">IFERROR(INDEX('Bank Schedule'!P:P, SMALL(IF('Bank Schedule'!$K$2:$K$817="Vacant", ROW('Bank Schedule'!$K$2:$K$817)), ROW(126:126))), "")</f>
        <v/>
      </c>
      <c r="P129" s="11" t="str">
        <f aca="false" t="array" ref="P129:P129">IFERROR(INDEX('Bank Schedule'!Q:Q, SMALL(IF('Bank Schedule'!$K$2:$K$817="Vacant", ROW('Bank Schedule'!$K$2:$K$817)), ROW(126:126))), "")</f>
        <v/>
      </c>
      <c r="Q129" s="11" t="str">
        <f aca="false" t="array" ref="Q129:Q129">IFERROR(INDEX('Bank Schedule'!R:R, SMALL(IF('Bank Schedule'!$K$2:$K$817="Vacant", ROW('Bank Schedule'!$K$2:$K$817)), ROW(126:126))), "")</f>
        <v/>
      </c>
      <c r="R129" s="11" t="str">
        <f aca="false" t="array" ref="R129:R129">IFERROR(INDEX('Bank Schedule'!S:S, SMALL(IF('Bank Schedule'!$K$2:$K$817="Vacant", ROW('Bank Schedule'!$K$2:$K$817)), ROW(126:126))), "")</f>
        <v/>
      </c>
      <c r="S129" s="281" t="str">
        <f aca="false" t="array" ref="S129:S129">IFERROR(INDEX('Bank Schedule'!T:T, SMALL(IF('Bank Schedule'!$K$2:$K$817="Vacant", ROW('Bank Schedule'!$K$2:$K$817)), ROW(126:126))), "")</f>
        <v/>
      </c>
      <c r="T129" s="281" t="str">
        <f aca="false" t="array" ref="T129:T129">IFERROR(INDEX('Bank Schedule'!U:U, SMALL(IF('Bank Schedule'!$K$2:$K$817="Vacant", ROW('Bank Schedule'!$K$2:$K$817)), ROW(126:126))), "")</f>
        <v/>
      </c>
      <c r="U129" s="281" t="str">
        <f aca="false" t="array" ref="U129:U129">IFERROR(INDEX('Bank Schedule'!V:V, SMALL(IF('Bank Schedule'!$K$2:$K$817="Vacant", ROW('Bank Schedule'!$K$2:$K$817)), ROW(126:126))), "")</f>
        <v/>
      </c>
      <c r="V129" s="281" t="str">
        <f aca="false" t="array" ref="V129:V129">IFERROR(INDEX('Bank Schedule'!W:W, SMALL(IF('Bank Schedule'!$K$2:$K$817="Vacant", ROW('Bank Schedule'!$K$2:$K$817)), ROW(126:126))), "")</f>
        <v/>
      </c>
      <c r="W129" s="282" t="str">
        <f aca="false" t="array" ref="W129:W129">IFERROR(INDEX('Bank Schedule'!X:X, SMALL(IF('Bank Schedule'!$K$2:$K$817="Vacant", ROW('Bank Schedule'!$K$2:$K$817)), ROW(126:126))), "")</f>
        <v/>
      </c>
      <c r="X129" s="11" t="str">
        <f aca="false" t="array" ref="X129:X129">IFERROR(INDEX('Bank Schedule'!Y:Y, SMALL(IF('Bank Schedule'!$K$2:$K$817="Vacant", ROW('Bank Schedule'!$K$2:$K$817)), ROW(126:126))), "")</f>
        <v/>
      </c>
      <c r="Y129" s="11" t="str">
        <f aca="false" t="array" ref="Y129:Y129">IFERROR(INDEX('Bank Schedule'!Z:Z, SMALL(IF('Bank Schedule'!$K$2:$K$817="Vacant", ROW('Bank Schedule'!$K$2:$K$817)), ROW(126:126))), "")</f>
        <v/>
      </c>
      <c r="Z129" s="11" t="str">
        <f aca="false" t="array" ref="Z129:Z129">IFERROR(INDEX('Bank Schedule'!AA:AA, SMALL(IF('Bank Schedule'!$K$2:$K$817="Vacant", ROW('Bank Schedule'!$K$2:$K$817)), ROW(126:126))), "")</f>
        <v/>
      </c>
      <c r="AA129" s="11" t="str">
        <f aca="false" t="array" ref="AA129:AA129">IFERROR(INDEX('Bank Schedule'!AB:AB, SMALL(IF('Bank Schedule'!$K$2:$K$817="Vacant", ROW('Bank Schedule'!$K$2:$K$817)), ROW(126:126))), "")</f>
        <v/>
      </c>
      <c r="AB129" s="94" t="str">
        <f aca="false" t="array" ref="AB129:AB129">IFERROR(INDEX('Bank Schedule'!AC:AC, SMALL(IF('Bank Schedule'!$K$2:$K$817="Vacant", ROW('Bank Schedule'!$K$2:$K$817)), ROW(126:126))), "")</f>
        <v/>
      </c>
      <c r="AC129" s="44" t="str">
        <f aca="false" t="array" ref="AC129:AC129">IFERROR(INDEX('Bank Schedule'!AD:AD, SMALL(IF('Bank Schedule'!$K$2:$K$817="Vacant", ROW('Bank Schedule'!$K$2:$K$817)), ROW(126:126))), "")</f>
        <v/>
      </c>
      <c r="AD129" s="11" t="str">
        <f aca="false" t="array" ref="AD129:AD129">IFERROR(INDEX('Bank Schedule'!AE:AE, SMALL(IF('Bank Schedule'!$K$2:$K$817="Vacant", ROW('Bank Schedule'!$K$2:$K$817)), ROW(126:126))), "")</f>
        <v/>
      </c>
      <c r="AE129" s="11" t="str">
        <f aca="false" t="array" ref="AE129:AE129">IFERROR(INDEX('Bank Schedule'!AF:AF, SMALL(IF('Bank Schedule'!$K$2:$K$817="Vacant", ROW('Bank Schedule'!$K$2:$K$817)), ROW(126:126))), "")</f>
        <v/>
      </c>
      <c r="AF129" s="11" t="str">
        <f aca="false" t="array" ref="AF129:AF129">IFERROR(INDEX('Bank Schedule'!AG:AG, SMALL(IF('Bank Schedule'!$K$2:$K$817="Vacant", ROW('Bank Schedule'!$K$2:$K$817)), ROW(126:126))), "")</f>
        <v/>
      </c>
      <c r="AG129" s="4"/>
    </row>
    <row r="130" customFormat="false" ht="28.5" hidden="false" customHeight="true" outlineLevel="0" collapsed="false">
      <c r="A130" s="28" t="str">
        <f aca="false" t="array" ref="A130:A130">IFERROR(INDEX('Bank Schedule'!A:A, SMALL(IF('Bank Schedule'!$K$2:$K$817="Vacant", ROW('Bank Schedule'!$K$2:$K$817)), ROW(127:127))), "")</f>
        <v/>
      </c>
      <c r="B130" s="11" t="str">
        <f aca="false" t="array" ref="B130:B130">IFERROR(INDEX('Bank Schedule'!B:B, SMALL(IF('Bank Schedule'!$K$2:$K$817="Vacant", ROW('Bank Schedule'!$K$2:$K$817)), ROW(127:127))), "")</f>
        <v/>
      </c>
      <c r="C130" s="11" t="str">
        <f aca="false" t="array" ref="C130:C130">IFERROR(INDEX('Bank Schedule'!C:C, SMALL(IF('Bank Schedule'!$K$2:$K$817="Vacant", ROW('Bank Schedule'!$K$2:$K$817)), ROW(127:127))), "")</f>
        <v/>
      </c>
      <c r="D130" s="11" t="str">
        <f aca="false" t="array" ref="D130:D130">IFERROR(INDEX('Bank Schedule'!D:D, SMALL(IF('Bank Schedule'!$K$2:$K$817="Vacant", ROW('Bank Schedule'!$K$2:$K$817)), ROW(127:127))), "")</f>
        <v/>
      </c>
      <c r="E130" s="94" t="str">
        <f aca="false" t="array" ref="E130:E130">IFERROR(INDEX('Bank Schedule'!E:E, SMALL(IF('Bank Schedule'!$K$2:$K$817="Vacant", ROW('Bank Schedule'!$K$2:$K$817)), ROW(127:127))), "")</f>
        <v/>
      </c>
      <c r="F130" s="94" t="str">
        <f aca="false" t="array" ref="F130:F130">IFERROR(INDEX('Bank Schedule'!F:F, SMALL(IF('Bank Schedule'!$K$2:$K$817="Vacant", ROW('Bank Schedule'!$K$2:$K$817)), ROW(127:127))), "")</f>
        <v/>
      </c>
      <c r="G130" s="94" t="str">
        <f aca="false" t="array" ref="G130:G130">IFERROR(INDEX('Bank Schedule'!G:G, SMALL(IF('Bank Schedule'!$K$2:$K$817="Vacant", ROW('Bank Schedule'!$K$2:$K$817)), ROW(127:127))), "")</f>
        <v/>
      </c>
      <c r="H130" s="14" t="str">
        <f aca="false" t="array" ref="H130:H130">IFERROR(INDEX('Bank Schedule'!H:H, SMALL(IF('Bank Schedule'!$K$2:$K$817="Vacant", ROW('Bank Schedule'!$K$2:$K$817)), ROW(127:127))), "")</f>
        <v/>
      </c>
      <c r="I130" s="14" t="str">
        <f aca="false" t="array" ref="I130:I130">IFERROR(INDEX('Bank Schedule'!I:I, SMALL(IF('Bank Schedule'!$K$2:$K$817="Vacant", ROW('Bank Schedule'!$K$2:$K$817)), ROW(127:127))), "")</f>
        <v/>
      </c>
      <c r="J130" s="11" t="str">
        <f aca="false" t="array" ref="J130:J130">IFERROR(INDEX('Bank Schedule'!K:K, SMALL(IF('Bank Schedule'!$K$2:$K$817="Vacant", ROW('Bank Schedule'!$K$2:$K$817)), ROW(127:127))), "")</f>
        <v/>
      </c>
      <c r="K130" s="11" t="str">
        <f aca="false" t="array" ref="K130:K130">IFERROR(INDEX('Bank Schedule'!L:L, SMALL(IF('Bank Schedule'!$K$2:$K$817="Vacant", ROW('Bank Schedule'!$K$2:$K$817)), ROW(127:127))), "")</f>
        <v/>
      </c>
      <c r="L130" s="11" t="str">
        <f aca="false" t="array" ref="L130:L130">IFERROR(INDEX('Bank Schedule'!M:M, SMALL(IF('Bank Schedule'!$K$2:$K$817="Vacant", ROW('Bank Schedule'!$K$2:$K$817)), ROW(127:127))), "")</f>
        <v/>
      </c>
      <c r="M130" s="71" t="str">
        <f aca="false" t="array" ref="M130:M130">IFERROR(INDEX('Bank Schedule'!N:N, SMALL(IF('Bank Schedule'!$K$2:$K$817="Vacant", ROW('Bank Schedule'!$K$2:$K$817)), ROW(127:127))), "")</f>
        <v/>
      </c>
      <c r="N130" s="11" t="str">
        <f aca="false" t="array" ref="N130:N130">IFERROR(INDEX('Bank Schedule'!O:O, SMALL(IF('Bank Schedule'!$K$2:$K$817="Vacant", ROW('Bank Schedule'!$K$2:$K$817)), ROW(127:127))), "")</f>
        <v/>
      </c>
      <c r="O130" s="11" t="str">
        <f aca="false" t="array" ref="O130:O130">IFERROR(INDEX('Bank Schedule'!P:P, SMALL(IF('Bank Schedule'!$K$2:$K$817="Vacant", ROW('Bank Schedule'!$K$2:$K$817)), ROW(127:127))), "")</f>
        <v/>
      </c>
      <c r="P130" s="11" t="str">
        <f aca="false" t="array" ref="P130:P130">IFERROR(INDEX('Bank Schedule'!Q:Q, SMALL(IF('Bank Schedule'!$K$2:$K$817="Vacant", ROW('Bank Schedule'!$K$2:$K$817)), ROW(127:127))), "")</f>
        <v/>
      </c>
      <c r="Q130" s="11" t="str">
        <f aca="false" t="array" ref="Q130:Q130">IFERROR(INDEX('Bank Schedule'!R:R, SMALL(IF('Bank Schedule'!$K$2:$K$817="Vacant", ROW('Bank Schedule'!$K$2:$K$817)), ROW(127:127))), "")</f>
        <v/>
      </c>
      <c r="R130" s="11" t="str">
        <f aca="false" t="array" ref="R130:R130">IFERROR(INDEX('Bank Schedule'!S:S, SMALL(IF('Bank Schedule'!$K$2:$K$817="Vacant", ROW('Bank Schedule'!$K$2:$K$817)), ROW(127:127))), "")</f>
        <v/>
      </c>
      <c r="S130" s="281" t="str">
        <f aca="false" t="array" ref="S130:S130">IFERROR(INDEX('Bank Schedule'!T:T, SMALL(IF('Bank Schedule'!$K$2:$K$817="Vacant", ROW('Bank Schedule'!$K$2:$K$817)), ROW(127:127))), "")</f>
        <v/>
      </c>
      <c r="T130" s="281" t="str">
        <f aca="false" t="array" ref="T130:T130">IFERROR(INDEX('Bank Schedule'!U:U, SMALL(IF('Bank Schedule'!$K$2:$K$817="Vacant", ROW('Bank Schedule'!$K$2:$K$817)), ROW(127:127))), "")</f>
        <v/>
      </c>
      <c r="U130" s="281" t="str">
        <f aca="false" t="array" ref="U130:U130">IFERROR(INDEX('Bank Schedule'!V:V, SMALL(IF('Bank Schedule'!$K$2:$K$817="Vacant", ROW('Bank Schedule'!$K$2:$K$817)), ROW(127:127))), "")</f>
        <v/>
      </c>
      <c r="V130" s="281" t="str">
        <f aca="false" t="array" ref="V130:V130">IFERROR(INDEX('Bank Schedule'!W:W, SMALL(IF('Bank Schedule'!$K$2:$K$817="Vacant", ROW('Bank Schedule'!$K$2:$K$817)), ROW(127:127))), "")</f>
        <v/>
      </c>
      <c r="W130" s="282" t="str">
        <f aca="false" t="array" ref="W130:W130">IFERROR(INDEX('Bank Schedule'!X:X, SMALL(IF('Bank Schedule'!$K$2:$K$817="Vacant", ROW('Bank Schedule'!$K$2:$K$817)), ROW(127:127))), "")</f>
        <v/>
      </c>
      <c r="X130" s="11" t="str">
        <f aca="false" t="array" ref="X130:X130">IFERROR(INDEX('Bank Schedule'!Y:Y, SMALL(IF('Bank Schedule'!$K$2:$K$817="Vacant", ROW('Bank Schedule'!$K$2:$K$817)), ROW(127:127))), "")</f>
        <v/>
      </c>
      <c r="Y130" s="11" t="str">
        <f aca="false" t="array" ref="Y130:Y130">IFERROR(INDEX('Bank Schedule'!Z:Z, SMALL(IF('Bank Schedule'!$K$2:$K$817="Vacant", ROW('Bank Schedule'!$K$2:$K$817)), ROW(127:127))), "")</f>
        <v/>
      </c>
      <c r="Z130" s="11" t="str">
        <f aca="false" t="array" ref="Z130:Z130">IFERROR(INDEX('Bank Schedule'!AA:AA, SMALL(IF('Bank Schedule'!$K$2:$K$817="Vacant", ROW('Bank Schedule'!$K$2:$K$817)), ROW(127:127))), "")</f>
        <v/>
      </c>
      <c r="AA130" s="11" t="str">
        <f aca="false" t="array" ref="AA130:AA130">IFERROR(INDEX('Bank Schedule'!AB:AB, SMALL(IF('Bank Schedule'!$K$2:$K$817="Vacant", ROW('Bank Schedule'!$K$2:$K$817)), ROW(127:127))), "")</f>
        <v/>
      </c>
      <c r="AB130" s="94" t="str">
        <f aca="false" t="array" ref="AB130:AB130">IFERROR(INDEX('Bank Schedule'!AC:AC, SMALL(IF('Bank Schedule'!$K$2:$K$817="Vacant", ROW('Bank Schedule'!$K$2:$K$817)), ROW(127:127))), "")</f>
        <v/>
      </c>
      <c r="AC130" s="44" t="str">
        <f aca="false" t="array" ref="AC130:AC130">IFERROR(INDEX('Bank Schedule'!AD:AD, SMALL(IF('Bank Schedule'!$K$2:$K$817="Vacant", ROW('Bank Schedule'!$K$2:$K$817)), ROW(127:127))), "")</f>
        <v/>
      </c>
      <c r="AD130" s="11" t="str">
        <f aca="false" t="array" ref="AD130:AD130">IFERROR(INDEX('Bank Schedule'!AE:AE, SMALL(IF('Bank Schedule'!$K$2:$K$817="Vacant", ROW('Bank Schedule'!$K$2:$K$817)), ROW(127:127))), "")</f>
        <v/>
      </c>
      <c r="AE130" s="11" t="str">
        <f aca="false" t="array" ref="AE130:AE130">IFERROR(INDEX('Bank Schedule'!AF:AF, SMALL(IF('Bank Schedule'!$K$2:$K$817="Vacant", ROW('Bank Schedule'!$K$2:$K$817)), ROW(127:127))), "")</f>
        <v/>
      </c>
      <c r="AF130" s="11" t="str">
        <f aca="false" t="array" ref="AF130:AF130">IFERROR(INDEX('Bank Schedule'!AG:AG, SMALL(IF('Bank Schedule'!$K$2:$K$817="Vacant", ROW('Bank Schedule'!$K$2:$K$817)), ROW(127:127))), "")</f>
        <v/>
      </c>
      <c r="AG130" s="4"/>
    </row>
    <row r="131" customFormat="false" ht="28.5" hidden="false" customHeight="true" outlineLevel="0" collapsed="false">
      <c r="A131" s="28" t="str">
        <f aca="false" t="array" ref="A131:A131">IFERROR(INDEX('Bank Schedule'!A:A, SMALL(IF('Bank Schedule'!$K$2:$K$817="Vacant", ROW('Bank Schedule'!$K$2:$K$817)), ROW(128:128))), "")</f>
        <v/>
      </c>
      <c r="B131" s="11" t="str">
        <f aca="false" t="array" ref="B131:B131">IFERROR(INDEX('Bank Schedule'!B:B, SMALL(IF('Bank Schedule'!$K$2:$K$817="Vacant", ROW('Bank Schedule'!$K$2:$K$817)), ROW(128:128))), "")</f>
        <v/>
      </c>
      <c r="C131" s="11" t="str">
        <f aca="false" t="array" ref="C131:C131">IFERROR(INDEX('Bank Schedule'!C:C, SMALL(IF('Bank Schedule'!$K$2:$K$817="Vacant", ROW('Bank Schedule'!$K$2:$K$817)), ROW(128:128))), "")</f>
        <v/>
      </c>
      <c r="D131" s="11" t="str">
        <f aca="false" t="array" ref="D131:D131">IFERROR(INDEX('Bank Schedule'!D:D, SMALL(IF('Bank Schedule'!$K$2:$K$817="Vacant", ROW('Bank Schedule'!$K$2:$K$817)), ROW(128:128))), "")</f>
        <v/>
      </c>
      <c r="E131" s="94" t="str">
        <f aca="false" t="array" ref="E131:E131">IFERROR(INDEX('Bank Schedule'!E:E, SMALL(IF('Bank Schedule'!$K$2:$K$817="Vacant", ROW('Bank Schedule'!$K$2:$K$817)), ROW(128:128))), "")</f>
        <v/>
      </c>
      <c r="F131" s="94" t="str">
        <f aca="false" t="array" ref="F131:F131">IFERROR(INDEX('Bank Schedule'!F:F, SMALL(IF('Bank Schedule'!$K$2:$K$817="Vacant", ROW('Bank Schedule'!$K$2:$K$817)), ROW(128:128))), "")</f>
        <v/>
      </c>
      <c r="G131" s="94" t="str">
        <f aca="false" t="array" ref="G131:G131">IFERROR(INDEX('Bank Schedule'!G:G, SMALL(IF('Bank Schedule'!$K$2:$K$817="Vacant", ROW('Bank Schedule'!$K$2:$K$817)), ROW(128:128))), "")</f>
        <v/>
      </c>
      <c r="H131" s="14" t="str">
        <f aca="false" t="array" ref="H131:H131">IFERROR(INDEX('Bank Schedule'!H:H, SMALL(IF('Bank Schedule'!$K$2:$K$817="Vacant", ROW('Bank Schedule'!$K$2:$K$817)), ROW(128:128))), "")</f>
        <v/>
      </c>
      <c r="I131" s="14" t="str">
        <f aca="false" t="array" ref="I131:I131">IFERROR(INDEX('Bank Schedule'!I:I, SMALL(IF('Bank Schedule'!$K$2:$K$817="Vacant", ROW('Bank Schedule'!$K$2:$K$817)), ROW(128:128))), "")</f>
        <v/>
      </c>
      <c r="J131" s="11" t="str">
        <f aca="false" t="array" ref="J131:J131">IFERROR(INDEX('Bank Schedule'!K:K, SMALL(IF('Bank Schedule'!$K$2:$K$817="Vacant", ROW('Bank Schedule'!$K$2:$K$817)), ROW(128:128))), "")</f>
        <v/>
      </c>
      <c r="K131" s="11" t="str">
        <f aca="false" t="array" ref="K131:K131">IFERROR(INDEX('Bank Schedule'!L:L, SMALL(IF('Bank Schedule'!$K$2:$K$817="Vacant", ROW('Bank Schedule'!$K$2:$K$817)), ROW(128:128))), "")</f>
        <v/>
      </c>
      <c r="L131" s="11" t="str">
        <f aca="false" t="array" ref="L131:L131">IFERROR(INDEX('Bank Schedule'!M:M, SMALL(IF('Bank Schedule'!$K$2:$K$817="Vacant", ROW('Bank Schedule'!$K$2:$K$817)), ROW(128:128))), "")</f>
        <v/>
      </c>
      <c r="M131" s="71" t="str">
        <f aca="false" t="array" ref="M131:M131">IFERROR(INDEX('Bank Schedule'!N:N, SMALL(IF('Bank Schedule'!$K$2:$K$817="Vacant", ROW('Bank Schedule'!$K$2:$K$817)), ROW(128:128))), "")</f>
        <v/>
      </c>
      <c r="N131" s="11" t="str">
        <f aca="false" t="array" ref="N131:N131">IFERROR(INDEX('Bank Schedule'!O:O, SMALL(IF('Bank Schedule'!$K$2:$K$817="Vacant", ROW('Bank Schedule'!$K$2:$K$817)), ROW(128:128))), "")</f>
        <v/>
      </c>
      <c r="O131" s="11" t="str">
        <f aca="false" t="array" ref="O131:O131">IFERROR(INDEX('Bank Schedule'!P:P, SMALL(IF('Bank Schedule'!$K$2:$K$817="Vacant", ROW('Bank Schedule'!$K$2:$K$817)), ROW(128:128))), "")</f>
        <v/>
      </c>
      <c r="P131" s="11" t="str">
        <f aca="false" t="array" ref="P131:P131">IFERROR(INDEX('Bank Schedule'!Q:Q, SMALL(IF('Bank Schedule'!$K$2:$K$817="Vacant", ROW('Bank Schedule'!$K$2:$K$817)), ROW(128:128))), "")</f>
        <v/>
      </c>
      <c r="Q131" s="11" t="str">
        <f aca="false" t="array" ref="Q131:Q131">IFERROR(INDEX('Bank Schedule'!R:R, SMALL(IF('Bank Schedule'!$K$2:$K$817="Vacant", ROW('Bank Schedule'!$K$2:$K$817)), ROW(128:128))), "")</f>
        <v/>
      </c>
      <c r="R131" s="11" t="str">
        <f aca="false" t="array" ref="R131:R131">IFERROR(INDEX('Bank Schedule'!S:S, SMALL(IF('Bank Schedule'!$K$2:$K$817="Vacant", ROW('Bank Schedule'!$K$2:$K$817)), ROW(128:128))), "")</f>
        <v/>
      </c>
      <c r="S131" s="281" t="str">
        <f aca="false" t="array" ref="S131:S131">IFERROR(INDEX('Bank Schedule'!T:T, SMALL(IF('Bank Schedule'!$K$2:$K$817="Vacant", ROW('Bank Schedule'!$K$2:$K$817)), ROW(128:128))), "")</f>
        <v/>
      </c>
      <c r="T131" s="281" t="str">
        <f aca="false" t="array" ref="T131:T131">IFERROR(INDEX('Bank Schedule'!U:U, SMALL(IF('Bank Schedule'!$K$2:$K$817="Vacant", ROW('Bank Schedule'!$K$2:$K$817)), ROW(128:128))), "")</f>
        <v/>
      </c>
      <c r="U131" s="281" t="str">
        <f aca="false" t="array" ref="U131:U131">IFERROR(INDEX('Bank Schedule'!V:V, SMALL(IF('Bank Schedule'!$K$2:$K$817="Vacant", ROW('Bank Schedule'!$K$2:$K$817)), ROW(128:128))), "")</f>
        <v/>
      </c>
      <c r="V131" s="281" t="str">
        <f aca="false" t="array" ref="V131:V131">IFERROR(INDEX('Bank Schedule'!W:W, SMALL(IF('Bank Schedule'!$K$2:$K$817="Vacant", ROW('Bank Schedule'!$K$2:$K$817)), ROW(128:128))), "")</f>
        <v/>
      </c>
      <c r="W131" s="282" t="str">
        <f aca="false" t="array" ref="W131:W131">IFERROR(INDEX('Bank Schedule'!X:X, SMALL(IF('Bank Schedule'!$K$2:$K$817="Vacant", ROW('Bank Schedule'!$K$2:$K$817)), ROW(128:128))), "")</f>
        <v/>
      </c>
      <c r="X131" s="11" t="str">
        <f aca="false" t="array" ref="X131:X131">IFERROR(INDEX('Bank Schedule'!Y:Y, SMALL(IF('Bank Schedule'!$K$2:$K$817="Vacant", ROW('Bank Schedule'!$K$2:$K$817)), ROW(128:128))), "")</f>
        <v/>
      </c>
      <c r="Y131" s="11" t="str">
        <f aca="false" t="array" ref="Y131:Y131">IFERROR(INDEX('Bank Schedule'!Z:Z, SMALL(IF('Bank Schedule'!$K$2:$K$817="Vacant", ROW('Bank Schedule'!$K$2:$K$817)), ROW(128:128))), "")</f>
        <v/>
      </c>
      <c r="Z131" s="11" t="str">
        <f aca="false" t="array" ref="Z131:Z131">IFERROR(INDEX('Bank Schedule'!AA:AA, SMALL(IF('Bank Schedule'!$K$2:$K$817="Vacant", ROW('Bank Schedule'!$K$2:$K$817)), ROW(128:128))), "")</f>
        <v/>
      </c>
      <c r="AA131" s="11" t="str">
        <f aca="false" t="array" ref="AA131:AA131">IFERROR(INDEX('Bank Schedule'!AB:AB, SMALL(IF('Bank Schedule'!$K$2:$K$817="Vacant", ROW('Bank Schedule'!$K$2:$K$817)), ROW(128:128))), "")</f>
        <v/>
      </c>
      <c r="AB131" s="94" t="str">
        <f aca="false" t="array" ref="AB131:AB131">IFERROR(INDEX('Bank Schedule'!AC:AC, SMALL(IF('Bank Schedule'!$K$2:$K$817="Vacant", ROW('Bank Schedule'!$K$2:$K$817)), ROW(128:128))), "")</f>
        <v/>
      </c>
      <c r="AC131" s="44" t="str">
        <f aca="false" t="array" ref="AC131:AC131">IFERROR(INDEX('Bank Schedule'!AD:AD, SMALL(IF('Bank Schedule'!$K$2:$K$817="Vacant", ROW('Bank Schedule'!$K$2:$K$817)), ROW(128:128))), "")</f>
        <v/>
      </c>
      <c r="AD131" s="11" t="str">
        <f aca="false" t="array" ref="AD131:AD131">IFERROR(INDEX('Bank Schedule'!AE:AE, SMALL(IF('Bank Schedule'!$K$2:$K$817="Vacant", ROW('Bank Schedule'!$K$2:$K$817)), ROW(128:128))), "")</f>
        <v/>
      </c>
      <c r="AE131" s="11" t="str">
        <f aca="false" t="array" ref="AE131:AE131">IFERROR(INDEX('Bank Schedule'!AF:AF, SMALL(IF('Bank Schedule'!$K$2:$K$817="Vacant", ROW('Bank Schedule'!$K$2:$K$817)), ROW(128:128))), "")</f>
        <v/>
      </c>
      <c r="AF131" s="11" t="str">
        <f aca="false" t="array" ref="AF131:AF131">IFERROR(INDEX('Bank Schedule'!AG:AG, SMALL(IF('Bank Schedule'!$K$2:$K$817="Vacant", ROW('Bank Schedule'!$K$2:$K$817)), ROW(128:128))), "")</f>
        <v/>
      </c>
      <c r="AG131" s="4"/>
    </row>
    <row r="132" customFormat="false" ht="28.5" hidden="false" customHeight="true" outlineLevel="0" collapsed="false">
      <c r="A132" s="28" t="str">
        <f aca="false" t="array" ref="A132:A132">IFERROR(INDEX('Bank Schedule'!A:A, SMALL(IF('Bank Schedule'!$K$2:$K$817="Vacant", ROW('Bank Schedule'!$K$2:$K$817)), ROW(129:129))), "")</f>
        <v/>
      </c>
      <c r="B132" s="11" t="str">
        <f aca="false" t="array" ref="B132:B132">IFERROR(INDEX('Bank Schedule'!B:B, SMALL(IF('Bank Schedule'!$K$2:$K$817="Vacant", ROW('Bank Schedule'!$K$2:$K$817)), ROW(129:129))), "")</f>
        <v/>
      </c>
      <c r="C132" s="11" t="str">
        <f aca="false" t="array" ref="C132:C132">IFERROR(INDEX('Bank Schedule'!C:C, SMALL(IF('Bank Schedule'!$K$2:$K$817="Vacant", ROW('Bank Schedule'!$K$2:$K$817)), ROW(129:129))), "")</f>
        <v/>
      </c>
      <c r="D132" s="11" t="str">
        <f aca="false" t="array" ref="D132:D132">IFERROR(INDEX('Bank Schedule'!D:D, SMALL(IF('Bank Schedule'!$K$2:$K$817="Vacant", ROW('Bank Schedule'!$K$2:$K$817)), ROW(129:129))), "")</f>
        <v/>
      </c>
      <c r="E132" s="94" t="str">
        <f aca="false" t="array" ref="E132:E132">IFERROR(INDEX('Bank Schedule'!E:E, SMALL(IF('Bank Schedule'!$K$2:$K$817="Vacant", ROW('Bank Schedule'!$K$2:$K$817)), ROW(129:129))), "")</f>
        <v/>
      </c>
      <c r="F132" s="94" t="str">
        <f aca="false" t="array" ref="F132:F132">IFERROR(INDEX('Bank Schedule'!F:F, SMALL(IF('Bank Schedule'!$K$2:$K$817="Vacant", ROW('Bank Schedule'!$K$2:$K$817)), ROW(129:129))), "")</f>
        <v/>
      </c>
      <c r="G132" s="94" t="str">
        <f aca="false" t="array" ref="G132:G132">IFERROR(INDEX('Bank Schedule'!G:G, SMALL(IF('Bank Schedule'!$K$2:$K$817="Vacant", ROW('Bank Schedule'!$K$2:$K$817)), ROW(129:129))), "")</f>
        <v/>
      </c>
      <c r="H132" s="14" t="str">
        <f aca="false" t="array" ref="H132:H132">IFERROR(INDEX('Bank Schedule'!H:H, SMALL(IF('Bank Schedule'!$K$2:$K$817="Vacant", ROW('Bank Schedule'!$K$2:$K$817)), ROW(129:129))), "")</f>
        <v/>
      </c>
      <c r="I132" s="14" t="str">
        <f aca="false" t="array" ref="I132:I132">IFERROR(INDEX('Bank Schedule'!I:I, SMALL(IF('Bank Schedule'!$K$2:$K$817="Vacant", ROW('Bank Schedule'!$K$2:$K$817)), ROW(129:129))), "")</f>
        <v/>
      </c>
      <c r="J132" s="11" t="str">
        <f aca="false" t="array" ref="J132:J132">IFERROR(INDEX('Bank Schedule'!K:K, SMALL(IF('Bank Schedule'!$K$2:$K$817="Vacant", ROW('Bank Schedule'!$K$2:$K$817)), ROW(129:129))), "")</f>
        <v/>
      </c>
      <c r="K132" s="11" t="str">
        <f aca="false" t="array" ref="K132:K132">IFERROR(INDEX('Bank Schedule'!L:L, SMALL(IF('Bank Schedule'!$K$2:$K$817="Vacant", ROW('Bank Schedule'!$K$2:$K$817)), ROW(129:129))), "")</f>
        <v/>
      </c>
      <c r="L132" s="11" t="str">
        <f aca="false" t="array" ref="L132:L132">IFERROR(INDEX('Bank Schedule'!M:M, SMALL(IF('Bank Schedule'!$K$2:$K$817="Vacant", ROW('Bank Schedule'!$K$2:$K$817)), ROW(129:129))), "")</f>
        <v/>
      </c>
      <c r="M132" s="71" t="str">
        <f aca="false" t="array" ref="M132:M132">IFERROR(INDEX('Bank Schedule'!N:N, SMALL(IF('Bank Schedule'!$K$2:$K$817="Vacant", ROW('Bank Schedule'!$K$2:$K$817)), ROW(129:129))), "")</f>
        <v/>
      </c>
      <c r="N132" s="11" t="str">
        <f aca="false" t="array" ref="N132:N132">IFERROR(INDEX('Bank Schedule'!O:O, SMALL(IF('Bank Schedule'!$K$2:$K$817="Vacant", ROW('Bank Schedule'!$K$2:$K$817)), ROW(129:129))), "")</f>
        <v/>
      </c>
      <c r="O132" s="11" t="str">
        <f aca="false" t="array" ref="O132:O132">IFERROR(INDEX('Bank Schedule'!P:P, SMALL(IF('Bank Schedule'!$K$2:$K$817="Vacant", ROW('Bank Schedule'!$K$2:$K$817)), ROW(129:129))), "")</f>
        <v/>
      </c>
      <c r="P132" s="11" t="str">
        <f aca="false" t="array" ref="P132:P132">IFERROR(INDEX('Bank Schedule'!Q:Q, SMALL(IF('Bank Schedule'!$K$2:$K$817="Vacant", ROW('Bank Schedule'!$K$2:$K$817)), ROW(129:129))), "")</f>
        <v/>
      </c>
      <c r="Q132" s="11" t="str">
        <f aca="false" t="array" ref="Q132:Q132">IFERROR(INDEX('Bank Schedule'!R:R, SMALL(IF('Bank Schedule'!$K$2:$K$817="Vacant", ROW('Bank Schedule'!$K$2:$K$817)), ROW(129:129))), "")</f>
        <v/>
      </c>
      <c r="R132" s="11" t="str">
        <f aca="false" t="array" ref="R132:R132">IFERROR(INDEX('Bank Schedule'!S:S, SMALL(IF('Bank Schedule'!$K$2:$K$817="Vacant", ROW('Bank Schedule'!$K$2:$K$817)), ROW(129:129))), "")</f>
        <v/>
      </c>
      <c r="S132" s="281" t="str">
        <f aca="false" t="array" ref="S132:S132">IFERROR(INDEX('Bank Schedule'!T:T, SMALL(IF('Bank Schedule'!$K$2:$K$817="Vacant", ROW('Bank Schedule'!$K$2:$K$817)), ROW(129:129))), "")</f>
        <v/>
      </c>
      <c r="T132" s="281" t="str">
        <f aca="false" t="array" ref="T132:T132">IFERROR(INDEX('Bank Schedule'!U:U, SMALL(IF('Bank Schedule'!$K$2:$K$817="Vacant", ROW('Bank Schedule'!$K$2:$K$817)), ROW(129:129))), "")</f>
        <v/>
      </c>
      <c r="U132" s="281" t="str">
        <f aca="false" t="array" ref="U132:U132">IFERROR(INDEX('Bank Schedule'!V:V, SMALL(IF('Bank Schedule'!$K$2:$K$817="Vacant", ROW('Bank Schedule'!$K$2:$K$817)), ROW(129:129))), "")</f>
        <v/>
      </c>
      <c r="V132" s="281" t="str">
        <f aca="false" t="array" ref="V132:V132">IFERROR(INDEX('Bank Schedule'!W:W, SMALL(IF('Bank Schedule'!$K$2:$K$817="Vacant", ROW('Bank Schedule'!$K$2:$K$817)), ROW(129:129))), "")</f>
        <v/>
      </c>
      <c r="W132" s="282" t="str">
        <f aca="false" t="array" ref="W132:W132">IFERROR(INDEX('Bank Schedule'!X:X, SMALL(IF('Bank Schedule'!$K$2:$K$817="Vacant", ROW('Bank Schedule'!$K$2:$K$817)), ROW(129:129))), "")</f>
        <v/>
      </c>
      <c r="X132" s="11" t="str">
        <f aca="false" t="array" ref="X132:X132">IFERROR(INDEX('Bank Schedule'!Y:Y, SMALL(IF('Bank Schedule'!$K$2:$K$817="Vacant", ROW('Bank Schedule'!$K$2:$K$817)), ROW(129:129))), "")</f>
        <v/>
      </c>
      <c r="Y132" s="11" t="str">
        <f aca="false" t="array" ref="Y132:Y132">IFERROR(INDEX('Bank Schedule'!Z:Z, SMALL(IF('Bank Schedule'!$K$2:$K$817="Vacant", ROW('Bank Schedule'!$K$2:$K$817)), ROW(129:129))), "")</f>
        <v/>
      </c>
      <c r="Z132" s="11" t="str">
        <f aca="false" t="array" ref="Z132:Z132">IFERROR(INDEX('Bank Schedule'!AA:AA, SMALL(IF('Bank Schedule'!$K$2:$K$817="Vacant", ROW('Bank Schedule'!$K$2:$K$817)), ROW(129:129))), "")</f>
        <v/>
      </c>
      <c r="AA132" s="11" t="str">
        <f aca="false" t="array" ref="AA132:AA132">IFERROR(INDEX('Bank Schedule'!AB:AB, SMALL(IF('Bank Schedule'!$K$2:$K$817="Vacant", ROW('Bank Schedule'!$K$2:$K$817)), ROW(129:129))), "")</f>
        <v/>
      </c>
      <c r="AB132" s="94" t="str">
        <f aca="false" t="array" ref="AB132:AB132">IFERROR(INDEX('Bank Schedule'!AC:AC, SMALL(IF('Bank Schedule'!$K$2:$K$817="Vacant", ROW('Bank Schedule'!$K$2:$K$817)), ROW(129:129))), "")</f>
        <v/>
      </c>
      <c r="AC132" s="44" t="str">
        <f aca="false" t="array" ref="AC132:AC132">IFERROR(INDEX('Bank Schedule'!AD:AD, SMALL(IF('Bank Schedule'!$K$2:$K$817="Vacant", ROW('Bank Schedule'!$K$2:$K$817)), ROW(129:129))), "")</f>
        <v/>
      </c>
      <c r="AD132" s="11" t="str">
        <f aca="false" t="array" ref="AD132:AD132">IFERROR(INDEX('Bank Schedule'!AE:AE, SMALL(IF('Bank Schedule'!$K$2:$K$817="Vacant", ROW('Bank Schedule'!$K$2:$K$817)), ROW(129:129))), "")</f>
        <v/>
      </c>
      <c r="AE132" s="11" t="str">
        <f aca="false" t="array" ref="AE132:AE132">IFERROR(INDEX('Bank Schedule'!AF:AF, SMALL(IF('Bank Schedule'!$K$2:$K$817="Vacant", ROW('Bank Schedule'!$K$2:$K$817)), ROW(129:129))), "")</f>
        <v/>
      </c>
      <c r="AF132" s="11" t="str">
        <f aca="false" t="array" ref="AF132:AF132">IFERROR(INDEX('Bank Schedule'!AG:AG, SMALL(IF('Bank Schedule'!$K$2:$K$817="Vacant", ROW('Bank Schedule'!$K$2:$K$817)), ROW(129:129))), "")</f>
        <v/>
      </c>
      <c r="AG132" s="4"/>
    </row>
    <row r="133" customFormat="false" ht="28.5" hidden="false" customHeight="true" outlineLevel="0" collapsed="false">
      <c r="A133" s="28" t="str">
        <f aca="false" t="array" ref="A133:A133">IFERROR(INDEX('Bank Schedule'!A:A, SMALL(IF('Bank Schedule'!$K$2:$K$817="Vacant", ROW('Bank Schedule'!$K$2:$K$817)), ROW(130:130))), "")</f>
        <v/>
      </c>
      <c r="B133" s="11" t="str">
        <f aca="false" t="array" ref="B133:B133">IFERROR(INDEX('Bank Schedule'!B:B, SMALL(IF('Bank Schedule'!$K$2:$K$817="Vacant", ROW('Bank Schedule'!$K$2:$K$817)), ROW(130:130))), "")</f>
        <v/>
      </c>
      <c r="C133" s="11" t="str">
        <f aca="false" t="array" ref="C133:C133">IFERROR(INDEX('Bank Schedule'!C:C, SMALL(IF('Bank Schedule'!$K$2:$K$817="Vacant", ROW('Bank Schedule'!$K$2:$K$817)), ROW(130:130))), "")</f>
        <v/>
      </c>
      <c r="D133" s="11" t="str">
        <f aca="false" t="array" ref="D133:D133">IFERROR(INDEX('Bank Schedule'!D:D, SMALL(IF('Bank Schedule'!$K$2:$K$817="Vacant", ROW('Bank Schedule'!$K$2:$K$817)), ROW(130:130))), "")</f>
        <v/>
      </c>
      <c r="E133" s="94" t="str">
        <f aca="false" t="array" ref="E133:E133">IFERROR(INDEX('Bank Schedule'!E:E, SMALL(IF('Bank Schedule'!$K$2:$K$817="Vacant", ROW('Bank Schedule'!$K$2:$K$817)), ROW(130:130))), "")</f>
        <v/>
      </c>
      <c r="F133" s="94" t="str">
        <f aca="false" t="array" ref="F133:F133">IFERROR(INDEX('Bank Schedule'!F:F, SMALL(IF('Bank Schedule'!$K$2:$K$817="Vacant", ROW('Bank Schedule'!$K$2:$K$817)), ROW(130:130))), "")</f>
        <v/>
      </c>
      <c r="G133" s="94" t="str">
        <f aca="false" t="array" ref="G133:G133">IFERROR(INDEX('Bank Schedule'!G:G, SMALL(IF('Bank Schedule'!$K$2:$K$817="Vacant", ROW('Bank Schedule'!$K$2:$K$817)), ROW(130:130))), "")</f>
        <v/>
      </c>
      <c r="H133" s="14" t="str">
        <f aca="false" t="array" ref="H133:H133">IFERROR(INDEX('Bank Schedule'!H:H, SMALL(IF('Bank Schedule'!$K$2:$K$817="Vacant", ROW('Bank Schedule'!$K$2:$K$817)), ROW(130:130))), "")</f>
        <v/>
      </c>
      <c r="I133" s="14" t="str">
        <f aca="false" t="array" ref="I133:I133">IFERROR(INDEX('Bank Schedule'!I:I, SMALL(IF('Bank Schedule'!$K$2:$K$817="Vacant", ROW('Bank Schedule'!$K$2:$K$817)), ROW(130:130))), "")</f>
        <v/>
      </c>
      <c r="J133" s="11" t="str">
        <f aca="false" t="array" ref="J133:J133">IFERROR(INDEX('Bank Schedule'!K:K, SMALL(IF('Bank Schedule'!$K$2:$K$817="Vacant", ROW('Bank Schedule'!$K$2:$K$817)), ROW(130:130))), "")</f>
        <v/>
      </c>
      <c r="K133" s="11" t="str">
        <f aca="false" t="array" ref="K133:K133">IFERROR(INDEX('Bank Schedule'!L:L, SMALL(IF('Bank Schedule'!$K$2:$K$817="Vacant", ROW('Bank Schedule'!$K$2:$K$817)), ROW(130:130))), "")</f>
        <v/>
      </c>
      <c r="L133" s="11" t="str">
        <f aca="false" t="array" ref="L133:L133">IFERROR(INDEX('Bank Schedule'!M:M, SMALL(IF('Bank Schedule'!$K$2:$K$817="Vacant", ROW('Bank Schedule'!$K$2:$K$817)), ROW(130:130))), "")</f>
        <v/>
      </c>
      <c r="M133" s="71" t="str">
        <f aca="false" t="array" ref="M133:M133">IFERROR(INDEX('Bank Schedule'!N:N, SMALL(IF('Bank Schedule'!$K$2:$K$817="Vacant", ROW('Bank Schedule'!$K$2:$K$817)), ROW(130:130))), "")</f>
        <v/>
      </c>
      <c r="N133" s="11" t="str">
        <f aca="false" t="array" ref="N133:N133">IFERROR(INDEX('Bank Schedule'!O:O, SMALL(IF('Bank Schedule'!$K$2:$K$817="Vacant", ROW('Bank Schedule'!$K$2:$K$817)), ROW(130:130))), "")</f>
        <v/>
      </c>
      <c r="O133" s="11" t="str">
        <f aca="false" t="array" ref="O133:O133">IFERROR(INDEX('Bank Schedule'!P:P, SMALL(IF('Bank Schedule'!$K$2:$K$817="Vacant", ROW('Bank Schedule'!$K$2:$K$817)), ROW(130:130))), "")</f>
        <v/>
      </c>
      <c r="P133" s="11" t="str">
        <f aca="false" t="array" ref="P133:P133">IFERROR(INDEX('Bank Schedule'!Q:Q, SMALL(IF('Bank Schedule'!$K$2:$K$817="Vacant", ROW('Bank Schedule'!$K$2:$K$817)), ROW(130:130))), "")</f>
        <v/>
      </c>
      <c r="Q133" s="11" t="str">
        <f aca="false" t="array" ref="Q133:Q133">IFERROR(INDEX('Bank Schedule'!R:R, SMALL(IF('Bank Schedule'!$K$2:$K$817="Vacant", ROW('Bank Schedule'!$K$2:$K$817)), ROW(130:130))), "")</f>
        <v/>
      </c>
      <c r="R133" s="11" t="str">
        <f aca="false" t="array" ref="R133:R133">IFERROR(INDEX('Bank Schedule'!S:S, SMALL(IF('Bank Schedule'!$K$2:$K$817="Vacant", ROW('Bank Schedule'!$K$2:$K$817)), ROW(130:130))), "")</f>
        <v/>
      </c>
      <c r="S133" s="281" t="str">
        <f aca="false" t="array" ref="S133:S133">IFERROR(INDEX('Bank Schedule'!T:T, SMALL(IF('Bank Schedule'!$K$2:$K$817="Vacant", ROW('Bank Schedule'!$K$2:$K$817)), ROW(130:130))), "")</f>
        <v/>
      </c>
      <c r="T133" s="281" t="str">
        <f aca="false" t="array" ref="T133:T133">IFERROR(INDEX('Bank Schedule'!U:U, SMALL(IF('Bank Schedule'!$K$2:$K$817="Vacant", ROW('Bank Schedule'!$K$2:$K$817)), ROW(130:130))), "")</f>
        <v/>
      </c>
      <c r="U133" s="281" t="str">
        <f aca="false" t="array" ref="U133:U133">IFERROR(INDEX('Bank Schedule'!V:V, SMALL(IF('Bank Schedule'!$K$2:$K$817="Vacant", ROW('Bank Schedule'!$K$2:$K$817)), ROW(130:130))), "")</f>
        <v/>
      </c>
      <c r="V133" s="281" t="str">
        <f aca="false" t="array" ref="V133:V133">IFERROR(INDEX('Bank Schedule'!W:W, SMALL(IF('Bank Schedule'!$K$2:$K$817="Vacant", ROW('Bank Schedule'!$K$2:$K$817)), ROW(130:130))), "")</f>
        <v/>
      </c>
      <c r="W133" s="282" t="str">
        <f aca="false" t="array" ref="W133:W133">IFERROR(INDEX('Bank Schedule'!X:X, SMALL(IF('Bank Schedule'!$K$2:$K$817="Vacant", ROW('Bank Schedule'!$K$2:$K$817)), ROW(130:130))), "")</f>
        <v/>
      </c>
      <c r="X133" s="11" t="str">
        <f aca="false" t="array" ref="X133:X133">IFERROR(INDEX('Bank Schedule'!Y:Y, SMALL(IF('Bank Schedule'!$K$2:$K$817="Vacant", ROW('Bank Schedule'!$K$2:$K$817)), ROW(130:130))), "")</f>
        <v/>
      </c>
      <c r="Y133" s="11" t="str">
        <f aca="false" t="array" ref="Y133:Y133">IFERROR(INDEX('Bank Schedule'!Z:Z, SMALL(IF('Bank Schedule'!$K$2:$K$817="Vacant", ROW('Bank Schedule'!$K$2:$K$817)), ROW(130:130))), "")</f>
        <v/>
      </c>
      <c r="Z133" s="11" t="str">
        <f aca="false" t="array" ref="Z133:Z133">IFERROR(INDEX('Bank Schedule'!AA:AA, SMALL(IF('Bank Schedule'!$K$2:$K$817="Vacant", ROW('Bank Schedule'!$K$2:$K$817)), ROW(130:130))), "")</f>
        <v/>
      </c>
      <c r="AA133" s="11" t="str">
        <f aca="false" t="array" ref="AA133:AA133">IFERROR(INDEX('Bank Schedule'!AB:AB, SMALL(IF('Bank Schedule'!$K$2:$K$817="Vacant", ROW('Bank Schedule'!$K$2:$K$817)), ROW(130:130))), "")</f>
        <v/>
      </c>
      <c r="AB133" s="94" t="str">
        <f aca="false" t="array" ref="AB133:AB133">IFERROR(INDEX('Bank Schedule'!AC:AC, SMALL(IF('Bank Schedule'!$K$2:$K$817="Vacant", ROW('Bank Schedule'!$K$2:$K$817)), ROW(130:130))), "")</f>
        <v/>
      </c>
      <c r="AC133" s="44" t="str">
        <f aca="false" t="array" ref="AC133:AC133">IFERROR(INDEX('Bank Schedule'!AD:AD, SMALL(IF('Bank Schedule'!$K$2:$K$817="Vacant", ROW('Bank Schedule'!$K$2:$K$817)), ROW(130:130))), "")</f>
        <v/>
      </c>
      <c r="AD133" s="11" t="str">
        <f aca="false" t="array" ref="AD133:AD133">IFERROR(INDEX('Bank Schedule'!AE:AE, SMALL(IF('Bank Schedule'!$K$2:$K$817="Vacant", ROW('Bank Schedule'!$K$2:$K$817)), ROW(130:130))), "")</f>
        <v/>
      </c>
      <c r="AE133" s="11" t="str">
        <f aca="false" t="array" ref="AE133:AE133">IFERROR(INDEX('Bank Schedule'!AF:AF, SMALL(IF('Bank Schedule'!$K$2:$K$817="Vacant", ROW('Bank Schedule'!$K$2:$K$817)), ROW(130:130))), "")</f>
        <v/>
      </c>
      <c r="AF133" s="11" t="str">
        <f aca="false" t="array" ref="AF133:AF133">IFERROR(INDEX('Bank Schedule'!AG:AG, SMALL(IF('Bank Schedule'!$K$2:$K$817="Vacant", ROW('Bank Schedule'!$K$2:$K$817)), ROW(130:130))), "")</f>
        <v/>
      </c>
      <c r="AG133" s="4"/>
    </row>
    <row r="134" customFormat="false" ht="28.5" hidden="false" customHeight="true" outlineLevel="0" collapsed="false">
      <c r="A134" s="28" t="str">
        <f aca="false" t="array" ref="A134:A134">IFERROR(INDEX('Bank Schedule'!A:A, SMALL(IF('Bank Schedule'!$K$2:$K$817="Vacant", ROW('Bank Schedule'!$K$2:$K$817)), ROW(131:131))), "")</f>
        <v/>
      </c>
      <c r="B134" s="11" t="str">
        <f aca="false" t="array" ref="B134:B134">IFERROR(INDEX('Bank Schedule'!B:B, SMALL(IF('Bank Schedule'!$K$2:$K$817="Vacant", ROW('Bank Schedule'!$K$2:$K$817)), ROW(131:131))), "")</f>
        <v/>
      </c>
      <c r="C134" s="11" t="str">
        <f aca="false" t="array" ref="C134:C134">IFERROR(INDEX('Bank Schedule'!C:C, SMALL(IF('Bank Schedule'!$K$2:$K$817="Vacant", ROW('Bank Schedule'!$K$2:$K$817)), ROW(131:131))), "")</f>
        <v/>
      </c>
      <c r="D134" s="11" t="str">
        <f aca="false" t="array" ref="D134:D134">IFERROR(INDEX('Bank Schedule'!D:D, SMALL(IF('Bank Schedule'!$K$2:$K$817="Vacant", ROW('Bank Schedule'!$K$2:$K$817)), ROW(131:131))), "")</f>
        <v/>
      </c>
      <c r="E134" s="94" t="str">
        <f aca="false" t="array" ref="E134:E134">IFERROR(INDEX('Bank Schedule'!E:E, SMALL(IF('Bank Schedule'!$K$2:$K$817="Vacant", ROW('Bank Schedule'!$K$2:$K$817)), ROW(131:131))), "")</f>
        <v/>
      </c>
      <c r="F134" s="94" t="str">
        <f aca="false" t="array" ref="F134:F134">IFERROR(INDEX('Bank Schedule'!F:F, SMALL(IF('Bank Schedule'!$K$2:$K$817="Vacant", ROW('Bank Schedule'!$K$2:$K$817)), ROW(131:131))), "")</f>
        <v/>
      </c>
      <c r="G134" s="94" t="str">
        <f aca="false" t="array" ref="G134:G134">IFERROR(INDEX('Bank Schedule'!G:G, SMALL(IF('Bank Schedule'!$K$2:$K$817="Vacant", ROW('Bank Schedule'!$K$2:$K$817)), ROW(131:131))), "")</f>
        <v/>
      </c>
      <c r="H134" s="14" t="str">
        <f aca="false" t="array" ref="H134:H134">IFERROR(INDEX('Bank Schedule'!H:H, SMALL(IF('Bank Schedule'!$K$2:$K$817="Vacant", ROW('Bank Schedule'!$K$2:$K$817)), ROW(131:131))), "")</f>
        <v/>
      </c>
      <c r="I134" s="14" t="str">
        <f aca="false" t="array" ref="I134:I134">IFERROR(INDEX('Bank Schedule'!I:I, SMALL(IF('Bank Schedule'!$K$2:$K$817="Vacant", ROW('Bank Schedule'!$K$2:$K$817)), ROW(131:131))), "")</f>
        <v/>
      </c>
      <c r="J134" s="11" t="str">
        <f aca="false" t="array" ref="J134:J134">IFERROR(INDEX('Bank Schedule'!K:K, SMALL(IF('Bank Schedule'!$K$2:$K$817="Vacant", ROW('Bank Schedule'!$K$2:$K$817)), ROW(131:131))), "")</f>
        <v/>
      </c>
      <c r="K134" s="11" t="str">
        <f aca="false" t="array" ref="K134:K134">IFERROR(INDEX('Bank Schedule'!L:L, SMALL(IF('Bank Schedule'!$K$2:$K$817="Vacant", ROW('Bank Schedule'!$K$2:$K$817)), ROW(131:131))), "")</f>
        <v/>
      </c>
      <c r="L134" s="11" t="str">
        <f aca="false" t="array" ref="L134:L134">IFERROR(INDEX('Bank Schedule'!M:M, SMALL(IF('Bank Schedule'!$K$2:$K$817="Vacant", ROW('Bank Schedule'!$K$2:$K$817)), ROW(131:131))), "")</f>
        <v/>
      </c>
      <c r="M134" s="71" t="str">
        <f aca="false" t="array" ref="M134:M134">IFERROR(INDEX('Bank Schedule'!N:N, SMALL(IF('Bank Schedule'!$K$2:$K$817="Vacant", ROW('Bank Schedule'!$K$2:$K$817)), ROW(131:131))), "")</f>
        <v/>
      </c>
      <c r="N134" s="11" t="str">
        <f aca="false" t="array" ref="N134:N134">IFERROR(INDEX('Bank Schedule'!O:O, SMALL(IF('Bank Schedule'!$K$2:$K$817="Vacant", ROW('Bank Schedule'!$K$2:$K$817)), ROW(131:131))), "")</f>
        <v/>
      </c>
      <c r="O134" s="11" t="str">
        <f aca="false" t="array" ref="O134:O134">IFERROR(INDEX('Bank Schedule'!P:P, SMALL(IF('Bank Schedule'!$K$2:$K$817="Vacant", ROW('Bank Schedule'!$K$2:$K$817)), ROW(131:131))), "")</f>
        <v/>
      </c>
      <c r="P134" s="11" t="str">
        <f aca="false" t="array" ref="P134:P134">IFERROR(INDEX('Bank Schedule'!Q:Q, SMALL(IF('Bank Schedule'!$K$2:$K$817="Vacant", ROW('Bank Schedule'!$K$2:$K$817)), ROW(131:131))), "")</f>
        <v/>
      </c>
      <c r="Q134" s="11" t="str">
        <f aca="false" t="array" ref="Q134:Q134">IFERROR(INDEX('Bank Schedule'!R:R, SMALL(IF('Bank Schedule'!$K$2:$K$817="Vacant", ROW('Bank Schedule'!$K$2:$K$817)), ROW(131:131))), "")</f>
        <v/>
      </c>
      <c r="R134" s="11" t="str">
        <f aca="false" t="array" ref="R134:R134">IFERROR(INDEX('Bank Schedule'!S:S, SMALL(IF('Bank Schedule'!$K$2:$K$817="Vacant", ROW('Bank Schedule'!$K$2:$K$817)), ROW(131:131))), "")</f>
        <v/>
      </c>
      <c r="S134" s="281" t="str">
        <f aca="false" t="array" ref="S134:S134">IFERROR(INDEX('Bank Schedule'!T:T, SMALL(IF('Bank Schedule'!$K$2:$K$817="Vacant", ROW('Bank Schedule'!$K$2:$K$817)), ROW(131:131))), "")</f>
        <v/>
      </c>
      <c r="T134" s="281" t="str">
        <f aca="false" t="array" ref="T134:T134">IFERROR(INDEX('Bank Schedule'!U:U, SMALL(IF('Bank Schedule'!$K$2:$K$817="Vacant", ROW('Bank Schedule'!$K$2:$K$817)), ROW(131:131))), "")</f>
        <v/>
      </c>
      <c r="U134" s="281" t="str">
        <f aca="false" t="array" ref="U134:U134">IFERROR(INDEX('Bank Schedule'!V:V, SMALL(IF('Bank Schedule'!$K$2:$K$817="Vacant", ROW('Bank Schedule'!$K$2:$K$817)), ROW(131:131))), "")</f>
        <v/>
      </c>
      <c r="V134" s="281" t="str">
        <f aca="false" t="array" ref="V134:V134">IFERROR(INDEX('Bank Schedule'!W:W, SMALL(IF('Bank Schedule'!$K$2:$K$817="Vacant", ROW('Bank Schedule'!$K$2:$K$817)), ROW(131:131))), "")</f>
        <v/>
      </c>
      <c r="W134" s="282" t="str">
        <f aca="false" t="array" ref="W134:W134">IFERROR(INDEX('Bank Schedule'!X:X, SMALL(IF('Bank Schedule'!$K$2:$K$817="Vacant", ROW('Bank Schedule'!$K$2:$K$817)), ROW(131:131))), "")</f>
        <v/>
      </c>
      <c r="X134" s="11" t="str">
        <f aca="false" t="array" ref="X134:X134">IFERROR(INDEX('Bank Schedule'!Y:Y, SMALL(IF('Bank Schedule'!$K$2:$K$817="Vacant", ROW('Bank Schedule'!$K$2:$K$817)), ROW(131:131))), "")</f>
        <v/>
      </c>
      <c r="Y134" s="11" t="str">
        <f aca="false" t="array" ref="Y134:Y134">IFERROR(INDEX('Bank Schedule'!Z:Z, SMALL(IF('Bank Schedule'!$K$2:$K$817="Vacant", ROW('Bank Schedule'!$K$2:$K$817)), ROW(131:131))), "")</f>
        <v/>
      </c>
      <c r="Z134" s="11" t="str">
        <f aca="false" t="array" ref="Z134:Z134">IFERROR(INDEX('Bank Schedule'!AA:AA, SMALL(IF('Bank Schedule'!$K$2:$K$817="Vacant", ROW('Bank Schedule'!$K$2:$K$817)), ROW(131:131))), "")</f>
        <v/>
      </c>
      <c r="AA134" s="11" t="str">
        <f aca="false" t="array" ref="AA134:AA134">IFERROR(INDEX('Bank Schedule'!AB:AB, SMALL(IF('Bank Schedule'!$K$2:$K$817="Vacant", ROW('Bank Schedule'!$K$2:$K$817)), ROW(131:131))), "")</f>
        <v/>
      </c>
      <c r="AB134" s="94" t="str">
        <f aca="false" t="array" ref="AB134:AB134">IFERROR(INDEX('Bank Schedule'!AC:AC, SMALL(IF('Bank Schedule'!$K$2:$K$817="Vacant", ROW('Bank Schedule'!$K$2:$K$817)), ROW(131:131))), "")</f>
        <v/>
      </c>
      <c r="AC134" s="44" t="str">
        <f aca="false" t="array" ref="AC134:AC134">IFERROR(INDEX('Bank Schedule'!AD:AD, SMALL(IF('Bank Schedule'!$K$2:$K$817="Vacant", ROW('Bank Schedule'!$K$2:$K$817)), ROW(131:131))), "")</f>
        <v/>
      </c>
      <c r="AD134" s="11" t="str">
        <f aca="false" t="array" ref="AD134:AD134">IFERROR(INDEX('Bank Schedule'!AE:AE, SMALL(IF('Bank Schedule'!$K$2:$K$817="Vacant", ROW('Bank Schedule'!$K$2:$K$817)), ROW(131:131))), "")</f>
        <v/>
      </c>
      <c r="AE134" s="11" t="str">
        <f aca="false" t="array" ref="AE134:AE134">IFERROR(INDEX('Bank Schedule'!AF:AF, SMALL(IF('Bank Schedule'!$K$2:$K$817="Vacant", ROW('Bank Schedule'!$K$2:$K$817)), ROW(131:131))), "")</f>
        <v/>
      </c>
      <c r="AF134" s="11" t="str">
        <f aca="false" t="array" ref="AF134:AF134">IFERROR(INDEX('Bank Schedule'!AG:AG, SMALL(IF('Bank Schedule'!$K$2:$K$817="Vacant", ROW('Bank Schedule'!$K$2:$K$817)), ROW(131:131))), "")</f>
        <v/>
      </c>
      <c r="AG134" s="4"/>
    </row>
    <row r="135" customFormat="false" ht="28.5" hidden="false" customHeight="true" outlineLevel="0" collapsed="false">
      <c r="A135" s="28" t="str">
        <f aca="false" t="array" ref="A135:A135">IFERROR(INDEX('Bank Schedule'!A:A, SMALL(IF('Bank Schedule'!$K$2:$K$817="Vacant", ROW('Bank Schedule'!$K$2:$K$817)), ROW(132:132))), "")</f>
        <v/>
      </c>
      <c r="B135" s="11" t="str">
        <f aca="false" t="array" ref="B135:B135">IFERROR(INDEX('Bank Schedule'!B:B, SMALL(IF('Bank Schedule'!$K$2:$K$817="Vacant", ROW('Bank Schedule'!$K$2:$K$817)), ROW(132:132))), "")</f>
        <v/>
      </c>
      <c r="C135" s="11" t="str">
        <f aca="false" t="array" ref="C135:C135">IFERROR(INDEX('Bank Schedule'!C:C, SMALL(IF('Bank Schedule'!$K$2:$K$817="Vacant", ROW('Bank Schedule'!$K$2:$K$817)), ROW(132:132))), "")</f>
        <v/>
      </c>
      <c r="D135" s="11" t="str">
        <f aca="false" t="array" ref="D135:D135">IFERROR(INDEX('Bank Schedule'!D:D, SMALL(IF('Bank Schedule'!$K$2:$K$817="Vacant", ROW('Bank Schedule'!$K$2:$K$817)), ROW(132:132))), "")</f>
        <v/>
      </c>
      <c r="E135" s="11" t="str">
        <f aca="false" t="array" ref="E135:E135">IFERROR(INDEX('Bank Schedule'!E:E, SMALL(IF('Bank Schedule'!$K$2:$K$817="Vacant", ROW('Bank Schedule'!$K$2:$K$817)), ROW(132:132))), "")</f>
        <v/>
      </c>
      <c r="F135" s="11" t="str">
        <f aca="false" t="array" ref="F135:F135">IFERROR(INDEX('Bank Schedule'!F:F, SMALL(IF('Bank Schedule'!$K$2:$K$817="Vacant", ROW('Bank Schedule'!$K$2:$K$817)), ROW(132:132))), "")</f>
        <v/>
      </c>
      <c r="G135" s="11" t="str">
        <f aca="false" t="array" ref="G135:G135">IFERROR(INDEX('Bank Schedule'!G:G, SMALL(IF('Bank Schedule'!$K$2:$K$817="Vacant", ROW('Bank Schedule'!$K$2:$K$817)), ROW(132:132))), "")</f>
        <v/>
      </c>
      <c r="H135" s="11" t="str">
        <f aca="false" t="array" ref="H135:H135">IFERROR(INDEX('Bank Schedule'!H:H, SMALL(IF('Bank Schedule'!$K$2:$K$817="Vacant", ROW('Bank Schedule'!$K$2:$K$817)), ROW(132:132))), "")</f>
        <v/>
      </c>
      <c r="I135" s="11" t="str">
        <f aca="false" t="array" ref="I135:I135">IFERROR(INDEX('Bank Schedule'!I:I, SMALL(IF('Bank Schedule'!$K$2:$K$817="Vacant", ROW('Bank Schedule'!$K$2:$K$817)), ROW(132:132))), "")</f>
        <v/>
      </c>
      <c r="J135" s="11" t="str">
        <f aca="false" t="array" ref="J135:J135">IFERROR(INDEX('Bank Schedule'!K:K, SMALL(IF('Bank Schedule'!$K$2:$K$817="Vacant", ROW('Bank Schedule'!$K$2:$K$817)), ROW(132:132))), "")</f>
        <v/>
      </c>
      <c r="K135" s="11" t="str">
        <f aca="false" t="array" ref="K135:K135">IFERROR(INDEX('Bank Schedule'!L:L, SMALL(IF('Bank Schedule'!$K$2:$K$817="Vacant", ROW('Bank Schedule'!$K$2:$K$817)), ROW(132:132))), "")</f>
        <v/>
      </c>
      <c r="L135" s="11" t="str">
        <f aca="false" t="array" ref="L135:L135">IFERROR(INDEX('Bank Schedule'!M:M, SMALL(IF('Bank Schedule'!$K$2:$K$817="Vacant", ROW('Bank Schedule'!$K$2:$K$817)), ROW(132:132))), "")</f>
        <v/>
      </c>
      <c r="M135" s="11" t="str">
        <f aca="false" t="array" ref="M135:M135">IFERROR(INDEX('Bank Schedule'!N:N, SMALL(IF('Bank Schedule'!$K$2:$K$817="Vacant", ROW('Bank Schedule'!$K$2:$K$817)), ROW(132:132))), "")</f>
        <v/>
      </c>
      <c r="N135" s="11" t="str">
        <f aca="false" t="array" ref="N135:N135">IFERROR(INDEX('Bank Schedule'!O:O, SMALL(IF('Bank Schedule'!$K$2:$K$817="Vacant", ROW('Bank Schedule'!$K$2:$K$817)), ROW(132:132))), "")</f>
        <v/>
      </c>
      <c r="O135" s="11" t="str">
        <f aca="false" t="array" ref="O135:O135">IFERROR(INDEX('Bank Schedule'!P:P, SMALL(IF('Bank Schedule'!$K$2:$K$817="Vacant", ROW('Bank Schedule'!$K$2:$K$817)), ROW(132:132))), "")</f>
        <v/>
      </c>
      <c r="P135" s="11" t="str">
        <f aca="false" t="array" ref="P135:P135">IFERROR(INDEX('Bank Schedule'!Q:Q, SMALL(IF('Bank Schedule'!$K$2:$K$817="Vacant", ROW('Bank Schedule'!$K$2:$K$817)), ROW(132:132))), "")</f>
        <v/>
      </c>
      <c r="Q135" s="11" t="str">
        <f aca="false" t="array" ref="Q135:Q135">IFERROR(INDEX('Bank Schedule'!R:R, SMALL(IF('Bank Schedule'!$K$2:$K$817="Vacant", ROW('Bank Schedule'!$K$2:$K$817)), ROW(132:132))), "")</f>
        <v/>
      </c>
      <c r="R135" s="11" t="str">
        <f aca="false" t="array" ref="R135:R135">IFERROR(INDEX('Bank Schedule'!S:S, SMALL(IF('Bank Schedule'!$K$2:$K$817="Vacant", ROW('Bank Schedule'!$K$2:$K$817)), ROW(132:132))), "")</f>
        <v/>
      </c>
      <c r="S135" s="11" t="str">
        <f aca="false" t="array" ref="S135:S135">IFERROR(INDEX('Bank Schedule'!T:T, SMALL(IF('Bank Schedule'!$K$2:$K$817="Vacant", ROW('Bank Schedule'!$K$2:$K$817)), ROW(132:132))), "")</f>
        <v/>
      </c>
      <c r="T135" s="11" t="str">
        <f aca="false" t="array" ref="T135:T135">IFERROR(INDEX('Bank Schedule'!U:U, SMALL(IF('Bank Schedule'!$K$2:$K$817="Vacant", ROW('Bank Schedule'!$K$2:$K$817)), ROW(132:132))), "")</f>
        <v/>
      </c>
      <c r="U135" s="11" t="str">
        <f aca="false" t="array" ref="U135:U135">IFERROR(INDEX('Bank Schedule'!V:V, SMALL(IF('Bank Schedule'!$K$2:$K$817="Vacant", ROW('Bank Schedule'!$K$2:$K$817)), ROW(132:132))), "")</f>
        <v/>
      </c>
      <c r="V135" s="11" t="str">
        <f aca="false" t="array" ref="V135:V135">IFERROR(INDEX('Bank Schedule'!W:W, SMALL(IF('Bank Schedule'!$K$2:$K$817="Vacant", ROW('Bank Schedule'!$K$2:$K$817)), ROW(132:132))), "")</f>
        <v/>
      </c>
      <c r="W135" s="11" t="str">
        <f aca="false" t="array" ref="W135:W135">IFERROR(INDEX('Bank Schedule'!X:X, SMALL(IF('Bank Schedule'!$K$2:$K$817="Vacant", ROW('Bank Schedule'!$K$2:$K$817)), ROW(132:132))), "")</f>
        <v/>
      </c>
      <c r="X135" s="11" t="str">
        <f aca="false" t="array" ref="X135:X135">IFERROR(INDEX('Bank Schedule'!Y:Y, SMALL(IF('Bank Schedule'!$K$2:$K$817="Vacant", ROW('Bank Schedule'!$K$2:$K$817)), ROW(132:132))), "")</f>
        <v/>
      </c>
      <c r="Y135" s="11" t="str">
        <f aca="false" t="array" ref="Y135:Y135">IFERROR(INDEX('Bank Schedule'!Z:Z, SMALL(IF('Bank Schedule'!$K$2:$K$817="Vacant", ROW('Bank Schedule'!$K$2:$K$817)), ROW(132:132))), "")</f>
        <v/>
      </c>
      <c r="Z135" s="11" t="str">
        <f aca="false" t="array" ref="Z135:Z135">IFERROR(INDEX('Bank Schedule'!AA:AA, SMALL(IF('Bank Schedule'!$K$2:$K$817="Vacant", ROW('Bank Schedule'!$K$2:$K$817)), ROW(132:132))), "")</f>
        <v/>
      </c>
      <c r="AA135" s="11" t="str">
        <f aca="false" t="array" ref="AA135:AA135">IFERROR(INDEX('Bank Schedule'!AB:AB, SMALL(IF('Bank Schedule'!$K$2:$K$817="Vacant", ROW('Bank Schedule'!$K$2:$K$817)), ROW(132:132))), "")</f>
        <v/>
      </c>
      <c r="AB135" s="11" t="str">
        <f aca="false" t="array" ref="AB135:AB135">IFERROR(INDEX('Bank Schedule'!AC:AC, SMALL(IF('Bank Schedule'!$K$2:$K$817="Vacant", ROW('Bank Schedule'!$K$2:$K$817)), ROW(132:132))), "")</f>
        <v/>
      </c>
      <c r="AC135" s="44" t="str">
        <f aca="false" t="array" ref="AC135:AC135">IFERROR(INDEX('Bank Schedule'!AD:AD, SMALL(IF('Bank Schedule'!$K$2:$K$817="Vacant", ROW('Bank Schedule'!$K$2:$K$817)), ROW(132:132))), "")</f>
        <v/>
      </c>
      <c r="AD135" s="11" t="str">
        <f aca="false" t="array" ref="AD135:AD135">IFERROR(INDEX('Bank Schedule'!AE:AE, SMALL(IF('Bank Schedule'!$K$2:$K$817="Vacant", ROW('Bank Schedule'!$K$2:$K$817)), ROW(132:132))), "")</f>
        <v/>
      </c>
      <c r="AE135" s="11" t="str">
        <f aca="false" t="array" ref="AE135:AE135">IFERROR(INDEX('Bank Schedule'!AF:AF, SMALL(IF('Bank Schedule'!$K$2:$K$817="Vacant", ROW('Bank Schedule'!$K$2:$K$817)), ROW(132:132))), "")</f>
        <v/>
      </c>
      <c r="AF135" s="11" t="str">
        <f aca="false" t="array" ref="AF135:AF135">IFERROR(INDEX('Bank Schedule'!AG:AG, SMALL(IF('Bank Schedule'!$K$2:$K$817="Vacant", ROW('Bank Schedule'!$K$2:$K$817)), ROW(132:132))), "")</f>
        <v/>
      </c>
      <c r="AG135" s="4"/>
    </row>
    <row r="136" customFormat="false" ht="28.5" hidden="false" customHeight="true" outlineLevel="0" collapsed="false">
      <c r="A136" s="28" t="str">
        <f aca="false" t="array" ref="A136:A136">IFERROR(INDEX('Bank Schedule'!A:A, SMALL(IF('Bank Schedule'!$K$2:$K$817="Vacant", ROW('Bank Schedule'!$K$2:$K$817)), ROW(133:133))), "")</f>
        <v/>
      </c>
      <c r="B136" s="11" t="str">
        <f aca="false" t="array" ref="B136:B136">IFERROR(INDEX('Bank Schedule'!B:B, SMALL(IF('Bank Schedule'!$K$2:$K$817="Vacant", ROW('Bank Schedule'!$K$2:$K$817)), ROW(133:133))), "")</f>
        <v/>
      </c>
      <c r="C136" s="11" t="str">
        <f aca="false" t="array" ref="C136:C136">IFERROR(INDEX('Bank Schedule'!C:C, SMALL(IF('Bank Schedule'!$K$2:$K$817="Vacant", ROW('Bank Schedule'!$K$2:$K$817)), ROW(133:133))), "")</f>
        <v/>
      </c>
      <c r="D136" s="11" t="str">
        <f aca="false" t="array" ref="D136:D136">IFERROR(INDEX('Bank Schedule'!D:D, SMALL(IF('Bank Schedule'!$K$2:$K$817="Vacant", ROW('Bank Schedule'!$K$2:$K$817)), ROW(133:133))), "")</f>
        <v/>
      </c>
      <c r="E136" s="11" t="str">
        <f aca="false" t="array" ref="E136:E136">IFERROR(INDEX('Bank Schedule'!E:E, SMALL(IF('Bank Schedule'!$K$2:$K$817="Vacant", ROW('Bank Schedule'!$K$2:$K$817)), ROW(133:133))), "")</f>
        <v/>
      </c>
      <c r="F136" s="11" t="str">
        <f aca="false" t="array" ref="F136:F136">IFERROR(INDEX('Bank Schedule'!F:F, SMALL(IF('Bank Schedule'!$K$2:$K$817="Vacant", ROW('Bank Schedule'!$K$2:$K$817)), ROW(133:133))), "")</f>
        <v/>
      </c>
      <c r="G136" s="11" t="str">
        <f aca="false" t="array" ref="G136:G136">IFERROR(INDEX('Bank Schedule'!G:G, SMALL(IF('Bank Schedule'!$K$2:$K$817="Vacant", ROW('Bank Schedule'!$K$2:$K$817)), ROW(133:133))), "")</f>
        <v/>
      </c>
      <c r="H136" s="11" t="str">
        <f aca="false" t="array" ref="H136:H136">IFERROR(INDEX('Bank Schedule'!H:H, SMALL(IF('Bank Schedule'!$K$2:$K$817="Vacant", ROW('Bank Schedule'!$K$2:$K$817)), ROW(133:133))), "")</f>
        <v/>
      </c>
      <c r="I136" s="11" t="str">
        <f aca="false" t="array" ref="I136:I136">IFERROR(INDEX('Bank Schedule'!I:I, SMALL(IF('Bank Schedule'!$K$2:$K$817="Vacant", ROW('Bank Schedule'!$K$2:$K$817)), ROW(133:133))), "")</f>
        <v/>
      </c>
      <c r="J136" s="11" t="str">
        <f aca="false" t="array" ref="J136:J136">IFERROR(INDEX('Bank Schedule'!K:K, SMALL(IF('Bank Schedule'!$K$2:$K$817="Vacant", ROW('Bank Schedule'!$K$2:$K$817)), ROW(133:133))), "")</f>
        <v/>
      </c>
      <c r="K136" s="11" t="str">
        <f aca="false" t="array" ref="K136:K136">IFERROR(INDEX('Bank Schedule'!L:L, SMALL(IF('Bank Schedule'!$K$2:$K$817="Vacant", ROW('Bank Schedule'!$K$2:$K$817)), ROW(133:133))), "")</f>
        <v/>
      </c>
      <c r="L136" s="11" t="str">
        <f aca="false" t="array" ref="L136:L136">IFERROR(INDEX('Bank Schedule'!M:M, SMALL(IF('Bank Schedule'!$K$2:$K$817="Vacant", ROW('Bank Schedule'!$K$2:$K$817)), ROW(133:133))), "")</f>
        <v/>
      </c>
      <c r="M136" s="11" t="str">
        <f aca="false" t="array" ref="M136:M136">IFERROR(INDEX('Bank Schedule'!N:N, SMALL(IF('Bank Schedule'!$K$2:$K$817="Vacant", ROW('Bank Schedule'!$K$2:$K$817)), ROW(133:133))), "")</f>
        <v/>
      </c>
      <c r="N136" s="11" t="str">
        <f aca="false" t="array" ref="N136:N136">IFERROR(INDEX('Bank Schedule'!O:O, SMALL(IF('Bank Schedule'!$K$2:$K$817="Vacant", ROW('Bank Schedule'!$K$2:$K$817)), ROW(133:133))), "")</f>
        <v/>
      </c>
      <c r="O136" s="11" t="str">
        <f aca="false" t="array" ref="O136:O136">IFERROR(INDEX('Bank Schedule'!P:P, SMALL(IF('Bank Schedule'!$K$2:$K$817="Vacant", ROW('Bank Schedule'!$K$2:$K$817)), ROW(133:133))), "")</f>
        <v/>
      </c>
      <c r="P136" s="11" t="str">
        <f aca="false" t="array" ref="P136:P136">IFERROR(INDEX('Bank Schedule'!Q:Q, SMALL(IF('Bank Schedule'!$K$2:$K$817="Vacant", ROW('Bank Schedule'!$K$2:$K$817)), ROW(133:133))), "")</f>
        <v/>
      </c>
      <c r="Q136" s="11" t="str">
        <f aca="false" t="array" ref="Q136:Q136">IFERROR(INDEX('Bank Schedule'!R:R, SMALL(IF('Bank Schedule'!$K$2:$K$817="Vacant", ROW('Bank Schedule'!$K$2:$K$817)), ROW(133:133))), "")</f>
        <v/>
      </c>
      <c r="R136" s="11" t="str">
        <f aca="false" t="array" ref="R136:R136">IFERROR(INDEX('Bank Schedule'!S:S, SMALL(IF('Bank Schedule'!$K$2:$K$817="Vacant", ROW('Bank Schedule'!$K$2:$K$817)), ROW(133:133))), "")</f>
        <v/>
      </c>
      <c r="S136" s="11" t="str">
        <f aca="false" t="array" ref="S136:S136">IFERROR(INDEX('Bank Schedule'!T:T, SMALL(IF('Bank Schedule'!$K$2:$K$817="Vacant", ROW('Bank Schedule'!$K$2:$K$817)), ROW(133:133))), "")</f>
        <v/>
      </c>
      <c r="T136" s="11" t="str">
        <f aca="false" t="array" ref="T136:T136">IFERROR(INDEX('Bank Schedule'!U:U, SMALL(IF('Bank Schedule'!$K$2:$K$817="Vacant", ROW('Bank Schedule'!$K$2:$K$817)), ROW(133:133))), "")</f>
        <v/>
      </c>
      <c r="U136" s="11" t="str">
        <f aca="false" t="array" ref="U136:U136">IFERROR(INDEX('Bank Schedule'!V:V, SMALL(IF('Bank Schedule'!$K$2:$K$817="Vacant", ROW('Bank Schedule'!$K$2:$K$817)), ROW(133:133))), "")</f>
        <v/>
      </c>
      <c r="V136" s="11" t="str">
        <f aca="false" t="array" ref="V136:V136">IFERROR(INDEX('Bank Schedule'!W:W, SMALL(IF('Bank Schedule'!$K$2:$K$817="Vacant", ROW('Bank Schedule'!$K$2:$K$817)), ROW(133:133))), "")</f>
        <v/>
      </c>
      <c r="W136" s="11" t="str">
        <f aca="false" t="array" ref="W136:W136">IFERROR(INDEX('Bank Schedule'!X:X, SMALL(IF('Bank Schedule'!$K$2:$K$817="Vacant", ROW('Bank Schedule'!$K$2:$K$817)), ROW(133:133))), "")</f>
        <v/>
      </c>
      <c r="X136" s="11" t="str">
        <f aca="false" t="array" ref="X136:X136">IFERROR(INDEX('Bank Schedule'!Y:Y, SMALL(IF('Bank Schedule'!$K$2:$K$817="Vacant", ROW('Bank Schedule'!$K$2:$K$817)), ROW(133:133))), "")</f>
        <v/>
      </c>
      <c r="Y136" s="11" t="str">
        <f aca="false" t="array" ref="Y136:Y136">IFERROR(INDEX('Bank Schedule'!Z:Z, SMALL(IF('Bank Schedule'!$K$2:$K$817="Vacant", ROW('Bank Schedule'!$K$2:$K$817)), ROW(133:133))), "")</f>
        <v/>
      </c>
      <c r="Z136" s="11" t="str">
        <f aca="false" t="array" ref="Z136:Z136">IFERROR(INDEX('Bank Schedule'!AA:AA, SMALL(IF('Bank Schedule'!$K$2:$K$817="Vacant", ROW('Bank Schedule'!$K$2:$K$817)), ROW(133:133))), "")</f>
        <v/>
      </c>
      <c r="AA136" s="11" t="str">
        <f aca="false" t="array" ref="AA136:AA136">IFERROR(INDEX('Bank Schedule'!AB:AB, SMALL(IF('Bank Schedule'!$K$2:$K$817="Vacant", ROW('Bank Schedule'!$K$2:$K$817)), ROW(133:133))), "")</f>
        <v/>
      </c>
      <c r="AB136" s="11" t="str">
        <f aca="false" t="array" ref="AB136:AB136">IFERROR(INDEX('Bank Schedule'!AC:AC, SMALL(IF('Bank Schedule'!$K$2:$K$817="Vacant", ROW('Bank Schedule'!$K$2:$K$817)), ROW(133:133))), "")</f>
        <v/>
      </c>
      <c r="AC136" s="44" t="str">
        <f aca="false" t="array" ref="AC136:AC136">IFERROR(INDEX('Bank Schedule'!AD:AD, SMALL(IF('Bank Schedule'!$K$2:$K$817="Vacant", ROW('Bank Schedule'!$K$2:$K$817)), ROW(133:133))), "")</f>
        <v/>
      </c>
      <c r="AD136" s="11" t="str">
        <f aca="false" t="array" ref="AD136:AD136">IFERROR(INDEX('Bank Schedule'!AE:AE, SMALL(IF('Bank Schedule'!$K$2:$K$817="Vacant", ROW('Bank Schedule'!$K$2:$K$817)), ROW(133:133))), "")</f>
        <v/>
      </c>
      <c r="AE136" s="11" t="str">
        <f aca="false" t="array" ref="AE136:AE136">IFERROR(INDEX('Bank Schedule'!AF:AF, SMALL(IF('Bank Schedule'!$K$2:$K$817="Vacant", ROW('Bank Schedule'!$K$2:$K$817)), ROW(133:133))), "")</f>
        <v/>
      </c>
      <c r="AF136" s="11" t="str">
        <f aca="false" t="array" ref="AF136:AF136">IFERROR(INDEX('Bank Schedule'!AG:AG, SMALL(IF('Bank Schedule'!$K$2:$K$817="Vacant", ROW('Bank Schedule'!$K$2:$K$817)), ROW(133:133))), "")</f>
        <v/>
      </c>
      <c r="AG136" s="4"/>
    </row>
    <row r="137" customFormat="false" ht="28.5" hidden="false" customHeight="true" outlineLevel="0" collapsed="false">
      <c r="A137" s="28" t="str">
        <f aca="false" t="array" ref="A137:A137">IFERROR(INDEX('Bank Schedule'!A:A, SMALL(IF('Bank Schedule'!$K$2:$K$817="Vacant", ROW('Bank Schedule'!$K$2:$K$817)), ROW(134:134))), "")</f>
        <v/>
      </c>
      <c r="B137" s="11" t="str">
        <f aca="false" t="array" ref="B137:B137">IFERROR(INDEX('Bank Schedule'!B:B, SMALL(IF('Bank Schedule'!$K$2:$K$817="Vacant", ROW('Bank Schedule'!$K$2:$K$817)), ROW(134:134))), "")</f>
        <v/>
      </c>
      <c r="C137" s="11" t="str">
        <f aca="false" t="array" ref="C137:C137">IFERROR(INDEX('Bank Schedule'!C:C, SMALL(IF('Bank Schedule'!$K$2:$K$817="Vacant", ROW('Bank Schedule'!$K$2:$K$817)), ROW(134:134))), "")</f>
        <v/>
      </c>
      <c r="D137" s="11" t="str">
        <f aca="false" t="array" ref="D137:D137">IFERROR(INDEX('Bank Schedule'!D:D, SMALL(IF('Bank Schedule'!$K$2:$K$817="Vacant", ROW('Bank Schedule'!$K$2:$K$817)), ROW(134:134))), "")</f>
        <v/>
      </c>
      <c r="E137" s="11" t="str">
        <f aca="false" t="array" ref="E137:E137">IFERROR(INDEX('Bank Schedule'!E:E, SMALL(IF('Bank Schedule'!$K$2:$K$817="Vacant", ROW('Bank Schedule'!$K$2:$K$817)), ROW(134:134))), "")</f>
        <v/>
      </c>
      <c r="F137" s="11" t="str">
        <f aca="false" t="array" ref="F137:F137">IFERROR(INDEX('Bank Schedule'!F:F, SMALL(IF('Bank Schedule'!$K$2:$K$817="Vacant", ROW('Bank Schedule'!$K$2:$K$817)), ROW(134:134))), "")</f>
        <v/>
      </c>
      <c r="G137" s="11" t="str">
        <f aca="false" t="array" ref="G137:G137">IFERROR(INDEX('Bank Schedule'!G:G, SMALL(IF('Bank Schedule'!$K$2:$K$817="Vacant", ROW('Bank Schedule'!$K$2:$K$817)), ROW(134:134))), "")</f>
        <v/>
      </c>
      <c r="H137" s="11" t="str">
        <f aca="false" t="array" ref="H137:H137">IFERROR(INDEX('Bank Schedule'!H:H, SMALL(IF('Bank Schedule'!$K$2:$K$817="Vacant", ROW('Bank Schedule'!$K$2:$K$817)), ROW(134:134))), "")</f>
        <v/>
      </c>
      <c r="I137" s="11" t="str">
        <f aca="false" t="array" ref="I137:I137">IFERROR(INDEX('Bank Schedule'!I:I, SMALL(IF('Bank Schedule'!$K$2:$K$817="Vacant", ROW('Bank Schedule'!$K$2:$K$817)), ROW(134:134))), "")</f>
        <v/>
      </c>
      <c r="J137" s="11" t="str">
        <f aca="false" t="array" ref="J137:J137">IFERROR(INDEX('Bank Schedule'!K:K, SMALL(IF('Bank Schedule'!$K$2:$K$817="Vacant", ROW('Bank Schedule'!$K$2:$K$817)), ROW(134:134))), "")</f>
        <v/>
      </c>
      <c r="K137" s="11" t="str">
        <f aca="false" t="array" ref="K137:K137">IFERROR(INDEX('Bank Schedule'!L:L, SMALL(IF('Bank Schedule'!$K$2:$K$817="Vacant", ROW('Bank Schedule'!$K$2:$K$817)), ROW(134:134))), "")</f>
        <v/>
      </c>
      <c r="L137" s="11" t="str">
        <f aca="false" t="array" ref="L137:L137">IFERROR(INDEX('Bank Schedule'!M:M, SMALL(IF('Bank Schedule'!$K$2:$K$817="Vacant", ROW('Bank Schedule'!$K$2:$K$817)), ROW(134:134))), "")</f>
        <v/>
      </c>
      <c r="M137" s="11" t="str">
        <f aca="false" t="array" ref="M137:M137">IFERROR(INDEX('Bank Schedule'!N:N, SMALL(IF('Bank Schedule'!$K$2:$K$817="Vacant", ROW('Bank Schedule'!$K$2:$K$817)), ROW(134:134))), "")</f>
        <v/>
      </c>
      <c r="N137" s="11" t="str">
        <f aca="false" t="array" ref="N137:N137">IFERROR(INDEX('Bank Schedule'!O:O, SMALL(IF('Bank Schedule'!$K$2:$K$817="Vacant", ROW('Bank Schedule'!$K$2:$K$817)), ROW(134:134))), "")</f>
        <v/>
      </c>
      <c r="O137" s="11" t="str">
        <f aca="false" t="array" ref="O137:O137">IFERROR(INDEX('Bank Schedule'!P:P, SMALL(IF('Bank Schedule'!$K$2:$K$817="Vacant", ROW('Bank Schedule'!$K$2:$K$817)), ROW(134:134))), "")</f>
        <v/>
      </c>
      <c r="P137" s="11" t="str">
        <f aca="false" t="array" ref="P137:P137">IFERROR(INDEX('Bank Schedule'!Q:Q, SMALL(IF('Bank Schedule'!$K$2:$K$817="Vacant", ROW('Bank Schedule'!$K$2:$K$817)), ROW(134:134))), "")</f>
        <v/>
      </c>
      <c r="Q137" s="11" t="str">
        <f aca="false" t="array" ref="Q137:Q137">IFERROR(INDEX('Bank Schedule'!R:R, SMALL(IF('Bank Schedule'!$K$2:$K$817="Vacant", ROW('Bank Schedule'!$K$2:$K$817)), ROW(134:134))), "")</f>
        <v/>
      </c>
      <c r="R137" s="11" t="str">
        <f aca="false" t="array" ref="R137:R137">IFERROR(INDEX('Bank Schedule'!S:S, SMALL(IF('Bank Schedule'!$K$2:$K$817="Vacant", ROW('Bank Schedule'!$K$2:$K$817)), ROW(134:134))), "")</f>
        <v/>
      </c>
      <c r="S137" s="11" t="str">
        <f aca="false" t="array" ref="S137:S137">IFERROR(INDEX('Bank Schedule'!T:T, SMALL(IF('Bank Schedule'!$K$2:$K$817="Vacant", ROW('Bank Schedule'!$K$2:$K$817)), ROW(134:134))), "")</f>
        <v/>
      </c>
      <c r="T137" s="11" t="str">
        <f aca="false" t="array" ref="T137:T137">IFERROR(INDEX('Bank Schedule'!U:U, SMALL(IF('Bank Schedule'!$K$2:$K$817="Vacant", ROW('Bank Schedule'!$K$2:$K$817)), ROW(134:134))), "")</f>
        <v/>
      </c>
      <c r="U137" s="11" t="str">
        <f aca="false" t="array" ref="U137:U137">IFERROR(INDEX('Bank Schedule'!V:V, SMALL(IF('Bank Schedule'!$K$2:$K$817="Vacant", ROW('Bank Schedule'!$K$2:$K$817)), ROW(134:134))), "")</f>
        <v/>
      </c>
      <c r="V137" s="11" t="str">
        <f aca="false" t="array" ref="V137:V137">IFERROR(INDEX('Bank Schedule'!W:W, SMALL(IF('Bank Schedule'!$K$2:$K$817="Vacant", ROW('Bank Schedule'!$K$2:$K$817)), ROW(134:134))), "")</f>
        <v/>
      </c>
      <c r="W137" s="11" t="str">
        <f aca="false" t="array" ref="W137:W137">IFERROR(INDEX('Bank Schedule'!X:X, SMALL(IF('Bank Schedule'!$K$2:$K$817="Vacant", ROW('Bank Schedule'!$K$2:$K$817)), ROW(134:134))), "")</f>
        <v/>
      </c>
      <c r="X137" s="11" t="str">
        <f aca="false" t="array" ref="X137:X137">IFERROR(INDEX('Bank Schedule'!Y:Y, SMALL(IF('Bank Schedule'!$K$2:$K$817="Vacant", ROW('Bank Schedule'!$K$2:$K$817)), ROW(134:134))), "")</f>
        <v/>
      </c>
      <c r="Y137" s="11" t="str">
        <f aca="false" t="array" ref="Y137:Y137">IFERROR(INDEX('Bank Schedule'!Z:Z, SMALL(IF('Bank Schedule'!$K$2:$K$817="Vacant", ROW('Bank Schedule'!$K$2:$K$817)), ROW(134:134))), "")</f>
        <v/>
      </c>
      <c r="Z137" s="11" t="str">
        <f aca="false" t="array" ref="Z137:Z137">IFERROR(INDEX('Bank Schedule'!AA:AA, SMALL(IF('Bank Schedule'!$K$2:$K$817="Vacant", ROW('Bank Schedule'!$K$2:$K$817)), ROW(134:134))), "")</f>
        <v/>
      </c>
      <c r="AA137" s="11" t="str">
        <f aca="false" t="array" ref="AA137:AA137">IFERROR(INDEX('Bank Schedule'!AB:AB, SMALL(IF('Bank Schedule'!$K$2:$K$817="Vacant", ROW('Bank Schedule'!$K$2:$K$817)), ROW(134:134))), "")</f>
        <v/>
      </c>
      <c r="AB137" s="11" t="str">
        <f aca="false" t="array" ref="AB137:AB137">IFERROR(INDEX('Bank Schedule'!AC:AC, SMALL(IF('Bank Schedule'!$K$2:$K$817="Vacant", ROW('Bank Schedule'!$K$2:$K$817)), ROW(134:134))), "")</f>
        <v/>
      </c>
      <c r="AC137" s="44" t="str">
        <f aca="false" t="array" ref="AC137:AC137">IFERROR(INDEX('Bank Schedule'!AD:AD, SMALL(IF('Bank Schedule'!$K$2:$K$817="Vacant", ROW('Bank Schedule'!$K$2:$K$817)), ROW(134:134))), "")</f>
        <v/>
      </c>
      <c r="AD137" s="11" t="str">
        <f aca="false" t="array" ref="AD137:AD137">IFERROR(INDEX('Bank Schedule'!AE:AE, SMALL(IF('Bank Schedule'!$K$2:$K$817="Vacant", ROW('Bank Schedule'!$K$2:$K$817)), ROW(134:134))), "")</f>
        <v/>
      </c>
      <c r="AE137" s="11" t="str">
        <f aca="false" t="array" ref="AE137:AE137">IFERROR(INDEX('Bank Schedule'!AF:AF, SMALL(IF('Bank Schedule'!$K$2:$K$817="Vacant", ROW('Bank Schedule'!$K$2:$K$817)), ROW(134:134))), "")</f>
        <v/>
      </c>
      <c r="AF137" s="11" t="str">
        <f aca="false" t="array" ref="AF137:AF137">IFERROR(INDEX('Bank Schedule'!AG:AG, SMALL(IF('Bank Schedule'!$K$2:$K$817="Vacant", ROW('Bank Schedule'!$K$2:$K$817)), ROW(134:134))), "")</f>
        <v/>
      </c>
      <c r="AG137" s="4"/>
    </row>
    <row r="138" customFormat="false" ht="28.5" hidden="false" customHeight="true" outlineLevel="0" collapsed="false">
      <c r="A138" s="28" t="str">
        <f aca="false" t="array" ref="A138:A138">IFERROR(INDEX('Bank Schedule'!A:A, SMALL(IF('Bank Schedule'!$K$2:$K$817="Vacant", ROW('Bank Schedule'!$K$2:$K$817)), ROW(135:135))), "")</f>
        <v/>
      </c>
      <c r="B138" s="11" t="str">
        <f aca="false" t="array" ref="B138:B138">IFERROR(INDEX('Bank Schedule'!B:B, SMALL(IF('Bank Schedule'!$K$2:$K$817="Vacant", ROW('Bank Schedule'!$K$2:$K$817)), ROW(135:135))), "")</f>
        <v/>
      </c>
      <c r="C138" s="11" t="str">
        <f aca="false" t="array" ref="C138:C138">IFERROR(INDEX('Bank Schedule'!C:C, SMALL(IF('Bank Schedule'!$K$2:$K$817="Vacant", ROW('Bank Schedule'!$K$2:$K$817)), ROW(135:135))), "")</f>
        <v/>
      </c>
      <c r="D138" s="11" t="str">
        <f aca="false" t="array" ref="D138:D138">IFERROR(INDEX('Bank Schedule'!D:D, SMALL(IF('Bank Schedule'!$K$2:$K$817="Vacant", ROW('Bank Schedule'!$K$2:$K$817)), ROW(135:135))), "")</f>
        <v/>
      </c>
      <c r="E138" s="11" t="str">
        <f aca="false" t="array" ref="E138:E138">IFERROR(INDEX('Bank Schedule'!E:E, SMALL(IF('Bank Schedule'!$K$2:$K$817="Vacant", ROW('Bank Schedule'!$K$2:$K$817)), ROW(135:135))), "")</f>
        <v/>
      </c>
      <c r="F138" s="11" t="str">
        <f aca="false" t="array" ref="F138:F138">IFERROR(INDEX('Bank Schedule'!F:F, SMALL(IF('Bank Schedule'!$K$2:$K$817="Vacant", ROW('Bank Schedule'!$K$2:$K$817)), ROW(135:135))), "")</f>
        <v/>
      </c>
      <c r="G138" s="11" t="str">
        <f aca="false" t="array" ref="G138:G138">IFERROR(INDEX('Bank Schedule'!G:G, SMALL(IF('Bank Schedule'!$K$2:$K$817="Vacant", ROW('Bank Schedule'!$K$2:$K$817)), ROW(135:135))), "")</f>
        <v/>
      </c>
      <c r="H138" s="11" t="str">
        <f aca="false" t="array" ref="H138:H138">IFERROR(INDEX('Bank Schedule'!H:H, SMALL(IF('Bank Schedule'!$K$2:$K$817="Vacant", ROW('Bank Schedule'!$K$2:$K$817)), ROW(135:135))), "")</f>
        <v/>
      </c>
      <c r="I138" s="11" t="str">
        <f aca="false" t="array" ref="I138:I138">IFERROR(INDEX('Bank Schedule'!I:I, SMALL(IF('Bank Schedule'!$K$2:$K$817="Vacant", ROW('Bank Schedule'!$K$2:$K$817)), ROW(135:135))), "")</f>
        <v/>
      </c>
      <c r="J138" s="11" t="str">
        <f aca="false" t="array" ref="J138:J138">IFERROR(INDEX('Bank Schedule'!K:K, SMALL(IF('Bank Schedule'!$K$2:$K$817="Vacant", ROW('Bank Schedule'!$K$2:$K$817)), ROW(135:135))), "")</f>
        <v/>
      </c>
      <c r="K138" s="11" t="str">
        <f aca="false" t="array" ref="K138:K138">IFERROR(INDEX('Bank Schedule'!L:L, SMALL(IF('Bank Schedule'!$K$2:$K$817="Vacant", ROW('Bank Schedule'!$K$2:$K$817)), ROW(135:135))), "")</f>
        <v/>
      </c>
      <c r="L138" s="11" t="str">
        <f aca="false" t="array" ref="L138:L138">IFERROR(INDEX('Bank Schedule'!M:M, SMALL(IF('Bank Schedule'!$K$2:$K$817="Vacant", ROW('Bank Schedule'!$K$2:$K$817)), ROW(135:135))), "")</f>
        <v/>
      </c>
      <c r="M138" s="11" t="str">
        <f aca="false" t="array" ref="M138:M138">IFERROR(INDEX('Bank Schedule'!N:N, SMALL(IF('Bank Schedule'!$K$2:$K$817="Vacant", ROW('Bank Schedule'!$K$2:$K$817)), ROW(135:135))), "")</f>
        <v/>
      </c>
      <c r="N138" s="11" t="str">
        <f aca="false" t="array" ref="N138:N138">IFERROR(INDEX('Bank Schedule'!O:O, SMALL(IF('Bank Schedule'!$K$2:$K$817="Vacant", ROW('Bank Schedule'!$K$2:$K$817)), ROW(135:135))), "")</f>
        <v/>
      </c>
      <c r="O138" s="11" t="str">
        <f aca="false" t="array" ref="O138:O138">IFERROR(INDEX('Bank Schedule'!P:P, SMALL(IF('Bank Schedule'!$K$2:$K$817="Vacant", ROW('Bank Schedule'!$K$2:$K$817)), ROW(135:135))), "")</f>
        <v/>
      </c>
      <c r="P138" s="11" t="str">
        <f aca="false" t="array" ref="P138:P138">IFERROR(INDEX('Bank Schedule'!Q:Q, SMALL(IF('Bank Schedule'!$K$2:$K$817="Vacant", ROW('Bank Schedule'!$K$2:$K$817)), ROW(135:135))), "")</f>
        <v/>
      </c>
      <c r="Q138" s="11" t="str">
        <f aca="false" t="array" ref="Q138:Q138">IFERROR(INDEX('Bank Schedule'!R:R, SMALL(IF('Bank Schedule'!$K$2:$K$817="Vacant", ROW('Bank Schedule'!$K$2:$K$817)), ROW(135:135))), "")</f>
        <v/>
      </c>
      <c r="R138" s="11" t="str">
        <f aca="false" t="array" ref="R138:R138">IFERROR(INDEX('Bank Schedule'!S:S, SMALL(IF('Bank Schedule'!$K$2:$K$817="Vacant", ROW('Bank Schedule'!$K$2:$K$817)), ROW(135:135))), "")</f>
        <v/>
      </c>
      <c r="S138" s="11" t="str">
        <f aca="false" t="array" ref="S138:S138">IFERROR(INDEX('Bank Schedule'!T:T, SMALL(IF('Bank Schedule'!$K$2:$K$817="Vacant", ROW('Bank Schedule'!$K$2:$K$817)), ROW(135:135))), "")</f>
        <v/>
      </c>
      <c r="T138" s="11" t="str">
        <f aca="false" t="array" ref="T138:T138">IFERROR(INDEX('Bank Schedule'!U:U, SMALL(IF('Bank Schedule'!$K$2:$K$817="Vacant", ROW('Bank Schedule'!$K$2:$K$817)), ROW(135:135))), "")</f>
        <v/>
      </c>
      <c r="U138" s="11" t="str">
        <f aca="false" t="array" ref="U138:U138">IFERROR(INDEX('Bank Schedule'!V:V, SMALL(IF('Bank Schedule'!$K$2:$K$817="Vacant", ROW('Bank Schedule'!$K$2:$K$817)), ROW(135:135))), "")</f>
        <v/>
      </c>
      <c r="V138" s="11" t="str">
        <f aca="false" t="array" ref="V138:V138">IFERROR(INDEX('Bank Schedule'!W:W, SMALL(IF('Bank Schedule'!$K$2:$K$817="Vacant", ROW('Bank Schedule'!$K$2:$K$817)), ROW(135:135))), "")</f>
        <v/>
      </c>
      <c r="W138" s="11" t="str">
        <f aca="false" t="array" ref="W138:W138">IFERROR(INDEX('Bank Schedule'!X:X, SMALL(IF('Bank Schedule'!$K$2:$K$817="Vacant", ROW('Bank Schedule'!$K$2:$K$817)), ROW(135:135))), "")</f>
        <v/>
      </c>
      <c r="X138" s="11" t="str">
        <f aca="false" t="array" ref="X138:X138">IFERROR(INDEX('Bank Schedule'!Y:Y, SMALL(IF('Bank Schedule'!$K$2:$K$817="Vacant", ROW('Bank Schedule'!$K$2:$K$817)), ROW(135:135))), "")</f>
        <v/>
      </c>
      <c r="Y138" s="11" t="str">
        <f aca="false" t="array" ref="Y138:Y138">IFERROR(INDEX('Bank Schedule'!Z:Z, SMALL(IF('Bank Schedule'!$K$2:$K$817="Vacant", ROW('Bank Schedule'!$K$2:$K$817)), ROW(135:135))), "")</f>
        <v/>
      </c>
      <c r="Z138" s="11" t="str">
        <f aca="false" t="array" ref="Z138:Z138">IFERROR(INDEX('Bank Schedule'!AA:AA, SMALL(IF('Bank Schedule'!$K$2:$K$817="Vacant", ROW('Bank Schedule'!$K$2:$K$817)), ROW(135:135))), "")</f>
        <v/>
      </c>
      <c r="AA138" s="11" t="str">
        <f aca="false" t="array" ref="AA138:AA138">IFERROR(INDEX('Bank Schedule'!AB:AB, SMALL(IF('Bank Schedule'!$K$2:$K$817="Vacant", ROW('Bank Schedule'!$K$2:$K$817)), ROW(135:135))), "")</f>
        <v/>
      </c>
      <c r="AB138" s="11" t="str">
        <f aca="false" t="array" ref="AB138:AB138">IFERROR(INDEX('Bank Schedule'!AC:AC, SMALL(IF('Bank Schedule'!$K$2:$K$817="Vacant", ROW('Bank Schedule'!$K$2:$K$817)), ROW(135:135))), "")</f>
        <v/>
      </c>
      <c r="AC138" s="11" t="str">
        <f aca="false" t="array" ref="AC138:AC138">IFERROR(INDEX('Bank Schedule'!AD:AD, SMALL(IF('Bank Schedule'!$K$2:$K$817="Vacant", ROW('Bank Schedule'!$K$2:$K$817)), ROW(135:135))), "")</f>
        <v/>
      </c>
      <c r="AD138" s="11" t="str">
        <f aca="false" t="array" ref="AD138:AD138">IFERROR(INDEX('Bank Schedule'!AE:AE, SMALL(IF('Bank Schedule'!$K$2:$K$817="Vacant", ROW('Bank Schedule'!$K$2:$K$817)), ROW(135:135))), "")</f>
        <v/>
      </c>
      <c r="AE138" s="11" t="str">
        <f aca="false" t="array" ref="AE138:AE138">IFERROR(INDEX('Bank Schedule'!AF:AF, SMALL(IF('Bank Schedule'!$K$2:$K$817="Vacant", ROW('Bank Schedule'!$K$2:$K$817)), ROW(135:135))), "")</f>
        <v/>
      </c>
      <c r="AF138" s="11" t="str">
        <f aca="false" t="array" ref="AF138:AF138">IFERROR(INDEX('Bank Schedule'!AG:AG, SMALL(IF('Bank Schedule'!$K$2:$K$817="Vacant", ROW('Bank Schedule'!$K$2:$K$817)), ROW(135:135))), "")</f>
        <v/>
      </c>
      <c r="AG138" s="4"/>
    </row>
    <row r="139" customFormat="false" ht="28.5" hidden="false" customHeight="true" outlineLevel="0" collapsed="false">
      <c r="A139" s="28" t="str">
        <f aca="false" t="array" ref="A139:A139">IFERROR(INDEX('Bank Schedule'!A:A, SMALL(IF('Bank Schedule'!$K$2:$K$817="Vacant", ROW('Bank Schedule'!$K$2:$K$817)), ROW(136:136))), "")</f>
        <v/>
      </c>
      <c r="B139" s="11" t="str">
        <f aca="false" t="array" ref="B139:B139">IFERROR(INDEX('Bank Schedule'!B:B, SMALL(IF('Bank Schedule'!$K$2:$K$817="Vacant", ROW('Bank Schedule'!$K$2:$K$817)), ROW(136:136))), "")</f>
        <v/>
      </c>
      <c r="C139" s="11" t="str">
        <f aca="false" t="array" ref="C139:C139">IFERROR(INDEX('Bank Schedule'!C:C, SMALL(IF('Bank Schedule'!$K$2:$K$817="Vacant", ROW('Bank Schedule'!$K$2:$K$817)), ROW(136:136))), "")</f>
        <v/>
      </c>
      <c r="D139" s="11" t="str">
        <f aca="false" t="array" ref="D139:D139">IFERROR(INDEX('Bank Schedule'!D:D, SMALL(IF('Bank Schedule'!$K$2:$K$817="Vacant", ROW('Bank Schedule'!$K$2:$K$817)), ROW(136:136))), "")</f>
        <v/>
      </c>
      <c r="E139" s="11" t="str">
        <f aca="false" t="array" ref="E139:E139">IFERROR(INDEX('Bank Schedule'!E:E, SMALL(IF('Bank Schedule'!$K$2:$K$817="Vacant", ROW('Bank Schedule'!$K$2:$K$817)), ROW(136:136))), "")</f>
        <v/>
      </c>
      <c r="F139" s="11" t="str">
        <f aca="false" t="array" ref="F139:F139">IFERROR(INDEX('Bank Schedule'!F:F, SMALL(IF('Bank Schedule'!$K$2:$K$817="Vacant", ROW('Bank Schedule'!$K$2:$K$817)), ROW(136:136))), "")</f>
        <v/>
      </c>
      <c r="G139" s="11" t="str">
        <f aca="false" t="array" ref="G139:G139">IFERROR(INDEX('Bank Schedule'!G:G, SMALL(IF('Bank Schedule'!$K$2:$K$817="Vacant", ROW('Bank Schedule'!$K$2:$K$817)), ROW(136:136))), "")</f>
        <v/>
      </c>
      <c r="H139" s="11" t="str">
        <f aca="false" t="array" ref="H139:H139">IFERROR(INDEX('Bank Schedule'!H:H, SMALL(IF('Bank Schedule'!$K$2:$K$817="Vacant", ROW('Bank Schedule'!$K$2:$K$817)), ROW(136:136))), "")</f>
        <v/>
      </c>
      <c r="I139" s="11" t="str">
        <f aca="false" t="array" ref="I139:I139">IFERROR(INDEX('Bank Schedule'!I:I, SMALL(IF('Bank Schedule'!$K$2:$K$817="Vacant", ROW('Bank Schedule'!$K$2:$K$817)), ROW(136:136))), "")</f>
        <v/>
      </c>
      <c r="J139" s="11" t="str">
        <f aca="false" t="array" ref="J139:J139">IFERROR(INDEX('Bank Schedule'!K:K, SMALL(IF('Bank Schedule'!$K$2:$K$817="Vacant", ROW('Bank Schedule'!$K$2:$K$817)), ROW(136:136))), "")</f>
        <v/>
      </c>
      <c r="K139" s="11" t="str">
        <f aca="false" t="array" ref="K139:K139">IFERROR(INDEX('Bank Schedule'!L:L, SMALL(IF('Bank Schedule'!$K$2:$K$817="Vacant", ROW('Bank Schedule'!$K$2:$K$817)), ROW(136:136))), "")</f>
        <v/>
      </c>
      <c r="L139" s="11" t="str">
        <f aca="false" t="array" ref="L139:L139">IFERROR(INDEX('Bank Schedule'!M:M, SMALL(IF('Bank Schedule'!$K$2:$K$817="Vacant", ROW('Bank Schedule'!$K$2:$K$817)), ROW(136:136))), "")</f>
        <v/>
      </c>
      <c r="M139" s="11" t="str">
        <f aca="false" t="array" ref="M139:M139">IFERROR(INDEX('Bank Schedule'!N:N, SMALL(IF('Bank Schedule'!$K$2:$K$817="Vacant", ROW('Bank Schedule'!$K$2:$K$817)), ROW(136:136))), "")</f>
        <v/>
      </c>
      <c r="N139" s="11" t="str">
        <f aca="false" t="array" ref="N139:N139">IFERROR(INDEX('Bank Schedule'!O:O, SMALL(IF('Bank Schedule'!$K$2:$K$817="Vacant", ROW('Bank Schedule'!$K$2:$K$817)), ROW(136:136))), "")</f>
        <v/>
      </c>
      <c r="O139" s="11" t="str">
        <f aca="false" t="array" ref="O139:O139">IFERROR(INDEX('Bank Schedule'!P:P, SMALL(IF('Bank Schedule'!$K$2:$K$817="Vacant", ROW('Bank Schedule'!$K$2:$K$817)), ROW(136:136))), "")</f>
        <v/>
      </c>
      <c r="P139" s="11" t="str">
        <f aca="false" t="array" ref="P139:P139">IFERROR(INDEX('Bank Schedule'!Q:Q, SMALL(IF('Bank Schedule'!$K$2:$K$817="Vacant", ROW('Bank Schedule'!$K$2:$K$817)), ROW(136:136))), "")</f>
        <v/>
      </c>
      <c r="Q139" s="11" t="str">
        <f aca="false" t="array" ref="Q139:Q139">IFERROR(INDEX('Bank Schedule'!R:R, SMALL(IF('Bank Schedule'!$K$2:$K$817="Vacant", ROW('Bank Schedule'!$K$2:$K$817)), ROW(136:136))), "")</f>
        <v/>
      </c>
      <c r="R139" s="11" t="str">
        <f aca="false" t="array" ref="R139:R139">IFERROR(INDEX('Bank Schedule'!S:S, SMALL(IF('Bank Schedule'!$K$2:$K$817="Vacant", ROW('Bank Schedule'!$K$2:$K$817)), ROW(136:136))), "")</f>
        <v/>
      </c>
      <c r="S139" s="11" t="str">
        <f aca="false" t="array" ref="S139:S139">IFERROR(INDEX('Bank Schedule'!T:T, SMALL(IF('Bank Schedule'!$K$2:$K$817="Vacant", ROW('Bank Schedule'!$K$2:$K$817)), ROW(136:136))), "")</f>
        <v/>
      </c>
      <c r="T139" s="11" t="str">
        <f aca="false" t="array" ref="T139:T139">IFERROR(INDEX('Bank Schedule'!U:U, SMALL(IF('Bank Schedule'!$K$2:$K$817="Vacant", ROW('Bank Schedule'!$K$2:$K$817)), ROW(136:136))), "")</f>
        <v/>
      </c>
      <c r="U139" s="11" t="str">
        <f aca="false" t="array" ref="U139:U139">IFERROR(INDEX('Bank Schedule'!V:V, SMALL(IF('Bank Schedule'!$K$2:$K$817="Vacant", ROW('Bank Schedule'!$K$2:$K$817)), ROW(136:136))), "")</f>
        <v/>
      </c>
      <c r="V139" s="11" t="str">
        <f aca="false" t="array" ref="V139:V139">IFERROR(INDEX('Bank Schedule'!W:W, SMALL(IF('Bank Schedule'!$K$2:$K$817="Vacant", ROW('Bank Schedule'!$K$2:$K$817)), ROW(136:136))), "")</f>
        <v/>
      </c>
      <c r="W139" s="11" t="str">
        <f aca="false" t="array" ref="W139:W139">IFERROR(INDEX('Bank Schedule'!X:X, SMALL(IF('Bank Schedule'!$K$2:$K$817="Vacant", ROW('Bank Schedule'!$K$2:$K$817)), ROW(136:136))), "")</f>
        <v/>
      </c>
      <c r="X139" s="11" t="str">
        <f aca="false" t="array" ref="X139:X139">IFERROR(INDEX('Bank Schedule'!Y:Y, SMALL(IF('Bank Schedule'!$K$2:$K$817="Vacant", ROW('Bank Schedule'!$K$2:$K$817)), ROW(136:136))), "")</f>
        <v/>
      </c>
      <c r="Y139" s="11" t="str">
        <f aca="false" t="array" ref="Y139:Y139">IFERROR(INDEX('Bank Schedule'!Z:Z, SMALL(IF('Bank Schedule'!$K$2:$K$817="Vacant", ROW('Bank Schedule'!$K$2:$K$817)), ROW(136:136))), "")</f>
        <v/>
      </c>
      <c r="Z139" s="11" t="str">
        <f aca="false" t="array" ref="Z139:Z139">IFERROR(INDEX('Bank Schedule'!AA:AA, SMALL(IF('Bank Schedule'!$K$2:$K$817="Vacant", ROW('Bank Schedule'!$K$2:$K$817)), ROW(136:136))), "")</f>
        <v/>
      </c>
      <c r="AA139" s="11" t="str">
        <f aca="false" t="array" ref="AA139:AA139">IFERROR(INDEX('Bank Schedule'!AB:AB, SMALL(IF('Bank Schedule'!$K$2:$K$817="Vacant", ROW('Bank Schedule'!$K$2:$K$817)), ROW(136:136))), "")</f>
        <v/>
      </c>
      <c r="AB139" s="11" t="str">
        <f aca="false" t="array" ref="AB139:AB139">IFERROR(INDEX('Bank Schedule'!AC:AC, SMALL(IF('Bank Schedule'!$K$2:$K$817="Vacant", ROW('Bank Schedule'!$K$2:$K$817)), ROW(136:136))), "")</f>
        <v/>
      </c>
      <c r="AC139" s="11" t="str">
        <f aca="false" t="array" ref="AC139:AC139">IFERROR(INDEX('Bank Schedule'!AD:AD, SMALL(IF('Bank Schedule'!$K$2:$K$817="Vacant", ROW('Bank Schedule'!$K$2:$K$817)), ROW(136:136))), "")</f>
        <v/>
      </c>
      <c r="AD139" s="11" t="str">
        <f aca="false" t="array" ref="AD139:AD139">IFERROR(INDEX('Bank Schedule'!AE:AE, SMALL(IF('Bank Schedule'!$K$2:$K$817="Vacant", ROW('Bank Schedule'!$K$2:$K$817)), ROW(136:136))), "")</f>
        <v/>
      </c>
      <c r="AE139" s="11" t="str">
        <f aca="false" t="array" ref="AE139:AE139">IFERROR(INDEX('Bank Schedule'!AF:AF, SMALL(IF('Bank Schedule'!$K$2:$K$817="Vacant", ROW('Bank Schedule'!$K$2:$K$817)), ROW(136:136))), "")</f>
        <v/>
      </c>
      <c r="AF139" s="11" t="str">
        <f aca="false" t="array" ref="AF139:AF139">IFERROR(INDEX('Bank Schedule'!AG:AG, SMALL(IF('Bank Schedule'!$K$2:$K$817="Vacant", ROW('Bank Schedule'!$K$2:$K$817)), ROW(136:136))), "")</f>
        <v/>
      </c>
      <c r="AG139" s="4" t="str">
        <f aca="false" t="array" ref="AG139:AG139">IFERROR(INDEX('Bank Schedule'!AE:AE, SMALL(IF('Bank Schedule'!$K$2:$K$817="Vacant", ROW('Bank Schedule'!$K$2:$K$817)), ROW(136:136))), "")</f>
        <v/>
      </c>
      <c r="AH139" s="28"/>
      <c r="AI139" s="284"/>
    </row>
    <row r="140" customFormat="false" ht="28.5" hidden="false" customHeight="true" outlineLevel="0" collapsed="false">
      <c r="A140" s="28" t="str">
        <f aca="false" t="array" ref="A140:A140">IFERROR(INDEX('Bank Schedule'!A:A, SMALL(IF('Bank Schedule'!$K$2:$K$817="Vacant", ROW('Bank Schedule'!$K$2:$K$817)), ROW(137:137))), "")</f>
        <v/>
      </c>
      <c r="B140" s="11" t="str">
        <f aca="false" t="array" ref="B140:B140">IFERROR(INDEX('Bank Schedule'!B:B, SMALL(IF('Bank Schedule'!$K$2:$K$817="Vacant", ROW('Bank Schedule'!$K$2:$K$817)), ROW(137:137))), "")</f>
        <v/>
      </c>
      <c r="C140" s="11" t="str">
        <f aca="false" t="array" ref="C140:C140">IFERROR(INDEX('Bank Schedule'!C:C, SMALL(IF('Bank Schedule'!$K$2:$K$817="Vacant", ROW('Bank Schedule'!$K$2:$K$817)), ROW(137:137))), "")</f>
        <v/>
      </c>
      <c r="D140" s="11" t="str">
        <f aca="false" t="array" ref="D140:D140">IFERROR(INDEX('Bank Schedule'!D:D, SMALL(IF('Bank Schedule'!$K$2:$K$817="Vacant", ROW('Bank Schedule'!$K$2:$K$817)), ROW(137:137))), "")</f>
        <v/>
      </c>
      <c r="E140" s="11" t="str">
        <f aca="false" t="array" ref="E140:E140">IFERROR(INDEX('Bank Schedule'!E:E, SMALL(IF('Bank Schedule'!$K$2:$K$817="Vacant", ROW('Bank Schedule'!$K$2:$K$817)), ROW(137:137))), "")</f>
        <v/>
      </c>
      <c r="F140" s="11" t="str">
        <f aca="false" t="array" ref="F140:F140">IFERROR(INDEX('Bank Schedule'!F:F, SMALL(IF('Bank Schedule'!$K$2:$K$817="Vacant", ROW('Bank Schedule'!$K$2:$K$817)), ROW(137:137))), "")</f>
        <v/>
      </c>
      <c r="G140" s="11" t="str">
        <f aca="false" t="array" ref="G140:G140">IFERROR(INDEX('Bank Schedule'!G:G, SMALL(IF('Bank Schedule'!$K$2:$K$817="Vacant", ROW('Bank Schedule'!$K$2:$K$817)), ROW(137:137))), "")</f>
        <v/>
      </c>
      <c r="H140" s="11" t="str">
        <f aca="false" t="array" ref="H140:H140">IFERROR(INDEX('Bank Schedule'!H:H, SMALL(IF('Bank Schedule'!$K$2:$K$817="Vacant", ROW('Bank Schedule'!$K$2:$K$817)), ROW(137:137))), "")</f>
        <v/>
      </c>
      <c r="I140" s="11" t="str">
        <f aca="false" t="array" ref="I140:I140">IFERROR(INDEX('Bank Schedule'!I:I, SMALL(IF('Bank Schedule'!$K$2:$K$817="Vacant", ROW('Bank Schedule'!$K$2:$K$817)), ROW(137:137))), "")</f>
        <v/>
      </c>
      <c r="J140" s="11" t="str">
        <f aca="false" t="array" ref="J140:J140">IFERROR(INDEX('Bank Schedule'!K:K, SMALL(IF('Bank Schedule'!$K$2:$K$817="Vacant", ROW('Bank Schedule'!$K$2:$K$817)), ROW(137:137))), "")</f>
        <v/>
      </c>
      <c r="K140" s="11" t="str">
        <f aca="false" t="array" ref="K140:K140">IFERROR(INDEX('Bank Schedule'!L:L, SMALL(IF('Bank Schedule'!$K$2:$K$817="Vacant", ROW('Bank Schedule'!$K$2:$K$817)), ROW(137:137))), "")</f>
        <v/>
      </c>
      <c r="L140" s="11" t="str">
        <f aca="false" t="array" ref="L140:L140">IFERROR(INDEX('Bank Schedule'!M:M, SMALL(IF('Bank Schedule'!$K$2:$K$817="Vacant", ROW('Bank Schedule'!$K$2:$K$817)), ROW(137:137))), "")</f>
        <v/>
      </c>
      <c r="M140" s="11" t="str">
        <f aca="false" t="array" ref="M140:M140">IFERROR(INDEX('Bank Schedule'!N:N, SMALL(IF('Bank Schedule'!$K$2:$K$817="Vacant", ROW('Bank Schedule'!$K$2:$K$817)), ROW(137:137))), "")</f>
        <v/>
      </c>
      <c r="N140" s="11" t="str">
        <f aca="false" t="array" ref="N140:N140">IFERROR(INDEX('Bank Schedule'!O:O, SMALL(IF('Bank Schedule'!$K$2:$K$817="Vacant", ROW('Bank Schedule'!$K$2:$K$817)), ROW(137:137))), "")</f>
        <v/>
      </c>
      <c r="O140" s="11" t="str">
        <f aca="false" t="array" ref="O140:O140">IFERROR(INDEX('Bank Schedule'!P:P, SMALL(IF('Bank Schedule'!$K$2:$K$817="Vacant", ROW('Bank Schedule'!$K$2:$K$817)), ROW(137:137))), "")</f>
        <v/>
      </c>
      <c r="P140" s="11" t="str">
        <f aca="false" t="array" ref="P140:P140">IFERROR(INDEX('Bank Schedule'!Q:Q, SMALL(IF('Bank Schedule'!$K$2:$K$817="Vacant", ROW('Bank Schedule'!$K$2:$K$817)), ROW(137:137))), "")</f>
        <v/>
      </c>
      <c r="Q140" s="11" t="str">
        <f aca="false" t="array" ref="Q140:Q140">IFERROR(INDEX('Bank Schedule'!R:R, SMALL(IF('Bank Schedule'!$K$2:$K$817="Vacant", ROW('Bank Schedule'!$K$2:$K$817)), ROW(137:137))), "")</f>
        <v/>
      </c>
      <c r="R140" s="11" t="str">
        <f aca="false" t="array" ref="R140:R140">IFERROR(INDEX('Bank Schedule'!S:S, SMALL(IF('Bank Schedule'!$K$2:$K$817="Vacant", ROW('Bank Schedule'!$K$2:$K$817)), ROW(137:137))), "")</f>
        <v/>
      </c>
      <c r="S140" s="11" t="str">
        <f aca="false" t="array" ref="S140:S140">IFERROR(INDEX('Bank Schedule'!T:T, SMALL(IF('Bank Schedule'!$K$2:$K$817="Vacant", ROW('Bank Schedule'!$K$2:$K$817)), ROW(137:137))), "")</f>
        <v/>
      </c>
      <c r="T140" s="11" t="str">
        <f aca="false" t="array" ref="T140:T140">IFERROR(INDEX('Bank Schedule'!U:U, SMALL(IF('Bank Schedule'!$K$2:$K$817="Vacant", ROW('Bank Schedule'!$K$2:$K$817)), ROW(137:137))), "")</f>
        <v/>
      </c>
      <c r="U140" s="11" t="str">
        <f aca="false" t="array" ref="U140:U140">IFERROR(INDEX('Bank Schedule'!V:V, SMALL(IF('Bank Schedule'!$K$2:$K$817="Vacant", ROW('Bank Schedule'!$K$2:$K$817)), ROW(137:137))), "")</f>
        <v/>
      </c>
      <c r="V140" s="11" t="str">
        <f aca="false" t="array" ref="V140:V140">IFERROR(INDEX('Bank Schedule'!W:W, SMALL(IF('Bank Schedule'!$K$2:$K$817="Vacant", ROW('Bank Schedule'!$K$2:$K$817)), ROW(137:137))), "")</f>
        <v/>
      </c>
      <c r="W140" s="11" t="str">
        <f aca="false" t="array" ref="W140:W140">IFERROR(INDEX('Bank Schedule'!X:X, SMALL(IF('Bank Schedule'!$K$2:$K$817="Vacant", ROW('Bank Schedule'!$K$2:$K$817)), ROW(137:137))), "")</f>
        <v/>
      </c>
      <c r="X140" s="11" t="str">
        <f aca="false" t="array" ref="X140:X140">IFERROR(INDEX('Bank Schedule'!Y:Y, SMALL(IF('Bank Schedule'!$K$2:$K$817="Vacant", ROW('Bank Schedule'!$K$2:$K$817)), ROW(137:137))), "")</f>
        <v/>
      </c>
      <c r="Y140" s="11" t="str">
        <f aca="false" t="array" ref="Y140:Y140">IFERROR(INDEX('Bank Schedule'!Z:Z, SMALL(IF('Bank Schedule'!$K$2:$K$817="Vacant", ROW('Bank Schedule'!$K$2:$K$817)), ROW(137:137))), "")</f>
        <v/>
      </c>
      <c r="Z140" s="11" t="str">
        <f aca="false" t="array" ref="Z140:Z140">IFERROR(INDEX('Bank Schedule'!AA:AA, SMALL(IF('Bank Schedule'!$K$2:$K$817="Vacant", ROW('Bank Schedule'!$K$2:$K$817)), ROW(137:137))), "")</f>
        <v/>
      </c>
      <c r="AA140" s="11" t="str">
        <f aca="false" t="array" ref="AA140:AA140">IFERROR(INDEX('Bank Schedule'!AB:AB, SMALL(IF('Bank Schedule'!$K$2:$K$817="Vacant", ROW('Bank Schedule'!$K$2:$K$817)), ROW(137:137))), "")</f>
        <v/>
      </c>
      <c r="AB140" s="11" t="str">
        <f aca="false" t="array" ref="AB140:AB140">IFERROR(INDEX('Bank Schedule'!AC:AC, SMALL(IF('Bank Schedule'!$K$2:$K$817="Vacant", ROW('Bank Schedule'!$K$2:$K$817)), ROW(137:137))), "")</f>
        <v/>
      </c>
      <c r="AC140" s="11" t="str">
        <f aca="false" t="array" ref="AC140:AC140">IFERROR(INDEX('Bank Schedule'!AD:AD, SMALL(IF('Bank Schedule'!$K$2:$K$817="Vacant", ROW('Bank Schedule'!$K$2:$K$817)), ROW(137:137))), "")</f>
        <v/>
      </c>
      <c r="AD140" s="11" t="str">
        <f aca="false" t="array" ref="AD140:AD140">IFERROR(INDEX('Bank Schedule'!AE:AE, SMALL(IF('Bank Schedule'!$K$2:$K$817="Vacant", ROW('Bank Schedule'!$K$2:$K$817)), ROW(137:137))), "")</f>
        <v/>
      </c>
      <c r="AE140" s="11" t="str">
        <f aca="false" t="array" ref="AE140:AE140">IFERROR(INDEX('Bank Schedule'!AF:AF, SMALL(IF('Bank Schedule'!$K$2:$K$817="Vacant", ROW('Bank Schedule'!$K$2:$K$817)), ROW(137:137))), "")</f>
        <v/>
      </c>
      <c r="AF140" s="11" t="str">
        <f aca="false" t="array" ref="AF140:AF140">IFERROR(INDEX('Bank Schedule'!AG:AG, SMALL(IF('Bank Schedule'!$K$2:$K$817="Vacant", ROW('Bank Schedule'!$K$2:$K$817)), ROW(137:137))), "")</f>
        <v/>
      </c>
      <c r="AG140" s="4" t="str">
        <f aca="false" t="array" ref="AG140:AG140">IFERROR(INDEX('Bank Schedule'!AE:AE, SMALL(IF('Bank Schedule'!$K$2:$K$817="Vacant", ROW('Bank Schedule'!$K$2:$K$817)), ROW(137:137))), "")</f>
        <v/>
      </c>
      <c r="AH140" s="28"/>
      <c r="AI140" s="284"/>
    </row>
    <row r="141" customFormat="false" ht="28.5" hidden="false" customHeight="true" outlineLevel="0" collapsed="false">
      <c r="A141" s="28" t="str">
        <f aca="false" t="array" ref="A141:A141">IFERROR(INDEX('Bank Schedule'!A:A, SMALL(IF('Bank Schedule'!$K$2:$K$817="Vacant", ROW('Bank Schedule'!$K$2:$K$817)), ROW(138:138))), "")</f>
        <v/>
      </c>
      <c r="B141" s="11" t="str">
        <f aca="false" t="array" ref="B141:B141">IFERROR(INDEX('Bank Schedule'!B:B, SMALL(IF('Bank Schedule'!$K$2:$K$817="Vacant", ROW('Bank Schedule'!$K$2:$K$817)), ROW(138:138))), "")</f>
        <v/>
      </c>
      <c r="C141" s="11" t="str">
        <f aca="false" t="array" ref="C141:C141">IFERROR(INDEX('Bank Schedule'!C:C, SMALL(IF('Bank Schedule'!$K$2:$K$817="Vacant", ROW('Bank Schedule'!$K$2:$K$817)), ROW(138:138))), "")</f>
        <v/>
      </c>
      <c r="D141" s="28" t="str">
        <f aca="false" t="array" ref="D141:D141">IFERROR(INDEX('Bank Schedule'!D:D, SMALL(IF('Bank Schedule'!$K$2:$K$817="Vacant", ROW('Bank Schedule'!$K$2:$K$817)), ROW(138:138))), "")</f>
        <v/>
      </c>
      <c r="E141" s="4" t="str">
        <f aca="false" t="array" ref="E141:E141">IFERROR(INDEX('Bank Schedule'!E:E, SMALL(IF('Bank Schedule'!$K$2:$K$817="Vacant", ROW('Bank Schedule'!$K$2:$K$817)), ROW(138:138))), "")</f>
        <v/>
      </c>
      <c r="F141" s="4" t="str">
        <f aca="false" t="array" ref="F141:F141">IFERROR(INDEX('Bank Schedule'!F:F, SMALL(IF('Bank Schedule'!$K$2:$K$817="Vacant", ROW('Bank Schedule'!$K$2:$K$817)), ROW(138:138))), "")</f>
        <v/>
      </c>
      <c r="G141" s="5" t="str">
        <f aca="false" t="array" ref="G141:G141">IFERROR(INDEX('Bank Schedule'!G:G, SMALL(IF('Bank Schedule'!$K$2:$K$817="Vacant", ROW('Bank Schedule'!$K$2:$K$817)), ROW(138:138))), "")</f>
        <v/>
      </c>
      <c r="H141" s="122" t="str">
        <f aca="false" t="array" ref="H141:H141">IFERROR(INDEX('Bank Schedule'!H:H, SMALL(IF('Bank Schedule'!$K$2:$K$817="Vacant", ROW('Bank Schedule'!$K$2:$K$817)), ROW(138:138))), "")</f>
        <v/>
      </c>
      <c r="I141" s="6" t="str">
        <f aca="false" t="array" ref="I141:I141">IFERROR(INDEX('Bank Schedule'!I:I, SMALL(IF('Bank Schedule'!$K$2:$K$817="Vacant", ROW('Bank Schedule'!$K$2:$K$817)), ROW(138:138))), "")</f>
        <v/>
      </c>
      <c r="J141" s="5" t="str">
        <f aca="false" t="array" ref="J141:J141">IFERROR(INDEX('Bank Schedule'!K:K, SMALL(IF('Bank Schedule'!$K$2:$K$817="Vacant", ROW('Bank Schedule'!$K$2:$K$817)), ROW(138:138))), "")</f>
        <v/>
      </c>
      <c r="K141" s="94" t="e">
        <f aca="false" t="array" ref="K141:K141">IFERROR(INDEX('bank schedule'!#ref!, SMALL(IF('Bank Schedule'!$K$2:$K$817="Vacant", ROW('Bank Schedule'!$K$2:$K$817)), ROW(138:138))), "")</f>
        <v>#VALUE!</v>
      </c>
      <c r="L141" s="7" t="str">
        <f aca="false" t="array" ref="L141:L141">IFERROR(INDEX('Bank Schedule'!L:L, SMALL(IF('Bank Schedule'!$K$2:$K$817="Vacant", ROW('Bank Schedule'!$K$2:$K$817)), ROW(138:138))), "")</f>
        <v/>
      </c>
      <c r="M141" s="8" t="str">
        <f aca="false" t="array" ref="M141:M141">IFERROR(INDEX('Bank Schedule'!M:M, SMALL(IF('Bank Schedule'!$K$2:$K$817="Vacant", ROW('Bank Schedule'!$K$2:$K$817)), ROW(138:138))), "")</f>
        <v/>
      </c>
      <c r="N141" s="8" t="str">
        <f aca="false" t="array" ref="N141:N141">IFERROR(INDEX('Bank Schedule'!N:N, SMALL(IF('Bank Schedule'!$K$2:$K$817="Vacant", ROW('Bank Schedule'!$K$2:$K$817)), ROW(138:138))), "")</f>
        <v/>
      </c>
      <c r="O141" s="8" t="str">
        <f aca="false" t="array" ref="O141:O141">IFERROR(INDEX('Bank Schedule'!O:O, SMALL(IF('Bank Schedule'!$K$2:$K$817="Vacant", ROW('Bank Schedule'!$K$2:$K$817)), ROW(138:138))), "")</f>
        <v/>
      </c>
      <c r="P141" s="8" t="str">
        <f aca="false" t="array" ref="P141:P141">IFERROR(INDEX('Bank Schedule'!P:P, SMALL(IF('Bank Schedule'!$K$2:$K$817="Vacant", ROW('Bank Schedule'!$K$2:$K$817)), ROW(138:138))), "")</f>
        <v/>
      </c>
      <c r="Q141" s="8" t="e">
        <f aca="false" t="array" ref="Q141:Q141">IFERROR(INDEX('bank schedule'!#ref!, SMALL(IF('Bank Schedule'!$K$2:$K$817="Vacant", ROW('Bank Schedule'!$K$2:$K$817)), ROW(138:138))), "")</f>
        <v>#VALUE!</v>
      </c>
      <c r="R141" s="9" t="str">
        <f aca="false" t="array" ref="R141:R141">IFERROR(INDEX('Bank Schedule'!Q:Q, SMALL(IF('Bank Schedule'!$K$2:$K$817="Vacant", ROW('Bank Schedule'!$K$2:$K$817)), ROW(138:138))), "")</f>
        <v/>
      </c>
      <c r="S141" s="9" t="str">
        <f aca="false" t="array" ref="S141:S141">IFERROR(INDEX('Bank Schedule'!R:R, SMALL(IF('Bank Schedule'!$K$2:$K$817="Vacant", ROW('Bank Schedule'!$K$2:$K$817)), ROW(138:138))), "")</f>
        <v/>
      </c>
      <c r="T141" s="9" t="str">
        <f aca="false" t="array" ref="T141:T141">IFERROR(INDEX('Bank Schedule'!S:S, SMALL(IF('Bank Schedule'!$K$2:$K$817="Vacant", ROW('Bank Schedule'!$K$2:$K$817)), ROW(138:138))), "")</f>
        <v/>
      </c>
      <c r="U141" s="71" t="e">
        <f aca="false" t="array" ref="U141:U141">IFERROR(INDEX('bank schedule'!#ref!, SMALL(IF('Bank Schedule'!$K$2:$K$817="Vacant", ROW('Bank Schedule'!$K$2:$K$817)), ROW(138:138))), "")</f>
        <v>#VALUE!</v>
      </c>
      <c r="V141" s="9" t="e">
        <f aca="false" t="array" ref="V141:V141">IFERROR(INDEX('bank schedule'!#ref!, SMALL(IF('Bank Schedule'!$K$2:$K$817="Vacant", ROW('Bank Schedule'!$K$2:$K$817)), ROW(138:138))), "")</f>
        <v>#VALUE!</v>
      </c>
      <c r="W141" s="9" t="e">
        <f aca="false" t="array" ref="W141:W141">IFERROR(INDEX('bank schedule'!#ref!, SMALL(IF('Bank Schedule'!$K$2:$K$817="Vacant", ROW('Bank Schedule'!$K$2:$K$817)), ROW(138:138))), "")</f>
        <v>#VALUE!</v>
      </c>
      <c r="X141" s="122" t="str">
        <f aca="false" t="array" ref="X141:X141">IFERROR(INDEX('Bank Schedule'!T:T, SMALL(IF('Bank Schedule'!$K$2:$K$817="Vacant", ROW('Bank Schedule'!$K$2:$K$817)), ROW(138:138))), "")</f>
        <v/>
      </c>
      <c r="Y141" s="9" t="str">
        <f aca="false" t="array" ref="Y141:Y141">IFERROR(INDEX('Bank Schedule'!U:U, SMALL(IF('Bank Schedule'!$K$2:$K$817="Vacant", ROW('Bank Schedule'!$K$2:$K$817)), ROW(138:138))), "")</f>
        <v/>
      </c>
      <c r="Z141" s="123" t="str">
        <f aca="false" t="array" ref="Z141:Z141">IFERROR(INDEX('Bank Schedule'!V:V, SMALL(IF('Bank Schedule'!$K$2:$K$817="Vacant", ROW('Bank Schedule'!$K$2:$K$817)), ROW(138:138))), "")</f>
        <v/>
      </c>
      <c r="AA141" s="9" t="str">
        <f aca="false" t="array" ref="AA141:AA141">IFERROR(INDEX('Bank Schedule'!W:W, SMALL(IF('Bank Schedule'!$K$2:$K$817="Vacant", ROW('Bank Schedule'!$K$2:$K$817)), ROW(138:138))), "")</f>
        <v/>
      </c>
      <c r="AB141" s="9" t="str">
        <f aca="false" t="array" ref="AB141:AB141">IFERROR(INDEX('Bank Schedule'!Y:Y, SMALL(IF('Bank Schedule'!$K$2:$K$817="Vacant", ROW('Bank Schedule'!$K$2:$K$817)), ROW(138:138))), "")</f>
        <v/>
      </c>
      <c r="AC141" s="40" t="str">
        <f aca="false" t="array" ref="AC141:AC141">IFERROR(INDEX('Bank Schedule'!Z:Z, SMALL(IF('Bank Schedule'!$K$2:$K$817="Vacant", ROW('Bank Schedule'!$K$2:$K$817)), ROW(138:138))), "")</f>
        <v/>
      </c>
      <c r="AD141" s="13" t="str">
        <f aca="false" t="array" ref="AD141:AD141">IFERROR(INDEX('Bank Schedule'!AA:AA, SMALL(IF('Bank Schedule'!$K$2:$K$817="Vacant", ROW('Bank Schedule'!$K$2:$K$817)), ROW(138:138))), "")</f>
        <v/>
      </c>
      <c r="AE141" s="5" t="str">
        <f aca="false" t="array" ref="AE141:AE141">IFERROR(INDEX('Bank Schedule'!AB:AB, SMALL(IF('Bank Schedule'!$K$2:$K$817="Vacant", ROW('Bank Schedule'!$K$2:$K$817)), ROW(138:138))), "")</f>
        <v/>
      </c>
      <c r="AF141" s="4" t="str">
        <f aca="false" t="array" ref="AF141:AF141">IFERROR(INDEX('Bank Schedule'!AC:AC, SMALL(IF('Bank Schedule'!$K$2:$K$817="Vacant", ROW('Bank Schedule'!$K$2:$K$817)), ROW(138:138))), "")</f>
        <v/>
      </c>
      <c r="AG141" s="4" t="str">
        <f aca="false" t="array" ref="AG141:AG141">IFERROR(INDEX('Bank Schedule'!AE:AE, SMALL(IF('Bank Schedule'!$K$2:$K$817="Vacant", ROW('Bank Schedule'!$K$2:$K$817)), ROW(138:138))), "")</f>
        <v/>
      </c>
      <c r="AH141" s="28"/>
      <c r="AI141" s="284"/>
    </row>
    <row r="142" customFormat="false" ht="28.5" hidden="false" customHeight="true" outlineLevel="0" collapsed="false">
      <c r="A142" s="28" t="str">
        <f aca="false" t="array" ref="A142:A142">IFERROR(INDEX('Bank Schedule'!A:A, SMALL(IF('Bank Schedule'!$K$2:$K$817="Vacant", ROW('Bank Schedule'!$K$2:$K$817)), ROW(139:139))), "")</f>
        <v/>
      </c>
      <c r="B142" s="11" t="str">
        <f aca="false" t="array" ref="B142:B142">IFERROR(INDEX('Bank Schedule'!B:B, SMALL(IF('Bank Schedule'!$K$2:$K$817="Vacant", ROW('Bank Schedule'!$K$2:$K$817)), ROW(139:139))), "")</f>
        <v/>
      </c>
      <c r="C142" s="11" t="str">
        <f aca="false" t="array" ref="C142:C142">IFERROR(INDEX('Bank Schedule'!C:C, SMALL(IF('Bank Schedule'!$K$2:$K$817="Vacant", ROW('Bank Schedule'!$K$2:$K$817)), ROW(139:139))), "")</f>
        <v/>
      </c>
      <c r="D142" s="28" t="str">
        <f aca="false" t="array" ref="D142:D142">IFERROR(INDEX('Bank Schedule'!D:D, SMALL(IF('Bank Schedule'!$K$2:$K$817="Vacant", ROW('Bank Schedule'!$K$2:$K$817)), ROW(139:139))), "")</f>
        <v/>
      </c>
      <c r="E142" s="4" t="str">
        <f aca="false" t="array" ref="E142:E142">IFERROR(INDEX('Bank Schedule'!E:E, SMALL(IF('Bank Schedule'!$K$2:$K$817="Vacant", ROW('Bank Schedule'!$K$2:$K$817)), ROW(139:139))), "")</f>
        <v/>
      </c>
      <c r="F142" s="4" t="str">
        <f aca="false" t="array" ref="F142:F142">IFERROR(INDEX('Bank Schedule'!F:F, SMALL(IF('Bank Schedule'!$K$2:$K$817="Vacant", ROW('Bank Schedule'!$K$2:$K$817)), ROW(139:139))), "")</f>
        <v/>
      </c>
      <c r="G142" s="5" t="str">
        <f aca="false" t="array" ref="G142:G142">IFERROR(INDEX('Bank Schedule'!G:G, SMALL(IF('Bank Schedule'!$K$2:$K$817="Vacant", ROW('Bank Schedule'!$K$2:$K$817)), ROW(139:139))), "")</f>
        <v/>
      </c>
      <c r="H142" s="122" t="str">
        <f aca="false" t="array" ref="H142:H142">IFERROR(INDEX('Bank Schedule'!H:H, SMALL(IF('Bank Schedule'!$K$2:$K$817="Vacant", ROW('Bank Schedule'!$K$2:$K$817)), ROW(139:139))), "")</f>
        <v/>
      </c>
      <c r="I142" s="6" t="str">
        <f aca="false" t="array" ref="I142:I142">IFERROR(INDEX('Bank Schedule'!I:I, SMALL(IF('Bank Schedule'!$K$2:$K$817="Vacant", ROW('Bank Schedule'!$K$2:$K$817)), ROW(139:139))), "")</f>
        <v/>
      </c>
      <c r="J142" s="5" t="str">
        <f aca="false" t="array" ref="J142:J142">IFERROR(INDEX('Bank Schedule'!K:K, SMALL(IF('Bank Schedule'!$K$2:$K$817="Vacant", ROW('Bank Schedule'!$K$2:$K$817)), ROW(139:139))), "")</f>
        <v/>
      </c>
      <c r="K142" s="94" t="e">
        <f aca="false" t="array" ref="K142:K142">IFERROR(INDEX('bank schedule'!#ref!, SMALL(IF('Bank Schedule'!$K$2:$K$817="Vacant", ROW('Bank Schedule'!$K$2:$K$817)), ROW(139:139))), "")</f>
        <v>#VALUE!</v>
      </c>
      <c r="L142" s="7" t="str">
        <f aca="false" t="array" ref="L142:L142">IFERROR(INDEX('Bank Schedule'!L:L, SMALL(IF('Bank Schedule'!$K$2:$K$817="Vacant", ROW('Bank Schedule'!$K$2:$K$817)), ROW(139:139))), "")</f>
        <v/>
      </c>
      <c r="M142" s="8" t="str">
        <f aca="false" t="array" ref="M142:M142">IFERROR(INDEX('Bank Schedule'!M:M, SMALL(IF('Bank Schedule'!$K$2:$K$817="Vacant", ROW('Bank Schedule'!$K$2:$K$817)), ROW(139:139))), "")</f>
        <v/>
      </c>
      <c r="N142" s="8" t="str">
        <f aca="false" t="array" ref="N142:N142">IFERROR(INDEX('Bank Schedule'!N:N, SMALL(IF('Bank Schedule'!$K$2:$K$817="Vacant", ROW('Bank Schedule'!$K$2:$K$817)), ROW(139:139))), "")</f>
        <v/>
      </c>
      <c r="O142" s="8" t="str">
        <f aca="false" t="array" ref="O142:O142">IFERROR(INDEX('Bank Schedule'!O:O, SMALL(IF('Bank Schedule'!$K$2:$K$817="Vacant", ROW('Bank Schedule'!$K$2:$K$817)), ROW(139:139))), "")</f>
        <v/>
      </c>
      <c r="P142" s="8" t="str">
        <f aca="false" t="array" ref="P142:P142">IFERROR(INDEX('Bank Schedule'!P:P, SMALL(IF('Bank Schedule'!$K$2:$K$817="Vacant", ROW('Bank Schedule'!$K$2:$K$817)), ROW(139:139))), "")</f>
        <v/>
      </c>
      <c r="Q142" s="8" t="e">
        <f aca="false" t="array" ref="Q142:Q142">IFERROR(INDEX('bank schedule'!#ref!, SMALL(IF('Bank Schedule'!$K$2:$K$817="Vacant", ROW('Bank Schedule'!$K$2:$K$817)), ROW(139:139))), "")</f>
        <v>#VALUE!</v>
      </c>
      <c r="R142" s="9" t="str">
        <f aca="false" t="array" ref="R142:R142">IFERROR(INDEX('Bank Schedule'!Q:Q, SMALL(IF('Bank Schedule'!$K$2:$K$817="Vacant", ROW('Bank Schedule'!$K$2:$K$817)), ROW(139:139))), "")</f>
        <v/>
      </c>
      <c r="S142" s="9" t="str">
        <f aca="false" t="array" ref="S142:S142">IFERROR(INDEX('Bank Schedule'!R:R, SMALL(IF('Bank Schedule'!$K$2:$K$817="Vacant", ROW('Bank Schedule'!$K$2:$K$817)), ROW(139:139))), "")</f>
        <v/>
      </c>
      <c r="T142" s="9" t="str">
        <f aca="false" t="array" ref="T142:T142">IFERROR(INDEX('Bank Schedule'!S:S, SMALL(IF('Bank Schedule'!$K$2:$K$817="Vacant", ROW('Bank Schedule'!$K$2:$K$817)), ROW(139:139))), "")</f>
        <v/>
      </c>
      <c r="U142" s="71" t="e">
        <f aca="false" t="array" ref="U142:U142">IFERROR(INDEX('bank schedule'!#ref!, SMALL(IF('Bank Schedule'!$K$2:$K$817="Vacant", ROW('Bank Schedule'!$K$2:$K$817)), ROW(139:139))), "")</f>
        <v>#VALUE!</v>
      </c>
      <c r="V142" s="9" t="e">
        <f aca="false" t="array" ref="V142:V142">IFERROR(INDEX('bank schedule'!#ref!, SMALL(IF('Bank Schedule'!$K$2:$K$817="Vacant", ROW('Bank Schedule'!$K$2:$K$817)), ROW(139:139))), "")</f>
        <v>#VALUE!</v>
      </c>
      <c r="W142" s="9" t="e">
        <f aca="false" t="array" ref="W142:W142">IFERROR(INDEX('bank schedule'!#ref!, SMALL(IF('Bank Schedule'!$K$2:$K$817="Vacant", ROW('Bank Schedule'!$K$2:$K$817)), ROW(139:139))), "")</f>
        <v>#VALUE!</v>
      </c>
      <c r="X142" s="122" t="str">
        <f aca="false" t="array" ref="X142:X142">IFERROR(INDEX('Bank Schedule'!T:T, SMALL(IF('Bank Schedule'!$K$2:$K$817="Vacant", ROW('Bank Schedule'!$K$2:$K$817)), ROW(139:139))), "")</f>
        <v/>
      </c>
      <c r="Y142" s="9" t="str">
        <f aca="false" t="array" ref="Y142:Y142">IFERROR(INDEX('Bank Schedule'!U:U, SMALL(IF('Bank Schedule'!$K$2:$K$817="Vacant", ROW('Bank Schedule'!$K$2:$K$817)), ROW(139:139))), "")</f>
        <v/>
      </c>
      <c r="Z142" s="123" t="str">
        <f aca="false" t="array" ref="Z142:Z142">IFERROR(INDEX('Bank Schedule'!V:V, SMALL(IF('Bank Schedule'!$K$2:$K$817="Vacant", ROW('Bank Schedule'!$K$2:$K$817)), ROW(139:139))), "")</f>
        <v/>
      </c>
      <c r="AA142" s="9" t="str">
        <f aca="false" t="array" ref="AA142:AA142">IFERROR(INDEX('Bank Schedule'!W:W, SMALL(IF('Bank Schedule'!$K$2:$K$817="Vacant", ROW('Bank Schedule'!$K$2:$K$817)), ROW(139:139))), "")</f>
        <v/>
      </c>
      <c r="AB142" s="9" t="str">
        <f aca="false" t="array" ref="AB142:AB142">IFERROR(INDEX('Bank Schedule'!Y:Y, SMALL(IF('Bank Schedule'!$K$2:$K$817="Vacant", ROW('Bank Schedule'!$K$2:$K$817)), ROW(139:139))), "")</f>
        <v/>
      </c>
      <c r="AC142" s="40" t="str">
        <f aca="false" t="array" ref="AC142:AC142">IFERROR(INDEX('Bank Schedule'!Z:Z, SMALL(IF('Bank Schedule'!$K$2:$K$817="Vacant", ROW('Bank Schedule'!$K$2:$K$817)), ROW(139:139))), "")</f>
        <v/>
      </c>
      <c r="AD142" s="13" t="str">
        <f aca="false" t="array" ref="AD142:AD142">IFERROR(INDEX('Bank Schedule'!AA:AA, SMALL(IF('Bank Schedule'!$K$2:$K$817="Vacant", ROW('Bank Schedule'!$K$2:$K$817)), ROW(139:139))), "")</f>
        <v/>
      </c>
      <c r="AE142" s="5" t="str">
        <f aca="false" t="array" ref="AE142:AE142">IFERROR(INDEX('Bank Schedule'!AB:AB, SMALL(IF('Bank Schedule'!$K$2:$K$817="Vacant", ROW('Bank Schedule'!$K$2:$K$817)), ROW(139:139))), "")</f>
        <v/>
      </c>
      <c r="AF142" s="4" t="str">
        <f aca="false" t="array" ref="AF142:AF142">IFERROR(INDEX('Bank Schedule'!AC:AC, SMALL(IF('Bank Schedule'!$K$2:$K$817="Vacant", ROW('Bank Schedule'!$K$2:$K$817)), ROW(139:139))), "")</f>
        <v/>
      </c>
      <c r="AG142" s="4" t="str">
        <f aca="false" t="array" ref="AG142:AG142">IFERROR(INDEX('Bank Schedule'!AE:AE, SMALL(IF('Bank Schedule'!$K$2:$K$817="Vacant", ROW('Bank Schedule'!$K$2:$K$817)), ROW(139:139))), "")</f>
        <v/>
      </c>
      <c r="AH142" s="28"/>
      <c r="AI142" s="284"/>
    </row>
    <row r="143" customFormat="false" ht="23.25" hidden="false" customHeight="true" outlineLevel="0" collapsed="false">
      <c r="A143" s="28" t="str">
        <f aca="false" t="array" ref="A143:A143">IFERROR(INDEX('Bank Schedule'!A:A, SMALL(IF('Bank Schedule'!$K$2:$K$817="Vacant", ROW('Bank Schedule'!$K$2:$K$817)), ROW(140:140))), "")</f>
        <v/>
      </c>
      <c r="B143" s="11" t="str">
        <f aca="false" t="array" ref="B143:B143">IFERROR(INDEX('Bank Schedule'!B:B, SMALL(IF('Bank Schedule'!$K$2:$K$817="Vacant", ROW('Bank Schedule'!$K$2:$K$817)), ROW(140:140))), "")</f>
        <v/>
      </c>
      <c r="C143" s="11" t="str">
        <f aca="false" t="array" ref="C143:C143">IFERROR(INDEX('Bank Schedule'!C:C, SMALL(IF('Bank Schedule'!$K$2:$K$817="Vacant", ROW('Bank Schedule'!$K$2:$K$817)), ROW(140:140))), "")</f>
        <v/>
      </c>
      <c r="D143" s="11" t="str">
        <f aca="false" t="array" ref="D143:D143">IFERROR(INDEX('Bank Schedule'!D:D, SMALL(IF('Bank Schedule'!$K$2:$K$817="Vacant", ROW('Bank Schedule'!$K$2:$K$817)), ROW(140:140))), "")</f>
        <v/>
      </c>
      <c r="E143" s="11" t="str">
        <f aca="false" t="array" ref="E143:E143">IFERROR(INDEX('Bank Schedule'!E:E, SMALL(IF('Bank Schedule'!$K$2:$K$817="Vacant", ROW('Bank Schedule'!$K$2:$K$817)), ROW(140:140))), "")</f>
        <v/>
      </c>
      <c r="F143" s="11" t="str">
        <f aca="false" t="array" ref="F143:F143">IFERROR(INDEX('Bank Schedule'!F:F, SMALL(IF('Bank Schedule'!$K$2:$K$817="Vacant", ROW('Bank Schedule'!$K$2:$K$817)), ROW(140:140))), "")</f>
        <v/>
      </c>
      <c r="G143" s="11" t="str">
        <f aca="false" t="array" ref="G143:G143">IFERROR(INDEX('Bank Schedule'!G:G, SMALL(IF('Bank Schedule'!$K$2:$K$817="Vacant", ROW('Bank Schedule'!$K$2:$K$817)), ROW(140:140))), "")</f>
        <v/>
      </c>
      <c r="H143" s="11" t="str">
        <f aca="false" t="array" ref="H143:H143">IFERROR(INDEX('Bank Schedule'!H:H, SMALL(IF('Bank Schedule'!$K$2:$K$817="Vacant", ROW('Bank Schedule'!$K$2:$K$817)), ROW(140:140))), "")</f>
        <v/>
      </c>
      <c r="I143" s="11" t="str">
        <f aca="false" t="array" ref="I143:I143">IFERROR(INDEX('Bank Schedule'!I:I, SMALL(IF('Bank Schedule'!$K$2:$K$817="Vacant", ROW('Bank Schedule'!$K$2:$K$817)), ROW(140:140))), "")</f>
        <v/>
      </c>
      <c r="J143" s="11" t="str">
        <f aca="false" t="array" ref="J143:J143">IFERROR(INDEX('Bank Schedule'!K:K, SMALL(IF('Bank Schedule'!$K$2:$K$817="Vacant", ROW('Bank Schedule'!$K$2:$K$817)), ROW(140:140))), "")</f>
        <v/>
      </c>
      <c r="K143" s="11" t="e">
        <f aca="false" t="array" ref="K143:K143">IFERROR(INDEX('bank schedule'!#ref!, SMALL(IF('Bank Schedule'!$K$2:$K$817="Vacant", ROW('Bank Schedule'!$K$2:$K$817)), ROW(140:140))), "")</f>
        <v>#VALUE!</v>
      </c>
      <c r="L143" s="11" t="str">
        <f aca="false" t="array" ref="L143:L143">IFERROR(INDEX('Bank Schedule'!L:L, SMALL(IF('Bank Schedule'!$K$2:$K$817="Vacant", ROW('Bank Schedule'!$K$2:$K$817)), ROW(140:140))), "")</f>
        <v/>
      </c>
      <c r="M143" s="11" t="str">
        <f aca="false" t="array" ref="M143:M143">IFERROR(INDEX('Bank Schedule'!M:M, SMALL(IF('Bank Schedule'!$K$2:$K$817="Vacant", ROW('Bank Schedule'!$K$2:$K$817)), ROW(140:140))), "")</f>
        <v/>
      </c>
      <c r="N143" s="11" t="str">
        <f aca="false" t="array" ref="N143:N143">IFERROR(INDEX('Bank Schedule'!N:N, SMALL(IF('Bank Schedule'!$K$2:$K$817="Vacant", ROW('Bank Schedule'!$K$2:$K$817)), ROW(140:140))), "")</f>
        <v/>
      </c>
      <c r="O143" s="11" t="str">
        <f aca="false" t="array" ref="O143:O143">IFERROR(INDEX('Bank Schedule'!O:O, SMALL(IF('Bank Schedule'!$K$2:$K$817="Vacant", ROW('Bank Schedule'!$K$2:$K$817)), ROW(140:140))), "")</f>
        <v/>
      </c>
      <c r="P143" s="11" t="str">
        <f aca="false" t="array" ref="P143:P143">IFERROR(INDEX('Bank Schedule'!P:P, SMALL(IF('Bank Schedule'!$K$2:$K$817="Vacant", ROW('Bank Schedule'!$K$2:$K$817)), ROW(140:140))), "")</f>
        <v/>
      </c>
      <c r="Q143" s="11" t="e">
        <f aca="false" t="array" ref="Q143:Q143">IFERROR(INDEX('bank schedule'!#ref!, SMALL(IF('Bank Schedule'!$K$2:$K$817="Vacant", ROW('Bank Schedule'!$K$2:$K$817)), ROW(140:140))), "")</f>
        <v>#VALUE!</v>
      </c>
      <c r="R143" s="11" t="str">
        <f aca="false" t="array" ref="R143:R143">IFERROR(INDEX('Bank Schedule'!Q:Q, SMALL(IF('Bank Schedule'!$K$2:$K$817="Vacant", ROW('Bank Schedule'!$K$2:$K$817)), ROW(140:140))), "")</f>
        <v/>
      </c>
      <c r="S143" s="11" t="str">
        <f aca="false" t="array" ref="S143:S143">IFERROR(INDEX('Bank Schedule'!R:R, SMALL(IF('Bank Schedule'!$K$2:$K$817="Vacant", ROW('Bank Schedule'!$K$2:$K$817)), ROW(140:140))), "")</f>
        <v/>
      </c>
      <c r="T143" s="11" t="str">
        <f aca="false" t="array" ref="T143:T143">IFERROR(INDEX('Bank Schedule'!S:S, SMALL(IF('Bank Schedule'!$K$2:$K$817="Vacant", ROW('Bank Schedule'!$K$2:$K$817)), ROW(140:140))), "")</f>
        <v/>
      </c>
      <c r="U143" s="11" t="e">
        <f aca="false" t="array" ref="U143:U143">IFERROR(INDEX('bank schedule'!#ref!, SMALL(IF('Bank Schedule'!$K$2:$K$817="Vacant", ROW('Bank Schedule'!$K$2:$K$817)), ROW(140:140))), "")</f>
        <v>#VALUE!</v>
      </c>
      <c r="V143" s="11" t="e">
        <f aca="false" t="array" ref="V143:V143">IFERROR(INDEX('bank schedule'!#ref!, SMALL(IF('Bank Schedule'!$K$2:$K$817="Vacant", ROW('Bank Schedule'!$K$2:$K$817)), ROW(140:140))), "")</f>
        <v>#VALUE!</v>
      </c>
      <c r="W143" s="11" t="e">
        <f aca="false" t="array" ref="W143:W143">IFERROR(INDEX('bank schedule'!#ref!, SMALL(IF('Bank Schedule'!$K$2:$K$817="Vacant", ROW('Bank Schedule'!$K$2:$K$817)), ROW(140:140))), "")</f>
        <v>#VALUE!</v>
      </c>
      <c r="X143" s="11" t="str">
        <f aca="false" t="array" ref="X143:X143">IFERROR(INDEX('Bank Schedule'!T:T, SMALL(IF('Bank Schedule'!$K$2:$K$817="Vacant", ROW('Bank Schedule'!$K$2:$K$817)), ROW(140:140))), "")</f>
        <v/>
      </c>
      <c r="Y143" s="11" t="str">
        <f aca="false" t="array" ref="Y143:Y143">IFERROR(INDEX('Bank Schedule'!U:U, SMALL(IF('Bank Schedule'!$K$2:$K$817="Vacant", ROW('Bank Schedule'!$K$2:$K$817)), ROW(140:140))), "")</f>
        <v/>
      </c>
      <c r="Z143" s="11" t="str">
        <f aca="false" t="array" ref="Z143:Z143">IFERROR(INDEX('Bank Schedule'!V:V, SMALL(IF('Bank Schedule'!$K$2:$K$817="Vacant", ROW('Bank Schedule'!$K$2:$K$817)), ROW(140:140))), "")</f>
        <v/>
      </c>
      <c r="AA143" s="11" t="str">
        <f aca="false" t="array" ref="AA143:AA143">IFERROR(INDEX('Bank Schedule'!W:W, SMALL(IF('Bank Schedule'!$K$2:$K$817="Vacant", ROW('Bank Schedule'!$K$2:$K$817)), ROW(140:140))), "")</f>
        <v/>
      </c>
      <c r="AB143" s="11" t="str">
        <f aca="false" t="array" ref="AB143:AB143">IFERROR(INDEX('Bank Schedule'!Y:Y, SMALL(IF('Bank Schedule'!$K$2:$K$817="Vacant", ROW('Bank Schedule'!$K$2:$K$817)), ROW(140:140))), "")</f>
        <v/>
      </c>
      <c r="AC143" s="11"/>
      <c r="AD143" s="285"/>
      <c r="AE143" s="285"/>
      <c r="AF143" s="11" t="str">
        <f aca="false" t="array" ref="AF143:AF143">IFERROR(INDEX('Bank Schedule'!AC:AC, SMALL(IF('Bank Schedule'!$K$2:$K$817="Vacant", ROW('Bank Schedule'!$K$2:$K$817)), ROW(140:140))), "")</f>
        <v/>
      </c>
      <c r="AG143" s="11" t="str">
        <f aca="false" t="array" ref="AG143:AG143">IFERROR(INDEX('Bank Schedule'!AE:AE, SMALL(IF('Bank Schedule'!$K$2:$K$817="Vacant", ROW('Bank Schedule'!$K$2:$K$817)), ROW(140:140))), "")</f>
        <v/>
      </c>
    </row>
    <row r="144" customFormat="false" ht="23.25" hidden="false" customHeight="true" outlineLevel="0" collapsed="false">
      <c r="A144" s="28" t="str">
        <f aca="false" t="array" ref="A144:A144">IFERROR(INDEX('Bank Schedule'!A:A, SMALL(IF('Bank Schedule'!$K$2:$K$817="Vacant", ROW('Bank Schedule'!$K$2:$K$817)), ROW(141:141))), "")</f>
        <v/>
      </c>
      <c r="B144" s="11" t="str">
        <f aca="false" t="array" ref="B144:B144">IFERROR(INDEX('Bank Schedule'!B:B, SMALL(IF('Bank Schedule'!$K$2:$K$817="Vacant", ROW('Bank Schedule'!$K$2:$K$817)), ROW(141:141))), "")</f>
        <v/>
      </c>
      <c r="C144" s="11" t="str">
        <f aca="false" t="array" ref="C144:C144">IFERROR(INDEX('Bank Schedule'!C:C, SMALL(IF('Bank Schedule'!$K$2:$K$817="Vacant", ROW('Bank Schedule'!$K$2:$K$817)), ROW(141:141))), "")</f>
        <v/>
      </c>
      <c r="D144" s="11" t="str">
        <f aca="false" t="array" ref="D144:D144">IFERROR(INDEX('Bank Schedule'!D:D, SMALL(IF('Bank Schedule'!$K$2:$K$817="Vacant", ROW('Bank Schedule'!$K$2:$K$817)), ROW(141:141))), "")</f>
        <v/>
      </c>
      <c r="E144" s="11"/>
      <c r="F144" s="11"/>
      <c r="G144" s="11"/>
      <c r="H144" s="286" t="n">
        <f aca="false">SUM(H4:H142)</f>
        <v>181608</v>
      </c>
      <c r="I144" s="287"/>
      <c r="J144" s="288" t="s">
        <v>866</v>
      </c>
      <c r="K144" s="289" t="n">
        <v>0</v>
      </c>
      <c r="L144" s="289" t="n">
        <v>0</v>
      </c>
      <c r="M144" s="290"/>
      <c r="N144" s="291"/>
      <c r="O144" s="289"/>
      <c r="P144" s="289"/>
      <c r="Q144" s="289"/>
      <c r="R144" s="289"/>
      <c r="S144" s="292"/>
      <c r="T144" s="292"/>
      <c r="U144" s="293"/>
      <c r="V144" s="289"/>
      <c r="W144" s="289"/>
      <c r="X144" s="288" t="s">
        <v>867</v>
      </c>
      <c r="Y144" s="288"/>
      <c r="Z144" s="294" t="n">
        <f aca="false">SUM(X4:X144)</f>
        <v>0</v>
      </c>
      <c r="AA144" s="11"/>
      <c r="AB144" s="294" t="n">
        <f aca="false">SUM(S3:S143)</f>
        <v>9960550</v>
      </c>
      <c r="AD144" s="295" t="n">
        <f aca="false">SUM(AD4:AD143)</f>
        <v>23</v>
      </c>
      <c r="AE144" s="295" t="n">
        <f aca="false">SUM(AE4:AE143)</f>
        <v>95</v>
      </c>
      <c r="AG144" s="11"/>
    </row>
    <row r="145" customFormat="false" ht="23.25" hidden="false" customHeight="true" outlineLevel="0" collapsed="false">
      <c r="A145" s="28" t="str">
        <f aca="false" t="array" ref="A145:A145">IFERROR(INDEX('Bank Schedule'!A:A, SMALL(IF('Bank Schedule'!$K$2:$K$817="Vacant", ROW('Bank Schedule'!$K$2:$K$817)), ROW(142:142))), "")</f>
        <v/>
      </c>
      <c r="B145" s="11" t="str">
        <f aca="false" t="array" ref="B145:B145">IFERROR(INDEX('Bank Schedule'!B:B, SMALL(IF('Bank Schedule'!$K$2:$K$817="Vacant", ROW('Bank Schedule'!$K$2:$K$817)), ROW(142:142))), "")</f>
        <v/>
      </c>
      <c r="C145" s="11" t="str">
        <f aca="false" t="array" ref="C145:C145">IFERROR(INDEX('Bank Schedule'!C:C, SMALL(IF('Bank Schedule'!$K$2:$K$817="Vacant", ROW('Bank Schedule'!$K$2:$K$817)), ROW(142:142))), "")</f>
        <v/>
      </c>
      <c r="D145" s="11" t="str">
        <f aca="false" t="array" ref="D145:D145">IFERROR(INDEX('Bank Schedule'!D:D, SMALL(IF('Bank Schedule'!$K$2:$K$817="Vacant", ROW('Bank Schedule'!$K$2:$K$817)), ROW(142:142))), "")</f>
        <v/>
      </c>
      <c r="E145" s="11"/>
      <c r="F145" s="11"/>
      <c r="G145" s="11"/>
      <c r="AC145" s="11"/>
      <c r="AD145" s="11"/>
      <c r="AE145" s="11"/>
    </row>
    <row r="146" customFormat="false" ht="23.25" hidden="false" customHeight="true" outlineLevel="0" collapsed="false">
      <c r="A146" s="28" t="str">
        <f aca="false" t="array" ref="A146:A146">IFERROR(INDEX('Bank Schedule'!A:A, SMALL(IF('Bank Schedule'!$K$2:$K$817="Vacant", ROW('Bank Schedule'!$K$2:$K$817)), ROW(143:143))), "")</f>
        <v/>
      </c>
      <c r="B146" s="11" t="str">
        <f aca="false" t="array" ref="B146:B146">IFERROR(INDEX('Bank Schedule'!B:B, SMALL(IF('Bank Schedule'!$K$2:$K$817="Vacant", ROW('Bank Schedule'!$K$2:$K$817)), ROW(143:143))), "")</f>
        <v/>
      </c>
      <c r="C146" s="11" t="str">
        <f aca="false" t="array" ref="C146:C146">IFERROR(INDEX('Bank Schedule'!C:C, SMALL(IF('Bank Schedule'!$K$2:$K$817="Vacant", ROW('Bank Schedule'!$K$2:$K$817)), ROW(143:143))), "")</f>
        <v/>
      </c>
      <c r="D146" s="11" t="str">
        <f aca="false" t="array" ref="D146:D146">IFERROR(INDEX('Bank Schedule'!D:D, SMALL(IF('Bank Schedule'!$K$2:$K$817="Vacant", ROW('Bank Schedule'!$K$2:$K$817)), ROW(143:143))), "")</f>
        <v/>
      </c>
      <c r="E146" s="11"/>
      <c r="F146" s="11"/>
      <c r="G146" s="11"/>
      <c r="H146" s="11"/>
      <c r="I146" s="11"/>
      <c r="K146" s="1" t="n">
        <v>0</v>
      </c>
      <c r="L146" s="1" t="n">
        <v>0</v>
      </c>
      <c r="M146" s="296" t="n">
        <v>43840</v>
      </c>
      <c r="S146" s="297"/>
      <c r="T146" s="297"/>
      <c r="U146" s="298"/>
      <c r="AA146" s="11"/>
      <c r="AB146" s="11"/>
      <c r="AC146" s="11"/>
      <c r="AD146" s="11"/>
      <c r="AE146" s="11"/>
      <c r="AF146" s="299" t="s">
        <v>868</v>
      </c>
      <c r="AG146" s="300"/>
      <c r="AH146" s="285"/>
      <c r="AI146" s="285"/>
    </row>
    <row r="147" customFormat="false" ht="23.25" hidden="false" customHeight="true" outlineLevel="0" collapsed="false">
      <c r="A147" s="28" t="str">
        <f aca="false" t="array" ref="A147:A147">IFERROR(INDEX('Bank Schedule'!A:A, SMALL(IF('Bank Schedule'!$K$2:$K$817="Vacant", ROW('Bank Schedule'!$K$2:$K$817)), ROW(144:144))), "")</f>
        <v/>
      </c>
      <c r="B147" s="11" t="str">
        <f aca="false" t="array" ref="B147:B147">IFERROR(INDEX('Bank Schedule'!B:B, SMALL(IF('Bank Schedule'!$K$2:$K$817="Vacant", ROW('Bank Schedule'!$K$2:$K$817)), ROW(144:144))), "")</f>
        <v/>
      </c>
      <c r="C147" s="11" t="str">
        <f aca="false" t="array" ref="C147:C147">IFERROR(INDEX('Bank Schedule'!C:C, SMALL(IF('Bank Schedule'!$K$2:$K$817="Vacant", ROW('Bank Schedule'!$K$2:$K$817)), ROW(144:144))), "")</f>
        <v/>
      </c>
      <c r="D147" s="28" t="str">
        <f aca="false" t="array" ref="D147:D147">IFERROR(INDEX('Bank Schedule'!D:D, SMALL(IF('Bank Schedule'!$K$2:$K$817="Vacant", ROW('Bank Schedule'!$K$2:$K$817)), ROW(144:144))), "")</f>
        <v/>
      </c>
      <c r="E147" s="4"/>
      <c r="F147" s="4"/>
      <c r="G147" s="5"/>
      <c r="H147" s="6"/>
      <c r="I147" s="6"/>
      <c r="K147" s="1" t="n">
        <v>0</v>
      </c>
      <c r="L147" s="1" t="n">
        <v>0</v>
      </c>
      <c r="M147" s="296" t="n">
        <v>45143</v>
      </c>
      <c r="S147" s="297"/>
      <c r="T147" s="297"/>
      <c r="U147" s="298"/>
      <c r="AA147" s="14"/>
      <c r="AB147" s="14"/>
      <c r="AC147" s="5"/>
      <c r="AD147" s="4"/>
      <c r="AF147" s="301" t="n">
        <f aca="false">COUNTIF(AB$3:AB$141, AG147)</f>
        <v>0</v>
      </c>
      <c r="AG147" s="302" t="n">
        <v>0</v>
      </c>
      <c r="AH147" s="303" t="s">
        <v>869</v>
      </c>
      <c r="AI147" s="285"/>
    </row>
    <row r="148" customFormat="false" ht="23.25" hidden="false" customHeight="true" outlineLevel="0" collapsed="false">
      <c r="A148" s="28" t="str">
        <f aca="false" t="array" ref="A148:A148">IFERROR(INDEX('Bank Schedule'!A:A, SMALL(IF('Bank Schedule'!$K$2:$K$817="Vacant", ROW('Bank Schedule'!$K$2:$K$817)), ROW(145:145))), "")</f>
        <v/>
      </c>
      <c r="B148" s="11" t="str">
        <f aca="false" t="array" ref="B148:B148">IFERROR(INDEX('Bank Schedule'!B:B, SMALL(IF('Bank Schedule'!$K$2:$K$817="Vacant", ROW('Bank Schedule'!$K$2:$K$817)), ROW(145:145))), "")</f>
        <v/>
      </c>
      <c r="C148" s="11" t="str">
        <f aca="false" t="array" ref="C148:C148">IFERROR(INDEX('Bank Schedule'!C:C, SMALL(IF('Bank Schedule'!$K$2:$K$817="Vacant", ROW('Bank Schedule'!$K$2:$K$817)), ROW(145:145))), "")</f>
        <v/>
      </c>
      <c r="D148" s="28" t="str">
        <f aca="false" t="array" ref="D148:D148">IFERROR(INDEX('Bank Schedule'!D:D, SMALL(IF('Bank Schedule'!$K$2:$K$817="Vacant", ROW('Bank Schedule'!$K$2:$K$817)), ROW(145:145))), "")</f>
        <v/>
      </c>
      <c r="E148" s="4"/>
      <c r="F148" s="4"/>
      <c r="G148" s="5"/>
      <c r="H148" s="6"/>
      <c r="I148" s="6"/>
      <c r="K148" s="1" t="n">
        <v>0</v>
      </c>
      <c r="L148" s="1" t="n">
        <v>0</v>
      </c>
      <c r="M148" s="296" t="n">
        <v>44577</v>
      </c>
      <c r="S148" s="297"/>
      <c r="T148" s="297"/>
      <c r="U148" s="298"/>
      <c r="AA148" s="14"/>
      <c r="AB148" s="14"/>
      <c r="AC148" s="5"/>
      <c r="AD148" s="4"/>
      <c r="AF148" s="304" t="n">
        <f aca="false">COUNTIF(AB$3:AB$142, AG148)</f>
        <v>31</v>
      </c>
      <c r="AG148" s="305" t="s">
        <v>500</v>
      </c>
      <c r="AH148" s="285"/>
      <c r="AI148" s="285"/>
    </row>
    <row r="149" customFormat="false" ht="23.25" hidden="false" customHeight="true" outlineLevel="0" collapsed="false">
      <c r="A149" s="28" t="str">
        <f aca="false" t="array" ref="A149:A149">IFERROR(INDEX('Bank Schedule'!A:A, SMALL(IF('Bank Schedule'!$K$2:$K$817="Vacant", ROW('Bank Schedule'!$K$2:$K$817)), ROW(146:146))), "")</f>
        <v/>
      </c>
      <c r="B149" s="11" t="str">
        <f aca="false" t="array" ref="B149:B149">IFERROR(INDEX('Bank Schedule'!B:B, SMALL(IF('Bank Schedule'!$K$2:$K$817="Vacant", ROW('Bank Schedule'!$K$2:$K$817)), ROW(146:146))), "")</f>
        <v/>
      </c>
      <c r="C149" s="11" t="str">
        <f aca="false" t="array" ref="C149:C149">IFERROR(INDEX('Bank Schedule'!C:C, SMALL(IF('Bank Schedule'!$K$2:$K$817="Vacant", ROW('Bank Schedule'!$K$2:$K$817)), ROW(146:146))), "")</f>
        <v/>
      </c>
      <c r="D149" s="28" t="str">
        <f aca="false" t="array" ref="D149:D149">IFERROR(INDEX('Bank Schedule'!D:D, SMALL(IF('Bank Schedule'!$K$2:$K$817="Vacant", ROW('Bank Schedule'!$K$2:$K$817)), ROW(146:146))), "")</f>
        <v/>
      </c>
      <c r="E149" s="4"/>
      <c r="F149" s="4"/>
      <c r="G149" s="5"/>
      <c r="H149" s="6"/>
      <c r="I149" s="6"/>
      <c r="K149" s="1" t="n">
        <v>0</v>
      </c>
      <c r="L149" s="1" t="n">
        <v>0</v>
      </c>
      <c r="M149" s="296" t="n">
        <v>44603</v>
      </c>
      <c r="S149" s="297"/>
      <c r="T149" s="297"/>
      <c r="U149" s="298"/>
      <c r="AA149" s="14"/>
      <c r="AB149" s="14"/>
      <c r="AC149" s="5"/>
      <c r="AD149" s="4"/>
      <c r="AF149" s="304" t="n">
        <f aca="false">COUNTIF(AB$1:AB$144, AG149)</f>
        <v>26</v>
      </c>
      <c r="AG149" s="305" t="s">
        <v>115</v>
      </c>
      <c r="AH149" s="285"/>
      <c r="AI149" s="285"/>
    </row>
    <row r="150" customFormat="false" ht="23.25" hidden="false" customHeight="true" outlineLevel="0" collapsed="false">
      <c r="A150" s="28" t="str">
        <f aca="false" t="array" ref="A150:A150">IFERROR(INDEX('Bank Schedule'!A:A, SMALL(IF('Bank Schedule'!$K$2:$K$817="Vacant", ROW('Bank Schedule'!$K$2:$K$817)), ROW(147:147))), "")</f>
        <v/>
      </c>
      <c r="B150" s="11" t="str">
        <f aca="false" t="array" ref="B150:B150">IFERROR(INDEX('Bank Schedule'!B:B, SMALL(IF('Bank Schedule'!$K$2:$K$817="Vacant", ROW('Bank Schedule'!$K$2:$K$817)), ROW(147:147))), "")</f>
        <v/>
      </c>
      <c r="C150" s="11" t="str">
        <f aca="false" t="array" ref="C150:C150">IFERROR(INDEX('Bank Schedule'!C:C, SMALL(IF('Bank Schedule'!$K$2:$K$817="Vacant", ROW('Bank Schedule'!$K$2:$K$817)), ROW(147:147))), "")</f>
        <v/>
      </c>
      <c r="D150" s="28" t="str">
        <f aca="false" t="array" ref="D150:D150">IFERROR(INDEX('Bank Schedule'!D:D, SMALL(IF('Bank Schedule'!$K$2:$K$817="Vacant", ROW('Bank Schedule'!$K$2:$K$817)), ROW(147:147))), "")</f>
        <v/>
      </c>
      <c r="E150" s="4"/>
      <c r="F150" s="4"/>
      <c r="G150" s="5"/>
      <c r="H150" s="6"/>
      <c r="I150" s="6"/>
      <c r="K150" s="1" t="n">
        <v>45125</v>
      </c>
      <c r="L150" s="1" t="n">
        <v>45490</v>
      </c>
      <c r="M150" s="296" t="n">
        <v>0</v>
      </c>
      <c r="S150" s="297"/>
      <c r="T150" s="297"/>
      <c r="U150" s="298"/>
      <c r="AA150" s="14"/>
      <c r="AB150" s="14"/>
      <c r="AC150" s="5"/>
      <c r="AD150" s="4"/>
      <c r="AF150" s="304" t="n">
        <f aca="false">COUNTIF(AB$1:AB$143, AG150)</f>
        <v>0</v>
      </c>
      <c r="AG150" s="305" t="s">
        <v>870</v>
      </c>
      <c r="AH150" s="285"/>
      <c r="AI150" s="285"/>
    </row>
    <row r="151" customFormat="false" ht="23.25" hidden="false" customHeight="true" outlineLevel="0" collapsed="false">
      <c r="A151" s="28" t="str">
        <f aca="false" t="array" ref="A151:A151">IFERROR(INDEX('Bank Schedule'!A:A, SMALL(IF('Bank Schedule'!$K$2:$K$817="Vacant", ROW('Bank Schedule'!$K$2:$K$817)), ROW(148:148))), "")</f>
        <v/>
      </c>
      <c r="B151" s="11" t="str">
        <f aca="false" t="array" ref="B151:B151">IFERROR(INDEX('Bank Schedule'!B:B, SMALL(IF('Bank Schedule'!$K$2:$K$817="Vacant", ROW('Bank Schedule'!$K$2:$K$817)), ROW(148:148))), "")</f>
        <v/>
      </c>
      <c r="C151" s="11" t="str">
        <f aca="false" t="array" ref="C151:C151">IFERROR(INDEX('Bank Schedule'!C:C, SMALL(IF('Bank Schedule'!$K$2:$K$817="Vacant", ROW('Bank Schedule'!$K$2:$K$817)), ROW(148:148))), "")</f>
        <v/>
      </c>
      <c r="D151" s="28" t="str">
        <f aca="false" t="array" ref="D151:D151">IFERROR(INDEX('Bank Schedule'!D:D, SMALL(IF('Bank Schedule'!$K$2:$K$817="Vacant", ROW('Bank Schedule'!$K$2:$K$817)), ROW(148:148))), "")</f>
        <v/>
      </c>
      <c r="E151" s="4"/>
      <c r="F151" s="4"/>
      <c r="G151" s="5"/>
      <c r="H151" s="6"/>
      <c r="I151" s="6"/>
      <c r="K151" s="1" t="n">
        <v>45463</v>
      </c>
      <c r="L151" s="1" t="n">
        <v>0</v>
      </c>
      <c r="M151" s="296" t="n">
        <v>0</v>
      </c>
      <c r="S151" s="297"/>
      <c r="T151" s="297"/>
      <c r="U151" s="298"/>
      <c r="AA151" s="14"/>
      <c r="AB151" s="14"/>
      <c r="AC151" s="5"/>
      <c r="AD151" s="4"/>
      <c r="AF151" s="304" t="n">
        <f aca="false">COUNTIF(AB$1:AB$143, AG151)</f>
        <v>25</v>
      </c>
      <c r="AG151" s="305" t="s">
        <v>220</v>
      </c>
      <c r="AH151" s="285"/>
      <c r="AI151" s="285"/>
    </row>
    <row r="152" customFormat="false" ht="23.25" hidden="false" customHeight="true" outlineLevel="0" collapsed="false">
      <c r="A152" s="28" t="str">
        <f aca="false" t="array" ref="A152:A152">IFERROR(INDEX('Bank Schedule'!A:A, SMALL(IF('Bank Schedule'!$K$2:$K$817="Vacant", ROW('Bank Schedule'!$K$2:$K$817)), ROW(149:149))), "")</f>
        <v/>
      </c>
      <c r="B152" s="11" t="str">
        <f aca="false" t="array" ref="B152:B152">IFERROR(INDEX('Bank Schedule'!B:B, SMALL(IF('Bank Schedule'!$K$2:$K$817="Vacant", ROW('Bank Schedule'!$K$2:$K$817)), ROW(149:149))), "")</f>
        <v/>
      </c>
      <c r="C152" s="11" t="str">
        <f aca="false" t="array" ref="C152:C152">IFERROR(INDEX('Bank Schedule'!C:C, SMALL(IF('Bank Schedule'!$K$2:$K$817="Vacant", ROW('Bank Schedule'!$K$2:$K$817)), ROW(149:149))), "")</f>
        <v/>
      </c>
      <c r="D152" s="28" t="str">
        <f aca="false" t="array" ref="D152:D152">IFERROR(INDEX('Bank Schedule'!D:D, SMALL(IF('Bank Schedule'!$K$2:$K$817="Vacant", ROW('Bank Schedule'!$K$2:$K$817)), ROW(149:149))), "")</f>
        <v/>
      </c>
      <c r="E152" s="4"/>
      <c r="F152" s="4"/>
      <c r="G152" s="5"/>
      <c r="H152" s="6"/>
      <c r="I152" s="6"/>
      <c r="M152" s="296"/>
      <c r="S152" s="297"/>
      <c r="T152" s="297"/>
      <c r="U152" s="298"/>
      <c r="AA152" s="14"/>
      <c r="AB152" s="14"/>
      <c r="AC152" s="5"/>
      <c r="AD152" s="4"/>
      <c r="AF152" s="304"/>
      <c r="AG152" s="306"/>
      <c r="AH152" s="285"/>
      <c r="AI152" s="285"/>
    </row>
    <row r="153" customFormat="false" ht="23.25" hidden="false" customHeight="true" outlineLevel="0" collapsed="false">
      <c r="A153" s="28" t="str">
        <f aca="false" t="array" ref="A153:A153">IFERROR(INDEX('Bank Schedule'!A:A, SMALL(IF('Bank Schedule'!$K$2:$K$817="Vacant", ROW('Bank Schedule'!$K$2:$K$817)), ROW(150:150))), "")</f>
        <v/>
      </c>
      <c r="B153" s="11" t="str">
        <f aca="false" t="array" ref="B153:B153">IFERROR(INDEX('Bank Schedule'!B:B, SMALL(IF('Bank Schedule'!$K$2:$K$817="Vacant", ROW('Bank Schedule'!$K$2:$K$817)), ROW(150:150))), "")</f>
        <v/>
      </c>
      <c r="C153" s="11" t="str">
        <f aca="false" t="array" ref="C153:C153">IFERROR(INDEX('Bank Schedule'!C:C, SMALL(IF('Bank Schedule'!$K$2:$K$817="Vacant", ROW('Bank Schedule'!$K$2:$K$817)), ROW(150:150))), "")</f>
        <v/>
      </c>
      <c r="D153" s="28" t="str">
        <f aca="false" t="array" ref="D153:D153">IFERROR(INDEX('Bank Schedule'!D:D, SMALL(IF('Bank Schedule'!$K$2:$K$817="Vacant", ROW('Bank Schedule'!$K$2:$K$817)), ROW(150:150))), "")</f>
        <v/>
      </c>
      <c r="E153" s="4"/>
      <c r="F153" s="4"/>
      <c r="G153" s="5"/>
      <c r="H153" s="6"/>
      <c r="I153" s="6"/>
      <c r="K153" s="94"/>
      <c r="L153" s="7"/>
      <c r="M153" s="8"/>
      <c r="N153" s="8"/>
      <c r="O153" s="8"/>
      <c r="P153" s="8"/>
      <c r="Q153" s="8"/>
      <c r="R153" s="9"/>
      <c r="S153" s="9"/>
      <c r="T153" s="9"/>
      <c r="U153" s="71"/>
      <c r="V153" s="9"/>
      <c r="W153" s="9"/>
      <c r="X153" s="9"/>
      <c r="Y153" s="9"/>
      <c r="Z153" s="40"/>
      <c r="AA153" s="14"/>
      <c r="AB153" s="14"/>
      <c r="AC153" s="5"/>
      <c r="AD153" s="4"/>
      <c r="AF153" s="307" t="n">
        <f aca="false">SUM(AF147:AF152)</f>
        <v>82</v>
      </c>
      <c r="AG153" s="308" t="s">
        <v>867</v>
      </c>
      <c r="AH153" s="285"/>
      <c r="AI153" s="285"/>
    </row>
    <row r="154" customFormat="false" ht="23.25" hidden="false" customHeight="true" outlineLevel="0" collapsed="false">
      <c r="A154" s="28" t="str">
        <f aca="false" t="array" ref="A154:A154">IFERROR(INDEX('Bank Schedule'!A:A, SMALL(IF('Bank Schedule'!$K$2:$K$817="Vacant", ROW('Bank Schedule'!$K$2:$K$817)), ROW(151:151))), "")</f>
        <v/>
      </c>
      <c r="B154" s="11" t="str">
        <f aca="false" t="array" ref="B154:B154">IFERROR(INDEX('Bank Schedule'!B:B, SMALL(IF('Bank Schedule'!$K$2:$K$817="Vacant", ROW('Bank Schedule'!$K$2:$K$817)), ROW(151:151))), "")</f>
        <v/>
      </c>
      <c r="C154" s="11" t="str">
        <f aca="false" t="array" ref="C154:C154">IFERROR(INDEX('Bank Schedule'!C:C, SMALL(IF('Bank Schedule'!$K$2:$K$817="Vacant", ROW('Bank Schedule'!$K$2:$K$817)), ROW(151:151))), "")</f>
        <v/>
      </c>
      <c r="D154" s="28" t="str">
        <f aca="false" t="array" ref="D154:D154">IFERROR(INDEX('Bank Schedule'!D:D, SMALL(IF('Bank Schedule'!$K$2:$K$817="Vacant", ROW('Bank Schedule'!$K$2:$K$817)), ROW(151:151))), "")</f>
        <v/>
      </c>
      <c r="E154" s="4"/>
      <c r="F154" s="4"/>
      <c r="G154" s="5"/>
      <c r="H154" s="6"/>
      <c r="I154" s="6"/>
      <c r="K154" s="94"/>
      <c r="L154" s="7"/>
      <c r="M154" s="8"/>
      <c r="N154" s="8"/>
      <c r="O154" s="8"/>
      <c r="P154" s="8"/>
      <c r="Q154" s="8"/>
      <c r="R154" s="9"/>
      <c r="S154" s="9"/>
      <c r="T154" s="9"/>
      <c r="U154" s="71"/>
      <c r="V154" s="9"/>
      <c r="W154" s="9"/>
      <c r="X154" s="9"/>
      <c r="Y154" s="9"/>
      <c r="Z154" s="40"/>
      <c r="AA154" s="14"/>
      <c r="AB154" s="14"/>
      <c r="AC154" s="5"/>
      <c r="AD154" s="4"/>
      <c r="AI154" s="285"/>
      <c r="AJ154" s="285"/>
    </row>
    <row r="155" customFormat="false" ht="23.25" hidden="false" customHeight="true" outlineLevel="0" collapsed="false">
      <c r="A155" s="28" t="str">
        <f aca="false" t="array" ref="A155:A155">IFERROR(INDEX('Bank Schedule'!A:A, SMALL(IF('Bank Schedule'!$K$2:$K$817="Vacant", ROW('Bank Schedule'!$K$2:$K$817)), ROW(152:152))), "")</f>
        <v/>
      </c>
      <c r="B155" s="11" t="str">
        <f aca="false" t="array" ref="B155:B155">IFERROR(INDEX('Bank Schedule'!B:B, SMALL(IF('Bank Schedule'!$K$2:$K$817="Vacant", ROW('Bank Schedule'!$K$2:$K$817)), ROW(152:152))), "")</f>
        <v/>
      </c>
      <c r="C155" s="11" t="str">
        <f aca="false" t="array" ref="C155:C155">IFERROR(INDEX('Bank Schedule'!C:C, SMALL(IF('Bank Schedule'!$K$2:$K$817="Vacant", ROW('Bank Schedule'!$K$2:$K$817)), ROW(152:152))), "")</f>
        <v/>
      </c>
      <c r="D155" s="28" t="str">
        <f aca="false" t="array" ref="D155:D155">IFERROR(INDEX('Bank Schedule'!D:D, SMALL(IF('Bank Schedule'!$K$2:$K$817="Vacant", ROW('Bank Schedule'!$K$2:$K$817)), ROW(152:152))), "")</f>
        <v/>
      </c>
      <c r="E155" s="4"/>
      <c r="F155" s="4"/>
      <c r="G155" s="5"/>
      <c r="H155" s="6"/>
      <c r="I155" s="6"/>
      <c r="K155" s="94"/>
      <c r="L155" s="7"/>
      <c r="M155" s="8"/>
      <c r="N155" s="8"/>
      <c r="O155" s="8"/>
      <c r="P155" s="8"/>
      <c r="Q155" s="8"/>
      <c r="R155" s="9"/>
      <c r="S155" s="9"/>
      <c r="T155" s="9"/>
      <c r="U155" s="71"/>
      <c r="V155" s="9"/>
      <c r="W155" s="9"/>
      <c r="X155" s="9"/>
      <c r="Y155" s="9"/>
      <c r="Z155" s="40"/>
      <c r="AA155" s="14"/>
      <c r="AB155" s="14"/>
      <c r="AC155" s="5"/>
      <c r="AD155" s="4"/>
      <c r="AF155" s="309"/>
      <c r="AH155" s="309"/>
      <c r="AI155" s="285"/>
      <c r="AJ155" s="285"/>
    </row>
    <row r="156" customFormat="false" ht="23.25" hidden="false" customHeight="true" outlineLevel="0" collapsed="false">
      <c r="A156" s="28" t="str">
        <f aca="false" t="array" ref="A156:A156">IFERROR(INDEX('Bank Schedule'!A:A, SMALL(IF('Bank Schedule'!$K$2:$K$817="Vacant", ROW('Bank Schedule'!$K$2:$K$817)), ROW(153:153))), "")</f>
        <v/>
      </c>
      <c r="B156" s="11" t="str">
        <f aca="false" t="array" ref="B156:B156">IFERROR(INDEX('Bank Schedule'!B:B, SMALL(IF('Bank Schedule'!$K$2:$K$817="Vacant", ROW('Bank Schedule'!$K$2:$K$817)), ROW(153:153))), "")</f>
        <v/>
      </c>
      <c r="C156" s="11" t="str">
        <f aca="false" t="array" ref="C156:C156">IFERROR(INDEX('Bank Schedule'!C:C, SMALL(IF('Bank Schedule'!$K$2:$K$817="Vacant", ROW('Bank Schedule'!$K$2:$K$817)), ROW(153:153))), "")</f>
        <v/>
      </c>
      <c r="D156" s="28" t="str">
        <f aca="false" t="array" ref="D156:D156">IFERROR(INDEX('Bank Schedule'!D:D, SMALL(IF('Bank Schedule'!$K$2:$K$817="Vacant", ROW('Bank Schedule'!$K$2:$K$817)), ROW(153:153))), "")</f>
        <v/>
      </c>
      <c r="E156" s="4"/>
      <c r="F156" s="4"/>
      <c r="G156" s="5"/>
      <c r="H156" s="6"/>
      <c r="I156" s="6"/>
      <c r="K156" s="94"/>
      <c r="L156" s="7"/>
      <c r="M156" s="8"/>
      <c r="N156" s="8"/>
      <c r="O156" s="8"/>
      <c r="P156" s="8"/>
      <c r="Q156" s="8"/>
      <c r="R156" s="9"/>
      <c r="S156" s="9"/>
      <c r="T156" s="9"/>
      <c r="U156" s="71"/>
      <c r="V156" s="9"/>
      <c r="W156" s="9"/>
      <c r="X156" s="9"/>
      <c r="Y156" s="9"/>
      <c r="Z156" s="40"/>
      <c r="AA156" s="14"/>
      <c r="AB156" s="14"/>
      <c r="AC156" s="5"/>
      <c r="AD156" s="4"/>
      <c r="AF156" s="310" t="s">
        <v>871</v>
      </c>
      <c r="AG156" s="311"/>
      <c r="AH156" s="312"/>
      <c r="AJ156" s="285"/>
    </row>
    <row r="157" customFormat="false" ht="23.25" hidden="false" customHeight="true" outlineLevel="0" collapsed="false">
      <c r="A157" s="28" t="str">
        <f aca="false" t="array" ref="A157:A157">IFERROR(INDEX('Bank Schedule'!A:A, SMALL(IF('Bank Schedule'!$K$2:$K$817="Vacant", ROW('Bank Schedule'!$K$2:$K$817)), ROW(154:154))), "")</f>
        <v/>
      </c>
      <c r="B157" s="11" t="str">
        <f aca="false" t="array" ref="B157:B157">IFERROR(INDEX('Bank Schedule'!B:B, SMALL(IF('Bank Schedule'!$K$2:$K$817="Vacant", ROW('Bank Schedule'!$K$2:$K$817)), ROW(154:154))), "")</f>
        <v/>
      </c>
      <c r="C157" s="11" t="str">
        <f aca="false" t="array" ref="C157:C157">IFERROR(INDEX('Bank Schedule'!C:C, SMALL(IF('Bank Schedule'!$K$2:$K$817="Vacant", ROW('Bank Schedule'!$K$2:$K$817)), ROW(154:154))), "")</f>
        <v/>
      </c>
      <c r="D157" s="28" t="str">
        <f aca="false" t="array" ref="D157:D157">IFERROR(INDEX('Bank Schedule'!D:D, SMALL(IF('Bank Schedule'!$K$2:$K$817="Vacant", ROW('Bank Schedule'!$K$2:$K$817)), ROW(154:154))), "")</f>
        <v/>
      </c>
      <c r="E157" s="4"/>
      <c r="F157" s="4"/>
      <c r="G157" s="5"/>
      <c r="H157" s="6"/>
      <c r="I157" s="6"/>
      <c r="J157" s="5"/>
      <c r="K157" s="94"/>
      <c r="L157" s="7"/>
      <c r="M157" s="8"/>
      <c r="N157" s="8"/>
      <c r="O157" s="8"/>
      <c r="P157" s="8"/>
      <c r="Q157" s="8"/>
      <c r="R157" s="9"/>
      <c r="S157" s="9"/>
      <c r="T157" s="9"/>
      <c r="U157" s="71"/>
      <c r="V157" s="9"/>
      <c r="W157" s="9"/>
      <c r="X157" s="9"/>
      <c r="Y157" s="9"/>
      <c r="Z157" s="40"/>
      <c r="AA157" s="14"/>
      <c r="AB157" s="14"/>
      <c r="AC157" s="5"/>
      <c r="AD157" s="4"/>
      <c r="AF157" s="304" t="n">
        <f aca="false">COUNTIF(X$4:AA$142, AG157)</f>
        <v>1</v>
      </c>
      <c r="AG157" s="305" t="s">
        <v>453</v>
      </c>
      <c r="AH157" s="313" t="n">
        <f aca="false">AF157/$AF$163</f>
        <v>0.00884955752212389</v>
      </c>
      <c r="AJ157" s="285"/>
    </row>
    <row r="158" customFormat="false" ht="23.25" hidden="false" customHeight="true" outlineLevel="0" collapsed="false">
      <c r="A158" s="28" t="str">
        <f aca="false" t="array" ref="A158:A158">IFERROR(INDEX('Bank Schedule'!A:A, SMALL(IF('Bank Schedule'!$K$2:$K$817="Vacant", ROW('Bank Schedule'!$K$2:$K$817)), ROW(155:155))), "")</f>
        <v/>
      </c>
      <c r="B158" s="11" t="str">
        <f aca="false" t="array" ref="B158:B158">IFERROR(INDEX('Bank Schedule'!B:B, SMALL(IF('Bank Schedule'!$K$2:$K$817="Vacant", ROW('Bank Schedule'!$K$2:$K$817)), ROW(155:155))), "")</f>
        <v/>
      </c>
      <c r="C158" s="11" t="str">
        <f aca="false" t="array" ref="C158:C158">IFERROR(INDEX('Bank Schedule'!C:C, SMALL(IF('Bank Schedule'!$K$2:$K$817="Vacant", ROW('Bank Schedule'!$K$2:$K$817)), ROW(155:155))), "")</f>
        <v/>
      </c>
      <c r="D158" s="28" t="str">
        <f aca="false" t="array" ref="D158:D158">IFERROR(INDEX('Bank Schedule'!D:D, SMALL(IF('Bank Schedule'!$K$2:$K$817="Vacant", ROW('Bank Schedule'!$K$2:$K$817)), ROW(155:155))), "")</f>
        <v/>
      </c>
      <c r="E158" s="4"/>
      <c r="F158" s="4"/>
      <c r="G158" s="5"/>
      <c r="H158" s="6"/>
      <c r="I158" s="6"/>
      <c r="J158" s="5"/>
      <c r="K158" s="94"/>
      <c r="L158" s="7"/>
      <c r="M158" s="8"/>
      <c r="N158" s="8"/>
      <c r="O158" s="8"/>
      <c r="P158" s="8"/>
      <c r="Q158" s="8"/>
      <c r="R158" s="9"/>
      <c r="S158" s="9"/>
      <c r="T158" s="9"/>
      <c r="U158" s="71"/>
      <c r="V158" s="9"/>
      <c r="W158" s="9"/>
      <c r="X158" s="9"/>
      <c r="Y158" s="9"/>
      <c r="Z158" s="40"/>
      <c r="AA158" s="14"/>
      <c r="AB158" s="14"/>
      <c r="AC158" s="5"/>
      <c r="AD158" s="4"/>
      <c r="AF158" s="304" t="n">
        <f aca="false">COUNTIF(X$4:X$143, AG158)</f>
        <v>12</v>
      </c>
      <c r="AG158" s="305" t="s">
        <v>52</v>
      </c>
      <c r="AH158" s="314" t="n">
        <f aca="false">AF158/$AF$163</f>
        <v>0.106194690265487</v>
      </c>
      <c r="AJ158" s="285"/>
    </row>
    <row r="159" customFormat="false" ht="23.25" hidden="false" customHeight="true" outlineLevel="0" collapsed="false">
      <c r="A159" s="28" t="str">
        <f aca="false" t="array" ref="A159:A159">IFERROR(INDEX('Bank Schedule'!A:A, SMALL(IF('Bank Schedule'!$K$2:$K$817="Vacant", ROW('Bank Schedule'!$K$2:$K$817)), ROW(156:156))), "")</f>
        <v/>
      </c>
      <c r="B159" s="11" t="str">
        <f aca="false" t="array" ref="B159:B159">IFERROR(INDEX('Bank Schedule'!B:B, SMALL(IF('Bank Schedule'!$K$2:$K$817="Vacant", ROW('Bank Schedule'!$K$2:$K$817)), ROW(156:156))), "")</f>
        <v/>
      </c>
      <c r="C159" s="11" t="str">
        <f aca="false" t="array" ref="C159:C159">IFERROR(INDEX('Bank Schedule'!C:C, SMALL(IF('Bank Schedule'!$K$2:$K$817="Vacant", ROW('Bank Schedule'!$K$2:$K$817)), ROW(156:156))), "")</f>
        <v/>
      </c>
      <c r="D159" s="28" t="str">
        <f aca="false" t="array" ref="D159:D159">IFERROR(INDEX('Bank Schedule'!D:D, SMALL(IF('Bank Schedule'!$K$2:$K$817="Vacant", ROW('Bank Schedule'!$K$2:$K$817)), ROW(156:156))), "")</f>
        <v/>
      </c>
      <c r="E159" s="4"/>
      <c r="F159" s="4"/>
      <c r="G159" s="5"/>
      <c r="H159" s="6"/>
      <c r="I159" s="6"/>
      <c r="J159" s="5"/>
      <c r="K159" s="94"/>
      <c r="L159" s="7"/>
      <c r="M159" s="8"/>
      <c r="N159" s="8"/>
      <c r="O159" s="8"/>
      <c r="P159" s="8"/>
      <c r="Q159" s="8"/>
      <c r="R159" s="9"/>
      <c r="S159" s="9"/>
      <c r="T159" s="9"/>
      <c r="U159" s="71"/>
      <c r="V159" s="9"/>
      <c r="W159" s="9"/>
      <c r="X159" s="9"/>
      <c r="Y159" s="9"/>
      <c r="Z159" s="40"/>
      <c r="AA159" s="14"/>
      <c r="AB159" s="14"/>
      <c r="AC159" s="5"/>
      <c r="AD159" s="4"/>
      <c r="AF159" s="304" t="n">
        <f aca="false">COUNTIF(X$1:X$144, AG159)</f>
        <v>10</v>
      </c>
      <c r="AG159" s="305" t="s">
        <v>39</v>
      </c>
      <c r="AH159" s="314" t="n">
        <f aca="false">AF159/$AF$163</f>
        <v>0.0884955752212389</v>
      </c>
      <c r="AJ159" s="285"/>
    </row>
    <row r="160" customFormat="false" ht="23.25" hidden="false" customHeight="true" outlineLevel="0" collapsed="false">
      <c r="A160" s="28" t="str">
        <f aca="false" t="array" ref="A160:A160">IFERROR(INDEX('Bank Schedule'!A:A, SMALL(IF('Bank Schedule'!$K$2:$K$817="Vacant", ROW('Bank Schedule'!$K$2:$K$817)), ROW(157:157))), "")</f>
        <v/>
      </c>
      <c r="B160" s="11" t="str">
        <f aca="false" t="array" ref="B160:B160">IFERROR(INDEX('Bank Schedule'!B:B, SMALL(IF('Bank Schedule'!$K$2:$K$817="Vacant", ROW('Bank Schedule'!$K$2:$K$817)), ROW(157:157))), "")</f>
        <v/>
      </c>
      <c r="C160" s="11" t="str">
        <f aca="false" t="array" ref="C160:C160">IFERROR(INDEX('Bank Schedule'!C:C, SMALL(IF('Bank Schedule'!$K$2:$K$817="Vacant", ROW('Bank Schedule'!$K$2:$K$817)), ROW(157:157))), "")</f>
        <v/>
      </c>
      <c r="D160" s="28" t="str">
        <f aca="false" t="array" ref="D160:D160">IFERROR(INDEX('Bank Schedule'!D:D, SMALL(IF('Bank Schedule'!$K$2:$K$817="Vacant", ROW('Bank Schedule'!$K$2:$K$817)), ROW(157:157))), "")</f>
        <v/>
      </c>
      <c r="E160" s="4"/>
      <c r="F160" s="4"/>
      <c r="G160" s="5"/>
      <c r="H160" s="6"/>
      <c r="I160" s="6"/>
      <c r="J160" s="5"/>
      <c r="K160" s="94"/>
      <c r="L160" s="7"/>
      <c r="M160" s="8"/>
      <c r="N160" s="8"/>
      <c r="O160" s="8"/>
      <c r="P160" s="8"/>
      <c r="Q160" s="8"/>
      <c r="R160" s="9"/>
      <c r="S160" s="9"/>
      <c r="T160" s="9"/>
      <c r="U160" s="71"/>
      <c r="V160" s="9"/>
      <c r="W160" s="9"/>
      <c r="X160" s="9"/>
      <c r="Y160" s="9"/>
      <c r="Z160" s="40"/>
      <c r="AA160" s="14"/>
      <c r="AB160" s="14"/>
      <c r="AC160" s="5"/>
      <c r="AD160" s="4"/>
      <c r="AF160" s="304" t="n">
        <f aca="false">COUNTIF(X$1:X$144, AG160)</f>
        <v>55</v>
      </c>
      <c r="AG160" s="305" t="s">
        <v>57</v>
      </c>
      <c r="AH160" s="314" t="n">
        <f aca="false">AF160/$AF$163</f>
        <v>0.486725663716814</v>
      </c>
      <c r="AJ160" s="285"/>
    </row>
    <row r="161" customFormat="false" ht="23.25" hidden="false" customHeight="true" outlineLevel="0" collapsed="false">
      <c r="A161" s="28" t="str">
        <f aca="false" t="array" ref="A161:A161">IFERROR(INDEX('Bank Schedule'!A:A, SMALL(IF('Bank Schedule'!$K$2:$K$817="Vacant", ROW('Bank Schedule'!$K$2:$K$817)), ROW(158:158))), "")</f>
        <v/>
      </c>
      <c r="B161" s="11" t="str">
        <f aca="false" t="array" ref="B161:B161">IFERROR(INDEX('Bank Schedule'!B:B, SMALL(IF('Bank Schedule'!$K$2:$K$817="Vacant", ROW('Bank Schedule'!$K$2:$K$817)), ROW(158:158))), "")</f>
        <v/>
      </c>
      <c r="C161" s="11" t="str">
        <f aca="false" t="array" ref="C161:C161">IFERROR(INDEX('Bank Schedule'!C:C, SMALL(IF('Bank Schedule'!$K$2:$K$817="Vacant", ROW('Bank Schedule'!$K$2:$K$817)), ROW(158:158))), "")</f>
        <v/>
      </c>
      <c r="D161" s="28" t="str">
        <f aca="false" t="array" ref="D161:D161">IFERROR(INDEX('Bank Schedule'!D:D, SMALL(IF('Bank Schedule'!$K$2:$K$817="Vacant", ROW('Bank Schedule'!$K$2:$K$817)), ROW(158:158))), "")</f>
        <v/>
      </c>
      <c r="E161" s="4"/>
      <c r="F161" s="4"/>
      <c r="G161" s="5"/>
      <c r="H161" s="6"/>
      <c r="I161" s="6"/>
      <c r="J161" s="5"/>
      <c r="K161" s="94"/>
      <c r="L161" s="7"/>
      <c r="M161" s="8"/>
      <c r="N161" s="8"/>
      <c r="O161" s="8"/>
      <c r="P161" s="8"/>
      <c r="Q161" s="8"/>
      <c r="R161" s="9"/>
      <c r="S161" s="9"/>
      <c r="T161" s="9"/>
      <c r="U161" s="71"/>
      <c r="V161" s="9"/>
      <c r="W161" s="9"/>
      <c r="X161" s="9"/>
      <c r="Y161" s="9"/>
      <c r="Z161" s="40"/>
      <c r="AA161" s="14"/>
      <c r="AB161" s="14"/>
      <c r="AC161" s="5"/>
      <c r="AD161" s="4"/>
      <c r="AF161" s="304" t="n">
        <f aca="false">COUNTIF(X$1:X$143, AG161)</f>
        <v>35</v>
      </c>
      <c r="AG161" s="305" t="s">
        <v>123</v>
      </c>
      <c r="AH161" s="314" t="n">
        <f aca="false">AF161/$AF$163</f>
        <v>0.309734513274336</v>
      </c>
      <c r="AJ161" s="285"/>
    </row>
    <row r="162" customFormat="false" ht="23.25" hidden="false" customHeight="true" outlineLevel="0" collapsed="false">
      <c r="A162" s="28" t="str">
        <f aca="false" t="array" ref="A162:A162">IFERROR(INDEX('Bank Schedule'!A:A, SMALL(IF('Bank Schedule'!$K$2:$K$817="Vacant", ROW('Bank Schedule'!$K$2:$K$817)), ROW(159:159))), "")</f>
        <v/>
      </c>
      <c r="B162" s="11" t="str">
        <f aca="false" t="array" ref="B162:B162">IFERROR(INDEX('Bank Schedule'!B:B, SMALL(IF('Bank Schedule'!$K$2:$K$817="Vacant", ROW('Bank Schedule'!$K$2:$K$817)), ROW(159:159))), "")</f>
        <v/>
      </c>
      <c r="C162" s="11" t="str">
        <f aca="false" t="array" ref="C162:C162">IFERROR(INDEX('Bank Schedule'!C:C, SMALL(IF('Bank Schedule'!$K$2:$K$817="Vacant", ROW('Bank Schedule'!$K$2:$K$817)), ROW(159:159))), "")</f>
        <v/>
      </c>
      <c r="D162" s="28" t="str">
        <f aca="false" t="array" ref="D162:D162">IFERROR(INDEX('Bank Schedule'!D:D, SMALL(IF('Bank Schedule'!$K$2:$K$817="Vacant", ROW('Bank Schedule'!$K$2:$K$817)), ROW(159:159))), "")</f>
        <v/>
      </c>
      <c r="E162" s="4"/>
      <c r="F162" s="4"/>
      <c r="G162" s="5"/>
      <c r="H162" s="6"/>
      <c r="I162" s="6"/>
      <c r="J162" s="5"/>
      <c r="K162" s="94"/>
      <c r="L162" s="7"/>
      <c r="M162" s="8"/>
      <c r="N162" s="8"/>
      <c r="O162" s="8"/>
      <c r="P162" s="8"/>
      <c r="Q162" s="8"/>
      <c r="R162" s="9"/>
      <c r="S162" s="9"/>
      <c r="T162" s="9"/>
      <c r="U162" s="71"/>
      <c r="V162" s="9"/>
      <c r="W162" s="9"/>
      <c r="X162" s="9"/>
      <c r="Y162" s="9"/>
      <c r="Z162" s="40"/>
      <c r="AA162" s="14"/>
      <c r="AB162" s="14"/>
      <c r="AC162" s="5"/>
      <c r="AD162" s="4"/>
      <c r="AF162" s="304"/>
      <c r="AG162" s="306"/>
      <c r="AH162" s="315"/>
      <c r="AJ162" s="285"/>
    </row>
    <row r="163" customFormat="false" ht="23.25" hidden="false" customHeight="true" outlineLevel="0" collapsed="false">
      <c r="A163" s="28" t="str">
        <f aca="false" t="array" ref="A163:A163">IFERROR(INDEX('Bank Schedule'!A:A, SMALL(IF('Bank Schedule'!$K$2:$K$817="Vacant", ROW('Bank Schedule'!$K$2:$K$817)), ROW(160:160))), "")</f>
        <v/>
      </c>
      <c r="B163" s="11" t="str">
        <f aca="false" t="array" ref="B163:B163">IFERROR(INDEX('Bank Schedule'!B:B, SMALL(IF('Bank Schedule'!$K$2:$K$817="Vacant", ROW('Bank Schedule'!$K$2:$K$817)), ROW(160:160))), "")</f>
        <v/>
      </c>
      <c r="C163" s="11" t="str">
        <f aca="false" t="array" ref="C163:C163">IFERROR(INDEX('Bank Schedule'!C:C, SMALL(IF('Bank Schedule'!$K$2:$K$817="Vacant", ROW('Bank Schedule'!$K$2:$K$817)), ROW(160:160))), "")</f>
        <v/>
      </c>
      <c r="D163" s="28" t="str">
        <f aca="false" t="array" ref="D163:D163">IFERROR(INDEX('Bank Schedule'!D:D, SMALL(IF('Bank Schedule'!$K$2:$K$817="Vacant", ROW('Bank Schedule'!$K$2:$K$817)), ROW(160:160))), "")</f>
        <v/>
      </c>
      <c r="E163" s="4"/>
      <c r="F163" s="4"/>
      <c r="G163" s="5"/>
      <c r="H163" s="6"/>
      <c r="I163" s="6"/>
      <c r="J163" s="5"/>
      <c r="K163" s="94"/>
      <c r="L163" s="7"/>
      <c r="M163" s="8"/>
      <c r="N163" s="8"/>
      <c r="O163" s="8"/>
      <c r="P163" s="8"/>
      <c r="Q163" s="8"/>
      <c r="R163" s="9"/>
      <c r="S163" s="9"/>
      <c r="T163" s="9"/>
      <c r="U163" s="71"/>
      <c r="V163" s="9"/>
      <c r="W163" s="9"/>
      <c r="X163" s="9"/>
      <c r="Y163" s="9"/>
      <c r="Z163" s="40"/>
      <c r="AA163" s="14"/>
      <c r="AB163" s="14"/>
      <c r="AC163" s="5"/>
      <c r="AD163" s="4"/>
      <c r="AF163" s="311" t="n">
        <f aca="false">SUM(AF157:AF162)</f>
        <v>113</v>
      </c>
      <c r="AG163" s="316" t="s">
        <v>867</v>
      </c>
      <c r="AH163" s="317" t="n">
        <f aca="false">SUM(AH157:AH162)</f>
        <v>1</v>
      </c>
      <c r="AJ163" s="285"/>
    </row>
    <row r="164" customFormat="false" ht="23.25" hidden="false" customHeight="true" outlineLevel="0" collapsed="false">
      <c r="A164" s="28" t="str">
        <f aca="false" t="array" ref="A164:A164">IFERROR(INDEX('Bank Schedule'!A:A, SMALL(IF('Bank Schedule'!$K$2:$K$817="Vacant", ROW('Bank Schedule'!$K$2:$K$817)), ROW(161:161))), "")</f>
        <v/>
      </c>
      <c r="B164" s="11" t="str">
        <f aca="false" t="array" ref="B164:B164">IFERROR(INDEX('Bank Schedule'!B:B, SMALL(IF('Bank Schedule'!$K$2:$K$817="Vacant", ROW('Bank Schedule'!$K$2:$K$817)), ROW(161:161))), "")</f>
        <v/>
      </c>
      <c r="C164" s="11" t="str">
        <f aca="false" t="array" ref="C164:C164">IFERROR(INDEX('Bank Schedule'!C:C, SMALL(IF('Bank Schedule'!$K$2:$K$817="Vacant", ROW('Bank Schedule'!$K$2:$K$817)), ROW(161:161))), "")</f>
        <v/>
      </c>
      <c r="D164" s="28" t="str">
        <f aca="false" t="array" ref="D164:D164">IFERROR(INDEX('Bank Schedule'!D:D, SMALL(IF('Bank Schedule'!$K$2:$K$817="Vacant", ROW('Bank Schedule'!$K$2:$K$817)), ROW(161:161))), "")</f>
        <v/>
      </c>
      <c r="E164" s="4"/>
      <c r="F164" s="4"/>
      <c r="G164" s="5"/>
      <c r="H164" s="6"/>
      <c r="I164" s="6"/>
      <c r="J164" s="5"/>
      <c r="K164" s="94"/>
      <c r="L164" s="7"/>
      <c r="M164" s="8"/>
      <c r="N164" s="8"/>
      <c r="O164" s="8"/>
      <c r="P164" s="8"/>
      <c r="Q164" s="8"/>
      <c r="R164" s="9"/>
      <c r="S164" s="9"/>
      <c r="T164" s="9"/>
      <c r="U164" s="71"/>
      <c r="V164" s="9"/>
      <c r="W164" s="9"/>
      <c r="X164" s="9"/>
      <c r="Y164" s="9"/>
      <c r="Z164" s="40"/>
      <c r="AA164" s="14"/>
      <c r="AB164" s="14"/>
      <c r="AC164" s="5"/>
      <c r="AD164" s="4"/>
      <c r="AF164" s="309"/>
      <c r="AH164" s="318"/>
      <c r="AI164" s="285"/>
      <c r="AJ164" s="285"/>
    </row>
    <row r="165" customFormat="false" ht="23.25" hidden="false" customHeight="true" outlineLevel="0" collapsed="false">
      <c r="A165" s="28" t="str">
        <f aca="false" t="array" ref="A165:A165">IFERROR(INDEX('Bank Schedule'!A:A, SMALL(IF('Bank Schedule'!$K$2:$K$817="Vacant", ROW('Bank Schedule'!$K$2:$K$817)), ROW(162:162))), "")</f>
        <v/>
      </c>
      <c r="B165" s="11" t="str">
        <f aca="false" t="array" ref="B165:B165">IFERROR(INDEX('Bank Schedule'!B:B, SMALL(IF('Bank Schedule'!$K$2:$K$817="Vacant", ROW('Bank Schedule'!$K$2:$K$817)), ROW(162:162))), "")</f>
        <v/>
      </c>
      <c r="C165" s="11" t="str">
        <f aca="false" t="array" ref="C165:C165">IFERROR(INDEX('Bank Schedule'!C:C, SMALL(IF('Bank Schedule'!$K$2:$K$817="Vacant", ROW('Bank Schedule'!$K$2:$K$817)), ROW(162:162))), "")</f>
        <v/>
      </c>
      <c r="D165" s="28" t="str">
        <f aca="false" t="array" ref="D165:D165">IFERROR(INDEX('Bank Schedule'!D:D, SMALL(IF('Bank Schedule'!$K$2:$K$817="Vacant", ROW('Bank Schedule'!$K$2:$K$817)), ROW(162:162))), "")</f>
        <v/>
      </c>
      <c r="E165" s="4"/>
      <c r="F165" s="4"/>
      <c r="G165" s="5"/>
      <c r="H165" s="6"/>
      <c r="I165" s="6"/>
      <c r="J165" s="5"/>
      <c r="K165" s="94"/>
      <c r="L165" s="7"/>
      <c r="M165" s="8"/>
      <c r="N165" s="8"/>
      <c r="O165" s="8"/>
      <c r="P165" s="8"/>
      <c r="Q165" s="8"/>
      <c r="R165" s="9"/>
      <c r="S165" s="9"/>
      <c r="T165" s="9"/>
      <c r="U165" s="71"/>
      <c r="V165" s="9"/>
      <c r="W165" s="9"/>
      <c r="X165" s="9"/>
      <c r="Y165" s="9"/>
      <c r="Z165" s="40"/>
      <c r="AA165" s="14"/>
      <c r="AB165" s="14"/>
      <c r="AC165" s="5"/>
      <c r="AD165" s="4"/>
      <c r="AF165" s="319" t="s">
        <v>872</v>
      </c>
      <c r="AG165" s="320"/>
      <c r="AH165" s="312"/>
      <c r="AI165" s="285"/>
    </row>
    <row r="166" customFormat="false" ht="23.25" hidden="false" customHeight="true" outlineLevel="0" collapsed="false">
      <c r="A166" s="28" t="str">
        <f aca="false" t="array" ref="A166:A166">IFERROR(INDEX('Bank Schedule'!A:A, SMALL(IF('Bank Schedule'!$K$2:$K$817="Vacant", ROW('Bank Schedule'!$K$2:$K$817)), ROW(163:163))), "")</f>
        <v/>
      </c>
      <c r="B166" s="11" t="str">
        <f aca="false" t="array" ref="B166:B166">IFERROR(INDEX('Bank Schedule'!B:B, SMALL(IF('Bank Schedule'!$K$2:$K$817="Vacant", ROW('Bank Schedule'!$K$2:$K$817)), ROW(163:163))), "")</f>
        <v/>
      </c>
      <c r="C166" s="11" t="str">
        <f aca="false" t="array" ref="C166:C166">IFERROR(INDEX('Bank Schedule'!C:C, SMALL(IF('Bank Schedule'!$K$2:$K$817="Vacant", ROW('Bank Schedule'!$K$2:$K$817)), ROW(163:163))), "")</f>
        <v/>
      </c>
      <c r="D166" s="28" t="str">
        <f aca="false" t="array" ref="D166:D166">IFERROR(INDEX('Bank Schedule'!D:D, SMALL(IF('Bank Schedule'!$K$2:$K$817="Vacant", ROW('Bank Schedule'!$K$2:$K$817)), ROW(163:163))), "")</f>
        <v/>
      </c>
      <c r="E166" s="4"/>
      <c r="F166" s="4"/>
      <c r="G166" s="5"/>
      <c r="H166" s="6"/>
      <c r="I166" s="6"/>
      <c r="J166" s="5"/>
      <c r="K166" s="94"/>
      <c r="L166" s="7"/>
      <c r="M166" s="8"/>
      <c r="N166" s="8"/>
      <c r="O166" s="8"/>
      <c r="P166" s="8"/>
      <c r="Q166" s="8"/>
      <c r="R166" s="9"/>
      <c r="S166" s="9"/>
      <c r="T166" s="9"/>
      <c r="U166" s="71"/>
      <c r="V166" s="9"/>
      <c r="W166" s="9"/>
      <c r="X166" s="9"/>
      <c r="Y166" s="9"/>
      <c r="Z166" s="40"/>
      <c r="AA166" s="14"/>
      <c r="AB166" s="14"/>
      <c r="AC166" s="5"/>
      <c r="AD166" s="4"/>
      <c r="AF166" s="321" t="n">
        <f aca="false">SUMIF(X:X, "A", H:H)</f>
        <v>4462</v>
      </c>
      <c r="AG166" s="305" t="s">
        <v>453</v>
      </c>
      <c r="AH166" s="314" t="n">
        <f aca="false">AF166/$AF$172</f>
        <v>0.0257117996531039</v>
      </c>
    </row>
    <row r="167" customFormat="false" ht="23.25" hidden="false" customHeight="true" outlineLevel="0" collapsed="false">
      <c r="A167" s="28" t="str">
        <f aca="false" t="array" ref="A167:A167">IFERROR(INDEX('Bank Schedule'!A:A, SMALL(IF('Bank Schedule'!$K$2:$K$817="Vacant", ROW('Bank Schedule'!$K$2:$K$817)), ROW(164:164))), "")</f>
        <v/>
      </c>
      <c r="B167" s="11" t="str">
        <f aca="false" t="array" ref="B167:B167">IFERROR(INDEX('Bank Schedule'!B:B, SMALL(IF('Bank Schedule'!$K$2:$K$817="Vacant", ROW('Bank Schedule'!$K$2:$K$817)), ROW(164:164))), "")</f>
        <v/>
      </c>
      <c r="C167" s="11" t="str">
        <f aca="false" t="array" ref="C167:C167">IFERROR(INDEX('Bank Schedule'!C:C, SMALL(IF('Bank Schedule'!$K$2:$K$817="Vacant", ROW('Bank Schedule'!$K$2:$K$817)), ROW(164:164))), "")</f>
        <v/>
      </c>
      <c r="D167" s="28" t="str">
        <f aca="false" t="array" ref="D167:D167">IFERROR(INDEX('Bank Schedule'!D:D, SMALL(IF('Bank Schedule'!$K$2:$K$817="Vacant", ROW('Bank Schedule'!$K$2:$K$817)), ROW(164:164))), "")</f>
        <v/>
      </c>
      <c r="E167" s="4"/>
      <c r="F167" s="4"/>
      <c r="G167" s="5"/>
      <c r="H167" s="6"/>
      <c r="I167" s="6"/>
      <c r="J167" s="5"/>
      <c r="K167" s="94"/>
      <c r="L167" s="7"/>
      <c r="M167" s="8"/>
      <c r="N167" s="8"/>
      <c r="O167" s="8"/>
      <c r="P167" s="8"/>
      <c r="Q167" s="8"/>
      <c r="R167" s="9"/>
      <c r="S167" s="9"/>
      <c r="T167" s="9"/>
      <c r="U167" s="71"/>
      <c r="V167" s="9"/>
      <c r="W167" s="9"/>
      <c r="X167" s="9"/>
      <c r="Y167" s="9"/>
      <c r="Z167" s="40"/>
      <c r="AA167" s="14"/>
      <c r="AB167" s="14"/>
      <c r="AC167" s="5"/>
      <c r="AD167" s="4"/>
      <c r="AF167" s="321" t="n">
        <f aca="false">SUMIF(X:X, "B", H:H)</f>
        <v>19837</v>
      </c>
      <c r="AG167" s="305" t="s">
        <v>52</v>
      </c>
      <c r="AH167" s="314" t="n">
        <f aca="false">AF167/$AF$172</f>
        <v>0.114308599219772</v>
      </c>
      <c r="AI167" s="285"/>
    </row>
    <row r="168" customFormat="false" ht="23.25" hidden="false" customHeight="true" outlineLevel="0" collapsed="false">
      <c r="A168" s="28" t="str">
        <f aca="false" t="array" ref="A168:A168">IFERROR(INDEX('Bank Schedule'!A:A, SMALL(IF('Bank Schedule'!$K$2:$K$817="Vacant", ROW('Bank Schedule'!$K$2:$K$817)), ROW(165:165))), "")</f>
        <v/>
      </c>
      <c r="B168" s="11" t="str">
        <f aca="false" t="array" ref="B168:B168">IFERROR(INDEX('Bank Schedule'!B:B, SMALL(IF('Bank Schedule'!$K$2:$K$817="Vacant", ROW('Bank Schedule'!$K$2:$K$817)), ROW(165:165))), "")</f>
        <v/>
      </c>
      <c r="C168" s="11" t="str">
        <f aca="false" t="array" ref="C168:C168">IFERROR(INDEX('Bank Schedule'!C:C, SMALL(IF('Bank Schedule'!$K$2:$K$817="Vacant", ROW('Bank Schedule'!$K$2:$K$817)), ROW(165:165))), "")</f>
        <v/>
      </c>
      <c r="D168" s="28" t="str">
        <f aca="false" t="array" ref="D168:D168">IFERROR(INDEX('Bank Schedule'!D:D, SMALL(IF('Bank Schedule'!$K$2:$K$817="Vacant", ROW('Bank Schedule'!$K$2:$K$817)), ROW(165:165))), "")</f>
        <v/>
      </c>
      <c r="E168" s="4"/>
      <c r="F168" s="4"/>
      <c r="G168" s="5"/>
      <c r="H168" s="6"/>
      <c r="I168" s="6"/>
      <c r="J168" s="5"/>
      <c r="K168" s="94"/>
      <c r="L168" s="7"/>
      <c r="M168" s="8"/>
      <c r="N168" s="8"/>
      <c r="O168" s="8"/>
      <c r="P168" s="8"/>
      <c r="Q168" s="8"/>
      <c r="R168" s="9"/>
      <c r="S168" s="9"/>
      <c r="T168" s="9"/>
      <c r="U168" s="71"/>
      <c r="V168" s="9"/>
      <c r="W168" s="9"/>
      <c r="X168" s="9"/>
      <c r="Y168" s="9"/>
      <c r="Z168" s="40"/>
      <c r="AA168" s="14"/>
      <c r="AB168" s="14"/>
      <c r="AC168" s="5"/>
      <c r="AD168" s="4"/>
      <c r="AF168" s="321" t="n">
        <f aca="false">SUMIF(X:X, "C", H:H)</f>
        <v>13353</v>
      </c>
      <c r="AG168" s="305" t="s">
        <v>39</v>
      </c>
      <c r="AH168" s="314" t="n">
        <f aca="false">AF168/$AF$172</f>
        <v>0.076945239974876</v>
      </c>
      <c r="AI168" s="322" t="n">
        <f aca="false">SUM(AH168:AH170)+AH171</f>
        <v>0.859979601127124</v>
      </c>
    </row>
    <row r="169" customFormat="false" ht="23.25" hidden="false" customHeight="true" outlineLevel="0" collapsed="false">
      <c r="A169" s="28" t="str">
        <f aca="false" t="array" ref="A169:A169">IFERROR(INDEX('Bank Schedule'!A:A, SMALL(IF('Bank Schedule'!$K$2:$K$817="Vacant", ROW('Bank Schedule'!$K$2:$K$817)), ROW(166:166))), "")</f>
        <v/>
      </c>
      <c r="B169" s="11" t="str">
        <f aca="false" t="array" ref="B169:B169">IFERROR(INDEX('Bank Schedule'!B:B, SMALL(IF('Bank Schedule'!$K$2:$K$817="Vacant", ROW('Bank Schedule'!$K$2:$K$817)), ROW(166:166))), "")</f>
        <v/>
      </c>
      <c r="C169" s="11" t="str">
        <f aca="false" t="array" ref="C169:C169">IFERROR(INDEX('Bank Schedule'!C:C, SMALL(IF('Bank Schedule'!$K$2:$K$817="Vacant", ROW('Bank Schedule'!$K$2:$K$817)), ROW(166:166))), "")</f>
        <v/>
      </c>
      <c r="D169" s="28" t="str">
        <f aca="false" t="array" ref="D169:D169">IFERROR(INDEX('Bank Schedule'!D:D, SMALL(IF('Bank Schedule'!$K$2:$K$817="Vacant", ROW('Bank Schedule'!$K$2:$K$817)), ROW(166:166))), "")</f>
        <v/>
      </c>
      <c r="E169" s="4"/>
      <c r="F169" s="4"/>
      <c r="G169" s="5"/>
      <c r="H169" s="6"/>
      <c r="I169" s="6"/>
      <c r="J169" s="5"/>
      <c r="K169" s="94"/>
      <c r="L169" s="7"/>
      <c r="M169" s="8"/>
      <c r="N169" s="8"/>
      <c r="O169" s="8"/>
      <c r="P169" s="8"/>
      <c r="Q169" s="8"/>
      <c r="R169" s="9"/>
      <c r="S169" s="9"/>
      <c r="T169" s="9"/>
      <c r="U169" s="71"/>
      <c r="V169" s="9"/>
      <c r="W169" s="9"/>
      <c r="X169" s="9"/>
      <c r="Y169" s="9"/>
      <c r="Z169" s="40"/>
      <c r="AA169" s="14"/>
      <c r="AB169" s="14"/>
      <c r="AC169" s="5"/>
      <c r="AD169" s="4"/>
      <c r="AF169" s="321" t="n">
        <f aca="false">SUMIF(X:X, "D", H:H)</f>
        <v>96903</v>
      </c>
      <c r="AG169" s="305" t="s">
        <v>57</v>
      </c>
      <c r="AH169" s="314" t="n">
        <f aca="false">AF169/$AF$172</f>
        <v>0.558393214205452</v>
      </c>
      <c r="AI169" s="322"/>
      <c r="AJ169" s="303" t="s">
        <v>873</v>
      </c>
      <c r="AK169" s="303"/>
    </row>
    <row r="170" customFormat="false" ht="23.25" hidden="false" customHeight="true" outlineLevel="0" collapsed="false">
      <c r="A170" s="28" t="str">
        <f aca="false" t="array" ref="A170:A170">IFERROR(INDEX('Bank Schedule'!A:A, SMALL(IF('Bank Schedule'!$K$2:$K$817="Vacant", ROW('Bank Schedule'!$K$2:$K$817)), ROW(167:167))), "")</f>
        <v/>
      </c>
      <c r="B170" s="11" t="str">
        <f aca="false" t="array" ref="B170:B170">IFERROR(INDEX('Bank Schedule'!B:B, SMALL(IF('Bank Schedule'!$K$2:$K$817="Vacant", ROW('Bank Schedule'!$K$2:$K$817)), ROW(167:167))), "")</f>
        <v/>
      </c>
      <c r="C170" s="11" t="str">
        <f aca="false" t="array" ref="C170:C170">IFERROR(INDEX('Bank Schedule'!C:C, SMALL(IF('Bank Schedule'!$K$2:$K$817="Vacant", ROW('Bank Schedule'!$K$2:$K$817)), ROW(167:167))), "")</f>
        <v/>
      </c>
      <c r="D170" s="28" t="str">
        <f aca="false" t="array" ref="D170:D170">IFERROR(INDEX('Bank Schedule'!D:D, SMALL(IF('Bank Schedule'!$K$2:$K$817="Vacant", ROW('Bank Schedule'!$K$2:$K$817)), ROW(167:167))), "")</f>
        <v/>
      </c>
      <c r="E170" s="4"/>
      <c r="F170" s="4"/>
      <c r="G170" s="5"/>
      <c r="H170" s="6"/>
      <c r="I170" s="6"/>
      <c r="J170" s="5"/>
      <c r="K170" s="94"/>
      <c r="L170" s="7"/>
      <c r="M170" s="8"/>
      <c r="N170" s="8"/>
      <c r="O170" s="8"/>
      <c r="P170" s="8"/>
      <c r="Q170" s="8"/>
      <c r="R170" s="9"/>
      <c r="S170" s="9"/>
      <c r="T170" s="9"/>
      <c r="U170" s="71"/>
      <c r="V170" s="9"/>
      <c r="W170" s="9"/>
      <c r="X170" s="9"/>
      <c r="Y170" s="9"/>
      <c r="Z170" s="40"/>
      <c r="AA170" s="14"/>
      <c r="AB170" s="14"/>
      <c r="AC170" s="5"/>
      <c r="AD170" s="5"/>
      <c r="AE170" s="5"/>
      <c r="AF170" s="321" t="n">
        <f aca="false">SUMIF(X:X, "E", H:H)</f>
        <v>38984</v>
      </c>
      <c r="AG170" s="305" t="s">
        <v>123</v>
      </c>
      <c r="AH170" s="314" t="n">
        <f aca="false">AF170/$AF$172</f>
        <v>0.224641146946796</v>
      </c>
      <c r="AI170" s="322"/>
      <c r="AJ170" s="303"/>
      <c r="AK170" s="303"/>
    </row>
    <row r="171" customFormat="false" ht="23.25" hidden="false" customHeight="true" outlineLevel="0" collapsed="false">
      <c r="A171" s="28" t="str">
        <f aca="false" t="array" ref="A171:A171">IFERROR(INDEX('Bank Schedule'!A:A, SMALL(IF('Bank Schedule'!$K$2:$K$817="Vacant", ROW('Bank Schedule'!$K$2:$K$817)), ROW(168:168))), "")</f>
        <v/>
      </c>
      <c r="B171" s="11" t="str">
        <f aca="false" t="array" ref="B171:B171">IFERROR(INDEX('Bank Schedule'!B:B, SMALL(IF('Bank Schedule'!$K$2:$K$817="Vacant", ROW('Bank Schedule'!$K$2:$K$817)), ROW(168:168))), "")</f>
        <v/>
      </c>
      <c r="C171" s="11" t="str">
        <f aca="false" t="array" ref="C171:C171">IFERROR(INDEX('Bank Schedule'!C:C, SMALL(IF('Bank Schedule'!$K$2:$K$817="Vacant", ROW('Bank Schedule'!$K$2:$K$817)), ROW(168:168))), "")</f>
        <v/>
      </c>
      <c r="D171" s="28" t="str">
        <f aca="false" t="array" ref="D171:D171">IFERROR(INDEX('Bank Schedule'!D:D, SMALL(IF('Bank Schedule'!$K$2:$K$817="Vacant", ROW('Bank Schedule'!$K$2:$K$817)), ROW(168:168))), "")</f>
        <v/>
      </c>
      <c r="E171" s="4"/>
      <c r="F171" s="4"/>
      <c r="G171" s="5"/>
      <c r="H171" s="6"/>
      <c r="I171" s="6"/>
      <c r="J171" s="5"/>
      <c r="K171" s="94"/>
      <c r="L171" s="7"/>
      <c r="M171" s="8"/>
      <c r="N171" s="8"/>
      <c r="O171" s="8"/>
      <c r="P171" s="8"/>
      <c r="Q171" s="8"/>
      <c r="R171" s="9"/>
      <c r="S171" s="9"/>
      <c r="T171" s="9"/>
      <c r="U171" s="71"/>
      <c r="V171" s="9"/>
      <c r="W171" s="9"/>
      <c r="X171" s="9"/>
      <c r="Y171" s="9"/>
      <c r="Z171" s="40"/>
      <c r="AA171" s="14"/>
      <c r="AB171" s="14"/>
      <c r="AF171" s="321" t="n">
        <f aca="false">SUMIF(X:X, "0", H:H)</f>
        <v>0</v>
      </c>
      <c r="AG171" s="323" t="n">
        <v>0</v>
      </c>
      <c r="AH171" s="315" t="n">
        <f aca="false">AF171/$AF$172</f>
        <v>0</v>
      </c>
      <c r="AI171" s="322"/>
      <c r="AJ171" s="324" t="n">
        <f aca="false">SUM(AF168:AF171)</f>
        <v>149240</v>
      </c>
      <c r="AK171" s="3" t="s">
        <v>874</v>
      </c>
    </row>
    <row r="172" customFormat="false" ht="23.25" hidden="false" customHeight="true" outlineLevel="0" collapsed="false">
      <c r="A172" s="28" t="str">
        <f aca="false" t="array" ref="A172:A172">IFERROR(INDEX('Bank Schedule'!A:A, SMALL(IF('Bank Schedule'!$K$2:$K$817="Vacant", ROW('Bank Schedule'!$K$2:$K$817)), ROW(169:169))), "")</f>
        <v/>
      </c>
      <c r="B172" s="11" t="str">
        <f aca="false" t="array" ref="B172:B172">IFERROR(INDEX('Bank Schedule'!B:B, SMALL(IF('Bank Schedule'!$K$2:$K$817="Vacant", ROW('Bank Schedule'!$K$2:$K$817)), ROW(169:169))), "")</f>
        <v/>
      </c>
      <c r="C172" s="11" t="str">
        <f aca="false" t="array" ref="C172:C172">IFERROR(INDEX('Bank Schedule'!C:C, SMALL(IF('Bank Schedule'!$K$2:$K$817="Vacant", ROW('Bank Schedule'!$K$2:$K$817)), ROW(169:169))), "")</f>
        <v/>
      </c>
      <c r="D172" s="28" t="str">
        <f aca="false" t="array" ref="D172:D172">IFERROR(INDEX('Bank Schedule'!D:D, SMALL(IF('Bank Schedule'!$K$2:$K$817="Vacant", ROW('Bank Schedule'!$K$2:$K$817)), ROW(169:169))), "")</f>
        <v/>
      </c>
      <c r="E172" s="4"/>
      <c r="F172" s="4"/>
      <c r="G172" s="5"/>
      <c r="H172" s="6"/>
      <c r="I172" s="6"/>
      <c r="J172" s="5"/>
      <c r="K172" s="94"/>
      <c r="L172" s="7"/>
      <c r="M172" s="8"/>
      <c r="N172" s="8"/>
      <c r="O172" s="8"/>
      <c r="P172" s="8"/>
      <c r="Q172" s="8"/>
      <c r="R172" s="9"/>
      <c r="S172" s="9"/>
      <c r="T172" s="9"/>
      <c r="U172" s="71"/>
      <c r="V172" s="9"/>
      <c r="W172" s="9"/>
      <c r="X172" s="9"/>
      <c r="Y172" s="9"/>
      <c r="Z172" s="40"/>
      <c r="AA172" s="14"/>
      <c r="AB172" s="14"/>
      <c r="AD172" s="4"/>
      <c r="AF172" s="325" t="n">
        <f aca="false">SUM(AF166:AF171)</f>
        <v>173539</v>
      </c>
      <c r="AG172" s="326" t="s">
        <v>875</v>
      </c>
      <c r="AH172" s="317" t="n">
        <f aca="false">SUM(AH166:AH171)</f>
        <v>1</v>
      </c>
      <c r="AI172" s="285"/>
    </row>
    <row r="173" customFormat="false" ht="23.25" hidden="false" customHeight="true" outlineLevel="0" collapsed="false">
      <c r="A173" s="28" t="str">
        <f aca="false" t="array" ref="A173:A173">IFERROR(INDEX('Bank Schedule'!A:A, SMALL(IF('Bank Schedule'!$K$2:$K$817="Vacant", ROW('Bank Schedule'!$K$2:$K$817)), ROW(170:170))), "")</f>
        <v/>
      </c>
      <c r="B173" s="11" t="str">
        <f aca="false" t="array" ref="B173:B173">IFERROR(INDEX('Bank Schedule'!B:B, SMALL(IF('Bank Schedule'!$K$2:$K$817="Vacant", ROW('Bank Schedule'!$K$2:$K$817)), ROW(170:170))), "")</f>
        <v/>
      </c>
      <c r="C173" s="11" t="str">
        <f aca="false" t="array" ref="C173:C173">IFERROR(INDEX('Bank Schedule'!C:C, SMALL(IF('Bank Schedule'!$K$2:$K$817="Vacant", ROW('Bank Schedule'!$K$2:$K$817)), ROW(170:170))), "")</f>
        <v/>
      </c>
      <c r="D173" s="28" t="str">
        <f aca="false" t="array" ref="D173:D173">IFERROR(INDEX('Bank Schedule'!D:D, SMALL(IF('Bank Schedule'!$K$2:$K$817="Vacant", ROW('Bank Schedule'!$K$2:$K$817)), ROW(170:170))), "")</f>
        <v/>
      </c>
      <c r="E173" s="4"/>
      <c r="F173" s="4"/>
      <c r="G173" s="5"/>
      <c r="H173" s="6"/>
      <c r="I173" s="6"/>
      <c r="J173" s="5"/>
      <c r="K173" s="94"/>
      <c r="L173" s="7"/>
      <c r="M173" s="8"/>
      <c r="N173" s="8"/>
      <c r="O173" s="8"/>
      <c r="P173" s="8"/>
      <c r="Q173" s="8"/>
      <c r="R173" s="9"/>
      <c r="S173" s="9"/>
      <c r="T173" s="9"/>
      <c r="U173" s="71"/>
      <c r="V173" s="9"/>
      <c r="W173" s="9"/>
      <c r="X173" s="9"/>
      <c r="Y173" s="9"/>
      <c r="Z173" s="40"/>
      <c r="AA173" s="14"/>
      <c r="AB173" s="14"/>
      <c r="AD173" s="4"/>
    </row>
    <row r="174" customFormat="false" ht="23.25" hidden="false" customHeight="true" outlineLevel="0" collapsed="false">
      <c r="A174" s="28" t="str">
        <f aca="false" t="array" ref="A174:A174">IFERROR(INDEX('Bank Schedule'!A:A, SMALL(IF('Bank Schedule'!$K$2:$K$817="Vacant", ROW('Bank Schedule'!$K$2:$K$817)), ROW(171:171))), "")</f>
        <v/>
      </c>
      <c r="B174" s="11" t="str">
        <f aca="false" t="array" ref="B174:B174">IFERROR(INDEX('Bank Schedule'!B:B, SMALL(IF('Bank Schedule'!$K$2:$K$817="Vacant", ROW('Bank Schedule'!$K$2:$K$817)), ROW(171:171))), "")</f>
        <v/>
      </c>
      <c r="C174" s="11" t="str">
        <f aca="false" t="array" ref="C174:C174">IFERROR(INDEX('Bank Schedule'!C:C, SMALL(IF('Bank Schedule'!$K$2:$K$817="Vacant", ROW('Bank Schedule'!$K$2:$K$817)), ROW(171:171))), "")</f>
        <v/>
      </c>
      <c r="D174" s="28" t="str">
        <f aca="false" t="array" ref="D174:D174">IFERROR(INDEX('Bank Schedule'!D:D, SMALL(IF('Bank Schedule'!$K$2:$K$817="Vacant", ROW('Bank Schedule'!$K$2:$K$817)), ROW(171:171))), "")</f>
        <v/>
      </c>
      <c r="E174" s="4"/>
      <c r="F174" s="4"/>
      <c r="G174" s="5"/>
      <c r="H174" s="6"/>
      <c r="I174" s="6"/>
      <c r="J174" s="5"/>
      <c r="K174" s="94"/>
      <c r="L174" s="7"/>
      <c r="M174" s="8"/>
      <c r="N174" s="8"/>
      <c r="O174" s="8"/>
      <c r="P174" s="8"/>
      <c r="Q174" s="8"/>
      <c r="R174" s="9"/>
      <c r="S174" s="9"/>
      <c r="T174" s="9"/>
      <c r="U174" s="71"/>
      <c r="V174" s="9"/>
      <c r="W174" s="9"/>
      <c r="X174" s="9"/>
      <c r="Y174" s="9"/>
      <c r="Z174" s="40"/>
      <c r="AA174" s="14"/>
      <c r="AB174" s="14"/>
      <c r="AC174" s="5"/>
      <c r="AD174" s="4"/>
    </row>
    <row r="175" customFormat="false" ht="23.25" hidden="false" customHeight="true" outlineLevel="0" collapsed="false">
      <c r="A175" s="28" t="str">
        <f aca="false" t="array" ref="A175:A175">IFERROR(INDEX('Bank Schedule'!A:A, SMALL(IF('Bank Schedule'!$K$2:$K$817="Vacant", ROW('Bank Schedule'!$K$2:$K$817)), ROW(172:172))), "")</f>
        <v/>
      </c>
      <c r="B175" s="11" t="str">
        <f aca="false" t="array" ref="B175:B175">IFERROR(INDEX('Bank Schedule'!B:B, SMALL(IF('Bank Schedule'!$K$2:$K$817="Vacant", ROW('Bank Schedule'!$K$2:$K$817)), ROW(172:172))), "")</f>
        <v/>
      </c>
      <c r="C175" s="11" t="str">
        <f aca="false" t="array" ref="C175:C175">IFERROR(INDEX('Bank Schedule'!C:C, SMALL(IF('Bank Schedule'!$K$2:$K$817="Vacant", ROW('Bank Schedule'!$K$2:$K$817)), ROW(172:172))), "")</f>
        <v/>
      </c>
      <c r="D175" s="28" t="str">
        <f aca="false" t="array" ref="D175:D175">IFERROR(INDEX('Bank Schedule'!D:D, SMALL(IF('Bank Schedule'!$K$2:$K$817="Vacant", ROW('Bank Schedule'!$K$2:$K$817)), ROW(172:172))), "")</f>
        <v/>
      </c>
      <c r="E175" s="4"/>
      <c r="F175" s="4"/>
      <c r="G175" s="5"/>
      <c r="H175" s="6"/>
      <c r="I175" s="6"/>
      <c r="J175" s="5"/>
      <c r="K175" s="94"/>
      <c r="L175" s="7"/>
      <c r="M175" s="8"/>
      <c r="N175" s="8"/>
      <c r="O175" s="8"/>
      <c r="P175" s="8"/>
      <c r="Q175" s="8"/>
      <c r="R175" s="9"/>
      <c r="S175" s="9"/>
      <c r="T175" s="9"/>
      <c r="U175" s="71"/>
      <c r="V175" s="9"/>
      <c r="W175" s="9"/>
      <c r="X175" s="9"/>
      <c r="Y175" s="9"/>
      <c r="Z175" s="40"/>
      <c r="AA175" s="14"/>
      <c r="AB175" s="14"/>
      <c r="AC175" s="5"/>
      <c r="AD175" s="4"/>
    </row>
    <row r="176" customFormat="false" ht="23.25" hidden="false" customHeight="true" outlineLevel="0" collapsed="false">
      <c r="A176" s="28" t="str">
        <f aca="false" t="array" ref="A176:A176">IFERROR(INDEX('Bank Schedule'!A:A, SMALL(IF('Bank Schedule'!$K$2:$K$817="Vacant", ROW('Bank Schedule'!$K$2:$K$817)), ROW(173:173))), "")</f>
        <v/>
      </c>
      <c r="B176" s="11" t="str">
        <f aca="false" t="array" ref="B176:B176">IFERROR(INDEX('Bank Schedule'!B:B, SMALL(IF('Bank Schedule'!$K$2:$K$817="Vacant", ROW('Bank Schedule'!$K$2:$K$817)), ROW(173:173))), "")</f>
        <v/>
      </c>
      <c r="C176" s="11" t="str">
        <f aca="false" t="array" ref="C176:C176">IFERROR(INDEX('Bank Schedule'!C:C, SMALL(IF('Bank Schedule'!$K$2:$K$817="Vacant", ROW('Bank Schedule'!$K$2:$K$817)), ROW(173:173))), "")</f>
        <v/>
      </c>
      <c r="D176" s="28" t="str">
        <f aca="false" t="array" ref="D176:D176">IFERROR(INDEX('Bank Schedule'!D:D, SMALL(IF('Bank Schedule'!$K$2:$K$817="Vacant", ROW('Bank Schedule'!$K$2:$K$817)), ROW(173:173))), "")</f>
        <v/>
      </c>
      <c r="E176" s="4"/>
      <c r="F176" s="4"/>
      <c r="G176" s="5"/>
      <c r="H176" s="6"/>
      <c r="I176" s="6"/>
      <c r="J176" s="5"/>
      <c r="K176" s="94"/>
      <c r="L176" s="7"/>
      <c r="M176" s="8"/>
      <c r="N176" s="8"/>
      <c r="O176" s="8"/>
      <c r="P176" s="8"/>
      <c r="Q176" s="8"/>
      <c r="R176" s="9"/>
      <c r="S176" s="9"/>
      <c r="T176" s="9"/>
      <c r="U176" s="71"/>
      <c r="V176" s="9"/>
      <c r="W176" s="9"/>
      <c r="X176" s="9"/>
      <c r="Y176" s="9"/>
      <c r="Z176" s="40"/>
      <c r="AA176" s="14"/>
      <c r="AB176" s="14"/>
      <c r="AC176" s="5"/>
      <c r="AD176" s="4"/>
    </row>
    <row r="177" customFormat="false" ht="23.25" hidden="false" customHeight="true" outlineLevel="0" collapsed="false">
      <c r="A177" s="28" t="str">
        <f aca="false" t="array" ref="A177:A177">IFERROR(INDEX('Bank Schedule'!A:A, SMALL(IF('Bank Schedule'!$K$2:$K$817="Vacant", ROW('Bank Schedule'!$K$2:$K$817)), ROW(174:174))), "")</f>
        <v/>
      </c>
      <c r="B177" s="11" t="str">
        <f aca="false" t="array" ref="B177:B177">IFERROR(INDEX('Bank Schedule'!B:B, SMALL(IF('Bank Schedule'!$K$2:$K$817="Vacant", ROW('Bank Schedule'!$K$2:$K$817)), ROW(174:174))), "")</f>
        <v/>
      </c>
      <c r="C177" s="11" t="str">
        <f aca="false" t="array" ref="C177:C177">IFERROR(INDEX('Bank Schedule'!C:C, SMALL(IF('Bank Schedule'!$K$2:$K$817="Vacant", ROW('Bank Schedule'!$K$2:$K$817)), ROW(174:174))), "")</f>
        <v/>
      </c>
      <c r="D177" s="28" t="str">
        <f aca="false" t="array" ref="D177:D177">IFERROR(INDEX('Bank Schedule'!D:D, SMALL(IF('Bank Schedule'!$K$2:$K$817="Vacant", ROW('Bank Schedule'!$K$2:$K$817)), ROW(174:174))), "")</f>
        <v/>
      </c>
      <c r="E177" s="4"/>
      <c r="F177" s="4"/>
      <c r="G177" s="5"/>
      <c r="H177" s="6"/>
      <c r="I177" s="6"/>
      <c r="J177" s="5"/>
      <c r="K177" s="94"/>
      <c r="L177" s="7"/>
      <c r="M177" s="8"/>
      <c r="N177" s="8"/>
      <c r="O177" s="8"/>
      <c r="P177" s="8"/>
      <c r="Q177" s="8"/>
      <c r="R177" s="9"/>
      <c r="S177" s="9"/>
      <c r="T177" s="9"/>
      <c r="U177" s="71"/>
      <c r="V177" s="9"/>
      <c r="W177" s="9"/>
      <c r="X177" s="9"/>
      <c r="Y177" s="9"/>
      <c r="Z177" s="40"/>
      <c r="AA177" s="14"/>
      <c r="AB177" s="14"/>
      <c r="AC177" s="5"/>
      <c r="AD177" s="4"/>
    </row>
    <row r="178" customFormat="false" ht="23.25" hidden="false" customHeight="true" outlineLevel="0" collapsed="false">
      <c r="A178" s="28" t="str">
        <f aca="false" t="array" ref="A178:A178">IFERROR(INDEX('Bank Schedule'!A:A, SMALL(IF('Bank Schedule'!$K$2:$K$817="Vacant", ROW('Bank Schedule'!$K$2:$K$817)), ROW(175:175))), "")</f>
        <v/>
      </c>
      <c r="B178" s="11" t="str">
        <f aca="false" t="array" ref="B178:B178">IFERROR(INDEX('Bank Schedule'!B:B, SMALL(IF('Bank Schedule'!$K$2:$K$817="Vacant", ROW('Bank Schedule'!$K$2:$K$817)), ROW(175:175))), "")</f>
        <v/>
      </c>
      <c r="C178" s="11" t="str">
        <f aca="false" t="array" ref="C178:C178">IFERROR(INDEX('Bank Schedule'!C:C, SMALL(IF('Bank Schedule'!$K$2:$K$817="Vacant", ROW('Bank Schedule'!$K$2:$K$817)), ROW(175:175))), "")</f>
        <v/>
      </c>
      <c r="D178" s="28" t="str">
        <f aca="false" t="array" ref="D178:D178">IFERROR(INDEX('Bank Schedule'!D:D, SMALL(IF('Bank Schedule'!$K$2:$K$817="Vacant", ROW('Bank Schedule'!$K$2:$K$817)), ROW(175:175))), "")</f>
        <v/>
      </c>
      <c r="E178" s="4"/>
      <c r="F178" s="4"/>
      <c r="G178" s="5"/>
      <c r="H178" s="6"/>
      <c r="I178" s="6"/>
      <c r="J178" s="5"/>
      <c r="K178" s="94"/>
      <c r="L178" s="7"/>
      <c r="M178" s="8"/>
      <c r="N178" s="8"/>
      <c r="O178" s="8"/>
      <c r="P178" s="8"/>
      <c r="Q178" s="8"/>
      <c r="R178" s="9"/>
      <c r="S178" s="9"/>
      <c r="T178" s="9"/>
      <c r="U178" s="71"/>
      <c r="V178" s="9"/>
      <c r="W178" s="9"/>
      <c r="X178" s="9"/>
      <c r="Y178" s="9"/>
      <c r="Z178" s="40"/>
      <c r="AA178" s="14"/>
      <c r="AB178" s="14"/>
      <c r="AC178" s="5"/>
      <c r="AD178" s="4"/>
    </row>
    <row r="179" customFormat="false" ht="23.25" hidden="false" customHeight="true" outlineLevel="0" collapsed="false">
      <c r="A179" s="28" t="str">
        <f aca="false" t="array" ref="A179:A179">IFERROR(INDEX('Bank Schedule'!A:A, SMALL(IF('Bank Schedule'!$K$2:$K$817="Vacant", ROW('Bank Schedule'!$K$2:$K$817)), ROW(176:176))), "")</f>
        <v/>
      </c>
      <c r="B179" s="11" t="str">
        <f aca="false" t="array" ref="B179:B179">IFERROR(INDEX('Bank Schedule'!B:B, SMALL(IF('Bank Schedule'!$K$2:$K$817="Vacant", ROW('Bank Schedule'!$K$2:$K$817)), ROW(176:176))), "")</f>
        <v/>
      </c>
      <c r="C179" s="11" t="str">
        <f aca="false" t="array" ref="C179:C179">IFERROR(INDEX('Bank Schedule'!C:C, SMALL(IF('Bank Schedule'!$K$2:$K$817="Vacant", ROW('Bank Schedule'!$K$2:$K$817)), ROW(176:176))), "")</f>
        <v/>
      </c>
      <c r="D179" s="28" t="str">
        <f aca="false" t="array" ref="D179:D179">IFERROR(INDEX('Bank Schedule'!D:D, SMALL(IF('Bank Schedule'!$K$2:$K$817="Vacant", ROW('Bank Schedule'!$K$2:$K$817)), ROW(176:176))), "")</f>
        <v/>
      </c>
      <c r="E179" s="4"/>
      <c r="F179" s="4"/>
      <c r="G179" s="5"/>
      <c r="H179" s="6"/>
      <c r="I179" s="6"/>
      <c r="J179" s="5"/>
      <c r="K179" s="94"/>
      <c r="L179" s="7"/>
      <c r="M179" s="8"/>
      <c r="N179" s="8"/>
      <c r="O179" s="8"/>
      <c r="P179" s="8"/>
      <c r="Q179" s="8"/>
      <c r="R179" s="9"/>
      <c r="S179" s="9"/>
      <c r="T179" s="9"/>
      <c r="U179" s="71"/>
      <c r="V179" s="9"/>
      <c r="W179" s="9"/>
      <c r="X179" s="9"/>
      <c r="Y179" s="9"/>
      <c r="Z179" s="40"/>
      <c r="AA179" s="14"/>
      <c r="AB179" s="14"/>
      <c r="AC179" s="5"/>
      <c r="AD179" s="4"/>
    </row>
    <row r="180" customFormat="false" ht="23.25" hidden="false" customHeight="true" outlineLevel="0" collapsed="false">
      <c r="A180" s="28" t="str">
        <f aca="false" t="array" ref="A180:A180">IFERROR(INDEX('Bank Schedule'!A:A, SMALL(IF('Bank Schedule'!$K$2:$K$817="Vacant", ROW('Bank Schedule'!$K$2:$K$817)), ROW(177:177))), "")</f>
        <v/>
      </c>
      <c r="B180" s="11" t="str">
        <f aca="false" t="array" ref="B180:B180">IFERROR(INDEX('Bank Schedule'!B:B, SMALL(IF('Bank Schedule'!$K$2:$K$817="Vacant", ROW('Bank Schedule'!$K$2:$K$817)), ROW(177:177))), "")</f>
        <v/>
      </c>
      <c r="C180" s="11" t="str">
        <f aca="false" t="array" ref="C180:C180">IFERROR(INDEX('Bank Schedule'!C:C, SMALL(IF('Bank Schedule'!$K$2:$K$817="Vacant", ROW('Bank Schedule'!$K$2:$K$817)), ROW(177:177))), "")</f>
        <v/>
      </c>
      <c r="D180" s="28" t="str">
        <f aca="false" t="array" ref="D180:D180">IFERROR(INDEX('Bank Schedule'!D:D, SMALL(IF('Bank Schedule'!$K$2:$K$817="Vacant", ROW('Bank Schedule'!$K$2:$K$817)), ROW(177:177))), "")</f>
        <v/>
      </c>
      <c r="E180" s="4"/>
      <c r="F180" s="4"/>
      <c r="G180" s="5"/>
      <c r="H180" s="6"/>
      <c r="I180" s="6"/>
      <c r="J180" s="5"/>
      <c r="K180" s="94"/>
      <c r="L180" s="7"/>
      <c r="M180" s="8"/>
      <c r="N180" s="8"/>
      <c r="O180" s="8"/>
      <c r="P180" s="8"/>
      <c r="Q180" s="8"/>
      <c r="R180" s="9"/>
      <c r="S180" s="9"/>
      <c r="T180" s="9"/>
      <c r="U180" s="71"/>
      <c r="V180" s="9"/>
      <c r="W180" s="9"/>
      <c r="X180" s="9"/>
      <c r="Y180" s="9"/>
      <c r="Z180" s="40"/>
      <c r="AA180" s="14"/>
      <c r="AB180" s="14"/>
      <c r="AC180" s="5"/>
      <c r="AD180" s="4"/>
      <c r="AI180" s="285"/>
      <c r="AJ180" s="285"/>
    </row>
    <row r="181" customFormat="false" ht="23.25" hidden="false" customHeight="true" outlineLevel="0" collapsed="false">
      <c r="A181" s="28" t="str">
        <f aca="false" t="array" ref="A181:A181">IFERROR(INDEX('Bank Schedule'!A:A, SMALL(IF('Bank Schedule'!$K$2:$K$817="Vacant", ROW('Bank Schedule'!$K$2:$K$817)), ROW(178:178))), "")</f>
        <v/>
      </c>
      <c r="B181" s="11" t="str">
        <f aca="false" t="array" ref="B181:B181">IFERROR(INDEX('Bank Schedule'!B:B, SMALL(IF('Bank Schedule'!$K$2:$K$817="Vacant", ROW('Bank Schedule'!$K$2:$K$817)), ROW(178:178))), "")</f>
        <v/>
      </c>
      <c r="C181" s="11" t="str">
        <f aca="false" t="array" ref="C181:C181">IFERROR(INDEX('Bank Schedule'!C:C, SMALL(IF('Bank Schedule'!$K$2:$K$817="Vacant", ROW('Bank Schedule'!$K$2:$K$817)), ROW(178:178))), "")</f>
        <v/>
      </c>
      <c r="D181" s="28" t="str">
        <f aca="false" t="array" ref="D181:D181">IFERROR(INDEX('Bank Schedule'!D:D, SMALL(IF('Bank Schedule'!$K$2:$K$817="Vacant", ROW('Bank Schedule'!$K$2:$K$817)), ROW(178:178))), "")</f>
        <v/>
      </c>
      <c r="E181" s="4" t="str">
        <f aca="false" t="array" ref="E181:E181">IFERROR(INDEX('Bank Schedule'!E:E, SMALL(IF('Bank Schedule'!$K$2:$K$817="Vacant", ROW('Bank Schedule'!$K$2:$K$817)), ROW(178:178))), "")</f>
        <v/>
      </c>
      <c r="F181" s="4" t="str">
        <f aca="false" t="array" ref="F181:F181">IFERROR(INDEX('Bank Schedule'!F:F, SMALL(IF('Bank Schedule'!$K$2:$K$817="Vacant", ROW('Bank Schedule'!$K$2:$K$817)), ROW(178:178))), "")</f>
        <v/>
      </c>
      <c r="G181" s="5" t="str">
        <f aca="false" t="array" ref="G181:G181">IFERROR(INDEX('Bank Schedule'!G:G, SMALL(IF('Bank Schedule'!$K$2:$K$817="Vacant", ROW('Bank Schedule'!$K$2:$K$817)), ROW(178:178))), "")</f>
        <v/>
      </c>
      <c r="H181" s="6" t="str">
        <f aca="false" t="array" ref="H181:H181">IFERROR(INDEX('Bank Schedule'!H:H, SMALL(IF('Bank Schedule'!$K$2:$K$817="Vacant", ROW('Bank Schedule'!$K$2:$K$817)), ROW(178:178))), "")</f>
        <v/>
      </c>
      <c r="I181" s="6" t="str">
        <f aca="false" t="array" ref="I181:I181">IFERROR(INDEX('Bank Schedule'!I:I, SMALL(IF('Bank Schedule'!$K$2:$K$817="Vacant", ROW('Bank Schedule'!$K$2:$K$817)), ROW(178:178))), "")</f>
        <v/>
      </c>
      <c r="J181" s="5" t="str">
        <f aca="false" t="array" ref="J181:J181">IFERROR(INDEX('Bank Schedule'!K:K, SMALL(IF('Bank Schedule'!$K$2:$K$817="Vacant", ROW('Bank Schedule'!$K$2:$K$817)), ROW(178:178))), "")</f>
        <v/>
      </c>
      <c r="K181" s="94" t="e">
        <f aca="false" t="array" ref="K181:K181">IFERROR(INDEX('bank schedule'!#ref!, SMALL(IF('Bank Schedule'!$K$2:$K$817="Vacant", ROW('Bank Schedule'!$K$2:$K$817)), ROW(178:178))), "")</f>
        <v>#VALUE!</v>
      </c>
      <c r="L181" s="7" t="str">
        <f aca="false" t="array" ref="L181:L181">IFERROR(INDEX('Bank Schedule'!L:L, SMALL(IF('Bank Schedule'!$K$2:$K$817="Vacant", ROW('Bank Schedule'!$K$2:$K$817)), ROW(178:178))), "")</f>
        <v/>
      </c>
      <c r="M181" s="8" t="str">
        <f aca="false" t="array" ref="M181:M181">IFERROR(INDEX('Bank Schedule'!M:M, SMALL(IF('Bank Schedule'!$K$2:$K$817="Vacant", ROW('Bank Schedule'!$K$2:$K$817)), ROW(178:178))), "")</f>
        <v/>
      </c>
      <c r="N181" s="8" t="str">
        <f aca="false" t="array" ref="N181:N181">IFERROR(INDEX('Bank Schedule'!N:N, SMALL(IF('Bank Schedule'!$K$2:$K$817="Vacant", ROW('Bank Schedule'!$K$2:$K$817)), ROW(178:178))), "")</f>
        <v/>
      </c>
      <c r="O181" s="8" t="str">
        <f aca="false" t="array" ref="O181:O181">IFERROR(INDEX('Bank Schedule'!O:O, SMALL(IF('Bank Schedule'!$K$2:$K$817="Vacant", ROW('Bank Schedule'!$K$2:$K$817)), ROW(178:178))), "")</f>
        <v/>
      </c>
      <c r="P181" s="8" t="str">
        <f aca="false" t="array" ref="P181:P181">IFERROR(INDEX('Bank Schedule'!P:P, SMALL(IF('Bank Schedule'!$K$2:$K$817="Vacant", ROW('Bank Schedule'!$K$2:$K$817)), ROW(178:178))), "")</f>
        <v/>
      </c>
      <c r="Q181" s="8" t="e">
        <f aca="false" t="array" ref="Q181:Q181">IFERROR(INDEX('bank schedule'!#ref!, SMALL(IF('Bank Schedule'!$K$2:$K$817="Vacant", ROW('Bank Schedule'!$K$2:$K$817)), ROW(178:178))), "")</f>
        <v>#VALUE!</v>
      </c>
      <c r="R181" s="9" t="str">
        <f aca="false" t="array" ref="R181:R181">IFERROR(INDEX('Bank Schedule'!Q:Q, SMALL(IF('Bank Schedule'!$K$2:$K$817="Vacant", ROW('Bank Schedule'!$K$2:$K$817)), ROW(178:178))), "")</f>
        <v/>
      </c>
      <c r="S181" s="9" t="str">
        <f aca="false" t="array" ref="S181:S181">IFERROR(INDEX('Bank Schedule'!R:R, SMALL(IF('Bank Schedule'!$K$2:$K$817="Vacant", ROW('Bank Schedule'!$K$2:$K$817)), ROW(178:178))), "")</f>
        <v/>
      </c>
      <c r="T181" s="9" t="str">
        <f aca="false" t="array" ref="T181:T181">IFERROR(INDEX('Bank Schedule'!S:S, SMALL(IF('Bank Schedule'!$K$2:$K$817="Vacant", ROW('Bank Schedule'!$K$2:$K$817)), ROW(178:178))), "")</f>
        <v/>
      </c>
      <c r="U181" s="71" t="e">
        <f aca="false" t="array" ref="U181:U181">IFERROR(INDEX('bank schedule'!#ref!, SMALL(IF('Bank Schedule'!$K$2:$K$817="Vacant", ROW('Bank Schedule'!$K$2:$K$817)), ROW(178:178))), "")</f>
        <v>#VALUE!</v>
      </c>
      <c r="V181" s="9" t="e">
        <f aca="false" t="array" ref="V181:V181">IFERROR(INDEX('bank schedule'!#ref!, SMALL(IF('Bank Schedule'!$K$2:$K$817="Vacant", ROW('Bank Schedule'!$K$2:$K$817)), ROW(178:178))), "")</f>
        <v>#VALUE!</v>
      </c>
      <c r="W181" s="9" t="e">
        <f aca="false" t="array" ref="W181:W181">IFERROR(INDEX('bank schedule'!#ref!, SMALL(IF('Bank Schedule'!$K$2:$K$817="Vacant", ROW('Bank Schedule'!$K$2:$K$817)), ROW(178:178))), "")</f>
        <v>#VALUE!</v>
      </c>
      <c r="X181" s="9" t="str">
        <f aca="false" t="array" ref="X181:X181">IFERROR(INDEX('Bank Schedule'!V:V, SMALL(IF('Bank Schedule'!$K$2:$K$817="Vacant", ROW('Bank Schedule'!$K$2:$K$817)), ROW(178:178))), "")</f>
        <v/>
      </c>
      <c r="Y181" s="9" t="str">
        <f aca="false" t="array" ref="Y181:Y181">IFERROR(INDEX('Bank Schedule'!W:W, SMALL(IF('Bank Schedule'!$K$2:$K$817="Vacant", ROW('Bank Schedule'!$K$2:$K$817)), ROW(178:178))), "")</f>
        <v/>
      </c>
      <c r="Z181" s="40" t="str">
        <f aca="false" t="array" ref="Z181:Z181">IFERROR(INDEX('Bank Schedule'!Z:Z, SMALL(IF('Bank Schedule'!$K$2:$K$817="Vacant", ROW('Bank Schedule'!$K$2:$K$817)), ROW(178:178))), "")</f>
        <v/>
      </c>
      <c r="AA181" s="14" t="str">
        <f aca="false" t="array" ref="AA181:AA181">IFERROR(INDEX('Bank Schedule'!AA:AA, SMALL(IF('Bank Schedule'!$K$2:$K$817="Vacant", ROW('Bank Schedule'!$K$2:$K$817)), ROW(178:178))), "")</f>
        <v/>
      </c>
      <c r="AB181" s="5" t="str">
        <f aca="false" t="array" ref="AB181:AB181">IFERROR(INDEX('Bank Schedule'!AB:AB, SMALL(IF('Bank Schedule'!$K$2:$K$817="Vacant", ROW('Bank Schedule'!$K$2:$K$817)), ROW(178:178))), "")</f>
        <v/>
      </c>
      <c r="AC181" s="4" t="str">
        <f aca="false" t="array" ref="AC181:AC181">IFERROR(INDEX('Bank Schedule'!AC:AC, SMALL(IF('Bank Schedule'!$K$2:$K$817="Vacant", ROW('Bank Schedule'!$K$2:$K$817)), ROW(178:178))), "")</f>
        <v/>
      </c>
    </row>
    <row r="182" customFormat="false" ht="23.25" hidden="false" customHeight="true" outlineLevel="0" collapsed="false">
      <c r="A182" s="28" t="str">
        <f aca="false" t="array" ref="A182:A182">IFERROR(INDEX('Bank Schedule'!A:A, SMALL(IF('Bank Schedule'!$K$2:$K$817="Vacant", ROW('Bank Schedule'!$K$2:$K$817)), ROW(179:179))), "")</f>
        <v/>
      </c>
      <c r="B182" s="11" t="str">
        <f aca="false" t="array" ref="B182:B182">IFERROR(INDEX('Bank Schedule'!B:B, SMALL(IF('Bank Schedule'!$K$2:$K$817="Vacant", ROW('Bank Schedule'!$K$2:$K$817)), ROW(179:179))), "")</f>
        <v/>
      </c>
      <c r="C182" s="11" t="str">
        <f aca="false" t="array" ref="C182:C182">IFERROR(INDEX('Bank Schedule'!C:C, SMALL(IF('Bank Schedule'!$K$2:$K$817="Vacant", ROW('Bank Schedule'!$K$2:$K$817)), ROW(179:179))), "")</f>
        <v/>
      </c>
      <c r="D182" s="28" t="str">
        <f aca="false" t="array" ref="D182:D182">IFERROR(INDEX('Bank Schedule'!D:D, SMALL(IF('Bank Schedule'!$K$2:$K$817="Vacant", ROW('Bank Schedule'!$K$2:$K$817)), ROW(179:179))), "")</f>
        <v/>
      </c>
      <c r="E182" s="4" t="str">
        <f aca="false" t="array" ref="E182:E182">IFERROR(INDEX('Bank Schedule'!E:E, SMALL(IF('Bank Schedule'!$K$2:$K$817="Vacant", ROW('Bank Schedule'!$K$2:$K$817)), ROW(179:179))), "")</f>
        <v/>
      </c>
      <c r="F182" s="4" t="str">
        <f aca="false" t="array" ref="F182:F182">IFERROR(INDEX('Bank Schedule'!F:F, SMALL(IF('Bank Schedule'!$K$2:$K$817="Vacant", ROW('Bank Schedule'!$K$2:$K$817)), ROW(179:179))), "")</f>
        <v/>
      </c>
      <c r="G182" s="5" t="str">
        <f aca="false" t="array" ref="G182:G182">IFERROR(INDEX('Bank Schedule'!G:G, SMALL(IF('Bank Schedule'!$K$2:$K$817="Vacant", ROW('Bank Schedule'!$K$2:$K$817)), ROW(179:179))), "")</f>
        <v/>
      </c>
      <c r="H182" s="6" t="str">
        <f aca="false" t="array" ref="H182:H182">IFERROR(INDEX('Bank Schedule'!H:H, SMALL(IF('Bank Schedule'!$K$2:$K$817="Vacant", ROW('Bank Schedule'!$K$2:$K$817)), ROW(179:179))), "")</f>
        <v/>
      </c>
      <c r="I182" s="6" t="str">
        <f aca="false" t="array" ref="I182:I182">IFERROR(INDEX('Bank Schedule'!I:I, SMALL(IF('Bank Schedule'!$K$2:$K$817="Vacant", ROW('Bank Schedule'!$K$2:$K$817)), ROW(179:179))), "")</f>
        <v/>
      </c>
      <c r="J182" s="5" t="str">
        <f aca="false" t="array" ref="J182:J182">IFERROR(INDEX('Bank Schedule'!K:K, SMALL(IF('Bank Schedule'!$K$2:$K$817="Vacant", ROW('Bank Schedule'!$K$2:$K$817)), ROW(179:179))), "")</f>
        <v/>
      </c>
      <c r="K182" s="94" t="e">
        <f aca="false" t="array" ref="K182:K182">IFERROR(INDEX('bank schedule'!#ref!, SMALL(IF('Bank Schedule'!$K$2:$K$817="Vacant", ROW('Bank Schedule'!$K$2:$K$817)), ROW(179:179))), "")</f>
        <v>#VALUE!</v>
      </c>
      <c r="L182" s="7" t="str">
        <f aca="false" t="array" ref="L182:L182">IFERROR(INDEX('Bank Schedule'!L:L, SMALL(IF('Bank Schedule'!$K$2:$K$817="Vacant", ROW('Bank Schedule'!$K$2:$K$817)), ROW(179:179))), "")</f>
        <v/>
      </c>
      <c r="M182" s="8" t="str">
        <f aca="false" t="array" ref="M182:M182">IFERROR(INDEX('Bank Schedule'!M:M, SMALL(IF('Bank Schedule'!$K$2:$K$817="Vacant", ROW('Bank Schedule'!$K$2:$K$817)), ROW(179:179))), "")</f>
        <v/>
      </c>
      <c r="N182" s="8" t="str">
        <f aca="false" t="array" ref="N182:N182">IFERROR(INDEX('Bank Schedule'!N:N, SMALL(IF('Bank Schedule'!$K$2:$K$817="Vacant", ROW('Bank Schedule'!$K$2:$K$817)), ROW(179:179))), "")</f>
        <v/>
      </c>
      <c r="O182" s="8" t="str">
        <f aca="false" t="array" ref="O182:O182">IFERROR(INDEX('Bank Schedule'!O:O, SMALL(IF('Bank Schedule'!$K$2:$K$817="Vacant", ROW('Bank Schedule'!$K$2:$K$817)), ROW(179:179))), "")</f>
        <v/>
      </c>
      <c r="P182" s="8" t="str">
        <f aca="false" t="array" ref="P182:P182">IFERROR(INDEX('Bank Schedule'!P:P, SMALL(IF('Bank Schedule'!$K$2:$K$817="Vacant", ROW('Bank Schedule'!$K$2:$K$817)), ROW(179:179))), "")</f>
        <v/>
      </c>
      <c r="Q182" s="8" t="e">
        <f aca="false" t="array" ref="Q182:Q182">IFERROR(INDEX('bank schedule'!#ref!, SMALL(IF('Bank Schedule'!$K$2:$K$817="Vacant", ROW('Bank Schedule'!$K$2:$K$817)), ROW(179:179))), "")</f>
        <v>#VALUE!</v>
      </c>
      <c r="R182" s="9" t="str">
        <f aca="false" t="array" ref="R182:R182">IFERROR(INDEX('Bank Schedule'!Q:Q, SMALL(IF('Bank Schedule'!$K$2:$K$817="Vacant", ROW('Bank Schedule'!$K$2:$K$817)), ROW(179:179))), "")</f>
        <v/>
      </c>
      <c r="S182" s="9" t="str">
        <f aca="false" t="array" ref="S182:S182">IFERROR(INDEX('Bank Schedule'!R:R, SMALL(IF('Bank Schedule'!$K$2:$K$817="Vacant", ROW('Bank Schedule'!$K$2:$K$817)), ROW(179:179))), "")</f>
        <v/>
      </c>
      <c r="T182" s="9" t="str">
        <f aca="false" t="array" ref="T182:T182">IFERROR(INDEX('Bank Schedule'!S:S, SMALL(IF('Bank Schedule'!$K$2:$K$817="Vacant", ROW('Bank Schedule'!$K$2:$K$817)), ROW(179:179))), "")</f>
        <v/>
      </c>
      <c r="U182" s="71" t="e">
        <f aca="false" t="array" ref="U182:U182">IFERROR(INDEX('bank schedule'!#ref!, SMALL(IF('Bank Schedule'!$K$2:$K$817="Vacant", ROW('Bank Schedule'!$K$2:$K$817)), ROW(179:179))), "")</f>
        <v>#VALUE!</v>
      </c>
      <c r="V182" s="9" t="e">
        <f aca="false" t="array" ref="V182:V182">IFERROR(INDEX('bank schedule'!#ref!, SMALL(IF('Bank Schedule'!$K$2:$K$817="Vacant", ROW('Bank Schedule'!$K$2:$K$817)), ROW(179:179))), "")</f>
        <v>#VALUE!</v>
      </c>
      <c r="W182" s="9" t="e">
        <f aca="false" t="array" ref="W182:W182">IFERROR(INDEX('bank schedule'!#ref!, SMALL(IF('Bank Schedule'!$K$2:$K$817="Vacant", ROW('Bank Schedule'!$K$2:$K$817)), ROW(179:179))), "")</f>
        <v>#VALUE!</v>
      </c>
      <c r="X182" s="9" t="str">
        <f aca="false" t="array" ref="X182:X182">IFERROR(INDEX('Bank Schedule'!V:V, SMALL(IF('Bank Schedule'!$K$2:$K$817="Vacant", ROW('Bank Schedule'!$K$2:$K$817)), ROW(179:179))), "")</f>
        <v/>
      </c>
      <c r="Y182" s="9" t="str">
        <f aca="false" t="array" ref="Y182:Y182">IFERROR(INDEX('Bank Schedule'!W:W, SMALL(IF('Bank Schedule'!$K$2:$K$817="Vacant", ROW('Bank Schedule'!$K$2:$K$817)), ROW(179:179))), "")</f>
        <v/>
      </c>
      <c r="Z182" s="40" t="str">
        <f aca="false" t="array" ref="Z182:Z182">IFERROR(INDEX('Bank Schedule'!Z:Z, SMALL(IF('Bank Schedule'!$K$2:$K$817="Vacant", ROW('Bank Schedule'!$K$2:$K$817)), ROW(179:179))), "")</f>
        <v/>
      </c>
      <c r="AA182" s="14" t="str">
        <f aca="false" t="array" ref="AA182:AA182">IFERROR(INDEX('Bank Schedule'!AA:AA, SMALL(IF('Bank Schedule'!$K$2:$K$817="Vacant", ROW('Bank Schedule'!$K$2:$K$817)), ROW(179:179))), "")</f>
        <v/>
      </c>
      <c r="AB182" s="5" t="str">
        <f aca="false" t="array" ref="AB182:AB182">IFERROR(INDEX('Bank Schedule'!AB:AB, SMALL(IF('Bank Schedule'!$K$2:$K$817="Vacant", ROW('Bank Schedule'!$K$2:$K$817)), ROW(179:179))), "")</f>
        <v/>
      </c>
      <c r="AC182" s="4" t="str">
        <f aca="false" t="array" ref="AC182:AC182">IFERROR(INDEX('Bank Schedule'!AC:AC, SMALL(IF('Bank Schedule'!$K$2:$K$817="Vacant", ROW('Bank Schedule'!$K$2:$K$817)), ROW(179:179))), "")</f>
        <v/>
      </c>
    </row>
    <row r="183" customFormat="false" ht="23.25" hidden="false" customHeight="true" outlineLevel="0" collapsed="false">
      <c r="A183" s="28" t="str">
        <f aca="false" t="array" ref="A183:A183">IFERROR(INDEX('Bank Schedule'!A:A, SMALL(IF('Bank Schedule'!$K$2:$K$817="Vacant", ROW('Bank Schedule'!$K$2:$K$817)), ROW(180:180))), "")</f>
        <v/>
      </c>
      <c r="B183" s="11" t="str">
        <f aca="false" t="array" ref="B183:B183">IFERROR(INDEX('Bank Schedule'!B:B, SMALL(IF('Bank Schedule'!$K$2:$K$817="Vacant", ROW('Bank Schedule'!$K$2:$K$817)), ROW(180:180))), "")</f>
        <v/>
      </c>
      <c r="C183" s="11" t="str">
        <f aca="false" t="array" ref="C183:C183">IFERROR(INDEX('Bank Schedule'!C:C, SMALL(IF('Bank Schedule'!$K$2:$K$817="Vacant", ROW('Bank Schedule'!$K$2:$K$817)), ROW(180:180))), "")</f>
        <v/>
      </c>
      <c r="D183" s="28" t="str">
        <f aca="false" t="array" ref="D183:D183">IFERROR(INDEX('Bank Schedule'!D:D, SMALL(IF('Bank Schedule'!$K$2:$K$817="Vacant", ROW('Bank Schedule'!$K$2:$K$817)), ROW(180:180))), "")</f>
        <v/>
      </c>
      <c r="E183" s="4" t="str">
        <f aca="false" t="array" ref="E183:E183">IFERROR(INDEX('Bank Schedule'!E:E, SMALL(IF('Bank Schedule'!$K$2:$K$817="Vacant", ROW('Bank Schedule'!$K$2:$K$817)), ROW(180:180))), "")</f>
        <v/>
      </c>
      <c r="F183" s="4" t="str">
        <f aca="false" t="array" ref="F183:F183">IFERROR(INDEX('Bank Schedule'!F:F, SMALL(IF('Bank Schedule'!$K$2:$K$817="Vacant", ROW('Bank Schedule'!$K$2:$K$817)), ROW(180:180))), "")</f>
        <v/>
      </c>
      <c r="G183" s="5" t="str">
        <f aca="false" t="array" ref="G183:G183">IFERROR(INDEX('Bank Schedule'!G:G, SMALL(IF('Bank Schedule'!$K$2:$K$817="Vacant", ROW('Bank Schedule'!$K$2:$K$817)), ROW(180:180))), "")</f>
        <v/>
      </c>
      <c r="H183" s="6" t="str">
        <f aca="false" t="array" ref="H183:H183">IFERROR(INDEX('Bank Schedule'!H:H, SMALL(IF('Bank Schedule'!$K$2:$K$817="Vacant", ROW('Bank Schedule'!$K$2:$K$817)), ROW(180:180))), "")</f>
        <v/>
      </c>
      <c r="I183" s="6" t="str">
        <f aca="false" t="array" ref="I183:I183">IFERROR(INDEX('Bank Schedule'!I:I, SMALL(IF('Bank Schedule'!$K$2:$K$817="Vacant", ROW('Bank Schedule'!$K$2:$K$817)), ROW(180:180))), "")</f>
        <v/>
      </c>
      <c r="J183" s="5" t="str">
        <f aca="false" t="array" ref="J183:J183">IFERROR(INDEX('Bank Schedule'!K:K, SMALL(IF('Bank Schedule'!$K$2:$K$817="Vacant", ROW('Bank Schedule'!$K$2:$K$817)), ROW(180:180))), "")</f>
        <v/>
      </c>
      <c r="K183" s="94" t="e">
        <f aca="false" t="array" ref="K183:K183">IFERROR(INDEX('bank schedule'!#ref!, SMALL(IF('Bank Schedule'!$K$2:$K$817="Vacant", ROW('Bank Schedule'!$K$2:$K$817)), ROW(180:180))), "")</f>
        <v>#VALUE!</v>
      </c>
      <c r="L183" s="7" t="str">
        <f aca="false" t="array" ref="L183:L183">IFERROR(INDEX('Bank Schedule'!L:L, SMALL(IF('Bank Schedule'!$K$2:$K$817="Vacant", ROW('Bank Schedule'!$K$2:$K$817)), ROW(180:180))), "")</f>
        <v/>
      </c>
      <c r="M183" s="8" t="str">
        <f aca="false" t="array" ref="M183:M183">IFERROR(INDEX('Bank Schedule'!M:M, SMALL(IF('Bank Schedule'!$K$2:$K$817="Vacant", ROW('Bank Schedule'!$K$2:$K$817)), ROW(180:180))), "")</f>
        <v/>
      </c>
      <c r="N183" s="8" t="str">
        <f aca="false" t="array" ref="N183:N183">IFERROR(INDEX('Bank Schedule'!N:N, SMALL(IF('Bank Schedule'!$K$2:$K$817="Vacant", ROW('Bank Schedule'!$K$2:$K$817)), ROW(180:180))), "")</f>
        <v/>
      </c>
      <c r="O183" s="8" t="str">
        <f aca="false" t="array" ref="O183:O183">IFERROR(INDEX('Bank Schedule'!O:O, SMALL(IF('Bank Schedule'!$K$2:$K$817="Vacant", ROW('Bank Schedule'!$K$2:$K$817)), ROW(180:180))), "")</f>
        <v/>
      </c>
      <c r="P183" s="8" t="str">
        <f aca="false" t="array" ref="P183:P183">IFERROR(INDEX('Bank Schedule'!P:P, SMALL(IF('Bank Schedule'!$K$2:$K$817="Vacant", ROW('Bank Schedule'!$K$2:$K$817)), ROW(180:180))), "")</f>
        <v/>
      </c>
      <c r="Q183" s="8" t="e">
        <f aca="false" t="array" ref="Q183:Q183">IFERROR(INDEX('bank schedule'!#ref!, SMALL(IF('Bank Schedule'!$K$2:$K$817="Vacant", ROW('Bank Schedule'!$K$2:$K$817)), ROW(180:180))), "")</f>
        <v>#VALUE!</v>
      </c>
      <c r="R183" s="9" t="str">
        <f aca="false" t="array" ref="R183:R183">IFERROR(INDEX('Bank Schedule'!Q:Q, SMALL(IF('Bank Schedule'!$K$2:$K$817="Vacant", ROW('Bank Schedule'!$K$2:$K$817)), ROW(180:180))), "")</f>
        <v/>
      </c>
      <c r="S183" s="9" t="str">
        <f aca="false" t="array" ref="S183:S183">IFERROR(INDEX('Bank Schedule'!R:R, SMALL(IF('Bank Schedule'!$K$2:$K$817="Vacant", ROW('Bank Schedule'!$K$2:$K$817)), ROW(180:180))), "")</f>
        <v/>
      </c>
      <c r="T183" s="9" t="str">
        <f aca="false" t="array" ref="T183:T183">IFERROR(INDEX('Bank Schedule'!S:S, SMALL(IF('Bank Schedule'!$K$2:$K$817="Vacant", ROW('Bank Schedule'!$K$2:$K$817)), ROW(180:180))), "")</f>
        <v/>
      </c>
      <c r="U183" s="71" t="e">
        <f aca="false" t="array" ref="U183:U183">IFERROR(INDEX('bank schedule'!#ref!, SMALL(IF('Bank Schedule'!$K$2:$K$817="Vacant", ROW('Bank Schedule'!$K$2:$K$817)), ROW(180:180))), "")</f>
        <v>#VALUE!</v>
      </c>
      <c r="V183" s="9" t="e">
        <f aca="false" t="array" ref="V183:V183">IFERROR(INDEX('bank schedule'!#ref!, SMALL(IF('Bank Schedule'!$K$2:$K$817="Vacant", ROW('Bank Schedule'!$K$2:$K$817)), ROW(180:180))), "")</f>
        <v>#VALUE!</v>
      </c>
      <c r="W183" s="9" t="e">
        <f aca="false" t="array" ref="W183:W183">IFERROR(INDEX('bank schedule'!#ref!, SMALL(IF('Bank Schedule'!$K$2:$K$817="Vacant", ROW('Bank Schedule'!$K$2:$K$817)), ROW(180:180))), "")</f>
        <v>#VALUE!</v>
      </c>
      <c r="X183" s="9" t="str">
        <f aca="false" t="array" ref="X183:X183">IFERROR(INDEX('Bank Schedule'!V:V, SMALL(IF('Bank Schedule'!$K$2:$K$817="Vacant", ROW('Bank Schedule'!$K$2:$K$817)), ROW(180:180))), "")</f>
        <v/>
      </c>
      <c r="Y183" s="9" t="str">
        <f aca="false" t="array" ref="Y183:Y183">IFERROR(INDEX('Bank Schedule'!W:W, SMALL(IF('Bank Schedule'!$K$2:$K$817="Vacant", ROW('Bank Schedule'!$K$2:$K$817)), ROW(180:180))), "")</f>
        <v/>
      </c>
      <c r="Z183" s="40" t="str">
        <f aca="false" t="array" ref="Z183:Z183">IFERROR(INDEX('Bank Schedule'!Z:Z, SMALL(IF('Bank Schedule'!$K$2:$K$817="Vacant", ROW('Bank Schedule'!$K$2:$K$817)), ROW(180:180))), "")</f>
        <v/>
      </c>
      <c r="AA183" s="14" t="str">
        <f aca="false" t="array" ref="AA183:AA183">IFERROR(INDEX('Bank Schedule'!AA:AA, SMALL(IF('Bank Schedule'!$K$2:$K$817="Vacant", ROW('Bank Schedule'!$K$2:$K$817)), ROW(180:180))), "")</f>
        <v/>
      </c>
      <c r="AB183" s="5" t="str">
        <f aca="false" t="array" ref="AB183:AB183">IFERROR(INDEX('Bank Schedule'!AB:AB, SMALL(IF('Bank Schedule'!$K$2:$K$817="Vacant", ROW('Bank Schedule'!$K$2:$K$817)), ROW(180:180))), "")</f>
        <v/>
      </c>
      <c r="AC183" s="4" t="str">
        <f aca="false" t="array" ref="AC183:AC183">IFERROR(INDEX('Bank Schedule'!AC:AC, SMALL(IF('Bank Schedule'!$K$2:$K$817="Vacant", ROW('Bank Schedule'!$K$2:$K$817)), ROW(180:180))), "")</f>
        <v/>
      </c>
    </row>
    <row r="184" customFormat="false" ht="23.25" hidden="false" customHeight="true" outlineLevel="0" collapsed="false">
      <c r="A184" s="28" t="str">
        <f aca="false" t="array" ref="A184:A184">IFERROR(INDEX('Bank Schedule'!A:A, SMALL(IF('Bank Schedule'!$K$2:$K$817="Vacant", ROW('Bank Schedule'!$K$2:$K$817)), ROW(181:181))), "")</f>
        <v/>
      </c>
      <c r="B184" s="11" t="str">
        <f aca="false" t="array" ref="B184:B184">IFERROR(INDEX('Bank Schedule'!B:B, SMALL(IF('Bank Schedule'!$K$2:$K$817="Vacant", ROW('Bank Schedule'!$K$2:$K$817)), ROW(181:181))), "")</f>
        <v/>
      </c>
      <c r="C184" s="11" t="str">
        <f aca="false" t="array" ref="C184:C184">IFERROR(INDEX('Bank Schedule'!C:C, SMALL(IF('Bank Schedule'!$K$2:$K$817="Vacant", ROW('Bank Schedule'!$K$2:$K$817)), ROW(181:181))), "")</f>
        <v/>
      </c>
      <c r="D184" s="28" t="str">
        <f aca="false" t="array" ref="D184:D184">IFERROR(INDEX('Bank Schedule'!D:D, SMALL(IF('Bank Schedule'!$K$2:$K$817="Vacant", ROW('Bank Schedule'!$K$2:$K$817)), ROW(181:181))), "")</f>
        <v/>
      </c>
      <c r="E184" s="4" t="str">
        <f aca="false" t="array" ref="E184:E184">IFERROR(INDEX('Bank Schedule'!E:E, SMALL(IF('Bank Schedule'!$K$2:$K$817="Vacant", ROW('Bank Schedule'!$K$2:$K$817)), ROW(181:181))), "")</f>
        <v/>
      </c>
      <c r="F184" s="4" t="str">
        <f aca="false" t="array" ref="F184:F184">IFERROR(INDEX('Bank Schedule'!F:F, SMALL(IF('Bank Schedule'!$K$2:$K$817="Vacant", ROW('Bank Schedule'!$K$2:$K$817)), ROW(181:181))), "")</f>
        <v/>
      </c>
      <c r="G184" s="5" t="str">
        <f aca="false" t="array" ref="G184:G184">IFERROR(INDEX('Bank Schedule'!G:G, SMALL(IF('Bank Schedule'!$K$2:$K$817="Vacant", ROW('Bank Schedule'!$K$2:$K$817)), ROW(181:181))), "")</f>
        <v/>
      </c>
      <c r="H184" s="6" t="str">
        <f aca="false" t="array" ref="H184:H184">IFERROR(INDEX('Bank Schedule'!H:H, SMALL(IF('Bank Schedule'!$K$2:$K$817="Vacant", ROW('Bank Schedule'!$K$2:$K$817)), ROW(181:181))), "")</f>
        <v/>
      </c>
      <c r="I184" s="6" t="str">
        <f aca="false" t="array" ref="I184:I184">IFERROR(INDEX('Bank Schedule'!I:I, SMALL(IF('Bank Schedule'!$K$2:$K$817="Vacant", ROW('Bank Schedule'!$K$2:$K$817)), ROW(181:181))), "")</f>
        <v/>
      </c>
      <c r="J184" s="5" t="str">
        <f aca="false" t="array" ref="J184:J184">IFERROR(INDEX('Bank Schedule'!K:K, SMALL(IF('Bank Schedule'!$K$2:$K$817="Vacant", ROW('Bank Schedule'!$K$2:$K$817)), ROW(181:181))), "")</f>
        <v/>
      </c>
      <c r="K184" s="94" t="e">
        <f aca="false" t="array" ref="K184:K184">IFERROR(INDEX('bank schedule'!#ref!, SMALL(IF('Bank Schedule'!$K$2:$K$817="Vacant", ROW('Bank Schedule'!$K$2:$K$817)), ROW(181:181))), "")</f>
        <v>#VALUE!</v>
      </c>
      <c r="L184" s="7" t="str">
        <f aca="false" t="array" ref="L184:L184">IFERROR(INDEX('Bank Schedule'!L:L, SMALL(IF('Bank Schedule'!$K$2:$K$817="Vacant", ROW('Bank Schedule'!$K$2:$K$817)), ROW(181:181))), "")</f>
        <v/>
      </c>
      <c r="M184" s="8" t="str">
        <f aca="false" t="array" ref="M184:M184">IFERROR(INDEX('Bank Schedule'!M:M, SMALL(IF('Bank Schedule'!$K$2:$K$817="Vacant", ROW('Bank Schedule'!$K$2:$K$817)), ROW(181:181))), "")</f>
        <v/>
      </c>
      <c r="N184" s="8" t="str">
        <f aca="false" t="array" ref="N184:N184">IFERROR(INDEX('Bank Schedule'!N:N, SMALL(IF('Bank Schedule'!$K$2:$K$817="Vacant", ROW('Bank Schedule'!$K$2:$K$817)), ROW(181:181))), "")</f>
        <v/>
      </c>
      <c r="O184" s="8" t="str">
        <f aca="false" t="array" ref="O184:O184">IFERROR(INDEX('Bank Schedule'!O:O, SMALL(IF('Bank Schedule'!$K$2:$K$817="Vacant", ROW('Bank Schedule'!$K$2:$K$817)), ROW(181:181))), "")</f>
        <v/>
      </c>
      <c r="P184" s="8" t="str">
        <f aca="false" t="array" ref="P184:P184">IFERROR(INDEX('Bank Schedule'!P:P, SMALL(IF('Bank Schedule'!$K$2:$K$817="Vacant", ROW('Bank Schedule'!$K$2:$K$817)), ROW(181:181))), "")</f>
        <v/>
      </c>
      <c r="Q184" s="8" t="e">
        <f aca="false" t="array" ref="Q184:Q184">IFERROR(INDEX('bank schedule'!#ref!, SMALL(IF('Bank Schedule'!$K$2:$K$817="Vacant", ROW('Bank Schedule'!$K$2:$K$817)), ROW(181:181))), "")</f>
        <v>#VALUE!</v>
      </c>
      <c r="R184" s="9" t="str">
        <f aca="false" t="array" ref="R184:R184">IFERROR(INDEX('Bank Schedule'!Q:Q, SMALL(IF('Bank Schedule'!$K$2:$K$817="Vacant", ROW('Bank Schedule'!$K$2:$K$817)), ROW(181:181))), "")</f>
        <v/>
      </c>
      <c r="S184" s="9" t="str">
        <f aca="false" t="array" ref="S184:S184">IFERROR(INDEX('Bank Schedule'!R:R, SMALL(IF('Bank Schedule'!$K$2:$K$817="Vacant", ROW('Bank Schedule'!$K$2:$K$817)), ROW(181:181))), "")</f>
        <v/>
      </c>
      <c r="T184" s="9" t="str">
        <f aca="false" t="array" ref="T184:T184">IFERROR(INDEX('Bank Schedule'!S:S, SMALL(IF('Bank Schedule'!$K$2:$K$817="Vacant", ROW('Bank Schedule'!$K$2:$K$817)), ROW(181:181))), "")</f>
        <v/>
      </c>
      <c r="U184" s="71" t="e">
        <f aca="false" t="array" ref="U184:U184">IFERROR(INDEX('bank schedule'!#ref!, SMALL(IF('Bank Schedule'!$K$2:$K$817="Vacant", ROW('Bank Schedule'!$K$2:$K$817)), ROW(181:181))), "")</f>
        <v>#VALUE!</v>
      </c>
      <c r="V184" s="9" t="e">
        <f aca="false" t="array" ref="V184:V184">IFERROR(INDEX('bank schedule'!#ref!, SMALL(IF('Bank Schedule'!$K$2:$K$817="Vacant", ROW('Bank Schedule'!$K$2:$K$817)), ROW(181:181))), "")</f>
        <v>#VALUE!</v>
      </c>
      <c r="W184" s="9" t="e">
        <f aca="false" t="array" ref="W184:W184">IFERROR(INDEX('bank schedule'!#ref!, SMALL(IF('Bank Schedule'!$K$2:$K$817="Vacant", ROW('Bank Schedule'!$K$2:$K$817)), ROW(181:181))), "")</f>
        <v>#VALUE!</v>
      </c>
      <c r="X184" s="9" t="str">
        <f aca="false" t="array" ref="X184:X184">IFERROR(INDEX('Bank Schedule'!V:V, SMALL(IF('Bank Schedule'!$K$2:$K$817="Vacant", ROW('Bank Schedule'!$K$2:$K$817)), ROW(181:181))), "")</f>
        <v/>
      </c>
      <c r="Y184" s="9" t="str">
        <f aca="false" t="array" ref="Y184:Y184">IFERROR(INDEX('Bank Schedule'!W:W, SMALL(IF('Bank Schedule'!$K$2:$K$817="Vacant", ROW('Bank Schedule'!$K$2:$K$817)), ROW(181:181))), "")</f>
        <v/>
      </c>
      <c r="Z184" s="40" t="str">
        <f aca="false" t="array" ref="Z184:Z184">IFERROR(INDEX('Bank Schedule'!Z:Z, SMALL(IF('Bank Schedule'!$K$2:$K$817="Vacant", ROW('Bank Schedule'!$K$2:$K$817)), ROW(181:181))), "")</f>
        <v/>
      </c>
      <c r="AA184" s="14" t="str">
        <f aca="false" t="array" ref="AA184:AA184">IFERROR(INDEX('Bank Schedule'!AA:AA, SMALL(IF('Bank Schedule'!$K$2:$K$817="Vacant", ROW('Bank Schedule'!$K$2:$K$817)), ROW(181:181))), "")</f>
        <v/>
      </c>
      <c r="AB184" s="5" t="str">
        <f aca="false" t="array" ref="AB184:AB184">IFERROR(INDEX('Bank Schedule'!AB:AB, SMALL(IF('Bank Schedule'!$K$2:$K$817="Vacant", ROW('Bank Schedule'!$K$2:$K$817)), ROW(181:181))), "")</f>
        <v/>
      </c>
      <c r="AC184" s="4" t="str">
        <f aca="false" t="array" ref="AC184:AC184">IFERROR(INDEX('Bank Schedule'!AC:AC, SMALL(IF('Bank Schedule'!$K$2:$K$817="Vacant", ROW('Bank Schedule'!$K$2:$K$817)), ROW(181:181))), "")</f>
        <v/>
      </c>
    </row>
    <row r="185" customFormat="false" ht="23.25" hidden="false" customHeight="true" outlineLevel="0" collapsed="false">
      <c r="A185" s="28" t="str">
        <f aca="false" t="array" ref="A185:A185">IFERROR(INDEX('Bank Schedule'!A:A, SMALL(IF('Bank Schedule'!$K$2:$K$817="Vacant", ROW('Bank Schedule'!$K$2:$K$817)), ROW(182:182))), "")</f>
        <v/>
      </c>
      <c r="B185" s="11" t="str">
        <f aca="false" t="array" ref="B185:B185">IFERROR(INDEX('Bank Schedule'!B:B, SMALL(IF('Bank Schedule'!$K$2:$K$817="Vacant", ROW('Bank Schedule'!$K$2:$K$817)), ROW(182:182))), "")</f>
        <v/>
      </c>
      <c r="C185" s="11" t="str">
        <f aca="false" t="array" ref="C185:C185">IFERROR(INDEX('Bank Schedule'!C:C, SMALL(IF('Bank Schedule'!$K$2:$K$817="Vacant", ROW('Bank Schedule'!$K$2:$K$817)), ROW(182:182))), "")</f>
        <v/>
      </c>
      <c r="D185" s="28" t="str">
        <f aca="false" t="array" ref="D185:D185">IFERROR(INDEX('Bank Schedule'!D:D, SMALL(IF('Bank Schedule'!$K$2:$K$817="Vacant", ROW('Bank Schedule'!$K$2:$K$817)), ROW(182:182))), "")</f>
        <v/>
      </c>
      <c r="E185" s="4" t="str">
        <f aca="false" t="array" ref="E185:E185">IFERROR(INDEX('Bank Schedule'!E:E, SMALL(IF('Bank Schedule'!$K$2:$K$817="Vacant", ROW('Bank Schedule'!$K$2:$K$817)), ROW(182:182))), "")</f>
        <v/>
      </c>
      <c r="F185" s="4" t="str">
        <f aca="false" t="array" ref="F185:F185">IFERROR(INDEX('Bank Schedule'!F:F, SMALL(IF('Bank Schedule'!$K$2:$K$817="Vacant", ROW('Bank Schedule'!$K$2:$K$817)), ROW(182:182))), "")</f>
        <v/>
      </c>
      <c r="G185" s="5" t="str">
        <f aca="false" t="array" ref="G185:G185">IFERROR(INDEX('Bank Schedule'!G:G, SMALL(IF('Bank Schedule'!$K$2:$K$817="Vacant", ROW('Bank Schedule'!$K$2:$K$817)), ROW(182:182))), "")</f>
        <v/>
      </c>
      <c r="H185" s="6" t="str">
        <f aca="false" t="array" ref="H185:H185">IFERROR(INDEX('Bank Schedule'!H:H, SMALL(IF('Bank Schedule'!$K$2:$K$817="Vacant", ROW('Bank Schedule'!$K$2:$K$817)), ROW(182:182))), "")</f>
        <v/>
      </c>
      <c r="I185" s="6" t="str">
        <f aca="false" t="array" ref="I185:I185">IFERROR(INDEX('Bank Schedule'!I:I, SMALL(IF('Bank Schedule'!$K$2:$K$817="Vacant", ROW('Bank Schedule'!$K$2:$K$817)), ROW(182:182))), "")</f>
        <v/>
      </c>
      <c r="J185" s="5" t="str">
        <f aca="false" t="array" ref="J185:J185">IFERROR(INDEX('Bank Schedule'!K:K, SMALL(IF('Bank Schedule'!$K$2:$K$817="Vacant", ROW('Bank Schedule'!$K$2:$K$817)), ROW(182:182))), "")</f>
        <v/>
      </c>
      <c r="K185" s="94" t="e">
        <f aca="false" t="array" ref="K185:K185">IFERROR(INDEX('bank schedule'!#ref!, SMALL(IF('Bank Schedule'!$K$2:$K$817="Vacant", ROW('Bank Schedule'!$K$2:$K$817)), ROW(182:182))), "")</f>
        <v>#VALUE!</v>
      </c>
      <c r="L185" s="7" t="str">
        <f aca="false" t="array" ref="L185:L185">IFERROR(INDEX('Bank Schedule'!L:L, SMALL(IF('Bank Schedule'!$K$2:$K$817="Vacant", ROW('Bank Schedule'!$K$2:$K$817)), ROW(182:182))), "")</f>
        <v/>
      </c>
      <c r="M185" s="8" t="str">
        <f aca="false" t="array" ref="M185:M185">IFERROR(INDEX('Bank Schedule'!M:M, SMALL(IF('Bank Schedule'!$K$2:$K$817="Vacant", ROW('Bank Schedule'!$K$2:$K$817)), ROW(182:182))), "")</f>
        <v/>
      </c>
      <c r="N185" s="8" t="str">
        <f aca="false" t="array" ref="N185:N185">IFERROR(INDEX('Bank Schedule'!N:N, SMALL(IF('Bank Schedule'!$K$2:$K$817="Vacant", ROW('Bank Schedule'!$K$2:$K$817)), ROW(182:182))), "")</f>
        <v/>
      </c>
      <c r="O185" s="8" t="str">
        <f aca="false" t="array" ref="O185:O185">IFERROR(INDEX('Bank Schedule'!O:O, SMALL(IF('Bank Schedule'!$K$2:$K$817="Vacant", ROW('Bank Schedule'!$K$2:$K$817)), ROW(182:182))), "")</f>
        <v/>
      </c>
      <c r="P185" s="8" t="str">
        <f aca="false" t="array" ref="P185:P185">IFERROR(INDEX('Bank Schedule'!P:P, SMALL(IF('Bank Schedule'!$K$2:$K$817="Vacant", ROW('Bank Schedule'!$K$2:$K$817)), ROW(182:182))), "")</f>
        <v/>
      </c>
      <c r="Q185" s="8" t="e">
        <f aca="false" t="array" ref="Q185:Q185">IFERROR(INDEX('bank schedule'!#ref!, SMALL(IF('Bank Schedule'!$K$2:$K$817="Vacant", ROW('Bank Schedule'!$K$2:$K$817)), ROW(182:182))), "")</f>
        <v>#VALUE!</v>
      </c>
      <c r="R185" s="9" t="str">
        <f aca="false" t="array" ref="R185:R185">IFERROR(INDEX('Bank Schedule'!Q:Q, SMALL(IF('Bank Schedule'!$K$2:$K$817="Vacant", ROW('Bank Schedule'!$K$2:$K$817)), ROW(182:182))), "")</f>
        <v/>
      </c>
      <c r="S185" s="9" t="str">
        <f aca="false" t="array" ref="S185:S185">IFERROR(INDEX('Bank Schedule'!R:R, SMALL(IF('Bank Schedule'!$K$2:$K$817="Vacant", ROW('Bank Schedule'!$K$2:$K$817)), ROW(182:182))), "")</f>
        <v/>
      </c>
      <c r="T185" s="9" t="str">
        <f aca="false" t="array" ref="T185:T185">IFERROR(INDEX('Bank Schedule'!S:S, SMALL(IF('Bank Schedule'!$K$2:$K$817="Vacant", ROW('Bank Schedule'!$K$2:$K$817)), ROW(182:182))), "")</f>
        <v/>
      </c>
      <c r="U185" s="71" t="e">
        <f aca="false" t="array" ref="U185:U185">IFERROR(INDEX('bank schedule'!#ref!, SMALL(IF('Bank Schedule'!$K$2:$K$817="Vacant", ROW('Bank Schedule'!$K$2:$K$817)), ROW(182:182))), "")</f>
        <v>#VALUE!</v>
      </c>
      <c r="V185" s="9" t="e">
        <f aca="false" t="array" ref="V185:V185">IFERROR(INDEX('bank schedule'!#ref!, SMALL(IF('Bank Schedule'!$K$2:$K$817="Vacant", ROW('Bank Schedule'!$K$2:$K$817)), ROW(182:182))), "")</f>
        <v>#VALUE!</v>
      </c>
      <c r="W185" s="9" t="e">
        <f aca="false" t="array" ref="W185:W185">IFERROR(INDEX('bank schedule'!#ref!, SMALL(IF('Bank Schedule'!$K$2:$K$817="Vacant", ROW('Bank Schedule'!$K$2:$K$817)), ROW(182:182))), "")</f>
        <v>#VALUE!</v>
      </c>
      <c r="X185" s="9" t="str">
        <f aca="false" t="array" ref="X185:X185">IFERROR(INDEX('Bank Schedule'!V:V, SMALL(IF('Bank Schedule'!$K$2:$K$817="Vacant", ROW('Bank Schedule'!$K$2:$K$817)), ROW(182:182))), "")</f>
        <v/>
      </c>
      <c r="Y185" s="9" t="str">
        <f aca="false" t="array" ref="Y185:Y185">IFERROR(INDEX('Bank Schedule'!W:W, SMALL(IF('Bank Schedule'!$K$2:$K$817="Vacant", ROW('Bank Schedule'!$K$2:$K$817)), ROW(182:182))), "")</f>
        <v/>
      </c>
      <c r="Z185" s="40" t="str">
        <f aca="false" t="array" ref="Z185:Z185">IFERROR(INDEX('Bank Schedule'!Z:Z, SMALL(IF('Bank Schedule'!$K$2:$K$817="Vacant", ROW('Bank Schedule'!$K$2:$K$817)), ROW(182:182))), "")</f>
        <v/>
      </c>
      <c r="AA185" s="14" t="str">
        <f aca="false" t="array" ref="AA185:AA185">IFERROR(INDEX('Bank Schedule'!AA:AA, SMALL(IF('Bank Schedule'!$K$2:$K$817="Vacant", ROW('Bank Schedule'!$K$2:$K$817)), ROW(182:182))), "")</f>
        <v/>
      </c>
      <c r="AB185" s="5" t="str">
        <f aca="false" t="array" ref="AB185:AB185">IFERROR(INDEX('Bank Schedule'!AB:AB, SMALL(IF('Bank Schedule'!$K$2:$K$817="Vacant", ROW('Bank Schedule'!$K$2:$K$817)), ROW(182:182))), "")</f>
        <v/>
      </c>
      <c r="AC185" s="4" t="str">
        <f aca="false" t="array" ref="AC185:AC185">IFERROR(INDEX('Bank Schedule'!AC:AC, SMALL(IF('Bank Schedule'!$K$2:$K$817="Vacant", ROW('Bank Schedule'!$K$2:$K$817)), ROW(182:182))), "")</f>
        <v/>
      </c>
    </row>
    <row r="186" customFormat="false" ht="23.25" hidden="false" customHeight="true" outlineLevel="0" collapsed="false">
      <c r="A186" s="28" t="str">
        <f aca="false" t="array" ref="A186:A186">IFERROR(INDEX('Bank Schedule'!A:A, SMALL(IF('Bank Schedule'!$K$2:$K$817="Vacant", ROW('Bank Schedule'!$K$2:$K$817)), ROW(183:183))), "")</f>
        <v/>
      </c>
      <c r="B186" s="11" t="str">
        <f aca="false" t="array" ref="B186:B186">IFERROR(INDEX('Bank Schedule'!B:B, SMALL(IF('Bank Schedule'!$K$2:$K$817="Vacant", ROW('Bank Schedule'!$K$2:$K$817)), ROW(183:183))), "")</f>
        <v/>
      </c>
      <c r="C186" s="11" t="str">
        <f aca="false" t="array" ref="C186:C186">IFERROR(INDEX('Bank Schedule'!C:C, SMALL(IF('Bank Schedule'!$K$2:$K$817="Vacant", ROW('Bank Schedule'!$K$2:$K$817)), ROW(183:183))), "")</f>
        <v/>
      </c>
      <c r="D186" s="28" t="str">
        <f aca="false" t="array" ref="D186:D186">IFERROR(INDEX('Bank Schedule'!D:D, SMALL(IF('Bank Schedule'!$K$2:$K$817="Vacant", ROW('Bank Schedule'!$K$2:$K$817)), ROW(183:183))), "")</f>
        <v/>
      </c>
      <c r="E186" s="4" t="str">
        <f aca="false" t="array" ref="E186:E186">IFERROR(INDEX('Bank Schedule'!E:E, SMALL(IF('Bank Schedule'!$K$2:$K$817="Vacant", ROW('Bank Schedule'!$K$2:$K$817)), ROW(183:183))), "")</f>
        <v/>
      </c>
      <c r="F186" s="4" t="str">
        <f aca="false" t="array" ref="F186:F186">IFERROR(INDEX('Bank Schedule'!F:F, SMALL(IF('Bank Schedule'!$K$2:$K$817="Vacant", ROW('Bank Schedule'!$K$2:$K$817)), ROW(183:183))), "")</f>
        <v/>
      </c>
      <c r="G186" s="5" t="str">
        <f aca="false" t="array" ref="G186:G186">IFERROR(INDEX('Bank Schedule'!G:G, SMALL(IF('Bank Schedule'!$K$2:$K$817="Vacant", ROW('Bank Schedule'!$K$2:$K$817)), ROW(183:183))), "")</f>
        <v/>
      </c>
      <c r="H186" s="6" t="str">
        <f aca="false" t="array" ref="H186:H186">IFERROR(INDEX('Bank Schedule'!H:H, SMALL(IF('Bank Schedule'!$K$2:$K$817="Vacant", ROW('Bank Schedule'!$K$2:$K$817)), ROW(183:183))), "")</f>
        <v/>
      </c>
      <c r="I186" s="6" t="str">
        <f aca="false" t="array" ref="I186:I186">IFERROR(INDEX('Bank Schedule'!I:I, SMALL(IF('Bank Schedule'!$K$2:$K$817="Vacant", ROW('Bank Schedule'!$K$2:$K$817)), ROW(183:183))), "")</f>
        <v/>
      </c>
      <c r="J186" s="5" t="str">
        <f aca="false" t="array" ref="J186:J186">IFERROR(INDEX('Bank Schedule'!K:K, SMALL(IF('Bank Schedule'!$K$2:$K$817="Vacant", ROW('Bank Schedule'!$K$2:$K$817)), ROW(183:183))), "")</f>
        <v/>
      </c>
      <c r="K186" s="94" t="e">
        <f aca="false" t="array" ref="K186:K186">IFERROR(INDEX('bank schedule'!#ref!, SMALL(IF('Bank Schedule'!$K$2:$K$817="Vacant", ROW('Bank Schedule'!$K$2:$K$817)), ROW(183:183))), "")</f>
        <v>#VALUE!</v>
      </c>
      <c r="L186" s="7" t="str">
        <f aca="false" t="array" ref="L186:L186">IFERROR(INDEX('Bank Schedule'!L:L, SMALL(IF('Bank Schedule'!$K$2:$K$817="Vacant", ROW('Bank Schedule'!$K$2:$K$817)), ROW(183:183))), "")</f>
        <v/>
      </c>
      <c r="M186" s="8" t="str">
        <f aca="false" t="array" ref="M186:M186">IFERROR(INDEX('Bank Schedule'!M:M, SMALL(IF('Bank Schedule'!$K$2:$K$817="Vacant", ROW('Bank Schedule'!$K$2:$K$817)), ROW(183:183))), "")</f>
        <v/>
      </c>
      <c r="N186" s="8" t="str">
        <f aca="false" t="array" ref="N186:N186">IFERROR(INDEX('Bank Schedule'!N:N, SMALL(IF('Bank Schedule'!$K$2:$K$817="Vacant", ROW('Bank Schedule'!$K$2:$K$817)), ROW(183:183))), "")</f>
        <v/>
      </c>
      <c r="O186" s="8" t="str">
        <f aca="false" t="array" ref="O186:O186">IFERROR(INDEX('Bank Schedule'!O:O, SMALL(IF('Bank Schedule'!$K$2:$K$817="Vacant", ROW('Bank Schedule'!$K$2:$K$817)), ROW(183:183))), "")</f>
        <v/>
      </c>
      <c r="P186" s="8" t="str">
        <f aca="false" t="array" ref="P186:P186">IFERROR(INDEX('Bank Schedule'!P:P, SMALL(IF('Bank Schedule'!$K$2:$K$817="Vacant", ROW('Bank Schedule'!$K$2:$K$817)), ROW(183:183))), "")</f>
        <v/>
      </c>
      <c r="Q186" s="8" t="e">
        <f aca="false" t="array" ref="Q186:Q186">IFERROR(INDEX('bank schedule'!#ref!, SMALL(IF('Bank Schedule'!$K$2:$K$817="Vacant", ROW('Bank Schedule'!$K$2:$K$817)), ROW(183:183))), "")</f>
        <v>#VALUE!</v>
      </c>
      <c r="R186" s="9" t="str">
        <f aca="false" t="array" ref="R186:R186">IFERROR(INDEX('Bank Schedule'!Q:Q, SMALL(IF('Bank Schedule'!$K$2:$K$817="Vacant", ROW('Bank Schedule'!$K$2:$K$817)), ROW(183:183))), "")</f>
        <v/>
      </c>
      <c r="S186" s="9" t="str">
        <f aca="false" t="array" ref="S186:S186">IFERROR(INDEX('Bank Schedule'!R:R, SMALL(IF('Bank Schedule'!$K$2:$K$817="Vacant", ROW('Bank Schedule'!$K$2:$K$817)), ROW(183:183))), "")</f>
        <v/>
      </c>
      <c r="T186" s="9" t="str">
        <f aca="false" t="array" ref="T186:T186">IFERROR(INDEX('Bank Schedule'!S:S, SMALL(IF('Bank Schedule'!$K$2:$K$817="Vacant", ROW('Bank Schedule'!$K$2:$K$817)), ROW(183:183))), "")</f>
        <v/>
      </c>
      <c r="U186" s="71" t="e">
        <f aca="false" t="array" ref="U186:U186">IFERROR(INDEX('bank schedule'!#ref!, SMALL(IF('Bank Schedule'!$K$2:$K$817="Vacant", ROW('Bank Schedule'!$K$2:$K$817)), ROW(183:183))), "")</f>
        <v>#VALUE!</v>
      </c>
      <c r="V186" s="9" t="e">
        <f aca="false" t="array" ref="V186:V186">IFERROR(INDEX('bank schedule'!#ref!, SMALL(IF('Bank Schedule'!$K$2:$K$817="Vacant", ROW('Bank Schedule'!$K$2:$K$817)), ROW(183:183))), "")</f>
        <v>#VALUE!</v>
      </c>
      <c r="W186" s="9" t="e">
        <f aca="false" t="array" ref="W186:W186">IFERROR(INDEX('bank schedule'!#ref!, SMALL(IF('Bank Schedule'!$K$2:$K$817="Vacant", ROW('Bank Schedule'!$K$2:$K$817)), ROW(183:183))), "")</f>
        <v>#VALUE!</v>
      </c>
      <c r="X186" s="9" t="str">
        <f aca="false" t="array" ref="X186:X186">IFERROR(INDEX('Bank Schedule'!V:V, SMALL(IF('Bank Schedule'!$K$2:$K$817="Vacant", ROW('Bank Schedule'!$K$2:$K$817)), ROW(183:183))), "")</f>
        <v/>
      </c>
      <c r="Y186" s="9" t="str">
        <f aca="false" t="array" ref="Y186:Y186">IFERROR(INDEX('Bank Schedule'!W:W, SMALL(IF('Bank Schedule'!$K$2:$K$817="Vacant", ROW('Bank Schedule'!$K$2:$K$817)), ROW(183:183))), "")</f>
        <v/>
      </c>
      <c r="Z186" s="40" t="str">
        <f aca="false" t="array" ref="Z186:Z186">IFERROR(INDEX('Bank Schedule'!Z:Z, SMALL(IF('Bank Schedule'!$K$2:$K$817="Vacant", ROW('Bank Schedule'!$K$2:$K$817)), ROW(183:183))), "")</f>
        <v/>
      </c>
      <c r="AA186" s="14" t="str">
        <f aca="false" t="array" ref="AA186:AA186">IFERROR(INDEX('Bank Schedule'!AA:AA, SMALL(IF('Bank Schedule'!$K$2:$K$817="Vacant", ROW('Bank Schedule'!$K$2:$K$817)), ROW(183:183))), "")</f>
        <v/>
      </c>
      <c r="AB186" s="5" t="str">
        <f aca="false" t="array" ref="AB186:AB186">IFERROR(INDEX('Bank Schedule'!AB:AB, SMALL(IF('Bank Schedule'!$K$2:$K$817="Vacant", ROW('Bank Schedule'!$K$2:$K$817)), ROW(183:183))), "")</f>
        <v/>
      </c>
      <c r="AC186" s="4" t="str">
        <f aca="false" t="array" ref="AC186:AC186">IFERROR(INDEX('Bank Schedule'!AC:AC, SMALL(IF('Bank Schedule'!$K$2:$K$817="Vacant", ROW('Bank Schedule'!$K$2:$K$817)), ROW(183:183))), "")</f>
        <v/>
      </c>
    </row>
    <row r="187" customFormat="false" ht="23.25" hidden="false" customHeight="true" outlineLevel="0" collapsed="false">
      <c r="A187" s="28" t="str">
        <f aca="false" t="array" ref="A187:A187">IFERROR(INDEX('Bank Schedule'!A:A, SMALL(IF('Bank Schedule'!$K$2:$K$817="Vacant", ROW('Bank Schedule'!$K$2:$K$817)), ROW(184:184))), "")</f>
        <v/>
      </c>
      <c r="B187" s="11" t="str">
        <f aca="false" t="array" ref="B187:B187">IFERROR(INDEX('Bank Schedule'!B:B, SMALL(IF('Bank Schedule'!$K$2:$K$817="Vacant", ROW('Bank Schedule'!$K$2:$K$817)), ROW(184:184))), "")</f>
        <v/>
      </c>
      <c r="C187" s="11" t="str">
        <f aca="false" t="array" ref="C187:C187">IFERROR(INDEX('Bank Schedule'!C:C, SMALL(IF('Bank Schedule'!$K$2:$K$817="Vacant", ROW('Bank Schedule'!$K$2:$K$817)), ROW(184:184))), "")</f>
        <v/>
      </c>
      <c r="D187" s="28" t="str">
        <f aca="false" t="array" ref="D187:D187">IFERROR(INDEX('Bank Schedule'!D:D, SMALL(IF('Bank Schedule'!$K$2:$K$817="Vacant", ROW('Bank Schedule'!$K$2:$K$817)), ROW(184:184))), "")</f>
        <v/>
      </c>
      <c r="E187" s="4" t="str">
        <f aca="false" t="array" ref="E187:E187">IFERROR(INDEX('Bank Schedule'!E:E, SMALL(IF('Bank Schedule'!$K$2:$K$817="Vacant", ROW('Bank Schedule'!$K$2:$K$817)), ROW(184:184))), "")</f>
        <v/>
      </c>
      <c r="F187" s="4" t="str">
        <f aca="false" t="array" ref="F187:F187">IFERROR(INDEX('Bank Schedule'!F:F, SMALL(IF('Bank Schedule'!$K$2:$K$817="Vacant", ROW('Bank Schedule'!$K$2:$K$817)), ROW(184:184))), "")</f>
        <v/>
      </c>
      <c r="G187" s="5" t="str">
        <f aca="false" t="array" ref="G187:G187">IFERROR(INDEX('Bank Schedule'!G:G, SMALL(IF('Bank Schedule'!$K$2:$K$817="Vacant", ROW('Bank Schedule'!$K$2:$K$817)), ROW(184:184))), "")</f>
        <v/>
      </c>
      <c r="H187" s="6" t="str">
        <f aca="false" t="array" ref="H187:H187">IFERROR(INDEX('Bank Schedule'!H:H, SMALL(IF('Bank Schedule'!$K$2:$K$817="Vacant", ROW('Bank Schedule'!$K$2:$K$817)), ROW(184:184))), "")</f>
        <v/>
      </c>
      <c r="I187" s="6" t="str">
        <f aca="false" t="array" ref="I187:I187">IFERROR(INDEX('Bank Schedule'!I:I, SMALL(IF('Bank Schedule'!$K$2:$K$817="Vacant", ROW('Bank Schedule'!$K$2:$K$817)), ROW(184:184))), "")</f>
        <v/>
      </c>
      <c r="J187" s="5" t="str">
        <f aca="false" t="array" ref="J187:J187">IFERROR(INDEX('Bank Schedule'!K:K, SMALL(IF('Bank Schedule'!$K$2:$K$817="Vacant", ROW('Bank Schedule'!$K$2:$K$817)), ROW(184:184))), "")</f>
        <v/>
      </c>
      <c r="K187" s="94" t="e">
        <f aca="false" t="array" ref="K187:K187">IFERROR(INDEX('bank schedule'!#ref!, SMALL(IF('Bank Schedule'!$K$2:$K$817="Vacant", ROW('Bank Schedule'!$K$2:$K$817)), ROW(184:184))), "")</f>
        <v>#VALUE!</v>
      </c>
      <c r="L187" s="7" t="str">
        <f aca="false" t="array" ref="L187:L187">IFERROR(INDEX('Bank Schedule'!L:L, SMALL(IF('Bank Schedule'!$K$2:$K$817="Vacant", ROW('Bank Schedule'!$K$2:$K$817)), ROW(184:184))), "")</f>
        <v/>
      </c>
      <c r="M187" s="8" t="str">
        <f aca="false" t="array" ref="M187:M187">IFERROR(INDEX('Bank Schedule'!M:M, SMALL(IF('Bank Schedule'!$K$2:$K$817="Vacant", ROW('Bank Schedule'!$K$2:$K$817)), ROW(184:184))), "")</f>
        <v/>
      </c>
      <c r="N187" s="8" t="str">
        <f aca="false" t="array" ref="N187:N187">IFERROR(INDEX('Bank Schedule'!N:N, SMALL(IF('Bank Schedule'!$K$2:$K$817="Vacant", ROW('Bank Schedule'!$K$2:$K$817)), ROW(184:184))), "")</f>
        <v/>
      </c>
      <c r="O187" s="8" t="str">
        <f aca="false" t="array" ref="O187:O187">IFERROR(INDEX('Bank Schedule'!O:O, SMALL(IF('Bank Schedule'!$K$2:$K$817="Vacant", ROW('Bank Schedule'!$K$2:$K$817)), ROW(184:184))), "")</f>
        <v/>
      </c>
      <c r="P187" s="8" t="str">
        <f aca="false" t="array" ref="P187:P187">IFERROR(INDEX('Bank Schedule'!P:P, SMALL(IF('Bank Schedule'!$K$2:$K$817="Vacant", ROW('Bank Schedule'!$K$2:$K$817)), ROW(184:184))), "")</f>
        <v/>
      </c>
      <c r="Q187" s="8" t="e">
        <f aca="false" t="array" ref="Q187:Q187">IFERROR(INDEX('bank schedule'!#ref!, SMALL(IF('Bank Schedule'!$K$2:$K$817="Vacant", ROW('Bank Schedule'!$K$2:$K$817)), ROW(184:184))), "")</f>
        <v>#VALUE!</v>
      </c>
      <c r="R187" s="9" t="str">
        <f aca="false" t="array" ref="R187:R187">IFERROR(INDEX('Bank Schedule'!Q:Q, SMALL(IF('Bank Schedule'!$K$2:$K$817="Vacant", ROW('Bank Schedule'!$K$2:$K$817)), ROW(184:184))), "")</f>
        <v/>
      </c>
      <c r="S187" s="9" t="str">
        <f aca="false" t="array" ref="S187:S187">IFERROR(INDEX('Bank Schedule'!R:R, SMALL(IF('Bank Schedule'!$K$2:$K$817="Vacant", ROW('Bank Schedule'!$K$2:$K$817)), ROW(184:184))), "")</f>
        <v/>
      </c>
      <c r="T187" s="9" t="str">
        <f aca="false" t="array" ref="T187:T187">IFERROR(INDEX('Bank Schedule'!S:S, SMALL(IF('Bank Schedule'!$K$2:$K$817="Vacant", ROW('Bank Schedule'!$K$2:$K$817)), ROW(184:184))), "")</f>
        <v/>
      </c>
      <c r="U187" s="71" t="e">
        <f aca="false" t="array" ref="U187:U187">IFERROR(INDEX('bank schedule'!#ref!, SMALL(IF('Bank Schedule'!$K$2:$K$817="Vacant", ROW('Bank Schedule'!$K$2:$K$817)), ROW(184:184))), "")</f>
        <v>#VALUE!</v>
      </c>
      <c r="V187" s="9" t="e">
        <f aca="false" t="array" ref="V187:V187">IFERROR(INDEX('bank schedule'!#ref!, SMALL(IF('Bank Schedule'!$K$2:$K$817="Vacant", ROW('Bank Schedule'!$K$2:$K$817)), ROW(184:184))), "")</f>
        <v>#VALUE!</v>
      </c>
      <c r="W187" s="9" t="e">
        <f aca="false" t="array" ref="W187:W187">IFERROR(INDEX('bank schedule'!#ref!, SMALL(IF('Bank Schedule'!$K$2:$K$817="Vacant", ROW('Bank Schedule'!$K$2:$K$817)), ROW(184:184))), "")</f>
        <v>#VALUE!</v>
      </c>
      <c r="X187" s="9" t="str">
        <f aca="false" t="array" ref="X187:X187">IFERROR(INDEX('Bank Schedule'!V:V, SMALL(IF('Bank Schedule'!$K$2:$K$817="Vacant", ROW('Bank Schedule'!$K$2:$K$817)), ROW(184:184))), "")</f>
        <v/>
      </c>
      <c r="Y187" s="9" t="str">
        <f aca="false" t="array" ref="Y187:Y187">IFERROR(INDEX('Bank Schedule'!W:W, SMALL(IF('Bank Schedule'!$K$2:$K$817="Vacant", ROW('Bank Schedule'!$K$2:$K$817)), ROW(184:184))), "")</f>
        <v/>
      </c>
      <c r="Z187" s="40" t="str">
        <f aca="false" t="array" ref="Z187:Z187">IFERROR(INDEX('Bank Schedule'!Z:Z, SMALL(IF('Bank Schedule'!$K$2:$K$817="Vacant", ROW('Bank Schedule'!$K$2:$K$817)), ROW(184:184))), "")</f>
        <v/>
      </c>
      <c r="AA187" s="14" t="str">
        <f aca="false" t="array" ref="AA187:AA187">IFERROR(INDEX('Bank Schedule'!AA:AA, SMALL(IF('Bank Schedule'!$K$2:$K$817="Vacant", ROW('Bank Schedule'!$K$2:$K$817)), ROW(184:184))), "")</f>
        <v/>
      </c>
      <c r="AB187" s="5" t="str">
        <f aca="false" t="array" ref="AB187:AB187">IFERROR(INDEX('Bank Schedule'!AB:AB, SMALL(IF('Bank Schedule'!$K$2:$K$817="Vacant", ROW('Bank Schedule'!$K$2:$K$817)), ROW(184:184))), "")</f>
        <v/>
      </c>
      <c r="AC187" s="4" t="str">
        <f aca="false" t="array" ref="AC187:AC187">IFERROR(INDEX('Bank Schedule'!AC:AC, SMALL(IF('Bank Schedule'!$K$2:$K$817="Vacant", ROW('Bank Schedule'!$K$2:$K$817)), ROW(184:184))), "")</f>
        <v/>
      </c>
    </row>
    <row r="188" customFormat="false" ht="23.25" hidden="false" customHeight="true" outlineLevel="0" collapsed="false">
      <c r="A188" s="28" t="str">
        <f aca="false" t="array" ref="A188:A188">IFERROR(INDEX('Bank Schedule'!A:A, SMALL(IF('Bank Schedule'!$K$2:$K$817="Vacant", ROW('Bank Schedule'!$K$2:$K$817)), ROW(185:185))), "")</f>
        <v/>
      </c>
      <c r="B188" s="11" t="str">
        <f aca="false" t="array" ref="B188:B188">IFERROR(INDEX('Bank Schedule'!B:B, SMALL(IF('Bank Schedule'!$K$2:$K$817="Vacant", ROW('Bank Schedule'!$K$2:$K$817)), ROW(185:185))), "")</f>
        <v/>
      </c>
      <c r="C188" s="11" t="str">
        <f aca="false" t="array" ref="C188:C188">IFERROR(INDEX('Bank Schedule'!C:C, SMALL(IF('Bank Schedule'!$K$2:$K$817="Vacant", ROW('Bank Schedule'!$K$2:$K$817)), ROW(185:185))), "")</f>
        <v/>
      </c>
      <c r="D188" s="28" t="str">
        <f aca="false" t="array" ref="D188:D188">IFERROR(INDEX('Bank Schedule'!D:D, SMALL(IF('Bank Schedule'!$K$2:$K$817="Vacant", ROW('Bank Schedule'!$K$2:$K$817)), ROW(185:185))), "")</f>
        <v/>
      </c>
      <c r="E188" s="4" t="str">
        <f aca="false" t="array" ref="E188:E188">IFERROR(INDEX('Bank Schedule'!E:E, SMALL(IF('Bank Schedule'!$K$2:$K$817="Vacant", ROW('Bank Schedule'!$K$2:$K$817)), ROW(185:185))), "")</f>
        <v/>
      </c>
      <c r="F188" s="4" t="str">
        <f aca="false" t="array" ref="F188:F188">IFERROR(INDEX('Bank Schedule'!F:F, SMALL(IF('Bank Schedule'!$K$2:$K$817="Vacant", ROW('Bank Schedule'!$K$2:$K$817)), ROW(185:185))), "")</f>
        <v/>
      </c>
      <c r="G188" s="5" t="str">
        <f aca="false" t="array" ref="G188:G188">IFERROR(INDEX('Bank Schedule'!G:G, SMALL(IF('Bank Schedule'!$K$2:$K$817="Vacant", ROW('Bank Schedule'!$K$2:$K$817)), ROW(185:185))), "")</f>
        <v/>
      </c>
      <c r="H188" s="6" t="str">
        <f aca="false" t="array" ref="H188:H188">IFERROR(INDEX('Bank Schedule'!H:H, SMALL(IF('Bank Schedule'!$K$2:$K$817="Vacant", ROW('Bank Schedule'!$K$2:$K$817)), ROW(185:185))), "")</f>
        <v/>
      </c>
      <c r="I188" s="6" t="str">
        <f aca="false" t="array" ref="I188:I188">IFERROR(INDEX('Bank Schedule'!I:I, SMALL(IF('Bank Schedule'!$K$2:$K$817="Vacant", ROW('Bank Schedule'!$K$2:$K$817)), ROW(185:185))), "")</f>
        <v/>
      </c>
      <c r="J188" s="5" t="str">
        <f aca="false" t="array" ref="J188:J188">IFERROR(INDEX('Bank Schedule'!K:K, SMALL(IF('Bank Schedule'!$K$2:$K$817="Vacant", ROW('Bank Schedule'!$K$2:$K$817)), ROW(185:185))), "")</f>
        <v/>
      </c>
      <c r="K188" s="94" t="e">
        <f aca="false" t="array" ref="K188:K188">IFERROR(INDEX('bank schedule'!#ref!, SMALL(IF('Bank Schedule'!$K$2:$K$817="Vacant", ROW('Bank Schedule'!$K$2:$K$817)), ROW(185:185))), "")</f>
        <v>#VALUE!</v>
      </c>
      <c r="L188" s="7" t="str">
        <f aca="false" t="array" ref="L188:L188">IFERROR(INDEX('Bank Schedule'!L:L, SMALL(IF('Bank Schedule'!$K$2:$K$817="Vacant", ROW('Bank Schedule'!$K$2:$K$817)), ROW(185:185))), "")</f>
        <v/>
      </c>
      <c r="M188" s="8" t="str">
        <f aca="false" t="array" ref="M188:M188">IFERROR(INDEX('Bank Schedule'!M:M, SMALL(IF('Bank Schedule'!$K$2:$K$817="Vacant", ROW('Bank Schedule'!$K$2:$K$817)), ROW(185:185))), "")</f>
        <v/>
      </c>
      <c r="N188" s="8" t="str">
        <f aca="false" t="array" ref="N188:N188">IFERROR(INDEX('Bank Schedule'!N:N, SMALL(IF('Bank Schedule'!$K$2:$K$817="Vacant", ROW('Bank Schedule'!$K$2:$K$817)), ROW(185:185))), "")</f>
        <v/>
      </c>
      <c r="O188" s="8" t="str">
        <f aca="false" t="array" ref="O188:O188">IFERROR(INDEX('Bank Schedule'!O:O, SMALL(IF('Bank Schedule'!$K$2:$K$817="Vacant", ROW('Bank Schedule'!$K$2:$K$817)), ROW(185:185))), "")</f>
        <v/>
      </c>
      <c r="P188" s="8" t="str">
        <f aca="false" t="array" ref="P188:P188">IFERROR(INDEX('Bank Schedule'!P:P, SMALL(IF('Bank Schedule'!$K$2:$K$817="Vacant", ROW('Bank Schedule'!$K$2:$K$817)), ROW(185:185))), "")</f>
        <v/>
      </c>
      <c r="Q188" s="8" t="e">
        <f aca="false" t="array" ref="Q188:Q188">IFERROR(INDEX('bank schedule'!#ref!, SMALL(IF('Bank Schedule'!$K$2:$K$817="Vacant", ROW('Bank Schedule'!$K$2:$K$817)), ROW(185:185))), "")</f>
        <v>#VALUE!</v>
      </c>
      <c r="R188" s="9" t="str">
        <f aca="false" t="array" ref="R188:R188">IFERROR(INDEX('Bank Schedule'!Q:Q, SMALL(IF('Bank Schedule'!$K$2:$K$817="Vacant", ROW('Bank Schedule'!$K$2:$K$817)), ROW(185:185))), "")</f>
        <v/>
      </c>
      <c r="S188" s="9" t="str">
        <f aca="false" t="array" ref="S188:S188">IFERROR(INDEX('Bank Schedule'!R:R, SMALL(IF('Bank Schedule'!$K$2:$K$817="Vacant", ROW('Bank Schedule'!$K$2:$K$817)), ROW(185:185))), "")</f>
        <v/>
      </c>
      <c r="T188" s="9" t="str">
        <f aca="false" t="array" ref="T188:T188">IFERROR(INDEX('Bank Schedule'!S:S, SMALL(IF('Bank Schedule'!$K$2:$K$817="Vacant", ROW('Bank Schedule'!$K$2:$K$817)), ROW(185:185))), "")</f>
        <v/>
      </c>
      <c r="U188" s="71" t="e">
        <f aca="false" t="array" ref="U188:U188">IFERROR(INDEX('bank schedule'!#ref!, SMALL(IF('Bank Schedule'!$K$2:$K$817="Vacant", ROW('Bank Schedule'!$K$2:$K$817)), ROW(185:185))), "")</f>
        <v>#VALUE!</v>
      </c>
      <c r="V188" s="9" t="e">
        <f aca="false" t="array" ref="V188:V188">IFERROR(INDEX('bank schedule'!#ref!, SMALL(IF('Bank Schedule'!$K$2:$K$817="Vacant", ROW('Bank Schedule'!$K$2:$K$817)), ROW(185:185))), "")</f>
        <v>#VALUE!</v>
      </c>
      <c r="W188" s="9" t="e">
        <f aca="false" t="array" ref="W188:W188">IFERROR(INDEX('bank schedule'!#ref!, SMALL(IF('Bank Schedule'!$K$2:$K$817="Vacant", ROW('Bank Schedule'!$K$2:$K$817)), ROW(185:185))), "")</f>
        <v>#VALUE!</v>
      </c>
      <c r="X188" s="9" t="str">
        <f aca="false" t="array" ref="X188:X188">IFERROR(INDEX('Bank Schedule'!V:V, SMALL(IF('Bank Schedule'!$K$2:$K$817="Vacant", ROW('Bank Schedule'!$K$2:$K$817)), ROW(185:185))), "")</f>
        <v/>
      </c>
      <c r="Y188" s="9" t="str">
        <f aca="false" t="array" ref="Y188:Y188">IFERROR(INDEX('Bank Schedule'!W:W, SMALL(IF('Bank Schedule'!$K$2:$K$817="Vacant", ROW('Bank Schedule'!$K$2:$K$817)), ROW(185:185))), "")</f>
        <v/>
      </c>
      <c r="Z188" s="40" t="str">
        <f aca="false" t="array" ref="Z188:Z188">IFERROR(INDEX('Bank Schedule'!Z:Z, SMALL(IF('Bank Schedule'!$K$2:$K$817="Vacant", ROW('Bank Schedule'!$K$2:$K$817)), ROW(185:185))), "")</f>
        <v/>
      </c>
      <c r="AA188" s="14" t="str">
        <f aca="false" t="array" ref="AA188:AA188">IFERROR(INDEX('Bank Schedule'!AA:AA, SMALL(IF('Bank Schedule'!$K$2:$K$817="Vacant", ROW('Bank Schedule'!$K$2:$K$817)), ROW(185:185))), "")</f>
        <v/>
      </c>
      <c r="AB188" s="5" t="str">
        <f aca="false" t="array" ref="AB188:AB188">IFERROR(INDEX('Bank Schedule'!AB:AB, SMALL(IF('Bank Schedule'!$K$2:$K$817="Vacant", ROW('Bank Schedule'!$K$2:$K$817)), ROW(185:185))), "")</f>
        <v/>
      </c>
      <c r="AC188" s="4" t="str">
        <f aca="false" t="array" ref="AC188:AC188">IFERROR(INDEX('Bank Schedule'!AC:AC, SMALL(IF('Bank Schedule'!$K$2:$K$817="Vacant", ROW('Bank Schedule'!$K$2:$K$817)), ROW(185:185))), "")</f>
        <v/>
      </c>
    </row>
    <row r="189" customFormat="false" ht="23.25" hidden="false" customHeight="true" outlineLevel="0" collapsed="false">
      <c r="A189" s="28" t="str">
        <f aca="false" t="array" ref="A189:A189">IFERROR(INDEX('Bank Schedule'!A:A, SMALL(IF('Bank Schedule'!$K$2:$K$817="Vacant", ROW('Bank Schedule'!$K$2:$K$817)), ROW(186:186))), "")</f>
        <v/>
      </c>
      <c r="B189" s="11" t="str">
        <f aca="false" t="array" ref="B189:B189">IFERROR(INDEX('Bank Schedule'!B:B, SMALL(IF('Bank Schedule'!$K$2:$K$817="Vacant", ROW('Bank Schedule'!$K$2:$K$817)), ROW(186:186))), "")</f>
        <v/>
      </c>
      <c r="C189" s="11" t="str">
        <f aca="false" t="array" ref="C189:C189">IFERROR(INDEX('Bank Schedule'!C:C, SMALL(IF('Bank Schedule'!$K$2:$K$817="Vacant", ROW('Bank Schedule'!$K$2:$K$817)), ROW(186:186))), "")</f>
        <v/>
      </c>
      <c r="D189" s="28" t="str">
        <f aca="false" t="array" ref="D189:D189">IFERROR(INDEX('Bank Schedule'!D:D, SMALL(IF('Bank Schedule'!$K$2:$K$817="Vacant", ROW('Bank Schedule'!$K$2:$K$817)), ROW(186:186))), "")</f>
        <v/>
      </c>
      <c r="E189" s="4" t="str">
        <f aca="false" t="array" ref="E189:E189">IFERROR(INDEX('Bank Schedule'!E:E, SMALL(IF('Bank Schedule'!$K$2:$K$817="Vacant", ROW('Bank Schedule'!$K$2:$K$817)), ROW(186:186))), "")</f>
        <v/>
      </c>
      <c r="F189" s="4" t="str">
        <f aca="false" t="array" ref="F189:F189">IFERROR(INDEX('Bank Schedule'!F:F, SMALL(IF('Bank Schedule'!$K$2:$K$817="Vacant", ROW('Bank Schedule'!$K$2:$K$817)), ROW(186:186))), "")</f>
        <v/>
      </c>
      <c r="G189" s="5" t="str">
        <f aca="false" t="array" ref="G189:G189">IFERROR(INDEX('Bank Schedule'!G:G, SMALL(IF('Bank Schedule'!$K$2:$K$817="Vacant", ROW('Bank Schedule'!$K$2:$K$817)), ROW(186:186))), "")</f>
        <v/>
      </c>
      <c r="H189" s="6" t="str">
        <f aca="false" t="array" ref="H189:H189">IFERROR(INDEX('Bank Schedule'!H:H, SMALL(IF('Bank Schedule'!$K$2:$K$817="Vacant", ROW('Bank Schedule'!$K$2:$K$817)), ROW(186:186))), "")</f>
        <v/>
      </c>
      <c r="I189" s="6" t="str">
        <f aca="false" t="array" ref="I189:I189">IFERROR(INDEX('Bank Schedule'!I:I, SMALL(IF('Bank Schedule'!$K$2:$K$817="Vacant", ROW('Bank Schedule'!$K$2:$K$817)), ROW(186:186))), "")</f>
        <v/>
      </c>
      <c r="J189" s="5" t="str">
        <f aca="false" t="array" ref="J189:J189">IFERROR(INDEX('Bank Schedule'!K:K, SMALL(IF('Bank Schedule'!$K$2:$K$817="Vacant", ROW('Bank Schedule'!$K$2:$K$817)), ROW(186:186))), "")</f>
        <v/>
      </c>
      <c r="K189" s="94" t="e">
        <f aca="false" t="array" ref="K189:K189">IFERROR(INDEX('bank schedule'!#ref!, SMALL(IF('Bank Schedule'!$K$2:$K$817="Vacant", ROW('Bank Schedule'!$K$2:$K$817)), ROW(186:186))), "")</f>
        <v>#VALUE!</v>
      </c>
      <c r="L189" s="7" t="str">
        <f aca="false" t="array" ref="L189:L189">IFERROR(INDEX('Bank Schedule'!L:L, SMALL(IF('Bank Schedule'!$K$2:$K$817="Vacant", ROW('Bank Schedule'!$K$2:$K$817)), ROW(186:186))), "")</f>
        <v/>
      </c>
      <c r="M189" s="8" t="str">
        <f aca="false" t="array" ref="M189:M189">IFERROR(INDEX('Bank Schedule'!M:M, SMALL(IF('Bank Schedule'!$K$2:$K$817="Vacant", ROW('Bank Schedule'!$K$2:$K$817)), ROW(186:186))), "")</f>
        <v/>
      </c>
      <c r="N189" s="8" t="str">
        <f aca="false" t="array" ref="N189:N189">IFERROR(INDEX('Bank Schedule'!N:N, SMALL(IF('Bank Schedule'!$K$2:$K$817="Vacant", ROW('Bank Schedule'!$K$2:$K$817)), ROW(186:186))), "")</f>
        <v/>
      </c>
      <c r="O189" s="8" t="str">
        <f aca="false" t="array" ref="O189:O189">IFERROR(INDEX('Bank Schedule'!O:O, SMALL(IF('Bank Schedule'!$K$2:$K$817="Vacant", ROW('Bank Schedule'!$K$2:$K$817)), ROW(186:186))), "")</f>
        <v/>
      </c>
      <c r="P189" s="8" t="str">
        <f aca="false" t="array" ref="P189:P189">IFERROR(INDEX('Bank Schedule'!P:P, SMALL(IF('Bank Schedule'!$K$2:$K$817="Vacant", ROW('Bank Schedule'!$K$2:$K$817)), ROW(186:186))), "")</f>
        <v/>
      </c>
      <c r="Q189" s="8" t="e">
        <f aca="false" t="array" ref="Q189:Q189">IFERROR(INDEX('bank schedule'!#ref!, SMALL(IF('Bank Schedule'!$K$2:$K$817="Vacant", ROW('Bank Schedule'!$K$2:$K$817)), ROW(186:186))), "")</f>
        <v>#VALUE!</v>
      </c>
      <c r="R189" s="9" t="str">
        <f aca="false" t="array" ref="R189:R189">IFERROR(INDEX('Bank Schedule'!Q:Q, SMALL(IF('Bank Schedule'!$K$2:$K$817="Vacant", ROW('Bank Schedule'!$K$2:$K$817)), ROW(186:186))), "")</f>
        <v/>
      </c>
      <c r="S189" s="9" t="str">
        <f aca="false" t="array" ref="S189:S189">IFERROR(INDEX('Bank Schedule'!R:R, SMALL(IF('Bank Schedule'!$K$2:$K$817="Vacant", ROW('Bank Schedule'!$K$2:$K$817)), ROW(186:186))), "")</f>
        <v/>
      </c>
      <c r="T189" s="9" t="str">
        <f aca="false" t="array" ref="T189:T189">IFERROR(INDEX('Bank Schedule'!S:S, SMALL(IF('Bank Schedule'!$K$2:$K$817="Vacant", ROW('Bank Schedule'!$K$2:$K$817)), ROW(186:186))), "")</f>
        <v/>
      </c>
      <c r="U189" s="71" t="e">
        <f aca="false" t="array" ref="U189:U189">IFERROR(INDEX('bank schedule'!#ref!, SMALL(IF('Bank Schedule'!$K$2:$K$817="Vacant", ROW('Bank Schedule'!$K$2:$K$817)), ROW(186:186))), "")</f>
        <v>#VALUE!</v>
      </c>
      <c r="V189" s="9" t="e">
        <f aca="false" t="array" ref="V189:V189">IFERROR(INDEX('bank schedule'!#ref!, SMALL(IF('Bank Schedule'!$K$2:$K$817="Vacant", ROW('Bank Schedule'!$K$2:$K$817)), ROW(186:186))), "")</f>
        <v>#VALUE!</v>
      </c>
      <c r="W189" s="9" t="e">
        <f aca="false" t="array" ref="W189:W189">IFERROR(INDEX('bank schedule'!#ref!, SMALL(IF('Bank Schedule'!$K$2:$K$817="Vacant", ROW('Bank Schedule'!$K$2:$K$817)), ROW(186:186))), "")</f>
        <v>#VALUE!</v>
      </c>
      <c r="X189" s="9" t="str">
        <f aca="false" t="array" ref="X189:X189">IFERROR(INDEX('Bank Schedule'!V:V, SMALL(IF('Bank Schedule'!$K$2:$K$817="Vacant", ROW('Bank Schedule'!$K$2:$K$817)), ROW(186:186))), "")</f>
        <v/>
      </c>
      <c r="Y189" s="9" t="str">
        <f aca="false" t="array" ref="Y189:Y189">IFERROR(INDEX('Bank Schedule'!W:W, SMALL(IF('Bank Schedule'!$K$2:$K$817="Vacant", ROW('Bank Schedule'!$K$2:$K$817)), ROW(186:186))), "")</f>
        <v/>
      </c>
      <c r="Z189" s="40" t="str">
        <f aca="false" t="array" ref="Z189:Z189">IFERROR(INDEX('Bank Schedule'!Z:Z, SMALL(IF('Bank Schedule'!$K$2:$K$817="Vacant", ROW('Bank Schedule'!$K$2:$K$817)), ROW(186:186))), "")</f>
        <v/>
      </c>
      <c r="AA189" s="14" t="str">
        <f aca="false" t="array" ref="AA189:AA189">IFERROR(INDEX('Bank Schedule'!AA:AA, SMALL(IF('Bank Schedule'!$K$2:$K$817="Vacant", ROW('Bank Schedule'!$K$2:$K$817)), ROW(186:186))), "")</f>
        <v/>
      </c>
      <c r="AB189" s="5" t="str">
        <f aca="false" t="array" ref="AB189:AB189">IFERROR(INDEX('Bank Schedule'!AB:AB, SMALL(IF('Bank Schedule'!$K$2:$K$817="Vacant", ROW('Bank Schedule'!$K$2:$K$817)), ROW(186:186))), "")</f>
        <v/>
      </c>
      <c r="AC189" s="4" t="str">
        <f aca="false" t="array" ref="AC189:AC189">IFERROR(INDEX('Bank Schedule'!AC:AC, SMALL(IF('Bank Schedule'!$K$2:$K$817="Vacant", ROW('Bank Schedule'!$K$2:$K$817)), ROW(186:186))), "")</f>
        <v/>
      </c>
    </row>
    <row r="190" customFormat="false" ht="23.25" hidden="false" customHeight="true" outlineLevel="0" collapsed="false">
      <c r="A190" s="28" t="str">
        <f aca="false" t="array" ref="A190:A190">IFERROR(INDEX('Bank Schedule'!A:A, SMALL(IF('Bank Schedule'!$K$2:$K$817="Vacant", ROW('Bank Schedule'!$K$2:$K$817)), ROW(187:187))), "")</f>
        <v/>
      </c>
      <c r="B190" s="11" t="str">
        <f aca="false" t="array" ref="B190:B190">IFERROR(INDEX('Bank Schedule'!B:B, SMALL(IF('Bank Schedule'!$K$2:$K$817="Vacant", ROW('Bank Schedule'!$K$2:$K$817)), ROW(187:187))), "")</f>
        <v/>
      </c>
      <c r="C190" s="11" t="str">
        <f aca="false" t="array" ref="C190:C190">IFERROR(INDEX('Bank Schedule'!C:C, SMALL(IF('Bank Schedule'!$K$2:$K$817="Vacant", ROW('Bank Schedule'!$K$2:$K$817)), ROW(187:187))), "")</f>
        <v/>
      </c>
      <c r="D190" s="28" t="str">
        <f aca="false" t="array" ref="D190:D190">IFERROR(INDEX('Bank Schedule'!D:D, SMALL(IF('Bank Schedule'!$K$2:$K$817="Vacant", ROW('Bank Schedule'!$K$2:$K$817)), ROW(187:187))), "")</f>
        <v/>
      </c>
      <c r="E190" s="4" t="str">
        <f aca="false" t="array" ref="E190:E190">IFERROR(INDEX('Bank Schedule'!E:E, SMALL(IF('Bank Schedule'!$K$2:$K$817="Vacant", ROW('Bank Schedule'!$K$2:$K$817)), ROW(187:187))), "")</f>
        <v/>
      </c>
      <c r="F190" s="4" t="str">
        <f aca="false" t="array" ref="F190:F190">IFERROR(INDEX('Bank Schedule'!F:F, SMALL(IF('Bank Schedule'!$K$2:$K$817="Vacant", ROW('Bank Schedule'!$K$2:$K$817)), ROW(187:187))), "")</f>
        <v/>
      </c>
      <c r="G190" s="5" t="str">
        <f aca="false" t="array" ref="G190:G190">IFERROR(INDEX('Bank Schedule'!G:G, SMALL(IF('Bank Schedule'!$K$2:$K$817="Vacant", ROW('Bank Schedule'!$K$2:$K$817)), ROW(187:187))), "")</f>
        <v/>
      </c>
      <c r="H190" s="6" t="str">
        <f aca="false" t="array" ref="H190:H190">IFERROR(INDEX('Bank Schedule'!H:H, SMALL(IF('Bank Schedule'!$K$2:$K$817="Vacant", ROW('Bank Schedule'!$K$2:$K$817)), ROW(187:187))), "")</f>
        <v/>
      </c>
      <c r="I190" s="6" t="str">
        <f aca="false" t="array" ref="I190:I190">IFERROR(INDEX('Bank Schedule'!I:I, SMALL(IF('Bank Schedule'!$K$2:$K$817="Vacant", ROW('Bank Schedule'!$K$2:$K$817)), ROW(187:187))), "")</f>
        <v/>
      </c>
      <c r="J190" s="5" t="str">
        <f aca="false" t="array" ref="J190:J190">IFERROR(INDEX('Bank Schedule'!K:K, SMALL(IF('Bank Schedule'!$K$2:$K$817="Vacant", ROW('Bank Schedule'!$K$2:$K$817)), ROW(187:187))), "")</f>
        <v/>
      </c>
      <c r="K190" s="94" t="e">
        <f aca="false" t="array" ref="K190:K190">IFERROR(INDEX('bank schedule'!#ref!, SMALL(IF('Bank Schedule'!$K$2:$K$817="Vacant", ROW('Bank Schedule'!$K$2:$K$817)), ROW(187:187))), "")</f>
        <v>#VALUE!</v>
      </c>
      <c r="L190" s="7" t="str">
        <f aca="false" t="array" ref="L190:L190">IFERROR(INDEX('Bank Schedule'!L:L, SMALL(IF('Bank Schedule'!$K$2:$K$817="Vacant", ROW('Bank Schedule'!$K$2:$K$817)), ROW(187:187))), "")</f>
        <v/>
      </c>
      <c r="M190" s="8" t="str">
        <f aca="false" t="array" ref="M190:M190">IFERROR(INDEX('Bank Schedule'!M:M, SMALL(IF('Bank Schedule'!$K$2:$K$817="Vacant", ROW('Bank Schedule'!$K$2:$K$817)), ROW(187:187))), "")</f>
        <v/>
      </c>
      <c r="N190" s="8" t="str">
        <f aca="false" t="array" ref="N190:N190">IFERROR(INDEX('Bank Schedule'!N:N, SMALL(IF('Bank Schedule'!$K$2:$K$817="Vacant", ROW('Bank Schedule'!$K$2:$K$817)), ROW(187:187))), "")</f>
        <v/>
      </c>
      <c r="O190" s="8" t="str">
        <f aca="false" t="array" ref="O190:O190">IFERROR(INDEX('Bank Schedule'!O:O, SMALL(IF('Bank Schedule'!$K$2:$K$817="Vacant", ROW('Bank Schedule'!$K$2:$K$817)), ROW(187:187))), "")</f>
        <v/>
      </c>
      <c r="P190" s="8" t="str">
        <f aca="false" t="array" ref="P190:P190">IFERROR(INDEX('Bank Schedule'!P:P, SMALL(IF('Bank Schedule'!$K$2:$K$817="Vacant", ROW('Bank Schedule'!$K$2:$K$817)), ROW(187:187))), "")</f>
        <v/>
      </c>
      <c r="Q190" s="8" t="e">
        <f aca="false" t="array" ref="Q190:Q190">IFERROR(INDEX('bank schedule'!#ref!, SMALL(IF('Bank Schedule'!$K$2:$K$817="Vacant", ROW('Bank Schedule'!$K$2:$K$817)), ROW(187:187))), "")</f>
        <v>#VALUE!</v>
      </c>
      <c r="R190" s="9" t="str">
        <f aca="false" t="array" ref="R190:R190">IFERROR(INDEX('Bank Schedule'!Q:Q, SMALL(IF('Bank Schedule'!$K$2:$K$817="Vacant", ROW('Bank Schedule'!$K$2:$K$817)), ROW(187:187))), "")</f>
        <v/>
      </c>
      <c r="S190" s="9" t="str">
        <f aca="false" t="array" ref="S190:S190">IFERROR(INDEX('Bank Schedule'!R:R, SMALL(IF('Bank Schedule'!$K$2:$K$817="Vacant", ROW('Bank Schedule'!$K$2:$K$817)), ROW(187:187))), "")</f>
        <v/>
      </c>
      <c r="T190" s="9" t="str">
        <f aca="false" t="array" ref="T190:T190">IFERROR(INDEX('Bank Schedule'!S:S, SMALL(IF('Bank Schedule'!$K$2:$K$817="Vacant", ROW('Bank Schedule'!$K$2:$K$817)), ROW(187:187))), "")</f>
        <v/>
      </c>
      <c r="U190" s="71" t="e">
        <f aca="false" t="array" ref="U190:U190">IFERROR(INDEX('bank schedule'!#ref!, SMALL(IF('Bank Schedule'!$K$2:$K$817="Vacant", ROW('Bank Schedule'!$K$2:$K$817)), ROW(187:187))), "")</f>
        <v>#VALUE!</v>
      </c>
      <c r="V190" s="9" t="e">
        <f aca="false" t="array" ref="V190:V190">IFERROR(INDEX('bank schedule'!#ref!, SMALL(IF('Bank Schedule'!$K$2:$K$817="Vacant", ROW('Bank Schedule'!$K$2:$K$817)), ROW(187:187))), "")</f>
        <v>#VALUE!</v>
      </c>
      <c r="W190" s="9" t="e">
        <f aca="false" t="array" ref="W190:W190">IFERROR(INDEX('bank schedule'!#ref!, SMALL(IF('Bank Schedule'!$K$2:$K$817="Vacant", ROW('Bank Schedule'!$K$2:$K$817)), ROW(187:187))), "")</f>
        <v>#VALUE!</v>
      </c>
      <c r="X190" s="9" t="str">
        <f aca="false" t="array" ref="X190:X190">IFERROR(INDEX('Bank Schedule'!V:V, SMALL(IF('Bank Schedule'!$K$2:$K$817="Vacant", ROW('Bank Schedule'!$K$2:$K$817)), ROW(187:187))), "")</f>
        <v/>
      </c>
      <c r="Y190" s="9" t="str">
        <f aca="false" t="array" ref="Y190:Y190">IFERROR(INDEX('Bank Schedule'!W:W, SMALL(IF('Bank Schedule'!$K$2:$K$817="Vacant", ROW('Bank Schedule'!$K$2:$K$817)), ROW(187:187))), "")</f>
        <v/>
      </c>
      <c r="Z190" s="40" t="str">
        <f aca="false" t="array" ref="Z190:Z190">IFERROR(INDEX('Bank Schedule'!Z:Z, SMALL(IF('Bank Schedule'!$K$2:$K$817="Vacant", ROW('Bank Schedule'!$K$2:$K$817)), ROW(187:187))), "")</f>
        <v/>
      </c>
      <c r="AA190" s="14" t="str">
        <f aca="false" t="array" ref="AA190:AA190">IFERROR(INDEX('Bank Schedule'!AA:AA, SMALL(IF('Bank Schedule'!$K$2:$K$817="Vacant", ROW('Bank Schedule'!$K$2:$K$817)), ROW(187:187))), "")</f>
        <v/>
      </c>
      <c r="AB190" s="5" t="str">
        <f aca="false" t="array" ref="AB190:AB190">IFERROR(INDEX('Bank Schedule'!AB:AB, SMALL(IF('Bank Schedule'!$K$2:$K$817="Vacant", ROW('Bank Schedule'!$K$2:$K$817)), ROW(187:187))), "")</f>
        <v/>
      </c>
      <c r="AC190" s="4" t="str">
        <f aca="false" t="array" ref="AC190:AC190">IFERROR(INDEX('Bank Schedule'!AC:AC, SMALL(IF('Bank Schedule'!$K$2:$K$817="Vacant", ROW('Bank Schedule'!$K$2:$K$817)), ROW(187:187))), "")</f>
        <v/>
      </c>
    </row>
    <row r="191" customFormat="false" ht="23.25" hidden="false" customHeight="true" outlineLevel="0" collapsed="false">
      <c r="A191" s="28" t="str">
        <f aca="false" t="array" ref="A191:A191">IFERROR(INDEX('Bank Schedule'!A:A, SMALL(IF('Bank Schedule'!$K$2:$K$817="Vacant", ROW('Bank Schedule'!$K$2:$K$817)), ROW(188:188))), "")</f>
        <v/>
      </c>
      <c r="B191" s="11" t="str">
        <f aca="false" t="array" ref="B191:B191">IFERROR(INDEX('Bank Schedule'!B:B, SMALL(IF('Bank Schedule'!$K$2:$K$817="Vacant", ROW('Bank Schedule'!$K$2:$K$817)), ROW(188:188))), "")</f>
        <v/>
      </c>
      <c r="C191" s="11" t="str">
        <f aca="false" t="array" ref="C191:C191">IFERROR(INDEX('Bank Schedule'!C:C, SMALL(IF('Bank Schedule'!$K$2:$K$817="Vacant", ROW('Bank Schedule'!$K$2:$K$817)), ROW(188:188))), "")</f>
        <v/>
      </c>
      <c r="D191" s="28" t="str">
        <f aca="false" t="array" ref="D191:D191">IFERROR(INDEX('Bank Schedule'!D:D, SMALL(IF('Bank Schedule'!$K$2:$K$817="Vacant", ROW('Bank Schedule'!$K$2:$K$817)), ROW(188:188))), "")</f>
        <v/>
      </c>
      <c r="E191" s="4" t="str">
        <f aca="false" t="array" ref="E191:E191">IFERROR(INDEX('Bank Schedule'!E:E, SMALL(IF('Bank Schedule'!$K$2:$K$817="Vacant", ROW('Bank Schedule'!$K$2:$K$817)), ROW(188:188))), "")</f>
        <v/>
      </c>
      <c r="F191" s="4" t="str">
        <f aca="false" t="array" ref="F191:F191">IFERROR(INDEX('Bank Schedule'!F:F, SMALL(IF('Bank Schedule'!$K$2:$K$817="Vacant", ROW('Bank Schedule'!$K$2:$K$817)), ROW(188:188))), "")</f>
        <v/>
      </c>
      <c r="G191" s="5" t="str">
        <f aca="false" t="array" ref="G191:G191">IFERROR(INDEX('Bank Schedule'!G:G, SMALL(IF('Bank Schedule'!$K$2:$K$817="Vacant", ROW('Bank Schedule'!$K$2:$K$817)), ROW(188:188))), "")</f>
        <v/>
      </c>
      <c r="H191" s="6" t="str">
        <f aca="false" t="array" ref="H191:H191">IFERROR(INDEX('Bank Schedule'!H:H, SMALL(IF('Bank Schedule'!$K$2:$K$817="Vacant", ROW('Bank Schedule'!$K$2:$K$817)), ROW(188:188))), "")</f>
        <v/>
      </c>
      <c r="I191" s="6" t="str">
        <f aca="false" t="array" ref="I191:I191">IFERROR(INDEX('Bank Schedule'!I:I, SMALL(IF('Bank Schedule'!$K$2:$K$817="Vacant", ROW('Bank Schedule'!$K$2:$K$817)), ROW(188:188))), "")</f>
        <v/>
      </c>
      <c r="J191" s="5" t="str">
        <f aca="false" t="array" ref="J191:J191">IFERROR(INDEX('Bank Schedule'!K:K, SMALL(IF('Bank Schedule'!$K$2:$K$817="Vacant", ROW('Bank Schedule'!$K$2:$K$817)), ROW(188:188))), "")</f>
        <v/>
      </c>
      <c r="K191" s="94" t="e">
        <f aca="false" t="array" ref="K191:K191">IFERROR(INDEX('bank schedule'!#ref!, SMALL(IF('Bank Schedule'!$K$2:$K$817="Vacant", ROW('Bank Schedule'!$K$2:$K$817)), ROW(188:188))), "")</f>
        <v>#VALUE!</v>
      </c>
      <c r="L191" s="7" t="str">
        <f aca="false" t="array" ref="L191:L191">IFERROR(INDEX('Bank Schedule'!L:L, SMALL(IF('Bank Schedule'!$K$2:$K$817="Vacant", ROW('Bank Schedule'!$K$2:$K$817)), ROW(188:188))), "")</f>
        <v/>
      </c>
      <c r="M191" s="8" t="str">
        <f aca="false" t="array" ref="M191:M191">IFERROR(INDEX('Bank Schedule'!M:M, SMALL(IF('Bank Schedule'!$K$2:$K$817="Vacant", ROW('Bank Schedule'!$K$2:$K$817)), ROW(188:188))), "")</f>
        <v/>
      </c>
      <c r="N191" s="8" t="str">
        <f aca="false" t="array" ref="N191:N191">IFERROR(INDEX('Bank Schedule'!N:N, SMALL(IF('Bank Schedule'!$K$2:$K$817="Vacant", ROW('Bank Schedule'!$K$2:$K$817)), ROW(188:188))), "")</f>
        <v/>
      </c>
      <c r="O191" s="8" t="str">
        <f aca="false" t="array" ref="O191:O191">IFERROR(INDEX('Bank Schedule'!O:O, SMALL(IF('Bank Schedule'!$K$2:$K$817="Vacant", ROW('Bank Schedule'!$K$2:$K$817)), ROW(188:188))), "")</f>
        <v/>
      </c>
      <c r="P191" s="8" t="str">
        <f aca="false" t="array" ref="P191:P191">IFERROR(INDEX('Bank Schedule'!P:P, SMALL(IF('Bank Schedule'!$K$2:$K$817="Vacant", ROW('Bank Schedule'!$K$2:$K$817)), ROW(188:188))), "")</f>
        <v/>
      </c>
      <c r="Q191" s="8" t="e">
        <f aca="false" t="array" ref="Q191:Q191">IFERROR(INDEX('bank schedule'!#ref!, SMALL(IF('Bank Schedule'!$K$2:$K$817="Vacant", ROW('Bank Schedule'!$K$2:$K$817)), ROW(188:188))), "")</f>
        <v>#VALUE!</v>
      </c>
      <c r="R191" s="9" t="str">
        <f aca="false" t="array" ref="R191:R191">IFERROR(INDEX('Bank Schedule'!Q:Q, SMALL(IF('Bank Schedule'!$K$2:$K$817="Vacant", ROW('Bank Schedule'!$K$2:$K$817)), ROW(188:188))), "")</f>
        <v/>
      </c>
      <c r="S191" s="9" t="str">
        <f aca="false" t="array" ref="S191:S191">IFERROR(INDEX('Bank Schedule'!R:R, SMALL(IF('Bank Schedule'!$K$2:$K$817="Vacant", ROW('Bank Schedule'!$K$2:$K$817)), ROW(188:188))), "")</f>
        <v/>
      </c>
      <c r="T191" s="9" t="str">
        <f aca="false" t="array" ref="T191:T191">IFERROR(INDEX('Bank Schedule'!S:S, SMALL(IF('Bank Schedule'!$K$2:$K$817="Vacant", ROW('Bank Schedule'!$K$2:$K$817)), ROW(188:188))), "")</f>
        <v/>
      </c>
      <c r="U191" s="71" t="e">
        <f aca="false" t="array" ref="U191:U191">IFERROR(INDEX('bank schedule'!#ref!, SMALL(IF('Bank Schedule'!$K$2:$K$817="Vacant", ROW('Bank Schedule'!$K$2:$K$817)), ROW(188:188))), "")</f>
        <v>#VALUE!</v>
      </c>
      <c r="V191" s="9" t="e">
        <f aca="false" t="array" ref="V191:V191">IFERROR(INDEX('bank schedule'!#ref!, SMALL(IF('Bank Schedule'!$K$2:$K$817="Vacant", ROW('Bank Schedule'!$K$2:$K$817)), ROW(188:188))), "")</f>
        <v>#VALUE!</v>
      </c>
      <c r="W191" s="9" t="e">
        <f aca="false" t="array" ref="W191:W191">IFERROR(INDEX('bank schedule'!#ref!, SMALL(IF('Bank Schedule'!$K$2:$K$817="Vacant", ROW('Bank Schedule'!$K$2:$K$817)), ROW(188:188))), "")</f>
        <v>#VALUE!</v>
      </c>
      <c r="X191" s="9" t="str">
        <f aca="false" t="array" ref="X191:X191">IFERROR(INDEX('Bank Schedule'!V:V, SMALL(IF('Bank Schedule'!$K$2:$K$817="Vacant", ROW('Bank Schedule'!$K$2:$K$817)), ROW(188:188))), "")</f>
        <v/>
      </c>
      <c r="Y191" s="9" t="str">
        <f aca="false" t="array" ref="Y191:Y191">IFERROR(INDEX('Bank Schedule'!W:W, SMALL(IF('Bank Schedule'!$K$2:$K$817="Vacant", ROW('Bank Schedule'!$K$2:$K$817)), ROW(188:188))), "")</f>
        <v/>
      </c>
      <c r="Z191" s="40" t="str">
        <f aca="false" t="array" ref="Z191:Z191">IFERROR(INDEX('Bank Schedule'!Z:Z, SMALL(IF('Bank Schedule'!$K$2:$K$817="Vacant", ROW('Bank Schedule'!$K$2:$K$817)), ROW(188:188))), "")</f>
        <v/>
      </c>
      <c r="AA191" s="14" t="str">
        <f aca="false" t="array" ref="AA191:AA191">IFERROR(INDEX('Bank Schedule'!AA:AA, SMALL(IF('Bank Schedule'!$K$2:$K$817="Vacant", ROW('Bank Schedule'!$K$2:$K$817)), ROW(188:188))), "")</f>
        <v/>
      </c>
      <c r="AB191" s="5" t="str">
        <f aca="false" t="array" ref="AB191:AB191">IFERROR(INDEX('Bank Schedule'!AB:AB, SMALL(IF('Bank Schedule'!$K$2:$K$817="Vacant", ROW('Bank Schedule'!$K$2:$K$817)), ROW(188:188))), "")</f>
        <v/>
      </c>
      <c r="AC191" s="4" t="str">
        <f aca="false" t="array" ref="AC191:AC191">IFERROR(INDEX('Bank Schedule'!AC:AC, SMALL(IF('Bank Schedule'!$K$2:$K$817="Vacant", ROW('Bank Schedule'!$K$2:$K$817)), ROW(188:188))), "")</f>
        <v/>
      </c>
    </row>
    <row r="192" customFormat="false" ht="23.25" hidden="false" customHeight="true" outlineLevel="0" collapsed="false">
      <c r="A192" s="28" t="str">
        <f aca="false" t="array" ref="A192:A192">IFERROR(INDEX('Bank Schedule'!A:A, SMALL(IF('Bank Schedule'!$K$2:$K$817="Vacant", ROW('Bank Schedule'!$K$2:$K$817)), ROW(189:189))), "")</f>
        <v/>
      </c>
      <c r="B192" s="11" t="str">
        <f aca="false" t="array" ref="B192:B192">IFERROR(INDEX('Bank Schedule'!B:B, SMALL(IF('Bank Schedule'!$K$2:$K$817="Vacant", ROW('Bank Schedule'!$K$2:$K$817)), ROW(189:189))), "")</f>
        <v/>
      </c>
      <c r="C192" s="11" t="str">
        <f aca="false" t="array" ref="C192:C192">IFERROR(INDEX('Bank Schedule'!C:C, SMALL(IF('Bank Schedule'!$K$2:$K$817="Vacant", ROW('Bank Schedule'!$K$2:$K$817)), ROW(189:189))), "")</f>
        <v/>
      </c>
      <c r="D192" s="28" t="str">
        <f aca="false" t="array" ref="D192:D192">IFERROR(INDEX('Bank Schedule'!D:D, SMALL(IF('Bank Schedule'!$K$2:$K$817="Vacant", ROW('Bank Schedule'!$K$2:$K$817)), ROW(189:189))), "")</f>
        <v/>
      </c>
      <c r="E192" s="4" t="str">
        <f aca="false" t="array" ref="E192:E192">IFERROR(INDEX('Bank Schedule'!E:E, SMALL(IF('Bank Schedule'!$K$2:$K$817="Vacant", ROW('Bank Schedule'!$K$2:$K$817)), ROW(189:189))), "")</f>
        <v/>
      </c>
      <c r="F192" s="4" t="str">
        <f aca="false" t="array" ref="F192:F192">IFERROR(INDEX('Bank Schedule'!F:F, SMALL(IF('Bank Schedule'!$K$2:$K$817="Vacant", ROW('Bank Schedule'!$K$2:$K$817)), ROW(189:189))), "")</f>
        <v/>
      </c>
      <c r="G192" s="5" t="str">
        <f aca="false" t="array" ref="G192:G192">IFERROR(INDEX('Bank Schedule'!G:G, SMALL(IF('Bank Schedule'!$K$2:$K$817="Vacant", ROW('Bank Schedule'!$K$2:$K$817)), ROW(189:189))), "")</f>
        <v/>
      </c>
      <c r="H192" s="6" t="str">
        <f aca="false" t="array" ref="H192:H192">IFERROR(INDEX('Bank Schedule'!H:H, SMALL(IF('Bank Schedule'!$K$2:$K$817="Vacant", ROW('Bank Schedule'!$K$2:$K$817)), ROW(189:189))), "")</f>
        <v/>
      </c>
      <c r="I192" s="6" t="str">
        <f aca="false" t="array" ref="I192:I192">IFERROR(INDEX('Bank Schedule'!I:I, SMALL(IF('Bank Schedule'!$K$2:$K$817="Vacant", ROW('Bank Schedule'!$K$2:$K$817)), ROW(189:189))), "")</f>
        <v/>
      </c>
      <c r="J192" s="5" t="str">
        <f aca="false" t="array" ref="J192:J192">IFERROR(INDEX('Bank Schedule'!K:K, SMALL(IF('Bank Schedule'!$K$2:$K$817="Vacant", ROW('Bank Schedule'!$K$2:$K$817)), ROW(189:189))), "")</f>
        <v/>
      </c>
      <c r="K192" s="94" t="e">
        <f aca="false" t="array" ref="K192:K192">IFERROR(INDEX('bank schedule'!#ref!, SMALL(IF('Bank Schedule'!$K$2:$K$817="Vacant", ROW('Bank Schedule'!$K$2:$K$817)), ROW(189:189))), "")</f>
        <v>#VALUE!</v>
      </c>
      <c r="L192" s="7" t="str">
        <f aca="false" t="array" ref="L192:L192">IFERROR(INDEX('Bank Schedule'!L:L, SMALL(IF('Bank Schedule'!$K$2:$K$817="Vacant", ROW('Bank Schedule'!$K$2:$K$817)), ROW(189:189))), "")</f>
        <v/>
      </c>
      <c r="M192" s="8" t="str">
        <f aca="false" t="array" ref="M192:M192">IFERROR(INDEX('Bank Schedule'!M:M, SMALL(IF('Bank Schedule'!$K$2:$K$817="Vacant", ROW('Bank Schedule'!$K$2:$K$817)), ROW(189:189))), "")</f>
        <v/>
      </c>
      <c r="N192" s="8" t="str">
        <f aca="false" t="array" ref="N192:N192">IFERROR(INDEX('Bank Schedule'!N:N, SMALL(IF('Bank Schedule'!$K$2:$K$817="Vacant", ROW('Bank Schedule'!$K$2:$K$817)), ROW(189:189))), "")</f>
        <v/>
      </c>
      <c r="O192" s="8" t="str">
        <f aca="false" t="array" ref="O192:O192">IFERROR(INDEX('Bank Schedule'!O:O, SMALL(IF('Bank Schedule'!$K$2:$K$817="Vacant", ROW('Bank Schedule'!$K$2:$K$817)), ROW(189:189))), "")</f>
        <v/>
      </c>
      <c r="P192" s="8" t="str">
        <f aca="false" t="array" ref="P192:P192">IFERROR(INDEX('Bank Schedule'!P:P, SMALL(IF('Bank Schedule'!$K$2:$K$817="Vacant", ROW('Bank Schedule'!$K$2:$K$817)), ROW(189:189))), "")</f>
        <v/>
      </c>
      <c r="Q192" s="8" t="e">
        <f aca="false" t="array" ref="Q192:Q192">IFERROR(INDEX('bank schedule'!#ref!, SMALL(IF('Bank Schedule'!$K$2:$K$817="Vacant", ROW('Bank Schedule'!$K$2:$K$817)), ROW(189:189))), "")</f>
        <v>#VALUE!</v>
      </c>
      <c r="R192" s="9" t="str">
        <f aca="false" t="array" ref="R192:R192">IFERROR(INDEX('Bank Schedule'!Q:Q, SMALL(IF('Bank Schedule'!$K$2:$K$817="Vacant", ROW('Bank Schedule'!$K$2:$K$817)), ROW(189:189))), "")</f>
        <v/>
      </c>
      <c r="S192" s="9" t="str">
        <f aca="false" t="array" ref="S192:S192">IFERROR(INDEX('Bank Schedule'!R:R, SMALL(IF('Bank Schedule'!$K$2:$K$817="Vacant", ROW('Bank Schedule'!$K$2:$K$817)), ROW(189:189))), "")</f>
        <v/>
      </c>
      <c r="T192" s="9" t="str">
        <f aca="false" t="array" ref="T192:T192">IFERROR(INDEX('Bank Schedule'!S:S, SMALL(IF('Bank Schedule'!$K$2:$K$817="Vacant", ROW('Bank Schedule'!$K$2:$K$817)), ROW(189:189))), "")</f>
        <v/>
      </c>
      <c r="U192" s="71" t="e">
        <f aca="false" t="array" ref="U192:U192">IFERROR(INDEX('bank schedule'!#ref!, SMALL(IF('Bank Schedule'!$K$2:$K$817="Vacant", ROW('Bank Schedule'!$K$2:$K$817)), ROW(189:189))), "")</f>
        <v>#VALUE!</v>
      </c>
      <c r="V192" s="9" t="e">
        <f aca="false" t="array" ref="V192:V192">IFERROR(INDEX('bank schedule'!#ref!, SMALL(IF('Bank Schedule'!$K$2:$K$817="Vacant", ROW('Bank Schedule'!$K$2:$K$817)), ROW(189:189))), "")</f>
        <v>#VALUE!</v>
      </c>
      <c r="W192" s="9" t="e">
        <f aca="false" t="array" ref="W192:W192">IFERROR(INDEX('bank schedule'!#ref!, SMALL(IF('Bank Schedule'!$K$2:$K$817="Vacant", ROW('Bank Schedule'!$K$2:$K$817)), ROW(189:189))), "")</f>
        <v>#VALUE!</v>
      </c>
      <c r="X192" s="9" t="str">
        <f aca="false" t="array" ref="X192:X192">IFERROR(INDEX('Bank Schedule'!V:V, SMALL(IF('Bank Schedule'!$K$2:$K$817="Vacant", ROW('Bank Schedule'!$K$2:$K$817)), ROW(189:189))), "")</f>
        <v/>
      </c>
      <c r="Y192" s="9" t="str">
        <f aca="false" t="array" ref="Y192:Y192">IFERROR(INDEX('Bank Schedule'!W:W, SMALL(IF('Bank Schedule'!$K$2:$K$817="Vacant", ROW('Bank Schedule'!$K$2:$K$817)), ROW(189:189))), "")</f>
        <v/>
      </c>
      <c r="Z192" s="40" t="str">
        <f aca="false" t="array" ref="Z192:Z192">IFERROR(INDEX('Bank Schedule'!Z:Z, SMALL(IF('Bank Schedule'!$K$2:$K$817="Vacant", ROW('Bank Schedule'!$K$2:$K$817)), ROW(189:189))), "")</f>
        <v/>
      </c>
      <c r="AA192" s="14" t="str">
        <f aca="false" t="array" ref="AA192:AA192">IFERROR(INDEX('Bank Schedule'!AA:AA, SMALL(IF('Bank Schedule'!$K$2:$K$817="Vacant", ROW('Bank Schedule'!$K$2:$K$817)), ROW(189:189))), "")</f>
        <v/>
      </c>
      <c r="AB192" s="5" t="str">
        <f aca="false" t="array" ref="AB192:AB192">IFERROR(INDEX('Bank Schedule'!AB:AB, SMALL(IF('Bank Schedule'!$K$2:$K$817="Vacant", ROW('Bank Schedule'!$K$2:$K$817)), ROW(189:189))), "")</f>
        <v/>
      </c>
      <c r="AC192" s="4" t="str">
        <f aca="false" t="array" ref="AC192:AC192">IFERROR(INDEX('Bank Schedule'!AC:AC, SMALL(IF('Bank Schedule'!$K$2:$K$817="Vacant", ROW('Bank Schedule'!$K$2:$K$817)), ROW(189:189))), "")</f>
        <v/>
      </c>
    </row>
    <row r="193" customFormat="false" ht="14.25" hidden="false" customHeight="true" outlineLevel="0" collapsed="false">
      <c r="A193" s="28" t="str">
        <f aca="false" t="array" ref="A193:A193">IFERROR(INDEX('Bank Schedule'!A:A, SMALL(IF('Bank Schedule'!$K$2:$K$817="Vacant", ROW('Bank Schedule'!$K$2:$K$817)), ROW(190:190))), "")</f>
        <v/>
      </c>
      <c r="B193" s="11" t="str">
        <f aca="false" t="array" ref="B193:B193">IFERROR(INDEX('Bank Schedule'!B:B, SMALL(IF('Bank Schedule'!$K$2:$K$817="Vacant", ROW('Bank Schedule'!$K$2:$K$817)), ROW(190:190))), "")</f>
        <v/>
      </c>
      <c r="C193" s="11" t="str">
        <f aca="false" t="array" ref="C193:C193">IFERROR(INDEX('Bank Schedule'!C:C, SMALL(IF('Bank Schedule'!$K$2:$K$817="Vacant", ROW('Bank Schedule'!$K$2:$K$817)), ROW(190:190))), "")</f>
        <v/>
      </c>
      <c r="D193" s="28" t="str">
        <f aca="false" t="array" ref="D193:D193">IFERROR(INDEX('Bank Schedule'!D:D, SMALL(IF('Bank Schedule'!$K$2:$K$817="Vacant", ROW('Bank Schedule'!$K$2:$K$817)), ROW(190:190))), "")</f>
        <v/>
      </c>
      <c r="E193" s="4" t="str">
        <f aca="false" t="array" ref="E193:E193">IFERROR(INDEX('Bank Schedule'!E:E, SMALL(IF('Bank Schedule'!$K$2:$K$817="Vacant", ROW('Bank Schedule'!$K$2:$K$817)), ROW(190:190))), "")</f>
        <v/>
      </c>
      <c r="F193" s="4" t="str">
        <f aca="false" t="array" ref="F193:F193">IFERROR(INDEX('Bank Schedule'!F:F, SMALL(IF('Bank Schedule'!$K$2:$K$817="Vacant", ROW('Bank Schedule'!$K$2:$K$817)), ROW(190:190))), "")</f>
        <v/>
      </c>
      <c r="G193" s="5" t="str">
        <f aca="false" t="array" ref="G193:G193">IFERROR(INDEX('Bank Schedule'!G:G, SMALL(IF('Bank Schedule'!$K$2:$K$817="Vacant", ROW('Bank Schedule'!$K$2:$K$817)), ROW(190:190))), "")</f>
        <v/>
      </c>
      <c r="H193" s="6" t="str">
        <f aca="false" t="array" ref="H193:H193">IFERROR(INDEX('Bank Schedule'!H:H, SMALL(IF('Bank Schedule'!$K$2:$K$817="Vacant", ROW('Bank Schedule'!$K$2:$K$817)), ROW(190:190))), "")</f>
        <v/>
      </c>
      <c r="I193" s="6" t="str">
        <f aca="false" t="array" ref="I193:I193">IFERROR(INDEX('Bank Schedule'!I:I, SMALL(IF('Bank Schedule'!$K$2:$K$817="Vacant", ROW('Bank Schedule'!$K$2:$K$817)), ROW(190:190))), "")</f>
        <v/>
      </c>
      <c r="J193" s="5" t="str">
        <f aca="false" t="array" ref="J193:J193">IFERROR(INDEX('Bank Schedule'!K:K, SMALL(IF('Bank Schedule'!$K$2:$K$817="Vacant", ROW('Bank Schedule'!$K$2:$K$817)), ROW(190:190))), "")</f>
        <v/>
      </c>
      <c r="K193" s="94" t="e">
        <f aca="false" t="array" ref="K193:K193">IFERROR(INDEX('bank schedule'!#ref!, SMALL(IF('Bank Schedule'!$K$2:$K$817="Vacant", ROW('Bank Schedule'!$K$2:$K$817)), ROW(190:190))), "")</f>
        <v>#VALUE!</v>
      </c>
      <c r="L193" s="7" t="str">
        <f aca="false" t="array" ref="L193:L193">IFERROR(INDEX('Bank Schedule'!L:L, SMALL(IF('Bank Schedule'!$K$2:$K$817="Vacant", ROW('Bank Schedule'!$K$2:$K$817)), ROW(190:190))), "")</f>
        <v/>
      </c>
      <c r="M193" s="8" t="str">
        <f aca="false" t="array" ref="M193:M193">IFERROR(INDEX('Bank Schedule'!M:M, SMALL(IF('Bank Schedule'!$K$2:$K$817="Vacant", ROW('Bank Schedule'!$K$2:$K$817)), ROW(190:190))), "")</f>
        <v/>
      </c>
      <c r="N193" s="8" t="str">
        <f aca="false" t="array" ref="N193:N193">IFERROR(INDEX('Bank Schedule'!N:N, SMALL(IF('Bank Schedule'!$K$2:$K$817="Vacant", ROW('Bank Schedule'!$K$2:$K$817)), ROW(190:190))), "")</f>
        <v/>
      </c>
      <c r="O193" s="8" t="str">
        <f aca="false" t="array" ref="O193:O193">IFERROR(INDEX('Bank Schedule'!O:O, SMALL(IF('Bank Schedule'!$K$2:$K$817="Vacant", ROW('Bank Schedule'!$K$2:$K$817)), ROW(190:190))), "")</f>
        <v/>
      </c>
      <c r="P193" s="8" t="str">
        <f aca="false" t="array" ref="P193:P193">IFERROR(INDEX('Bank Schedule'!P:P, SMALL(IF('Bank Schedule'!$K$2:$K$817="Vacant", ROW('Bank Schedule'!$K$2:$K$817)), ROW(190:190))), "")</f>
        <v/>
      </c>
      <c r="Q193" s="8" t="e">
        <f aca="false" t="array" ref="Q193:Q193">IFERROR(INDEX('bank schedule'!#ref!, SMALL(IF('Bank Schedule'!$K$2:$K$817="Vacant", ROW('Bank Schedule'!$K$2:$K$817)), ROW(190:190))), "")</f>
        <v>#VALUE!</v>
      </c>
      <c r="R193" s="9" t="str">
        <f aca="false" t="array" ref="R193:R193">IFERROR(INDEX('Bank Schedule'!Q:Q, SMALL(IF('Bank Schedule'!$K$2:$K$817="Vacant", ROW('Bank Schedule'!$K$2:$K$817)), ROW(190:190))), "")</f>
        <v/>
      </c>
      <c r="S193" s="9" t="str">
        <f aca="false" t="array" ref="S193:S193">IFERROR(INDEX('Bank Schedule'!R:R, SMALL(IF('Bank Schedule'!$K$2:$K$817="Vacant", ROW('Bank Schedule'!$K$2:$K$817)), ROW(190:190))), "")</f>
        <v/>
      </c>
      <c r="T193" s="9" t="str">
        <f aca="false" t="array" ref="T193:T193">IFERROR(INDEX('Bank Schedule'!S:S, SMALL(IF('Bank Schedule'!$K$2:$K$817="Vacant", ROW('Bank Schedule'!$K$2:$K$817)), ROW(190:190))), "")</f>
        <v/>
      </c>
      <c r="U193" s="71" t="e">
        <f aca="false" t="array" ref="U193:U193">IFERROR(INDEX('bank schedule'!#ref!, SMALL(IF('Bank Schedule'!$K$2:$K$817="Vacant", ROW('Bank Schedule'!$K$2:$K$817)), ROW(190:190))), "")</f>
        <v>#VALUE!</v>
      </c>
      <c r="V193" s="9" t="e">
        <f aca="false" t="array" ref="V193:V193">IFERROR(INDEX('bank schedule'!#ref!, SMALL(IF('Bank Schedule'!$K$2:$K$817="Vacant", ROW('Bank Schedule'!$K$2:$K$817)), ROW(190:190))), "")</f>
        <v>#VALUE!</v>
      </c>
      <c r="W193" s="9" t="e">
        <f aca="false" t="array" ref="W193:W193">IFERROR(INDEX('bank schedule'!#ref!, SMALL(IF('Bank Schedule'!$K$2:$K$817="Vacant", ROW('Bank Schedule'!$K$2:$K$817)), ROW(190:190))), "")</f>
        <v>#VALUE!</v>
      </c>
      <c r="X193" s="9" t="str">
        <f aca="false" t="array" ref="X193:X193">IFERROR(INDEX('Bank Schedule'!V:V, SMALL(IF('Bank Schedule'!$K$2:$K$817="Vacant", ROW('Bank Schedule'!$K$2:$K$817)), ROW(190:190))), "")</f>
        <v/>
      </c>
      <c r="Y193" s="9" t="str">
        <f aca="false" t="array" ref="Y193:Y193">IFERROR(INDEX('Bank Schedule'!W:W, SMALL(IF('Bank Schedule'!$K$2:$K$817="Vacant", ROW('Bank Schedule'!$K$2:$K$817)), ROW(190:190))), "")</f>
        <v/>
      </c>
      <c r="Z193" s="40" t="str">
        <f aca="false" t="array" ref="Z193:Z193">IFERROR(INDEX('Bank Schedule'!Z:Z, SMALL(IF('Bank Schedule'!$K$2:$K$817="Vacant", ROW('Bank Schedule'!$K$2:$K$817)), ROW(190:190))), "")</f>
        <v/>
      </c>
      <c r="AA193" s="14" t="str">
        <f aca="false" t="array" ref="AA193:AA193">IFERROR(INDEX('Bank Schedule'!AA:AA, SMALL(IF('Bank Schedule'!$K$2:$K$817="Vacant", ROW('Bank Schedule'!$K$2:$K$817)), ROW(190:190))), "")</f>
        <v/>
      </c>
      <c r="AB193" s="5" t="str">
        <f aca="false" t="array" ref="AB193:AB193">IFERROR(INDEX('Bank Schedule'!AB:AB, SMALL(IF('Bank Schedule'!$K$2:$K$817="Vacant", ROW('Bank Schedule'!$K$2:$K$817)), ROW(190:190))), "")</f>
        <v/>
      </c>
      <c r="AC193" s="4" t="str">
        <f aca="false" t="array" ref="AC193:AC193">IFERROR(INDEX('Bank Schedule'!AC:AC, SMALL(IF('Bank Schedule'!$K$2:$K$817="Vacant", ROW('Bank Schedule'!$K$2:$K$817)), ROW(190:190))), "")</f>
        <v/>
      </c>
    </row>
    <row r="194" customFormat="false" ht="14.25" hidden="false" customHeight="true" outlineLevel="0" collapsed="false">
      <c r="A194" s="28" t="str">
        <f aca="false" t="array" ref="A194:A194">IFERROR(INDEX('Bank Schedule'!A:A, SMALL(IF('Bank Schedule'!$K$2:$K$817="Vacant", ROW('Bank Schedule'!$K$2:$K$817)), ROW(191:191))), "")</f>
        <v/>
      </c>
      <c r="B194" s="11" t="str">
        <f aca="false" t="array" ref="B194:B194">IFERROR(INDEX('Bank Schedule'!B:B, SMALL(IF('Bank Schedule'!$K$2:$K$817="Vacant", ROW('Bank Schedule'!$K$2:$K$817)), ROW(191:191))), "")</f>
        <v/>
      </c>
      <c r="C194" s="11" t="str">
        <f aca="false" t="array" ref="C194:C194">IFERROR(INDEX('Bank Schedule'!C:C, SMALL(IF('Bank Schedule'!$K$2:$K$817="Vacant", ROW('Bank Schedule'!$K$2:$K$817)), ROW(191:191))), "")</f>
        <v/>
      </c>
      <c r="D194" s="28" t="str">
        <f aca="false" t="array" ref="D194:D194">IFERROR(INDEX('Bank Schedule'!D:D, SMALL(IF('Bank Schedule'!$K$2:$K$817="Vacant", ROW('Bank Schedule'!$K$2:$K$817)), ROW(191:191))), "")</f>
        <v/>
      </c>
      <c r="E194" s="4" t="str">
        <f aca="false" t="array" ref="E194:E194">IFERROR(INDEX('Bank Schedule'!E:E, SMALL(IF('Bank Schedule'!$K$2:$K$817="Vacant", ROW('Bank Schedule'!$K$2:$K$817)), ROW(191:191))), "")</f>
        <v/>
      </c>
      <c r="F194" s="4" t="str">
        <f aca="false" t="array" ref="F194:F194">IFERROR(INDEX('Bank Schedule'!F:F, SMALL(IF('Bank Schedule'!$K$2:$K$817="Vacant", ROW('Bank Schedule'!$K$2:$K$817)), ROW(191:191))), "")</f>
        <v/>
      </c>
      <c r="G194" s="5" t="str">
        <f aca="false" t="array" ref="G194:G194">IFERROR(INDEX('Bank Schedule'!G:G, SMALL(IF('Bank Schedule'!$K$2:$K$817="Vacant", ROW('Bank Schedule'!$K$2:$K$817)), ROW(191:191))), "")</f>
        <v/>
      </c>
      <c r="H194" s="6" t="str">
        <f aca="false" t="array" ref="H194:H194">IFERROR(INDEX('Bank Schedule'!H:H, SMALL(IF('Bank Schedule'!$K$2:$K$817="Vacant", ROW('Bank Schedule'!$K$2:$K$817)), ROW(191:191))), "")</f>
        <v/>
      </c>
      <c r="I194" s="6" t="str">
        <f aca="false" t="array" ref="I194:I194">IFERROR(INDEX('Bank Schedule'!I:I, SMALL(IF('Bank Schedule'!$K$2:$K$817="Vacant", ROW('Bank Schedule'!$K$2:$K$817)), ROW(191:191))), "")</f>
        <v/>
      </c>
      <c r="J194" s="5" t="str">
        <f aca="false" t="array" ref="J194:J194">IFERROR(INDEX('Bank Schedule'!K:K, SMALL(IF('Bank Schedule'!$K$2:$K$817="Vacant", ROW('Bank Schedule'!$K$2:$K$817)), ROW(191:191))), "")</f>
        <v/>
      </c>
      <c r="K194" s="94" t="e">
        <f aca="false" t="array" ref="K194:K194">IFERROR(INDEX('bank schedule'!#ref!, SMALL(IF('Bank Schedule'!$K$2:$K$817="Vacant", ROW('Bank Schedule'!$K$2:$K$817)), ROW(191:191))), "")</f>
        <v>#VALUE!</v>
      </c>
      <c r="L194" s="7" t="str">
        <f aca="false" t="array" ref="L194:L194">IFERROR(INDEX('Bank Schedule'!L:L, SMALL(IF('Bank Schedule'!$K$2:$K$817="Vacant", ROW('Bank Schedule'!$K$2:$K$817)), ROW(191:191))), "")</f>
        <v/>
      </c>
      <c r="M194" s="8" t="str">
        <f aca="false" t="array" ref="M194:M194">IFERROR(INDEX('Bank Schedule'!M:M, SMALL(IF('Bank Schedule'!$K$2:$K$817="Vacant", ROW('Bank Schedule'!$K$2:$K$817)), ROW(191:191))), "")</f>
        <v/>
      </c>
      <c r="N194" s="8" t="str">
        <f aca="false" t="array" ref="N194:N194">IFERROR(INDEX('Bank Schedule'!N:N, SMALL(IF('Bank Schedule'!$K$2:$K$817="Vacant", ROW('Bank Schedule'!$K$2:$K$817)), ROW(191:191))), "")</f>
        <v/>
      </c>
      <c r="O194" s="8" t="str">
        <f aca="false" t="array" ref="O194:O194">IFERROR(INDEX('Bank Schedule'!O:O, SMALL(IF('Bank Schedule'!$K$2:$K$817="Vacant", ROW('Bank Schedule'!$K$2:$K$817)), ROW(191:191))), "")</f>
        <v/>
      </c>
      <c r="P194" s="8" t="str">
        <f aca="false" t="array" ref="P194:P194">IFERROR(INDEX('Bank Schedule'!P:P, SMALL(IF('Bank Schedule'!$K$2:$K$817="Vacant", ROW('Bank Schedule'!$K$2:$K$817)), ROW(191:191))), "")</f>
        <v/>
      </c>
      <c r="Q194" s="8" t="e">
        <f aca="false" t="array" ref="Q194:Q194">IFERROR(INDEX('bank schedule'!#ref!, SMALL(IF('Bank Schedule'!$K$2:$K$817="Vacant", ROW('Bank Schedule'!$K$2:$K$817)), ROW(191:191))), "")</f>
        <v>#VALUE!</v>
      </c>
      <c r="R194" s="9" t="str">
        <f aca="false" t="array" ref="R194:R194">IFERROR(INDEX('Bank Schedule'!Q:Q, SMALL(IF('Bank Schedule'!$K$2:$K$817="Vacant", ROW('Bank Schedule'!$K$2:$K$817)), ROW(191:191))), "")</f>
        <v/>
      </c>
      <c r="S194" s="9" t="str">
        <f aca="false" t="array" ref="S194:S194">IFERROR(INDEX('Bank Schedule'!R:R, SMALL(IF('Bank Schedule'!$K$2:$K$817="Vacant", ROW('Bank Schedule'!$K$2:$K$817)), ROW(191:191))), "")</f>
        <v/>
      </c>
      <c r="T194" s="9" t="str">
        <f aca="false" t="array" ref="T194:T194">IFERROR(INDEX('Bank Schedule'!S:S, SMALL(IF('Bank Schedule'!$K$2:$K$817="Vacant", ROW('Bank Schedule'!$K$2:$K$817)), ROW(191:191))), "")</f>
        <v/>
      </c>
      <c r="U194" s="71" t="e">
        <f aca="false" t="array" ref="U194:U194">IFERROR(INDEX('bank schedule'!#ref!, SMALL(IF('Bank Schedule'!$K$2:$K$817="Vacant", ROW('Bank Schedule'!$K$2:$K$817)), ROW(191:191))), "")</f>
        <v>#VALUE!</v>
      </c>
      <c r="V194" s="9" t="e">
        <f aca="false" t="array" ref="V194:V194">IFERROR(INDEX('bank schedule'!#ref!, SMALL(IF('Bank Schedule'!$K$2:$K$817="Vacant", ROW('Bank Schedule'!$K$2:$K$817)), ROW(191:191))), "")</f>
        <v>#VALUE!</v>
      </c>
      <c r="W194" s="9" t="e">
        <f aca="false" t="array" ref="W194:W194">IFERROR(INDEX('bank schedule'!#ref!, SMALL(IF('Bank Schedule'!$K$2:$K$817="Vacant", ROW('Bank Schedule'!$K$2:$K$817)), ROW(191:191))), "")</f>
        <v>#VALUE!</v>
      </c>
      <c r="X194" s="9" t="str">
        <f aca="false" t="array" ref="X194:X194">IFERROR(INDEX('Bank Schedule'!V:V, SMALL(IF('Bank Schedule'!$K$2:$K$817="Vacant", ROW('Bank Schedule'!$K$2:$K$817)), ROW(191:191))), "")</f>
        <v/>
      </c>
      <c r="Y194" s="9" t="str">
        <f aca="false" t="array" ref="Y194:Y194">IFERROR(INDEX('Bank Schedule'!W:W, SMALL(IF('Bank Schedule'!$K$2:$K$817="Vacant", ROW('Bank Schedule'!$K$2:$K$817)), ROW(191:191))), "")</f>
        <v/>
      </c>
      <c r="Z194" s="40" t="str">
        <f aca="false" t="array" ref="Z194:Z194">IFERROR(INDEX('Bank Schedule'!Z:Z, SMALL(IF('Bank Schedule'!$K$2:$K$817="Vacant", ROW('Bank Schedule'!$K$2:$K$817)), ROW(191:191))), "")</f>
        <v/>
      </c>
      <c r="AA194" s="14" t="str">
        <f aca="false" t="array" ref="AA194:AA194">IFERROR(INDEX('Bank Schedule'!AA:AA, SMALL(IF('Bank Schedule'!$K$2:$K$817="Vacant", ROW('Bank Schedule'!$K$2:$K$817)), ROW(191:191))), "")</f>
        <v/>
      </c>
      <c r="AB194" s="5" t="str">
        <f aca="false" t="array" ref="AB194:AB194">IFERROR(INDEX('Bank Schedule'!AB:AB, SMALL(IF('Bank Schedule'!$K$2:$K$817="Vacant", ROW('Bank Schedule'!$K$2:$K$817)), ROW(191:191))), "")</f>
        <v/>
      </c>
      <c r="AC194" s="4" t="str">
        <f aca="false" t="array" ref="AC194:AC194">IFERROR(INDEX('Bank Schedule'!AC:AC, SMALL(IF('Bank Schedule'!$K$2:$K$817="Vacant", ROW('Bank Schedule'!$K$2:$K$817)), ROW(191:191))), "")</f>
        <v/>
      </c>
    </row>
    <row r="195" customFormat="false" ht="14.25" hidden="false" customHeight="true" outlineLevel="0" collapsed="false">
      <c r="A195" s="28" t="str">
        <f aca="false" t="array" ref="A195:A195">IFERROR(INDEX('Bank Schedule'!A:A, SMALL(IF('Bank Schedule'!$K$2:$K$817="Vacant", ROW('Bank Schedule'!$K$2:$K$817)), ROW(192:192))), "")</f>
        <v/>
      </c>
      <c r="B195" s="11" t="str">
        <f aca="false" t="array" ref="B195:B195">IFERROR(INDEX('Bank Schedule'!B:B, SMALL(IF('Bank Schedule'!$K$2:$K$817="Vacant", ROW('Bank Schedule'!$K$2:$K$817)), ROW(192:192))), "")</f>
        <v/>
      </c>
      <c r="C195" s="11" t="str">
        <f aca="false" t="array" ref="C195:C195">IFERROR(INDEX('Bank Schedule'!C:C, SMALL(IF('Bank Schedule'!$K$2:$K$817="Vacant", ROW('Bank Schedule'!$K$2:$K$817)), ROW(192:192))), "")</f>
        <v/>
      </c>
      <c r="D195" s="28" t="str">
        <f aca="false" t="array" ref="D195:D195">IFERROR(INDEX('Bank Schedule'!D:D, SMALL(IF('Bank Schedule'!$K$2:$K$817="Vacant", ROW('Bank Schedule'!$K$2:$K$817)), ROW(192:192))), "")</f>
        <v/>
      </c>
      <c r="E195" s="4" t="str">
        <f aca="false" t="array" ref="E195:E195">IFERROR(INDEX('Bank Schedule'!E:E, SMALL(IF('Bank Schedule'!$K$2:$K$817="Vacant", ROW('Bank Schedule'!$K$2:$K$817)), ROW(192:192))), "")</f>
        <v/>
      </c>
      <c r="F195" s="4" t="str">
        <f aca="false" t="array" ref="F195:F195">IFERROR(INDEX('Bank Schedule'!F:F, SMALL(IF('Bank Schedule'!$K$2:$K$817="Vacant", ROW('Bank Schedule'!$K$2:$K$817)), ROW(192:192))), "")</f>
        <v/>
      </c>
      <c r="G195" s="5" t="str">
        <f aca="false" t="array" ref="G195:G195">IFERROR(INDEX('Bank Schedule'!G:G, SMALL(IF('Bank Schedule'!$K$2:$K$817="Vacant", ROW('Bank Schedule'!$K$2:$K$817)), ROW(192:192))), "")</f>
        <v/>
      </c>
      <c r="H195" s="6" t="str">
        <f aca="false" t="array" ref="H195:H195">IFERROR(INDEX('Bank Schedule'!H:H, SMALL(IF('Bank Schedule'!$K$2:$K$817="Vacant", ROW('Bank Schedule'!$K$2:$K$817)), ROW(192:192))), "")</f>
        <v/>
      </c>
      <c r="I195" s="6" t="str">
        <f aca="false" t="array" ref="I195:I195">IFERROR(INDEX('Bank Schedule'!I:I, SMALL(IF('Bank Schedule'!$K$2:$K$817="Vacant", ROW('Bank Schedule'!$K$2:$K$817)), ROW(192:192))), "")</f>
        <v/>
      </c>
      <c r="J195" s="5" t="str">
        <f aca="false" t="array" ref="J195:J195">IFERROR(INDEX('Bank Schedule'!K:K, SMALL(IF('Bank Schedule'!$K$2:$K$817="Vacant", ROW('Bank Schedule'!$K$2:$K$817)), ROW(192:192))), "")</f>
        <v/>
      </c>
      <c r="K195" s="94" t="e">
        <f aca="false" t="array" ref="K195:K195">IFERROR(INDEX('bank schedule'!#ref!, SMALL(IF('Bank Schedule'!$K$2:$K$817="Vacant", ROW('Bank Schedule'!$K$2:$K$817)), ROW(192:192))), "")</f>
        <v>#VALUE!</v>
      </c>
      <c r="L195" s="7" t="str">
        <f aca="false" t="array" ref="L195:L195">IFERROR(INDEX('Bank Schedule'!L:L, SMALL(IF('Bank Schedule'!$K$2:$K$817="Vacant", ROW('Bank Schedule'!$K$2:$K$817)), ROW(192:192))), "")</f>
        <v/>
      </c>
      <c r="M195" s="8" t="str">
        <f aca="false" t="array" ref="M195:M195">IFERROR(INDEX('Bank Schedule'!M:M, SMALL(IF('Bank Schedule'!$K$2:$K$817="Vacant", ROW('Bank Schedule'!$K$2:$K$817)), ROW(192:192))), "")</f>
        <v/>
      </c>
      <c r="N195" s="8" t="str">
        <f aca="false" t="array" ref="N195:N195">IFERROR(INDEX('Bank Schedule'!N:N, SMALL(IF('Bank Schedule'!$K$2:$K$817="Vacant", ROW('Bank Schedule'!$K$2:$K$817)), ROW(192:192))), "")</f>
        <v/>
      </c>
      <c r="O195" s="8" t="str">
        <f aca="false" t="array" ref="O195:O195">IFERROR(INDEX('Bank Schedule'!O:O, SMALL(IF('Bank Schedule'!$K$2:$K$817="Vacant", ROW('Bank Schedule'!$K$2:$K$817)), ROW(192:192))), "")</f>
        <v/>
      </c>
      <c r="P195" s="8" t="str">
        <f aca="false" t="array" ref="P195:P195">IFERROR(INDEX('Bank Schedule'!P:P, SMALL(IF('Bank Schedule'!$K$2:$K$817="Vacant", ROW('Bank Schedule'!$K$2:$K$817)), ROW(192:192))), "")</f>
        <v/>
      </c>
      <c r="Q195" s="8" t="e">
        <f aca="false" t="array" ref="Q195:Q195">IFERROR(INDEX('bank schedule'!#ref!, SMALL(IF('Bank Schedule'!$K$2:$K$817="Vacant", ROW('Bank Schedule'!$K$2:$K$817)), ROW(192:192))), "")</f>
        <v>#VALUE!</v>
      </c>
      <c r="R195" s="9" t="str">
        <f aca="false" t="array" ref="R195:R195">IFERROR(INDEX('Bank Schedule'!Q:Q, SMALL(IF('Bank Schedule'!$K$2:$K$817="Vacant", ROW('Bank Schedule'!$K$2:$K$817)), ROW(192:192))), "")</f>
        <v/>
      </c>
      <c r="S195" s="9" t="str">
        <f aca="false" t="array" ref="S195:S195">IFERROR(INDEX('Bank Schedule'!R:R, SMALL(IF('Bank Schedule'!$K$2:$K$817="Vacant", ROW('Bank Schedule'!$K$2:$K$817)), ROW(192:192))), "")</f>
        <v/>
      </c>
      <c r="T195" s="9" t="str">
        <f aca="false" t="array" ref="T195:T195">IFERROR(INDEX('Bank Schedule'!S:S, SMALL(IF('Bank Schedule'!$K$2:$K$817="Vacant", ROW('Bank Schedule'!$K$2:$K$817)), ROW(192:192))), "")</f>
        <v/>
      </c>
      <c r="U195" s="71" t="e">
        <f aca="false" t="array" ref="U195:U195">IFERROR(INDEX('bank schedule'!#ref!, SMALL(IF('Bank Schedule'!$K$2:$K$817="Vacant", ROW('Bank Schedule'!$K$2:$K$817)), ROW(192:192))), "")</f>
        <v>#VALUE!</v>
      </c>
      <c r="V195" s="9" t="e">
        <f aca="false" t="array" ref="V195:V195">IFERROR(INDEX('bank schedule'!#ref!, SMALL(IF('Bank Schedule'!$K$2:$K$817="Vacant", ROW('Bank Schedule'!$K$2:$K$817)), ROW(192:192))), "")</f>
        <v>#VALUE!</v>
      </c>
      <c r="W195" s="9" t="e">
        <f aca="false" t="array" ref="W195:W195">IFERROR(INDEX('bank schedule'!#ref!, SMALL(IF('Bank Schedule'!$K$2:$K$817="Vacant", ROW('Bank Schedule'!$K$2:$K$817)), ROW(192:192))), "")</f>
        <v>#VALUE!</v>
      </c>
      <c r="X195" s="9" t="str">
        <f aca="false" t="array" ref="X195:X195">IFERROR(INDEX('Bank Schedule'!V:V, SMALL(IF('Bank Schedule'!$K$2:$K$817="Vacant", ROW('Bank Schedule'!$K$2:$K$817)), ROW(192:192))), "")</f>
        <v/>
      </c>
      <c r="Y195" s="9" t="str">
        <f aca="false" t="array" ref="Y195:Y195">IFERROR(INDEX('Bank Schedule'!W:W, SMALL(IF('Bank Schedule'!$K$2:$K$817="Vacant", ROW('Bank Schedule'!$K$2:$K$817)), ROW(192:192))), "")</f>
        <v/>
      </c>
      <c r="Z195" s="40" t="str">
        <f aca="false" t="array" ref="Z195:Z195">IFERROR(INDEX('Bank Schedule'!Z:Z, SMALL(IF('Bank Schedule'!$K$2:$K$817="Vacant", ROW('Bank Schedule'!$K$2:$K$817)), ROW(192:192))), "")</f>
        <v/>
      </c>
      <c r="AA195" s="14" t="str">
        <f aca="false" t="array" ref="AA195:AA195">IFERROR(INDEX('Bank Schedule'!AA:AA, SMALL(IF('Bank Schedule'!$K$2:$K$817="Vacant", ROW('Bank Schedule'!$K$2:$K$817)), ROW(192:192))), "")</f>
        <v/>
      </c>
      <c r="AB195" s="5" t="str">
        <f aca="false" t="array" ref="AB195:AB195">IFERROR(INDEX('Bank Schedule'!AB:AB, SMALL(IF('Bank Schedule'!$K$2:$K$817="Vacant", ROW('Bank Schedule'!$K$2:$K$817)), ROW(192:192))), "")</f>
        <v/>
      </c>
      <c r="AC195" s="4" t="str">
        <f aca="false" t="array" ref="AC195:AC195">IFERROR(INDEX('Bank Schedule'!AC:AC, SMALL(IF('Bank Schedule'!$K$2:$K$817="Vacant", ROW('Bank Schedule'!$K$2:$K$817)), ROW(192:192))), "")</f>
        <v/>
      </c>
    </row>
    <row r="196" customFormat="false" ht="14.25" hidden="false" customHeight="true" outlineLevel="0" collapsed="false">
      <c r="A196" s="28" t="str">
        <f aca="false" t="array" ref="A196:A196">IFERROR(INDEX('Bank Schedule'!A:A, SMALL(IF('Bank Schedule'!$K$2:$K$817="Vacant", ROW('Bank Schedule'!$K$2:$K$817)), ROW(193:193))), "")</f>
        <v/>
      </c>
      <c r="B196" s="11" t="str">
        <f aca="false" t="array" ref="B196:B196">IFERROR(INDEX('Bank Schedule'!B:B, SMALL(IF('Bank Schedule'!$K$2:$K$817="Vacant", ROW('Bank Schedule'!$K$2:$K$817)), ROW(193:193))), "")</f>
        <v/>
      </c>
      <c r="C196" s="11" t="str">
        <f aca="false" t="array" ref="C196:C196">IFERROR(INDEX('Bank Schedule'!C:C, SMALL(IF('Bank Schedule'!$K$2:$K$817="Vacant", ROW('Bank Schedule'!$K$2:$K$817)), ROW(193:193))), "")</f>
        <v/>
      </c>
      <c r="D196" s="28" t="str">
        <f aca="false" t="array" ref="D196:D196">IFERROR(INDEX('Bank Schedule'!D:D, SMALL(IF('Bank Schedule'!$K$2:$K$817="Vacant", ROW('Bank Schedule'!$K$2:$K$817)), ROW(193:193))), "")</f>
        <v/>
      </c>
      <c r="E196" s="4" t="str">
        <f aca="false" t="array" ref="E196:E196">IFERROR(INDEX('Bank Schedule'!E:E, SMALL(IF('Bank Schedule'!$K$2:$K$817="Vacant", ROW('Bank Schedule'!$K$2:$K$817)), ROW(193:193))), "")</f>
        <v/>
      </c>
      <c r="F196" s="4" t="str">
        <f aca="false" t="array" ref="F196:F196">IFERROR(INDEX('Bank Schedule'!F:F, SMALL(IF('Bank Schedule'!$K$2:$K$817="Vacant", ROW('Bank Schedule'!$K$2:$K$817)), ROW(193:193))), "")</f>
        <v/>
      </c>
      <c r="G196" s="5" t="str">
        <f aca="false" t="array" ref="G196:G196">IFERROR(INDEX('Bank Schedule'!G:G, SMALL(IF('Bank Schedule'!$K$2:$K$817="Vacant", ROW('Bank Schedule'!$K$2:$K$817)), ROW(193:193))), "")</f>
        <v/>
      </c>
      <c r="H196" s="6" t="str">
        <f aca="false" t="array" ref="H196:H196">IFERROR(INDEX('Bank Schedule'!H:H, SMALL(IF('Bank Schedule'!$K$2:$K$817="Vacant", ROW('Bank Schedule'!$K$2:$K$817)), ROW(193:193))), "")</f>
        <v/>
      </c>
      <c r="I196" s="6" t="str">
        <f aca="false" t="array" ref="I196:I196">IFERROR(INDEX('Bank Schedule'!I:I, SMALL(IF('Bank Schedule'!$K$2:$K$817="Vacant", ROW('Bank Schedule'!$K$2:$K$817)), ROW(193:193))), "")</f>
        <v/>
      </c>
      <c r="J196" s="5" t="str">
        <f aca="false" t="array" ref="J196:J196">IFERROR(INDEX('Bank Schedule'!K:K, SMALL(IF('Bank Schedule'!$K$2:$K$817="Vacant", ROW('Bank Schedule'!$K$2:$K$817)), ROW(193:193))), "")</f>
        <v/>
      </c>
      <c r="K196" s="94" t="e">
        <f aca="false" t="array" ref="K196:K196">IFERROR(INDEX('bank schedule'!#ref!, SMALL(IF('Bank Schedule'!$K$2:$K$817="Vacant", ROW('Bank Schedule'!$K$2:$K$817)), ROW(193:193))), "")</f>
        <v>#VALUE!</v>
      </c>
      <c r="L196" s="7" t="str">
        <f aca="false" t="array" ref="L196:L196">IFERROR(INDEX('Bank Schedule'!L:L, SMALL(IF('Bank Schedule'!$K$2:$K$817="Vacant", ROW('Bank Schedule'!$K$2:$K$817)), ROW(193:193))), "")</f>
        <v/>
      </c>
      <c r="M196" s="8" t="str">
        <f aca="false" t="array" ref="M196:M196">IFERROR(INDEX('Bank Schedule'!M:M, SMALL(IF('Bank Schedule'!$K$2:$K$817="Vacant", ROW('Bank Schedule'!$K$2:$K$817)), ROW(193:193))), "")</f>
        <v/>
      </c>
      <c r="N196" s="8" t="str">
        <f aca="false" t="array" ref="N196:N196">IFERROR(INDEX('Bank Schedule'!N:N, SMALL(IF('Bank Schedule'!$K$2:$K$817="Vacant", ROW('Bank Schedule'!$K$2:$K$817)), ROW(193:193))), "")</f>
        <v/>
      </c>
      <c r="O196" s="8" t="str">
        <f aca="false" t="array" ref="O196:O196">IFERROR(INDEX('Bank Schedule'!O:O, SMALL(IF('Bank Schedule'!$K$2:$K$817="Vacant", ROW('Bank Schedule'!$K$2:$K$817)), ROW(193:193))), "")</f>
        <v/>
      </c>
      <c r="P196" s="8" t="str">
        <f aca="false" t="array" ref="P196:P196">IFERROR(INDEX('Bank Schedule'!P:P, SMALL(IF('Bank Schedule'!$K$2:$K$817="Vacant", ROW('Bank Schedule'!$K$2:$K$817)), ROW(193:193))), "")</f>
        <v/>
      </c>
      <c r="Q196" s="8" t="e">
        <f aca="false" t="array" ref="Q196:Q196">IFERROR(INDEX('bank schedule'!#ref!, SMALL(IF('Bank Schedule'!$K$2:$K$817="Vacant", ROW('Bank Schedule'!$K$2:$K$817)), ROW(193:193))), "")</f>
        <v>#VALUE!</v>
      </c>
      <c r="R196" s="9" t="str">
        <f aca="false" t="array" ref="R196:R196">IFERROR(INDEX('Bank Schedule'!Q:Q, SMALL(IF('Bank Schedule'!$K$2:$K$817="Vacant", ROW('Bank Schedule'!$K$2:$K$817)), ROW(193:193))), "")</f>
        <v/>
      </c>
      <c r="S196" s="9" t="str">
        <f aca="false" t="array" ref="S196:S196">IFERROR(INDEX('Bank Schedule'!R:R, SMALL(IF('Bank Schedule'!$K$2:$K$817="Vacant", ROW('Bank Schedule'!$K$2:$K$817)), ROW(193:193))), "")</f>
        <v/>
      </c>
      <c r="T196" s="9" t="str">
        <f aca="false" t="array" ref="T196:T196">IFERROR(INDEX('Bank Schedule'!S:S, SMALL(IF('Bank Schedule'!$K$2:$K$817="Vacant", ROW('Bank Schedule'!$K$2:$K$817)), ROW(193:193))), "")</f>
        <v/>
      </c>
      <c r="U196" s="71" t="e">
        <f aca="false" t="array" ref="U196:U196">IFERROR(INDEX('bank schedule'!#ref!, SMALL(IF('Bank Schedule'!$K$2:$K$817="Vacant", ROW('Bank Schedule'!$K$2:$K$817)), ROW(193:193))), "")</f>
        <v>#VALUE!</v>
      </c>
      <c r="V196" s="9" t="e">
        <f aca="false" t="array" ref="V196:V196">IFERROR(INDEX('bank schedule'!#ref!, SMALL(IF('Bank Schedule'!$K$2:$K$817="Vacant", ROW('Bank Schedule'!$K$2:$K$817)), ROW(193:193))), "")</f>
        <v>#VALUE!</v>
      </c>
      <c r="W196" s="9" t="e">
        <f aca="false" t="array" ref="W196:W196">IFERROR(INDEX('bank schedule'!#ref!, SMALL(IF('Bank Schedule'!$K$2:$K$817="Vacant", ROW('Bank Schedule'!$K$2:$K$817)), ROW(193:193))), "")</f>
        <v>#VALUE!</v>
      </c>
      <c r="X196" s="9" t="str">
        <f aca="false" t="array" ref="X196:X196">IFERROR(INDEX('Bank Schedule'!V:V, SMALL(IF('Bank Schedule'!$K$2:$K$817="Vacant", ROW('Bank Schedule'!$K$2:$K$817)), ROW(193:193))), "")</f>
        <v/>
      </c>
      <c r="Y196" s="9" t="str">
        <f aca="false" t="array" ref="Y196:Y196">IFERROR(INDEX('Bank Schedule'!W:W, SMALL(IF('Bank Schedule'!$K$2:$K$817="Vacant", ROW('Bank Schedule'!$K$2:$K$817)), ROW(193:193))), "")</f>
        <v/>
      </c>
      <c r="Z196" s="40" t="str">
        <f aca="false" t="array" ref="Z196:Z196">IFERROR(INDEX('Bank Schedule'!Z:Z, SMALL(IF('Bank Schedule'!$K$2:$K$817="Vacant", ROW('Bank Schedule'!$K$2:$K$817)), ROW(193:193))), "")</f>
        <v/>
      </c>
      <c r="AA196" s="14" t="str">
        <f aca="false" t="array" ref="AA196:AA196">IFERROR(INDEX('Bank Schedule'!AA:AA, SMALL(IF('Bank Schedule'!$K$2:$K$817="Vacant", ROW('Bank Schedule'!$K$2:$K$817)), ROW(193:193))), "")</f>
        <v/>
      </c>
      <c r="AB196" s="5" t="str">
        <f aca="false" t="array" ref="AB196:AB196">IFERROR(INDEX('Bank Schedule'!AB:AB, SMALL(IF('Bank Schedule'!$K$2:$K$817="Vacant", ROW('Bank Schedule'!$K$2:$K$817)), ROW(193:193))), "")</f>
        <v/>
      </c>
      <c r="AC196" s="4" t="str">
        <f aca="false" t="array" ref="AC196:AC196">IFERROR(INDEX('Bank Schedule'!AC:AC, SMALL(IF('Bank Schedule'!$K$2:$K$817="Vacant", ROW('Bank Schedule'!$K$2:$K$817)), ROW(193:193))), "")</f>
        <v/>
      </c>
    </row>
    <row r="197" customFormat="false" ht="14.25" hidden="false" customHeight="true" outlineLevel="0" collapsed="false">
      <c r="A197" s="28" t="str">
        <f aca="false" t="array" ref="A197:A197">IFERROR(INDEX('Bank Schedule'!A:A, SMALL(IF('Bank Schedule'!$K$2:$K$817="Vacant", ROW('Bank Schedule'!$K$2:$K$817)), ROW(194:194))), "")</f>
        <v/>
      </c>
      <c r="B197" s="11" t="str">
        <f aca="false" t="array" ref="B197:B197">IFERROR(INDEX('Bank Schedule'!B:B, SMALL(IF('Bank Schedule'!$K$2:$K$817="Vacant", ROW('Bank Schedule'!$K$2:$K$817)), ROW(194:194))), "")</f>
        <v/>
      </c>
      <c r="C197" s="11" t="str">
        <f aca="false" t="array" ref="C197:C197">IFERROR(INDEX('Bank Schedule'!C:C, SMALL(IF('Bank Schedule'!$K$2:$K$817="Vacant", ROW('Bank Schedule'!$K$2:$K$817)), ROW(194:194))), "")</f>
        <v/>
      </c>
      <c r="D197" s="28" t="str">
        <f aca="false" t="array" ref="D197:D197">IFERROR(INDEX('Bank Schedule'!D:D, SMALL(IF('Bank Schedule'!$K$2:$K$817="Vacant", ROW('Bank Schedule'!$K$2:$K$817)), ROW(194:194))), "")</f>
        <v/>
      </c>
      <c r="E197" s="4" t="str">
        <f aca="false" t="array" ref="E197:E197">IFERROR(INDEX('Bank Schedule'!E:E, SMALL(IF('Bank Schedule'!$K$2:$K$817="Vacant", ROW('Bank Schedule'!$K$2:$K$817)), ROW(194:194))), "")</f>
        <v/>
      </c>
      <c r="F197" s="4" t="str">
        <f aca="false" t="array" ref="F197:F197">IFERROR(INDEX('Bank Schedule'!F:F, SMALL(IF('Bank Schedule'!$K$2:$K$817="Vacant", ROW('Bank Schedule'!$K$2:$K$817)), ROW(194:194))), "")</f>
        <v/>
      </c>
      <c r="G197" s="5" t="str">
        <f aca="false" t="array" ref="G197:G197">IFERROR(INDEX('Bank Schedule'!G:G, SMALL(IF('Bank Schedule'!$K$2:$K$817="Vacant", ROW('Bank Schedule'!$K$2:$K$817)), ROW(194:194))), "")</f>
        <v/>
      </c>
      <c r="H197" s="6" t="str">
        <f aca="false" t="array" ref="H197:H197">IFERROR(INDEX('Bank Schedule'!H:H, SMALL(IF('Bank Schedule'!$K$2:$K$817="Vacant", ROW('Bank Schedule'!$K$2:$K$817)), ROW(194:194))), "")</f>
        <v/>
      </c>
      <c r="I197" s="6" t="str">
        <f aca="false" t="array" ref="I197:I197">IFERROR(INDEX('Bank Schedule'!I:I, SMALL(IF('Bank Schedule'!$K$2:$K$817="Vacant", ROW('Bank Schedule'!$K$2:$K$817)), ROW(194:194))), "")</f>
        <v/>
      </c>
      <c r="J197" s="5" t="str">
        <f aca="false" t="array" ref="J197:J197">IFERROR(INDEX('Bank Schedule'!K:K, SMALL(IF('Bank Schedule'!$K$2:$K$817="Vacant", ROW('Bank Schedule'!$K$2:$K$817)), ROW(194:194))), "")</f>
        <v/>
      </c>
      <c r="K197" s="94" t="e">
        <f aca="false" t="array" ref="K197:K197">IFERROR(INDEX('bank schedule'!#ref!, SMALL(IF('Bank Schedule'!$K$2:$K$817="Vacant", ROW('Bank Schedule'!$K$2:$K$817)), ROW(194:194))), "")</f>
        <v>#VALUE!</v>
      </c>
      <c r="L197" s="7" t="str">
        <f aca="false" t="array" ref="L197:L197">IFERROR(INDEX('Bank Schedule'!L:L, SMALL(IF('Bank Schedule'!$K$2:$K$817="Vacant", ROW('Bank Schedule'!$K$2:$K$817)), ROW(194:194))), "")</f>
        <v/>
      </c>
      <c r="M197" s="8" t="str">
        <f aca="false" t="array" ref="M197:M197">IFERROR(INDEX('Bank Schedule'!M:M, SMALL(IF('Bank Schedule'!$K$2:$K$817="Vacant", ROW('Bank Schedule'!$K$2:$K$817)), ROW(194:194))), "")</f>
        <v/>
      </c>
      <c r="N197" s="8" t="str">
        <f aca="false" t="array" ref="N197:N197">IFERROR(INDEX('Bank Schedule'!N:N, SMALL(IF('Bank Schedule'!$K$2:$K$817="Vacant", ROW('Bank Schedule'!$K$2:$K$817)), ROW(194:194))), "")</f>
        <v/>
      </c>
      <c r="O197" s="8" t="str">
        <f aca="false" t="array" ref="O197:O197">IFERROR(INDEX('Bank Schedule'!O:O, SMALL(IF('Bank Schedule'!$K$2:$K$817="Vacant", ROW('Bank Schedule'!$K$2:$K$817)), ROW(194:194))), "")</f>
        <v/>
      </c>
      <c r="P197" s="8" t="str">
        <f aca="false" t="array" ref="P197:P197">IFERROR(INDEX('Bank Schedule'!P:P, SMALL(IF('Bank Schedule'!$K$2:$K$817="Vacant", ROW('Bank Schedule'!$K$2:$K$817)), ROW(194:194))), "")</f>
        <v/>
      </c>
      <c r="Q197" s="8" t="e">
        <f aca="false" t="array" ref="Q197:Q197">IFERROR(INDEX('bank schedule'!#ref!, SMALL(IF('Bank Schedule'!$K$2:$K$817="Vacant", ROW('Bank Schedule'!$K$2:$K$817)), ROW(194:194))), "")</f>
        <v>#VALUE!</v>
      </c>
      <c r="R197" s="9" t="str">
        <f aca="false" t="array" ref="R197:R197">IFERROR(INDEX('Bank Schedule'!Q:Q, SMALL(IF('Bank Schedule'!$K$2:$K$817="Vacant", ROW('Bank Schedule'!$K$2:$K$817)), ROW(194:194))), "")</f>
        <v/>
      </c>
      <c r="S197" s="9" t="str">
        <f aca="false" t="array" ref="S197:S197">IFERROR(INDEX('Bank Schedule'!R:R, SMALL(IF('Bank Schedule'!$K$2:$K$817="Vacant", ROW('Bank Schedule'!$K$2:$K$817)), ROW(194:194))), "")</f>
        <v/>
      </c>
      <c r="T197" s="9" t="str">
        <f aca="false" t="array" ref="T197:T197">IFERROR(INDEX('Bank Schedule'!S:S, SMALL(IF('Bank Schedule'!$K$2:$K$817="Vacant", ROW('Bank Schedule'!$K$2:$K$817)), ROW(194:194))), "")</f>
        <v/>
      </c>
      <c r="U197" s="71" t="e">
        <f aca="false" t="array" ref="U197:U197">IFERROR(INDEX('bank schedule'!#ref!, SMALL(IF('Bank Schedule'!$K$2:$K$817="Vacant", ROW('Bank Schedule'!$K$2:$K$817)), ROW(194:194))), "")</f>
        <v>#VALUE!</v>
      </c>
      <c r="V197" s="9" t="e">
        <f aca="false" t="array" ref="V197:V197">IFERROR(INDEX('bank schedule'!#ref!, SMALL(IF('Bank Schedule'!$K$2:$K$817="Vacant", ROW('Bank Schedule'!$K$2:$K$817)), ROW(194:194))), "")</f>
        <v>#VALUE!</v>
      </c>
      <c r="W197" s="9" t="e">
        <f aca="false" t="array" ref="W197:W197">IFERROR(INDEX('bank schedule'!#ref!, SMALL(IF('Bank Schedule'!$K$2:$K$817="Vacant", ROW('Bank Schedule'!$K$2:$K$817)), ROW(194:194))), "")</f>
        <v>#VALUE!</v>
      </c>
      <c r="X197" s="9" t="str">
        <f aca="false" t="array" ref="X197:X197">IFERROR(INDEX('Bank Schedule'!V:V, SMALL(IF('Bank Schedule'!$K$2:$K$817="Vacant", ROW('Bank Schedule'!$K$2:$K$817)), ROW(194:194))), "")</f>
        <v/>
      </c>
      <c r="Y197" s="9" t="str">
        <f aca="false" t="array" ref="Y197:Y197">IFERROR(INDEX('Bank Schedule'!W:W, SMALL(IF('Bank Schedule'!$K$2:$K$817="Vacant", ROW('Bank Schedule'!$K$2:$K$817)), ROW(194:194))), "")</f>
        <v/>
      </c>
      <c r="Z197" s="40" t="str">
        <f aca="false" t="array" ref="Z197:Z197">IFERROR(INDEX('Bank Schedule'!Z:Z, SMALL(IF('Bank Schedule'!$K$2:$K$817="Vacant", ROW('Bank Schedule'!$K$2:$K$817)), ROW(194:194))), "")</f>
        <v/>
      </c>
      <c r="AA197" s="14" t="str">
        <f aca="false" t="array" ref="AA197:AA197">IFERROR(INDEX('Bank Schedule'!AA:AA, SMALL(IF('Bank Schedule'!$K$2:$K$817="Vacant", ROW('Bank Schedule'!$K$2:$K$817)), ROW(194:194))), "")</f>
        <v/>
      </c>
      <c r="AB197" s="5" t="str">
        <f aca="false" t="array" ref="AB197:AB197">IFERROR(INDEX('Bank Schedule'!AB:AB, SMALL(IF('Bank Schedule'!$K$2:$K$817="Vacant", ROW('Bank Schedule'!$K$2:$K$817)), ROW(194:194))), "")</f>
        <v/>
      </c>
      <c r="AC197" s="4" t="str">
        <f aca="false" t="array" ref="AC197:AC197">IFERROR(INDEX('Bank Schedule'!AC:AC, SMALL(IF('Bank Schedule'!$K$2:$K$817="Vacant", ROW('Bank Schedule'!$K$2:$K$817)), ROW(194:194))), "")</f>
        <v/>
      </c>
    </row>
  </sheetData>
  <autoFilter ref="A3:AC197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11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pane xSplit="0" ySplit="1" topLeftCell="A243" activePane="bottomLeft" state="frozen"/>
      <selection pane="topLeft" activeCell="A1" activeCellId="0" sqref="A1"/>
      <selection pane="bottomLeft" activeCell="C262" activeCellId="0" sqref="C262"/>
    </sheetView>
  </sheetViews>
  <sheetFormatPr defaultColWidth="8.83203125" defaultRowHeight="12.75" customHeight="true" zeroHeight="false" outlineLevelRow="0" outlineLevelCol="0"/>
  <cols>
    <col collapsed="false" customWidth="true" hidden="false" outlineLevel="0" max="1" min="1" style="4" width="42.5"/>
    <col collapsed="false" customWidth="true" hidden="false" outlineLevel="0" max="2" min="2" style="4" width="24.67"/>
  </cols>
  <sheetData>
    <row r="1" s="3" customFormat="true" ht="12.75" hidden="false" customHeight="true" outlineLevel="0" collapsed="false">
      <c r="A1" s="20" t="s">
        <v>10</v>
      </c>
      <c r="B1" s="327" t="s">
        <v>876</v>
      </c>
    </row>
    <row r="2" s="3" customFormat="true" ht="12.75" hidden="false" customHeight="true" outlineLevel="0" collapsed="false">
      <c r="A2" s="29" t="s">
        <v>38</v>
      </c>
      <c r="B2" s="328" t="s">
        <v>877</v>
      </c>
    </row>
    <row r="3" s="3" customFormat="true" ht="12.75" hidden="false" customHeight="true" outlineLevel="0" collapsed="false">
      <c r="A3" s="4" t="s">
        <v>536</v>
      </c>
      <c r="B3" s="94" t="s">
        <v>878</v>
      </c>
    </row>
    <row r="4" s="3" customFormat="true" ht="12.75" hidden="false" customHeight="true" outlineLevel="0" collapsed="false">
      <c r="A4" s="4" t="s">
        <v>623</v>
      </c>
      <c r="B4" s="94" t="s">
        <v>46</v>
      </c>
    </row>
    <row r="5" s="3" customFormat="true" ht="12.75" hidden="false" customHeight="true" outlineLevel="0" collapsed="false">
      <c r="A5" s="4" t="s">
        <v>653</v>
      </c>
      <c r="B5" s="94" t="s">
        <v>46</v>
      </c>
    </row>
    <row r="6" s="3" customFormat="true" ht="12.75" hidden="false" customHeight="true" outlineLevel="0" collapsed="false">
      <c r="A6" s="4" t="s">
        <v>373</v>
      </c>
      <c r="B6" s="94" t="s">
        <v>877</v>
      </c>
    </row>
    <row r="7" s="3" customFormat="true" ht="12.75" hidden="false" customHeight="true" outlineLevel="0" collapsed="false">
      <c r="A7" s="105" t="s">
        <v>820</v>
      </c>
      <c r="B7" s="105" t="s">
        <v>877</v>
      </c>
    </row>
    <row r="8" s="3" customFormat="true" ht="12.75" hidden="false" customHeight="true" outlineLevel="0" collapsed="false">
      <c r="A8" s="4" t="s">
        <v>678</v>
      </c>
      <c r="B8" s="94" t="s">
        <v>235</v>
      </c>
    </row>
    <row r="9" s="3" customFormat="true" ht="12.75" hidden="false" customHeight="true" outlineLevel="0" collapsed="false">
      <c r="A9" s="4" t="s">
        <v>580</v>
      </c>
      <c r="B9" s="94" t="s">
        <v>879</v>
      </c>
    </row>
    <row r="10" s="3" customFormat="true" ht="12.75" hidden="false" customHeight="true" outlineLevel="0" collapsed="false">
      <c r="A10" s="4" t="s">
        <v>580</v>
      </c>
      <c r="B10" s="94" t="s">
        <v>879</v>
      </c>
    </row>
    <row r="11" s="3" customFormat="true" ht="12.75" hidden="false" customHeight="true" outlineLevel="0" collapsed="false">
      <c r="A11" s="105" t="s">
        <v>830</v>
      </c>
      <c r="B11" s="105" t="s">
        <v>46</v>
      </c>
    </row>
    <row r="12" s="3" customFormat="true" ht="12.75" hidden="false" customHeight="true" outlineLevel="0" collapsed="false">
      <c r="A12" s="4" t="s">
        <v>87</v>
      </c>
      <c r="B12" s="94" t="s">
        <v>880</v>
      </c>
    </row>
    <row r="13" s="3" customFormat="true" ht="12.75" hidden="false" customHeight="true" outlineLevel="0" collapsed="false">
      <c r="A13" s="4" t="s">
        <v>566</v>
      </c>
      <c r="B13" s="94" t="s">
        <v>46</v>
      </c>
    </row>
    <row r="14" s="3" customFormat="true" ht="12.75" hidden="false" customHeight="true" outlineLevel="0" collapsed="false">
      <c r="A14" s="4" t="s">
        <v>112</v>
      </c>
      <c r="B14" s="94" t="s">
        <v>46</v>
      </c>
    </row>
    <row r="15" s="3" customFormat="true" ht="12.75" hidden="false" customHeight="true" outlineLevel="0" collapsed="false">
      <c r="A15" s="4" t="s">
        <v>319</v>
      </c>
      <c r="B15" s="94" t="s">
        <v>46</v>
      </c>
    </row>
    <row r="16" s="3" customFormat="true" ht="12.75" hidden="false" customHeight="true" outlineLevel="0" collapsed="false">
      <c r="A16" s="4" t="s">
        <v>319</v>
      </c>
      <c r="B16" s="94" t="s">
        <v>46</v>
      </c>
    </row>
    <row r="17" s="3" customFormat="true" ht="12.75" hidden="false" customHeight="true" outlineLevel="0" collapsed="false">
      <c r="A17" s="4" t="s">
        <v>319</v>
      </c>
      <c r="B17" s="94" t="s">
        <v>46</v>
      </c>
    </row>
    <row r="18" s="3" customFormat="true" ht="12.75" hidden="false" customHeight="true" outlineLevel="0" collapsed="false">
      <c r="A18" s="4" t="s">
        <v>319</v>
      </c>
      <c r="B18" s="94" t="s">
        <v>46</v>
      </c>
    </row>
    <row r="19" s="3" customFormat="true" ht="12.75" hidden="false" customHeight="true" outlineLevel="0" collapsed="false">
      <c r="A19" s="111" t="s">
        <v>483</v>
      </c>
      <c r="B19" s="111" t="s">
        <v>881</v>
      </c>
    </row>
    <row r="20" s="3" customFormat="true" ht="12.75" hidden="false" customHeight="true" outlineLevel="0" collapsed="false">
      <c r="A20" s="4" t="s">
        <v>483</v>
      </c>
      <c r="B20" s="94" t="s">
        <v>881</v>
      </c>
    </row>
    <row r="21" s="3" customFormat="true" ht="12.75" hidden="false" customHeight="true" outlineLevel="0" collapsed="false">
      <c r="A21" s="4" t="s">
        <v>483</v>
      </c>
      <c r="B21" s="94" t="s">
        <v>881</v>
      </c>
    </row>
    <row r="22" s="3" customFormat="true" ht="12.75" hidden="false" customHeight="true" outlineLevel="0" collapsed="false">
      <c r="A22" s="4" t="s">
        <v>483</v>
      </c>
      <c r="B22" s="94" t="s">
        <v>881</v>
      </c>
    </row>
    <row r="23" s="3" customFormat="true" ht="12.75" hidden="false" customHeight="true" outlineLevel="0" collapsed="false">
      <c r="A23" s="105" t="s">
        <v>843</v>
      </c>
      <c r="B23" s="105" t="s">
        <v>877</v>
      </c>
    </row>
    <row r="24" s="3" customFormat="true" ht="12.75" hidden="false" customHeight="true" outlineLevel="0" collapsed="false">
      <c r="A24" s="4" t="s">
        <v>327</v>
      </c>
      <c r="B24" s="94" t="s">
        <v>882</v>
      </c>
    </row>
    <row r="25" s="3" customFormat="true" ht="12.75" hidden="false" customHeight="true" outlineLevel="0" collapsed="false">
      <c r="A25" s="4" t="s">
        <v>182</v>
      </c>
      <c r="B25" s="94" t="s">
        <v>882</v>
      </c>
    </row>
    <row r="26" s="3" customFormat="true" ht="12.75" hidden="false" customHeight="true" outlineLevel="0" collapsed="false">
      <c r="A26" s="4" t="s">
        <v>268</v>
      </c>
      <c r="B26" s="94" t="s">
        <v>878</v>
      </c>
    </row>
    <row r="27" s="3" customFormat="true" ht="12.75" hidden="false" customHeight="true" outlineLevel="0" collapsed="false">
      <c r="A27" s="4" t="s">
        <v>722</v>
      </c>
      <c r="B27" s="94" t="s">
        <v>881</v>
      </c>
    </row>
    <row r="28" s="3" customFormat="true" ht="12.75" hidden="false" customHeight="true" outlineLevel="0" collapsed="false">
      <c r="A28" s="4" t="s">
        <v>693</v>
      </c>
      <c r="B28" s="94" t="s">
        <v>883</v>
      </c>
    </row>
    <row r="29" s="3" customFormat="true" ht="12.75" hidden="false" customHeight="true" outlineLevel="0" collapsed="false">
      <c r="A29" s="4" t="s">
        <v>431</v>
      </c>
      <c r="B29" s="94" t="s">
        <v>878</v>
      </c>
    </row>
    <row r="30" s="3" customFormat="true" ht="12.75" hidden="false" customHeight="true" outlineLevel="0" collapsed="false">
      <c r="A30" s="4" t="s">
        <v>774</v>
      </c>
      <c r="B30" s="94" t="s">
        <v>235</v>
      </c>
    </row>
    <row r="31" s="3" customFormat="true" ht="12.75" hidden="false" customHeight="true" outlineLevel="0" collapsed="false">
      <c r="A31" s="4" t="s">
        <v>512</v>
      </c>
      <c r="B31" s="94" t="s">
        <v>46</v>
      </c>
    </row>
    <row r="32" s="3" customFormat="true" ht="12.75" hidden="false" customHeight="true" outlineLevel="0" collapsed="false">
      <c r="A32" s="4" t="s">
        <v>448</v>
      </c>
      <c r="B32" s="94" t="s">
        <v>877</v>
      </c>
    </row>
    <row r="33" s="3" customFormat="true" ht="12.75" hidden="false" customHeight="true" outlineLevel="0" collapsed="false">
      <c r="A33" s="4" t="s">
        <v>367</v>
      </c>
      <c r="B33" s="94" t="s">
        <v>877</v>
      </c>
    </row>
    <row r="34" s="3" customFormat="true" ht="12.75" hidden="false" customHeight="true" outlineLevel="0" collapsed="false">
      <c r="A34" s="4" t="s">
        <v>631</v>
      </c>
      <c r="B34" s="94" t="s">
        <v>877</v>
      </c>
    </row>
    <row r="35" s="3" customFormat="true" ht="12.75" hidden="false" customHeight="true" outlineLevel="0" collapsed="false">
      <c r="A35" s="4" t="s">
        <v>576</v>
      </c>
      <c r="B35" s="94" t="s">
        <v>46</v>
      </c>
    </row>
    <row r="36" s="3" customFormat="true" ht="12.75" hidden="false" customHeight="true" outlineLevel="0" collapsed="false">
      <c r="A36" s="105" t="s">
        <v>789</v>
      </c>
      <c r="B36" s="105" t="s">
        <v>877</v>
      </c>
    </row>
    <row r="37" s="3" customFormat="true" ht="12.75" hidden="false" customHeight="true" outlineLevel="0" collapsed="false">
      <c r="A37" s="4" t="s">
        <v>699</v>
      </c>
      <c r="B37" s="94" t="s">
        <v>878</v>
      </c>
    </row>
    <row r="38" s="3" customFormat="true" ht="12.75" hidden="false" customHeight="true" outlineLevel="0" collapsed="false">
      <c r="A38" s="4" t="s">
        <v>60</v>
      </c>
      <c r="B38" s="94" t="s">
        <v>884</v>
      </c>
    </row>
    <row r="39" s="3" customFormat="true" ht="12.75" hidden="false" customHeight="true" outlineLevel="0" collapsed="false">
      <c r="A39" s="4" t="s">
        <v>60</v>
      </c>
      <c r="B39" s="94" t="s">
        <v>884</v>
      </c>
    </row>
    <row r="40" s="3" customFormat="true" ht="12.75" hidden="false" customHeight="true" outlineLevel="0" collapsed="false">
      <c r="A40" s="4" t="s">
        <v>127</v>
      </c>
      <c r="B40" s="94" t="s">
        <v>878</v>
      </c>
    </row>
    <row r="41" s="3" customFormat="true" ht="12.75" hidden="false" customHeight="true" outlineLevel="0" collapsed="false">
      <c r="A41" s="105" t="s">
        <v>802</v>
      </c>
      <c r="B41" s="105" t="s">
        <v>877</v>
      </c>
    </row>
    <row r="42" s="3" customFormat="true" ht="12.75" hidden="false" customHeight="true" outlineLevel="0" collapsed="false">
      <c r="A42" s="4" t="s">
        <v>357</v>
      </c>
      <c r="B42" s="94" t="s">
        <v>878</v>
      </c>
    </row>
    <row r="43" s="3" customFormat="true" ht="12.75" hidden="false" customHeight="true" outlineLevel="0" collapsed="false">
      <c r="A43" s="4" t="s">
        <v>312</v>
      </c>
      <c r="B43" s="94" t="s">
        <v>878</v>
      </c>
    </row>
    <row r="44" s="3" customFormat="true" ht="12.75" hidden="false" customHeight="true" outlineLevel="0" collapsed="false">
      <c r="A44" s="4" t="s">
        <v>452</v>
      </c>
      <c r="B44" s="94" t="s">
        <v>877</v>
      </c>
    </row>
    <row r="45" s="3" customFormat="true" ht="12.75" hidden="false" customHeight="true" outlineLevel="0" collapsed="false">
      <c r="A45" s="4" t="s">
        <v>233</v>
      </c>
      <c r="B45" s="94" t="s">
        <v>877</v>
      </c>
    </row>
    <row r="46" s="3" customFormat="true" ht="12.75" hidden="false" customHeight="true" outlineLevel="0" collapsed="false">
      <c r="A46" s="4" t="s">
        <v>335</v>
      </c>
      <c r="B46" s="94" t="s">
        <v>881</v>
      </c>
    </row>
    <row r="47" s="3" customFormat="true" ht="12.75" hidden="false" customHeight="true" outlineLevel="0" collapsed="false">
      <c r="A47" s="4" t="s">
        <v>204</v>
      </c>
      <c r="B47" s="94" t="s">
        <v>878</v>
      </c>
    </row>
    <row r="48" s="3" customFormat="true" ht="12.75" hidden="false" customHeight="true" outlineLevel="0" collapsed="false">
      <c r="A48" s="4" t="s">
        <v>158</v>
      </c>
      <c r="B48" s="94" t="s">
        <v>881</v>
      </c>
    </row>
    <row r="49" s="3" customFormat="true" ht="12.75" hidden="false" customHeight="true" outlineLevel="0" collapsed="false">
      <c r="A49" s="4" t="s">
        <v>255</v>
      </c>
      <c r="B49" s="94" t="s">
        <v>881</v>
      </c>
    </row>
    <row r="50" s="3" customFormat="true" ht="12.75" hidden="false" customHeight="true" outlineLevel="0" collapsed="false">
      <c r="A50" s="4" t="s">
        <v>255</v>
      </c>
      <c r="B50" s="94" t="s">
        <v>881</v>
      </c>
    </row>
    <row r="51" s="3" customFormat="true" ht="12.75" hidden="false" customHeight="true" outlineLevel="0" collapsed="false">
      <c r="A51" s="4" t="s">
        <v>749</v>
      </c>
      <c r="B51" s="94" t="s">
        <v>46</v>
      </c>
    </row>
    <row r="52" s="3" customFormat="true" ht="12.75" hidden="false" customHeight="true" outlineLevel="0" collapsed="false">
      <c r="A52" s="4" t="s">
        <v>407</v>
      </c>
      <c r="B52" s="94" t="s">
        <v>46</v>
      </c>
    </row>
    <row r="53" s="3" customFormat="true" ht="12.75" hidden="false" customHeight="true" outlineLevel="0" collapsed="false">
      <c r="A53" s="4" t="s">
        <v>592</v>
      </c>
      <c r="B53" s="94" t="s">
        <v>46</v>
      </c>
    </row>
    <row r="54" s="3" customFormat="true" ht="12.75" hidden="false" customHeight="true" outlineLevel="0" collapsed="false">
      <c r="A54" s="105" t="s">
        <v>849</v>
      </c>
      <c r="B54" s="94" t="s">
        <v>883</v>
      </c>
    </row>
    <row r="55" s="3" customFormat="true" ht="12.75" hidden="false" customHeight="true" outlineLevel="0" collapsed="false">
      <c r="A55" s="4" t="s">
        <v>769</v>
      </c>
      <c r="B55" s="94" t="s">
        <v>235</v>
      </c>
    </row>
    <row r="56" s="3" customFormat="true" ht="12.75" hidden="false" customHeight="true" outlineLevel="0" collapsed="false">
      <c r="A56" s="4" t="s">
        <v>609</v>
      </c>
      <c r="B56" s="94" t="s">
        <v>46</v>
      </c>
    </row>
    <row r="57" s="3" customFormat="true" ht="12.75" hidden="false" customHeight="true" outlineLevel="0" collapsed="false">
      <c r="A57" s="4" t="s">
        <v>501</v>
      </c>
      <c r="B57" s="94" t="s">
        <v>877</v>
      </c>
    </row>
    <row r="58" s="3" customFormat="true" ht="12.75" hidden="false" customHeight="true" outlineLevel="0" collapsed="false">
      <c r="A58" s="4" t="s">
        <v>68</v>
      </c>
      <c r="B58" s="329" t="s">
        <v>881</v>
      </c>
    </row>
    <row r="59" s="3" customFormat="true" ht="12.75" hidden="false" customHeight="true" outlineLevel="0" collapsed="false">
      <c r="A59" s="4" t="s">
        <v>68</v>
      </c>
      <c r="B59" s="94" t="s">
        <v>881</v>
      </c>
    </row>
    <row r="60" s="3" customFormat="true" ht="12.75" hidden="false" customHeight="true" outlineLevel="0" collapsed="false">
      <c r="A60" s="4" t="s">
        <v>70</v>
      </c>
      <c r="B60" s="329" t="s">
        <v>885</v>
      </c>
    </row>
    <row r="61" s="3" customFormat="true" ht="12.75" hidden="false" customHeight="true" outlineLevel="0" collapsed="false">
      <c r="A61" s="105" t="s">
        <v>835</v>
      </c>
      <c r="B61" s="105" t="s">
        <v>46</v>
      </c>
    </row>
    <row r="62" s="3" customFormat="true" ht="12.75" hidden="false" customHeight="true" outlineLevel="0" collapsed="false">
      <c r="A62" s="4" t="s">
        <v>625</v>
      </c>
      <c r="B62" s="94" t="s">
        <v>46</v>
      </c>
    </row>
    <row r="63" s="3" customFormat="true" ht="12.75" hidden="false" customHeight="true" outlineLevel="0" collapsed="false">
      <c r="A63" s="4" t="s">
        <v>202</v>
      </c>
      <c r="B63" s="94" t="s">
        <v>46</v>
      </c>
    </row>
    <row r="64" s="3" customFormat="true" ht="12.75" hidden="false" customHeight="true" outlineLevel="0" collapsed="false">
      <c r="A64" s="4" t="s">
        <v>433</v>
      </c>
      <c r="B64" s="94" t="s">
        <v>881</v>
      </c>
    </row>
    <row r="65" s="3" customFormat="true" ht="12.75" hidden="false" customHeight="true" outlineLevel="0" collapsed="false">
      <c r="A65" s="4" t="s">
        <v>199</v>
      </c>
      <c r="B65" s="94" t="s">
        <v>46</v>
      </c>
    </row>
    <row r="66" s="3" customFormat="true" ht="12.75" hidden="false" customHeight="true" outlineLevel="0" collapsed="false">
      <c r="A66" s="4" t="s">
        <v>575</v>
      </c>
      <c r="B66" s="94" t="s">
        <v>877</v>
      </c>
    </row>
    <row r="67" s="3" customFormat="true" ht="12.75" hidden="false" customHeight="true" outlineLevel="0" collapsed="false">
      <c r="A67" s="4" t="s">
        <v>575</v>
      </c>
      <c r="B67" s="94" t="s">
        <v>879</v>
      </c>
    </row>
    <row r="68" s="3" customFormat="true" ht="12.75" hidden="false" customHeight="true" outlineLevel="0" collapsed="false">
      <c r="A68" s="4" t="s">
        <v>193</v>
      </c>
      <c r="B68" s="94" t="s">
        <v>881</v>
      </c>
    </row>
    <row r="69" s="3" customFormat="true" ht="12.75" hidden="false" customHeight="true" outlineLevel="0" collapsed="false">
      <c r="A69" s="4" t="s">
        <v>193</v>
      </c>
      <c r="B69" s="94" t="s">
        <v>881</v>
      </c>
    </row>
    <row r="70" s="3" customFormat="true" ht="12.75" hidden="false" customHeight="true" outlineLevel="0" collapsed="false">
      <c r="A70" s="4" t="s">
        <v>230</v>
      </c>
      <c r="B70" s="94" t="s">
        <v>46</v>
      </c>
    </row>
    <row r="71" s="3" customFormat="true" ht="12.75" hidden="false" customHeight="true" outlineLevel="0" collapsed="false">
      <c r="A71" s="4" t="s">
        <v>615</v>
      </c>
      <c r="B71" s="94" t="s">
        <v>881</v>
      </c>
    </row>
    <row r="72" s="3" customFormat="true" ht="12.75" hidden="false" customHeight="true" outlineLevel="0" collapsed="false">
      <c r="A72" s="4" t="s">
        <v>615</v>
      </c>
      <c r="B72" s="94" t="s">
        <v>877</v>
      </c>
    </row>
    <row r="73" s="3" customFormat="true" ht="12.75" hidden="false" customHeight="true" outlineLevel="0" collapsed="false">
      <c r="A73" s="4" t="s">
        <v>615</v>
      </c>
      <c r="B73" s="94" t="s">
        <v>877</v>
      </c>
    </row>
    <row r="74" s="3" customFormat="true" ht="12.75" hidden="false" customHeight="true" outlineLevel="0" collapsed="false">
      <c r="A74" s="4" t="s">
        <v>615</v>
      </c>
      <c r="B74" s="94" t="s">
        <v>881</v>
      </c>
    </row>
    <row r="75" s="3" customFormat="true" ht="12.75" hidden="false" customHeight="true" outlineLevel="0" collapsed="false">
      <c r="A75" s="4" t="s">
        <v>95</v>
      </c>
      <c r="B75" s="94" t="s">
        <v>880</v>
      </c>
    </row>
    <row r="76" s="3" customFormat="true" ht="12.75" hidden="false" customHeight="true" outlineLevel="0" collapsed="false">
      <c r="A76" s="4" t="s">
        <v>325</v>
      </c>
      <c r="B76" s="94" t="s">
        <v>881</v>
      </c>
    </row>
    <row r="77" s="3" customFormat="true" ht="12.75" hidden="false" customHeight="true" outlineLevel="0" collapsed="false">
      <c r="A77" s="4" t="s">
        <v>325</v>
      </c>
      <c r="B77" s="94" t="s">
        <v>881</v>
      </c>
    </row>
    <row r="78" s="3" customFormat="true" ht="12.75" hidden="false" customHeight="true" outlineLevel="0" collapsed="false">
      <c r="A78" s="4" t="s">
        <v>325</v>
      </c>
      <c r="B78" s="94" t="s">
        <v>881</v>
      </c>
    </row>
    <row r="79" s="3" customFormat="true" ht="12.75" hidden="false" customHeight="true" outlineLevel="0" collapsed="false">
      <c r="A79" s="4" t="s">
        <v>325</v>
      </c>
      <c r="B79" s="94" t="s">
        <v>881</v>
      </c>
    </row>
    <row r="80" s="3" customFormat="true" ht="12.75" hidden="false" customHeight="true" outlineLevel="0" collapsed="false">
      <c r="A80" s="4" t="s">
        <v>325</v>
      </c>
      <c r="B80" s="94" t="s">
        <v>881</v>
      </c>
    </row>
    <row r="81" s="3" customFormat="true" ht="12.75" hidden="false" customHeight="true" outlineLevel="0" collapsed="false">
      <c r="A81" s="4" t="s">
        <v>325</v>
      </c>
      <c r="B81" s="94" t="s">
        <v>881</v>
      </c>
    </row>
    <row r="82" s="3" customFormat="true" ht="12.75" hidden="false" customHeight="true" outlineLevel="0" collapsed="false">
      <c r="A82" s="4" t="s">
        <v>543</v>
      </c>
      <c r="B82" s="94" t="s">
        <v>884</v>
      </c>
    </row>
    <row r="83" s="3" customFormat="true" ht="12.75" hidden="false" customHeight="true" outlineLevel="0" collapsed="false">
      <c r="A83" s="4" t="s">
        <v>224</v>
      </c>
      <c r="B83" s="94" t="s">
        <v>46</v>
      </c>
    </row>
    <row r="84" s="3" customFormat="true" ht="12.75" hidden="false" customHeight="true" outlineLevel="0" collapsed="false">
      <c r="A84" s="4" t="s">
        <v>656</v>
      </c>
      <c r="B84" s="94" t="s">
        <v>46</v>
      </c>
    </row>
    <row r="85" s="3" customFormat="true" ht="12.75" hidden="false" customHeight="true" outlineLevel="0" collapsed="false">
      <c r="A85" s="4" t="s">
        <v>656</v>
      </c>
      <c r="B85" s="94" t="s">
        <v>46</v>
      </c>
    </row>
    <row r="86" s="3" customFormat="true" ht="12.75" hidden="false" customHeight="true" outlineLevel="0" collapsed="false">
      <c r="A86" s="4" t="s">
        <v>554</v>
      </c>
      <c r="B86" s="94" t="s">
        <v>46</v>
      </c>
    </row>
    <row r="87" s="3" customFormat="true" ht="12.75" hidden="false" customHeight="true" outlineLevel="0" collapsed="false">
      <c r="A87" s="4" t="s">
        <v>261</v>
      </c>
      <c r="B87" s="94" t="s">
        <v>881</v>
      </c>
    </row>
    <row r="88" s="3" customFormat="true" ht="12.75" hidden="false" customHeight="true" outlineLevel="0" collapsed="false">
      <c r="A88" s="4" t="s">
        <v>443</v>
      </c>
      <c r="B88" s="94" t="s">
        <v>880</v>
      </c>
    </row>
    <row r="89" s="3" customFormat="true" ht="12.75" hidden="false" customHeight="true" outlineLevel="0" collapsed="false">
      <c r="A89" s="4" t="s">
        <v>443</v>
      </c>
      <c r="B89" s="94" t="s">
        <v>880</v>
      </c>
    </row>
    <row r="90" s="3" customFormat="true" ht="12.75" hidden="false" customHeight="true" outlineLevel="0" collapsed="false">
      <c r="A90" s="4" t="s">
        <v>131</v>
      </c>
      <c r="B90" s="94" t="s">
        <v>46</v>
      </c>
    </row>
    <row r="91" s="3" customFormat="true" ht="12.75" hidden="false" customHeight="true" outlineLevel="0" collapsed="false">
      <c r="A91" s="4" t="s">
        <v>557</v>
      </c>
      <c r="B91" s="94" t="s">
        <v>877</v>
      </c>
    </row>
    <row r="92" s="3" customFormat="true" ht="12.75" hidden="false" customHeight="true" outlineLevel="0" collapsed="false">
      <c r="A92" s="4" t="s">
        <v>317</v>
      </c>
      <c r="B92" s="94" t="s">
        <v>881</v>
      </c>
    </row>
    <row r="93" s="3" customFormat="true" ht="12.75" hidden="false" customHeight="true" outlineLevel="0" collapsed="false">
      <c r="A93" s="4" t="s">
        <v>644</v>
      </c>
      <c r="B93" s="94" t="s">
        <v>886</v>
      </c>
    </row>
    <row r="94" s="3" customFormat="true" ht="12.75" hidden="false" customHeight="true" outlineLevel="0" collapsed="false">
      <c r="A94" s="105" t="s">
        <v>795</v>
      </c>
      <c r="B94" s="105" t="s">
        <v>877</v>
      </c>
    </row>
    <row r="95" s="3" customFormat="true" ht="12.75" hidden="false" customHeight="true" outlineLevel="0" collapsed="false">
      <c r="A95" s="4" t="s">
        <v>541</v>
      </c>
      <c r="B95" s="94" t="s">
        <v>880</v>
      </c>
    </row>
    <row r="96" s="3" customFormat="true" ht="12.75" hidden="false" customHeight="true" outlineLevel="0" collapsed="false">
      <c r="A96" s="4" t="s">
        <v>301</v>
      </c>
      <c r="B96" s="94" t="s">
        <v>46</v>
      </c>
    </row>
    <row r="97" s="3" customFormat="true" ht="12.75" hidden="false" customHeight="true" outlineLevel="0" collapsed="false">
      <c r="A97" s="4" t="s">
        <v>245</v>
      </c>
      <c r="B97" s="94" t="s">
        <v>881</v>
      </c>
    </row>
    <row r="98" s="3" customFormat="true" ht="12.75" hidden="false" customHeight="true" outlineLevel="0" collapsed="false">
      <c r="A98" s="4" t="s">
        <v>245</v>
      </c>
      <c r="B98" s="94" t="s">
        <v>881</v>
      </c>
    </row>
    <row r="99" s="3" customFormat="true" ht="12.75" hidden="false" customHeight="true" outlineLevel="0" collapsed="false">
      <c r="A99" s="4" t="s">
        <v>153</v>
      </c>
      <c r="B99" s="94" t="s">
        <v>878</v>
      </c>
    </row>
    <row r="100" s="3" customFormat="true" ht="12.75" hidden="false" customHeight="true" outlineLevel="0" collapsed="false">
      <c r="A100" s="4" t="s">
        <v>104</v>
      </c>
      <c r="B100" s="94" t="s">
        <v>882</v>
      </c>
    </row>
    <row r="101" s="3" customFormat="true" ht="12.75" hidden="false" customHeight="true" outlineLevel="0" collapsed="false">
      <c r="A101" s="4" t="s">
        <v>354</v>
      </c>
      <c r="B101" s="94" t="s">
        <v>879</v>
      </c>
    </row>
    <row r="102" s="3" customFormat="true" ht="12.75" hidden="false" customHeight="true" outlineLevel="0" collapsed="false">
      <c r="A102" s="105" t="s">
        <v>791</v>
      </c>
      <c r="B102" s="105" t="s">
        <v>880</v>
      </c>
    </row>
    <row r="103" s="3" customFormat="true" ht="12.75" hidden="false" customHeight="true" outlineLevel="0" collapsed="false">
      <c r="A103" s="4" t="s">
        <v>755</v>
      </c>
      <c r="B103" s="94" t="s">
        <v>46</v>
      </c>
    </row>
    <row r="104" s="3" customFormat="true" ht="12.75" hidden="false" customHeight="true" outlineLevel="0" collapsed="false">
      <c r="A104" s="4" t="s">
        <v>83</v>
      </c>
      <c r="B104" s="94" t="s">
        <v>46</v>
      </c>
    </row>
    <row r="105" s="3" customFormat="true" ht="12.75" hidden="false" customHeight="true" outlineLevel="0" collapsed="false">
      <c r="A105" s="94" t="s">
        <v>296</v>
      </c>
      <c r="B105" s="94" t="s">
        <v>235</v>
      </c>
    </row>
    <row r="106" s="3" customFormat="true" ht="12.75" hidden="false" customHeight="true" outlineLevel="0" collapsed="false">
      <c r="A106" s="105" t="s">
        <v>796</v>
      </c>
      <c r="B106" s="105" t="s">
        <v>878</v>
      </c>
    </row>
    <row r="107" s="3" customFormat="true" ht="12.75" hidden="false" customHeight="true" outlineLevel="0" collapsed="false">
      <c r="A107" s="4" t="s">
        <v>681</v>
      </c>
      <c r="B107" s="94" t="s">
        <v>46</v>
      </c>
    </row>
    <row r="108" s="3" customFormat="true" ht="12.75" hidden="false" customHeight="true" outlineLevel="0" collapsed="false">
      <c r="A108" s="4" t="s">
        <v>613</v>
      </c>
      <c r="B108" s="94" t="s">
        <v>878</v>
      </c>
    </row>
    <row r="109" s="3" customFormat="true" ht="12.75" hidden="false" customHeight="true" outlineLevel="0" collapsed="false">
      <c r="A109" s="4" t="s">
        <v>695</v>
      </c>
      <c r="B109" s="94" t="s">
        <v>46</v>
      </c>
    </row>
    <row r="110" s="3" customFormat="true" ht="12.75" hidden="false" customHeight="true" outlineLevel="0" collapsed="false">
      <c r="A110" s="4" t="s">
        <v>695</v>
      </c>
      <c r="B110" s="94" t="s">
        <v>46</v>
      </c>
    </row>
    <row r="111" s="3" customFormat="true" ht="12.75" hidden="false" customHeight="true" outlineLevel="0" collapsed="false">
      <c r="A111" s="4" t="s">
        <v>751</v>
      </c>
      <c r="B111" s="94" t="s">
        <v>884</v>
      </c>
    </row>
    <row r="112" s="3" customFormat="true" ht="12.75" hidden="false" customHeight="true" outlineLevel="0" collapsed="false">
      <c r="A112" s="4" t="s">
        <v>539</v>
      </c>
      <c r="B112" s="94" t="s">
        <v>878</v>
      </c>
    </row>
    <row r="113" s="3" customFormat="true" ht="12.75" hidden="false" customHeight="true" outlineLevel="0" collapsed="false">
      <c r="A113" s="4" t="s">
        <v>667</v>
      </c>
      <c r="B113" s="94" t="s">
        <v>46</v>
      </c>
    </row>
    <row r="114" s="3" customFormat="true" ht="12.75" hidden="false" customHeight="true" outlineLevel="0" collapsed="false">
      <c r="A114" s="4" t="s">
        <v>887</v>
      </c>
      <c r="B114" s="94" t="s">
        <v>877</v>
      </c>
    </row>
    <row r="115" s="3" customFormat="true" ht="12.75" hidden="false" customHeight="true" outlineLevel="0" collapsed="false">
      <c r="A115" s="4" t="s">
        <v>364</v>
      </c>
      <c r="B115" s="94" t="s">
        <v>878</v>
      </c>
    </row>
    <row r="116" s="3" customFormat="true" ht="12.75" hidden="false" customHeight="true" outlineLevel="0" collapsed="false">
      <c r="A116" s="4" t="s">
        <v>364</v>
      </c>
      <c r="B116" s="94" t="s">
        <v>878</v>
      </c>
    </row>
    <row r="117" s="3" customFormat="true" ht="12.75" hidden="false" customHeight="true" outlineLevel="0" collapsed="false">
      <c r="A117" s="105" t="s">
        <v>815</v>
      </c>
      <c r="B117" s="105" t="s">
        <v>882</v>
      </c>
    </row>
    <row r="118" s="3" customFormat="true" ht="12.75" hidden="false" customHeight="true" outlineLevel="0" collapsed="false">
      <c r="A118" s="4" t="s">
        <v>278</v>
      </c>
      <c r="B118" s="94" t="s">
        <v>46</v>
      </c>
    </row>
    <row r="119" s="3" customFormat="true" ht="12.75" hidden="false" customHeight="true" outlineLevel="0" collapsed="false">
      <c r="A119" s="4" t="s">
        <v>143</v>
      </c>
      <c r="B119" s="94" t="s">
        <v>46</v>
      </c>
    </row>
    <row r="120" s="3" customFormat="true" ht="12.75" hidden="false" customHeight="true" outlineLevel="0" collapsed="false">
      <c r="A120" s="4" t="s">
        <v>264</v>
      </c>
      <c r="B120" s="94" t="s">
        <v>877</v>
      </c>
    </row>
    <row r="121" s="3" customFormat="true" ht="12.75" hidden="false" customHeight="true" outlineLevel="0" collapsed="false">
      <c r="A121" s="4" t="s">
        <v>111</v>
      </c>
      <c r="B121" s="94" t="s">
        <v>877</v>
      </c>
    </row>
    <row r="122" s="3" customFormat="true" ht="12.75" hidden="false" customHeight="true" outlineLevel="0" collapsed="false">
      <c r="A122" s="4" t="s">
        <v>604</v>
      </c>
      <c r="B122" s="94" t="s">
        <v>46</v>
      </c>
    </row>
    <row r="123" s="3" customFormat="true" ht="12.75" hidden="false" customHeight="true" outlineLevel="0" collapsed="false">
      <c r="A123" s="4" t="s">
        <v>604</v>
      </c>
      <c r="B123" s="94" t="s">
        <v>46</v>
      </c>
    </row>
    <row r="124" s="3" customFormat="true" ht="12.75" hidden="false" customHeight="true" outlineLevel="0" collapsed="false">
      <c r="A124" s="4" t="s">
        <v>604</v>
      </c>
      <c r="B124" s="94" t="s">
        <v>46</v>
      </c>
    </row>
    <row r="125" s="3" customFormat="true" ht="12.75" hidden="false" customHeight="true" outlineLevel="0" collapsed="false">
      <c r="A125" s="105" t="s">
        <v>838</v>
      </c>
      <c r="B125" s="105" t="s">
        <v>877</v>
      </c>
    </row>
    <row r="126" s="3" customFormat="true" ht="12.75" hidden="false" customHeight="true" outlineLevel="0" collapsed="false">
      <c r="A126" s="4" t="s">
        <v>110</v>
      </c>
      <c r="B126" s="94" t="s">
        <v>46</v>
      </c>
    </row>
    <row r="127" s="3" customFormat="true" ht="12.75" hidden="false" customHeight="true" outlineLevel="0" collapsed="false">
      <c r="A127" s="4" t="s">
        <v>376</v>
      </c>
      <c r="B127" s="94" t="s">
        <v>882</v>
      </c>
    </row>
    <row r="128" s="3" customFormat="true" ht="12.75" hidden="false" customHeight="true" outlineLevel="0" collapsed="false">
      <c r="A128" s="4" t="s">
        <v>570</v>
      </c>
      <c r="B128" s="94" t="s">
        <v>46</v>
      </c>
    </row>
    <row r="129" s="3" customFormat="true" ht="12.75" hidden="false" customHeight="true" outlineLevel="0" collapsed="false">
      <c r="A129" s="4" t="s">
        <v>550</v>
      </c>
      <c r="B129" s="94" t="s">
        <v>878</v>
      </c>
    </row>
    <row r="130" s="3" customFormat="true" ht="12.75" hidden="false" customHeight="true" outlineLevel="0" collapsed="false">
      <c r="A130" s="4" t="s">
        <v>550</v>
      </c>
      <c r="B130" s="94" t="s">
        <v>878</v>
      </c>
    </row>
    <row r="131" s="3" customFormat="true" ht="12.75" hidden="false" customHeight="true" outlineLevel="0" collapsed="false">
      <c r="A131" s="4" t="s">
        <v>369</v>
      </c>
      <c r="B131" s="94" t="s">
        <v>877</v>
      </c>
    </row>
    <row r="132" s="3" customFormat="true" ht="12.75" hidden="false" customHeight="true" outlineLevel="0" collapsed="false">
      <c r="A132" s="4" t="s">
        <v>136</v>
      </c>
      <c r="B132" s="94" t="s">
        <v>881</v>
      </c>
    </row>
    <row r="133" s="3" customFormat="true" ht="12.75" hidden="false" customHeight="true" outlineLevel="0" collapsed="false">
      <c r="A133" s="4" t="s">
        <v>410</v>
      </c>
      <c r="B133" s="94" t="s">
        <v>880</v>
      </c>
    </row>
    <row r="134" s="3" customFormat="true" ht="12.75" hidden="false" customHeight="true" outlineLevel="0" collapsed="false">
      <c r="A134" s="4" t="s">
        <v>410</v>
      </c>
      <c r="B134" s="94" t="s">
        <v>880</v>
      </c>
    </row>
    <row r="135" s="3" customFormat="true" ht="12.75" hidden="false" customHeight="true" outlineLevel="0" collapsed="false">
      <c r="A135" s="4" t="s">
        <v>410</v>
      </c>
      <c r="B135" s="94" t="s">
        <v>880</v>
      </c>
    </row>
    <row r="136" s="3" customFormat="true" ht="12.75" hidden="false" customHeight="true" outlineLevel="0" collapsed="false">
      <c r="A136" s="4" t="s">
        <v>410</v>
      </c>
      <c r="B136" s="94" t="s">
        <v>880</v>
      </c>
    </row>
    <row r="137" s="3" customFormat="true" ht="12.75" hidden="false" customHeight="true" outlineLevel="0" collapsed="false">
      <c r="A137" s="4" t="s">
        <v>410</v>
      </c>
      <c r="B137" s="94" t="s">
        <v>880</v>
      </c>
    </row>
    <row r="138" s="3" customFormat="true" ht="12.75" hidden="false" customHeight="true" outlineLevel="0" collapsed="false">
      <c r="A138" s="4" t="s">
        <v>410</v>
      </c>
      <c r="B138" s="94" t="s">
        <v>880</v>
      </c>
    </row>
    <row r="139" s="3" customFormat="true" ht="12.75" hidden="false" customHeight="true" outlineLevel="0" collapsed="false">
      <c r="A139" s="4" t="s">
        <v>410</v>
      </c>
      <c r="B139" s="94" t="s">
        <v>880</v>
      </c>
    </row>
    <row r="140" s="3" customFormat="true" ht="12.75" hidden="false" customHeight="true" outlineLevel="0" collapsed="false">
      <c r="A140" s="4" t="s">
        <v>410</v>
      </c>
      <c r="B140" s="94" t="s">
        <v>880</v>
      </c>
    </row>
    <row r="141" s="3" customFormat="true" ht="12.75" hidden="false" customHeight="true" outlineLevel="0" collapsed="false">
      <c r="A141" s="4" t="s">
        <v>410</v>
      </c>
      <c r="B141" s="94" t="s">
        <v>880</v>
      </c>
    </row>
    <row r="142" s="3" customFormat="true" ht="12.75" hidden="false" customHeight="true" outlineLevel="0" collapsed="false">
      <c r="A142" s="4" t="s">
        <v>410</v>
      </c>
      <c r="B142" s="94" t="s">
        <v>880</v>
      </c>
    </row>
    <row r="143" s="3" customFormat="true" ht="12.75" hidden="false" customHeight="true" outlineLevel="0" collapsed="false">
      <c r="A143" s="4" t="s">
        <v>410</v>
      </c>
      <c r="B143" s="94" t="s">
        <v>880</v>
      </c>
    </row>
    <row r="144" s="3" customFormat="true" ht="12.75" hidden="false" customHeight="true" outlineLevel="0" collapsed="false">
      <c r="A144" s="4" t="s">
        <v>583</v>
      </c>
      <c r="B144" s="94" t="s">
        <v>881</v>
      </c>
    </row>
    <row r="145" s="3" customFormat="true" ht="12.75" hidden="false" customHeight="true" outlineLevel="0" collapsed="false">
      <c r="A145" s="4" t="s">
        <v>270</v>
      </c>
      <c r="B145" s="94" t="s">
        <v>883</v>
      </c>
    </row>
    <row r="146" s="3" customFormat="true" ht="12.75" hidden="false" customHeight="true" outlineLevel="0" collapsed="false">
      <c r="A146" s="167" t="s">
        <v>786</v>
      </c>
      <c r="B146" s="167" t="s">
        <v>46</v>
      </c>
    </row>
    <row r="147" s="3" customFormat="true" ht="12.75" hidden="false" customHeight="true" outlineLevel="0" collapsed="false">
      <c r="A147" s="4" t="s">
        <v>777</v>
      </c>
      <c r="B147" s="94" t="s">
        <v>235</v>
      </c>
    </row>
    <row r="148" s="3" customFormat="true" ht="12.75" hidden="false" customHeight="true" outlineLevel="0" collapsed="false">
      <c r="A148" s="4" t="s">
        <v>760</v>
      </c>
      <c r="B148" s="94" t="s">
        <v>886</v>
      </c>
    </row>
    <row r="149" s="3" customFormat="true" ht="12.75" hidden="false" customHeight="true" outlineLevel="0" collapsed="false">
      <c r="A149" s="4" t="s">
        <v>760</v>
      </c>
      <c r="B149" s="94" t="s">
        <v>886</v>
      </c>
    </row>
    <row r="150" s="3" customFormat="true" ht="12.75" hidden="false" customHeight="true" outlineLevel="0" collapsed="false">
      <c r="A150" s="4" t="s">
        <v>760</v>
      </c>
      <c r="B150" s="94" t="s">
        <v>886</v>
      </c>
    </row>
    <row r="151" s="3" customFormat="true" ht="12.75" hidden="false" customHeight="true" outlineLevel="0" collapsed="false">
      <c r="A151" s="4" t="s">
        <v>760</v>
      </c>
      <c r="B151" s="94" t="s">
        <v>886</v>
      </c>
    </row>
    <row r="152" s="3" customFormat="true" ht="12.75" hidden="false" customHeight="true" outlineLevel="0" collapsed="false">
      <c r="A152" s="4" t="s">
        <v>164</v>
      </c>
      <c r="B152" s="94" t="s">
        <v>883</v>
      </c>
    </row>
    <row r="153" s="3" customFormat="true" ht="12.75" hidden="false" customHeight="true" outlineLevel="0" collapsed="false">
      <c r="A153" s="4" t="s">
        <v>164</v>
      </c>
      <c r="B153" s="4" t="s">
        <v>883</v>
      </c>
    </row>
    <row r="154" s="3" customFormat="true" ht="12.75" hidden="false" customHeight="true" outlineLevel="0" collapsed="false">
      <c r="A154" s="4" t="s">
        <v>164</v>
      </c>
      <c r="B154" s="4" t="s">
        <v>883</v>
      </c>
    </row>
    <row r="155" s="3" customFormat="true" ht="12.75" hidden="false" customHeight="true" outlineLevel="0" collapsed="false">
      <c r="A155" s="4" t="s">
        <v>164</v>
      </c>
      <c r="B155" s="4" t="s">
        <v>883</v>
      </c>
    </row>
    <row r="156" s="3" customFormat="true" ht="12.75" hidden="false" customHeight="true" outlineLevel="0" collapsed="false">
      <c r="A156" s="4" t="s">
        <v>164</v>
      </c>
      <c r="B156" s="4" t="s">
        <v>883</v>
      </c>
    </row>
    <row r="157" s="3" customFormat="true" ht="12.75" hidden="false" customHeight="true" outlineLevel="0" collapsed="false">
      <c r="A157" s="4" t="s">
        <v>164</v>
      </c>
      <c r="B157" s="4" t="s">
        <v>883</v>
      </c>
    </row>
    <row r="158" s="3" customFormat="true" ht="12.75" hidden="false" customHeight="true" outlineLevel="0" collapsed="false">
      <c r="A158" s="105" t="s">
        <v>164</v>
      </c>
      <c r="B158" s="94" t="s">
        <v>883</v>
      </c>
    </row>
    <row r="159" s="3" customFormat="true" ht="12.75" hidden="false" customHeight="true" outlineLevel="0" collapsed="false">
      <c r="A159" s="105" t="s">
        <v>164</v>
      </c>
      <c r="B159" s="94" t="s">
        <v>883</v>
      </c>
    </row>
    <row r="160" s="3" customFormat="true" ht="12.75" hidden="false" customHeight="true" outlineLevel="0" collapsed="false">
      <c r="A160" s="4" t="s">
        <v>734</v>
      </c>
      <c r="B160" s="94" t="s">
        <v>888</v>
      </c>
    </row>
    <row r="161" s="3" customFormat="true" ht="12.75" hidden="false" customHeight="true" outlineLevel="0" collapsed="false">
      <c r="A161" s="4" t="s">
        <v>606</v>
      </c>
      <c r="B161" s="94" t="s">
        <v>46</v>
      </c>
    </row>
    <row r="162" s="3" customFormat="true" ht="12.75" hidden="false" customHeight="true" outlineLevel="0" collapsed="false">
      <c r="A162" s="4" t="s">
        <v>589</v>
      </c>
      <c r="B162" s="94" t="s">
        <v>881</v>
      </c>
    </row>
    <row r="163" s="3" customFormat="true" ht="12.75" hidden="false" customHeight="true" outlineLevel="0" collapsed="false">
      <c r="A163" s="105" t="s">
        <v>823</v>
      </c>
      <c r="B163" s="105" t="s">
        <v>46</v>
      </c>
    </row>
    <row r="164" s="3" customFormat="true" ht="12.75" hidden="false" customHeight="true" outlineLevel="0" collapsed="false">
      <c r="A164" s="4" t="s">
        <v>596</v>
      </c>
      <c r="B164" s="94" t="s">
        <v>877</v>
      </c>
    </row>
    <row r="165" s="3" customFormat="true" ht="12.75" hidden="false" customHeight="true" outlineLevel="0" collapsed="false">
      <c r="A165" s="4" t="s">
        <v>217</v>
      </c>
      <c r="B165" s="94" t="s">
        <v>878</v>
      </c>
    </row>
    <row r="166" s="3" customFormat="true" ht="12.75" hidden="false" customHeight="true" outlineLevel="0" collapsed="false">
      <c r="A166" s="4" t="s">
        <v>568</v>
      </c>
      <c r="B166" s="94" t="s">
        <v>878</v>
      </c>
    </row>
    <row r="167" s="3" customFormat="true" ht="12.75" hidden="false" customHeight="true" outlineLevel="0" collapsed="false">
      <c r="A167" s="4" t="s">
        <v>618</v>
      </c>
      <c r="B167" s="94" t="s">
        <v>878</v>
      </c>
    </row>
    <row r="168" s="3" customFormat="true" ht="12.75" hidden="false" customHeight="true" outlineLevel="0" collapsed="false">
      <c r="A168" s="4" t="s">
        <v>479</v>
      </c>
      <c r="B168" s="94" t="s">
        <v>880</v>
      </c>
    </row>
    <row r="169" s="3" customFormat="true" ht="12.75" hidden="false" customHeight="true" outlineLevel="0" collapsed="false">
      <c r="A169" s="4" t="s">
        <v>340</v>
      </c>
      <c r="B169" s="94" t="s">
        <v>877</v>
      </c>
    </row>
    <row r="170" s="3" customFormat="true" ht="12.75" hidden="false" customHeight="true" outlineLevel="0" collapsed="false">
      <c r="A170" s="4" t="s">
        <v>527</v>
      </c>
      <c r="B170" s="94" t="s">
        <v>878</v>
      </c>
    </row>
    <row r="171" s="3" customFormat="true" ht="12.75" hidden="false" customHeight="true" outlineLevel="0" collapsed="false">
      <c r="A171" s="4" t="s">
        <v>594</v>
      </c>
      <c r="B171" s="94" t="s">
        <v>46</v>
      </c>
    </row>
    <row r="172" s="3" customFormat="true" ht="12.75" hidden="false" customHeight="true" outlineLevel="0" collapsed="false">
      <c r="A172" s="4" t="s">
        <v>560</v>
      </c>
      <c r="B172" s="94" t="s">
        <v>46</v>
      </c>
    </row>
    <row r="173" s="3" customFormat="true" ht="12.75" hidden="false" customHeight="true" outlineLevel="0" collapsed="false">
      <c r="A173" s="4" t="s">
        <v>146</v>
      </c>
      <c r="B173" s="94" t="s">
        <v>881</v>
      </c>
    </row>
    <row r="174" s="3" customFormat="true" ht="12.75" hidden="false" customHeight="true" outlineLevel="0" collapsed="false">
      <c r="A174" s="4" t="s">
        <v>351</v>
      </c>
      <c r="B174" s="94" t="s">
        <v>881</v>
      </c>
    </row>
    <row r="175" s="3" customFormat="true" ht="12.75" hidden="false" customHeight="true" outlineLevel="0" collapsed="false">
      <c r="A175" s="4" t="s">
        <v>351</v>
      </c>
      <c r="B175" s="94" t="s">
        <v>881</v>
      </c>
    </row>
    <row r="176" s="3" customFormat="true" ht="12.75" hidden="false" customHeight="true" outlineLevel="0" collapsed="false">
      <c r="A176" s="4" t="s">
        <v>351</v>
      </c>
      <c r="B176" s="94" t="s">
        <v>881</v>
      </c>
    </row>
    <row r="177" s="3" customFormat="true" ht="12.75" hidden="false" customHeight="true" outlineLevel="0" collapsed="false">
      <c r="A177" s="4" t="s">
        <v>351</v>
      </c>
      <c r="B177" s="94" t="s">
        <v>881</v>
      </c>
    </row>
    <row r="178" s="3" customFormat="true" ht="12.75" hidden="false" customHeight="true" outlineLevel="0" collapsed="false">
      <c r="A178" s="4" t="s">
        <v>586</v>
      </c>
      <c r="B178" s="94" t="s">
        <v>46</v>
      </c>
    </row>
    <row r="179" s="3" customFormat="true" ht="12.75" hidden="false" customHeight="true" outlineLevel="0" collapsed="false">
      <c r="A179" s="4" t="s">
        <v>338</v>
      </c>
      <c r="B179" s="94" t="s">
        <v>881</v>
      </c>
    </row>
    <row r="180" s="3" customFormat="true" ht="12.75" hidden="false" customHeight="true" outlineLevel="0" collapsed="false">
      <c r="A180" s="4" t="s">
        <v>259</v>
      </c>
      <c r="B180" s="94" t="s">
        <v>46</v>
      </c>
    </row>
    <row r="181" s="3" customFormat="true" ht="12.75" hidden="false" customHeight="true" outlineLevel="0" collapsed="false">
      <c r="A181" s="4" t="s">
        <v>398</v>
      </c>
      <c r="B181" s="94" t="s">
        <v>235</v>
      </c>
    </row>
    <row r="182" s="3" customFormat="true" ht="12.75" hidden="false" customHeight="true" outlineLevel="0" collapsed="false">
      <c r="A182" s="4" t="s">
        <v>508</v>
      </c>
      <c r="B182" s="94" t="s">
        <v>877</v>
      </c>
    </row>
    <row r="183" s="3" customFormat="true" ht="12.75" hidden="false" customHeight="true" outlineLevel="0" collapsed="false">
      <c r="A183" s="4" t="s">
        <v>556</v>
      </c>
      <c r="B183" s="94" t="s">
        <v>881</v>
      </c>
    </row>
    <row r="184" s="3" customFormat="true" ht="12.75" hidden="false" customHeight="true" outlineLevel="0" collapsed="false">
      <c r="A184" s="4" t="s">
        <v>383</v>
      </c>
      <c r="B184" s="94" t="s">
        <v>46</v>
      </c>
    </row>
    <row r="185" s="3" customFormat="true" ht="12.75" hidden="false" customHeight="true" outlineLevel="0" collapsed="false">
      <c r="A185" s="4" t="s">
        <v>383</v>
      </c>
      <c r="B185" s="94" t="s">
        <v>46</v>
      </c>
    </row>
    <row r="186" s="3" customFormat="true" ht="12.75" hidden="false" customHeight="true" outlineLevel="0" collapsed="false">
      <c r="A186" s="4" t="s">
        <v>383</v>
      </c>
      <c r="B186" s="94" t="s">
        <v>46</v>
      </c>
    </row>
    <row r="187" s="3" customFormat="true" ht="12.75" hidden="false" customHeight="true" outlineLevel="0" collapsed="false">
      <c r="A187" s="4" t="s">
        <v>523</v>
      </c>
      <c r="B187" s="94" t="s">
        <v>235</v>
      </c>
    </row>
    <row r="188" s="3" customFormat="true" ht="12.75" hidden="false" customHeight="true" outlineLevel="0" collapsed="false">
      <c r="A188" s="4" t="s">
        <v>514</v>
      </c>
      <c r="B188" s="94" t="s">
        <v>877</v>
      </c>
    </row>
    <row r="189" s="3" customFormat="true" ht="12.75" hidden="false" customHeight="true" outlineLevel="0" collapsed="false">
      <c r="A189" s="4" t="s">
        <v>510</v>
      </c>
      <c r="B189" s="94" t="s">
        <v>46</v>
      </c>
    </row>
    <row r="190" s="3" customFormat="true" ht="12.75" hidden="false" customHeight="true" outlineLevel="0" collapsed="false">
      <c r="A190" s="4" t="s">
        <v>379</v>
      </c>
      <c r="B190" s="94" t="s">
        <v>235</v>
      </c>
    </row>
    <row r="191" s="3" customFormat="true" ht="12.75" hidden="false" customHeight="true" outlineLevel="0" collapsed="false">
      <c r="A191" s="4" t="s">
        <v>521</v>
      </c>
      <c r="B191" s="94" t="s">
        <v>877</v>
      </c>
    </row>
    <row r="192" s="3" customFormat="true" ht="12.75" hidden="false" customHeight="true" outlineLevel="0" collapsed="false">
      <c r="A192" s="4" t="s">
        <v>91</v>
      </c>
      <c r="B192" s="94" t="s">
        <v>879</v>
      </c>
    </row>
    <row r="193" s="3" customFormat="true" ht="12.75" hidden="false" customHeight="true" outlineLevel="0" collapsed="false">
      <c r="A193" s="4" t="s">
        <v>516</v>
      </c>
      <c r="B193" s="94" t="s">
        <v>879</v>
      </c>
    </row>
    <row r="194" s="3" customFormat="true" ht="12.75" hidden="false" customHeight="true" outlineLevel="0" collapsed="false">
      <c r="A194" s="4" t="s">
        <v>518</v>
      </c>
      <c r="B194" s="94" t="s">
        <v>879</v>
      </c>
    </row>
    <row r="195" s="3" customFormat="true" ht="12.75" hidden="false" customHeight="true" outlineLevel="0" collapsed="false">
      <c r="A195" s="4" t="s">
        <v>530</v>
      </c>
      <c r="B195" s="94" t="s">
        <v>46</v>
      </c>
    </row>
    <row r="196" s="3" customFormat="true" ht="12.75" hidden="false" customHeight="true" outlineLevel="0" collapsed="false">
      <c r="A196" s="4" t="s">
        <v>97</v>
      </c>
      <c r="B196" s="94" t="s">
        <v>877</v>
      </c>
    </row>
    <row r="197" s="3" customFormat="true" ht="12.75" hidden="false" customHeight="true" outlineLevel="0" collapsed="false">
      <c r="A197" s="105" t="s">
        <v>846</v>
      </c>
      <c r="B197" s="105" t="s">
        <v>877</v>
      </c>
    </row>
    <row r="198" s="3" customFormat="true" ht="12.75" hidden="false" customHeight="true" outlineLevel="0" collapsed="false">
      <c r="A198" s="105" t="s">
        <v>846</v>
      </c>
      <c r="B198" s="105" t="s">
        <v>877</v>
      </c>
    </row>
    <row r="199" s="3" customFormat="true" ht="12.75" hidden="false" customHeight="true" outlineLevel="0" collapsed="false">
      <c r="A199" s="105" t="s">
        <v>813</v>
      </c>
      <c r="B199" s="105" t="s">
        <v>877</v>
      </c>
    </row>
    <row r="200" s="3" customFormat="true" ht="12.75" hidden="false" customHeight="true" outlineLevel="0" collapsed="false">
      <c r="A200" s="4" t="s">
        <v>342</v>
      </c>
      <c r="B200" s="94" t="s">
        <v>877</v>
      </c>
    </row>
    <row r="201" s="3" customFormat="true" ht="12.75" hidden="false" customHeight="true" outlineLevel="0" collapsed="false">
      <c r="A201" s="105" t="s">
        <v>790</v>
      </c>
      <c r="B201" s="105" t="s">
        <v>882</v>
      </c>
    </row>
    <row r="202" s="3" customFormat="true" ht="12.75" hidden="false" customHeight="true" outlineLevel="0" collapsed="false">
      <c r="A202" s="4" t="s">
        <v>427</v>
      </c>
      <c r="B202" s="94" t="s">
        <v>878</v>
      </c>
    </row>
    <row r="203" s="3" customFormat="true" ht="12.75" hidden="false" customHeight="true" outlineLevel="0" collapsed="false">
      <c r="A203" s="105" t="s">
        <v>427</v>
      </c>
      <c r="B203" s="105" t="s">
        <v>878</v>
      </c>
    </row>
    <row r="204" s="3" customFormat="true" ht="12.75" hidden="false" customHeight="true" outlineLevel="0" collapsed="false">
      <c r="A204" s="4" t="s">
        <v>275</v>
      </c>
      <c r="B204" s="94" t="s">
        <v>878</v>
      </c>
    </row>
    <row r="205" s="3" customFormat="true" ht="12.75" hidden="false" customHeight="true" outlineLevel="0" collapsed="false">
      <c r="A205" s="4" t="s">
        <v>275</v>
      </c>
      <c r="B205" s="94" t="s">
        <v>878</v>
      </c>
    </row>
    <row r="206" s="3" customFormat="true" ht="12.75" hidden="false" customHeight="true" outlineLevel="0" collapsed="false">
      <c r="A206" s="4" t="s">
        <v>275</v>
      </c>
      <c r="B206" s="94" t="s">
        <v>878</v>
      </c>
    </row>
    <row r="207" s="3" customFormat="true" ht="12.75" hidden="false" customHeight="true" outlineLevel="0" collapsed="false">
      <c r="A207" s="105" t="s">
        <v>833</v>
      </c>
      <c r="B207" s="105" t="s">
        <v>46</v>
      </c>
    </row>
    <row r="208" s="3" customFormat="true" ht="12.75" hidden="false" customHeight="true" outlineLevel="0" collapsed="false">
      <c r="A208" s="4" t="s">
        <v>362</v>
      </c>
      <c r="B208" s="94" t="s">
        <v>881</v>
      </c>
    </row>
    <row r="209" s="3" customFormat="true" ht="12.75" hidden="false" customHeight="true" outlineLevel="0" collapsed="false">
      <c r="A209" s="4" t="s">
        <v>636</v>
      </c>
      <c r="B209" s="94" t="s">
        <v>46</v>
      </c>
    </row>
    <row r="210" s="3" customFormat="true" ht="12.75" hidden="false" customHeight="true" outlineLevel="0" collapsed="false">
      <c r="A210" s="4" t="s">
        <v>206</v>
      </c>
      <c r="B210" s="94" t="s">
        <v>877</v>
      </c>
    </row>
    <row r="211" s="3" customFormat="true" ht="12.75" hidden="false" customHeight="true" outlineLevel="0" collapsed="false">
      <c r="A211" s="4" t="s">
        <v>206</v>
      </c>
      <c r="B211" s="94" t="s">
        <v>877</v>
      </c>
    </row>
    <row r="212" s="3" customFormat="true" ht="12.75" hidden="false" customHeight="true" outlineLevel="0" collapsed="false">
      <c r="A212" s="4" t="s">
        <v>265</v>
      </c>
      <c r="B212" s="94" t="s">
        <v>877</v>
      </c>
    </row>
    <row r="213" s="3" customFormat="true" ht="12.75" hidden="false" customHeight="true" outlineLevel="0" collapsed="false">
      <c r="A213" s="4" t="s">
        <v>438</v>
      </c>
      <c r="B213" s="94" t="s">
        <v>879</v>
      </c>
    </row>
    <row r="214" s="3" customFormat="true" ht="12.75" hidden="false" customHeight="true" outlineLevel="0" collapsed="false">
      <c r="A214" s="4" t="s">
        <v>533</v>
      </c>
      <c r="B214" s="94" t="s">
        <v>46</v>
      </c>
    </row>
    <row r="215" s="3" customFormat="true" ht="12.75" hidden="false" customHeight="true" outlineLevel="0" collapsed="false">
      <c r="A215" s="4" t="s">
        <v>504</v>
      </c>
      <c r="B215" s="94" t="s">
        <v>881</v>
      </c>
    </row>
    <row r="216" s="3" customFormat="true" ht="12.75" hidden="false" customHeight="true" outlineLevel="0" collapsed="false">
      <c r="A216" s="4" t="s">
        <v>758</v>
      </c>
      <c r="B216" s="94" t="s">
        <v>46</v>
      </c>
    </row>
    <row r="217" s="3" customFormat="true" ht="12.75" hidden="false" customHeight="true" outlineLevel="0" collapsed="false">
      <c r="A217" s="4" t="s">
        <v>56</v>
      </c>
      <c r="B217" s="94" t="s">
        <v>46</v>
      </c>
    </row>
    <row r="218" s="3" customFormat="true" ht="12.75" hidden="false" customHeight="true" outlineLevel="0" collapsed="false">
      <c r="A218" s="4" t="s">
        <v>660</v>
      </c>
      <c r="B218" s="94" t="s">
        <v>878</v>
      </c>
    </row>
    <row r="219" s="3" customFormat="true" ht="12.75" hidden="false" customHeight="true" outlineLevel="0" collapsed="false">
      <c r="A219" s="4" t="s">
        <v>584</v>
      </c>
      <c r="B219" s="94" t="s">
        <v>877</v>
      </c>
    </row>
    <row r="220" s="3" customFormat="true" ht="12.75" hidden="false" customHeight="true" outlineLevel="0" collapsed="false">
      <c r="A220" s="4" t="s">
        <v>292</v>
      </c>
      <c r="B220" s="94" t="s">
        <v>878</v>
      </c>
    </row>
    <row r="221" s="3" customFormat="true" ht="12.75" hidden="false" customHeight="true" outlineLevel="0" collapsed="false">
      <c r="A221" s="4" t="s">
        <v>889</v>
      </c>
      <c r="B221" s="94" t="s">
        <v>46</v>
      </c>
    </row>
    <row r="222" s="3" customFormat="true" ht="12.75" hidden="false" customHeight="true" outlineLevel="0" collapsed="false">
      <c r="A222" s="4" t="s">
        <v>730</v>
      </c>
      <c r="B222" s="94" t="s">
        <v>46</v>
      </c>
    </row>
    <row r="223" s="3" customFormat="true" ht="12.75" hidden="false" customHeight="true" outlineLevel="0" collapsed="false">
      <c r="A223" s="4" t="s">
        <v>730</v>
      </c>
      <c r="B223" s="94" t="s">
        <v>46</v>
      </c>
    </row>
    <row r="224" s="3" customFormat="true" ht="12.75" hidden="false" customHeight="true" outlineLevel="0" collapsed="false">
      <c r="A224" s="105" t="s">
        <v>818</v>
      </c>
      <c r="B224" s="105" t="s">
        <v>877</v>
      </c>
    </row>
    <row r="225" s="3" customFormat="true" ht="12.75" hidden="false" customHeight="true" outlineLevel="0" collapsed="false">
      <c r="A225" s="4" t="s">
        <v>170</v>
      </c>
      <c r="B225" s="94" t="s">
        <v>46</v>
      </c>
    </row>
    <row r="226" s="3" customFormat="true" ht="12.75" hidden="false" customHeight="true" outlineLevel="0" collapsed="false">
      <c r="A226" s="4" t="s">
        <v>98</v>
      </c>
      <c r="B226" s="94" t="s">
        <v>877</v>
      </c>
    </row>
    <row r="227" s="3" customFormat="true" ht="12.75" hidden="false" customHeight="true" outlineLevel="0" collapsed="false">
      <c r="A227" s="111" t="s">
        <v>716</v>
      </c>
      <c r="B227" s="94" t="s">
        <v>877</v>
      </c>
    </row>
    <row r="228" s="3" customFormat="true" ht="12.75" hidden="false" customHeight="true" outlineLevel="0" collapsed="false">
      <c r="A228" s="4" t="s">
        <v>211</v>
      </c>
      <c r="B228" s="94" t="s">
        <v>877</v>
      </c>
    </row>
    <row r="229" s="3" customFormat="true" ht="12.75" hidden="false" customHeight="true" outlineLevel="0" collapsed="false">
      <c r="A229" s="4" t="s">
        <v>403</v>
      </c>
      <c r="B229" s="94" t="s">
        <v>881</v>
      </c>
    </row>
    <row r="230" s="3" customFormat="true" ht="12.75" hidden="false" customHeight="true" outlineLevel="0" collapsed="false">
      <c r="A230" s="4" t="s">
        <v>149</v>
      </c>
      <c r="B230" s="94" t="s">
        <v>881</v>
      </c>
    </row>
    <row r="231" s="3" customFormat="true" ht="12.75" hidden="false" customHeight="true" outlineLevel="0" collapsed="false">
      <c r="A231" s="4" t="s">
        <v>149</v>
      </c>
      <c r="B231" s="94" t="s">
        <v>881</v>
      </c>
    </row>
    <row r="232" s="3" customFormat="true" ht="12.75" hidden="false" customHeight="true" outlineLevel="0" collapsed="false">
      <c r="A232" s="4" t="s">
        <v>149</v>
      </c>
      <c r="B232" s="94" t="s">
        <v>881</v>
      </c>
    </row>
    <row r="233" s="3" customFormat="true" ht="12.75" hidden="false" customHeight="true" outlineLevel="0" collapsed="false">
      <c r="A233" s="4" t="s">
        <v>149</v>
      </c>
      <c r="B233" s="94" t="s">
        <v>881</v>
      </c>
    </row>
    <row r="234" s="3" customFormat="true" ht="12.75" hidden="false" customHeight="true" outlineLevel="0" collapsed="false">
      <c r="A234" s="4" t="s">
        <v>347</v>
      </c>
      <c r="B234" s="94" t="s">
        <v>878</v>
      </c>
    </row>
    <row r="235" s="3" customFormat="true" ht="12.75" hidden="false" customHeight="true" outlineLevel="0" collapsed="false">
      <c r="A235" s="4" t="s">
        <v>559</v>
      </c>
      <c r="B235" s="94" t="s">
        <v>879</v>
      </c>
    </row>
    <row r="236" s="3" customFormat="true" ht="12.75" hidden="false" customHeight="true" outlineLevel="0" collapsed="false">
      <c r="A236" s="4" t="s">
        <v>253</v>
      </c>
      <c r="B236" s="94" t="s">
        <v>879</v>
      </c>
    </row>
    <row r="237" s="3" customFormat="true" ht="12.75" hidden="false" customHeight="true" outlineLevel="0" collapsed="false">
      <c r="A237" s="4" t="s">
        <v>155</v>
      </c>
      <c r="B237" s="94" t="s">
        <v>881</v>
      </c>
    </row>
    <row r="238" s="3" customFormat="true" ht="22.5" hidden="false" customHeight="true" outlineLevel="0" collapsed="false">
      <c r="A238" s="4" t="s">
        <v>241</v>
      </c>
      <c r="B238" s="94" t="s">
        <v>877</v>
      </c>
    </row>
    <row r="239" s="3" customFormat="true" ht="12.75" hidden="false" customHeight="true" outlineLevel="0" collapsed="false">
      <c r="A239" s="4" t="s">
        <v>305</v>
      </c>
      <c r="B239" s="94" t="s">
        <v>877</v>
      </c>
    </row>
    <row r="240" s="3" customFormat="true" ht="12.75" hidden="false" customHeight="true" outlineLevel="0" collapsed="false">
      <c r="A240" s="4" t="s">
        <v>547</v>
      </c>
      <c r="B240" s="94" t="s">
        <v>879</v>
      </c>
    </row>
    <row r="241" s="3" customFormat="true" ht="12.75" hidden="false" customHeight="true" outlineLevel="0" collapsed="false">
      <c r="A241" s="4" t="s">
        <v>307</v>
      </c>
      <c r="B241" s="94" t="s">
        <v>877</v>
      </c>
    </row>
    <row r="242" s="3" customFormat="true" ht="12.75" hidden="false" customHeight="true" outlineLevel="0" collapsed="false">
      <c r="A242" s="4" t="s">
        <v>51</v>
      </c>
      <c r="B242" s="329" t="s">
        <v>46</v>
      </c>
    </row>
    <row r="243" s="3" customFormat="true" ht="12.75" hidden="false" customHeight="true" outlineLevel="0" collapsed="false">
      <c r="A243" s="4" t="s">
        <v>441</v>
      </c>
      <c r="B243" s="94" t="s">
        <v>878</v>
      </c>
    </row>
    <row r="244" s="3" customFormat="true" ht="12.75" hidden="false" customHeight="true" outlineLevel="0" collapsed="false">
      <c r="A244" s="4" t="s">
        <v>489</v>
      </c>
      <c r="B244" s="94" t="s">
        <v>46</v>
      </c>
    </row>
    <row r="245" s="3" customFormat="true" ht="12.75" hidden="false" customHeight="true" outlineLevel="0" collapsed="false">
      <c r="A245" s="4" t="s">
        <v>315</v>
      </c>
      <c r="B245" s="94" t="s">
        <v>881</v>
      </c>
    </row>
    <row r="246" s="3" customFormat="true" ht="12.75" hidden="false" customHeight="true" outlineLevel="0" collapsed="false">
      <c r="A246" s="4" t="s">
        <v>634</v>
      </c>
      <c r="B246" s="94" t="s">
        <v>878</v>
      </c>
    </row>
    <row r="247" s="3" customFormat="true" ht="12.75" hidden="false" customHeight="true" outlineLevel="0" collapsed="false">
      <c r="A247" s="4" t="s">
        <v>299</v>
      </c>
      <c r="B247" s="94" t="s">
        <v>881</v>
      </c>
    </row>
    <row r="248" s="3" customFormat="true" ht="12.75" hidden="false" customHeight="true" outlineLevel="0" collapsed="false">
      <c r="A248" s="4" t="s">
        <v>299</v>
      </c>
      <c r="B248" s="94" t="s">
        <v>881</v>
      </c>
    </row>
    <row r="249" s="3" customFormat="true" ht="12.75" hidden="false" customHeight="true" outlineLevel="0" collapsed="false">
      <c r="A249" s="4" t="s">
        <v>322</v>
      </c>
      <c r="B249" s="94" t="s">
        <v>880</v>
      </c>
    </row>
    <row r="250" s="3" customFormat="true" ht="12.75" hidden="false" customHeight="true" outlineLevel="0" collapsed="false">
      <c r="A250" s="4" t="s">
        <v>446</v>
      </c>
      <c r="B250" s="94" t="s">
        <v>888</v>
      </c>
    </row>
    <row r="251" s="3" customFormat="true" ht="12.75" hidden="false" customHeight="true" outlineLevel="0" collapsed="false">
      <c r="A251" s="4" t="s">
        <v>688</v>
      </c>
      <c r="B251" s="94" t="s">
        <v>46</v>
      </c>
    </row>
    <row r="252" s="3" customFormat="true" ht="12.75" hidden="false" customHeight="true" outlineLevel="0" collapsed="false">
      <c r="A252" s="4" t="s">
        <v>649</v>
      </c>
      <c r="B252" s="94" t="s">
        <v>46</v>
      </c>
    </row>
    <row r="253" s="3" customFormat="true" ht="12.75" hidden="false" customHeight="true" outlineLevel="0" collapsed="false">
      <c r="A253" s="4" t="s">
        <v>709</v>
      </c>
      <c r="B253" s="94" t="s">
        <v>878</v>
      </c>
    </row>
    <row r="254" s="3" customFormat="true" ht="12.75" hidden="false" customHeight="true" outlineLevel="0" collapsed="false">
      <c r="A254" s="4" t="s">
        <v>572</v>
      </c>
      <c r="B254" s="94" t="s">
        <v>880</v>
      </c>
    </row>
    <row r="255" s="3" customFormat="true" ht="12.75" hidden="false" customHeight="true" outlineLevel="0" collapsed="false">
      <c r="A255" s="4" t="s">
        <v>249</v>
      </c>
      <c r="B255" s="94" t="s">
        <v>46</v>
      </c>
    </row>
    <row r="256" s="3" customFormat="true" ht="12.75" hidden="false" customHeight="true" outlineLevel="0" collapsed="false">
      <c r="A256" s="4" t="s">
        <v>232</v>
      </c>
      <c r="B256" s="94" t="s">
        <v>877</v>
      </c>
    </row>
    <row r="257" s="3" customFormat="true" ht="12.75" hidden="false" customHeight="true" outlineLevel="0" collapsed="false">
      <c r="A257" s="4" t="s">
        <v>232</v>
      </c>
      <c r="B257" s="94" t="s">
        <v>877</v>
      </c>
    </row>
    <row r="258" s="3" customFormat="true" ht="12.75" hidden="false" customHeight="true" outlineLevel="0" collapsed="false">
      <c r="A258" s="4" t="s">
        <v>538</v>
      </c>
      <c r="B258" s="94" t="s">
        <v>46</v>
      </c>
    </row>
    <row r="259" s="3" customFormat="true" ht="12.75" hidden="false" customHeight="true" outlineLevel="0" collapsed="false">
      <c r="A259" s="4" t="s">
        <v>890</v>
      </c>
      <c r="B259" s="94" t="s">
        <v>235</v>
      </c>
    </row>
    <row r="260" s="3" customFormat="true" ht="12.75" hidden="false" customHeight="true" outlineLevel="0" collapsed="false">
      <c r="A260" s="4" t="s">
        <v>139</v>
      </c>
      <c r="B260" s="94" t="s">
        <v>881</v>
      </c>
    </row>
    <row r="261" customFormat="false" ht="12.75" hidden="false" customHeight="true" outlineLevel="0" collapsed="false">
      <c r="A261" s="4" t="s">
        <v>672</v>
      </c>
      <c r="B261" s="94" t="s">
        <v>884</v>
      </c>
    </row>
    <row r="262" customFormat="false" ht="12.75" hidden="false" customHeight="true" outlineLevel="0" collapsed="false">
      <c r="A262" s="4" t="s">
        <v>728</v>
      </c>
      <c r="B262" s="94" t="s">
        <v>877</v>
      </c>
    </row>
    <row r="263" customFormat="false" ht="12.75" hidden="false" customHeight="true" outlineLevel="0" collapsed="false">
      <c r="A263" s="4" t="s">
        <v>208</v>
      </c>
      <c r="B263" s="94" t="s">
        <v>879</v>
      </c>
    </row>
    <row r="264" customFormat="false" ht="12.75" hidden="false" customHeight="true" outlineLevel="0" collapsed="false">
      <c r="A264" s="4" t="s">
        <v>208</v>
      </c>
      <c r="B264" s="94" t="s">
        <v>879</v>
      </c>
    </row>
    <row r="265" customFormat="false" ht="12.75" hidden="false" customHeight="true" outlineLevel="0" collapsed="false">
      <c r="A265" s="4" t="s">
        <v>208</v>
      </c>
      <c r="B265" s="94" t="s">
        <v>879</v>
      </c>
    </row>
    <row r="266" customFormat="false" ht="12.75" hidden="false" customHeight="true" outlineLevel="0" collapsed="false">
      <c r="A266" s="4" t="s">
        <v>642</v>
      </c>
      <c r="B266" s="94" t="s">
        <v>879</v>
      </c>
    </row>
    <row r="267" customFormat="false" ht="12.75" hidden="false" customHeight="true" outlineLevel="0" collapsed="false">
      <c r="A267" s="105" t="s">
        <v>805</v>
      </c>
      <c r="B267" s="105" t="s">
        <v>878</v>
      </c>
    </row>
    <row r="268" customFormat="false" ht="12.75" hidden="false" customHeight="true" outlineLevel="0" collapsed="false">
      <c r="A268" s="4" t="s">
        <v>331</v>
      </c>
      <c r="B268" s="94" t="s">
        <v>884</v>
      </c>
    </row>
    <row r="269" customFormat="false" ht="12.75" hidden="false" customHeight="true" outlineLevel="0" collapsed="false">
      <c r="A269" s="4" t="s">
        <v>492</v>
      </c>
      <c r="B269" s="94" t="s">
        <v>879</v>
      </c>
    </row>
    <row r="270" customFormat="false" ht="12.75" hidden="false" customHeight="true" outlineLevel="0" collapsed="false">
      <c r="A270" s="4" t="s">
        <v>122</v>
      </c>
      <c r="B270" s="94" t="s">
        <v>878</v>
      </c>
    </row>
    <row r="271" customFormat="false" ht="12.75" hidden="false" customHeight="true" outlineLevel="0" collapsed="false">
      <c r="A271" s="4" t="s">
        <v>94</v>
      </c>
      <c r="B271" s="94" t="s">
        <v>879</v>
      </c>
    </row>
    <row r="272" customFormat="false" ht="12.75" hidden="false" customHeight="true" outlineLevel="0" collapsed="false">
      <c r="A272" s="132" t="s">
        <v>675</v>
      </c>
      <c r="B272" s="330" t="s">
        <v>877</v>
      </c>
    </row>
    <row r="273" customFormat="false" ht="12.75" hidden="false" customHeight="true" outlineLevel="0" collapsed="false">
      <c r="A273" s="4" t="s">
        <v>425</v>
      </c>
      <c r="B273" s="94" t="s">
        <v>878</v>
      </c>
    </row>
    <row r="274" customFormat="false" ht="12.75" hidden="false" customHeight="true" outlineLevel="0" collapsed="false">
      <c r="A274" s="4" t="s">
        <v>174</v>
      </c>
      <c r="B274" s="94" t="s">
        <v>879</v>
      </c>
    </row>
    <row r="275" customFormat="false" ht="12.75" hidden="false" customHeight="true" outlineLevel="0" collapsed="false">
      <c r="A275" s="4" t="s">
        <v>502</v>
      </c>
      <c r="B275" s="94" t="s">
        <v>881</v>
      </c>
    </row>
    <row r="276" customFormat="false" ht="12.75" hidden="false" customHeight="true" outlineLevel="0" collapsed="false">
      <c r="A276" s="4" t="s">
        <v>502</v>
      </c>
      <c r="B276" s="94" t="s">
        <v>881</v>
      </c>
    </row>
    <row r="277" customFormat="false" ht="12.75" hidden="false" customHeight="true" outlineLevel="0" collapsed="false">
      <c r="A277" s="4" t="s">
        <v>262</v>
      </c>
      <c r="B277" s="94" t="s">
        <v>879</v>
      </c>
    </row>
    <row r="278" customFormat="false" ht="12.75" hidden="false" customHeight="true" outlineLevel="0" collapsed="false">
      <c r="A278" s="4" t="s">
        <v>289</v>
      </c>
      <c r="B278" s="94" t="s">
        <v>46</v>
      </c>
    </row>
    <row r="279" customFormat="false" ht="12.75" hidden="false" customHeight="true" outlineLevel="0" collapsed="false">
      <c r="A279" s="4" t="s">
        <v>134</v>
      </c>
      <c r="B279" s="94" t="s">
        <v>46</v>
      </c>
    </row>
    <row r="280" customFormat="false" ht="12.75" hidden="false" customHeight="true" outlineLevel="0" collapsed="false">
      <c r="A280" s="4" t="s">
        <v>47</v>
      </c>
      <c r="B280" s="329" t="s">
        <v>46</v>
      </c>
    </row>
    <row r="281" customFormat="false" ht="12.75" hidden="false" customHeight="true" outlineLevel="0" collapsed="false">
      <c r="A281" s="4" t="s">
        <v>418</v>
      </c>
      <c r="B281" s="94" t="s">
        <v>877</v>
      </c>
    </row>
    <row r="282" customFormat="false" ht="12.75" hidden="false" customHeight="true" outlineLevel="0" collapsed="false">
      <c r="A282" s="4" t="s">
        <v>189</v>
      </c>
      <c r="B282" s="94" t="s">
        <v>878</v>
      </c>
    </row>
    <row r="283" customFormat="false" ht="12.75" hidden="false" customHeight="true" outlineLevel="0" collapsed="false">
      <c r="A283" s="4" t="s">
        <v>772</v>
      </c>
      <c r="B283" s="94" t="s">
        <v>235</v>
      </c>
    </row>
    <row r="284" customFormat="false" ht="12.75" hidden="false" customHeight="true" outlineLevel="0" collapsed="false">
      <c r="A284" s="4" t="s">
        <v>507</v>
      </c>
      <c r="B284" s="94" t="s">
        <v>880</v>
      </c>
    </row>
    <row r="285" customFormat="false" ht="12.75" hidden="false" customHeight="true" outlineLevel="0" collapsed="false">
      <c r="A285" s="4" t="s">
        <v>753</v>
      </c>
      <c r="B285" s="94" t="s">
        <v>46</v>
      </c>
    </row>
    <row r="286" customFormat="false" ht="12.75" hidden="false" customHeight="true" outlineLevel="0" collapsed="false">
      <c r="A286" s="4" t="s">
        <v>744</v>
      </c>
      <c r="B286" s="94" t="s">
        <v>878</v>
      </c>
    </row>
    <row r="287" customFormat="false" ht="12.75" hidden="false" customHeight="true" outlineLevel="0" collapsed="false">
      <c r="A287" s="4" t="s">
        <v>744</v>
      </c>
      <c r="B287" s="94" t="s">
        <v>878</v>
      </c>
    </row>
    <row r="288" customFormat="false" ht="12.75" hidden="false" customHeight="true" outlineLevel="0" collapsed="false">
      <c r="A288" s="4" t="s">
        <v>744</v>
      </c>
      <c r="B288" s="94" t="s">
        <v>878</v>
      </c>
    </row>
    <row r="289" customFormat="false" ht="12.75" hidden="false" customHeight="true" outlineLevel="0" collapsed="false">
      <c r="A289" s="4" t="s">
        <v>780</v>
      </c>
      <c r="B289" s="94" t="s">
        <v>881</v>
      </c>
    </row>
    <row r="290" customFormat="false" ht="12.75" hidden="false" customHeight="true" outlineLevel="0" collapsed="false">
      <c r="A290" s="4" t="s">
        <v>891</v>
      </c>
      <c r="B290" s="94" t="s">
        <v>46</v>
      </c>
    </row>
    <row r="291" customFormat="false" ht="12.75" hidden="false" customHeight="true" outlineLevel="0" collapsed="false">
      <c r="A291" s="4" t="s">
        <v>394</v>
      </c>
      <c r="B291" s="94" t="s">
        <v>878</v>
      </c>
    </row>
    <row r="292" customFormat="false" ht="12.75" hidden="false" customHeight="true" outlineLevel="0" collapsed="false">
      <c r="A292" s="4" t="s">
        <v>468</v>
      </c>
      <c r="B292" s="94" t="s">
        <v>886</v>
      </c>
    </row>
    <row r="293" customFormat="false" ht="12.75" hidden="false" customHeight="true" outlineLevel="0" collapsed="false">
      <c r="A293" s="105" t="s">
        <v>800</v>
      </c>
      <c r="B293" s="105" t="s">
        <v>877</v>
      </c>
    </row>
    <row r="294" customFormat="false" ht="12.75" hidden="false" customHeight="true" outlineLevel="0" collapsed="false">
      <c r="A294" s="4" t="s">
        <v>486</v>
      </c>
      <c r="B294" s="94" t="s">
        <v>46</v>
      </c>
    </row>
    <row r="295" customFormat="false" ht="12.75" hidden="false" customHeight="true" outlineLevel="0" collapsed="false">
      <c r="A295" s="4" t="s">
        <v>702</v>
      </c>
      <c r="B295" s="94" t="s">
        <v>46</v>
      </c>
    </row>
    <row r="296" customFormat="false" ht="12.75" hidden="false" customHeight="true" outlineLevel="0" collapsed="false">
      <c r="A296" s="105" t="s">
        <v>793</v>
      </c>
      <c r="B296" s="105" t="s">
        <v>877</v>
      </c>
    </row>
    <row r="297" customFormat="false" ht="12.75" hidden="false" customHeight="true" outlineLevel="0" collapsed="false">
      <c r="B297" s="94"/>
    </row>
    <row r="298" customFormat="false" ht="12.75" hidden="false" customHeight="true" outlineLevel="0" collapsed="false">
      <c r="A298" s="39"/>
      <c r="B298" s="111"/>
    </row>
    <row r="299" customFormat="false" ht="12.75" hidden="false" customHeight="true" outlineLevel="0" collapsed="false">
      <c r="A299" s="39"/>
      <c r="B299" s="111"/>
    </row>
    <row r="300" customFormat="false" ht="12.75" hidden="false" customHeight="true" outlineLevel="0" collapsed="false">
      <c r="A300" s="47"/>
      <c r="B300" s="331"/>
    </row>
    <row r="301" customFormat="false" ht="12.75" hidden="false" customHeight="true" outlineLevel="0" collapsed="false">
      <c r="A301" s="39"/>
      <c r="B301" s="111"/>
    </row>
    <row r="302" customFormat="false" ht="12.75" hidden="false" customHeight="true" outlineLevel="0" collapsed="false">
      <c r="B302" s="94"/>
    </row>
    <row r="303" customFormat="false" ht="12.75" hidden="false" customHeight="true" outlineLevel="0" collapsed="false">
      <c r="B303" s="94"/>
    </row>
    <row r="304" customFormat="false" ht="12.75" hidden="false" customHeight="true" outlineLevel="0" collapsed="false">
      <c r="B304" s="94"/>
    </row>
    <row r="305" customFormat="false" ht="12.75" hidden="false" customHeight="true" outlineLevel="0" collapsed="false">
      <c r="B305" s="94"/>
    </row>
    <row r="306" customFormat="false" ht="12.75" hidden="false" customHeight="true" outlineLevel="0" collapsed="false">
      <c r="A306" s="39"/>
      <c r="B306" s="111"/>
    </row>
    <row r="307" customFormat="false" ht="12.75" hidden="false" customHeight="true" outlineLevel="0" collapsed="false">
      <c r="B307" s="94"/>
    </row>
    <row r="308" customFormat="false" ht="12.75" hidden="false" customHeight="true" outlineLevel="0" collapsed="false">
      <c r="B308" s="94"/>
    </row>
    <row r="309" customFormat="false" ht="12.75" hidden="false" customHeight="true" outlineLevel="0" collapsed="false">
      <c r="B309" s="94"/>
    </row>
    <row r="310" customFormat="false" ht="12.75" hidden="false" customHeight="true" outlineLevel="0" collapsed="false">
      <c r="B310" s="94"/>
    </row>
    <row r="311" customFormat="false" ht="12.75" hidden="false" customHeight="true" outlineLevel="0" collapsed="false">
      <c r="A311" s="39"/>
      <c r="B311" s="111"/>
    </row>
    <row r="312" customFormat="false" ht="12.75" hidden="false" customHeight="true" outlineLevel="0" collapsed="false">
      <c r="A312" s="39"/>
      <c r="B312" s="111"/>
    </row>
    <row r="313" customFormat="false" ht="12.75" hidden="false" customHeight="true" outlineLevel="0" collapsed="false">
      <c r="B313" s="94"/>
    </row>
    <row r="314" customFormat="false" ht="12.75" hidden="false" customHeight="true" outlineLevel="0" collapsed="false">
      <c r="B314" s="94"/>
    </row>
    <row r="315" customFormat="false" ht="12.75" hidden="false" customHeight="true" outlineLevel="0" collapsed="false">
      <c r="B315" s="94"/>
    </row>
    <row r="316" customFormat="false" ht="12.75" hidden="false" customHeight="true" outlineLevel="0" collapsed="false">
      <c r="B316" s="94"/>
    </row>
    <row r="317" customFormat="false" ht="12.75" hidden="false" customHeight="true" outlineLevel="0" collapsed="false">
      <c r="B317" s="94"/>
    </row>
    <row r="318" customFormat="false" ht="12.75" hidden="false" customHeight="true" outlineLevel="0" collapsed="false">
      <c r="A318" s="47"/>
      <c r="B318" s="331"/>
    </row>
    <row r="319" customFormat="false" ht="12.75" hidden="false" customHeight="true" outlineLevel="0" collapsed="false">
      <c r="A319" s="39"/>
      <c r="B319" s="111"/>
    </row>
    <row r="320" customFormat="false" ht="12.75" hidden="false" customHeight="true" outlineLevel="0" collapsed="false">
      <c r="B320" s="94"/>
    </row>
    <row r="321" customFormat="false" ht="12.75" hidden="false" customHeight="true" outlineLevel="0" collapsed="false">
      <c r="B321" s="94"/>
    </row>
    <row r="322" customFormat="false" ht="12.75" hidden="false" customHeight="true" outlineLevel="0" collapsed="false">
      <c r="B322" s="94"/>
    </row>
    <row r="323" customFormat="false" ht="12.75" hidden="false" customHeight="true" outlineLevel="0" collapsed="false">
      <c r="B323" s="94"/>
    </row>
    <row r="324" customFormat="false" ht="12.75" hidden="false" customHeight="true" outlineLevel="0" collapsed="false">
      <c r="A324" s="39"/>
      <c r="B324" s="111"/>
    </row>
    <row r="325" customFormat="false" ht="12.75" hidden="false" customHeight="true" outlineLevel="0" collapsed="false">
      <c r="A325" s="66"/>
      <c r="B325" s="94"/>
    </row>
    <row r="326" customFormat="false" ht="12.75" hidden="false" customHeight="true" outlineLevel="0" collapsed="false">
      <c r="B326" s="94"/>
    </row>
    <row r="327" customFormat="false" ht="12.75" hidden="false" customHeight="true" outlineLevel="0" collapsed="false">
      <c r="B327" s="94"/>
    </row>
    <row r="328" customFormat="false" ht="12.75" hidden="false" customHeight="true" outlineLevel="0" collapsed="false">
      <c r="B328" s="111"/>
    </row>
    <row r="329" customFormat="false" ht="12.75" hidden="false" customHeight="true" outlineLevel="0" collapsed="false">
      <c r="A329" s="39"/>
      <c r="B329" s="332"/>
    </row>
    <row r="330" customFormat="false" ht="12.75" hidden="false" customHeight="true" outlineLevel="0" collapsed="false">
      <c r="A330" s="68"/>
    </row>
    <row r="331" customFormat="false" ht="12.75" hidden="false" customHeight="true" outlineLevel="0" collapsed="false">
      <c r="B331" s="94"/>
    </row>
    <row r="332" customFormat="false" ht="12.75" hidden="false" customHeight="true" outlineLevel="0" collapsed="false">
      <c r="B332" s="94"/>
    </row>
    <row r="333" customFormat="false" ht="12.75" hidden="false" customHeight="true" outlineLevel="0" collapsed="false">
      <c r="B333" s="94"/>
    </row>
    <row r="334" customFormat="false" ht="12.75" hidden="false" customHeight="true" outlineLevel="0" collapsed="false">
      <c r="A334" s="39"/>
      <c r="B334" s="111"/>
    </row>
    <row r="335" customFormat="false" ht="12.75" hidden="false" customHeight="true" outlineLevel="0" collapsed="false">
      <c r="B335" s="94"/>
    </row>
    <row r="336" customFormat="false" ht="12.75" hidden="false" customHeight="true" outlineLevel="0" collapsed="false">
      <c r="A336" s="47"/>
      <c r="B336" s="331"/>
    </row>
    <row r="337" customFormat="false" ht="12.75" hidden="false" customHeight="true" outlineLevel="0" collapsed="false">
      <c r="B337" s="94"/>
    </row>
    <row r="338" customFormat="false" ht="12.75" hidden="false" customHeight="true" outlineLevel="0" collapsed="false">
      <c r="A338" s="39"/>
      <c r="B338" s="111"/>
    </row>
    <row r="339" customFormat="false" ht="12.75" hidden="false" customHeight="true" outlineLevel="0" collapsed="false">
      <c r="A339" s="66"/>
      <c r="B339" s="94"/>
    </row>
    <row r="340" customFormat="false" ht="12.75" hidden="false" customHeight="true" outlineLevel="0" collapsed="false">
      <c r="B340" s="94"/>
    </row>
    <row r="341" customFormat="false" ht="12.75" hidden="false" customHeight="true" outlineLevel="0" collapsed="false">
      <c r="B341" s="94"/>
    </row>
    <row r="342" customFormat="false" ht="12.75" hidden="false" customHeight="true" outlineLevel="0" collapsed="false">
      <c r="B342" s="94"/>
    </row>
    <row r="343" customFormat="false" ht="12.75" hidden="false" customHeight="true" outlineLevel="0" collapsed="false">
      <c r="A343" s="39"/>
      <c r="B343" s="111"/>
    </row>
    <row r="344" customFormat="false" ht="12.75" hidden="false" customHeight="true" outlineLevel="0" collapsed="false">
      <c r="B344" s="94"/>
    </row>
    <row r="345" customFormat="false" ht="12.75" hidden="false" customHeight="true" outlineLevel="0" collapsed="false">
      <c r="B345" s="94"/>
    </row>
    <row r="346" customFormat="false" ht="12.75" hidden="false" customHeight="true" outlineLevel="0" collapsed="false">
      <c r="B346" s="94"/>
    </row>
    <row r="347" customFormat="false" ht="12.75" hidden="false" customHeight="true" outlineLevel="0" collapsed="false">
      <c r="B347" s="94"/>
    </row>
    <row r="348" customFormat="false" ht="12.75" hidden="false" customHeight="true" outlineLevel="0" collapsed="false">
      <c r="A348" s="39"/>
      <c r="B348" s="111"/>
    </row>
    <row r="349" customFormat="false" ht="12.75" hidden="false" customHeight="true" outlineLevel="0" collapsed="false">
      <c r="B349" s="94"/>
    </row>
    <row r="350" customFormat="false" ht="12.75" hidden="false" customHeight="true" outlineLevel="0" collapsed="false">
      <c r="B350" s="94"/>
    </row>
    <row r="351" customFormat="false" ht="12.75" hidden="false" customHeight="true" outlineLevel="0" collapsed="false">
      <c r="B351" s="94"/>
    </row>
    <row r="352" customFormat="false" ht="12.75" hidden="false" customHeight="true" outlineLevel="0" collapsed="false">
      <c r="B352" s="94"/>
    </row>
    <row r="353" customFormat="false" ht="12.75" hidden="false" customHeight="true" outlineLevel="0" collapsed="false">
      <c r="A353" s="39"/>
      <c r="B353" s="111"/>
    </row>
    <row r="354" customFormat="false" ht="12.75" hidden="false" customHeight="true" outlineLevel="0" collapsed="false">
      <c r="A354" s="75"/>
      <c r="B354" s="333"/>
    </row>
    <row r="355" customFormat="false" ht="12.75" hidden="false" customHeight="true" outlineLevel="0" collapsed="false">
      <c r="B355" s="94"/>
    </row>
    <row r="356" customFormat="false" ht="12.75" hidden="false" customHeight="true" outlineLevel="0" collapsed="false">
      <c r="B356" s="94"/>
    </row>
    <row r="357" customFormat="false" ht="12.75" hidden="false" customHeight="true" outlineLevel="0" collapsed="false">
      <c r="B357" s="94"/>
    </row>
    <row r="358" customFormat="false" ht="12.75" hidden="false" customHeight="true" outlineLevel="0" collapsed="false">
      <c r="A358" s="39"/>
      <c r="B358" s="111"/>
    </row>
    <row r="359" customFormat="false" ht="12.75" hidden="false" customHeight="true" outlineLevel="0" collapsed="false">
      <c r="B359" s="94"/>
    </row>
    <row r="360" customFormat="false" ht="12.75" hidden="false" customHeight="true" outlineLevel="0" collapsed="false">
      <c r="B360" s="94"/>
    </row>
    <row r="361" customFormat="false" ht="12.75" hidden="false" customHeight="true" outlineLevel="0" collapsed="false">
      <c r="B361" s="94"/>
    </row>
    <row r="362" customFormat="false" ht="12.75" hidden="false" customHeight="true" outlineLevel="0" collapsed="false">
      <c r="B362" s="94"/>
    </row>
    <row r="363" customFormat="false" ht="12.75" hidden="false" customHeight="true" outlineLevel="0" collapsed="false">
      <c r="A363" s="39"/>
      <c r="B363" s="111"/>
    </row>
    <row r="364" customFormat="false" ht="12.75" hidden="false" customHeight="true" outlineLevel="0" collapsed="false">
      <c r="A364" s="83"/>
      <c r="B364" s="333"/>
    </row>
    <row r="365" customFormat="false" ht="12.75" hidden="false" customHeight="true" outlineLevel="0" collapsed="false">
      <c r="B365" s="94"/>
    </row>
    <row r="366" customFormat="false" ht="12.75" hidden="false" customHeight="true" outlineLevel="0" collapsed="false">
      <c r="A366" s="39"/>
      <c r="B366" s="111"/>
    </row>
    <row r="367" customFormat="false" ht="12.75" hidden="false" customHeight="true" outlineLevel="0" collapsed="false">
      <c r="A367" s="39"/>
      <c r="B367" s="111"/>
    </row>
    <row r="368" customFormat="false" ht="12.75" hidden="false" customHeight="true" outlineLevel="0" collapsed="false">
      <c r="B368" s="94"/>
    </row>
    <row r="369" customFormat="false" ht="12.75" hidden="false" customHeight="true" outlineLevel="0" collapsed="false">
      <c r="A369" s="92"/>
      <c r="B369" s="333"/>
    </row>
    <row r="370" customFormat="false" ht="12.75" hidden="false" customHeight="true" outlineLevel="0" collapsed="false">
      <c r="B370" s="94"/>
    </row>
    <row r="371" customFormat="false" ht="12.75" hidden="false" customHeight="true" outlineLevel="0" collapsed="false">
      <c r="A371" s="39"/>
      <c r="B371" s="111"/>
    </row>
    <row r="372" customFormat="false" ht="12.75" hidden="false" customHeight="true" outlineLevel="0" collapsed="false">
      <c r="B372" s="94"/>
    </row>
    <row r="373" customFormat="false" ht="12.75" hidden="false" customHeight="true" outlineLevel="0" collapsed="false">
      <c r="B373" s="94"/>
    </row>
    <row r="374" customFormat="false" ht="12.75" hidden="false" customHeight="true" outlineLevel="0" collapsed="false">
      <c r="B374" s="94"/>
    </row>
    <row r="375" customFormat="false" ht="12.75" hidden="false" customHeight="true" outlineLevel="0" collapsed="false">
      <c r="B375" s="94"/>
    </row>
    <row r="376" customFormat="false" ht="12.75" hidden="false" customHeight="true" outlineLevel="0" collapsed="false">
      <c r="A376" s="39"/>
      <c r="B376" s="111"/>
    </row>
    <row r="377" customFormat="false" ht="12.75" hidden="false" customHeight="true" outlineLevel="0" collapsed="false">
      <c r="B377" s="94"/>
    </row>
    <row r="378" customFormat="false" ht="12.75" hidden="false" customHeight="true" outlineLevel="0" collapsed="false">
      <c r="B378" s="94"/>
    </row>
    <row r="379" customFormat="false" ht="12.75" hidden="false" customHeight="true" outlineLevel="0" collapsed="false">
      <c r="B379" s="94"/>
    </row>
    <row r="380" customFormat="false" ht="12.75" hidden="false" customHeight="true" outlineLevel="0" collapsed="false">
      <c r="B380" s="94"/>
    </row>
    <row r="381" customFormat="false" ht="12.75" hidden="false" customHeight="true" outlineLevel="0" collapsed="false">
      <c r="A381" s="39"/>
      <c r="B381" s="111"/>
    </row>
    <row r="382" customFormat="false" ht="12.75" hidden="false" customHeight="true" outlineLevel="0" collapsed="false">
      <c r="B382" s="94"/>
    </row>
    <row r="383" customFormat="false" ht="12.75" hidden="false" customHeight="true" outlineLevel="0" collapsed="false">
      <c r="B383" s="94"/>
    </row>
    <row r="384" customFormat="false" ht="12.75" hidden="false" customHeight="true" outlineLevel="0" collapsed="false">
      <c r="B384" s="94"/>
    </row>
    <row r="385" customFormat="false" ht="12.75" hidden="false" customHeight="true" outlineLevel="0" collapsed="false">
      <c r="B385" s="94"/>
    </row>
    <row r="386" customFormat="false" ht="12.75" hidden="false" customHeight="true" outlineLevel="0" collapsed="false">
      <c r="A386" s="39"/>
      <c r="B386" s="111"/>
    </row>
    <row r="387" customFormat="false" ht="12.75" hidden="false" customHeight="true" outlineLevel="0" collapsed="false">
      <c r="B387" s="94"/>
    </row>
    <row r="388" customFormat="false" ht="12.75" hidden="false" customHeight="true" outlineLevel="0" collapsed="false">
      <c r="B388" s="94"/>
    </row>
    <row r="389" customFormat="false" ht="12.75" hidden="false" customHeight="true" outlineLevel="0" collapsed="false">
      <c r="B389" s="94"/>
    </row>
    <row r="390" customFormat="false" ht="12.75" hidden="false" customHeight="true" outlineLevel="0" collapsed="false">
      <c r="B390" s="94"/>
    </row>
    <row r="391" customFormat="false" ht="12.75" hidden="false" customHeight="true" outlineLevel="0" collapsed="false">
      <c r="A391" s="39"/>
      <c r="B391" s="111"/>
    </row>
    <row r="392" customFormat="false" ht="12.75" hidden="false" customHeight="true" outlineLevel="0" collapsed="false">
      <c r="B392" s="94"/>
    </row>
    <row r="393" customFormat="false" ht="12.75" hidden="false" customHeight="true" outlineLevel="0" collapsed="false">
      <c r="B393" s="94"/>
    </row>
    <row r="394" customFormat="false" ht="12.75" hidden="false" customHeight="true" outlineLevel="0" collapsed="false">
      <c r="B394" s="94"/>
    </row>
    <row r="395" customFormat="false" ht="12.75" hidden="false" customHeight="true" outlineLevel="0" collapsed="false">
      <c r="B395" s="94"/>
    </row>
    <row r="396" customFormat="false" ht="12.75" hidden="false" customHeight="true" outlineLevel="0" collapsed="false">
      <c r="A396" s="39"/>
      <c r="B396" s="111"/>
    </row>
    <row r="397" customFormat="false" ht="12.75" hidden="false" customHeight="true" outlineLevel="0" collapsed="false">
      <c r="A397" s="75"/>
      <c r="B397" s="333"/>
    </row>
    <row r="398" customFormat="false" ht="12.75" hidden="false" customHeight="true" outlineLevel="0" collapsed="false">
      <c r="A398" s="47"/>
      <c r="B398" s="331"/>
    </row>
    <row r="399" customFormat="false" ht="12.75" hidden="false" customHeight="true" outlineLevel="0" collapsed="false">
      <c r="B399" s="94"/>
    </row>
    <row r="400" customFormat="false" ht="12.75" hidden="false" customHeight="true" outlineLevel="0" collapsed="false">
      <c r="A400" s="39"/>
      <c r="B400" s="111"/>
    </row>
    <row r="401" customFormat="false" ht="12.75" hidden="false" customHeight="true" outlineLevel="0" collapsed="false">
      <c r="A401" s="68"/>
      <c r="B401" s="332"/>
    </row>
    <row r="402" customFormat="false" ht="12.75" hidden="false" customHeight="true" outlineLevel="0" collapsed="false">
      <c r="B402" s="94"/>
    </row>
    <row r="403" customFormat="false" ht="12.75" hidden="false" customHeight="true" outlineLevel="0" collapsed="false">
      <c r="B403" s="94"/>
    </row>
    <row r="404" customFormat="false" ht="12.75" hidden="false" customHeight="true" outlineLevel="0" collapsed="false">
      <c r="B404" s="94"/>
    </row>
    <row r="405" customFormat="false" ht="12.75" hidden="false" customHeight="true" outlineLevel="0" collapsed="false">
      <c r="A405" s="39"/>
      <c r="B405" s="111"/>
    </row>
    <row r="406" customFormat="false" ht="12.75" hidden="false" customHeight="true" outlineLevel="0" collapsed="false">
      <c r="A406" s="95"/>
      <c r="B406" s="334"/>
    </row>
    <row r="407" customFormat="false" ht="12.75" hidden="false" customHeight="true" outlineLevel="0" collapsed="false">
      <c r="B407" s="94"/>
    </row>
    <row r="408" customFormat="false" ht="12.75" hidden="false" customHeight="true" outlineLevel="0" collapsed="false">
      <c r="B408" s="94"/>
    </row>
    <row r="409" customFormat="false" ht="12.75" hidden="false" customHeight="true" outlineLevel="0" collapsed="false">
      <c r="B409" s="94"/>
    </row>
    <row r="410" customFormat="false" ht="12.75" hidden="false" customHeight="true" outlineLevel="0" collapsed="false">
      <c r="A410" s="39"/>
      <c r="B410" s="111"/>
    </row>
    <row r="411" customFormat="false" ht="12.75" hidden="false" customHeight="true" outlineLevel="0" collapsed="false">
      <c r="B411" s="94"/>
    </row>
  </sheetData>
  <autoFilter ref="A1:B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C73"/>
  <sheetViews>
    <sheetView showFormulas="false" showGridLines="true" showRowColHeaders="true" showZeros="false" rightToLeft="false" tabSelected="false" showOutlineSymbols="true" defaultGridColor="true" view="normal" topLeftCell="B1" colorId="64" zoomScale="85" zoomScaleNormal="85" zoomScalePageLayoutView="100" workbookViewId="0">
      <selection pane="topLeft" activeCell="E9" activeCellId="0" sqref="E9"/>
    </sheetView>
  </sheetViews>
  <sheetFormatPr defaultColWidth="8.83203125" defaultRowHeight="12.75" customHeight="true" zeroHeight="false" outlineLevelRow="0" outlineLevelCol="0"/>
  <cols>
    <col collapsed="false" customWidth="true" hidden="true" outlineLevel="0" max="1" min="1" style="1" width="13"/>
    <col collapsed="false" customWidth="true" hidden="true" outlineLevel="0" max="4" min="3" style="1" width="13"/>
    <col collapsed="false" customWidth="true" hidden="false" outlineLevel="0" max="5" min="5" style="1" width="35.33"/>
    <col collapsed="false" customWidth="true" hidden="false" outlineLevel="0" max="6" min="6" style="1" width="22.5"/>
    <col collapsed="false" customWidth="true" hidden="false" outlineLevel="0" max="7" min="7" style="1" width="14.16"/>
    <col collapsed="false" customWidth="true" hidden="true" outlineLevel="0" max="9" min="9" style="1" width="13"/>
    <col collapsed="false" customWidth="true" hidden="false" outlineLevel="0" max="10" min="10" style="1" width="33.52"/>
    <col collapsed="false" customWidth="true" hidden="false" outlineLevel="0" max="11" min="11" style="1" width="18.5"/>
    <col collapsed="false" customWidth="true" hidden="false" outlineLevel="0" max="12" min="12" style="1" width="20.51"/>
    <col collapsed="false" customWidth="true" hidden="true" outlineLevel="0" max="13" min="13" style="1" width="14.67"/>
    <col collapsed="false" customWidth="true" hidden="false" outlineLevel="0" max="15" min="14" style="1" width="17.5"/>
    <col collapsed="false" customWidth="true" hidden="false" outlineLevel="0" max="16" min="16" style="1" width="13.5"/>
    <col collapsed="false" customWidth="true" hidden="true" outlineLevel="0" max="18" min="17" style="1" width="13"/>
    <col collapsed="false" customWidth="true" hidden="false" outlineLevel="0" max="19" min="19" style="1" width="11.5"/>
    <col collapsed="false" customWidth="true" hidden="true" outlineLevel="0" max="20" min="20" style="1" width="11.5"/>
    <col collapsed="false" customWidth="true" hidden="false" outlineLevel="0" max="21" min="21" style="1" width="12.5"/>
    <col collapsed="false" customWidth="true" hidden="true" outlineLevel="0" max="22" min="22" style="1" width="13"/>
    <col collapsed="false" customWidth="true" hidden="false" outlineLevel="0" max="23" min="23" style="1" width="13"/>
    <col collapsed="false" customWidth="true" hidden="true" outlineLevel="0" max="26" min="25" style="1" width="13"/>
    <col collapsed="false" customWidth="true" hidden="false" outlineLevel="0" max="28" min="28" style="1" width="48.16"/>
  </cols>
  <sheetData>
    <row r="2" customFormat="false" ht="12.75" hidden="false" customHeight="true" outlineLevel="0" collapsed="false">
      <c r="B2" s="335" t="s">
        <v>892</v>
      </c>
      <c r="C2" s="335"/>
      <c r="D2" s="335"/>
      <c r="E2" s="335"/>
      <c r="H2" s="336"/>
      <c r="P2" s="337"/>
      <c r="S2" s="337"/>
      <c r="T2" s="337"/>
      <c r="U2" s="337"/>
    </row>
    <row r="3" customFormat="false" ht="22.5" hidden="false" customHeight="true" outlineLevel="0" collapsed="false">
      <c r="B3" s="16" t="s">
        <v>1</v>
      </c>
      <c r="C3" s="16" t="s">
        <v>2</v>
      </c>
      <c r="D3" s="17" t="s">
        <v>3</v>
      </c>
      <c r="E3" s="17" t="s">
        <v>4</v>
      </c>
      <c r="F3" s="17" t="s">
        <v>5</v>
      </c>
      <c r="G3" s="18" t="s">
        <v>6</v>
      </c>
      <c r="H3" s="19" t="s">
        <v>7</v>
      </c>
      <c r="I3" s="19" t="s">
        <v>8</v>
      </c>
      <c r="J3" s="20" t="s">
        <v>10</v>
      </c>
      <c r="K3" s="21" t="s">
        <v>893</v>
      </c>
      <c r="L3" s="21" t="s">
        <v>894</v>
      </c>
      <c r="M3" s="21" t="s">
        <v>13</v>
      </c>
      <c r="N3" s="21" t="s">
        <v>14</v>
      </c>
      <c r="O3" s="21" t="s">
        <v>15</v>
      </c>
      <c r="P3" s="338" t="s">
        <v>16</v>
      </c>
      <c r="Q3" s="22" t="s">
        <v>17</v>
      </c>
      <c r="R3" s="22" t="s">
        <v>18</v>
      </c>
      <c r="S3" s="338" t="s">
        <v>19</v>
      </c>
      <c r="T3" s="338" t="s">
        <v>20</v>
      </c>
      <c r="U3" s="338" t="s">
        <v>864</v>
      </c>
      <c r="V3" s="18" t="s">
        <v>22</v>
      </c>
      <c r="W3" s="18"/>
      <c r="X3" s="18" t="s">
        <v>24</v>
      </c>
      <c r="Y3" s="23" t="s">
        <v>25</v>
      </c>
      <c r="Z3" s="24" t="s">
        <v>865</v>
      </c>
      <c r="AA3" s="24" t="s">
        <v>27</v>
      </c>
      <c r="AB3" s="25" t="s">
        <v>28</v>
      </c>
    </row>
    <row r="4" customFormat="false" ht="15" hidden="false" customHeight="true" outlineLevel="0" collapsed="false">
      <c r="B4" s="339"/>
      <c r="C4" s="339"/>
      <c r="D4" s="27"/>
      <c r="E4" s="27"/>
      <c r="F4" s="27"/>
      <c r="G4" s="339"/>
      <c r="H4" s="340"/>
      <c r="I4" s="340"/>
      <c r="J4" s="27"/>
      <c r="K4" s="341"/>
      <c r="L4" s="341"/>
      <c r="M4" s="341"/>
      <c r="N4" s="341"/>
      <c r="O4" s="341"/>
      <c r="P4" s="342"/>
      <c r="Q4" s="343"/>
      <c r="R4" s="343"/>
      <c r="S4" s="342"/>
      <c r="T4" s="342"/>
      <c r="U4" s="342"/>
      <c r="V4" s="339"/>
      <c r="W4" s="339"/>
      <c r="X4" s="339"/>
      <c r="Y4" s="344"/>
      <c r="Z4" s="345"/>
      <c r="AA4" s="345"/>
      <c r="AB4" s="27"/>
    </row>
    <row r="5" customFormat="false" ht="15.75" hidden="false" customHeight="true" outlineLevel="0" collapsed="false">
      <c r="A5" s="3" t="n">
        <f aca="true" t="array" ref="A5:AC9">_xlfn._xlws.SORT(_xlfn._xlws.FILTER('Bank Schedule'!A1:AC992, (('Bank Schedule'!M1:M992 &lt; TODAY()) * ('Bank Schedule'!M1:M992 &lt;&gt; ""))), 12, TRUE())</f>
        <v>0</v>
      </c>
      <c r="B5" s="3" t="str">
        <v>CD</v>
      </c>
      <c r="C5" s="3" t="str">
        <v>OOS</v>
      </c>
      <c r="D5" s="3" t="n">
        <v>888010</v>
      </c>
      <c r="E5" s="346" t="str">
        <v>184-190 Oxford Street &amp; 28/30 Market Place</v>
      </c>
      <c r="F5" s="346" t="str">
        <v>Part Basement</v>
      </c>
      <c r="G5" s="346" t="str">
        <v>Sub-Station</v>
      </c>
      <c r="H5" s="346" t="n">
        <v>0</v>
      </c>
      <c r="I5" s="346" t="n">
        <v>0</v>
      </c>
      <c r="J5" s="346" t="n">
        <v>0</v>
      </c>
      <c r="K5" s="347" t="str">
        <v>EDF</v>
      </c>
      <c r="L5" s="347" t="n">
        <v>20814</v>
      </c>
      <c r="M5" s="347" t="n">
        <v>39073</v>
      </c>
      <c r="N5" s="347" t="n">
        <v>0</v>
      </c>
      <c r="O5" s="347" t="n">
        <v>0</v>
      </c>
      <c r="P5" s="348" t="n">
        <v>0</v>
      </c>
      <c r="Q5" s="346" t="n">
        <v>0</v>
      </c>
      <c r="R5" s="346" t="n">
        <v>0</v>
      </c>
      <c r="S5" s="348" t="n">
        <v>0</v>
      </c>
      <c r="T5" s="348" t="n">
        <v>0</v>
      </c>
      <c r="U5" s="348" t="n">
        <v>0</v>
      </c>
      <c r="V5" s="346" t="n">
        <v>0</v>
      </c>
      <c r="W5" s="346" t="n">
        <v>0</v>
      </c>
      <c r="X5" s="346" t="n">
        <v>0</v>
      </c>
      <c r="Y5" s="346" t="n">
        <v>0</v>
      </c>
      <c r="Z5" s="346" t="n">
        <v>0</v>
      </c>
      <c r="AA5" s="346" t="n">
        <v>0</v>
      </c>
      <c r="AB5" s="346" t="str">
        <v>Yes</v>
      </c>
      <c r="AC5" s="1" t="str">
        <v>New lease in negotiation. £1k max from date of purchase.</v>
      </c>
    </row>
    <row r="6" customFormat="false" ht="12.75" hidden="false" customHeight="true" outlineLevel="0" collapsed="false">
      <c r="A6" s="1" t="n">
        <v>0</v>
      </c>
      <c r="B6" s="1" t="str">
        <v>CD</v>
      </c>
      <c r="C6" s="1" t="str">
        <v>MEL</v>
      </c>
      <c r="D6" s="1" t="n">
        <v>550430</v>
      </c>
      <c r="E6" s="1" t="str">
        <v>56 Great Titchfield Street</v>
      </c>
      <c r="F6" s="1" t="str">
        <v>Whole Building</v>
      </c>
      <c r="G6" s="1" t="str">
        <v>Retail</v>
      </c>
      <c r="H6" s="336" t="n">
        <v>2692</v>
      </c>
      <c r="I6" s="1" t="n">
        <v>2692</v>
      </c>
      <c r="J6" s="1" t="n">
        <v>2750</v>
      </c>
      <c r="K6" s="349" t="str">
        <v>Morplan Ltd.</v>
      </c>
      <c r="L6" s="349" t="n">
        <v>39814</v>
      </c>
      <c r="M6" s="349" t="n">
        <v>45747</v>
      </c>
      <c r="N6" s="349" t="n">
        <v>0</v>
      </c>
      <c r="O6" s="349" t="n">
        <v>0</v>
      </c>
      <c r="P6" s="350" t="n">
        <v>0</v>
      </c>
      <c r="Q6" s="1" t="n">
        <v>104500</v>
      </c>
      <c r="R6" s="1" t="n">
        <v>104500</v>
      </c>
      <c r="S6" s="337" t="n">
        <v>104500</v>
      </c>
      <c r="T6" s="337" t="n">
        <v>94400</v>
      </c>
      <c r="U6" s="337" t="n">
        <v>94400</v>
      </c>
      <c r="V6" s="1" t="n">
        <v>94400</v>
      </c>
      <c r="W6" s="1" t="n">
        <v>94400</v>
      </c>
      <c r="X6" s="1" t="n">
        <v>35.0668647845468</v>
      </c>
      <c r="Y6" s="1" t="str">
        <v>B</v>
      </c>
      <c r="Z6" s="1" t="n">
        <v>0</v>
      </c>
      <c r="AA6" s="1" t="n">
        <v>1375000</v>
      </c>
      <c r="AB6" s="1" t="str">
        <v>Yes</v>
      </c>
      <c r="AC6" s="1" t="str">
        <v>Tenant holding over. S25 served terminating tenancy @ 12/10/24. Lease renewal agreed. Awaiting completion. Lease extension agreed to 31/03/25</v>
      </c>
    </row>
    <row r="7" customFormat="false" ht="12.75" hidden="false" customHeight="true" outlineLevel="0" collapsed="false">
      <c r="A7" s="1" t="n">
        <v>0</v>
      </c>
      <c r="B7" s="1" t="str">
        <v>CD</v>
      </c>
      <c r="C7" s="1" t="str">
        <v>MEL</v>
      </c>
      <c r="D7" s="1" t="n">
        <v>550440</v>
      </c>
      <c r="E7" s="1" t="str">
        <v>58 Great Titchfield Street</v>
      </c>
      <c r="F7" s="1" t="str">
        <v>Basement &amp; Ground Floor</v>
      </c>
      <c r="G7" s="1" t="str">
        <v>Retail</v>
      </c>
      <c r="H7" s="336" t="n">
        <v>1171</v>
      </c>
      <c r="I7" s="1" t="n">
        <v>1171</v>
      </c>
      <c r="J7" s="1" t="n">
        <v>1000</v>
      </c>
      <c r="K7" s="349" t="str">
        <v>Morplan Ltd.</v>
      </c>
      <c r="L7" s="349" t="n">
        <v>39814</v>
      </c>
      <c r="M7" s="349" t="n">
        <v>45747</v>
      </c>
      <c r="N7" s="349" t="n">
        <v>0</v>
      </c>
      <c r="O7" s="349" t="n">
        <v>0</v>
      </c>
      <c r="P7" s="350" t="n">
        <v>0</v>
      </c>
      <c r="Q7" s="1" t="n">
        <v>50425</v>
      </c>
      <c r="R7" s="1" t="n">
        <v>50425</v>
      </c>
      <c r="S7" s="337" t="n">
        <v>0</v>
      </c>
      <c r="T7" s="337" t="n">
        <v>41000</v>
      </c>
      <c r="U7" s="337" t="n">
        <v>41000</v>
      </c>
      <c r="V7" s="1" t="n">
        <v>41000</v>
      </c>
      <c r="W7" s="1" t="n">
        <v>41000</v>
      </c>
      <c r="X7" s="1" t="n">
        <v>35.0128095644748</v>
      </c>
      <c r="Y7" s="1" t="str">
        <v>B</v>
      </c>
      <c r="Z7" s="1" t="n">
        <v>0</v>
      </c>
      <c r="AA7" s="1" t="n">
        <v>0</v>
      </c>
      <c r="AB7" s="1" t="str">
        <v>Yes</v>
      </c>
      <c r="AC7" s="1" t="str">
        <v>Tenant holding over. S25 served terminating tenancy @ 12/10/24. Lease renewal agreed. Awaiting completion. Lease extension agreed to 31/03/25</v>
      </c>
    </row>
    <row r="8" customFormat="false" ht="12.75" hidden="false" customHeight="true" outlineLevel="0" collapsed="false">
      <c r="A8" s="1" t="n">
        <v>0</v>
      </c>
      <c r="B8" s="1" t="str">
        <v>CD</v>
      </c>
      <c r="C8" s="1" t="str">
        <v>OOS</v>
      </c>
      <c r="D8" s="1" t="n">
        <v>888010</v>
      </c>
      <c r="E8" s="1" t="str">
        <v>184-190 Oxford Street &amp; 28/30 Market Place</v>
      </c>
      <c r="F8" s="1" t="str">
        <v>2nd Floor, 30 Market Place</v>
      </c>
      <c r="G8" s="1" t="str">
        <v>Office</v>
      </c>
      <c r="H8" s="336" t="n">
        <v>4463</v>
      </c>
      <c r="I8" s="1" t="n">
        <v>4463</v>
      </c>
      <c r="J8" s="1" t="n">
        <v>4500</v>
      </c>
      <c r="K8" s="349" t="str">
        <v>Joint London Ltd</v>
      </c>
      <c r="L8" s="349" t="n">
        <v>42286</v>
      </c>
      <c r="M8" s="349" t="n">
        <v>45938</v>
      </c>
      <c r="N8" s="349" t="n">
        <v>0</v>
      </c>
      <c r="O8" s="349" t="n">
        <v>44113</v>
      </c>
      <c r="P8" s="350" t="n">
        <v>0</v>
      </c>
      <c r="Q8" s="1" t="n">
        <v>367290</v>
      </c>
      <c r="R8" s="1" t="n">
        <v>367290</v>
      </c>
      <c r="S8" s="337" t="n">
        <v>0</v>
      </c>
      <c r="T8" s="337" t="n">
        <v>345000</v>
      </c>
      <c r="U8" s="337" t="n">
        <v>345000</v>
      </c>
      <c r="V8" s="1" t="n">
        <v>368000</v>
      </c>
      <c r="W8" s="1" t="n">
        <v>368000</v>
      </c>
      <c r="X8" s="1" t="n">
        <v>77.3022630517589</v>
      </c>
      <c r="Y8" s="1" t="str">
        <v>B</v>
      </c>
      <c r="Z8" s="1" t="n">
        <v>0</v>
      </c>
      <c r="AA8" s="1" t="n">
        <v>0</v>
      </c>
      <c r="AB8" s="1" t="str">
        <v>No</v>
      </c>
      <c r="AC8" s="1" t="str">
        <v>Reversionary lease completed. 5 year lease at £375,750 with 6 months rent free (to be taken as half rent). Tenant break after 3 years.</v>
      </c>
    </row>
    <row r="9" customFormat="false" ht="12.75" hidden="false" customHeight="true" outlineLevel="0" collapsed="false">
      <c r="A9" s="1" t="n">
        <v>0</v>
      </c>
      <c r="B9" s="1" t="str">
        <v>CD</v>
      </c>
      <c r="C9" s="1" t="str">
        <v>MEL</v>
      </c>
      <c r="D9" s="1" t="n">
        <v>550840</v>
      </c>
      <c r="E9" s="1" t="str">
        <v>41 Great Portland Street</v>
      </c>
      <c r="F9" s="1" t="str">
        <v>Basement to Fourth</v>
      </c>
      <c r="G9" s="1" t="str">
        <v>Offices</v>
      </c>
      <c r="H9" s="336" t="n">
        <v>2313</v>
      </c>
      <c r="I9" s="1" t="n">
        <v>2313</v>
      </c>
      <c r="J9" s="1" t="n">
        <v>2250</v>
      </c>
      <c r="K9" s="349" t="str">
        <v>S.Hardwick &amp; L.Morris (t/a Hardwick &amp; Morris Chartered Accountants)</v>
      </c>
      <c r="L9" s="349" t="n">
        <v>42339</v>
      </c>
      <c r="M9" s="349" t="n">
        <v>45991</v>
      </c>
      <c r="N9" s="349" t="n">
        <v>0</v>
      </c>
      <c r="O9" s="349" t="n">
        <v>44166</v>
      </c>
      <c r="P9" s="350" t="n">
        <v>0</v>
      </c>
      <c r="Q9" s="1" t="n">
        <v>112000</v>
      </c>
      <c r="R9" s="1" t="n">
        <v>112000</v>
      </c>
      <c r="S9" s="337" t="n">
        <v>112000</v>
      </c>
      <c r="T9" s="337" t="n">
        <v>106600</v>
      </c>
      <c r="U9" s="337" t="n">
        <v>106600</v>
      </c>
      <c r="V9" s="1" t="n">
        <v>102100</v>
      </c>
      <c r="W9" s="1" t="n">
        <v>102100</v>
      </c>
      <c r="X9" s="1" t="n">
        <v>46.0873324686554</v>
      </c>
      <c r="Y9" s="1" t="str">
        <v>E</v>
      </c>
      <c r="Z9" s="1" t="n">
        <v>0</v>
      </c>
      <c r="AA9" s="1" t="n">
        <v>1375000</v>
      </c>
      <c r="AB9" s="1" t="str">
        <v>No</v>
      </c>
      <c r="AC9" s="1" t="n">
        <v>0</v>
      </c>
    </row>
    <row r="10" customFormat="false" ht="12.75" hidden="false" customHeight="true" outlineLevel="0" collapsed="false">
      <c r="H10" s="336"/>
      <c r="K10" s="349"/>
      <c r="L10" s="349"/>
      <c r="M10" s="349"/>
      <c r="N10" s="349"/>
      <c r="O10" s="349"/>
      <c r="P10" s="350"/>
      <c r="S10" s="337"/>
      <c r="T10" s="337"/>
      <c r="U10" s="337"/>
    </row>
    <row r="11" customFormat="false" ht="12.75" hidden="false" customHeight="true" outlineLevel="0" collapsed="false">
      <c r="H11" s="336"/>
      <c r="K11" s="349"/>
      <c r="L11" s="349"/>
      <c r="M11" s="349"/>
      <c r="N11" s="349"/>
      <c r="O11" s="349"/>
      <c r="P11" s="350"/>
      <c r="S11" s="337"/>
      <c r="T11" s="337"/>
      <c r="U11" s="337"/>
    </row>
    <row r="12" customFormat="false" ht="12.75" hidden="false" customHeight="true" outlineLevel="0" collapsed="false">
      <c r="H12" s="336"/>
      <c r="K12" s="349"/>
      <c r="L12" s="349"/>
      <c r="M12" s="349"/>
      <c r="N12" s="349"/>
      <c r="O12" s="349"/>
      <c r="P12" s="350"/>
      <c r="S12" s="337"/>
      <c r="T12" s="337"/>
      <c r="U12" s="337"/>
    </row>
    <row r="13" customFormat="false" ht="12.75" hidden="false" customHeight="true" outlineLevel="0" collapsed="false">
      <c r="H13" s="336"/>
      <c r="K13" s="349"/>
      <c r="L13" s="349"/>
      <c r="M13" s="349"/>
      <c r="N13" s="349"/>
      <c r="O13" s="349"/>
      <c r="P13" s="350"/>
      <c r="S13" s="337"/>
      <c r="T13" s="337"/>
      <c r="U13" s="337"/>
    </row>
    <row r="14" customFormat="false" ht="12.75" hidden="false" customHeight="true" outlineLevel="0" collapsed="false">
      <c r="H14" s="336"/>
      <c r="K14" s="349"/>
      <c r="L14" s="349"/>
      <c r="P14" s="350"/>
      <c r="S14" s="337"/>
      <c r="T14" s="337"/>
      <c r="U14" s="337"/>
    </row>
    <row r="15" customFormat="false" ht="12.75" hidden="false" customHeight="true" outlineLevel="0" collapsed="false">
      <c r="H15" s="336"/>
      <c r="P15" s="337"/>
      <c r="S15" s="337"/>
      <c r="T15" s="337"/>
      <c r="U15" s="337"/>
    </row>
    <row r="16" customFormat="false" ht="12.75" hidden="false" customHeight="true" outlineLevel="0" collapsed="false">
      <c r="H16" s="336"/>
      <c r="P16" s="337"/>
      <c r="S16" s="337"/>
      <c r="T16" s="337"/>
      <c r="U16" s="337"/>
    </row>
    <row r="17" customFormat="false" ht="12.75" hidden="false" customHeight="true" outlineLevel="0" collapsed="false">
      <c r="A17" s="3"/>
      <c r="B17" s="335" t="s">
        <v>895</v>
      </c>
      <c r="C17" s="335"/>
      <c r="D17" s="335"/>
      <c r="E17" s="335"/>
      <c r="H17" s="336"/>
      <c r="P17" s="337"/>
      <c r="S17" s="337"/>
      <c r="T17" s="337"/>
      <c r="U17" s="337"/>
    </row>
    <row r="18" customFormat="false" ht="22.5" hidden="false" customHeight="true" outlineLevel="0" collapsed="false">
      <c r="B18" s="16" t="s">
        <v>1</v>
      </c>
      <c r="C18" s="16" t="s">
        <v>2</v>
      </c>
      <c r="D18" s="17" t="s">
        <v>3</v>
      </c>
      <c r="E18" s="17" t="s">
        <v>4</v>
      </c>
      <c r="F18" s="17" t="s">
        <v>5</v>
      </c>
      <c r="G18" s="18" t="s">
        <v>6</v>
      </c>
      <c r="H18" s="19" t="s">
        <v>7</v>
      </c>
      <c r="I18" s="19" t="s">
        <v>8</v>
      </c>
      <c r="J18" s="20" t="s">
        <v>10</v>
      </c>
      <c r="K18" s="21" t="s">
        <v>893</v>
      </c>
      <c r="L18" s="21" t="s">
        <v>894</v>
      </c>
      <c r="M18" s="21" t="s">
        <v>13</v>
      </c>
      <c r="N18" s="21" t="s">
        <v>14</v>
      </c>
      <c r="O18" s="21" t="s">
        <v>15</v>
      </c>
      <c r="P18" s="338" t="s">
        <v>16</v>
      </c>
      <c r="Q18" s="22" t="s">
        <v>17</v>
      </c>
      <c r="R18" s="22" t="s">
        <v>18</v>
      </c>
      <c r="S18" s="338" t="s">
        <v>19</v>
      </c>
      <c r="T18" s="338" t="s">
        <v>20</v>
      </c>
      <c r="U18" s="338" t="s">
        <v>864</v>
      </c>
      <c r="V18" s="18" t="s">
        <v>22</v>
      </c>
      <c r="W18" s="18"/>
      <c r="X18" s="18" t="s">
        <v>24</v>
      </c>
      <c r="Y18" s="23" t="s">
        <v>25</v>
      </c>
      <c r="Z18" s="24" t="s">
        <v>865</v>
      </c>
      <c r="AA18" s="24" t="s">
        <v>27</v>
      </c>
      <c r="AB18" s="25" t="s">
        <v>28</v>
      </c>
    </row>
    <row r="19" customFormat="false" ht="12.75" hidden="false" customHeight="true" outlineLevel="0" collapsed="false">
      <c r="A19" s="3" t="n">
        <f aca="true" t="array" ref="A19:A19">_xlfn._xlws.SORT(_xlfn._xlws.FILTER('Bank Schedule'!A:AC, (('Bank Schedule'!P:P &lt; TODAY()) * ('Bank Schedule'!P:P &lt;&gt; "")) + (('Bank Schedule'!P:P &lt;= TODAY() + 180) * ('Bank Schedule'!P:P &lt;&gt; ""))), 15, TRUE())</f>
        <v>0</v>
      </c>
      <c r="H19" s="336"/>
      <c r="K19" s="349"/>
      <c r="L19" s="349"/>
      <c r="O19" s="349"/>
      <c r="P19" s="337"/>
      <c r="S19" s="337"/>
      <c r="T19" s="337"/>
      <c r="U19" s="337"/>
      <c r="W19" s="351"/>
    </row>
    <row r="20" customFormat="false" ht="12.75" hidden="false" customHeight="true" outlineLevel="0" collapsed="false">
      <c r="H20" s="336"/>
      <c r="K20" s="349"/>
      <c r="L20" s="349"/>
      <c r="O20" s="349"/>
      <c r="P20" s="337"/>
      <c r="S20" s="337"/>
      <c r="T20" s="337"/>
      <c r="U20" s="337"/>
      <c r="W20" s="351"/>
    </row>
    <row r="21" customFormat="false" ht="12.75" hidden="false" customHeight="true" outlineLevel="0" collapsed="false">
      <c r="H21" s="336"/>
      <c r="K21" s="349"/>
      <c r="L21" s="349"/>
      <c r="O21" s="349"/>
      <c r="P21" s="337"/>
      <c r="S21" s="337"/>
      <c r="T21" s="337"/>
      <c r="U21" s="337"/>
      <c r="W21" s="351"/>
    </row>
    <row r="22" customFormat="false" ht="12.75" hidden="false" customHeight="true" outlineLevel="0" collapsed="false">
      <c r="H22" s="336"/>
      <c r="K22" s="349"/>
      <c r="L22" s="349"/>
      <c r="O22" s="349"/>
      <c r="P22" s="337"/>
      <c r="S22" s="337"/>
      <c r="T22" s="337"/>
      <c r="U22" s="337"/>
      <c r="W22" s="351"/>
    </row>
    <row r="23" customFormat="false" ht="12.75" hidden="false" customHeight="true" outlineLevel="0" collapsed="false">
      <c r="H23" s="336"/>
      <c r="K23" s="349"/>
      <c r="L23" s="349"/>
      <c r="O23" s="349"/>
      <c r="P23" s="337"/>
      <c r="S23" s="337"/>
      <c r="T23" s="337"/>
      <c r="U23" s="337"/>
      <c r="W23" s="351"/>
    </row>
    <row r="24" customFormat="false" ht="12.75" hidden="false" customHeight="true" outlineLevel="0" collapsed="false">
      <c r="H24" s="336"/>
      <c r="K24" s="349"/>
      <c r="L24" s="349"/>
      <c r="O24" s="349"/>
      <c r="P24" s="337"/>
      <c r="S24" s="337"/>
      <c r="T24" s="337"/>
      <c r="U24" s="337"/>
      <c r="W24" s="351"/>
    </row>
    <row r="25" customFormat="false" ht="12.75" hidden="false" customHeight="true" outlineLevel="0" collapsed="false">
      <c r="H25" s="336"/>
      <c r="K25" s="349"/>
      <c r="L25" s="349"/>
      <c r="O25" s="349"/>
      <c r="P25" s="337"/>
      <c r="S25" s="337"/>
      <c r="T25" s="337"/>
      <c r="U25" s="337"/>
      <c r="W25" s="351"/>
    </row>
    <row r="26" customFormat="false" ht="12.75" hidden="false" customHeight="true" outlineLevel="0" collapsed="false">
      <c r="H26" s="336"/>
      <c r="K26" s="349"/>
      <c r="L26" s="349"/>
      <c r="O26" s="349"/>
      <c r="P26" s="337"/>
      <c r="S26" s="337"/>
      <c r="T26" s="337"/>
      <c r="U26" s="337"/>
      <c r="W26" s="351"/>
    </row>
    <row r="27" customFormat="false" ht="12.75" hidden="false" customHeight="true" outlineLevel="0" collapsed="false">
      <c r="H27" s="336"/>
      <c r="K27" s="349"/>
      <c r="L27" s="349"/>
      <c r="N27" s="349"/>
      <c r="O27" s="349"/>
      <c r="P27" s="337"/>
      <c r="S27" s="337"/>
      <c r="T27" s="337"/>
      <c r="U27" s="337"/>
      <c r="W27" s="351"/>
    </row>
    <row r="28" customFormat="false" ht="12.75" hidden="false" customHeight="true" outlineLevel="0" collapsed="false">
      <c r="H28" s="336"/>
      <c r="K28" s="349"/>
      <c r="L28" s="349"/>
      <c r="O28" s="349"/>
      <c r="P28" s="337"/>
      <c r="S28" s="337"/>
      <c r="T28" s="337"/>
      <c r="U28" s="337"/>
      <c r="W28" s="351"/>
    </row>
    <row r="29" customFormat="false" ht="12.75" hidden="false" customHeight="true" outlineLevel="0" collapsed="false">
      <c r="H29" s="336"/>
      <c r="K29" s="349"/>
      <c r="L29" s="349"/>
      <c r="O29" s="349"/>
      <c r="P29" s="337"/>
      <c r="S29" s="337"/>
      <c r="T29" s="337"/>
      <c r="U29" s="337"/>
      <c r="W29" s="351"/>
    </row>
    <row r="30" customFormat="false" ht="12.75" hidden="false" customHeight="true" outlineLevel="0" collapsed="false">
      <c r="H30" s="336"/>
      <c r="K30" s="349"/>
      <c r="L30" s="349"/>
      <c r="O30" s="349"/>
      <c r="P30" s="337"/>
      <c r="S30" s="337"/>
      <c r="T30" s="337"/>
      <c r="U30" s="337"/>
      <c r="W30" s="351"/>
    </row>
    <row r="31" customFormat="false" ht="12.75" hidden="false" customHeight="true" outlineLevel="0" collapsed="false">
      <c r="H31" s="336"/>
      <c r="K31" s="349"/>
      <c r="L31" s="349"/>
      <c r="O31" s="349"/>
      <c r="P31" s="337"/>
      <c r="S31" s="337"/>
      <c r="T31" s="337"/>
      <c r="U31" s="337"/>
      <c r="W31" s="351"/>
    </row>
    <row r="32" customFormat="false" ht="12.75" hidden="false" customHeight="true" outlineLevel="0" collapsed="false">
      <c r="H32" s="336"/>
      <c r="K32" s="349"/>
      <c r="L32" s="349"/>
      <c r="P32" s="337"/>
      <c r="S32" s="337"/>
      <c r="T32" s="337"/>
      <c r="U32" s="337"/>
      <c r="W32" s="351"/>
    </row>
    <row r="33" customFormat="false" ht="12.75" hidden="false" customHeight="true" outlineLevel="0" collapsed="false">
      <c r="A33" s="3"/>
      <c r="B33" s="335" t="s">
        <v>896</v>
      </c>
      <c r="C33" s="335"/>
      <c r="D33" s="335"/>
      <c r="E33" s="335"/>
      <c r="H33" s="336"/>
      <c r="P33" s="337"/>
      <c r="S33" s="337"/>
      <c r="T33" s="337"/>
      <c r="U33" s="337"/>
      <c r="W33" s="351"/>
    </row>
    <row r="34" customFormat="false" ht="22.5" hidden="false" customHeight="true" outlineLevel="0" collapsed="false">
      <c r="B34" s="16" t="s">
        <v>1</v>
      </c>
      <c r="C34" s="16" t="s">
        <v>2</v>
      </c>
      <c r="D34" s="17" t="s">
        <v>3</v>
      </c>
      <c r="E34" s="17" t="s">
        <v>4</v>
      </c>
      <c r="F34" s="17" t="s">
        <v>5</v>
      </c>
      <c r="G34" s="18" t="s">
        <v>6</v>
      </c>
      <c r="H34" s="19" t="s">
        <v>7</v>
      </c>
      <c r="I34" s="19" t="s">
        <v>8</v>
      </c>
      <c r="J34" s="20" t="s">
        <v>10</v>
      </c>
      <c r="K34" s="21" t="s">
        <v>893</v>
      </c>
      <c r="L34" s="21" t="s">
        <v>894</v>
      </c>
      <c r="M34" s="21" t="s">
        <v>13</v>
      </c>
      <c r="N34" s="21" t="s">
        <v>14</v>
      </c>
      <c r="O34" s="21" t="s">
        <v>15</v>
      </c>
      <c r="P34" s="338" t="s">
        <v>16</v>
      </c>
      <c r="Q34" s="22" t="s">
        <v>17</v>
      </c>
      <c r="R34" s="22" t="s">
        <v>18</v>
      </c>
      <c r="S34" s="338" t="s">
        <v>19</v>
      </c>
      <c r="T34" s="338" t="s">
        <v>20</v>
      </c>
      <c r="U34" s="338" t="s">
        <v>864</v>
      </c>
      <c r="V34" s="18" t="s">
        <v>22</v>
      </c>
      <c r="W34" s="352"/>
      <c r="X34" s="18" t="s">
        <v>24</v>
      </c>
      <c r="Y34" s="23" t="s">
        <v>25</v>
      </c>
      <c r="Z34" s="24" t="s">
        <v>865</v>
      </c>
      <c r="AA34" s="24" t="s">
        <v>27</v>
      </c>
      <c r="AB34" s="25" t="s">
        <v>28</v>
      </c>
    </row>
    <row r="35" customFormat="false" ht="12.75" hidden="false" customHeight="true" outlineLevel="0" collapsed="false">
      <c r="A35" s="3" t="n">
        <f aca="true" t="array" ref="A35:AC70">_xlfn._xlws.SORT(_xlfn._xlws.FILTER('Bank Schedule'!A:AC, (('Bank Schedule'!O:O &lt; TODAY()) * ('Bank Schedule'!O:O &lt;&gt; "")) + (('Bank Schedule'!O:O &lt;= TODAY() + 180) * ('Bank Schedule'!O:O &lt;&gt; ""))), 14, TRUE())</f>
        <v>0</v>
      </c>
      <c r="B35" s="1" t="str">
        <v>SH</v>
      </c>
      <c r="C35" s="1" t="str">
        <v>MEL</v>
      </c>
      <c r="D35" s="1" t="n">
        <v>550480</v>
      </c>
      <c r="E35" s="1" t="str">
        <v>6-10a Great Portland Street</v>
      </c>
      <c r="F35" s="1" t="str">
        <v>Basement</v>
      </c>
      <c r="G35" s="1" t="str">
        <v>Sub-Station</v>
      </c>
      <c r="H35" s="336" t="n">
        <v>0</v>
      </c>
      <c r="I35" s="1" t="n">
        <v>0</v>
      </c>
      <c r="J35" s="1" t="n">
        <v>0</v>
      </c>
      <c r="K35" s="349" t="str">
        <v>London Power Networks Plc</v>
      </c>
      <c r="L35" s="349" t="n">
        <v>39295</v>
      </c>
      <c r="M35" s="1" t="n">
        <v>46599</v>
      </c>
      <c r="N35" s="349" t="n">
        <v>0</v>
      </c>
      <c r="O35" s="353" t="n">
        <v>45870</v>
      </c>
      <c r="P35" s="337" t="n">
        <v>0</v>
      </c>
      <c r="Q35" s="1" t="n">
        <v>903</v>
      </c>
      <c r="R35" s="1" t="n">
        <v>903</v>
      </c>
      <c r="S35" s="337" t="n">
        <v>0</v>
      </c>
      <c r="T35" s="337" t="n">
        <v>625</v>
      </c>
      <c r="U35" s="337" t="n">
        <v>625</v>
      </c>
      <c r="V35" s="1" t="n">
        <v>625</v>
      </c>
      <c r="W35" s="351" t="n">
        <v>625</v>
      </c>
      <c r="X35" s="1" t="n">
        <v>0</v>
      </c>
      <c r="Y35" s="1" t="n">
        <v>0</v>
      </c>
      <c r="Z35" s="1" t="n">
        <v>0</v>
      </c>
      <c r="AA35" s="1" t="n">
        <v>0</v>
      </c>
      <c r="AB35" s="1" t="str">
        <v>No</v>
      </c>
      <c r="AC35" s="1" t="str">
        <v>Landlords redevelopment break on 6 months notice. Rent review is RPI indexation (every 2 years). </v>
      </c>
    </row>
    <row r="36" customFormat="false" ht="12.75" hidden="false" customHeight="true" outlineLevel="0" collapsed="false">
      <c r="A36" s="1" t="n">
        <v>0</v>
      </c>
      <c r="B36" s="1" t="str">
        <v>CD</v>
      </c>
      <c r="C36" s="1" t="str">
        <v>MEL</v>
      </c>
      <c r="D36" s="1" t="n">
        <v>550840</v>
      </c>
      <c r="E36" s="1" t="str">
        <v>41 Great Portland Street</v>
      </c>
      <c r="F36" s="1" t="str">
        <v>Basement to Fourth</v>
      </c>
      <c r="G36" s="1" t="str">
        <v>Offices</v>
      </c>
      <c r="H36" s="336" t="n">
        <v>2313</v>
      </c>
      <c r="I36" s="1" t="n">
        <v>2313</v>
      </c>
      <c r="J36" s="1" t="n">
        <v>2250</v>
      </c>
      <c r="K36" s="349" t="str">
        <v>S.Hardwick &amp; L.Morris (t/a Hardwick &amp; Morris Chartered Accountants)</v>
      </c>
      <c r="L36" s="349" t="n">
        <v>42339</v>
      </c>
      <c r="M36" s="1" t="n">
        <v>45991</v>
      </c>
      <c r="N36" s="349" t="n">
        <v>0</v>
      </c>
      <c r="O36" s="353" t="n">
        <v>44166</v>
      </c>
      <c r="P36" s="337" t="n">
        <v>0</v>
      </c>
      <c r="Q36" s="1" t="n">
        <v>112000</v>
      </c>
      <c r="R36" s="1" t="n">
        <v>112000</v>
      </c>
      <c r="S36" s="337" t="n">
        <v>112000</v>
      </c>
      <c r="T36" s="337" t="n">
        <v>106600</v>
      </c>
      <c r="U36" s="337" t="n">
        <v>106600</v>
      </c>
      <c r="V36" s="1" t="n">
        <v>102100</v>
      </c>
      <c r="W36" s="351" t="n">
        <v>102100</v>
      </c>
      <c r="X36" s="1" t="n">
        <v>46.0873324686554</v>
      </c>
      <c r="Y36" s="1" t="str">
        <v>E</v>
      </c>
      <c r="Z36" s="1" t="n">
        <v>0</v>
      </c>
      <c r="AA36" s="1" t="n">
        <v>1375000</v>
      </c>
      <c r="AB36" s="1" t="str">
        <v>No</v>
      </c>
      <c r="AC36" s="1" t="n">
        <v>0</v>
      </c>
    </row>
    <row r="37" customFormat="false" ht="12.75" hidden="false" customHeight="true" outlineLevel="0" collapsed="false">
      <c r="A37" s="1" t="n">
        <v>0</v>
      </c>
      <c r="B37" s="1" t="str">
        <v>CM</v>
      </c>
      <c r="C37" s="1" t="str">
        <v>MEL</v>
      </c>
      <c r="D37" s="1" t="n">
        <v>550880</v>
      </c>
      <c r="E37" s="1" t="str">
        <v>3 Great Titchfield Street</v>
      </c>
      <c r="F37" s="1" t="str">
        <v>Basement &amp; Ground</v>
      </c>
      <c r="G37" s="1" t="str">
        <v>Restaurant</v>
      </c>
      <c r="H37" s="336" t="n">
        <v>1440</v>
      </c>
      <c r="I37" s="1" t="n">
        <v>1440</v>
      </c>
      <c r="J37" s="1" t="n">
        <v>1500</v>
      </c>
      <c r="K37" s="349" t="str">
        <v>Pho Trading Ltd.</v>
      </c>
      <c r="L37" s="349" t="n">
        <v>43430</v>
      </c>
      <c r="M37" s="1" t="n">
        <v>47082</v>
      </c>
      <c r="N37" s="349" t="n">
        <v>0</v>
      </c>
      <c r="O37" s="353" t="n">
        <v>45256</v>
      </c>
      <c r="P37" s="337" t="n">
        <v>0</v>
      </c>
      <c r="Q37" s="1" t="n">
        <v>100000</v>
      </c>
      <c r="R37" s="1" t="n">
        <v>100000</v>
      </c>
      <c r="S37" s="337" t="n">
        <v>0</v>
      </c>
      <c r="T37" s="337" t="n">
        <v>100000</v>
      </c>
      <c r="U37" s="337" t="n">
        <v>100000</v>
      </c>
      <c r="V37" s="1" t="n">
        <v>100000</v>
      </c>
      <c r="W37" s="351" t="n">
        <v>100000</v>
      </c>
      <c r="X37" s="1" t="n">
        <v>69.4444444444444</v>
      </c>
      <c r="Y37" s="1" t="str">
        <v>C</v>
      </c>
      <c r="Z37" s="1" t="n">
        <v>0</v>
      </c>
      <c r="AA37" s="1" t="n">
        <v>0</v>
      </c>
      <c r="AB37" s="1" t="str">
        <v>No</v>
      </c>
      <c r="AC37" s="1" t="str">
        <v>Rent review not activated due to level of passing rent.</v>
      </c>
    </row>
    <row r="38" customFormat="false" ht="12.75" hidden="false" customHeight="true" outlineLevel="0" collapsed="false">
      <c r="A38" s="1" t="n">
        <v>0</v>
      </c>
      <c r="B38" s="1" t="str">
        <v>WS</v>
      </c>
      <c r="C38" s="1" t="str">
        <v>MEL</v>
      </c>
      <c r="D38" s="1" t="n">
        <v>550420</v>
      </c>
      <c r="E38" s="1" t="str">
        <v>Golderbrock House,  15-19 Great Titchfield Street</v>
      </c>
      <c r="F38" s="1" t="str">
        <v>Second Floor</v>
      </c>
      <c r="G38" s="1" t="str">
        <v>Office</v>
      </c>
      <c r="H38" s="336" t="n">
        <v>1404</v>
      </c>
      <c r="I38" s="1" t="n">
        <v>1404</v>
      </c>
      <c r="J38" s="1" t="n">
        <v>1500</v>
      </c>
      <c r="K38" s="349" t="str">
        <v>Final Cut Ltd.</v>
      </c>
      <c r="L38" s="349" t="n">
        <v>44490</v>
      </c>
      <c r="M38" s="1" t="n">
        <v>45930</v>
      </c>
      <c r="N38" s="349" t="n">
        <v>0</v>
      </c>
      <c r="O38" s="353" t="n">
        <v>45258</v>
      </c>
      <c r="P38" s="337" t="n">
        <v>0</v>
      </c>
      <c r="Q38" s="1" t="n">
        <v>78800</v>
      </c>
      <c r="R38" s="1" t="n">
        <v>78800</v>
      </c>
      <c r="S38" s="337" t="n">
        <v>0</v>
      </c>
      <c r="T38" s="337" t="n">
        <v>79100</v>
      </c>
      <c r="U38" s="337" t="n">
        <v>79100</v>
      </c>
      <c r="V38" s="1" t="n">
        <v>87800</v>
      </c>
      <c r="W38" s="351" t="n">
        <v>87800</v>
      </c>
      <c r="X38" s="1" t="n">
        <v>56.3390313390313</v>
      </c>
      <c r="Y38" s="1" t="str">
        <v>C</v>
      </c>
      <c r="Z38" s="1" t="n">
        <v>0</v>
      </c>
      <c r="AA38" s="1" t="n">
        <v>0</v>
      </c>
      <c r="AB38" s="1" t="str">
        <v>No</v>
      </c>
      <c r="AC38" s="1" t="n">
        <v>0</v>
      </c>
    </row>
    <row r="39" customFormat="false" ht="12.75" hidden="false" customHeight="true" outlineLevel="0" collapsed="false">
      <c r="A39" s="1" t="n">
        <v>0</v>
      </c>
      <c r="B39" s="1" t="str">
        <v>SH</v>
      </c>
      <c r="C39" s="1" t="str">
        <v>MEL</v>
      </c>
      <c r="D39" s="1" t="n">
        <v>550190</v>
      </c>
      <c r="E39" s="1" t="str">
        <v>Circus House,  21 Great Titchfield Street</v>
      </c>
      <c r="F39" s="1" t="str">
        <v>Basement &amp; Ground (East)</v>
      </c>
      <c r="G39" s="1" t="str">
        <v>Showroom/ Office</v>
      </c>
      <c r="H39" s="336" t="n">
        <v>3443</v>
      </c>
      <c r="I39" s="1" t="n">
        <v>3443</v>
      </c>
      <c r="J39" s="1" t="n">
        <v>3500</v>
      </c>
      <c r="K39" s="349" t="str">
        <v>The Graphical Tree Ltd</v>
      </c>
      <c r="L39" s="349" t="n">
        <v>44348</v>
      </c>
      <c r="M39" s="1" t="n">
        <v>47999</v>
      </c>
      <c r="N39" s="349" t="n">
        <v>0</v>
      </c>
      <c r="O39" s="353" t="n">
        <v>46174</v>
      </c>
      <c r="P39" s="337" t="n">
        <v>46173</v>
      </c>
      <c r="Q39" s="1" t="n">
        <v>75000</v>
      </c>
      <c r="R39" s="1" t="n">
        <v>75000</v>
      </c>
      <c r="S39" s="337" t="n">
        <v>0</v>
      </c>
      <c r="T39" s="337" t="n">
        <v>75800</v>
      </c>
      <c r="U39" s="337" t="n">
        <v>75800</v>
      </c>
      <c r="V39" s="1" t="n">
        <v>75000</v>
      </c>
      <c r="W39" s="351" t="n">
        <v>75000</v>
      </c>
      <c r="X39" s="1" t="n">
        <v>22.0156839965147</v>
      </c>
      <c r="Y39" s="1" t="str">
        <v>B</v>
      </c>
      <c r="Z39" s="1" t="n">
        <v>0</v>
      </c>
      <c r="AA39" s="1" t="n">
        <v>0</v>
      </c>
      <c r="AB39" s="1" t="str">
        <v>No</v>
      </c>
      <c r="AC39" s="1" t="str">
        <v>Tenant break on 6 months notice. Rent free 01/06/26 to 31/08/26 if not exercised. Landlord rolling break from 07/10/25.</v>
      </c>
    </row>
    <row r="40" customFormat="false" ht="12.75" hidden="false" customHeight="true" outlineLevel="0" collapsed="false">
      <c r="A40" s="1" t="n">
        <v>0</v>
      </c>
      <c r="B40" s="1" t="str">
        <v>WS</v>
      </c>
      <c r="C40" s="1" t="str">
        <v>MEL</v>
      </c>
      <c r="D40" s="1" t="n">
        <v>550570</v>
      </c>
      <c r="E40" s="1" t="str">
        <v>Moray House, 23-35 Great Titchfield Street &amp; 63-65 Mortimer Street</v>
      </c>
      <c r="F40" s="1" t="str">
        <v>Third Floor</v>
      </c>
      <c r="G40" s="1" t="str">
        <v>Showroom/ Office</v>
      </c>
      <c r="H40" s="336" t="n">
        <v>4169</v>
      </c>
      <c r="I40" s="1" t="n">
        <v>4169</v>
      </c>
      <c r="J40" s="1" t="n">
        <v>4000</v>
      </c>
      <c r="K40" s="349" t="str">
        <v>Knotel Moray House Ltd.</v>
      </c>
      <c r="L40" s="349" t="n">
        <v>43378</v>
      </c>
      <c r="M40" s="1" t="n">
        <v>47030</v>
      </c>
      <c r="N40" s="349" t="n">
        <v>0</v>
      </c>
      <c r="O40" s="353" t="n">
        <v>45204</v>
      </c>
      <c r="P40" s="337" t="n">
        <v>0</v>
      </c>
      <c r="Q40" s="1" t="n">
        <v>257635</v>
      </c>
      <c r="R40" s="1" t="n">
        <v>257635</v>
      </c>
      <c r="S40" s="337" t="n">
        <v>0</v>
      </c>
      <c r="T40" s="337" t="n">
        <v>264100</v>
      </c>
      <c r="U40" s="337" t="n">
        <v>264100</v>
      </c>
      <c r="V40" s="1" t="n">
        <v>281400</v>
      </c>
      <c r="W40" s="351" t="n">
        <v>281400</v>
      </c>
      <c r="X40" s="1" t="n">
        <v>63.3485248260974</v>
      </c>
      <c r="Y40" s="1" t="str">
        <v>D</v>
      </c>
      <c r="Z40" s="1" t="n">
        <v>0</v>
      </c>
      <c r="AA40" s="1" t="n">
        <v>0</v>
      </c>
      <c r="AB40" s="1" t="str">
        <v>No</v>
      </c>
      <c r="AC40" s="1" t="str">
        <v>Landlords redevelopment break @ 04/10/26 on 9 months notice.</v>
      </c>
    </row>
    <row r="41" customFormat="false" ht="12.75" hidden="false" customHeight="true" outlineLevel="0" collapsed="false">
      <c r="A41" s="1" t="n">
        <v>0</v>
      </c>
      <c r="B41" s="1" t="str">
        <v>CD</v>
      </c>
      <c r="C41" s="1" t="str">
        <v>MEL</v>
      </c>
      <c r="D41" s="1" t="n">
        <v>550300</v>
      </c>
      <c r="E41" s="1" t="str">
        <v>3/4/4a Little Portland Street</v>
      </c>
      <c r="F41" s="1" t="str">
        <v>Basement (South) (Front)</v>
      </c>
      <c r="G41" s="1" t="str">
        <v>Workshop</v>
      </c>
      <c r="H41" s="336" t="n">
        <v>1051</v>
      </c>
      <c r="I41" s="1" t="n">
        <v>1051</v>
      </c>
      <c r="J41" s="1" t="n">
        <v>1000</v>
      </c>
      <c r="K41" s="349" t="str">
        <v>Langham Estate Management Ltd</v>
      </c>
      <c r="L41" s="349" t="n">
        <v>43549</v>
      </c>
      <c r="M41" s="1" t="n">
        <v>46836</v>
      </c>
      <c r="N41" s="349" t="n">
        <v>0</v>
      </c>
      <c r="O41" s="353" t="n">
        <v>45010</v>
      </c>
      <c r="P41" s="337" t="n">
        <v>0</v>
      </c>
      <c r="Q41" s="1" t="n">
        <v>28200</v>
      </c>
      <c r="R41" s="1" t="n">
        <v>28200</v>
      </c>
      <c r="S41" s="337" t="n">
        <v>0</v>
      </c>
      <c r="T41" s="337" t="n">
        <v>32000</v>
      </c>
      <c r="U41" s="337" t="n">
        <v>32000</v>
      </c>
      <c r="V41" s="1" t="n">
        <v>21000</v>
      </c>
      <c r="W41" s="351" t="n">
        <v>21000</v>
      </c>
      <c r="X41" s="1" t="n">
        <v>30.4471931493815</v>
      </c>
      <c r="Y41" s="1" t="str">
        <v>E</v>
      </c>
      <c r="Z41" s="1" t="n">
        <v>0</v>
      </c>
      <c r="AA41" s="1" t="n">
        <v>0</v>
      </c>
      <c r="AB41" s="1" t="str">
        <v>No</v>
      </c>
      <c r="AC41" s="1" t="str">
        <v>Mutual rolling break on 6 months notice. Internal Lease to another Lee Family Group Company.</v>
      </c>
    </row>
    <row r="42" customFormat="false" ht="12.75" hidden="false" customHeight="true" outlineLevel="0" collapsed="false">
      <c r="A42" s="1" t="n">
        <v>0</v>
      </c>
      <c r="B42" s="1" t="str">
        <v>CD</v>
      </c>
      <c r="C42" s="1" t="str">
        <v>MEL</v>
      </c>
      <c r="D42" s="1" t="n">
        <v>550300</v>
      </c>
      <c r="E42" s="1" t="str">
        <v>3/4/4a Little Portland Street</v>
      </c>
      <c r="F42" s="1" t="str">
        <v>Electricity Sub-Station</v>
      </c>
      <c r="G42" s="1" t="str">
        <v>Sub-Station</v>
      </c>
      <c r="H42" s="336" t="n">
        <v>0</v>
      </c>
      <c r="I42" s="1" t="n">
        <v>0</v>
      </c>
      <c r="J42" s="1" t="n">
        <v>0</v>
      </c>
      <c r="K42" s="349" t="str">
        <v>London Power Networks Plc</v>
      </c>
      <c r="L42" s="349" t="n">
        <v>43866</v>
      </c>
      <c r="M42" s="1" t="n">
        <v>47518</v>
      </c>
      <c r="N42" s="349" t="n">
        <v>0</v>
      </c>
      <c r="O42" s="353" t="n">
        <v>45693</v>
      </c>
      <c r="P42" s="337" t="n">
        <v>0</v>
      </c>
      <c r="Q42" s="1" t="n">
        <v>1000</v>
      </c>
      <c r="R42" s="1" t="n">
        <v>1000</v>
      </c>
      <c r="S42" s="337" t="n">
        <v>0</v>
      </c>
      <c r="T42" s="337" t="n">
        <v>1000</v>
      </c>
      <c r="U42" s="337" t="n">
        <v>1000</v>
      </c>
      <c r="V42" s="1" t="n">
        <v>1000</v>
      </c>
      <c r="W42" s="351" t="n">
        <v>1000</v>
      </c>
      <c r="X42" s="1" t="n">
        <v>0</v>
      </c>
      <c r="Y42" s="1" t="n">
        <v>0</v>
      </c>
      <c r="Z42" s="1" t="n">
        <v>0</v>
      </c>
      <c r="AA42" s="1" t="n">
        <v>0</v>
      </c>
      <c r="AB42" s="1" t="str">
        <v>Yes</v>
      </c>
      <c r="AC42" s="1" t="str">
        <v>Rent review is RPI. Rolling landlords redevelopment break after 04/02/25 on 9 months notice.</v>
      </c>
    </row>
    <row r="43" customFormat="false" ht="12.75" hidden="false" customHeight="true" outlineLevel="0" collapsed="false">
      <c r="A43" s="1" t="n">
        <v>0</v>
      </c>
      <c r="B43" s="1" t="str">
        <v>CD</v>
      </c>
      <c r="C43" s="1" t="str">
        <v>MEL</v>
      </c>
      <c r="D43" s="1" t="n">
        <v>550500</v>
      </c>
      <c r="E43" s="1" t="str">
        <v>5 Little Portland Street</v>
      </c>
      <c r="F43" s="1" t="str">
        <v>Ground &amp; Basement</v>
      </c>
      <c r="G43" s="1" t="str">
        <v>Bar</v>
      </c>
      <c r="H43" s="336" t="n">
        <v>2520</v>
      </c>
      <c r="I43" s="1" t="n">
        <v>2520</v>
      </c>
      <c r="J43" s="1" t="n">
        <v>2500</v>
      </c>
      <c r="K43" s="349" t="str">
        <v>The Social Little Portland Street Ltd.</v>
      </c>
      <c r="L43" s="349" t="n">
        <v>43571</v>
      </c>
      <c r="M43" s="1" t="n">
        <v>47223</v>
      </c>
      <c r="N43" s="349" t="n">
        <v>0</v>
      </c>
      <c r="O43" s="353" t="n">
        <v>45398</v>
      </c>
      <c r="P43" s="337" t="n">
        <v>0</v>
      </c>
      <c r="Q43" s="1" t="n">
        <v>82500</v>
      </c>
      <c r="R43" s="1" t="n">
        <v>82500</v>
      </c>
      <c r="S43" s="337" t="n">
        <v>0</v>
      </c>
      <c r="T43" s="337" t="n">
        <v>70000</v>
      </c>
      <c r="U43" s="337" t="n">
        <v>70000</v>
      </c>
      <c r="V43" s="1" t="n">
        <v>70000</v>
      </c>
      <c r="W43" s="351" t="n">
        <v>70000</v>
      </c>
      <c r="X43" s="1" t="n">
        <v>27.7777777777778</v>
      </c>
      <c r="Y43" s="1" t="str">
        <v>B</v>
      </c>
      <c r="Z43" s="1" t="n">
        <v>0</v>
      </c>
      <c r="AA43" s="1" t="n">
        <v>0</v>
      </c>
      <c r="AB43" s="1" t="str">
        <v>No</v>
      </c>
      <c r="AC43" s="1" t="n">
        <v>0</v>
      </c>
    </row>
    <row r="44" customFormat="false" ht="12.75" hidden="false" customHeight="true" outlineLevel="0" collapsed="false">
      <c r="A44" s="1" t="n">
        <v>0</v>
      </c>
      <c r="B44" s="1" t="str">
        <v>CD</v>
      </c>
      <c r="C44" s="1" t="str">
        <v>MEL</v>
      </c>
      <c r="D44" s="1" t="n">
        <v>550500</v>
      </c>
      <c r="E44" s="1" t="str">
        <v>5 Little Portland Street</v>
      </c>
      <c r="F44" s="1" t="str">
        <v>First to Third Floors</v>
      </c>
      <c r="G44" s="1" t="str">
        <v>Office</v>
      </c>
      <c r="H44" s="336" t="n">
        <v>2186</v>
      </c>
      <c r="I44" s="1" t="n">
        <v>2186</v>
      </c>
      <c r="J44" s="1" t="n">
        <v>2000</v>
      </c>
      <c r="K44" s="349" t="str">
        <v>Oaxaca Ltd.</v>
      </c>
      <c r="L44" s="349" t="n">
        <v>43398</v>
      </c>
      <c r="M44" s="1" t="n">
        <v>47050</v>
      </c>
      <c r="N44" s="349" t="n">
        <v>0</v>
      </c>
      <c r="O44" s="353" t="n">
        <v>45955</v>
      </c>
      <c r="P44" s="337" t="n">
        <v>45954</v>
      </c>
      <c r="Q44" s="1" t="n">
        <v>101200</v>
      </c>
      <c r="R44" s="1" t="n">
        <v>101200</v>
      </c>
      <c r="S44" s="337" t="n">
        <v>0</v>
      </c>
      <c r="T44" s="337" t="n">
        <v>117100</v>
      </c>
      <c r="U44" s="337" t="n">
        <v>117100</v>
      </c>
      <c r="V44" s="1" t="n">
        <v>128000</v>
      </c>
      <c r="W44" s="351" t="n">
        <v>128000</v>
      </c>
      <c r="X44" s="1" t="n">
        <v>53.5681610247027</v>
      </c>
      <c r="Y44" s="1" t="str">
        <v>E</v>
      </c>
      <c r="Z44" s="1" t="n">
        <v>0</v>
      </c>
      <c r="AA44" s="1" t="n">
        <v>0</v>
      </c>
      <c r="AB44" s="1" t="str">
        <v>No</v>
      </c>
      <c r="AC44" s="1" t="str">
        <v>Tenant has a concession to continue paying rent of £101,200 until expiry. Tenant break option removed.</v>
      </c>
    </row>
    <row r="45" customFormat="false" ht="12.75" hidden="false" customHeight="true" outlineLevel="0" collapsed="false">
      <c r="A45" s="1" t="n">
        <v>0</v>
      </c>
      <c r="B45" s="1" t="str">
        <v>CD</v>
      </c>
      <c r="C45" s="1" t="str">
        <v>MEL</v>
      </c>
      <c r="D45" s="1" t="n">
        <v>550310</v>
      </c>
      <c r="E45" s="1" t="str">
        <v>Alexandra House, 6 Little Portland Street</v>
      </c>
      <c r="F45" s="1" t="str">
        <v>Ground Floor &amp; Part Basement</v>
      </c>
      <c r="G45" s="1" t="str">
        <v>Restaurant</v>
      </c>
      <c r="H45" s="336" t="n">
        <v>4430</v>
      </c>
      <c r="I45" s="1" t="n">
        <v>4430</v>
      </c>
      <c r="J45" s="1" t="n">
        <v>4500</v>
      </c>
      <c r="K45" s="349" t="str">
        <v>Burger &amp; Lobster Restaurant Group Ltd.</v>
      </c>
      <c r="L45" s="349" t="n">
        <v>41585</v>
      </c>
      <c r="M45" s="1" t="n">
        <v>47063</v>
      </c>
      <c r="N45" s="349" t="n">
        <v>0</v>
      </c>
      <c r="O45" s="353" t="n">
        <v>45237</v>
      </c>
      <c r="P45" s="337" t="n">
        <v>0</v>
      </c>
      <c r="Q45" s="1" t="n">
        <v>170000</v>
      </c>
      <c r="R45" s="1" t="n">
        <v>170000</v>
      </c>
      <c r="S45" s="337" t="n">
        <v>0</v>
      </c>
      <c r="T45" s="337" t="n">
        <v>146900</v>
      </c>
      <c r="U45" s="337" t="n">
        <v>146900</v>
      </c>
      <c r="V45" s="1" t="n">
        <v>152100</v>
      </c>
      <c r="W45" s="351" t="n">
        <v>152100</v>
      </c>
      <c r="X45" s="1" t="n">
        <v>33.1602708803612</v>
      </c>
      <c r="Y45" s="1" t="str">
        <v>B</v>
      </c>
      <c r="Z45" s="1" t="n">
        <v>0</v>
      </c>
      <c r="AA45" s="1" t="n">
        <v>0</v>
      </c>
      <c r="AB45" s="1" t="str">
        <v>No</v>
      </c>
      <c r="AC45" s="1" t="str">
        <v>Rent review not yet activated due to level of passing rent.</v>
      </c>
    </row>
    <row r="46" customFormat="false" ht="12.75" hidden="false" customHeight="true" outlineLevel="0" collapsed="false">
      <c r="A46" s="1" t="n">
        <v>0</v>
      </c>
      <c r="B46" s="1" t="str">
        <v>WS</v>
      </c>
      <c r="C46" s="1" t="str">
        <v>MEL</v>
      </c>
      <c r="D46" s="1" t="n">
        <v>550960</v>
      </c>
      <c r="E46" s="1" t="str">
        <v>21 Little Portland Street</v>
      </c>
      <c r="F46" s="1" t="str">
        <v>Lower Ground and Ground Floors</v>
      </c>
      <c r="G46" s="1" t="str">
        <v>Office</v>
      </c>
      <c r="H46" s="336" t="n">
        <v>2820</v>
      </c>
      <c r="I46" s="1" t="n">
        <v>2820</v>
      </c>
      <c r="J46" s="1" t="n">
        <v>3000</v>
      </c>
      <c r="K46" s="349" t="str">
        <v>FRIBA Limited</v>
      </c>
      <c r="L46" s="349" t="n">
        <v>43794</v>
      </c>
      <c r="M46" s="1" t="n">
        <v>47446</v>
      </c>
      <c r="N46" s="349" t="n">
        <v>0</v>
      </c>
      <c r="O46" s="353" t="n">
        <v>45621</v>
      </c>
      <c r="P46" s="337" t="n">
        <v>0</v>
      </c>
      <c r="Q46" s="1" t="n">
        <v>124773</v>
      </c>
      <c r="R46" s="1" t="n">
        <v>124773</v>
      </c>
      <c r="S46" s="337" t="n">
        <v>0</v>
      </c>
      <c r="T46" s="337" t="n">
        <v>126900</v>
      </c>
      <c r="U46" s="337" t="n">
        <v>126900</v>
      </c>
      <c r="V46" s="1" t="n">
        <v>155100</v>
      </c>
      <c r="W46" s="351" t="n">
        <v>155100</v>
      </c>
      <c r="X46" s="1" t="n">
        <v>45</v>
      </c>
      <c r="Y46" s="1" t="str">
        <v>D</v>
      </c>
      <c r="Z46" s="1" t="n">
        <v>0</v>
      </c>
      <c r="AA46" s="1" t="n">
        <v>0</v>
      </c>
      <c r="AB46" s="1" t="str">
        <v>No</v>
      </c>
      <c r="AC46" s="1" t="str">
        <v>Premises inter connected with 19 Margaret Street and let under a single lease. The floor area is shown for this building only. Rent shown pro rata.</v>
      </c>
    </row>
    <row r="47" customFormat="false" ht="12.75" hidden="false" customHeight="true" outlineLevel="0" collapsed="false">
      <c r="A47" s="1" t="n">
        <v>0</v>
      </c>
      <c r="B47" s="1" t="str">
        <v>CM</v>
      </c>
      <c r="C47" s="1" t="str">
        <v>MEL</v>
      </c>
      <c r="D47" s="1" t="n">
        <v>550340</v>
      </c>
      <c r="E47" s="1" t="str">
        <v>London House, 9a Margaret Street</v>
      </c>
      <c r="F47" s="1" t="str">
        <v>Basement (Vaults)</v>
      </c>
      <c r="G47" s="1" t="str">
        <v>Storage</v>
      </c>
      <c r="H47" s="336" t="n">
        <v>400</v>
      </c>
      <c r="I47" s="1" t="n">
        <v>400</v>
      </c>
      <c r="J47" s="1" t="n">
        <v>0</v>
      </c>
      <c r="K47" s="349" t="str">
        <v>Langham Estate Management Ltd</v>
      </c>
      <c r="L47" s="349" t="n">
        <v>43184</v>
      </c>
      <c r="M47" s="1" t="n">
        <v>46836</v>
      </c>
      <c r="N47" s="349" t="n">
        <v>0</v>
      </c>
      <c r="O47" s="353" t="n">
        <v>45010</v>
      </c>
      <c r="P47" s="337" t="n">
        <v>0</v>
      </c>
      <c r="Q47" s="1" t="n">
        <v>2400</v>
      </c>
      <c r="R47" s="1" t="n">
        <v>2400</v>
      </c>
      <c r="S47" s="337" t="n">
        <v>0</v>
      </c>
      <c r="T47" s="337" t="n">
        <v>2000</v>
      </c>
      <c r="U47" s="337" t="n">
        <v>2000</v>
      </c>
      <c r="V47" s="1" t="n">
        <v>2000</v>
      </c>
      <c r="W47" s="351" t="n">
        <v>2000</v>
      </c>
      <c r="X47" s="1" t="n">
        <v>5</v>
      </c>
      <c r="Y47" s="1" t="n">
        <v>0</v>
      </c>
      <c r="Z47" s="1" t="n">
        <v>0</v>
      </c>
      <c r="AA47" s="1" t="n">
        <v>0</v>
      </c>
      <c r="AB47" s="1" t="str">
        <v>No</v>
      </c>
      <c r="AC47" s="1" t="str">
        <v>Mutual rolling break on 6 months notice. Internal Lease to another Lee Family Group Company.</v>
      </c>
    </row>
    <row r="48" customFormat="false" ht="12.75" hidden="false" customHeight="true" outlineLevel="0" collapsed="false">
      <c r="A48" s="1" t="n">
        <v>0</v>
      </c>
      <c r="B48" s="1" t="str">
        <v>CM</v>
      </c>
      <c r="C48" s="1" t="str">
        <v>MEL</v>
      </c>
      <c r="D48" s="1" t="n">
        <v>550340</v>
      </c>
      <c r="E48" s="1" t="str">
        <v>London House, 9a Margaret Street</v>
      </c>
      <c r="F48" s="1" t="str">
        <v>Basement (South)</v>
      </c>
      <c r="G48" s="1" t="str">
        <v>Office/ Storage</v>
      </c>
      <c r="H48" s="336" t="n">
        <v>873</v>
      </c>
      <c r="I48" s="1" t="n">
        <v>873</v>
      </c>
      <c r="J48" s="1" t="n">
        <v>0</v>
      </c>
      <c r="K48" s="349" t="str">
        <v>Langham Estate Management Ltd</v>
      </c>
      <c r="L48" s="349" t="n">
        <v>43184</v>
      </c>
      <c r="M48" s="1" t="n">
        <v>46836</v>
      </c>
      <c r="N48" s="349" t="n">
        <v>0</v>
      </c>
      <c r="O48" s="353" t="n">
        <v>45010</v>
      </c>
      <c r="P48" s="337" t="n">
        <v>0</v>
      </c>
      <c r="Q48" s="1" t="n">
        <v>24500</v>
      </c>
      <c r="R48" s="1" t="n">
        <v>24500</v>
      </c>
      <c r="S48" s="337" t="n">
        <v>0</v>
      </c>
      <c r="T48" s="337" t="n">
        <v>17500</v>
      </c>
      <c r="U48" s="337" t="n">
        <v>17500</v>
      </c>
      <c r="V48" s="1" t="n">
        <v>26200</v>
      </c>
      <c r="W48" s="351" t="n">
        <v>26200</v>
      </c>
      <c r="X48" s="1" t="n">
        <v>0</v>
      </c>
      <c r="Y48" s="1" t="str">
        <v>D</v>
      </c>
      <c r="Z48" s="1" t="n">
        <v>0</v>
      </c>
      <c r="AA48" s="1" t="n">
        <v>0</v>
      </c>
      <c r="AB48" s="1" t="str">
        <v>No</v>
      </c>
      <c r="AC48" s="1" t="str">
        <v>Mutual rolling break on 6 months notice. Internal Lease to another Lee Family Group Company.</v>
      </c>
    </row>
    <row r="49" customFormat="false" ht="12.75" hidden="false" customHeight="true" outlineLevel="0" collapsed="false">
      <c r="A49" s="1" t="n">
        <v>0</v>
      </c>
      <c r="B49" s="1" t="str">
        <v>CM</v>
      </c>
      <c r="C49" s="1" t="str">
        <v>MEL</v>
      </c>
      <c r="D49" s="1" t="n">
        <v>550340</v>
      </c>
      <c r="E49" s="1" t="str">
        <v>London House, 9a Margaret Street</v>
      </c>
      <c r="F49" s="1" t="str">
        <v>Basement (North)</v>
      </c>
      <c r="G49" s="1" t="str">
        <v>Office</v>
      </c>
      <c r="H49" s="336" t="n">
        <v>624</v>
      </c>
      <c r="I49" s="1" t="n">
        <v>624</v>
      </c>
      <c r="J49" s="1" t="n">
        <v>0</v>
      </c>
      <c r="K49" s="349" t="str">
        <v>Langham Estate Management Ltd</v>
      </c>
      <c r="L49" s="349" t="n">
        <v>43184</v>
      </c>
      <c r="M49" s="1" t="n">
        <v>46836</v>
      </c>
      <c r="N49" s="349" t="n">
        <v>0</v>
      </c>
      <c r="O49" s="353" t="n">
        <v>45010</v>
      </c>
      <c r="P49" s="337" t="n">
        <v>0</v>
      </c>
      <c r="Q49" s="1" t="n">
        <v>15600</v>
      </c>
      <c r="R49" s="1" t="n">
        <v>15600</v>
      </c>
      <c r="S49" s="337" t="n">
        <v>0</v>
      </c>
      <c r="T49" s="337" t="n">
        <v>12500</v>
      </c>
      <c r="U49" s="337" t="n">
        <v>12500</v>
      </c>
      <c r="V49" s="1" t="n">
        <v>18700</v>
      </c>
      <c r="W49" s="351" t="n">
        <v>18700</v>
      </c>
      <c r="X49" s="1" t="n">
        <v>0</v>
      </c>
      <c r="Y49" s="1" t="str">
        <v>D</v>
      </c>
      <c r="Z49" s="1" t="n">
        <v>0</v>
      </c>
      <c r="AA49" s="1" t="n">
        <v>0</v>
      </c>
      <c r="AB49" s="1" t="str">
        <v>No</v>
      </c>
      <c r="AC49" s="1" t="str">
        <v>Mutual rolling break on 6 months notice. Internal Lease to another Lee Family Group Company.</v>
      </c>
    </row>
    <row r="50" customFormat="false" ht="12.75" hidden="false" customHeight="true" outlineLevel="0" collapsed="false">
      <c r="A50" s="1" t="n">
        <v>0</v>
      </c>
      <c r="B50" s="1" t="str">
        <v>CM</v>
      </c>
      <c r="C50" s="1" t="str">
        <v>MEL</v>
      </c>
      <c r="D50" s="1" t="n">
        <v>550340</v>
      </c>
      <c r="E50" s="1" t="str">
        <v>London House, 9a Margaret Street</v>
      </c>
      <c r="F50" s="1" t="str">
        <v>First Floor (East)</v>
      </c>
      <c r="G50" s="1" t="str">
        <v>Office</v>
      </c>
      <c r="H50" s="336" t="n">
        <v>1445</v>
      </c>
      <c r="I50" s="1" t="n">
        <v>1445</v>
      </c>
      <c r="J50" s="1" t="n">
        <v>0</v>
      </c>
      <c r="K50" s="349" t="str">
        <v>Langham Estate Management Ltd</v>
      </c>
      <c r="L50" s="349" t="n">
        <v>43184</v>
      </c>
      <c r="M50" s="1" t="n">
        <v>46836</v>
      </c>
      <c r="N50" s="349" t="n">
        <v>0</v>
      </c>
      <c r="O50" s="353" t="n">
        <v>45010</v>
      </c>
      <c r="P50" s="337" t="n">
        <v>0</v>
      </c>
      <c r="Q50" s="1" t="n">
        <v>79500</v>
      </c>
      <c r="R50" s="1" t="n">
        <v>79500</v>
      </c>
      <c r="S50" s="337" t="n">
        <v>0</v>
      </c>
      <c r="T50" s="337" t="n">
        <v>86700</v>
      </c>
      <c r="U50" s="337" t="n">
        <v>86700</v>
      </c>
      <c r="V50" s="1" t="n">
        <v>90300</v>
      </c>
      <c r="W50" s="351" t="n">
        <v>90300</v>
      </c>
      <c r="X50" s="1" t="n">
        <v>0</v>
      </c>
      <c r="Y50" s="1" t="str">
        <v>D</v>
      </c>
      <c r="Z50" s="1" t="n">
        <v>0</v>
      </c>
      <c r="AA50" s="1" t="n">
        <v>0</v>
      </c>
      <c r="AB50" s="1" t="str">
        <v>No</v>
      </c>
      <c r="AC50" s="1" t="str">
        <v>Mutual rolling break on 6 months notice. Internal Lease to another Lee Family Group Company.</v>
      </c>
    </row>
    <row r="51" customFormat="false" ht="12.75" hidden="false" customHeight="true" outlineLevel="0" collapsed="false">
      <c r="A51" s="1" t="n">
        <v>0</v>
      </c>
      <c r="B51" s="1" t="str">
        <v>CM</v>
      </c>
      <c r="C51" s="1" t="str">
        <v>MEL</v>
      </c>
      <c r="D51" s="1" t="n">
        <v>550340</v>
      </c>
      <c r="E51" s="1" t="str">
        <v>London House, 9a Margaret Street</v>
      </c>
      <c r="F51" s="1" t="str">
        <v>First Floor (West)</v>
      </c>
      <c r="G51" s="1" t="str">
        <v>Office</v>
      </c>
      <c r="H51" s="336" t="n">
        <v>1200</v>
      </c>
      <c r="I51" s="1" t="n">
        <v>1200</v>
      </c>
      <c r="J51" s="1" t="n">
        <v>0</v>
      </c>
      <c r="K51" s="349" t="str">
        <v>Langham Estate Management Ltd</v>
      </c>
      <c r="L51" s="349" t="n">
        <v>43184</v>
      </c>
      <c r="M51" s="1" t="n">
        <v>46836</v>
      </c>
      <c r="N51" s="349" t="n">
        <v>0</v>
      </c>
      <c r="O51" s="353" t="n">
        <v>45010</v>
      </c>
      <c r="P51" s="337" t="n">
        <v>0</v>
      </c>
      <c r="Q51" s="1" t="n">
        <v>66000</v>
      </c>
      <c r="R51" s="1" t="n">
        <v>66000</v>
      </c>
      <c r="S51" s="337" t="n">
        <v>0</v>
      </c>
      <c r="T51" s="337" t="n">
        <v>72000</v>
      </c>
      <c r="U51" s="337" t="n">
        <v>72000</v>
      </c>
      <c r="V51" s="1" t="n">
        <v>75000</v>
      </c>
      <c r="W51" s="351" t="n">
        <v>75000</v>
      </c>
      <c r="X51" s="1" t="n">
        <v>0</v>
      </c>
      <c r="Y51" s="1" t="str">
        <v>C</v>
      </c>
      <c r="Z51" s="1" t="n">
        <v>0</v>
      </c>
      <c r="AA51" s="1" t="n">
        <v>0</v>
      </c>
      <c r="AB51" s="1" t="str">
        <v>No</v>
      </c>
      <c r="AC51" s="1" t="str">
        <v>Mutual rolling break on 6 months notice. Internal Lease to another Lee Family Group Company.</v>
      </c>
    </row>
    <row r="52" customFormat="false" ht="12.75" hidden="false" customHeight="true" outlineLevel="0" collapsed="false">
      <c r="A52" s="1" t="n">
        <v>0</v>
      </c>
      <c r="B52" s="1" t="str">
        <v>CM</v>
      </c>
      <c r="C52" s="1" t="str">
        <v>MEL</v>
      </c>
      <c r="D52" s="1" t="n">
        <v>550340</v>
      </c>
      <c r="E52" s="1" t="str">
        <v>London House, 9a Margaret Street</v>
      </c>
      <c r="F52" s="1" t="str">
        <v>Second Floor (East)</v>
      </c>
      <c r="G52" s="1" t="str">
        <v>Office</v>
      </c>
      <c r="H52" s="336" t="n">
        <v>373</v>
      </c>
      <c r="I52" s="1" t="n">
        <v>373</v>
      </c>
      <c r="J52" s="1" t="n">
        <v>0</v>
      </c>
      <c r="K52" s="349" t="str">
        <v>Langham Estate Management Ltd</v>
      </c>
      <c r="L52" s="349" t="n">
        <v>43184</v>
      </c>
      <c r="M52" s="1" t="n">
        <v>46836</v>
      </c>
      <c r="N52" s="349" t="n">
        <v>0</v>
      </c>
      <c r="O52" s="353" t="n">
        <v>45010</v>
      </c>
      <c r="P52" s="337" t="n">
        <v>0</v>
      </c>
      <c r="Q52" s="1" t="n">
        <v>18650</v>
      </c>
      <c r="R52" s="1" t="n">
        <v>18650</v>
      </c>
      <c r="S52" s="337" t="n">
        <v>0</v>
      </c>
      <c r="T52" s="337" t="n">
        <v>22400</v>
      </c>
      <c r="U52" s="337" t="n">
        <v>22400</v>
      </c>
      <c r="V52" s="1" t="n">
        <v>23300</v>
      </c>
      <c r="W52" s="351" t="n">
        <v>23300</v>
      </c>
      <c r="X52" s="1" t="n">
        <v>0</v>
      </c>
      <c r="Y52" s="1" t="str">
        <v>D</v>
      </c>
      <c r="Z52" s="1" t="n">
        <v>0</v>
      </c>
      <c r="AA52" s="1" t="n">
        <v>0</v>
      </c>
      <c r="AB52" s="1" t="str">
        <v>No</v>
      </c>
      <c r="AC52" s="1" t="str">
        <v>Mutual rolling break on 6 months notice. Internal Lease to another Lee Family Group Company.</v>
      </c>
    </row>
    <row r="53" customFormat="false" ht="12.75" hidden="false" customHeight="true" outlineLevel="0" collapsed="false">
      <c r="A53" s="1" t="n">
        <v>0</v>
      </c>
      <c r="B53" s="1" t="str">
        <v>CM</v>
      </c>
      <c r="C53" s="1" t="str">
        <v>MEL</v>
      </c>
      <c r="D53" s="1" t="n">
        <v>550340</v>
      </c>
      <c r="E53" s="1" t="str">
        <v>London House, 9a Margaret Street</v>
      </c>
      <c r="F53" s="1" t="str">
        <v>Second Floor (West)</v>
      </c>
      <c r="G53" s="1" t="str">
        <v>Office</v>
      </c>
      <c r="H53" s="336" t="n">
        <v>346</v>
      </c>
      <c r="I53" s="1" t="n">
        <v>346</v>
      </c>
      <c r="J53" s="1" t="n">
        <v>0</v>
      </c>
      <c r="K53" s="349" t="str">
        <v>Langham Estate Management Ltd</v>
      </c>
      <c r="L53" s="349" t="n">
        <v>43184</v>
      </c>
      <c r="M53" s="1" t="n">
        <v>46836</v>
      </c>
      <c r="N53" s="349" t="n">
        <v>0</v>
      </c>
      <c r="O53" s="353" t="n">
        <v>45010</v>
      </c>
      <c r="P53" s="337" t="n">
        <v>0</v>
      </c>
      <c r="Q53" s="1" t="n">
        <v>18150</v>
      </c>
      <c r="R53" s="1" t="n">
        <v>18150</v>
      </c>
      <c r="S53" s="337" t="n">
        <v>0</v>
      </c>
      <c r="T53" s="337" t="n">
        <v>20800</v>
      </c>
      <c r="U53" s="337" t="n">
        <v>20800</v>
      </c>
      <c r="V53" s="1" t="n">
        <v>21600</v>
      </c>
      <c r="W53" s="351" t="n">
        <v>21600</v>
      </c>
      <c r="X53" s="1" t="n">
        <v>0</v>
      </c>
      <c r="Y53" s="1" t="str">
        <v>D</v>
      </c>
      <c r="Z53" s="1" t="n">
        <v>0</v>
      </c>
      <c r="AA53" s="1" t="n">
        <v>0</v>
      </c>
      <c r="AB53" s="1" t="str">
        <v>No</v>
      </c>
      <c r="AC53" s="1" t="str">
        <v>Mutual rolling break on 6 months notice. Internal Lease to another Lee Family Group Company.</v>
      </c>
    </row>
    <row r="54" customFormat="false" ht="12.75" hidden="false" customHeight="true" outlineLevel="0" collapsed="false">
      <c r="A54" s="1" t="n">
        <v>0</v>
      </c>
      <c r="B54" s="1" t="str">
        <v>WS</v>
      </c>
      <c r="C54" s="1" t="str">
        <v>MEL</v>
      </c>
      <c r="D54" s="1" t="n">
        <v>550950</v>
      </c>
      <c r="E54" s="1" t="str">
        <v>19 Margaret Street</v>
      </c>
      <c r="F54" s="1" t="str">
        <v>Lower Ground and Ground Floors</v>
      </c>
      <c r="G54" s="1" t="str">
        <v>Office</v>
      </c>
      <c r="H54" s="336" t="n">
        <v>2370</v>
      </c>
      <c r="I54" s="1" t="n">
        <v>2370</v>
      </c>
      <c r="J54" s="1" t="n">
        <v>0</v>
      </c>
      <c r="K54" s="349" t="str">
        <v>FRIBA Limited</v>
      </c>
      <c r="L54" s="349" t="n">
        <v>43794</v>
      </c>
      <c r="M54" s="1" t="n">
        <v>47446</v>
      </c>
      <c r="N54" s="349" t="n">
        <v>0</v>
      </c>
      <c r="O54" s="353" t="n">
        <v>45621</v>
      </c>
      <c r="P54" s="337" t="n">
        <v>0</v>
      </c>
      <c r="Q54" s="1" t="n">
        <v>104885</v>
      </c>
      <c r="R54" s="1" t="n">
        <v>104885</v>
      </c>
      <c r="S54" s="337" t="n">
        <v>0</v>
      </c>
      <c r="T54" s="337" t="n">
        <v>100700</v>
      </c>
      <c r="U54" s="337" t="n">
        <v>100700</v>
      </c>
      <c r="V54" s="1" t="n">
        <v>142200</v>
      </c>
      <c r="W54" s="351" t="n">
        <v>142200</v>
      </c>
      <c r="X54" s="1" t="n">
        <v>42.4894514767933</v>
      </c>
      <c r="Y54" s="1" t="str">
        <v>D</v>
      </c>
      <c r="Z54" s="1" t="n">
        <v>0</v>
      </c>
      <c r="AA54" s="1" t="n">
        <v>0</v>
      </c>
      <c r="AB54" s="1" t="str">
        <v>No</v>
      </c>
      <c r="AC54" s="1" t="str">
        <v>This unit interconnects with G &amp; B, 21 Lt Portland St. The floor area shown is only for this unit. Rent shown pro rata. Tenant break on 6 months notice. Rent review @ 25/11/24.</v>
      </c>
    </row>
    <row r="55" customFormat="false" ht="12.75" hidden="false" customHeight="true" outlineLevel="0" collapsed="false">
      <c r="A55" s="1" t="n">
        <v>0</v>
      </c>
      <c r="B55" s="1" t="str">
        <v>CM</v>
      </c>
      <c r="C55" s="1" t="str">
        <v>MEL</v>
      </c>
      <c r="D55" s="1" t="n">
        <v>550800</v>
      </c>
      <c r="E55" s="1" t="str">
        <v>25 Margaret Street</v>
      </c>
      <c r="F55" s="1" t="str">
        <v>Ground Floor </v>
      </c>
      <c r="G55" s="1" t="str">
        <v>Retail</v>
      </c>
      <c r="H55" s="336" t="n">
        <v>515</v>
      </c>
      <c r="I55" s="1" t="n">
        <v>515</v>
      </c>
      <c r="J55" s="1" t="n">
        <v>500</v>
      </c>
      <c r="K55" s="349" t="str">
        <v>Camran Naseri &amp; Rehana Miah</v>
      </c>
      <c r="L55" s="349" t="n">
        <v>44756</v>
      </c>
      <c r="M55" s="1" t="n">
        <v>47154</v>
      </c>
      <c r="N55" s="349" t="n">
        <v>0</v>
      </c>
      <c r="O55" s="353" t="n">
        <v>45328</v>
      </c>
      <c r="P55" s="337" t="n">
        <v>0</v>
      </c>
      <c r="Q55" s="1" t="n">
        <v>37500</v>
      </c>
      <c r="R55" s="1" t="n">
        <v>37500</v>
      </c>
      <c r="S55" s="337" t="n">
        <v>0</v>
      </c>
      <c r="T55" s="337" t="n">
        <v>37502</v>
      </c>
      <c r="U55" s="337" t="n">
        <v>37502</v>
      </c>
      <c r="V55" s="1" t="n">
        <v>37500</v>
      </c>
      <c r="W55" s="351" t="n">
        <v>37500</v>
      </c>
      <c r="X55" s="1" t="n">
        <v>72.8194174757282</v>
      </c>
      <c r="Y55" s="1" t="str">
        <v>B</v>
      </c>
      <c r="Z55" s="1" t="n">
        <v>0</v>
      </c>
      <c r="AA55" s="1" t="n">
        <v>0</v>
      </c>
      <c r="AB55" s="1" t="str">
        <v>No</v>
      </c>
      <c r="AC55" s="1" t="n">
        <v>0</v>
      </c>
    </row>
    <row r="56" customFormat="false" ht="12.75" hidden="false" customHeight="true" outlineLevel="0" collapsed="false">
      <c r="A56" s="1" t="n">
        <v>0</v>
      </c>
      <c r="B56" s="1" t="str">
        <v>JM</v>
      </c>
      <c r="C56" s="1" t="str">
        <v>MEL</v>
      </c>
      <c r="D56" s="1" t="n">
        <v>550690</v>
      </c>
      <c r="E56" s="1" t="str">
        <v>Kenilworth House - 79-80 Margaret Street</v>
      </c>
      <c r="F56" s="1" t="str">
        <v>Ground (West) &amp; Part Basement</v>
      </c>
      <c r="G56" s="1" t="str">
        <v>Showroom</v>
      </c>
      <c r="H56" s="336" t="n">
        <v>1989</v>
      </c>
      <c r="I56" s="1" t="n">
        <v>1989</v>
      </c>
      <c r="J56" s="1" t="n">
        <v>2000</v>
      </c>
      <c r="K56" s="349" t="str">
        <v>Edwards Cheshire Company Ltd.</v>
      </c>
      <c r="L56" s="349" t="n">
        <v>42874</v>
      </c>
      <c r="M56" s="1" t="n">
        <v>46525</v>
      </c>
      <c r="N56" s="349" t="n">
        <v>0</v>
      </c>
      <c r="O56" s="353" t="n">
        <v>44700</v>
      </c>
      <c r="P56" s="337" t="n">
        <v>0</v>
      </c>
      <c r="Q56" s="1" t="n">
        <v>82575</v>
      </c>
      <c r="R56" s="1" t="n">
        <v>82575</v>
      </c>
      <c r="S56" s="337" t="n">
        <v>0</v>
      </c>
      <c r="T56" s="337" t="n">
        <v>75000</v>
      </c>
      <c r="U56" s="337" t="n">
        <v>75000</v>
      </c>
      <c r="V56" s="1" t="n">
        <v>87300</v>
      </c>
      <c r="W56" s="351" t="n">
        <v>87300</v>
      </c>
      <c r="X56" s="1" t="n">
        <v>37.7073906485671</v>
      </c>
      <c r="Y56" s="1" t="str">
        <v>C</v>
      </c>
      <c r="Z56" s="1" t="n">
        <v>0</v>
      </c>
      <c r="AA56" s="1" t="n">
        <v>0</v>
      </c>
      <c r="AB56" s="1" t="str">
        <v>No</v>
      </c>
      <c r="AC56" s="1" t="n">
        <v>0</v>
      </c>
    </row>
    <row r="57" customFormat="false" ht="12.75" hidden="false" customHeight="true" outlineLevel="0" collapsed="false">
      <c r="A57" s="1" t="n">
        <v>0</v>
      </c>
      <c r="B57" s="1" t="str">
        <v>WS</v>
      </c>
      <c r="C57" s="1" t="str">
        <v>MEL</v>
      </c>
      <c r="D57" s="1" t="n">
        <v>550490</v>
      </c>
      <c r="E57" s="1" t="str">
        <v>11-13 Market Place</v>
      </c>
      <c r="F57" s="1" t="str">
        <v>Whole Building</v>
      </c>
      <c r="G57" s="1" t="str">
        <v>Bar &amp; Office</v>
      </c>
      <c r="H57" s="336" t="n">
        <v>6979</v>
      </c>
      <c r="I57" s="1" t="n">
        <v>6979</v>
      </c>
      <c r="J57" s="1" t="n">
        <v>7000</v>
      </c>
      <c r="K57" s="349" t="str">
        <v>Market Place (London) Holdings Ltd</v>
      </c>
      <c r="L57" s="349" t="n">
        <v>44185</v>
      </c>
      <c r="M57" s="1" t="n">
        <v>47836</v>
      </c>
      <c r="N57" s="349" t="n">
        <v>0</v>
      </c>
      <c r="O57" s="353" t="n">
        <v>46011</v>
      </c>
      <c r="P57" s="337" t="n">
        <v>0</v>
      </c>
      <c r="Q57" s="1" t="n">
        <v>420000</v>
      </c>
      <c r="R57" s="1" t="n">
        <v>420000</v>
      </c>
      <c r="S57" s="337" t="n">
        <v>420000</v>
      </c>
      <c r="T57" s="337" t="n">
        <v>364600</v>
      </c>
      <c r="U57" s="337" t="n">
        <v>364600</v>
      </c>
      <c r="V57" s="1" t="n">
        <v>420000</v>
      </c>
      <c r="W57" s="351" t="n">
        <v>420000</v>
      </c>
      <c r="X57" s="1" t="n">
        <v>52.2424416105459</v>
      </c>
      <c r="Y57" s="1" t="str">
        <v>E</v>
      </c>
      <c r="Z57" s="1" t="n">
        <v>0</v>
      </c>
      <c r="AA57" s="1" t="n">
        <v>7550000</v>
      </c>
      <c r="AB57" s="1" t="str">
        <v>No</v>
      </c>
      <c r="AC57" s="1" t="str">
        <v>Upper floors sublet.</v>
      </c>
    </row>
    <row r="58" customFormat="false" ht="12.75" hidden="false" customHeight="true" outlineLevel="0" collapsed="false">
      <c r="A58" s="1" t="n">
        <v>0</v>
      </c>
      <c r="B58" s="1" t="str">
        <v>JM</v>
      </c>
      <c r="C58" s="1" t="str">
        <v>MEL</v>
      </c>
      <c r="D58" s="1" t="n">
        <v>550940</v>
      </c>
      <c r="E58" s="1" t="str">
        <v>Radiant House, 34-38 Mortimer Street &amp; 3-4 Bywell Place</v>
      </c>
      <c r="F58" s="1" t="str">
        <v>Fourth (36-38)</v>
      </c>
      <c r="G58" s="1" t="str">
        <v>Office</v>
      </c>
      <c r="H58" s="336" t="n">
        <v>1055</v>
      </c>
      <c r="I58" s="1" t="n">
        <v>1055</v>
      </c>
      <c r="J58" s="1" t="n">
        <v>1000</v>
      </c>
      <c r="K58" s="349" t="str">
        <v>Carver Associates Ltd.</v>
      </c>
      <c r="L58" s="349" t="n">
        <v>44887</v>
      </c>
      <c r="M58" s="1" t="n">
        <v>46712</v>
      </c>
      <c r="N58" s="349" t="n">
        <v>0</v>
      </c>
      <c r="O58" s="353" t="n">
        <v>45983</v>
      </c>
      <c r="P58" s="337" t="n">
        <v>45982</v>
      </c>
      <c r="Q58" s="1" t="n">
        <v>63070</v>
      </c>
      <c r="R58" s="1" t="n">
        <v>63070</v>
      </c>
      <c r="S58" s="337" t="n">
        <v>0</v>
      </c>
      <c r="T58" s="337" t="n">
        <v>61000</v>
      </c>
      <c r="U58" s="337" t="n">
        <v>61000</v>
      </c>
      <c r="V58" s="1" t="n">
        <v>60700</v>
      </c>
      <c r="W58" s="351" t="n">
        <v>60700</v>
      </c>
      <c r="X58" s="1" t="n">
        <v>57.8199052132701</v>
      </c>
      <c r="Y58" s="1" t="str">
        <v>D</v>
      </c>
      <c r="Z58" s="1" t="n">
        <v>0</v>
      </c>
      <c r="AA58" s="1" t="n">
        <v>0</v>
      </c>
      <c r="AB58" s="1" t="str">
        <v>No</v>
      </c>
      <c r="AC58" s="1" t="str">
        <v>Tenant has annual breaks on 6 months notice. </v>
      </c>
    </row>
    <row r="59" customFormat="false" ht="12.75" hidden="false" customHeight="true" outlineLevel="0" collapsed="false">
      <c r="A59" s="1" t="n">
        <v>0</v>
      </c>
      <c r="B59" s="1" t="str">
        <v>WS</v>
      </c>
      <c r="C59" s="1" t="str">
        <v>MEL</v>
      </c>
      <c r="D59" s="1" t="n">
        <v>550870</v>
      </c>
      <c r="E59" s="1" t="str">
        <v>67 - 81 Mortimer Street</v>
      </c>
      <c r="F59" s="1" t="str">
        <v>Ground Floor &amp; Bsmt. (No.79-81)</v>
      </c>
      <c r="G59" s="1" t="str">
        <v>Restaurant</v>
      </c>
      <c r="H59" s="336" t="n">
        <v>3114</v>
      </c>
      <c r="I59" s="1" t="n">
        <v>3114</v>
      </c>
      <c r="J59" s="1" t="n">
        <v>3000</v>
      </c>
      <c r="K59" s="349" t="str">
        <v>PHBB Restaurants Ltd.</v>
      </c>
      <c r="L59" s="349" t="n">
        <v>44143</v>
      </c>
      <c r="M59" s="1" t="n">
        <v>49620</v>
      </c>
      <c r="N59" s="349" t="n">
        <v>0</v>
      </c>
      <c r="O59" s="353" t="n">
        <v>45969</v>
      </c>
      <c r="P59" s="337" t="n">
        <v>0</v>
      </c>
      <c r="Q59" s="1" t="n">
        <v>175000</v>
      </c>
      <c r="R59" s="1" t="n">
        <v>175000</v>
      </c>
      <c r="S59" s="337" t="n">
        <v>0</v>
      </c>
      <c r="T59" s="337" t="n">
        <v>146200</v>
      </c>
      <c r="U59" s="337" t="n">
        <v>146200</v>
      </c>
      <c r="V59" s="1" t="n">
        <v>146200</v>
      </c>
      <c r="W59" s="351" t="n">
        <v>146200</v>
      </c>
      <c r="X59" s="1" t="n">
        <v>46.9492614001285</v>
      </c>
      <c r="Y59" s="1" t="str">
        <v>D</v>
      </c>
      <c r="Z59" s="1" t="n">
        <v>0</v>
      </c>
      <c r="AA59" s="1" t="n">
        <v>0</v>
      </c>
      <c r="AB59" s="1" t="str">
        <v>Yes</v>
      </c>
      <c r="AC59" s="1" t="str">
        <v>54 Act protected lease. All Inclusive (excl rates). </v>
      </c>
    </row>
    <row r="60" customFormat="false" ht="12.75" hidden="false" customHeight="true" outlineLevel="0" collapsed="false">
      <c r="A60" s="1" t="n">
        <v>0</v>
      </c>
      <c r="B60" s="1" t="str">
        <v>JM</v>
      </c>
      <c r="C60" s="1" t="str">
        <v>MEL</v>
      </c>
      <c r="D60" s="1" t="n">
        <v>100850</v>
      </c>
      <c r="E60" s="1" t="str">
        <v>142-144 Oxford Street</v>
      </c>
      <c r="F60" s="1" t="str">
        <v>Flats 1 - 9 Inclusive</v>
      </c>
      <c r="G60" s="1" t="str">
        <v>Residential</v>
      </c>
      <c r="H60" s="336" t="n">
        <v>4011</v>
      </c>
      <c r="I60" s="1" t="n">
        <v>4011</v>
      </c>
      <c r="J60" s="1" t="n">
        <v>4000</v>
      </c>
      <c r="K60" s="349" t="str">
        <v>Advan Capital Limited</v>
      </c>
      <c r="L60" s="349" t="n">
        <v>44204</v>
      </c>
      <c r="M60" s="1" t="n">
        <v>47855</v>
      </c>
      <c r="N60" s="349" t="n">
        <v>0</v>
      </c>
      <c r="O60" s="353" t="n">
        <v>46030</v>
      </c>
      <c r="P60" s="337" t="n">
        <v>0</v>
      </c>
      <c r="Q60" s="1" t="n">
        <v>130000</v>
      </c>
      <c r="R60" s="1" t="n">
        <v>130000</v>
      </c>
      <c r="S60" s="337" t="n">
        <v>0</v>
      </c>
      <c r="T60" s="337" t="n">
        <v>130000</v>
      </c>
      <c r="U60" s="337" t="n">
        <v>130000</v>
      </c>
      <c r="V60" s="1" t="n">
        <v>130000</v>
      </c>
      <c r="W60" s="351" t="n">
        <v>130000</v>
      </c>
      <c r="X60" s="1" t="n">
        <v>32.4108701072052</v>
      </c>
      <c r="Y60" s="1" t="str">
        <v>B</v>
      </c>
      <c r="Z60" s="1" t="n">
        <v>0</v>
      </c>
      <c r="AA60" s="1" t="n">
        <v>0</v>
      </c>
      <c r="AB60" s="1" t="str">
        <v>No</v>
      </c>
      <c r="AC60" s="1" t="n">
        <v>0</v>
      </c>
    </row>
    <row r="61" customFormat="false" ht="12.75" hidden="false" customHeight="true" outlineLevel="0" collapsed="false">
      <c r="A61" s="1" t="n">
        <v>0</v>
      </c>
      <c r="B61" s="1" t="str">
        <v>JM</v>
      </c>
      <c r="C61" s="1" t="str">
        <v>MEL</v>
      </c>
      <c r="D61" s="1" t="n">
        <v>100650</v>
      </c>
      <c r="E61" s="1" t="str">
        <v>150/154 Oxford Street</v>
      </c>
      <c r="F61" s="1" t="str">
        <v>Part Basement to Second Floors &amp; Rooftop Switch Room</v>
      </c>
      <c r="G61" s="1" t="str">
        <v>Retail</v>
      </c>
      <c r="H61" s="336" t="n">
        <v>61433</v>
      </c>
      <c r="I61" s="1" t="n">
        <v>61433</v>
      </c>
      <c r="J61" s="1" t="n">
        <v>60000</v>
      </c>
      <c r="K61" s="349" t="str">
        <v>Sportsdirect.com Retail Ltd</v>
      </c>
      <c r="L61" s="349" t="n">
        <v>40925</v>
      </c>
      <c r="M61" s="1" t="n">
        <v>46403</v>
      </c>
      <c r="N61" s="349" t="n">
        <v>0</v>
      </c>
      <c r="O61" s="353" t="n">
        <v>44578</v>
      </c>
      <c r="P61" s="337" t="n">
        <v>0</v>
      </c>
      <c r="Q61" s="1" t="n">
        <v>4275000</v>
      </c>
      <c r="R61" s="1" t="n">
        <v>4275000</v>
      </c>
      <c r="S61" s="337" t="n">
        <v>4275000</v>
      </c>
      <c r="T61" s="337" t="n">
        <v>2569000</v>
      </c>
      <c r="U61" s="337" t="n">
        <v>2569000</v>
      </c>
      <c r="V61" s="1" t="n">
        <v>3490000</v>
      </c>
      <c r="W61" s="351" t="n">
        <v>3490000</v>
      </c>
      <c r="X61" s="1" t="n">
        <v>41.8179154526069</v>
      </c>
      <c r="Y61" s="1" t="str">
        <v>B</v>
      </c>
      <c r="Z61" s="1" t="n">
        <v>0</v>
      </c>
      <c r="AA61" s="1" t="n">
        <v>72800000</v>
      </c>
      <c r="AB61" s="1" t="str">
        <v>Yes</v>
      </c>
      <c r="AC61" s="1" t="str">
        <v>Electricity Substation sublet by Sportsdirect.com. Rent review not yet activated. </v>
      </c>
    </row>
    <row r="62" customFormat="false" ht="12.75" hidden="false" customHeight="true" outlineLevel="0" collapsed="false">
      <c r="A62" s="1" t="n">
        <v>0</v>
      </c>
      <c r="B62" s="1" t="str">
        <v>JM</v>
      </c>
      <c r="C62" s="1" t="str">
        <v>MEL</v>
      </c>
      <c r="D62" s="1" t="n">
        <v>100650</v>
      </c>
      <c r="E62" s="1" t="str">
        <v>50-60 Eastcastle Street</v>
      </c>
      <c r="F62" s="1" t="str">
        <v>Basement (West)</v>
      </c>
      <c r="G62" s="1" t="str">
        <v>Building Managers Office</v>
      </c>
      <c r="H62" s="336" t="n">
        <v>780</v>
      </c>
      <c r="I62" s="1" t="n">
        <v>780</v>
      </c>
      <c r="J62" s="1" t="n">
        <v>750</v>
      </c>
      <c r="K62" s="349" t="str">
        <v>Langham Estate Management Ltd</v>
      </c>
      <c r="L62" s="349" t="n">
        <v>44562</v>
      </c>
      <c r="M62" s="1" t="n">
        <v>46752</v>
      </c>
      <c r="N62" s="349" t="n">
        <v>0</v>
      </c>
      <c r="O62" s="353" t="n">
        <v>45292</v>
      </c>
      <c r="P62" s="337" t="n">
        <v>0</v>
      </c>
      <c r="Q62" s="1" t="n">
        <v>17100</v>
      </c>
      <c r="R62" s="1" t="n">
        <v>17100</v>
      </c>
      <c r="S62" s="337" t="n">
        <v>0</v>
      </c>
      <c r="T62" s="337" t="n">
        <v>12500</v>
      </c>
      <c r="U62" s="337" t="n">
        <v>12500</v>
      </c>
      <c r="V62" s="1" t="n">
        <v>12500</v>
      </c>
      <c r="W62" s="351" t="n">
        <v>12500</v>
      </c>
      <c r="X62" s="1" t="n">
        <v>16.025641025641</v>
      </c>
      <c r="Y62" s="1" t="str">
        <v>D</v>
      </c>
      <c r="Z62" s="1" t="n">
        <v>0</v>
      </c>
      <c r="AA62" s="1" t="n">
        <v>0</v>
      </c>
      <c r="AB62" s="1" t="str">
        <v>No</v>
      </c>
      <c r="AC62" s="1" t="str">
        <v>2 yearly rent reviews. Mutual rolling break on 6 months notice. Internal Lease to another Lee Family Group Company.</v>
      </c>
    </row>
    <row r="63" customFormat="false" ht="12.75" hidden="false" customHeight="true" outlineLevel="0" collapsed="false">
      <c r="A63" s="1" t="n">
        <v>0</v>
      </c>
      <c r="B63" s="1" t="str">
        <v>JM</v>
      </c>
      <c r="C63" s="1" t="str">
        <v>MEL</v>
      </c>
      <c r="D63" s="1" t="n">
        <v>100650</v>
      </c>
      <c r="E63" s="1" t="str">
        <v>50-60 Eastcastle Street</v>
      </c>
      <c r="F63" s="1" t="str">
        <v>Winsley St. Sub-station (N)</v>
      </c>
      <c r="G63" s="1" t="str">
        <v>Plant Room</v>
      </c>
      <c r="H63" s="336" t="n">
        <v>0</v>
      </c>
      <c r="I63" s="1" t="n">
        <v>0</v>
      </c>
      <c r="J63" s="1" t="n">
        <v>0</v>
      </c>
      <c r="K63" s="349" t="str">
        <v>London Power Networks Plc</v>
      </c>
      <c r="L63" s="349" t="n">
        <v>39295</v>
      </c>
      <c r="M63" s="1" t="n">
        <v>46599</v>
      </c>
      <c r="N63" s="349" t="n">
        <v>0</v>
      </c>
      <c r="O63" s="353" t="n">
        <v>44409</v>
      </c>
      <c r="P63" s="337" t="n">
        <v>0</v>
      </c>
      <c r="Q63" s="1" t="n">
        <v>681</v>
      </c>
      <c r="R63" s="1" t="n">
        <v>681</v>
      </c>
      <c r="S63" s="337" t="n">
        <v>0</v>
      </c>
      <c r="T63" s="337" t="n">
        <v>700</v>
      </c>
      <c r="U63" s="337" t="n">
        <v>700</v>
      </c>
      <c r="V63" s="1" t="n">
        <v>700</v>
      </c>
      <c r="W63" s="351" t="n">
        <v>700</v>
      </c>
      <c r="X63" s="1" t="n">
        <v>0</v>
      </c>
      <c r="Y63" s="1" t="n">
        <v>0</v>
      </c>
      <c r="Z63" s="1" t="n">
        <v>0</v>
      </c>
      <c r="AA63" s="1" t="n">
        <v>0</v>
      </c>
      <c r="AB63" s="1" t="str">
        <v>No</v>
      </c>
      <c r="AC63" s="1" t="str">
        <v>Landlords redevelopment break on 6 months notice. Rent review is RPI indexation. </v>
      </c>
    </row>
    <row r="64" customFormat="false" ht="12.75" hidden="false" customHeight="true" outlineLevel="0" collapsed="false">
      <c r="A64" s="1" t="n">
        <v>0</v>
      </c>
      <c r="B64" s="1" t="str">
        <v>JM</v>
      </c>
      <c r="C64" s="1" t="str">
        <v>MEL</v>
      </c>
      <c r="D64" s="1" t="n">
        <v>100650</v>
      </c>
      <c r="E64" s="1" t="str">
        <v>50-60 Eastcastle Street</v>
      </c>
      <c r="F64" s="1" t="str">
        <v>Winsley St. Sub-station (S)</v>
      </c>
      <c r="G64" s="1" t="str">
        <v>Plant Room</v>
      </c>
      <c r="H64" s="336" t="n">
        <v>0</v>
      </c>
      <c r="I64" s="1" t="n">
        <v>0</v>
      </c>
      <c r="J64" s="1" t="n">
        <v>0</v>
      </c>
      <c r="K64" s="349" t="str">
        <v>London Power Networks Plc</v>
      </c>
      <c r="L64" s="349" t="n">
        <v>39295</v>
      </c>
      <c r="M64" s="1" t="n">
        <v>46599</v>
      </c>
      <c r="N64" s="349" t="n">
        <v>0</v>
      </c>
      <c r="O64" s="353" t="n">
        <v>44409</v>
      </c>
      <c r="P64" s="337" t="n">
        <v>0</v>
      </c>
      <c r="Q64" s="1" t="n">
        <v>681</v>
      </c>
      <c r="R64" s="1" t="n">
        <v>681</v>
      </c>
      <c r="S64" s="337" t="n">
        <v>0</v>
      </c>
      <c r="T64" s="337" t="n">
        <v>700</v>
      </c>
      <c r="U64" s="337" t="n">
        <v>700</v>
      </c>
      <c r="V64" s="1" t="n">
        <v>700</v>
      </c>
      <c r="W64" s="351" t="n">
        <v>700</v>
      </c>
      <c r="X64" s="1" t="n">
        <v>0</v>
      </c>
      <c r="Y64" s="1" t="n">
        <v>0</v>
      </c>
      <c r="Z64" s="1" t="n">
        <v>0</v>
      </c>
      <c r="AA64" s="1" t="n">
        <v>0</v>
      </c>
      <c r="AB64" s="1" t="str">
        <v>No</v>
      </c>
      <c r="AC64" s="1" t="str">
        <v>Landlords redevelopment break on 6 months notice. Rent review is RPI indexation. </v>
      </c>
    </row>
    <row r="65" customFormat="false" ht="12.75" hidden="false" customHeight="true" outlineLevel="0" collapsed="false">
      <c r="A65" s="1" t="n">
        <v>0</v>
      </c>
      <c r="B65" s="1" t="str">
        <v>CD</v>
      </c>
      <c r="C65" s="1" t="str">
        <v>OPG</v>
      </c>
      <c r="D65" s="1" t="n">
        <v>800200</v>
      </c>
      <c r="E65" s="1" t="str">
        <v>33 Eastcastle Street</v>
      </c>
      <c r="F65" s="1" t="str">
        <v>Whole Building</v>
      </c>
      <c r="G65" s="1" t="str">
        <v>Retail &amp; Office</v>
      </c>
      <c r="H65" s="336" t="n">
        <v>3122</v>
      </c>
      <c r="I65" s="1" t="n">
        <v>3122</v>
      </c>
      <c r="J65" s="1" t="n">
        <v>3000</v>
      </c>
      <c r="K65" s="349" t="str">
        <v>Leon Restaurants Ltd</v>
      </c>
      <c r="L65" s="349" t="n">
        <v>42580</v>
      </c>
      <c r="M65" s="1" t="n">
        <v>46231</v>
      </c>
      <c r="N65" s="349" t="n">
        <v>0</v>
      </c>
      <c r="O65" s="353" t="n">
        <v>44406</v>
      </c>
      <c r="P65" s="337" t="n">
        <v>0</v>
      </c>
      <c r="Q65" s="1" t="n">
        <v>170000</v>
      </c>
      <c r="R65" s="1" t="n">
        <v>170000</v>
      </c>
      <c r="S65" s="337" t="n">
        <v>0</v>
      </c>
      <c r="T65" s="337" t="n">
        <v>124100</v>
      </c>
      <c r="U65" s="337" t="n">
        <v>124100</v>
      </c>
      <c r="V65" s="1" t="n">
        <v>134000</v>
      </c>
      <c r="W65" s="351" t="n">
        <v>134000</v>
      </c>
      <c r="X65" s="1" t="n">
        <v>39.7501601537476</v>
      </c>
      <c r="Y65" s="1" t="str">
        <v>E</v>
      </c>
      <c r="Z65" s="1" t="n">
        <v>0</v>
      </c>
      <c r="AA65" s="1" t="n">
        <v>1325000</v>
      </c>
      <c r="AB65" s="1" t="str">
        <v>No</v>
      </c>
      <c r="AC65" s="1" t="n">
        <v>0</v>
      </c>
    </row>
    <row r="66" customFormat="false" ht="12.75" hidden="false" customHeight="true" outlineLevel="0" collapsed="false">
      <c r="A66" s="1" t="n">
        <v>0</v>
      </c>
      <c r="B66" s="1" t="str">
        <v>CD</v>
      </c>
      <c r="C66" s="1" t="str">
        <v>OPG</v>
      </c>
      <c r="D66" s="1" t="n">
        <v>800100</v>
      </c>
      <c r="E66" s="1" t="str">
        <v>Julco House, 26-28 Great Portland Street</v>
      </c>
      <c r="F66" s="1" t="str">
        <v>Ground Floor &amp; Basement</v>
      </c>
      <c r="G66" s="1" t="str">
        <v>Restaurant</v>
      </c>
      <c r="H66" s="336" t="n">
        <v>4332</v>
      </c>
      <c r="I66" s="1" t="n">
        <v>4332</v>
      </c>
      <c r="J66" s="1" t="n">
        <v>4250</v>
      </c>
      <c r="K66" s="349" t="str">
        <v>Oaxaca Ltd.</v>
      </c>
      <c r="L66" s="349" t="n">
        <v>41789</v>
      </c>
      <c r="M66" s="1" t="n">
        <v>47267</v>
      </c>
      <c r="N66" s="349" t="n">
        <v>0</v>
      </c>
      <c r="O66" s="353" t="n">
        <v>45442</v>
      </c>
      <c r="P66" s="337" t="n">
        <v>0</v>
      </c>
      <c r="Q66" s="1" t="n">
        <v>255000</v>
      </c>
      <c r="R66" s="1" t="n">
        <v>255000</v>
      </c>
      <c r="S66" s="337" t="n">
        <v>0</v>
      </c>
      <c r="T66" s="337" t="n">
        <v>290500</v>
      </c>
      <c r="U66" s="337" t="n">
        <v>290500</v>
      </c>
      <c r="V66" s="1" t="n">
        <v>255000</v>
      </c>
      <c r="W66" s="351" t="n">
        <v>255000</v>
      </c>
      <c r="X66" s="1" t="n">
        <v>67.0590951061865</v>
      </c>
      <c r="Y66" s="1" t="str">
        <v>B</v>
      </c>
      <c r="Z66" s="1" t="str">
        <v>*</v>
      </c>
      <c r="AA66" s="1" t="n">
        <v>0</v>
      </c>
      <c r="AB66" s="1" t="str">
        <v>No</v>
      </c>
      <c r="AC66" s="1" t="str">
        <v>Rent £255,000 pa with a top-up of 11% turnover up to a maximum of £300,000 pa.</v>
      </c>
    </row>
    <row r="67" customFormat="false" ht="12.75" hidden="false" customHeight="true" outlineLevel="0" collapsed="false">
      <c r="A67" s="1" t="n">
        <v>0</v>
      </c>
      <c r="B67" s="1" t="str">
        <v>CD</v>
      </c>
      <c r="C67" s="1" t="str">
        <v>OPG</v>
      </c>
      <c r="D67" s="1" t="n">
        <v>800400</v>
      </c>
      <c r="E67" s="1" t="str">
        <v>5 Margaret Street</v>
      </c>
      <c r="F67" s="1" t="str">
        <v>Whole Building</v>
      </c>
      <c r="G67" s="1" t="str">
        <v>Retail &amp; Office</v>
      </c>
      <c r="H67" s="336" t="n">
        <v>2598</v>
      </c>
      <c r="I67" s="1" t="n">
        <v>2598</v>
      </c>
      <c r="J67" s="1" t="n">
        <v>2500</v>
      </c>
      <c r="K67" s="349" t="str">
        <v>Workpad Fitzrovia Ltd</v>
      </c>
      <c r="L67" s="349" t="n">
        <v>43070</v>
      </c>
      <c r="M67" s="1" t="n">
        <v>46721</v>
      </c>
      <c r="N67" s="349" t="n">
        <v>0</v>
      </c>
      <c r="O67" s="353" t="n">
        <v>44896</v>
      </c>
      <c r="P67" s="337" t="n">
        <v>0</v>
      </c>
      <c r="Q67" s="1" t="n">
        <v>155000</v>
      </c>
      <c r="R67" s="1" t="n">
        <v>155000</v>
      </c>
      <c r="S67" s="337" t="n">
        <v>0</v>
      </c>
      <c r="T67" s="337" t="n">
        <v>118500</v>
      </c>
      <c r="U67" s="337" t="n">
        <v>118500</v>
      </c>
      <c r="V67" s="1" t="n">
        <v>142400</v>
      </c>
      <c r="W67" s="351" t="n">
        <v>142400</v>
      </c>
      <c r="X67" s="1" t="n">
        <v>0</v>
      </c>
      <c r="Y67" s="1" t="str">
        <v>A</v>
      </c>
      <c r="Z67" s="1" t="n">
        <v>0</v>
      </c>
      <c r="AA67" s="1" t="n">
        <v>2300000</v>
      </c>
      <c r="AB67" s="1" t="str">
        <v>No</v>
      </c>
      <c r="AC67" s="1" t="n">
        <v>0</v>
      </c>
    </row>
    <row r="68" customFormat="false" ht="12.75" hidden="false" customHeight="true" outlineLevel="0" collapsed="false">
      <c r="A68" s="1" t="n">
        <v>0</v>
      </c>
      <c r="B68" s="1" t="str">
        <v>WS</v>
      </c>
      <c r="C68" s="1" t="str">
        <v>OPG</v>
      </c>
      <c r="D68" s="1" t="n">
        <v>800500</v>
      </c>
      <c r="E68" s="1" t="str">
        <v>85 Mortimer Street</v>
      </c>
      <c r="F68" s="1" t="str">
        <v>Basement &amp; Ground</v>
      </c>
      <c r="G68" s="1" t="str">
        <v>Showroom</v>
      </c>
      <c r="H68" s="336" t="n">
        <v>1582</v>
      </c>
      <c r="I68" s="1" t="n">
        <v>1582</v>
      </c>
      <c r="J68" s="1" t="n">
        <v>1500</v>
      </c>
      <c r="K68" s="349" t="str">
        <v>The Feel Good Group Ltd.</v>
      </c>
      <c r="L68" s="349" t="n">
        <v>43514</v>
      </c>
      <c r="M68" s="1" t="n">
        <v>46982</v>
      </c>
      <c r="N68" s="349" t="n">
        <v>0</v>
      </c>
      <c r="O68" s="353" t="n">
        <v>45340</v>
      </c>
      <c r="P68" s="337" t="n">
        <v>0</v>
      </c>
      <c r="Q68" s="1" t="n">
        <v>70000</v>
      </c>
      <c r="R68" s="1" t="n">
        <v>70000</v>
      </c>
      <c r="S68" s="337" t="n">
        <v>0</v>
      </c>
      <c r="T68" s="337" t="n">
        <v>63300</v>
      </c>
      <c r="U68" s="337" t="n">
        <v>63300</v>
      </c>
      <c r="V68" s="1" t="n">
        <v>63300</v>
      </c>
      <c r="W68" s="351" t="n">
        <v>63300</v>
      </c>
      <c r="X68" s="1" t="n">
        <v>40.0126422250316</v>
      </c>
      <c r="Y68" s="1" t="str">
        <v>C</v>
      </c>
      <c r="Z68" s="1" t="n">
        <v>0</v>
      </c>
      <c r="AA68" s="1" t="n">
        <v>0</v>
      </c>
      <c r="AB68" s="1" t="str">
        <v>No</v>
      </c>
      <c r="AC68" s="1" t="n">
        <v>0</v>
      </c>
    </row>
    <row r="69" customFormat="false" ht="12.75" hidden="false" customHeight="true" outlineLevel="0" collapsed="false">
      <c r="A69" s="1" t="n">
        <v>0</v>
      </c>
      <c r="B69" s="1" t="str">
        <v>CD</v>
      </c>
      <c r="C69" s="1" t="str">
        <v>OOS</v>
      </c>
      <c r="D69" s="1" t="n">
        <v>888010</v>
      </c>
      <c r="E69" s="1" t="str">
        <v>184-190 Oxford Street &amp; 28/30 Market Place</v>
      </c>
      <c r="F69" s="1" t="str">
        <v>190 Oxford Street (B &amp; G)</v>
      </c>
      <c r="G69" s="1" t="str">
        <v>Retail</v>
      </c>
      <c r="H69" s="336" t="n">
        <v>5350</v>
      </c>
      <c r="I69" s="1" t="n">
        <v>5350</v>
      </c>
      <c r="J69" s="1" t="n">
        <v>5500</v>
      </c>
      <c r="K69" s="349" t="str">
        <v>Office Holdings Ltd</v>
      </c>
      <c r="L69" s="349" t="n">
        <v>40651</v>
      </c>
      <c r="M69" s="1" t="n">
        <v>46129</v>
      </c>
      <c r="N69" s="349" t="n">
        <v>0</v>
      </c>
      <c r="O69" s="353" t="n">
        <v>44304</v>
      </c>
      <c r="P69" s="337" t="n">
        <v>0</v>
      </c>
      <c r="Q69" s="1" t="n">
        <v>730000</v>
      </c>
      <c r="R69" s="1" t="n">
        <v>730000</v>
      </c>
      <c r="S69" s="337" t="n">
        <v>0</v>
      </c>
      <c r="T69" s="337" t="n">
        <v>400000</v>
      </c>
      <c r="U69" s="337" t="n">
        <v>400000</v>
      </c>
      <c r="V69" s="1" t="n">
        <v>710000</v>
      </c>
      <c r="W69" s="351" t="n">
        <v>710000</v>
      </c>
      <c r="X69" s="1" t="n">
        <v>74.7663551401869</v>
      </c>
      <c r="Y69" s="1" t="str">
        <v>C</v>
      </c>
      <c r="Z69" s="1" t="n">
        <v>0</v>
      </c>
      <c r="AA69" s="1" t="n">
        <v>0</v>
      </c>
      <c r="AB69" s="1" t="str">
        <v>Yes</v>
      </c>
      <c r="AC69" s="1" t="n">
        <v>0</v>
      </c>
    </row>
    <row r="70" customFormat="false" ht="12.75" hidden="false" customHeight="true" outlineLevel="0" collapsed="false">
      <c r="A70" s="1" t="n">
        <v>0</v>
      </c>
      <c r="B70" s="1" t="str">
        <v>CD</v>
      </c>
      <c r="C70" s="1" t="str">
        <v>OOS</v>
      </c>
      <c r="D70" s="1" t="n">
        <v>888010</v>
      </c>
      <c r="E70" s="1" t="str">
        <v>184-190 Oxford Street &amp; 28/30 Market Place</v>
      </c>
      <c r="F70" s="1" t="str">
        <v>1st Floor, 28 Market Place</v>
      </c>
      <c r="G70" s="1" t="str">
        <v>Retail</v>
      </c>
      <c r="H70" s="336" t="n">
        <v>2044</v>
      </c>
      <c r="I70" s="1" t="n">
        <v>2044</v>
      </c>
      <c r="J70" s="1" t="n">
        <v>2000</v>
      </c>
      <c r="K70" s="349" t="str">
        <v>EP Commodities Ltd</v>
      </c>
      <c r="L70" s="349" t="n">
        <v>42650</v>
      </c>
      <c r="M70" s="1" t="n">
        <v>46301</v>
      </c>
      <c r="N70" s="349" t="n">
        <v>0</v>
      </c>
      <c r="O70" s="349" t="n">
        <v>45885</v>
      </c>
      <c r="P70" s="337" t="n">
        <v>0</v>
      </c>
      <c r="Q70" s="1" t="n">
        <v>115701</v>
      </c>
      <c r="R70" s="1" t="n">
        <v>115701</v>
      </c>
      <c r="S70" s="337" t="n">
        <v>0</v>
      </c>
      <c r="T70" s="337" t="n">
        <v>110000</v>
      </c>
      <c r="U70" s="337" t="n">
        <v>110000</v>
      </c>
      <c r="V70" s="1" t="n">
        <v>112000</v>
      </c>
      <c r="W70" s="351" t="n">
        <v>112000</v>
      </c>
      <c r="X70" s="1" t="n">
        <v>53.8160469667319</v>
      </c>
      <c r="Y70" s="1" t="str">
        <v>B</v>
      </c>
      <c r="Z70" s="1" t="n">
        <v>0</v>
      </c>
      <c r="AA70" s="1" t="n">
        <v>0</v>
      </c>
      <c r="AB70" s="1" t="str">
        <v>No</v>
      </c>
      <c r="AC70" s="1" t="str">
        <v>Annual RPI rent increase (min 1%, max 4%). </v>
      </c>
    </row>
    <row r="71" customFormat="false" ht="12.75" hidden="false" customHeight="true" outlineLevel="0" collapsed="false">
      <c r="H71" s="336"/>
      <c r="K71" s="349"/>
      <c r="L71" s="349"/>
      <c r="N71" s="349"/>
      <c r="O71" s="349"/>
      <c r="P71" s="337"/>
      <c r="S71" s="337"/>
      <c r="T71" s="337"/>
      <c r="U71" s="337"/>
      <c r="W71" s="351"/>
    </row>
    <row r="72" customFormat="false" ht="12.75" hidden="false" customHeight="true" outlineLevel="0" collapsed="false">
      <c r="H72" s="336"/>
      <c r="K72" s="349"/>
      <c r="L72" s="349"/>
      <c r="N72" s="349"/>
      <c r="O72" s="349"/>
      <c r="P72" s="337"/>
      <c r="S72" s="337"/>
      <c r="T72" s="337"/>
      <c r="U72" s="337"/>
    </row>
    <row r="73" customFormat="false" ht="12.75" hidden="false" customHeight="true" outlineLevel="0" collapsed="false">
      <c r="H73" s="336"/>
      <c r="K73" s="349"/>
      <c r="L73" s="349"/>
      <c r="N73" s="349"/>
      <c r="O73" s="353"/>
      <c r="P73" s="337"/>
      <c r="S73" s="337"/>
      <c r="T73" s="337"/>
      <c r="U73" s="337"/>
    </row>
  </sheetData>
  <mergeCells count="3">
    <mergeCell ref="B2:E2"/>
    <mergeCell ref="B17:E17"/>
    <mergeCell ref="B33:E33"/>
  </mergeCells>
  <conditionalFormatting sqref="L34">
    <cfRule type="expression" priority="2" aboveAverage="0" equalAverage="0" bottom="0" percent="0" rank="0" text="" dxfId="2">
      <formula>AND(L34&lt;=(TODAY()+90), L34&gt;=TODAY())</formula>
    </cfRule>
    <cfRule type="expression" priority="3" aboveAverage="0" equalAverage="0" bottom="0" percent="0" rank="0" text="" dxfId="3">
      <formula>AND(ISNUMBER(L34), L34&lt;TODAY())</formula>
    </cfRule>
  </conditionalFormatting>
  <conditionalFormatting sqref="L18">
    <cfRule type="expression" priority="4" aboveAverage="0" equalAverage="0" bottom="0" percent="0" rank="0" text="" dxfId="2">
      <formula>AND(L18&lt;=(TODAY()+90), L18&gt;=TODAY())</formula>
    </cfRule>
    <cfRule type="expression" priority="5" aboveAverage="0" equalAverage="0" bottom="0" percent="0" rank="0" text="" dxfId="3">
      <formula>AND(ISNUMBER(L18), L18&lt;TODAY())</formula>
    </cfRule>
  </conditionalFormatting>
  <conditionalFormatting sqref="L3:L4">
    <cfRule type="expression" priority="6" aboveAverage="0" equalAverage="0" bottom="0" percent="0" rank="0" text="" dxfId="2">
      <formula>AND(L3&lt;=(TODAY()+90), L3&gt;=TODAY())</formula>
    </cfRule>
    <cfRule type="expression" priority="7" aboveAverage="0" equalAverage="0" bottom="0" percent="0" rank="0" text="" dxfId="3">
      <formula>AND(ISNUMBER(L3), L3&lt;TODAY())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420"/>
  <sheetViews>
    <sheetView showFormulas="false" showGridLines="true" showRowColHeaders="true" showZeros="false" rightToLeft="false" tabSelected="true" showOutlineSymbols="true" defaultGridColor="true" view="normal" topLeftCell="A1" colorId="64" zoomScale="100" zoomScaleNormal="100" zoomScalePageLayoutView="100" workbookViewId="0">
      <pane xSplit="5" ySplit="2" topLeftCell="N3" activePane="bottomRight" state="frozen"/>
      <selection pane="topLeft" activeCell="A1" activeCellId="0" sqref="A1"/>
      <selection pane="topRight" activeCell="N1" activeCellId="0" sqref="N1"/>
      <selection pane="bottomLeft" activeCell="A3" activeCellId="0" sqref="A3"/>
      <selection pane="bottomRight" activeCell="S2" activeCellId="0" sqref="S2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true" outlineLevel="0" max="2" min="2" style="0" width="8"/>
    <col collapsed="false" customWidth="true" hidden="true" outlineLevel="0" max="3" min="3" style="0" width="17"/>
    <col collapsed="false" customWidth="true" hidden="false" outlineLevel="0" max="6" min="4" style="0" width="30"/>
    <col collapsed="false" customWidth="true" hidden="false" outlineLevel="0" max="7" min="7" style="0" width="10"/>
    <col collapsed="false" customWidth="true" hidden="true" outlineLevel="0" max="8" min="8" style="0" width="8"/>
    <col collapsed="false" customWidth="true" hidden="false" outlineLevel="0" max="9" min="9" style="0" width="19"/>
    <col collapsed="false" customWidth="true" hidden="false" outlineLevel="0" max="10" min="10" style="0" width="30"/>
    <col collapsed="false" customWidth="true" hidden="false" outlineLevel="0" max="11" min="11" style="0" width="23"/>
    <col collapsed="false" customWidth="true" hidden="false" outlineLevel="0" max="15" min="12" style="0" width="21"/>
    <col collapsed="false" customWidth="true" hidden="false" outlineLevel="0" max="16" min="16" style="0" width="14"/>
    <col collapsed="false" customWidth="true" hidden="true" outlineLevel="0" max="18" min="17" style="0" width="9"/>
    <col collapsed="false" customWidth="true" hidden="false" outlineLevel="0" max="19" min="19" style="0" width="16"/>
    <col collapsed="false" customWidth="true" hidden="true" outlineLevel="0" max="20" min="20" style="0" width="9"/>
    <col collapsed="false" customWidth="true" hidden="false" outlineLevel="0" max="21" min="21" style="0" width="16"/>
    <col collapsed="false" customWidth="true" hidden="true" outlineLevel="0" max="22" min="22" style="0" width="9"/>
    <col collapsed="false" customWidth="true" hidden="false" outlineLevel="0" max="23" min="23" style="0" width="18"/>
    <col collapsed="false" customWidth="true" hidden="false" outlineLevel="0" max="24" min="24" style="0" width="8"/>
    <col collapsed="false" customWidth="true" hidden="true" outlineLevel="0" max="25" min="25" style="0" width="8"/>
    <col collapsed="false" customWidth="true" hidden="false" outlineLevel="0" max="26" min="26" style="0" width="24"/>
    <col collapsed="false" customWidth="true" hidden="false" outlineLevel="0" max="27" min="27" style="0" width="20"/>
    <col collapsed="false" customWidth="true" hidden="false" outlineLevel="0" max="28" min="28" style="0" width="30"/>
    <col collapsed="false" customWidth="true" hidden="false" outlineLevel="0" max="29" min="29" style="0" width="29"/>
    <col collapsed="false" customWidth="true" hidden="false" outlineLevel="0" max="30" min="30" style="0" width="18"/>
    <col collapsed="false" customWidth="true" hidden="false" outlineLevel="0" max="31" min="31" style="0" width="16"/>
    <col collapsed="false" customWidth="true" hidden="false" outlineLevel="0" max="32" min="32" style="0" width="17"/>
  </cols>
  <sheetData>
    <row r="1" customFormat="false" ht="15" hidden="false" customHeight="false" outlineLevel="0" collapsed="false">
      <c r="A1" s="354" t="s">
        <v>897</v>
      </c>
      <c r="B1" s="354"/>
      <c r="C1" s="354"/>
      <c r="D1" s="354"/>
      <c r="E1" s="354"/>
    </row>
    <row r="2" customFormat="false" ht="15" hidden="false" customHeight="false" outlineLevel="0" collapsed="false">
      <c r="A2" s="16" t="s">
        <v>1</v>
      </c>
      <c r="B2" s="16" t="s">
        <v>2</v>
      </c>
      <c r="C2" s="17" t="s">
        <v>3</v>
      </c>
      <c r="D2" s="17" t="s">
        <v>4</v>
      </c>
      <c r="E2" s="17" t="s">
        <v>5</v>
      </c>
      <c r="F2" s="18" t="s">
        <v>6</v>
      </c>
      <c r="G2" s="19" t="s">
        <v>7</v>
      </c>
      <c r="H2" s="19" t="s">
        <v>8</v>
      </c>
      <c r="I2" s="19" t="s">
        <v>9</v>
      </c>
      <c r="J2" s="20" t="s">
        <v>10</v>
      </c>
      <c r="K2" s="21" t="s">
        <v>11</v>
      </c>
      <c r="L2" s="21" t="s">
        <v>12</v>
      </c>
      <c r="M2" s="21" t="s">
        <v>13</v>
      </c>
      <c r="N2" s="21" t="s">
        <v>14</v>
      </c>
      <c r="O2" s="21" t="s">
        <v>15</v>
      </c>
      <c r="P2" s="22" t="s">
        <v>16</v>
      </c>
      <c r="Q2" s="22" t="s">
        <v>17</v>
      </c>
      <c r="R2" s="22" t="s">
        <v>18</v>
      </c>
      <c r="S2" s="22" t="s">
        <v>19</v>
      </c>
      <c r="T2" s="18" t="s">
        <v>20</v>
      </c>
      <c r="U2" s="22" t="s">
        <v>21</v>
      </c>
      <c r="V2" s="18" t="s">
        <v>22</v>
      </c>
      <c r="W2" s="18" t="s">
        <v>23</v>
      </c>
      <c r="X2" s="18" t="s">
        <v>24</v>
      </c>
      <c r="Y2" s="23" t="s">
        <v>25</v>
      </c>
      <c r="Z2" s="355" t="s">
        <v>26</v>
      </c>
      <c r="AA2" s="355" t="s">
        <v>27</v>
      </c>
      <c r="AB2" s="25" t="s">
        <v>28</v>
      </c>
      <c r="AC2" s="26" t="s">
        <v>29</v>
      </c>
      <c r="AD2" s="27" t="s">
        <v>30</v>
      </c>
      <c r="AE2" s="27" t="s">
        <v>31</v>
      </c>
      <c r="AF2" s="27" t="s">
        <v>32</v>
      </c>
    </row>
    <row r="3" customFormat="false" ht="19.4" hidden="false" customHeight="false" outlineLevel="0" collapsed="false">
      <c r="A3" s="11" t="s">
        <v>34</v>
      </c>
      <c r="B3" s="11" t="s">
        <v>35</v>
      </c>
      <c r="C3" s="28" t="n">
        <v>550020</v>
      </c>
      <c r="D3" s="4" t="s">
        <v>898</v>
      </c>
      <c r="E3" s="4" t="s">
        <v>36</v>
      </c>
      <c r="F3" s="5" t="s">
        <v>37</v>
      </c>
      <c r="G3" s="41" t="n">
        <v>2011</v>
      </c>
      <c r="H3" s="9" t="n">
        <f aca="false">G3</f>
        <v>2011</v>
      </c>
      <c r="I3" s="9" t="n">
        <v>2000</v>
      </c>
      <c r="J3" s="4" t="s">
        <v>38</v>
      </c>
      <c r="K3" s="7" t="n">
        <v>45365</v>
      </c>
      <c r="L3" s="8" t="n">
        <v>47190</v>
      </c>
      <c r="O3" s="8" t="n">
        <v>46459</v>
      </c>
      <c r="P3" s="42" t="n">
        <v>115500</v>
      </c>
      <c r="Q3" s="9" t="n">
        <f aca="false">P3</f>
        <v>115500</v>
      </c>
      <c r="R3" s="42" t="n">
        <f aca="false">Q3</f>
        <v>115500</v>
      </c>
      <c r="S3" s="42" t="n">
        <v>100600</v>
      </c>
      <c r="T3" s="9" t="n">
        <f aca="false">S3</f>
        <v>100600</v>
      </c>
      <c r="U3" s="43" t="n">
        <v>115000</v>
      </c>
      <c r="V3" s="9" t="n">
        <f aca="false">U3</f>
        <v>115000</v>
      </c>
      <c r="W3" s="44" t="n">
        <f aca="false">S3/G3</f>
        <v>50.0248632521134</v>
      </c>
      <c r="X3" s="9" t="s">
        <v>39</v>
      </c>
      <c r="Y3" s="40"/>
      <c r="Z3" s="43" t="n">
        <v>1750000</v>
      </c>
      <c r="AA3" s="283" t="s">
        <v>40</v>
      </c>
      <c r="AB3" s="4" t="s">
        <v>41</v>
      </c>
    </row>
    <row r="4" customFormat="false" ht="28.35" hidden="false" customHeight="false" outlineLevel="0" collapsed="false">
      <c r="A4" s="11" t="s">
        <v>44</v>
      </c>
      <c r="B4" s="11" t="s">
        <v>35</v>
      </c>
      <c r="C4" s="28" t="n">
        <v>550910</v>
      </c>
      <c r="D4" s="4" t="s">
        <v>43</v>
      </c>
      <c r="E4" s="4" t="s">
        <v>45</v>
      </c>
      <c r="F4" s="5" t="s">
        <v>46</v>
      </c>
      <c r="G4" s="6" t="n">
        <v>2333</v>
      </c>
      <c r="H4" s="9" t="n">
        <f aca="false">G4</f>
        <v>2333</v>
      </c>
      <c r="I4" s="9" t="n">
        <v>2000</v>
      </c>
      <c r="J4" s="4" t="s">
        <v>47</v>
      </c>
      <c r="K4" s="8" t="n">
        <v>45736</v>
      </c>
      <c r="L4" s="8" t="n">
        <v>47561</v>
      </c>
      <c r="O4" s="8" t="n">
        <v>46831</v>
      </c>
      <c r="P4" s="6" t="n">
        <v>128000</v>
      </c>
      <c r="Q4" s="9" t="n">
        <f aca="false">P4</f>
        <v>128000</v>
      </c>
      <c r="S4" s="6" t="n">
        <v>110000</v>
      </c>
      <c r="T4" s="9" t="n">
        <f aca="false">S4</f>
        <v>110000</v>
      </c>
      <c r="U4" s="54" t="n">
        <v>128000</v>
      </c>
      <c r="V4" s="9" t="n">
        <f aca="false">U4</f>
        <v>128000</v>
      </c>
      <c r="W4" s="44" t="n">
        <f aca="false">S4/G4</f>
        <v>47.1495927989713</v>
      </c>
      <c r="X4" s="9" t="s">
        <v>39</v>
      </c>
      <c r="Y4" s="40"/>
      <c r="AA4" s="5" t="s">
        <v>40</v>
      </c>
      <c r="AB4" s="4" t="s">
        <v>48</v>
      </c>
      <c r="AC4" s="56"/>
      <c r="AD4" s="4" t="n">
        <v>1</v>
      </c>
      <c r="AE4" s="57" t="n">
        <v>3</v>
      </c>
    </row>
    <row r="5" customFormat="false" ht="28.35" hidden="false" customHeight="false" outlineLevel="0" collapsed="false">
      <c r="A5" s="11" t="s">
        <v>44</v>
      </c>
      <c r="B5" s="11" t="s">
        <v>35</v>
      </c>
      <c r="C5" s="28" t="n">
        <v>550910</v>
      </c>
      <c r="D5" s="4" t="s">
        <v>43</v>
      </c>
      <c r="E5" s="4" t="s">
        <v>49</v>
      </c>
      <c r="F5" s="5" t="s">
        <v>50</v>
      </c>
      <c r="G5" s="6" t="n">
        <v>6092</v>
      </c>
      <c r="H5" s="9" t="n">
        <f aca="false">G5</f>
        <v>6092</v>
      </c>
      <c r="I5" s="9" t="n">
        <v>6000</v>
      </c>
      <c r="J5" s="4" t="s">
        <v>51</v>
      </c>
      <c r="K5" s="7" t="n">
        <v>45712</v>
      </c>
      <c r="L5" s="8" t="n">
        <v>47537</v>
      </c>
      <c r="O5" s="8" t="n">
        <v>46806</v>
      </c>
      <c r="P5" s="9" t="n">
        <v>325000</v>
      </c>
      <c r="Q5" s="9" t="n">
        <f aca="false">P5</f>
        <v>325000</v>
      </c>
      <c r="S5" s="6" t="n">
        <v>225000</v>
      </c>
      <c r="T5" s="9" t="n">
        <f aca="false">S5</f>
        <v>225000</v>
      </c>
      <c r="U5" s="54" t="n">
        <v>325000</v>
      </c>
      <c r="V5" s="9" t="n">
        <f aca="false">U5</f>
        <v>325000</v>
      </c>
      <c r="W5" s="44" t="n">
        <f aca="false">S5/G5</f>
        <v>36.9336835193697</v>
      </c>
      <c r="X5" s="9" t="s">
        <v>52</v>
      </c>
      <c r="Y5" s="40"/>
      <c r="AA5" s="5" t="s">
        <v>40</v>
      </c>
      <c r="AB5" s="4" t="s">
        <v>53</v>
      </c>
      <c r="AC5" s="56"/>
      <c r="AE5" s="57" t="n">
        <v>3</v>
      </c>
      <c r="AF5" s="4" t="s">
        <v>54</v>
      </c>
    </row>
    <row r="6" customFormat="false" ht="28.35" hidden="false" customHeight="false" outlineLevel="0" collapsed="false">
      <c r="A6" s="11" t="s">
        <v>44</v>
      </c>
      <c r="B6" s="11" t="s">
        <v>35</v>
      </c>
      <c r="C6" s="28" t="n">
        <v>550910</v>
      </c>
      <c r="D6" s="4" t="s">
        <v>43</v>
      </c>
      <c r="E6" s="4" t="s">
        <v>55</v>
      </c>
      <c r="F6" s="5" t="s">
        <v>37</v>
      </c>
      <c r="G6" s="6" t="n">
        <v>1063</v>
      </c>
      <c r="H6" s="9" t="n">
        <f aca="false">G6</f>
        <v>1063</v>
      </c>
      <c r="I6" s="9" t="n">
        <v>1000</v>
      </c>
      <c r="J6" s="4" t="s">
        <v>56</v>
      </c>
      <c r="K6" s="8" t="n">
        <v>45551</v>
      </c>
      <c r="L6" s="8" t="n">
        <v>47376</v>
      </c>
      <c r="O6" s="8" t="n">
        <v>46645</v>
      </c>
      <c r="P6" s="6" t="n">
        <v>61425</v>
      </c>
      <c r="Q6" s="9" t="n">
        <f aca="false">P6</f>
        <v>61425</v>
      </c>
      <c r="S6" s="6" t="n">
        <v>55700</v>
      </c>
      <c r="T6" s="9" t="n">
        <f aca="false">S6</f>
        <v>55700</v>
      </c>
      <c r="U6" s="54" t="n">
        <v>61100</v>
      </c>
      <c r="V6" s="9" t="n">
        <f aca="false">U6</f>
        <v>61100</v>
      </c>
      <c r="W6" s="44" t="n">
        <f aca="false">S6/G6</f>
        <v>52.3988711194732</v>
      </c>
      <c r="X6" s="9" t="s">
        <v>57</v>
      </c>
      <c r="Y6" s="40"/>
      <c r="AA6" s="5" t="s">
        <v>40</v>
      </c>
      <c r="AB6" s="4" t="s">
        <v>58</v>
      </c>
      <c r="AF6" s="58" t="s">
        <v>54</v>
      </c>
    </row>
    <row r="7" customFormat="false" ht="15" hidden="false" customHeight="false" outlineLevel="0" collapsed="false">
      <c r="A7" s="11" t="s">
        <v>44</v>
      </c>
      <c r="B7" s="11" t="s">
        <v>35</v>
      </c>
      <c r="C7" s="28" t="n">
        <v>550910</v>
      </c>
      <c r="D7" s="4" t="s">
        <v>43</v>
      </c>
      <c r="E7" s="4" t="s">
        <v>59</v>
      </c>
      <c r="F7" s="5" t="s">
        <v>37</v>
      </c>
      <c r="G7" s="6" t="n">
        <v>2220</v>
      </c>
      <c r="H7" s="9" t="n">
        <f aca="false">G7</f>
        <v>2220</v>
      </c>
      <c r="I7" s="9" t="n">
        <v>2000</v>
      </c>
      <c r="J7" s="4" t="s">
        <v>60</v>
      </c>
      <c r="K7" s="8" t="n">
        <v>45086</v>
      </c>
      <c r="L7" s="8" t="n">
        <v>46181</v>
      </c>
      <c r="P7" s="6" t="n">
        <v>131400</v>
      </c>
      <c r="Q7" s="9" t="n">
        <f aca="false">P7</f>
        <v>131400</v>
      </c>
      <c r="S7" s="6" t="n">
        <v>131100</v>
      </c>
      <c r="T7" s="9" t="n">
        <f aca="false">S7</f>
        <v>131100</v>
      </c>
      <c r="U7" s="54" t="n">
        <v>133200</v>
      </c>
      <c r="V7" s="9" t="n">
        <f aca="false">U7</f>
        <v>133200</v>
      </c>
      <c r="W7" s="44" t="n">
        <f aca="false">S7/G7</f>
        <v>59.0540540540541</v>
      </c>
      <c r="X7" s="9" t="s">
        <v>57</v>
      </c>
      <c r="Y7" s="40"/>
      <c r="AA7" s="5" t="s">
        <v>40</v>
      </c>
      <c r="AE7" s="57"/>
    </row>
    <row r="8" customFormat="false" ht="15" hidden="false" customHeight="false" outlineLevel="0" collapsed="false">
      <c r="A8" s="11" t="s">
        <v>44</v>
      </c>
      <c r="B8" s="11" t="s">
        <v>35</v>
      </c>
      <c r="C8" s="28" t="n">
        <v>550910</v>
      </c>
      <c r="D8" s="4" t="s">
        <v>43</v>
      </c>
      <c r="E8" s="4" t="s">
        <v>61</v>
      </c>
      <c r="F8" s="5" t="s">
        <v>37</v>
      </c>
      <c r="G8" s="6" t="n">
        <v>1124</v>
      </c>
      <c r="H8" s="9" t="n">
        <f aca="false">G8</f>
        <v>1124</v>
      </c>
      <c r="I8" s="9" t="n">
        <v>1000</v>
      </c>
      <c r="J8" s="4" t="s">
        <v>60</v>
      </c>
      <c r="K8" s="8" t="n">
        <v>45614</v>
      </c>
      <c r="L8" s="8" t="n">
        <v>46181</v>
      </c>
      <c r="M8" s="8"/>
      <c r="N8" s="8"/>
      <c r="O8" s="8"/>
      <c r="P8" s="6" t="n">
        <v>71875</v>
      </c>
      <c r="Q8" s="9" t="n">
        <f aca="false">P8</f>
        <v>71875</v>
      </c>
      <c r="R8" s="9"/>
      <c r="S8" s="6" t="n">
        <v>60400</v>
      </c>
      <c r="T8" s="9" t="n">
        <f aca="false">S8</f>
        <v>60400</v>
      </c>
      <c r="U8" s="54" t="n">
        <v>64600</v>
      </c>
      <c r="V8" s="9" t="n">
        <f aca="false">U8</f>
        <v>64600</v>
      </c>
      <c r="W8" s="44" t="n">
        <f aca="false">S8/G8</f>
        <v>53.7366548042705</v>
      </c>
      <c r="X8" s="9" t="s">
        <v>52</v>
      </c>
      <c r="Y8" s="40"/>
      <c r="Z8" s="356"/>
      <c r="AA8" s="5" t="s">
        <v>40</v>
      </c>
      <c r="AB8" s="4"/>
      <c r="AC8" s="56"/>
      <c r="AD8" s="4"/>
      <c r="AE8" s="57"/>
      <c r="AF8" s="4"/>
    </row>
    <row r="9" customFormat="false" ht="15" hidden="false" customHeight="false" outlineLevel="0" collapsed="false">
      <c r="A9" s="11" t="s">
        <v>44</v>
      </c>
      <c r="B9" s="11" t="s">
        <v>35</v>
      </c>
      <c r="C9" s="28" t="n">
        <v>550910</v>
      </c>
      <c r="D9" s="4" t="s">
        <v>43</v>
      </c>
      <c r="E9" s="4" t="s">
        <v>62</v>
      </c>
      <c r="F9" s="5" t="s">
        <v>37</v>
      </c>
      <c r="G9" s="6" t="n">
        <v>2238</v>
      </c>
      <c r="H9" s="9" t="n">
        <f aca="false">G9</f>
        <v>2238</v>
      </c>
      <c r="I9" s="9" t="n">
        <v>2000</v>
      </c>
      <c r="J9" s="4" t="s">
        <v>63</v>
      </c>
      <c r="K9" s="8"/>
      <c r="M9" s="8" t="n">
        <v>45636</v>
      </c>
      <c r="P9" s="6" t="n">
        <v>0</v>
      </c>
      <c r="Q9" s="9" t="n">
        <f aca="false">P9</f>
        <v>0</v>
      </c>
      <c r="S9" s="6" t="n">
        <v>134300</v>
      </c>
      <c r="T9" s="9" t="n">
        <f aca="false">S9</f>
        <v>134300</v>
      </c>
      <c r="U9" s="54" t="n">
        <v>134300</v>
      </c>
      <c r="V9" s="9" t="n">
        <f aca="false">U9</f>
        <v>134300</v>
      </c>
      <c r="W9" s="44" t="n">
        <f aca="false">S9/G9</f>
        <v>60.0089365504915</v>
      </c>
      <c r="X9" s="9" t="s">
        <v>57</v>
      </c>
      <c r="Y9" s="40"/>
      <c r="AA9" s="5" t="s">
        <v>40</v>
      </c>
      <c r="AB9" s="4" t="s">
        <v>64</v>
      </c>
      <c r="AD9" s="58"/>
      <c r="AE9" s="59"/>
      <c r="AF9" s="58"/>
    </row>
    <row r="10" customFormat="false" ht="15" hidden="false" customHeight="false" outlineLevel="0" collapsed="false">
      <c r="A10" s="11" t="s">
        <v>44</v>
      </c>
      <c r="B10" s="11" t="s">
        <v>35</v>
      </c>
      <c r="C10" s="28" t="n">
        <v>550910</v>
      </c>
      <c r="D10" s="4" t="s">
        <v>43</v>
      </c>
      <c r="E10" s="4" t="s">
        <v>65</v>
      </c>
      <c r="F10" s="5" t="s">
        <v>37</v>
      </c>
      <c r="G10" s="6" t="n">
        <v>400</v>
      </c>
      <c r="H10" s="9" t="n">
        <f aca="false">G10</f>
        <v>400</v>
      </c>
      <c r="I10" s="9" t="n">
        <v>500</v>
      </c>
      <c r="J10" s="4" t="s">
        <v>63</v>
      </c>
      <c r="K10" s="8"/>
      <c r="M10" s="8" t="n">
        <v>45771</v>
      </c>
      <c r="P10" s="6" t="n">
        <v>0</v>
      </c>
      <c r="Q10" s="9" t="n">
        <f aca="false">P10</f>
        <v>0</v>
      </c>
      <c r="S10" s="6" t="n">
        <v>20600</v>
      </c>
      <c r="T10" s="9" t="n">
        <f aca="false">S10</f>
        <v>20600</v>
      </c>
      <c r="U10" s="54" t="n">
        <v>23000</v>
      </c>
      <c r="V10" s="9" t="n">
        <f aca="false">U10</f>
        <v>23000</v>
      </c>
      <c r="W10" s="44" t="n">
        <f aca="false">S10/G10</f>
        <v>51.5</v>
      </c>
      <c r="X10" s="9" t="s">
        <v>57</v>
      </c>
      <c r="Y10" s="40"/>
      <c r="AA10" s="5" t="s">
        <v>40</v>
      </c>
      <c r="AB10" s="4" t="s">
        <v>64</v>
      </c>
      <c r="AE10" s="57"/>
    </row>
    <row r="11" customFormat="false" ht="15" hidden="false" customHeight="false" outlineLevel="0" collapsed="false">
      <c r="A11" s="11" t="s">
        <v>44</v>
      </c>
      <c r="B11" s="11" t="s">
        <v>35</v>
      </c>
      <c r="C11" s="28" t="n">
        <v>550910</v>
      </c>
      <c r="D11" s="4" t="s">
        <v>43</v>
      </c>
      <c r="E11" s="4" t="s">
        <v>66</v>
      </c>
      <c r="F11" s="5" t="s">
        <v>37</v>
      </c>
      <c r="G11" s="6" t="n">
        <v>1938</v>
      </c>
      <c r="H11" s="9" t="n">
        <f aca="false">G11</f>
        <v>1938</v>
      </c>
      <c r="I11" s="9" t="n">
        <v>2000</v>
      </c>
      <c r="J11" s="4" t="s">
        <v>63</v>
      </c>
      <c r="M11" s="8" t="n">
        <v>45217</v>
      </c>
      <c r="P11" s="9" t="n">
        <v>0</v>
      </c>
      <c r="Q11" s="9" t="n">
        <f aca="false">P11</f>
        <v>0</v>
      </c>
      <c r="S11" s="6" t="n">
        <v>109000</v>
      </c>
      <c r="T11" s="9" t="n">
        <f aca="false">S11</f>
        <v>109000</v>
      </c>
      <c r="U11" s="54" t="n">
        <v>111400</v>
      </c>
      <c r="V11" s="9" t="n">
        <f aca="false">U11</f>
        <v>111400</v>
      </c>
      <c r="W11" s="44" t="n">
        <f aca="false">S11/G11</f>
        <v>56.2435500515996</v>
      </c>
      <c r="X11" s="9" t="s">
        <v>57</v>
      </c>
      <c r="Y11" s="40"/>
      <c r="AA11" s="5" t="s">
        <v>40</v>
      </c>
      <c r="AB11" s="4" t="s">
        <v>64</v>
      </c>
      <c r="AC11" s="15" t="n">
        <v>65</v>
      </c>
      <c r="AD11" s="4" t="n">
        <v>1</v>
      </c>
      <c r="AE11" s="57" t="n">
        <v>3</v>
      </c>
    </row>
    <row r="12" customFormat="false" ht="15" hidden="false" customHeight="false" outlineLevel="0" collapsed="false">
      <c r="A12" s="11" t="s">
        <v>44</v>
      </c>
      <c r="B12" s="11" t="s">
        <v>35</v>
      </c>
      <c r="C12" s="28" t="n">
        <v>550910</v>
      </c>
      <c r="D12" s="4" t="s">
        <v>43</v>
      </c>
      <c r="E12" s="4" t="s">
        <v>67</v>
      </c>
      <c r="F12" s="5" t="s">
        <v>37</v>
      </c>
      <c r="G12" s="6" t="n">
        <v>419</v>
      </c>
      <c r="H12" s="9" t="n">
        <f aca="false">G12</f>
        <v>419</v>
      </c>
      <c r="I12" s="9" t="n">
        <v>500</v>
      </c>
      <c r="J12" s="4" t="s">
        <v>68</v>
      </c>
      <c r="K12" s="7" t="n">
        <v>44539</v>
      </c>
      <c r="L12" s="8" t="n">
        <v>46364</v>
      </c>
      <c r="P12" s="9" t="n">
        <v>23940</v>
      </c>
      <c r="Q12" s="9" t="n">
        <f aca="false">P12</f>
        <v>23940</v>
      </c>
      <c r="S12" s="6" t="n">
        <v>21000</v>
      </c>
      <c r="T12" s="9" t="n">
        <f aca="false">S12</f>
        <v>21000</v>
      </c>
      <c r="U12" s="54" t="n">
        <v>24100</v>
      </c>
      <c r="V12" s="9" t="n">
        <f aca="false">U12</f>
        <v>24100</v>
      </c>
      <c r="W12" s="44" t="n">
        <f aca="false">S12/G12</f>
        <v>50.1193317422434</v>
      </c>
      <c r="X12" s="9" t="s">
        <v>57</v>
      </c>
      <c r="Y12" s="40"/>
      <c r="AA12" s="5" t="s">
        <v>40</v>
      </c>
      <c r="AE12" s="57"/>
    </row>
    <row r="13" customFormat="false" ht="19.4" hidden="false" customHeight="false" outlineLevel="0" collapsed="false">
      <c r="A13" s="11" t="s">
        <v>44</v>
      </c>
      <c r="B13" s="11" t="s">
        <v>35</v>
      </c>
      <c r="C13" s="28" t="n">
        <v>550910</v>
      </c>
      <c r="D13" s="4" t="s">
        <v>43</v>
      </c>
      <c r="E13" s="4" t="s">
        <v>69</v>
      </c>
      <c r="F13" s="5" t="s">
        <v>37</v>
      </c>
      <c r="G13" s="6" t="n">
        <v>972</v>
      </c>
      <c r="H13" s="9" t="n">
        <f aca="false">G13</f>
        <v>972</v>
      </c>
      <c r="I13" s="9" t="n">
        <v>1000</v>
      </c>
      <c r="J13" s="4" t="s">
        <v>70</v>
      </c>
      <c r="K13" s="7" t="n">
        <v>45100</v>
      </c>
      <c r="L13" s="8" t="n">
        <v>46926</v>
      </c>
      <c r="O13" s="8" t="n">
        <v>46195</v>
      </c>
      <c r="P13" s="6" t="n">
        <v>58560</v>
      </c>
      <c r="Q13" s="9" t="n">
        <f aca="false">P13</f>
        <v>58560</v>
      </c>
      <c r="S13" s="6" t="n">
        <v>49400</v>
      </c>
      <c r="T13" s="9" t="n">
        <f aca="false">S13</f>
        <v>49400</v>
      </c>
      <c r="U13" s="54" t="n">
        <v>58300</v>
      </c>
      <c r="V13" s="9" t="n">
        <f aca="false">U13</f>
        <v>58300</v>
      </c>
      <c r="W13" s="44" t="n">
        <f aca="false">S13/G13</f>
        <v>50.8230452674897</v>
      </c>
      <c r="X13" s="9" t="s">
        <v>57</v>
      </c>
      <c r="Y13" s="40"/>
      <c r="AA13" s="5" t="s">
        <v>40</v>
      </c>
      <c r="AB13" s="4" t="s">
        <v>71</v>
      </c>
      <c r="AE13" s="57"/>
    </row>
    <row r="14" customFormat="false" ht="15" hidden="false" customHeight="false" outlineLevel="0" collapsed="false">
      <c r="A14" s="11" t="s">
        <v>44</v>
      </c>
      <c r="B14" s="11" t="s">
        <v>35</v>
      </c>
      <c r="C14" s="28" t="n">
        <v>550910</v>
      </c>
      <c r="D14" s="4" t="s">
        <v>43</v>
      </c>
      <c r="E14" s="4" t="s">
        <v>72</v>
      </c>
      <c r="F14" s="5" t="s">
        <v>37</v>
      </c>
      <c r="G14" s="6" t="n">
        <v>977</v>
      </c>
      <c r="H14" s="9" t="n">
        <f aca="false">G14</f>
        <v>977</v>
      </c>
      <c r="I14" s="9" t="n">
        <v>1000</v>
      </c>
      <c r="J14" s="4" t="s">
        <v>68</v>
      </c>
      <c r="K14" s="8" t="n">
        <v>45476</v>
      </c>
      <c r="L14" s="8" t="n">
        <v>47301</v>
      </c>
      <c r="O14" s="8" t="n">
        <v>46364</v>
      </c>
      <c r="P14" s="6" t="n">
        <v>58496</v>
      </c>
      <c r="Q14" s="9" t="n">
        <f aca="false">P14</f>
        <v>58496</v>
      </c>
      <c r="S14" s="6" t="n">
        <v>47400</v>
      </c>
      <c r="T14" s="9" t="n">
        <f aca="false">S14</f>
        <v>47400</v>
      </c>
      <c r="U14" s="54" t="n">
        <v>58600</v>
      </c>
      <c r="V14" s="9" t="n">
        <f aca="false">U14</f>
        <v>58600</v>
      </c>
      <c r="W14" s="44" t="n">
        <f aca="false">S14/G14</f>
        <v>48.5158648925282</v>
      </c>
      <c r="X14" s="9" t="s">
        <v>52</v>
      </c>
      <c r="Y14" s="40"/>
      <c r="AA14" s="5" t="s">
        <v>40</v>
      </c>
      <c r="AB14" s="4" t="s">
        <v>73</v>
      </c>
      <c r="AD14" s="58"/>
      <c r="AE14" s="59"/>
      <c r="AF14" s="58"/>
    </row>
    <row r="15" customFormat="false" ht="15" hidden="false" customHeight="false" outlineLevel="0" collapsed="false">
      <c r="A15" s="11" t="s">
        <v>44</v>
      </c>
      <c r="B15" s="11" t="s">
        <v>35</v>
      </c>
      <c r="C15" s="28" t="n">
        <v>550910</v>
      </c>
      <c r="D15" s="4" t="s">
        <v>43</v>
      </c>
      <c r="E15" s="4" t="s">
        <v>74</v>
      </c>
      <c r="F15" s="5" t="s">
        <v>37</v>
      </c>
      <c r="G15" s="6" t="n">
        <v>744</v>
      </c>
      <c r="H15" s="9" t="n">
        <f aca="false">G15</f>
        <v>744</v>
      </c>
      <c r="I15" s="9" t="n">
        <v>750</v>
      </c>
      <c r="J15" s="4" t="s">
        <v>63</v>
      </c>
      <c r="K15" s="8"/>
      <c r="M15" s="8" t="n">
        <v>45182</v>
      </c>
      <c r="P15" s="6" t="n">
        <v>0</v>
      </c>
      <c r="Q15" s="9" t="n">
        <f aca="false">P15</f>
        <v>0</v>
      </c>
      <c r="S15" s="6" t="n">
        <v>34400</v>
      </c>
      <c r="T15" s="9" t="n">
        <f aca="false">S15</f>
        <v>34400</v>
      </c>
      <c r="U15" s="54" t="n">
        <v>42800</v>
      </c>
      <c r="V15" s="9" t="n">
        <f aca="false">U15</f>
        <v>42800</v>
      </c>
      <c r="W15" s="44" t="n">
        <f aca="false">S15/G15</f>
        <v>46.2365591397849</v>
      </c>
      <c r="X15" s="9" t="s">
        <v>57</v>
      </c>
      <c r="Y15" s="40"/>
      <c r="AA15" s="5" t="s">
        <v>40</v>
      </c>
      <c r="AB15" s="4" t="s">
        <v>64</v>
      </c>
      <c r="AC15" s="15" t="n">
        <v>63.5</v>
      </c>
      <c r="AD15" s="4" t="n">
        <v>1</v>
      </c>
      <c r="AE15" s="57" t="n">
        <v>3</v>
      </c>
      <c r="AF15" s="4" t="s">
        <v>54</v>
      </c>
    </row>
    <row r="16" customFormat="false" ht="15" hidden="false" customHeight="false" outlineLevel="0" collapsed="false">
      <c r="A16" s="11" t="s">
        <v>44</v>
      </c>
      <c r="B16" s="11" t="s">
        <v>35</v>
      </c>
      <c r="C16" s="28" t="n">
        <v>550910</v>
      </c>
      <c r="D16" s="4" t="s">
        <v>43</v>
      </c>
      <c r="E16" s="4" t="s">
        <v>75</v>
      </c>
      <c r="F16" s="5" t="s">
        <v>76</v>
      </c>
      <c r="G16" s="6" t="n">
        <v>185</v>
      </c>
      <c r="H16" s="9" t="n">
        <f aca="false">G16</f>
        <v>185</v>
      </c>
      <c r="I16" s="9" t="n">
        <v>200</v>
      </c>
      <c r="J16" s="4" t="s">
        <v>77</v>
      </c>
      <c r="K16" s="8"/>
      <c r="M16" s="8" t="s">
        <v>78</v>
      </c>
      <c r="P16" s="6" t="n">
        <v>0</v>
      </c>
      <c r="Q16" s="9" t="n">
        <f aca="false">P16</f>
        <v>0</v>
      </c>
      <c r="S16" s="6" t="n">
        <v>3000</v>
      </c>
      <c r="T16" s="9" t="n">
        <f aca="false">S16</f>
        <v>3000</v>
      </c>
      <c r="U16" s="54" t="n">
        <v>5000</v>
      </c>
      <c r="V16" s="9" t="n">
        <f aca="false">U16</f>
        <v>5000</v>
      </c>
      <c r="W16" s="44" t="n">
        <f aca="false">S16/G16</f>
        <v>16.2162162162162</v>
      </c>
      <c r="X16" s="9"/>
      <c r="Y16" s="40"/>
      <c r="AA16" s="5" t="s">
        <v>40</v>
      </c>
      <c r="AE16" s="57"/>
    </row>
    <row r="17" customFormat="false" ht="19.4" hidden="false" customHeight="false" outlineLevel="0" collapsed="false">
      <c r="A17" s="11" t="s">
        <v>44</v>
      </c>
      <c r="B17" s="11" t="s">
        <v>35</v>
      </c>
      <c r="C17" s="28" t="n">
        <v>550920</v>
      </c>
      <c r="D17" s="4" t="s">
        <v>80</v>
      </c>
      <c r="E17" s="4" t="s">
        <v>81</v>
      </c>
      <c r="F17" s="5" t="s">
        <v>82</v>
      </c>
      <c r="G17" s="6" t="n">
        <v>2940</v>
      </c>
      <c r="H17" s="9" t="n">
        <f aca="false">G17</f>
        <v>2940</v>
      </c>
      <c r="I17" s="9" t="n">
        <v>3000</v>
      </c>
      <c r="J17" s="4" t="s">
        <v>83</v>
      </c>
      <c r="K17" s="8" t="n">
        <v>45649</v>
      </c>
      <c r="L17" s="8" t="n">
        <v>46743</v>
      </c>
      <c r="O17" s="8" t="n">
        <v>46013</v>
      </c>
      <c r="P17" s="6" t="n">
        <v>132000</v>
      </c>
      <c r="Q17" s="9" t="n">
        <f aca="false">P17</f>
        <v>132000</v>
      </c>
      <c r="S17" s="6" t="n">
        <v>114600</v>
      </c>
      <c r="T17" s="9" t="n">
        <f aca="false">S17</f>
        <v>114600</v>
      </c>
      <c r="U17" s="54" t="n">
        <v>132000</v>
      </c>
      <c r="V17" s="9" t="n">
        <f aca="false">U17</f>
        <v>132000</v>
      </c>
      <c r="W17" s="44" t="n">
        <f aca="false">S17/G17</f>
        <v>38.9795918367347</v>
      </c>
      <c r="X17" s="9" t="s">
        <v>39</v>
      </c>
      <c r="Y17" s="40"/>
      <c r="AA17" s="5" t="s">
        <v>40</v>
      </c>
      <c r="AB17" s="4" t="s">
        <v>84</v>
      </c>
      <c r="AE17" s="57"/>
    </row>
    <row r="18" customFormat="false" ht="19.4" hidden="false" customHeight="false" outlineLevel="0" collapsed="false">
      <c r="A18" s="11" t="s">
        <v>44</v>
      </c>
      <c r="B18" s="11" t="s">
        <v>35</v>
      </c>
      <c r="C18" s="28" t="n">
        <v>550920</v>
      </c>
      <c r="D18" s="4" t="s">
        <v>80</v>
      </c>
      <c r="E18" s="4" t="s">
        <v>85</v>
      </c>
      <c r="F18" s="5" t="s">
        <v>86</v>
      </c>
      <c r="G18" s="6" t="n">
        <v>1398</v>
      </c>
      <c r="H18" s="9" t="n">
        <f aca="false">G18</f>
        <v>1398</v>
      </c>
      <c r="I18" s="9" t="n">
        <v>1000</v>
      </c>
      <c r="J18" s="4" t="s">
        <v>87</v>
      </c>
      <c r="K18" s="8" t="n">
        <v>45470</v>
      </c>
      <c r="L18" s="8" t="n">
        <v>47295</v>
      </c>
      <c r="O18" s="8" t="n">
        <v>46564</v>
      </c>
      <c r="P18" s="6" t="n">
        <v>89833</v>
      </c>
      <c r="Q18" s="9" t="n">
        <f aca="false">P18</f>
        <v>89833</v>
      </c>
      <c r="S18" s="6" t="n">
        <v>76900</v>
      </c>
      <c r="T18" s="9" t="n">
        <f aca="false">S18</f>
        <v>76900</v>
      </c>
      <c r="U18" s="54" t="n">
        <v>97900</v>
      </c>
      <c r="V18" s="9" t="n">
        <f aca="false">U18</f>
        <v>97900</v>
      </c>
      <c r="W18" s="44" t="n">
        <f aca="false">S18/G18</f>
        <v>55.0071530758226</v>
      </c>
      <c r="X18" s="9" t="s">
        <v>57</v>
      </c>
      <c r="Y18" s="40"/>
      <c r="AA18" s="5" t="s">
        <v>40</v>
      </c>
      <c r="AB18" s="4" t="s">
        <v>88</v>
      </c>
      <c r="AE18" s="57"/>
    </row>
    <row r="19" customFormat="false" ht="15" hidden="false" customHeight="false" outlineLevel="0" collapsed="false">
      <c r="A19" s="11" t="s">
        <v>44</v>
      </c>
      <c r="B19" s="11" t="s">
        <v>35</v>
      </c>
      <c r="C19" s="28" t="n">
        <v>550920</v>
      </c>
      <c r="D19" s="4" t="s">
        <v>80</v>
      </c>
      <c r="E19" s="4" t="s">
        <v>89</v>
      </c>
      <c r="F19" s="5" t="s">
        <v>86</v>
      </c>
      <c r="G19" s="6" t="n">
        <v>1110</v>
      </c>
      <c r="H19" s="9" t="n">
        <f aca="false">G19</f>
        <v>1110</v>
      </c>
      <c r="I19" s="9" t="n">
        <v>1000</v>
      </c>
      <c r="J19" s="4" t="s">
        <v>63</v>
      </c>
      <c r="K19" s="8"/>
      <c r="M19" s="8" t="n">
        <v>43273</v>
      </c>
      <c r="P19" s="6" t="n">
        <v>0</v>
      </c>
      <c r="Q19" s="9" t="n">
        <f aca="false">P19</f>
        <v>0</v>
      </c>
      <c r="S19" s="6" t="n">
        <v>61100</v>
      </c>
      <c r="T19" s="9" t="n">
        <f aca="false">S19</f>
        <v>61100</v>
      </c>
      <c r="U19" s="54" t="n">
        <v>69400</v>
      </c>
      <c r="V19" s="9" t="n">
        <f aca="false">U19</f>
        <v>69400</v>
      </c>
      <c r="W19" s="44" t="n">
        <f aca="false">S19/G19</f>
        <v>55.045045045045</v>
      </c>
      <c r="X19" s="9" t="s">
        <v>39</v>
      </c>
      <c r="Y19" s="40"/>
      <c r="AA19" s="5" t="s">
        <v>40</v>
      </c>
      <c r="AB19" s="4" t="s">
        <v>64</v>
      </c>
      <c r="AC19" s="15" t="n">
        <v>63.5</v>
      </c>
      <c r="AE19" s="57" t="n">
        <v>1</v>
      </c>
    </row>
    <row r="20" customFormat="false" ht="15" hidden="false" customHeight="false" outlineLevel="0" collapsed="false">
      <c r="A20" s="11" t="s">
        <v>44</v>
      </c>
      <c r="B20" s="11" t="s">
        <v>35</v>
      </c>
      <c r="C20" s="28" t="n">
        <v>550920</v>
      </c>
      <c r="D20" s="4" t="s">
        <v>80</v>
      </c>
      <c r="E20" s="4" t="s">
        <v>90</v>
      </c>
      <c r="F20" s="5" t="s">
        <v>86</v>
      </c>
      <c r="G20" s="6" t="n">
        <v>481</v>
      </c>
      <c r="H20" s="9" t="n">
        <f aca="false">G20</f>
        <v>481</v>
      </c>
      <c r="I20" s="9" t="n">
        <v>500</v>
      </c>
      <c r="J20" s="4" t="s">
        <v>91</v>
      </c>
      <c r="K20" s="8" t="n">
        <v>45541</v>
      </c>
      <c r="L20" s="8" t="n">
        <v>47366</v>
      </c>
      <c r="O20" s="8" t="n">
        <v>46635</v>
      </c>
      <c r="P20" s="6" t="n">
        <v>26000</v>
      </c>
      <c r="Q20" s="9" t="n">
        <f aca="false">P20</f>
        <v>26000</v>
      </c>
      <c r="S20" s="6" t="n">
        <v>25300</v>
      </c>
      <c r="T20" s="9" t="n">
        <f aca="false">S20</f>
        <v>25300</v>
      </c>
      <c r="U20" s="54" t="n">
        <v>26000</v>
      </c>
      <c r="V20" s="9" t="n">
        <f aca="false">U20</f>
        <v>26000</v>
      </c>
      <c r="W20" s="44" t="n">
        <f aca="false">S20/G20</f>
        <v>52.5987525987526</v>
      </c>
      <c r="X20" s="9" t="s">
        <v>57</v>
      </c>
      <c r="Y20" s="40"/>
      <c r="AA20" s="5" t="s">
        <v>40</v>
      </c>
      <c r="AB20" s="4" t="s">
        <v>73</v>
      </c>
      <c r="AD20" s="58"/>
      <c r="AE20" s="59"/>
      <c r="AF20" s="58"/>
    </row>
    <row r="21" customFormat="false" ht="15" hidden="false" customHeight="false" outlineLevel="0" collapsed="false">
      <c r="A21" s="11" t="s">
        <v>44</v>
      </c>
      <c r="B21" s="11" t="s">
        <v>35</v>
      </c>
      <c r="C21" s="28" t="n">
        <v>550930</v>
      </c>
      <c r="D21" s="4" t="s">
        <v>92</v>
      </c>
      <c r="E21" s="4" t="s">
        <v>81</v>
      </c>
      <c r="F21" s="5" t="s">
        <v>93</v>
      </c>
      <c r="G21" s="6" t="n">
        <v>3668</v>
      </c>
      <c r="H21" s="9" t="n">
        <f aca="false">G21</f>
        <v>3668</v>
      </c>
      <c r="I21" s="9" t="n">
        <v>3500</v>
      </c>
      <c r="J21" s="4" t="s">
        <v>94</v>
      </c>
      <c r="K21" s="8" t="n">
        <v>44757</v>
      </c>
      <c r="L21" s="8" t="n">
        <v>48409</v>
      </c>
      <c r="N21" s="8" t="n">
        <v>46583</v>
      </c>
      <c r="P21" s="6" t="n">
        <v>170000</v>
      </c>
      <c r="Q21" s="9" t="n">
        <f aca="false">P21</f>
        <v>170000</v>
      </c>
      <c r="S21" s="6" t="n">
        <v>170000</v>
      </c>
      <c r="T21" s="9" t="n">
        <f aca="false">S21</f>
        <v>170000</v>
      </c>
      <c r="U21" s="54" t="n">
        <v>180000</v>
      </c>
      <c r="V21" s="9" t="n">
        <f aca="false">U21</f>
        <v>180000</v>
      </c>
      <c r="W21" s="44" t="n">
        <f aca="false">S21/G21</f>
        <v>46.3467829880044</v>
      </c>
      <c r="X21" s="9" t="s">
        <v>52</v>
      </c>
      <c r="Y21" s="40"/>
      <c r="AA21" s="5" t="s">
        <v>40</v>
      </c>
      <c r="AE21" s="57"/>
    </row>
    <row r="22" customFormat="false" ht="15" hidden="false" customHeight="false" outlineLevel="0" collapsed="false">
      <c r="A22" s="11" t="s">
        <v>44</v>
      </c>
      <c r="B22" s="11" t="s">
        <v>35</v>
      </c>
      <c r="C22" s="28" t="n">
        <v>550930</v>
      </c>
      <c r="D22" s="4" t="s">
        <v>92</v>
      </c>
      <c r="E22" s="4" t="s">
        <v>85</v>
      </c>
      <c r="F22" s="5" t="s">
        <v>86</v>
      </c>
      <c r="G22" s="6" t="n">
        <v>1418</v>
      </c>
      <c r="H22" s="9" t="n">
        <f aca="false">G22</f>
        <v>1418</v>
      </c>
      <c r="I22" s="9" t="n">
        <v>1500</v>
      </c>
      <c r="J22" s="4" t="s">
        <v>95</v>
      </c>
      <c r="K22" s="8" t="n">
        <v>45231</v>
      </c>
      <c r="L22" s="8" t="n">
        <v>46326</v>
      </c>
      <c r="P22" s="6" t="n">
        <v>174500</v>
      </c>
      <c r="Q22" s="9" t="n">
        <f aca="false">P22</f>
        <v>174500</v>
      </c>
      <c r="S22" s="6" t="n">
        <v>78000</v>
      </c>
      <c r="T22" s="9" t="n">
        <f aca="false">S22</f>
        <v>78000</v>
      </c>
      <c r="U22" s="54" t="n">
        <v>99300</v>
      </c>
      <c r="V22" s="9" t="n">
        <f aca="false">U22</f>
        <v>99300</v>
      </c>
      <c r="W22" s="44" t="n">
        <f aca="false">S22/G22</f>
        <v>55.0070521861777</v>
      </c>
      <c r="X22" s="9" t="s">
        <v>52</v>
      </c>
      <c r="Y22" s="40"/>
      <c r="AA22" s="5" t="s">
        <v>40</v>
      </c>
      <c r="AB22" s="4" t="s">
        <v>96</v>
      </c>
      <c r="AE22" s="57"/>
    </row>
    <row r="23" customFormat="false" ht="15" hidden="false" customHeight="false" outlineLevel="0" collapsed="false">
      <c r="A23" s="11" t="s">
        <v>44</v>
      </c>
      <c r="B23" s="11" t="s">
        <v>35</v>
      </c>
      <c r="C23" s="28" t="n">
        <v>550930</v>
      </c>
      <c r="D23" s="4" t="s">
        <v>92</v>
      </c>
      <c r="E23" s="4" t="s">
        <v>89</v>
      </c>
      <c r="F23" s="5" t="s">
        <v>86</v>
      </c>
      <c r="G23" s="6" t="n">
        <v>716</v>
      </c>
      <c r="H23" s="9" t="n">
        <f aca="false">G23</f>
        <v>716</v>
      </c>
      <c r="I23" s="9" t="n">
        <v>750</v>
      </c>
      <c r="J23" s="4" t="s">
        <v>97</v>
      </c>
      <c r="K23" s="8" t="n">
        <v>44384</v>
      </c>
      <c r="L23" s="8" t="n">
        <v>46209</v>
      </c>
      <c r="P23" s="6" t="n">
        <v>41000</v>
      </c>
      <c r="Q23" s="9" t="n">
        <f aca="false">P23</f>
        <v>41000</v>
      </c>
      <c r="S23" s="6" t="n">
        <v>39400</v>
      </c>
      <c r="T23" s="9" t="n">
        <f aca="false">S23</f>
        <v>39400</v>
      </c>
      <c r="U23" s="54" t="n">
        <v>45100</v>
      </c>
      <c r="V23" s="9" t="n">
        <f aca="false">U23</f>
        <v>45100</v>
      </c>
      <c r="W23" s="44" t="n">
        <f aca="false">S23/G23</f>
        <v>55.0279329608939</v>
      </c>
      <c r="X23" s="9" t="s">
        <v>52</v>
      </c>
      <c r="Y23" s="40"/>
      <c r="AA23" s="5" t="s">
        <v>40</v>
      </c>
      <c r="AE23" s="57"/>
    </row>
    <row r="24" customFormat="false" ht="19.4" hidden="false" customHeight="false" outlineLevel="0" collapsed="false">
      <c r="A24" s="11" t="s">
        <v>44</v>
      </c>
      <c r="B24" s="11" t="s">
        <v>35</v>
      </c>
      <c r="C24" s="28" t="n">
        <v>550930</v>
      </c>
      <c r="D24" s="4" t="s">
        <v>92</v>
      </c>
      <c r="E24" s="4" t="s">
        <v>90</v>
      </c>
      <c r="F24" s="5" t="s">
        <v>86</v>
      </c>
      <c r="G24" s="6" t="n">
        <v>665</v>
      </c>
      <c r="H24" s="9" t="n">
        <f aca="false">G24</f>
        <v>665</v>
      </c>
      <c r="I24" s="9" t="n">
        <v>750</v>
      </c>
      <c r="J24" s="4" t="s">
        <v>98</v>
      </c>
      <c r="K24" s="8" t="n">
        <v>45617</v>
      </c>
      <c r="L24" s="8" t="n">
        <v>47442</v>
      </c>
      <c r="O24" s="8" t="n">
        <v>46527</v>
      </c>
      <c r="P24" s="6" t="n">
        <v>41875</v>
      </c>
      <c r="Q24" s="9" t="n">
        <f aca="false">P24</f>
        <v>41875</v>
      </c>
      <c r="S24" s="6" t="n">
        <v>36600</v>
      </c>
      <c r="T24" s="9" t="n">
        <f aca="false">S24</f>
        <v>36600</v>
      </c>
      <c r="U24" s="54" t="n">
        <v>41900</v>
      </c>
      <c r="V24" s="9" t="n">
        <f aca="false">U24</f>
        <v>41900</v>
      </c>
      <c r="W24" s="44" t="n">
        <f aca="false">S24/G24</f>
        <v>55.0375939849624</v>
      </c>
      <c r="X24" s="9" t="s">
        <v>52</v>
      </c>
      <c r="Y24" s="40"/>
      <c r="AA24" s="5" t="s">
        <v>40</v>
      </c>
      <c r="AB24" s="4" t="s">
        <v>99</v>
      </c>
      <c r="AC24" s="56"/>
      <c r="AE24" s="57"/>
    </row>
    <row r="25" customFormat="false" ht="37.3" hidden="false" customHeight="false" outlineLevel="0" collapsed="false">
      <c r="A25" s="11" t="s">
        <v>102</v>
      </c>
      <c r="B25" s="11" t="s">
        <v>35</v>
      </c>
      <c r="C25" s="28" t="n">
        <v>550560</v>
      </c>
      <c r="D25" s="4" t="s">
        <v>101</v>
      </c>
      <c r="E25" s="4" t="s">
        <v>103</v>
      </c>
      <c r="F25" s="5" t="s">
        <v>37</v>
      </c>
      <c r="G25" s="41" t="n">
        <v>12578</v>
      </c>
      <c r="H25" s="9" t="n">
        <f aca="false">G25</f>
        <v>12578</v>
      </c>
      <c r="I25" s="9" t="n">
        <v>12500</v>
      </c>
      <c r="J25" s="4" t="s">
        <v>104</v>
      </c>
      <c r="K25" s="7" t="n">
        <v>44771</v>
      </c>
      <c r="L25" s="8" t="n">
        <v>50249</v>
      </c>
      <c r="N25" s="8" t="n">
        <v>46597</v>
      </c>
      <c r="O25" s="8" t="n">
        <v>48423</v>
      </c>
      <c r="P25" s="42" t="n">
        <v>633334</v>
      </c>
      <c r="Q25" s="9" t="n">
        <f aca="false">P25</f>
        <v>633334</v>
      </c>
      <c r="R25" s="42" t="n">
        <f aca="false">Q25</f>
        <v>633334</v>
      </c>
      <c r="S25" s="42" t="n">
        <v>950000</v>
      </c>
      <c r="T25" s="9" t="n">
        <f aca="false">S25</f>
        <v>950000</v>
      </c>
      <c r="U25" s="43" t="n">
        <v>976900</v>
      </c>
      <c r="V25" s="9" t="n">
        <f aca="false">U25</f>
        <v>976900</v>
      </c>
      <c r="W25" s="44" t="n">
        <f aca="false">S25/G25</f>
        <v>75.5287009063444</v>
      </c>
      <c r="X25" s="9" t="s">
        <v>39</v>
      </c>
      <c r="Y25" s="40"/>
      <c r="Z25" s="60" t="n">
        <v>17750000</v>
      </c>
      <c r="AA25" s="5" t="s">
        <v>40</v>
      </c>
      <c r="AB25" s="4" t="s">
        <v>105</v>
      </c>
      <c r="AE25" s="57"/>
    </row>
    <row r="26" customFormat="false" ht="15" hidden="false" customHeight="false" outlineLevel="0" collapsed="false">
      <c r="A26" s="11" t="s">
        <v>44</v>
      </c>
      <c r="B26" s="11" t="s">
        <v>35</v>
      </c>
      <c r="C26" s="28" t="n">
        <v>550070</v>
      </c>
      <c r="D26" s="4" t="s">
        <v>107</v>
      </c>
      <c r="E26" s="4" t="s">
        <v>108</v>
      </c>
      <c r="F26" s="5" t="s">
        <v>109</v>
      </c>
      <c r="G26" s="6" t="n">
        <v>2235</v>
      </c>
      <c r="H26" s="9" t="n">
        <f aca="false">G26</f>
        <v>2235</v>
      </c>
      <c r="I26" s="9" t="n">
        <v>2000</v>
      </c>
      <c r="J26" s="4" t="s">
        <v>63</v>
      </c>
      <c r="M26" s="8" t="n">
        <v>45754</v>
      </c>
      <c r="P26" s="9" t="n">
        <v>0</v>
      </c>
      <c r="Q26" s="9" t="n">
        <f aca="false">P26</f>
        <v>0</v>
      </c>
      <c r="S26" s="9" t="n">
        <v>143000</v>
      </c>
      <c r="T26" s="9" t="n">
        <f aca="false">S26</f>
        <v>143000</v>
      </c>
      <c r="U26" s="63" t="n">
        <v>136300</v>
      </c>
      <c r="V26" s="9" t="n">
        <f aca="false">U26</f>
        <v>136300</v>
      </c>
      <c r="W26" s="44" t="n">
        <f aca="false">S26/G26</f>
        <v>63.9821029082774</v>
      </c>
      <c r="X26" s="9" t="s">
        <v>57</v>
      </c>
      <c r="Y26" s="40"/>
      <c r="AA26" s="5" t="s">
        <v>40</v>
      </c>
      <c r="AE26" s="57"/>
    </row>
    <row r="27" customFormat="false" ht="15" hidden="false" customHeight="false" outlineLevel="0" collapsed="false">
      <c r="A27" s="11" t="s">
        <v>44</v>
      </c>
      <c r="B27" s="11" t="s">
        <v>35</v>
      </c>
      <c r="C27" s="28" t="n">
        <v>550070</v>
      </c>
      <c r="D27" s="4" t="s">
        <v>107</v>
      </c>
      <c r="E27" s="4" t="s">
        <v>85</v>
      </c>
      <c r="F27" s="5" t="s">
        <v>37</v>
      </c>
      <c r="G27" s="6" t="n">
        <v>694</v>
      </c>
      <c r="H27" s="9" t="n">
        <f aca="false">G27</f>
        <v>694</v>
      </c>
      <c r="I27" s="9" t="n">
        <v>750</v>
      </c>
      <c r="J27" s="4" t="s">
        <v>110</v>
      </c>
      <c r="K27" s="7" t="n">
        <v>44904</v>
      </c>
      <c r="L27" s="8" t="n">
        <v>45999</v>
      </c>
      <c r="P27" s="9" t="n">
        <v>42000</v>
      </c>
      <c r="Q27" s="9" t="n">
        <f aca="false">P27</f>
        <v>42000</v>
      </c>
      <c r="S27" s="9" t="n">
        <v>42000</v>
      </c>
      <c r="T27" s="9" t="n">
        <f aca="false">S27</f>
        <v>42000</v>
      </c>
      <c r="U27" s="63" t="n">
        <v>42000</v>
      </c>
      <c r="V27" s="9" t="n">
        <f aca="false">U27</f>
        <v>42000</v>
      </c>
      <c r="W27" s="44" t="n">
        <f aca="false">S27/G27</f>
        <v>60.5187319884726</v>
      </c>
      <c r="X27" s="9" t="s">
        <v>57</v>
      </c>
      <c r="Y27" s="40"/>
      <c r="AA27" s="5" t="s">
        <v>40</v>
      </c>
      <c r="AE27" s="57"/>
    </row>
    <row r="28" customFormat="false" ht="15" hidden="false" customHeight="false" outlineLevel="0" collapsed="false">
      <c r="A28" s="11" t="s">
        <v>44</v>
      </c>
      <c r="B28" s="11" t="s">
        <v>35</v>
      </c>
      <c r="C28" s="28" t="n">
        <v>550070</v>
      </c>
      <c r="D28" s="4" t="s">
        <v>107</v>
      </c>
      <c r="E28" s="4" t="s">
        <v>89</v>
      </c>
      <c r="F28" s="5" t="s">
        <v>37</v>
      </c>
      <c r="G28" s="6" t="n">
        <v>690</v>
      </c>
      <c r="H28" s="9" t="n">
        <f aca="false">G28</f>
        <v>690</v>
      </c>
      <c r="I28" s="9" t="n">
        <v>750</v>
      </c>
      <c r="J28" s="4" t="s">
        <v>111</v>
      </c>
      <c r="K28" s="7" t="n">
        <v>45412</v>
      </c>
      <c r="L28" s="8" t="n">
        <v>47237</v>
      </c>
      <c r="O28" s="8" t="n">
        <v>46326</v>
      </c>
      <c r="P28" s="9" t="n">
        <v>40020</v>
      </c>
      <c r="Q28" s="9" t="n">
        <f aca="false">P28</f>
        <v>40020</v>
      </c>
      <c r="S28" s="9" t="n">
        <v>39700</v>
      </c>
      <c r="T28" s="9" t="n">
        <f aca="false">S28</f>
        <v>39700</v>
      </c>
      <c r="U28" s="63" t="n">
        <v>40000</v>
      </c>
      <c r="V28" s="9" t="n">
        <f aca="false">U28</f>
        <v>40000</v>
      </c>
      <c r="W28" s="44" t="n">
        <f aca="false">S28/G28</f>
        <v>57.536231884058</v>
      </c>
      <c r="X28" s="9" t="s">
        <v>57</v>
      </c>
      <c r="Y28" s="40"/>
      <c r="AA28" s="5" t="s">
        <v>40</v>
      </c>
      <c r="AB28" s="4" t="s">
        <v>73</v>
      </c>
      <c r="AE28" s="57"/>
    </row>
    <row r="29" customFormat="false" ht="15" hidden="false" customHeight="false" outlineLevel="0" collapsed="false">
      <c r="A29" s="11" t="s">
        <v>44</v>
      </c>
      <c r="B29" s="11" t="s">
        <v>35</v>
      </c>
      <c r="C29" s="28" t="n">
        <v>550070</v>
      </c>
      <c r="D29" s="4" t="s">
        <v>107</v>
      </c>
      <c r="E29" s="4" t="s">
        <v>90</v>
      </c>
      <c r="F29" s="5" t="s">
        <v>37</v>
      </c>
      <c r="G29" s="6" t="n">
        <v>620</v>
      </c>
      <c r="H29" s="9" t="n">
        <f aca="false">G29</f>
        <v>620</v>
      </c>
      <c r="I29" s="9" t="n">
        <v>750</v>
      </c>
      <c r="J29" s="4" t="s">
        <v>112</v>
      </c>
      <c r="K29" s="7" t="n">
        <v>44816</v>
      </c>
      <c r="L29" s="8" t="n">
        <v>45911</v>
      </c>
      <c r="P29" s="9" t="n">
        <v>33480</v>
      </c>
      <c r="Q29" s="9" t="n">
        <f aca="false">P29</f>
        <v>33480</v>
      </c>
      <c r="S29" s="9" t="n">
        <v>34100</v>
      </c>
      <c r="T29" s="9" t="n">
        <f aca="false">S29</f>
        <v>34100</v>
      </c>
      <c r="U29" s="63" t="n">
        <v>33500</v>
      </c>
      <c r="V29" s="9" t="n">
        <f aca="false">U29</f>
        <v>33500</v>
      </c>
      <c r="W29" s="44" t="n">
        <f aca="false">S29/G29</f>
        <v>55</v>
      </c>
      <c r="X29" s="9" t="s">
        <v>57</v>
      </c>
      <c r="Y29" s="40"/>
      <c r="AA29" s="5" t="s">
        <v>40</v>
      </c>
      <c r="AB29" s="58" t="s">
        <v>113</v>
      </c>
      <c r="AE29" s="57"/>
    </row>
    <row r="30" customFormat="false" ht="15" hidden="false" customHeight="false" outlineLevel="0" collapsed="false">
      <c r="A30" s="11" t="s">
        <v>44</v>
      </c>
      <c r="B30" s="11" t="s">
        <v>35</v>
      </c>
      <c r="C30" s="28" t="n">
        <v>550070</v>
      </c>
      <c r="D30" s="4" t="s">
        <v>107</v>
      </c>
      <c r="E30" s="4" t="s">
        <v>114</v>
      </c>
      <c r="F30" s="5" t="s">
        <v>37</v>
      </c>
      <c r="G30" s="6" t="n">
        <v>400</v>
      </c>
      <c r="H30" s="9" t="n">
        <f aca="false">G30</f>
        <v>400</v>
      </c>
      <c r="I30" s="9" t="n">
        <v>500</v>
      </c>
      <c r="J30" s="4" t="s">
        <v>63</v>
      </c>
      <c r="M30" s="8" t="n">
        <v>44168</v>
      </c>
      <c r="P30" s="9" t="n">
        <v>0</v>
      </c>
      <c r="Q30" s="9" t="n">
        <f aca="false">P30</f>
        <v>0</v>
      </c>
      <c r="S30" s="9" t="n">
        <v>21600</v>
      </c>
      <c r="T30" s="9" t="n">
        <f aca="false">S30</f>
        <v>21600</v>
      </c>
      <c r="U30" s="63" t="n">
        <v>22000</v>
      </c>
      <c r="V30" s="9" t="n">
        <f aca="false">U30</f>
        <v>22000</v>
      </c>
      <c r="W30" s="44" t="n">
        <f aca="false">S30/G30</f>
        <v>54</v>
      </c>
      <c r="X30" s="9" t="s">
        <v>57</v>
      </c>
      <c r="Y30" s="40"/>
      <c r="AA30" s="5" t="s">
        <v>40</v>
      </c>
      <c r="AB30" s="4" t="s">
        <v>115</v>
      </c>
      <c r="AE30" s="57"/>
    </row>
    <row r="31" customFormat="false" ht="15" hidden="false" customHeight="false" outlineLevel="0" collapsed="false">
      <c r="A31" s="11" t="s">
        <v>44</v>
      </c>
      <c r="B31" s="11" t="s">
        <v>35</v>
      </c>
      <c r="C31" s="28" t="n">
        <v>550070</v>
      </c>
      <c r="D31" s="4" t="s">
        <v>107</v>
      </c>
      <c r="E31" s="4" t="s">
        <v>116</v>
      </c>
      <c r="F31" s="5" t="s">
        <v>117</v>
      </c>
      <c r="G31" s="6" t="n">
        <v>0</v>
      </c>
      <c r="H31" s="9" t="n">
        <f aca="false">G31</f>
        <v>0</v>
      </c>
      <c r="I31" s="9"/>
      <c r="J31" s="4" t="s">
        <v>77</v>
      </c>
      <c r="M31" s="8" t="s">
        <v>78</v>
      </c>
      <c r="P31" s="9" t="n">
        <v>0</v>
      </c>
      <c r="Q31" s="42" t="n">
        <f aca="false">P31</f>
        <v>0</v>
      </c>
      <c r="R31" s="42"/>
      <c r="S31" s="9" t="n">
        <v>0</v>
      </c>
      <c r="T31" s="42" t="n">
        <f aca="false">S31</f>
        <v>0</v>
      </c>
      <c r="U31" s="63" t="n">
        <v>0</v>
      </c>
      <c r="V31" s="42" t="n">
        <f aca="false">U31</f>
        <v>0</v>
      </c>
      <c r="W31" s="42"/>
      <c r="X31" s="42"/>
      <c r="Y31" s="64"/>
      <c r="AA31" s="5" t="s">
        <v>40</v>
      </c>
      <c r="AE31" s="57"/>
    </row>
    <row r="32" customFormat="false" ht="28.35" hidden="false" customHeight="false" outlineLevel="0" collapsed="false">
      <c r="A32" s="11" t="s">
        <v>44</v>
      </c>
      <c r="B32" s="11" t="s">
        <v>35</v>
      </c>
      <c r="C32" s="28" t="n">
        <v>550470</v>
      </c>
      <c r="D32" s="4" t="s">
        <v>119</v>
      </c>
      <c r="E32" s="4" t="s">
        <v>120</v>
      </c>
      <c r="F32" s="5" t="s">
        <v>121</v>
      </c>
      <c r="G32" s="6" t="n">
        <v>2945</v>
      </c>
      <c r="H32" s="6" t="n">
        <f aca="false">G32</f>
        <v>2945</v>
      </c>
      <c r="I32" s="6" t="n">
        <v>3000</v>
      </c>
      <c r="J32" s="4" t="s">
        <v>122</v>
      </c>
      <c r="K32" s="7" t="n">
        <v>41457</v>
      </c>
      <c r="L32" s="8" t="n">
        <v>46935</v>
      </c>
      <c r="P32" s="9" t="n">
        <v>147500</v>
      </c>
      <c r="Q32" s="9" t="n">
        <f aca="false">P32</f>
        <v>147500</v>
      </c>
      <c r="S32" s="9" t="n">
        <v>147500</v>
      </c>
      <c r="T32" s="9" t="n">
        <f aca="false">S32</f>
        <v>147500</v>
      </c>
      <c r="U32" s="63" t="n">
        <v>147500</v>
      </c>
      <c r="V32" s="9" t="n">
        <f aca="false">U32</f>
        <v>147500</v>
      </c>
      <c r="W32" s="44" t="n">
        <f aca="false">S32/G32</f>
        <v>50.0848896434635</v>
      </c>
      <c r="X32" s="9" t="s">
        <v>123</v>
      </c>
      <c r="Y32" s="40"/>
      <c r="AA32" s="5" t="s">
        <v>40</v>
      </c>
      <c r="AB32" s="4" t="s">
        <v>124</v>
      </c>
      <c r="AE32" s="57"/>
    </row>
    <row r="33" customFormat="false" ht="15" hidden="false" customHeight="false" outlineLevel="0" collapsed="false">
      <c r="A33" s="11" t="s">
        <v>44</v>
      </c>
      <c r="B33" s="11" t="s">
        <v>35</v>
      </c>
      <c r="C33" s="28" t="n">
        <v>550470</v>
      </c>
      <c r="D33" s="4" t="s">
        <v>119</v>
      </c>
      <c r="E33" s="4" t="s">
        <v>125</v>
      </c>
      <c r="F33" s="5" t="s">
        <v>126</v>
      </c>
      <c r="G33" s="6" t="n">
        <v>2103</v>
      </c>
      <c r="H33" s="6" t="n">
        <f aca="false">G33</f>
        <v>2103</v>
      </c>
      <c r="I33" s="6" t="n">
        <v>2000</v>
      </c>
      <c r="J33" s="4" t="s">
        <v>127</v>
      </c>
      <c r="K33" s="7" t="n">
        <v>45669</v>
      </c>
      <c r="L33" s="8" t="n">
        <v>51146</v>
      </c>
      <c r="N33" s="8" t="n">
        <v>47495</v>
      </c>
      <c r="O33" s="8" t="n">
        <v>49320</v>
      </c>
      <c r="P33" s="9" t="n">
        <v>220000</v>
      </c>
      <c r="Q33" s="9" t="n">
        <f aca="false">P33</f>
        <v>220000</v>
      </c>
      <c r="S33" s="9" t="n">
        <v>176200</v>
      </c>
      <c r="T33" s="9" t="n">
        <f aca="false">S33</f>
        <v>176200</v>
      </c>
      <c r="U33" s="63" t="n">
        <v>220000</v>
      </c>
      <c r="V33" s="9" t="n">
        <f aca="false">U33</f>
        <v>220000</v>
      </c>
      <c r="W33" s="44" t="n">
        <f aca="false">S33/G33</f>
        <v>83.7850689491203</v>
      </c>
      <c r="X33" s="9" t="s">
        <v>52</v>
      </c>
      <c r="Y33" s="40"/>
      <c r="AA33" s="5" t="s">
        <v>40</v>
      </c>
      <c r="AB33" s="4" t="s">
        <v>128</v>
      </c>
      <c r="AE33" s="57"/>
    </row>
    <row r="34" customFormat="false" ht="55.2" hidden="false" customHeight="false" outlineLevel="0" collapsed="false">
      <c r="A34" s="11" t="s">
        <v>44</v>
      </c>
      <c r="B34" s="11" t="s">
        <v>35</v>
      </c>
      <c r="C34" s="28" t="n">
        <v>550470</v>
      </c>
      <c r="D34" s="4" t="s">
        <v>119</v>
      </c>
      <c r="E34" s="4" t="s">
        <v>129</v>
      </c>
      <c r="F34" s="5" t="s">
        <v>130</v>
      </c>
      <c r="G34" s="6" t="n">
        <v>5667</v>
      </c>
      <c r="H34" s="6" t="n">
        <f aca="false">G34</f>
        <v>5667</v>
      </c>
      <c r="I34" s="6" t="n">
        <v>5500</v>
      </c>
      <c r="J34" s="4" t="s">
        <v>131</v>
      </c>
      <c r="K34" s="7" t="n">
        <v>45567</v>
      </c>
      <c r="L34" s="8" t="n">
        <v>51044</v>
      </c>
      <c r="N34" s="8" t="n">
        <v>47393</v>
      </c>
      <c r="P34" s="9" t="n">
        <v>150000</v>
      </c>
      <c r="Q34" s="9" t="n">
        <f aca="false">P34</f>
        <v>150000</v>
      </c>
      <c r="S34" s="9" t="n">
        <v>255000</v>
      </c>
      <c r="T34" s="9" t="n">
        <f aca="false">S34</f>
        <v>255000</v>
      </c>
      <c r="U34" s="63" t="n">
        <v>330000</v>
      </c>
      <c r="V34" s="9" t="n">
        <f aca="false">U34</f>
        <v>330000</v>
      </c>
      <c r="W34" s="44" t="n">
        <f aca="false">S34/G34</f>
        <v>44.9973530968767</v>
      </c>
      <c r="X34" s="9" t="s">
        <v>52</v>
      </c>
      <c r="Y34" s="40"/>
      <c r="AA34" s="5" t="s">
        <v>40</v>
      </c>
      <c r="AB34" s="4" t="s">
        <v>132</v>
      </c>
      <c r="AE34" s="57"/>
    </row>
    <row r="35" customFormat="false" ht="15" hidden="false" customHeight="false" outlineLevel="0" collapsed="false">
      <c r="A35" s="11" t="s">
        <v>44</v>
      </c>
      <c r="B35" s="11" t="s">
        <v>35</v>
      </c>
      <c r="C35" s="28" t="n">
        <v>550470</v>
      </c>
      <c r="D35" s="4" t="s">
        <v>119</v>
      </c>
      <c r="E35" s="4" t="s">
        <v>133</v>
      </c>
      <c r="F35" s="5" t="s">
        <v>37</v>
      </c>
      <c r="G35" s="6" t="n">
        <v>1784</v>
      </c>
      <c r="H35" s="6" t="n">
        <f aca="false">G35</f>
        <v>1784</v>
      </c>
      <c r="I35" s="6" t="n">
        <v>1750</v>
      </c>
      <c r="J35" s="4" t="s">
        <v>134</v>
      </c>
      <c r="K35" s="7" t="n">
        <v>45457</v>
      </c>
      <c r="L35" s="8" t="n">
        <v>47282</v>
      </c>
      <c r="P35" s="63" t="n">
        <v>121400</v>
      </c>
      <c r="Q35" s="9" t="n">
        <f aca="false">P35</f>
        <v>121400</v>
      </c>
      <c r="S35" s="9" t="n">
        <v>99700</v>
      </c>
      <c r="T35" s="9" t="n">
        <f aca="false">S35</f>
        <v>99700</v>
      </c>
      <c r="U35" s="63" t="n">
        <v>126700</v>
      </c>
      <c r="V35" s="9" t="n">
        <f aca="false">U35</f>
        <v>126700</v>
      </c>
      <c r="W35" s="44" t="n">
        <f aca="false">S35/G35</f>
        <v>55.8856502242153</v>
      </c>
      <c r="X35" s="9" t="s">
        <v>52</v>
      </c>
      <c r="Y35" s="40"/>
      <c r="AA35" s="5" t="s">
        <v>40</v>
      </c>
      <c r="AE35" s="57"/>
    </row>
    <row r="36" customFormat="false" ht="19.4" hidden="false" customHeight="false" outlineLevel="0" collapsed="false">
      <c r="A36" s="11" t="s">
        <v>44</v>
      </c>
      <c r="B36" s="11" t="s">
        <v>35</v>
      </c>
      <c r="C36" s="28" t="n">
        <v>550470</v>
      </c>
      <c r="D36" s="4" t="s">
        <v>119</v>
      </c>
      <c r="E36" s="4" t="s">
        <v>135</v>
      </c>
      <c r="F36" s="5" t="s">
        <v>37</v>
      </c>
      <c r="G36" s="6" t="n">
        <v>2075</v>
      </c>
      <c r="H36" s="6" t="n">
        <f aca="false">G36</f>
        <v>2075</v>
      </c>
      <c r="I36" s="6" t="n">
        <v>2000</v>
      </c>
      <c r="J36" s="4" t="s">
        <v>136</v>
      </c>
      <c r="K36" s="7" t="n">
        <v>45384</v>
      </c>
      <c r="L36" s="8" t="n">
        <v>47209</v>
      </c>
      <c r="O36" s="8" t="n">
        <v>46478</v>
      </c>
      <c r="P36" s="9" t="n">
        <v>133280</v>
      </c>
      <c r="Q36" s="9" t="n">
        <f aca="false">P36</f>
        <v>133280</v>
      </c>
      <c r="S36" s="9" t="n">
        <v>114700</v>
      </c>
      <c r="T36" s="9" t="n">
        <f aca="false">S36</f>
        <v>114700</v>
      </c>
      <c r="U36" s="63" t="n">
        <v>147300</v>
      </c>
      <c r="V36" s="9" t="n">
        <f aca="false">U36</f>
        <v>147300</v>
      </c>
      <c r="W36" s="44" t="n">
        <f aca="false">S36/G36</f>
        <v>55.2771084337349</v>
      </c>
      <c r="X36" s="9" t="s">
        <v>52</v>
      </c>
      <c r="Y36" s="40"/>
      <c r="AA36" s="5" t="s">
        <v>40</v>
      </c>
      <c r="AB36" s="4" t="s">
        <v>137</v>
      </c>
      <c r="AE36" s="57"/>
    </row>
    <row r="37" customFormat="false" ht="15" hidden="false" customHeight="false" outlineLevel="0" collapsed="false">
      <c r="A37" s="11" t="s">
        <v>44</v>
      </c>
      <c r="B37" s="11" t="s">
        <v>35</v>
      </c>
      <c r="C37" s="28" t="n">
        <v>550470</v>
      </c>
      <c r="D37" s="4" t="s">
        <v>119</v>
      </c>
      <c r="E37" s="4" t="s">
        <v>138</v>
      </c>
      <c r="F37" s="5" t="s">
        <v>37</v>
      </c>
      <c r="G37" s="6" t="n">
        <v>2063</v>
      </c>
      <c r="H37" s="6" t="n">
        <f aca="false">G37</f>
        <v>2063</v>
      </c>
      <c r="I37" s="6" t="n">
        <v>2000</v>
      </c>
      <c r="J37" s="4" t="s">
        <v>139</v>
      </c>
      <c r="K37" s="7" t="n">
        <v>45516</v>
      </c>
      <c r="L37" s="8" t="n">
        <v>47341</v>
      </c>
      <c r="O37" s="8" t="n">
        <v>46610</v>
      </c>
      <c r="P37" s="9" t="n">
        <v>146450</v>
      </c>
      <c r="Q37" s="9" t="n">
        <f aca="false">P37</f>
        <v>146450</v>
      </c>
      <c r="S37" s="9" t="n">
        <v>120700</v>
      </c>
      <c r="T37" s="9" t="n">
        <f aca="false">S37</f>
        <v>120700</v>
      </c>
      <c r="U37" s="63" t="n">
        <v>146500</v>
      </c>
      <c r="V37" s="9" t="n">
        <f aca="false">U37</f>
        <v>146500</v>
      </c>
      <c r="W37" s="44" t="n">
        <f aca="false">S37/G37</f>
        <v>58.5070285991275</v>
      </c>
      <c r="X37" s="9" t="s">
        <v>52</v>
      </c>
      <c r="Y37" s="40"/>
      <c r="AA37" s="5" t="s">
        <v>40</v>
      </c>
      <c r="AB37" s="4" t="s">
        <v>73</v>
      </c>
      <c r="AD37" s="58"/>
      <c r="AE37" s="59"/>
      <c r="AF37" s="58"/>
    </row>
    <row r="38" customFormat="false" ht="15" hidden="false" customHeight="false" outlineLevel="0" collapsed="false">
      <c r="A38" s="11" t="s">
        <v>44</v>
      </c>
      <c r="B38" s="11" t="s">
        <v>35</v>
      </c>
      <c r="C38" s="28" t="n">
        <v>550470</v>
      </c>
      <c r="D38" s="4" t="s">
        <v>119</v>
      </c>
      <c r="E38" s="4" t="s">
        <v>140</v>
      </c>
      <c r="F38" s="5" t="s">
        <v>37</v>
      </c>
      <c r="G38" s="6" t="n">
        <v>1796</v>
      </c>
      <c r="H38" s="6" t="n">
        <f aca="false">G38</f>
        <v>1796</v>
      </c>
      <c r="I38" s="6" t="n">
        <v>1750</v>
      </c>
      <c r="J38" s="4" t="s">
        <v>63</v>
      </c>
      <c r="M38" s="8" t="n">
        <v>45051</v>
      </c>
      <c r="P38" s="9" t="n">
        <v>0</v>
      </c>
      <c r="Q38" s="9" t="n">
        <f aca="false">P38</f>
        <v>0</v>
      </c>
      <c r="S38" s="9" t="n">
        <v>87300</v>
      </c>
      <c r="T38" s="9" t="n">
        <f aca="false">S38</f>
        <v>87300</v>
      </c>
      <c r="U38" s="63" t="n">
        <v>127500</v>
      </c>
      <c r="V38" s="9" t="n">
        <f aca="false">U38</f>
        <v>127500</v>
      </c>
      <c r="W38" s="44" t="n">
        <f aca="false">S38/G38</f>
        <v>48.6080178173719</v>
      </c>
      <c r="X38" s="9" t="s">
        <v>52</v>
      </c>
      <c r="Y38" s="40"/>
      <c r="AA38" s="5" t="s">
        <v>40</v>
      </c>
      <c r="AB38" s="4" t="s">
        <v>64</v>
      </c>
      <c r="AC38" s="15" t="n">
        <v>72.5</v>
      </c>
      <c r="AD38" s="4" t="n">
        <v>2</v>
      </c>
      <c r="AE38" s="57" t="n">
        <v>7</v>
      </c>
      <c r="AF38" s="4" t="s">
        <v>141</v>
      </c>
    </row>
    <row r="39" customFormat="false" ht="28.35" hidden="false" customHeight="false" outlineLevel="0" collapsed="false">
      <c r="A39" s="11" t="s">
        <v>44</v>
      </c>
      <c r="B39" s="11" t="s">
        <v>35</v>
      </c>
      <c r="C39" s="28" t="n">
        <v>550470</v>
      </c>
      <c r="D39" s="4" t="s">
        <v>119</v>
      </c>
      <c r="E39" s="4" t="s">
        <v>142</v>
      </c>
      <c r="F39" s="5" t="s">
        <v>37</v>
      </c>
      <c r="G39" s="6" t="n">
        <v>1691</v>
      </c>
      <c r="H39" s="6" t="n">
        <f aca="false">G39</f>
        <v>1691</v>
      </c>
      <c r="I39" s="6" t="n">
        <v>1500</v>
      </c>
      <c r="J39" s="4" t="s">
        <v>143</v>
      </c>
      <c r="K39" s="7" t="n">
        <v>44795</v>
      </c>
      <c r="L39" s="8" t="n">
        <v>46620</v>
      </c>
      <c r="O39" s="8" t="n">
        <v>45890</v>
      </c>
      <c r="P39" s="9" t="n">
        <v>102705</v>
      </c>
      <c r="Q39" s="9" t="n">
        <f aca="false">P39</f>
        <v>102705</v>
      </c>
      <c r="S39" s="9" t="n">
        <v>102705</v>
      </c>
      <c r="T39" s="9" t="n">
        <f aca="false">S39</f>
        <v>102705</v>
      </c>
      <c r="U39" s="63" t="n">
        <v>120100</v>
      </c>
      <c r="V39" s="9" t="n">
        <f aca="false">U39</f>
        <v>120100</v>
      </c>
      <c r="W39" s="44" t="n">
        <f aca="false">S39/G39</f>
        <v>60.7362507392076</v>
      </c>
      <c r="X39" s="9" t="s">
        <v>52</v>
      </c>
      <c r="Y39" s="40"/>
      <c r="AA39" s="5" t="s">
        <v>40</v>
      </c>
      <c r="AB39" s="4" t="s">
        <v>144</v>
      </c>
      <c r="AE39" s="57"/>
    </row>
    <row r="40" customFormat="false" ht="28.35" hidden="false" customHeight="false" outlineLevel="0" collapsed="false">
      <c r="A40" s="11" t="s">
        <v>44</v>
      </c>
      <c r="B40" s="11" t="s">
        <v>35</v>
      </c>
      <c r="C40" s="28" t="n">
        <v>550470</v>
      </c>
      <c r="D40" s="4" t="s">
        <v>119</v>
      </c>
      <c r="E40" s="4" t="s">
        <v>145</v>
      </c>
      <c r="F40" s="5" t="s">
        <v>37</v>
      </c>
      <c r="G40" s="6" t="n">
        <v>2055</v>
      </c>
      <c r="H40" s="6" t="n">
        <f aca="false">G40</f>
        <v>2055</v>
      </c>
      <c r="I40" s="6" t="n">
        <v>2000</v>
      </c>
      <c r="J40" s="4" t="s">
        <v>146</v>
      </c>
      <c r="K40" s="7" t="n">
        <v>45488</v>
      </c>
      <c r="L40" s="8" t="n">
        <v>47313</v>
      </c>
      <c r="O40" s="8" t="n">
        <v>46582</v>
      </c>
      <c r="P40" s="9" t="n">
        <v>181050</v>
      </c>
      <c r="Q40" s="9" t="n">
        <f aca="false">P40</f>
        <v>181050</v>
      </c>
      <c r="S40" s="9" t="n">
        <v>125050</v>
      </c>
      <c r="T40" s="9" t="n">
        <f aca="false">S40</f>
        <v>125050</v>
      </c>
      <c r="U40" s="63" t="n">
        <v>145900</v>
      </c>
      <c r="V40" s="9" t="n">
        <f aca="false">U40</f>
        <v>145900</v>
      </c>
      <c r="W40" s="44" t="n">
        <f aca="false">S40/G40</f>
        <v>60.8515815085158</v>
      </c>
      <c r="X40" s="9" t="s">
        <v>52</v>
      </c>
      <c r="Y40" s="40"/>
      <c r="AA40" s="5" t="s">
        <v>40</v>
      </c>
      <c r="AB40" s="4" t="s">
        <v>147</v>
      </c>
      <c r="AD40" s="58"/>
      <c r="AE40" s="59"/>
      <c r="AF40" s="58"/>
    </row>
    <row r="41" customFormat="false" ht="19.4" hidden="false" customHeight="false" outlineLevel="0" collapsed="false">
      <c r="A41" s="11" t="s">
        <v>44</v>
      </c>
      <c r="B41" s="11" t="s">
        <v>35</v>
      </c>
      <c r="C41" s="28" t="n">
        <v>550470</v>
      </c>
      <c r="D41" s="4" t="s">
        <v>119</v>
      </c>
      <c r="E41" s="4" t="s">
        <v>148</v>
      </c>
      <c r="F41" s="5" t="s">
        <v>37</v>
      </c>
      <c r="G41" s="6" t="n">
        <v>1548</v>
      </c>
      <c r="H41" s="6" t="n">
        <f aca="false">G41</f>
        <v>1548</v>
      </c>
      <c r="I41" s="6" t="n">
        <v>1500</v>
      </c>
      <c r="J41" s="4" t="s">
        <v>149</v>
      </c>
      <c r="K41" s="7" t="n">
        <v>45609</v>
      </c>
      <c r="L41" s="8" t="n">
        <v>47434</v>
      </c>
      <c r="M41" s="8"/>
      <c r="N41" s="8"/>
      <c r="O41" s="8" t="n">
        <v>46703</v>
      </c>
      <c r="P41" s="9" t="n">
        <v>90090</v>
      </c>
      <c r="Q41" s="9" t="n">
        <f aca="false">P41</f>
        <v>90090</v>
      </c>
      <c r="R41" s="9"/>
      <c r="S41" s="9" t="n">
        <v>90100</v>
      </c>
      <c r="T41" s="9" t="n">
        <f aca="false">S41</f>
        <v>90100</v>
      </c>
      <c r="U41" s="63" t="n">
        <v>109900</v>
      </c>
      <c r="V41" s="9" t="n">
        <f aca="false">U41</f>
        <v>109900</v>
      </c>
      <c r="W41" s="44" t="n">
        <f aca="false">S41/G41</f>
        <v>58.2041343669251</v>
      </c>
      <c r="X41" s="9" t="s">
        <v>52</v>
      </c>
      <c r="Y41" s="40"/>
      <c r="Z41" s="356"/>
      <c r="AA41" s="5" t="s">
        <v>40</v>
      </c>
      <c r="AB41" s="4" t="s">
        <v>150</v>
      </c>
      <c r="AC41" s="15"/>
      <c r="AD41" s="4"/>
      <c r="AE41" s="57"/>
      <c r="AF41" s="4"/>
    </row>
    <row r="42" customFormat="false" ht="15" hidden="false" customHeight="false" outlineLevel="0" collapsed="false">
      <c r="A42" s="11" t="s">
        <v>44</v>
      </c>
      <c r="B42" s="11" t="s">
        <v>35</v>
      </c>
      <c r="C42" s="28" t="n">
        <v>550470</v>
      </c>
      <c r="D42" s="4" t="s">
        <v>119</v>
      </c>
      <c r="E42" s="4" t="s">
        <v>151</v>
      </c>
      <c r="F42" s="5" t="s">
        <v>37</v>
      </c>
      <c r="G42" s="6" t="n">
        <v>1957</v>
      </c>
      <c r="H42" s="6" t="n">
        <f aca="false">G42</f>
        <v>1957</v>
      </c>
      <c r="I42" s="6" t="n">
        <v>2000</v>
      </c>
      <c r="J42" s="4" t="s">
        <v>149</v>
      </c>
      <c r="K42" s="7" t="n">
        <v>45609</v>
      </c>
      <c r="L42" s="8" t="n">
        <v>47434</v>
      </c>
      <c r="O42" s="8" t="n">
        <v>46703</v>
      </c>
      <c r="P42" s="9" t="n">
        <v>114253</v>
      </c>
      <c r="Q42" s="9" t="n">
        <f aca="false">P42</f>
        <v>114253</v>
      </c>
      <c r="S42" s="9" t="n">
        <v>115800</v>
      </c>
      <c r="T42" s="9" t="n">
        <f aca="false">S42</f>
        <v>115800</v>
      </c>
      <c r="U42" s="63" t="n">
        <v>138900</v>
      </c>
      <c r="V42" s="9" t="n">
        <f aca="false">U42</f>
        <v>138900</v>
      </c>
      <c r="W42" s="44" t="n">
        <f aca="false">S42/G42</f>
        <v>59.1722023505365</v>
      </c>
      <c r="X42" s="9" t="s">
        <v>52</v>
      </c>
      <c r="Y42" s="40"/>
      <c r="AA42" s="5" t="s">
        <v>40</v>
      </c>
      <c r="AB42" s="4" t="s">
        <v>73</v>
      </c>
      <c r="AC42" s="56"/>
      <c r="AE42" s="57"/>
    </row>
    <row r="43" customFormat="false" ht="15" hidden="false" customHeight="false" outlineLevel="0" collapsed="false">
      <c r="A43" s="11" t="s">
        <v>44</v>
      </c>
      <c r="B43" s="11" t="s">
        <v>35</v>
      </c>
      <c r="C43" s="28" t="n">
        <v>550470</v>
      </c>
      <c r="D43" s="4" t="s">
        <v>119</v>
      </c>
      <c r="E43" s="4" t="s">
        <v>152</v>
      </c>
      <c r="F43" s="5" t="s">
        <v>37</v>
      </c>
      <c r="G43" s="6" t="n">
        <v>1845</v>
      </c>
      <c r="H43" s="6" t="n">
        <f aca="false">G43</f>
        <v>1845</v>
      </c>
      <c r="I43" s="6" t="n">
        <v>2000</v>
      </c>
      <c r="J43" s="4" t="s">
        <v>153</v>
      </c>
      <c r="K43" s="7" t="n">
        <v>45256</v>
      </c>
      <c r="L43" s="8" t="n">
        <v>47082</v>
      </c>
      <c r="O43" s="8" t="n">
        <v>46351</v>
      </c>
      <c r="P43" s="9" t="n">
        <v>115500</v>
      </c>
      <c r="Q43" s="9" t="n">
        <f aca="false">P43</f>
        <v>115500</v>
      </c>
      <c r="S43" s="9" t="n">
        <v>107400</v>
      </c>
      <c r="T43" s="9" t="n">
        <f aca="false">S43</f>
        <v>107400</v>
      </c>
      <c r="U43" s="63" t="n">
        <v>131000</v>
      </c>
      <c r="V43" s="9" t="n">
        <f aca="false">U43</f>
        <v>131000</v>
      </c>
      <c r="W43" s="44" t="n">
        <f aca="false">S43/G43</f>
        <v>58.2113821138211</v>
      </c>
      <c r="X43" s="9" t="s">
        <v>52</v>
      </c>
      <c r="Y43" s="40"/>
      <c r="AA43" s="5" t="s">
        <v>40</v>
      </c>
      <c r="AB43" s="4" t="s">
        <v>73</v>
      </c>
      <c r="AE43" s="57"/>
    </row>
    <row r="44" customFormat="false" ht="19.4" hidden="false" customHeight="false" outlineLevel="0" collapsed="false">
      <c r="A44" s="11" t="s">
        <v>44</v>
      </c>
      <c r="B44" s="11" t="s">
        <v>35</v>
      </c>
      <c r="C44" s="28" t="n">
        <v>550470</v>
      </c>
      <c r="D44" s="4" t="s">
        <v>119</v>
      </c>
      <c r="E44" s="4" t="s">
        <v>154</v>
      </c>
      <c r="F44" s="5" t="s">
        <v>37</v>
      </c>
      <c r="G44" s="6" t="n">
        <v>1528</v>
      </c>
      <c r="H44" s="6" t="n">
        <f aca="false">G44</f>
        <v>1528</v>
      </c>
      <c r="I44" s="6" t="n">
        <v>1500</v>
      </c>
      <c r="J44" s="4" t="s">
        <v>155</v>
      </c>
      <c r="K44" s="7" t="n">
        <v>45622</v>
      </c>
      <c r="L44" s="8" t="n">
        <v>47447</v>
      </c>
      <c r="O44" s="8" t="n">
        <v>46716</v>
      </c>
      <c r="P44" s="9" t="n">
        <v>54340</v>
      </c>
      <c r="Q44" s="9" t="n">
        <f aca="false">P44</f>
        <v>54340</v>
      </c>
      <c r="S44" s="9" t="n">
        <v>76600</v>
      </c>
      <c r="T44" s="9" t="n">
        <f aca="false">S44</f>
        <v>76600</v>
      </c>
      <c r="U44" s="63" t="n">
        <v>108500</v>
      </c>
      <c r="V44" s="9" t="n">
        <f aca="false">U44</f>
        <v>108500</v>
      </c>
      <c r="W44" s="44" t="n">
        <f aca="false">S44/G44</f>
        <v>50.130890052356</v>
      </c>
      <c r="X44" s="9" t="s">
        <v>52</v>
      </c>
      <c r="Y44" s="40"/>
      <c r="AA44" s="5" t="s">
        <v>40</v>
      </c>
      <c r="AB44" s="4" t="s">
        <v>156</v>
      </c>
      <c r="AC44" s="56"/>
      <c r="AE44" s="57" t="n">
        <v>1</v>
      </c>
      <c r="AF44" s="4" t="s">
        <v>141</v>
      </c>
    </row>
    <row r="45" customFormat="false" ht="15" hidden="false" customHeight="false" outlineLevel="0" collapsed="false">
      <c r="A45" s="11" t="s">
        <v>44</v>
      </c>
      <c r="B45" s="11" t="s">
        <v>35</v>
      </c>
      <c r="C45" s="28" t="n">
        <v>550470</v>
      </c>
      <c r="D45" s="4" t="s">
        <v>119</v>
      </c>
      <c r="E45" s="68" t="s">
        <v>157</v>
      </c>
      <c r="F45" s="5" t="s">
        <v>37</v>
      </c>
      <c r="G45" s="6" t="n">
        <v>1253</v>
      </c>
      <c r="H45" s="6" t="n">
        <f aca="false">G45</f>
        <v>1253</v>
      </c>
      <c r="I45" s="6" t="n">
        <v>1250</v>
      </c>
      <c r="J45" s="4" t="s">
        <v>158</v>
      </c>
      <c r="K45" s="7" t="n">
        <v>45617</v>
      </c>
      <c r="L45" s="8" t="n">
        <v>47442</v>
      </c>
      <c r="P45" s="9" t="n">
        <v>66700</v>
      </c>
      <c r="Q45" s="9" t="n">
        <f aca="false">P45</f>
        <v>66700</v>
      </c>
      <c r="S45" s="9" t="n">
        <v>66700</v>
      </c>
      <c r="T45" s="9" t="n">
        <f aca="false">S45</f>
        <v>66700</v>
      </c>
      <c r="U45" s="63" t="n">
        <v>78300</v>
      </c>
      <c r="V45" s="9" t="n">
        <f aca="false">U45</f>
        <v>78300</v>
      </c>
      <c r="W45" s="44" t="n">
        <f aca="false">S45/G45</f>
        <v>53.2322426177175</v>
      </c>
      <c r="X45" s="9" t="s">
        <v>57</v>
      </c>
      <c r="Y45" s="40"/>
      <c r="AA45" s="5" t="s">
        <v>40</v>
      </c>
      <c r="AC45" s="56"/>
      <c r="AE45" s="57"/>
    </row>
    <row r="46" customFormat="false" ht="15" hidden="false" customHeight="false" outlineLevel="0" collapsed="false">
      <c r="A46" s="11" t="s">
        <v>44</v>
      </c>
      <c r="B46" s="11" t="s">
        <v>35</v>
      </c>
      <c r="C46" s="28" t="n">
        <v>550470</v>
      </c>
      <c r="D46" s="4" t="s">
        <v>119</v>
      </c>
      <c r="E46" s="4" t="s">
        <v>159</v>
      </c>
      <c r="F46" s="5" t="s">
        <v>37</v>
      </c>
      <c r="G46" s="6" t="n">
        <v>859</v>
      </c>
      <c r="H46" s="6" t="n">
        <f aca="false">G46</f>
        <v>859</v>
      </c>
      <c r="I46" s="6" t="n">
        <v>1000</v>
      </c>
      <c r="J46" s="4" t="s">
        <v>63</v>
      </c>
      <c r="M46" s="8" t="n">
        <v>44609</v>
      </c>
      <c r="P46" s="9" t="n">
        <v>0</v>
      </c>
      <c r="Q46" s="9" t="n">
        <f aca="false">P46</f>
        <v>0</v>
      </c>
      <c r="S46" s="9" t="n">
        <v>65750</v>
      </c>
      <c r="T46" s="9" t="n">
        <f aca="false">S46</f>
        <v>65750</v>
      </c>
      <c r="U46" s="63" t="n">
        <v>53700</v>
      </c>
      <c r="V46" s="9" t="n">
        <f aca="false">U46</f>
        <v>53700</v>
      </c>
      <c r="W46" s="44" t="n">
        <f aca="false">S46/G46</f>
        <v>76.5424912689174</v>
      </c>
      <c r="X46" s="9" t="s">
        <v>57</v>
      </c>
      <c r="Y46" s="40"/>
      <c r="AA46" s="5" t="s">
        <v>40</v>
      </c>
      <c r="AB46" s="4" t="s">
        <v>64</v>
      </c>
      <c r="AC46" s="15" t="n">
        <v>63</v>
      </c>
      <c r="AE46" s="57" t="n">
        <v>1</v>
      </c>
    </row>
    <row r="47" customFormat="false" ht="15" hidden="false" customHeight="false" outlineLevel="0" collapsed="false">
      <c r="A47" s="11" t="s">
        <v>44</v>
      </c>
      <c r="B47" s="11" t="s">
        <v>35</v>
      </c>
      <c r="C47" s="28" t="n">
        <v>550470</v>
      </c>
      <c r="D47" s="4" t="s">
        <v>119</v>
      </c>
      <c r="E47" s="4" t="s">
        <v>160</v>
      </c>
      <c r="F47" s="5" t="s">
        <v>161</v>
      </c>
      <c r="G47" s="6" t="n">
        <v>0</v>
      </c>
      <c r="H47" s="6" t="n">
        <f aca="false">G47</f>
        <v>0</v>
      </c>
      <c r="I47" s="6"/>
      <c r="J47" s="4" t="s">
        <v>77</v>
      </c>
      <c r="K47" s="7"/>
      <c r="L47" s="8"/>
      <c r="M47" s="8" t="s">
        <v>78</v>
      </c>
      <c r="N47" s="8"/>
      <c r="O47" s="8"/>
      <c r="P47" s="9" t="n">
        <v>0</v>
      </c>
      <c r="Q47" s="9" t="n">
        <f aca="false">P47</f>
        <v>0</v>
      </c>
      <c r="R47" s="9"/>
      <c r="S47" s="9" t="n">
        <v>1460</v>
      </c>
      <c r="T47" s="9" t="n">
        <f aca="false">S47</f>
        <v>1460</v>
      </c>
      <c r="U47" s="63" t="n">
        <v>0</v>
      </c>
      <c r="V47" s="9" t="n">
        <f aca="false">U47</f>
        <v>0</v>
      </c>
      <c r="W47" s="9"/>
      <c r="X47" s="9"/>
      <c r="Y47" s="40"/>
      <c r="Z47" s="356"/>
      <c r="AA47" s="5"/>
      <c r="AB47" s="4"/>
      <c r="AC47" s="15"/>
      <c r="AD47" s="4"/>
      <c r="AE47" s="57"/>
      <c r="AF47" s="4"/>
    </row>
    <row r="48" customFormat="false" ht="19.4" hidden="false" customHeight="false" outlineLevel="0" collapsed="false">
      <c r="A48" s="11" t="s">
        <v>44</v>
      </c>
      <c r="B48" s="11" t="s">
        <v>35</v>
      </c>
      <c r="C48" s="28" t="n">
        <v>550470</v>
      </c>
      <c r="D48" s="4" t="s">
        <v>119</v>
      </c>
      <c r="E48" s="4" t="s">
        <v>162</v>
      </c>
      <c r="F48" s="5" t="s">
        <v>163</v>
      </c>
      <c r="G48" s="6" t="n">
        <v>0</v>
      </c>
      <c r="H48" s="6" t="n">
        <f aca="false">G48</f>
        <v>0</v>
      </c>
      <c r="J48" s="4" t="s">
        <v>164</v>
      </c>
      <c r="K48" s="70" t="n">
        <v>35240</v>
      </c>
      <c r="L48" s="71" t="n">
        <v>68735</v>
      </c>
      <c r="M48" s="71"/>
      <c r="P48" s="9" t="n">
        <v>0</v>
      </c>
      <c r="Q48" s="9" t="n">
        <f aca="false">P48</f>
        <v>0</v>
      </c>
      <c r="S48" s="9" t="n">
        <v>0</v>
      </c>
      <c r="T48" s="9" t="n">
        <f aca="false">S48</f>
        <v>0</v>
      </c>
      <c r="U48" s="63" t="n">
        <v>0</v>
      </c>
      <c r="V48" s="9" t="n">
        <f aca="false">U48</f>
        <v>0</v>
      </c>
      <c r="W48" s="9"/>
      <c r="X48" s="9"/>
      <c r="Y48" s="40"/>
      <c r="AA48" s="5" t="s">
        <v>165</v>
      </c>
      <c r="AB48" s="4" t="s">
        <v>166</v>
      </c>
      <c r="AE48" s="57"/>
    </row>
    <row r="49" customFormat="false" ht="28.35" hidden="false" customHeight="false" outlineLevel="0" collapsed="false">
      <c r="A49" s="11" t="s">
        <v>44</v>
      </c>
      <c r="B49" s="11" t="s">
        <v>35</v>
      </c>
      <c r="C49" s="28" t="n">
        <v>550480</v>
      </c>
      <c r="D49" s="4" t="s">
        <v>168</v>
      </c>
      <c r="E49" s="4" t="s">
        <v>169</v>
      </c>
      <c r="F49" s="5" t="s">
        <v>46</v>
      </c>
      <c r="G49" s="6" t="n">
        <v>4958</v>
      </c>
      <c r="H49" s="6" t="n">
        <f aca="false">G49</f>
        <v>4958</v>
      </c>
      <c r="I49" s="6" t="n">
        <v>5000</v>
      </c>
      <c r="J49" s="4" t="s">
        <v>170</v>
      </c>
      <c r="K49" s="7" t="n">
        <v>45699</v>
      </c>
      <c r="L49" s="8" t="n">
        <v>47524</v>
      </c>
      <c r="O49" s="8" t="n">
        <v>46793</v>
      </c>
      <c r="P49" s="9" t="n">
        <v>187500</v>
      </c>
      <c r="Q49" s="9" t="n">
        <f aca="false">P49</f>
        <v>187500</v>
      </c>
      <c r="S49" s="9" t="n">
        <v>337100</v>
      </c>
      <c r="T49" s="9" t="n">
        <f aca="false">S49</f>
        <v>337100</v>
      </c>
      <c r="U49" s="63" t="n">
        <v>375000</v>
      </c>
      <c r="V49" s="9" t="n">
        <f aca="false">U49</f>
        <v>375000</v>
      </c>
      <c r="W49" s="44" t="n">
        <f aca="false">S49/G49</f>
        <v>67.991125453812</v>
      </c>
      <c r="X49" s="9" t="s">
        <v>52</v>
      </c>
      <c r="Y49" s="40"/>
      <c r="AA49" s="5" t="s">
        <v>40</v>
      </c>
      <c r="AB49" s="4" t="s">
        <v>171</v>
      </c>
      <c r="AC49" s="15" t="n">
        <v>68</v>
      </c>
      <c r="AD49" s="4" t="n">
        <v>1</v>
      </c>
      <c r="AE49" s="57" t="n">
        <v>13</v>
      </c>
      <c r="AF49" s="4" t="s">
        <v>172</v>
      </c>
    </row>
    <row r="50" customFormat="false" ht="15" hidden="false" customHeight="false" outlineLevel="0" collapsed="false">
      <c r="A50" s="11" t="s">
        <v>44</v>
      </c>
      <c r="B50" s="11" t="s">
        <v>35</v>
      </c>
      <c r="C50" s="28" t="n">
        <v>550480</v>
      </c>
      <c r="D50" s="4" t="s">
        <v>168</v>
      </c>
      <c r="E50" s="4" t="s">
        <v>173</v>
      </c>
      <c r="F50" s="5" t="s">
        <v>37</v>
      </c>
      <c r="G50" s="6" t="n">
        <v>1862</v>
      </c>
      <c r="H50" s="6" t="n">
        <f aca="false">G50</f>
        <v>1862</v>
      </c>
      <c r="I50" s="6" t="n">
        <v>2000</v>
      </c>
      <c r="J50" s="4" t="s">
        <v>174</v>
      </c>
      <c r="K50" s="7" t="n">
        <v>44452</v>
      </c>
      <c r="L50" s="8" t="n">
        <v>46277</v>
      </c>
      <c r="P50" s="9" t="n">
        <v>108170</v>
      </c>
      <c r="Q50" s="9" t="n">
        <f aca="false">P50</f>
        <v>108170</v>
      </c>
      <c r="S50" s="9" t="n">
        <v>107200</v>
      </c>
      <c r="T50" s="9" t="n">
        <f aca="false">S50</f>
        <v>107200</v>
      </c>
      <c r="U50" s="63" t="n">
        <v>111700</v>
      </c>
      <c r="V50" s="9" t="n">
        <f aca="false">U50</f>
        <v>111700</v>
      </c>
      <c r="W50" s="44" t="n">
        <f aca="false">S50/G50</f>
        <v>57.5725026852846</v>
      </c>
      <c r="X50" s="9" t="s">
        <v>57</v>
      </c>
      <c r="Y50" s="40"/>
      <c r="AA50" s="5" t="s">
        <v>40</v>
      </c>
      <c r="AE50" s="57"/>
    </row>
    <row r="51" customFormat="false" ht="15" hidden="false" customHeight="false" outlineLevel="0" collapsed="false">
      <c r="A51" s="11" t="s">
        <v>44</v>
      </c>
      <c r="B51" s="11" t="s">
        <v>35</v>
      </c>
      <c r="C51" s="28" t="n">
        <v>550480</v>
      </c>
      <c r="D51" s="4" t="s">
        <v>168</v>
      </c>
      <c r="E51" s="4" t="s">
        <v>89</v>
      </c>
      <c r="F51" s="5" t="s">
        <v>37</v>
      </c>
      <c r="G51" s="6" t="n">
        <v>1818</v>
      </c>
      <c r="H51" s="6" t="n">
        <f aca="false">G51</f>
        <v>1818</v>
      </c>
      <c r="I51" s="6" t="n">
        <v>2000</v>
      </c>
      <c r="J51" s="4" t="s">
        <v>63</v>
      </c>
      <c r="M51" s="7" t="n">
        <v>45609</v>
      </c>
      <c r="P51" s="9" t="n">
        <v>0</v>
      </c>
      <c r="Q51" s="9" t="n">
        <f aca="false">P51</f>
        <v>0</v>
      </c>
      <c r="S51" s="9" t="n">
        <v>105500</v>
      </c>
      <c r="T51" s="9" t="n">
        <f aca="false">S51</f>
        <v>105500</v>
      </c>
      <c r="U51" s="63" t="n">
        <v>109100</v>
      </c>
      <c r="V51" s="9" t="n">
        <f aca="false">U51</f>
        <v>109100</v>
      </c>
      <c r="W51" s="44" t="n">
        <f aca="false">S51/G51</f>
        <v>58.030803080308</v>
      </c>
      <c r="X51" s="9" t="s">
        <v>123</v>
      </c>
      <c r="Y51" s="40"/>
      <c r="AA51" s="5" t="s">
        <v>40</v>
      </c>
      <c r="AB51" s="4" t="s">
        <v>64</v>
      </c>
      <c r="AC51" s="15" t="n">
        <v>65</v>
      </c>
      <c r="AE51" s="57"/>
    </row>
    <row r="52" customFormat="false" ht="15" hidden="false" customHeight="false" outlineLevel="0" collapsed="false">
      <c r="A52" s="11" t="s">
        <v>44</v>
      </c>
      <c r="B52" s="11" t="s">
        <v>35</v>
      </c>
      <c r="C52" s="28" t="n">
        <v>550480</v>
      </c>
      <c r="D52" s="4" t="s">
        <v>168</v>
      </c>
      <c r="E52" s="4" t="s">
        <v>90</v>
      </c>
      <c r="F52" s="5" t="s">
        <v>37</v>
      </c>
      <c r="G52" s="6" t="n">
        <v>1808</v>
      </c>
      <c r="H52" s="6" t="n">
        <f aca="false">G52</f>
        <v>1808</v>
      </c>
      <c r="I52" s="6" t="n">
        <v>2000</v>
      </c>
      <c r="J52" s="4" t="s">
        <v>63</v>
      </c>
      <c r="M52" s="7" t="n">
        <v>45609</v>
      </c>
      <c r="P52" s="9" t="n">
        <v>0</v>
      </c>
      <c r="Q52" s="9" t="n">
        <f aca="false">P52</f>
        <v>0</v>
      </c>
      <c r="S52" s="9" t="n">
        <v>108800</v>
      </c>
      <c r="T52" s="9" t="n">
        <f aca="false">S52</f>
        <v>108800</v>
      </c>
      <c r="U52" s="63" t="n">
        <v>108500</v>
      </c>
      <c r="V52" s="9" t="n">
        <f aca="false">U52</f>
        <v>108500</v>
      </c>
      <c r="W52" s="44" t="n">
        <f aca="false">S52/G52</f>
        <v>60.1769911504425</v>
      </c>
      <c r="X52" s="9" t="s">
        <v>123</v>
      </c>
      <c r="Y52" s="40"/>
      <c r="AA52" s="5" t="s">
        <v>40</v>
      </c>
      <c r="AB52" s="4" t="s">
        <v>64</v>
      </c>
      <c r="AC52" s="15" t="n">
        <v>65</v>
      </c>
      <c r="AE52" s="57"/>
    </row>
    <row r="53" customFormat="false" ht="15" hidden="false" customHeight="false" outlineLevel="0" collapsed="false">
      <c r="A53" s="11" t="s">
        <v>44</v>
      </c>
      <c r="B53" s="11" t="s">
        <v>35</v>
      </c>
      <c r="C53" s="28" t="n">
        <v>550480</v>
      </c>
      <c r="D53" s="4" t="s">
        <v>168</v>
      </c>
      <c r="E53" s="4" t="s">
        <v>114</v>
      </c>
      <c r="F53" s="5" t="s">
        <v>37</v>
      </c>
      <c r="G53" s="6" t="n">
        <v>1672</v>
      </c>
      <c r="H53" s="6" t="n">
        <f aca="false">G53</f>
        <v>1672</v>
      </c>
      <c r="I53" s="6" t="n">
        <v>1500</v>
      </c>
      <c r="J53" s="4" t="s">
        <v>63</v>
      </c>
      <c r="M53" s="8" t="n">
        <v>45457</v>
      </c>
      <c r="P53" s="9" t="n">
        <v>0</v>
      </c>
      <c r="Q53" s="9" t="n">
        <f aca="false">P53</f>
        <v>0</v>
      </c>
      <c r="S53" s="9" t="n">
        <v>94400</v>
      </c>
      <c r="T53" s="9" t="n">
        <f aca="false">S53</f>
        <v>94400</v>
      </c>
      <c r="U53" s="63" t="n">
        <v>104500</v>
      </c>
      <c r="V53" s="9" t="n">
        <f aca="false">U53</f>
        <v>104500</v>
      </c>
      <c r="W53" s="44" t="n">
        <f aca="false">S53/G53</f>
        <v>56.4593301435407</v>
      </c>
      <c r="X53" s="9" t="s">
        <v>52</v>
      </c>
      <c r="Y53" s="40"/>
      <c r="AA53" s="5" t="s">
        <v>40</v>
      </c>
      <c r="AB53" s="58" t="s">
        <v>175</v>
      </c>
      <c r="AC53" s="15" t="n">
        <v>65</v>
      </c>
      <c r="AD53" s="4" t="n">
        <v>1</v>
      </c>
      <c r="AE53" s="57" t="n">
        <v>2</v>
      </c>
      <c r="AF53" s="4" t="s">
        <v>54</v>
      </c>
    </row>
    <row r="54" customFormat="false" ht="15" hidden="false" customHeight="false" outlineLevel="0" collapsed="false">
      <c r="A54" s="11" t="s">
        <v>44</v>
      </c>
      <c r="B54" s="11" t="s">
        <v>35</v>
      </c>
      <c r="C54" s="28" t="n">
        <v>550480</v>
      </c>
      <c r="D54" s="4" t="s">
        <v>168</v>
      </c>
      <c r="E54" s="4" t="s">
        <v>176</v>
      </c>
      <c r="F54" s="5" t="s">
        <v>37</v>
      </c>
      <c r="G54" s="6" t="n">
        <v>995</v>
      </c>
      <c r="H54" s="6" t="n">
        <f aca="false">G54</f>
        <v>995</v>
      </c>
      <c r="I54" s="6" t="n">
        <v>1000</v>
      </c>
      <c r="J54" s="4" t="s">
        <v>149</v>
      </c>
      <c r="K54" s="7" t="n">
        <v>45609</v>
      </c>
      <c r="L54" s="8" t="n">
        <v>47434</v>
      </c>
      <c r="O54" s="8" t="n">
        <v>46703</v>
      </c>
      <c r="P54" s="9" t="n">
        <v>61928</v>
      </c>
      <c r="Q54" s="9" t="n">
        <f aca="false">P54</f>
        <v>61928</v>
      </c>
      <c r="S54" s="6" t="n">
        <v>61200</v>
      </c>
      <c r="T54" s="9" t="n">
        <f aca="false">S54</f>
        <v>61200</v>
      </c>
      <c r="U54" s="54" t="n">
        <v>62200</v>
      </c>
      <c r="V54" s="9" t="n">
        <f aca="false">U54</f>
        <v>62200</v>
      </c>
      <c r="W54" s="44" t="n">
        <f aca="false">S54/G54</f>
        <v>61.5075376884422</v>
      </c>
      <c r="X54" s="9" t="s">
        <v>123</v>
      </c>
      <c r="Y54" s="40"/>
      <c r="AA54" s="5" t="s">
        <v>40</v>
      </c>
      <c r="AB54" s="4" t="s">
        <v>73</v>
      </c>
      <c r="AC54" s="56"/>
      <c r="AE54" s="57"/>
    </row>
    <row r="55" customFormat="false" ht="28.35" hidden="false" customHeight="false" outlineLevel="0" collapsed="false">
      <c r="A55" s="11" t="s">
        <v>44</v>
      </c>
      <c r="B55" s="11" t="s">
        <v>35</v>
      </c>
      <c r="C55" s="28" t="n">
        <v>550480</v>
      </c>
      <c r="D55" s="4" t="s">
        <v>168</v>
      </c>
      <c r="E55" s="39" t="s">
        <v>177</v>
      </c>
      <c r="F55" s="5" t="s">
        <v>163</v>
      </c>
      <c r="G55" s="6" t="n">
        <v>0</v>
      </c>
      <c r="H55" s="6" t="n">
        <f aca="false">G55</f>
        <v>0</v>
      </c>
      <c r="J55" s="4" t="s">
        <v>164</v>
      </c>
      <c r="K55" s="7" t="n">
        <v>39295</v>
      </c>
      <c r="L55" s="8" t="n">
        <v>46599</v>
      </c>
      <c r="N55" s="8" t="n">
        <v>45870</v>
      </c>
      <c r="P55" s="9" t="n">
        <v>903</v>
      </c>
      <c r="Q55" s="9" t="n">
        <f aca="false">P55</f>
        <v>903</v>
      </c>
      <c r="S55" s="6" t="n">
        <v>625</v>
      </c>
      <c r="T55" s="9" t="n">
        <f aca="false">S55</f>
        <v>625</v>
      </c>
      <c r="U55" s="54" t="n">
        <v>625</v>
      </c>
      <c r="V55" s="9" t="n">
        <f aca="false">U55</f>
        <v>625</v>
      </c>
      <c r="W55" s="44"/>
      <c r="X55" s="9"/>
      <c r="Y55" s="40"/>
      <c r="AA55" s="5" t="s">
        <v>40</v>
      </c>
      <c r="AB55" s="4" t="s">
        <v>178</v>
      </c>
      <c r="AE55" s="57"/>
    </row>
    <row r="56" customFormat="false" ht="19.4" hidden="false" customHeight="false" outlineLevel="0" collapsed="false">
      <c r="A56" s="11" t="s">
        <v>44</v>
      </c>
      <c r="B56" s="11" t="s">
        <v>35</v>
      </c>
      <c r="C56" s="28" t="n">
        <v>550530</v>
      </c>
      <c r="D56" s="4" t="s">
        <v>180</v>
      </c>
      <c r="E56" s="4" t="s">
        <v>36</v>
      </c>
      <c r="F56" s="5" t="s">
        <v>181</v>
      </c>
      <c r="G56" s="41" t="n">
        <v>9884</v>
      </c>
      <c r="H56" s="9" t="n">
        <f aca="false">G56</f>
        <v>9884</v>
      </c>
      <c r="I56" s="9" t="n">
        <v>10000</v>
      </c>
      <c r="J56" s="4" t="s">
        <v>182</v>
      </c>
      <c r="K56" s="7" t="n">
        <v>44856</v>
      </c>
      <c r="L56" s="8" t="n">
        <v>47411</v>
      </c>
      <c r="N56" s="8" t="n">
        <v>46682</v>
      </c>
      <c r="P56" s="42" t="n">
        <v>580000</v>
      </c>
      <c r="Q56" s="9" t="n">
        <f aca="false">P56</f>
        <v>580000</v>
      </c>
      <c r="R56" s="42" t="n">
        <f aca="false">Q56</f>
        <v>580000</v>
      </c>
      <c r="S56" s="42" t="n">
        <v>580000</v>
      </c>
      <c r="T56" s="9" t="n">
        <f aca="false">S56</f>
        <v>580000</v>
      </c>
      <c r="U56" s="43" t="n">
        <v>586000</v>
      </c>
      <c r="V56" s="9" t="n">
        <f aca="false">U56</f>
        <v>586000</v>
      </c>
      <c r="W56" s="44" t="n">
        <f aca="false">S56/G56</f>
        <v>58.6806960744638</v>
      </c>
      <c r="X56" s="9" t="s">
        <v>52</v>
      </c>
      <c r="Y56" s="40"/>
      <c r="Z56" s="60" t="n">
        <v>8850000</v>
      </c>
      <c r="AA56" s="5" t="s">
        <v>165</v>
      </c>
      <c r="AE56" s="57"/>
    </row>
    <row r="57" customFormat="false" ht="28.35" hidden="false" customHeight="false" outlineLevel="0" collapsed="false">
      <c r="A57" s="11" t="s">
        <v>185</v>
      </c>
      <c r="B57" s="11" t="s">
        <v>35</v>
      </c>
      <c r="C57" s="28" t="n">
        <v>550410</v>
      </c>
      <c r="D57" s="4" t="s">
        <v>186</v>
      </c>
      <c r="E57" s="4" t="s">
        <v>187</v>
      </c>
      <c r="F57" s="5" t="s">
        <v>188</v>
      </c>
      <c r="G57" s="6" t="n">
        <v>11225</v>
      </c>
      <c r="H57" s="6" t="n">
        <f aca="false">G57</f>
        <v>11225</v>
      </c>
      <c r="I57" s="6" t="n">
        <v>10000</v>
      </c>
      <c r="J57" s="4" t="s">
        <v>189</v>
      </c>
      <c r="K57" s="7" t="n">
        <v>44729</v>
      </c>
      <c r="L57" s="8" t="n">
        <v>50207</v>
      </c>
      <c r="N57" s="7" t="n">
        <v>46555</v>
      </c>
      <c r="O57" s="7" t="n">
        <v>48381</v>
      </c>
      <c r="P57" s="9" t="n">
        <v>625000</v>
      </c>
      <c r="Q57" s="9" t="n">
        <f aca="false">P57</f>
        <v>625000</v>
      </c>
      <c r="S57" s="9" t="n">
        <v>750000</v>
      </c>
      <c r="T57" s="9" t="n">
        <f aca="false">S57</f>
        <v>750000</v>
      </c>
      <c r="U57" s="63" t="n">
        <v>650000</v>
      </c>
      <c r="V57" s="9" t="n">
        <f aca="false">U57</f>
        <v>650000</v>
      </c>
      <c r="W57" s="44" t="n">
        <f aca="false">S57/G57</f>
        <v>66.815144766147</v>
      </c>
      <c r="X57" s="9" t="s">
        <v>52</v>
      </c>
      <c r="Y57" s="40"/>
      <c r="Z57" s="357"/>
      <c r="AA57" s="5" t="s">
        <v>40</v>
      </c>
      <c r="AB57" s="4" t="s">
        <v>190</v>
      </c>
    </row>
    <row r="58" customFormat="false" ht="15" hidden="false" customHeight="false" outlineLevel="0" collapsed="false">
      <c r="A58" s="11" t="s">
        <v>185</v>
      </c>
      <c r="B58" s="11" t="s">
        <v>35</v>
      </c>
      <c r="C58" s="28" t="n">
        <v>550410</v>
      </c>
      <c r="D58" s="4" t="s">
        <v>186</v>
      </c>
      <c r="E58" s="4" t="s">
        <v>191</v>
      </c>
      <c r="F58" s="5" t="s">
        <v>86</v>
      </c>
      <c r="G58" s="6" t="n">
        <v>2847</v>
      </c>
      <c r="H58" s="6" t="n">
        <f aca="false">G58</f>
        <v>2847</v>
      </c>
      <c r="I58" s="6" t="n">
        <v>3000</v>
      </c>
      <c r="J58" s="4" t="s">
        <v>63</v>
      </c>
      <c r="M58" s="8" t="n">
        <v>45219</v>
      </c>
      <c r="P58" s="9" t="n">
        <v>0</v>
      </c>
      <c r="Q58" s="9" t="n">
        <f aca="false">P58</f>
        <v>0</v>
      </c>
      <c r="S58" s="9" t="n">
        <v>170000</v>
      </c>
      <c r="T58" s="9" t="n">
        <f aca="false">S58</f>
        <v>170000</v>
      </c>
      <c r="U58" s="63" t="n">
        <v>185100</v>
      </c>
      <c r="V58" s="9" t="n">
        <f aca="false">U58</f>
        <v>185100</v>
      </c>
      <c r="W58" s="44" t="n">
        <f aca="false">S58/G58</f>
        <v>59.7119775201967</v>
      </c>
      <c r="X58" s="9" t="s">
        <v>52</v>
      </c>
      <c r="Y58" s="40"/>
      <c r="Z58" s="357"/>
      <c r="AA58" s="5" t="s">
        <v>40</v>
      </c>
      <c r="AB58" s="4" t="s">
        <v>64</v>
      </c>
      <c r="AC58" s="15" t="n">
        <v>70</v>
      </c>
      <c r="AE58" s="57" t="n">
        <v>7</v>
      </c>
      <c r="AF58" s="4" t="s">
        <v>192</v>
      </c>
    </row>
    <row r="59" customFormat="false" ht="15" hidden="false" customHeight="false" outlineLevel="0" collapsed="false">
      <c r="A59" s="11" t="s">
        <v>185</v>
      </c>
      <c r="B59" s="11" t="s">
        <v>35</v>
      </c>
      <c r="C59" s="28" t="n">
        <v>550410</v>
      </c>
      <c r="D59" s="4" t="s">
        <v>186</v>
      </c>
      <c r="E59" s="4" t="s">
        <v>90</v>
      </c>
      <c r="F59" s="5" t="s">
        <v>86</v>
      </c>
      <c r="G59" s="6" t="n">
        <v>2651</v>
      </c>
      <c r="H59" s="6" t="n">
        <f aca="false">G59</f>
        <v>2651</v>
      </c>
      <c r="I59" s="6" t="n">
        <v>2500</v>
      </c>
      <c r="J59" s="4" t="s">
        <v>63</v>
      </c>
      <c r="K59" s="7"/>
      <c r="L59" s="8"/>
      <c r="M59" s="8" t="n">
        <v>44124</v>
      </c>
      <c r="N59" s="8"/>
      <c r="O59" s="8"/>
      <c r="P59" s="9" t="n">
        <v>0</v>
      </c>
      <c r="Q59" s="9" t="n">
        <f aca="false">P59</f>
        <v>0</v>
      </c>
      <c r="R59" s="9"/>
      <c r="S59" s="9" t="n">
        <v>172000</v>
      </c>
      <c r="T59" s="9" t="n">
        <f aca="false">S59</f>
        <v>172000</v>
      </c>
      <c r="U59" s="63" t="n">
        <v>181600</v>
      </c>
      <c r="V59" s="9" t="n">
        <f aca="false">U59</f>
        <v>181600</v>
      </c>
      <c r="W59" s="44" t="n">
        <f aca="false">S59/G59</f>
        <v>64.8811769143719</v>
      </c>
      <c r="X59" s="9" t="s">
        <v>52</v>
      </c>
      <c r="Y59" s="40"/>
      <c r="Z59" s="357"/>
      <c r="AA59" s="5" t="s">
        <v>40</v>
      </c>
      <c r="AB59" s="4" t="s">
        <v>64</v>
      </c>
      <c r="AC59" s="15" t="n">
        <v>72.5</v>
      </c>
      <c r="AD59" s="4"/>
      <c r="AE59" s="57" t="n">
        <v>7</v>
      </c>
      <c r="AF59" s="4" t="s">
        <v>192</v>
      </c>
    </row>
    <row r="60" customFormat="false" ht="15" hidden="false" customHeight="false" outlineLevel="0" collapsed="false">
      <c r="A60" s="11" t="s">
        <v>185</v>
      </c>
      <c r="B60" s="11" t="s">
        <v>35</v>
      </c>
      <c r="C60" s="28" t="n">
        <v>550410</v>
      </c>
      <c r="D60" s="4" t="s">
        <v>186</v>
      </c>
      <c r="E60" s="4" t="s">
        <v>114</v>
      </c>
      <c r="F60" s="5" t="s">
        <v>86</v>
      </c>
      <c r="G60" s="6" t="n">
        <v>1197</v>
      </c>
      <c r="H60" s="6" t="n">
        <f aca="false">G60</f>
        <v>1197</v>
      </c>
      <c r="I60" s="6" t="n">
        <v>1000</v>
      </c>
      <c r="J60" s="4" t="s">
        <v>193</v>
      </c>
      <c r="K60" s="7" t="n">
        <v>44362</v>
      </c>
      <c r="L60" s="8" t="n">
        <v>48013</v>
      </c>
      <c r="M60" s="8"/>
      <c r="N60" s="8" t="n">
        <v>46197</v>
      </c>
      <c r="O60" s="8" t="n">
        <v>46197</v>
      </c>
      <c r="P60" s="9" t="n">
        <v>80000</v>
      </c>
      <c r="Q60" s="9" t="n">
        <f aca="false">P60</f>
        <v>80000</v>
      </c>
      <c r="R60" s="9"/>
      <c r="S60" s="9" t="n">
        <v>80000</v>
      </c>
      <c r="T60" s="9" t="n">
        <f aca="false">S60</f>
        <v>80000</v>
      </c>
      <c r="U60" s="63" t="n">
        <v>80800</v>
      </c>
      <c r="V60" s="9" t="n">
        <f aca="false">U60</f>
        <v>80800</v>
      </c>
      <c r="W60" s="44" t="n">
        <f aca="false">S60/G60</f>
        <v>66.8337510442774</v>
      </c>
      <c r="X60" s="9" t="s">
        <v>52</v>
      </c>
      <c r="Y60" s="40"/>
      <c r="Z60" s="357"/>
      <c r="AA60" s="5" t="s">
        <v>40</v>
      </c>
      <c r="AB60" s="4" t="s">
        <v>194</v>
      </c>
      <c r="AC60" s="15"/>
      <c r="AD60" s="4"/>
      <c r="AE60" s="57"/>
      <c r="AF60" s="4"/>
    </row>
    <row r="61" customFormat="false" ht="15" hidden="false" customHeight="false" outlineLevel="0" collapsed="false">
      <c r="A61" s="11" t="s">
        <v>102</v>
      </c>
      <c r="B61" s="11" t="s">
        <v>35</v>
      </c>
      <c r="C61" s="28" t="n">
        <v>550795</v>
      </c>
      <c r="D61" s="4" t="s">
        <v>196</v>
      </c>
      <c r="E61" s="4" t="s">
        <v>177</v>
      </c>
      <c r="F61" s="5" t="s">
        <v>197</v>
      </c>
      <c r="G61" s="6" t="n">
        <v>1330</v>
      </c>
      <c r="H61" s="6" t="n">
        <f aca="false">G61</f>
        <v>1330</v>
      </c>
      <c r="J61" s="4" t="s">
        <v>77</v>
      </c>
      <c r="M61" s="8" t="n">
        <v>43670</v>
      </c>
      <c r="P61" s="9" t="n">
        <v>0</v>
      </c>
      <c r="Q61" s="9" t="n">
        <f aca="false">P61</f>
        <v>0</v>
      </c>
      <c r="S61" s="9" t="n">
        <v>25000</v>
      </c>
      <c r="T61" s="9" t="n">
        <f aca="false">S61</f>
        <v>25000</v>
      </c>
      <c r="U61" s="63" t="n">
        <v>25000</v>
      </c>
      <c r="V61" s="9" t="n">
        <f aca="false">U61</f>
        <v>25000</v>
      </c>
      <c r="W61" s="44" t="n">
        <f aca="false">S61/G61</f>
        <v>18.796992481203</v>
      </c>
      <c r="X61" s="9" t="s">
        <v>57</v>
      </c>
      <c r="Y61" s="40"/>
      <c r="AA61" s="5" t="s">
        <v>40</v>
      </c>
      <c r="AE61" s="57"/>
    </row>
    <row r="62" customFormat="false" ht="15" hidden="false" customHeight="false" outlineLevel="0" collapsed="false">
      <c r="A62" s="11" t="s">
        <v>102</v>
      </c>
      <c r="B62" s="11" t="s">
        <v>35</v>
      </c>
      <c r="C62" s="28" t="n">
        <v>550795</v>
      </c>
      <c r="D62" s="4" t="s">
        <v>196</v>
      </c>
      <c r="E62" s="4" t="s">
        <v>198</v>
      </c>
      <c r="F62" s="5" t="s">
        <v>46</v>
      </c>
      <c r="G62" s="6" t="n">
        <v>260</v>
      </c>
      <c r="H62" s="6" t="n">
        <f aca="false">G62</f>
        <v>260</v>
      </c>
      <c r="I62" s="6" t="n">
        <v>250</v>
      </c>
      <c r="J62" s="4" t="s">
        <v>199</v>
      </c>
      <c r="K62" s="7" t="n">
        <v>45645</v>
      </c>
      <c r="L62" s="8" t="n">
        <v>46739</v>
      </c>
      <c r="P62" s="9" t="n">
        <v>18000</v>
      </c>
      <c r="Q62" s="9" t="n">
        <f aca="false">P62</f>
        <v>18000</v>
      </c>
      <c r="S62" s="9" t="n">
        <v>11700</v>
      </c>
      <c r="T62" s="9" t="n">
        <f aca="false">S62</f>
        <v>11700</v>
      </c>
      <c r="U62" s="63" t="n">
        <v>18000</v>
      </c>
      <c r="V62" s="9" t="n">
        <f aca="false">U62</f>
        <v>18000</v>
      </c>
      <c r="W62" s="44" t="n">
        <f aca="false">S62/G62</f>
        <v>45</v>
      </c>
      <c r="X62" s="9" t="s">
        <v>39</v>
      </c>
      <c r="Y62" s="40"/>
      <c r="AA62" s="5" t="s">
        <v>40</v>
      </c>
      <c r="AE62" s="57" t="n">
        <v>1</v>
      </c>
      <c r="AF62" s="4" t="s">
        <v>200</v>
      </c>
    </row>
    <row r="63" customFormat="false" ht="15" hidden="false" customHeight="false" outlineLevel="0" collapsed="false">
      <c r="A63" s="11" t="s">
        <v>102</v>
      </c>
      <c r="B63" s="11" t="s">
        <v>35</v>
      </c>
      <c r="C63" s="28" t="n">
        <v>550795</v>
      </c>
      <c r="D63" s="4" t="s">
        <v>196</v>
      </c>
      <c r="E63" s="4" t="s">
        <v>201</v>
      </c>
      <c r="F63" s="5" t="s">
        <v>46</v>
      </c>
      <c r="G63" s="6" t="n">
        <v>652</v>
      </c>
      <c r="H63" s="6" t="n">
        <f aca="false">G63</f>
        <v>652</v>
      </c>
      <c r="I63" s="6" t="n">
        <v>750</v>
      </c>
      <c r="J63" s="4" t="s">
        <v>202</v>
      </c>
      <c r="K63" s="7" t="n">
        <v>44851</v>
      </c>
      <c r="L63" s="8" t="n">
        <v>48503</v>
      </c>
      <c r="N63" s="8" t="n">
        <v>46677</v>
      </c>
      <c r="P63" s="9" t="n">
        <v>55000</v>
      </c>
      <c r="Q63" s="9" t="n">
        <f aca="false">P63</f>
        <v>55000</v>
      </c>
      <c r="S63" s="9" t="n">
        <v>55000</v>
      </c>
      <c r="T63" s="9" t="n">
        <f aca="false">S63</f>
        <v>55000</v>
      </c>
      <c r="U63" s="63" t="n">
        <v>55000</v>
      </c>
      <c r="V63" s="9" t="n">
        <f aca="false">U63</f>
        <v>55000</v>
      </c>
      <c r="W63" s="44" t="n">
        <f aca="false">S63/G63</f>
        <v>84.3558282208589</v>
      </c>
      <c r="X63" s="9" t="s">
        <v>57</v>
      </c>
      <c r="Y63" s="40"/>
      <c r="AA63" s="5" t="s">
        <v>40</v>
      </c>
      <c r="AE63" s="57"/>
    </row>
    <row r="64" customFormat="false" ht="15" hidden="false" customHeight="false" outlineLevel="0" collapsed="false">
      <c r="A64" s="11" t="s">
        <v>102</v>
      </c>
      <c r="B64" s="11" t="s">
        <v>35</v>
      </c>
      <c r="C64" s="28" t="n">
        <v>550795</v>
      </c>
      <c r="D64" s="4" t="s">
        <v>196</v>
      </c>
      <c r="E64" s="4" t="s">
        <v>203</v>
      </c>
      <c r="F64" s="5" t="s">
        <v>86</v>
      </c>
      <c r="G64" s="6" t="n">
        <v>558</v>
      </c>
      <c r="H64" s="6" t="n">
        <f aca="false">G64</f>
        <v>558</v>
      </c>
      <c r="I64" s="6" t="n">
        <v>500</v>
      </c>
      <c r="J64" s="4" t="s">
        <v>204</v>
      </c>
      <c r="K64" s="7" t="n">
        <v>45114</v>
      </c>
      <c r="L64" s="8" t="n">
        <v>46940</v>
      </c>
      <c r="O64" s="8" t="n">
        <v>46209</v>
      </c>
      <c r="P64" s="9" t="n">
        <v>32400</v>
      </c>
      <c r="Q64" s="9" t="n">
        <f aca="false">P64</f>
        <v>32400</v>
      </c>
      <c r="S64" s="9" t="n">
        <v>29300</v>
      </c>
      <c r="T64" s="9" t="n">
        <f aca="false">S64</f>
        <v>29300</v>
      </c>
      <c r="U64" s="63" t="n">
        <v>29300</v>
      </c>
      <c r="V64" s="9" t="n">
        <f aca="false">U64</f>
        <v>29300</v>
      </c>
      <c r="W64" s="44" t="n">
        <f aca="false">S64/G64</f>
        <v>52.5089605734767</v>
      </c>
      <c r="X64" s="9" t="s">
        <v>39</v>
      </c>
      <c r="Y64" s="40"/>
      <c r="AA64" s="5" t="s">
        <v>40</v>
      </c>
      <c r="AB64" s="4" t="s">
        <v>73</v>
      </c>
      <c r="AE64" s="57"/>
    </row>
    <row r="65" customFormat="false" ht="15" hidden="false" customHeight="false" outlineLevel="0" collapsed="false">
      <c r="A65" s="11" t="s">
        <v>102</v>
      </c>
      <c r="B65" s="11" t="s">
        <v>35</v>
      </c>
      <c r="C65" s="28" t="n">
        <v>550795</v>
      </c>
      <c r="D65" s="4" t="s">
        <v>196</v>
      </c>
      <c r="E65" s="4" t="s">
        <v>205</v>
      </c>
      <c r="F65" s="5" t="s">
        <v>86</v>
      </c>
      <c r="G65" s="6" t="n">
        <v>310</v>
      </c>
      <c r="H65" s="6" t="n">
        <f aca="false">G65</f>
        <v>310</v>
      </c>
      <c r="I65" s="6" t="n">
        <v>250</v>
      </c>
      <c r="J65" s="4" t="s">
        <v>206</v>
      </c>
      <c r="K65" s="7" t="n">
        <v>45869</v>
      </c>
      <c r="L65" s="8" t="n">
        <v>47694</v>
      </c>
      <c r="O65" s="8" t="n">
        <v>46964</v>
      </c>
      <c r="P65" s="9" t="n">
        <v>15500</v>
      </c>
      <c r="Q65" s="9" t="n">
        <f aca="false">P65</f>
        <v>15500</v>
      </c>
      <c r="S65" s="9" t="n">
        <v>15500</v>
      </c>
      <c r="T65" s="9" t="n">
        <f aca="false">S65</f>
        <v>15500</v>
      </c>
      <c r="U65" s="63" t="n">
        <v>15500</v>
      </c>
      <c r="V65" s="9" t="n">
        <f aca="false">U65</f>
        <v>15500</v>
      </c>
      <c r="W65" s="44" t="n">
        <f aca="false">S65/G65</f>
        <v>50</v>
      </c>
      <c r="X65" s="9" t="s">
        <v>39</v>
      </c>
      <c r="Y65" s="40"/>
      <c r="AA65" s="5" t="s">
        <v>40</v>
      </c>
      <c r="AB65" s="4" t="s">
        <v>73</v>
      </c>
      <c r="AE65" s="57"/>
    </row>
    <row r="66" customFormat="false" ht="19.4" hidden="false" customHeight="false" outlineLevel="0" collapsed="false">
      <c r="A66" s="11" t="s">
        <v>102</v>
      </c>
      <c r="B66" s="11" t="s">
        <v>35</v>
      </c>
      <c r="C66" s="28" t="n">
        <v>550795</v>
      </c>
      <c r="D66" s="4" t="s">
        <v>196</v>
      </c>
      <c r="E66" s="4" t="s">
        <v>207</v>
      </c>
      <c r="F66" s="5" t="s">
        <v>86</v>
      </c>
      <c r="G66" s="6" t="n">
        <v>455</v>
      </c>
      <c r="H66" s="6" t="n">
        <f aca="false">G66</f>
        <v>455</v>
      </c>
      <c r="I66" s="6" t="n">
        <v>500</v>
      </c>
      <c r="J66" s="4" t="s">
        <v>208</v>
      </c>
      <c r="K66" s="7" t="n">
        <v>44505</v>
      </c>
      <c r="L66" s="8" t="n">
        <v>45965</v>
      </c>
      <c r="P66" s="9" t="n">
        <v>22800</v>
      </c>
      <c r="Q66" s="9" t="n">
        <f aca="false">P66</f>
        <v>22800</v>
      </c>
      <c r="S66" s="9" t="n">
        <v>22800</v>
      </c>
      <c r="T66" s="9" t="n">
        <f aca="false">S66</f>
        <v>22800</v>
      </c>
      <c r="U66" s="63" t="n">
        <v>22800</v>
      </c>
      <c r="V66" s="9" t="n">
        <f aca="false">U66</f>
        <v>22800</v>
      </c>
      <c r="W66" s="44" t="n">
        <f aca="false">S66/G66</f>
        <v>50.1098901098901</v>
      </c>
      <c r="X66" s="9" t="s">
        <v>123</v>
      </c>
      <c r="Y66" s="40"/>
      <c r="AA66" s="5" t="s">
        <v>40</v>
      </c>
      <c r="AB66" s="4" t="s">
        <v>209</v>
      </c>
      <c r="AE66" s="57"/>
    </row>
    <row r="67" customFormat="false" ht="15" hidden="false" customHeight="false" outlineLevel="0" collapsed="false">
      <c r="A67" s="11" t="s">
        <v>102</v>
      </c>
      <c r="B67" s="11" t="s">
        <v>35</v>
      </c>
      <c r="C67" s="28" t="n">
        <v>550795</v>
      </c>
      <c r="D67" s="4" t="s">
        <v>196</v>
      </c>
      <c r="E67" s="4" t="s">
        <v>210</v>
      </c>
      <c r="F67" s="5" t="s">
        <v>86</v>
      </c>
      <c r="G67" s="6" t="n">
        <v>310</v>
      </c>
      <c r="H67" s="6" t="n">
        <f aca="false">G67</f>
        <v>310</v>
      </c>
      <c r="I67" s="6" t="n">
        <v>250</v>
      </c>
      <c r="J67" s="4" t="s">
        <v>211</v>
      </c>
      <c r="K67" s="7" t="n">
        <v>45869</v>
      </c>
      <c r="L67" s="8" t="n">
        <v>47694</v>
      </c>
      <c r="O67" s="8" t="n">
        <v>46964</v>
      </c>
      <c r="P67" s="9" t="n">
        <v>15500</v>
      </c>
      <c r="Q67" s="9" t="n">
        <f aca="false">P67</f>
        <v>15500</v>
      </c>
      <c r="S67" s="9" t="n">
        <v>15500</v>
      </c>
      <c r="T67" s="9" t="n">
        <f aca="false">S67</f>
        <v>15500</v>
      </c>
      <c r="U67" s="63" t="n">
        <v>15500</v>
      </c>
      <c r="V67" s="9" t="n">
        <f aca="false">U67</f>
        <v>15500</v>
      </c>
      <c r="W67" s="44" t="n">
        <f aca="false">S67/G67</f>
        <v>50</v>
      </c>
      <c r="X67" s="9" t="s">
        <v>123</v>
      </c>
      <c r="Y67" s="40"/>
      <c r="AA67" s="5" t="s">
        <v>40</v>
      </c>
      <c r="AB67" s="4" t="s">
        <v>73</v>
      </c>
      <c r="AE67" s="57"/>
    </row>
    <row r="68" customFormat="false" ht="19.4" hidden="false" customHeight="false" outlineLevel="0" collapsed="false">
      <c r="A68" s="11" t="s">
        <v>102</v>
      </c>
      <c r="B68" s="11" t="s">
        <v>35</v>
      </c>
      <c r="C68" s="28" t="n">
        <v>550795</v>
      </c>
      <c r="D68" s="4" t="s">
        <v>196</v>
      </c>
      <c r="E68" s="4" t="s">
        <v>212</v>
      </c>
      <c r="F68" s="5" t="s">
        <v>86</v>
      </c>
      <c r="G68" s="6" t="n">
        <v>450</v>
      </c>
      <c r="H68" s="6" t="n">
        <f aca="false">G68</f>
        <v>450</v>
      </c>
      <c r="I68" s="6" t="n">
        <v>500</v>
      </c>
      <c r="J68" s="4" t="s">
        <v>208</v>
      </c>
      <c r="K68" s="7" t="n">
        <v>45199</v>
      </c>
      <c r="L68" s="8" t="n">
        <v>47025</v>
      </c>
      <c r="O68" s="8" t="n">
        <v>46294</v>
      </c>
      <c r="P68" s="9" t="n">
        <v>24750</v>
      </c>
      <c r="Q68" s="9" t="n">
        <f aca="false">P68</f>
        <v>24750</v>
      </c>
      <c r="S68" s="9" t="n">
        <v>22838</v>
      </c>
      <c r="T68" s="9" t="n">
        <f aca="false">S68</f>
        <v>22838</v>
      </c>
      <c r="U68" s="63" t="n">
        <v>23400</v>
      </c>
      <c r="V68" s="9" t="n">
        <f aca="false">U68</f>
        <v>23400</v>
      </c>
      <c r="W68" s="44" t="n">
        <f aca="false">S68/G68</f>
        <v>50.7511111111111</v>
      </c>
      <c r="X68" s="9" t="s">
        <v>123</v>
      </c>
      <c r="Y68" s="40"/>
      <c r="AA68" s="5" t="s">
        <v>40</v>
      </c>
      <c r="AB68" s="4" t="s">
        <v>213</v>
      </c>
      <c r="AE68" s="57"/>
    </row>
    <row r="69" customFormat="false" ht="15" hidden="false" customHeight="false" outlineLevel="0" collapsed="false">
      <c r="A69" s="11" t="s">
        <v>102</v>
      </c>
      <c r="B69" s="11" t="s">
        <v>35</v>
      </c>
      <c r="C69" s="28" t="n">
        <v>550795</v>
      </c>
      <c r="D69" s="4" t="s">
        <v>196</v>
      </c>
      <c r="E69" s="4" t="s">
        <v>214</v>
      </c>
      <c r="F69" s="5" t="s">
        <v>86</v>
      </c>
      <c r="G69" s="6" t="n">
        <v>215</v>
      </c>
      <c r="H69" s="6" t="n">
        <f aca="false">G69</f>
        <v>215</v>
      </c>
      <c r="I69" s="6" t="n">
        <v>250</v>
      </c>
      <c r="J69" s="4" t="s">
        <v>206</v>
      </c>
      <c r="K69" s="7" t="n">
        <v>45869</v>
      </c>
      <c r="L69" s="8" t="n">
        <v>47694</v>
      </c>
      <c r="O69" s="8" t="n">
        <v>46964</v>
      </c>
      <c r="P69" s="9" t="n">
        <v>11502</v>
      </c>
      <c r="Q69" s="9" t="n">
        <f aca="false">P69</f>
        <v>11502</v>
      </c>
      <c r="S69" s="9" t="n">
        <v>10200</v>
      </c>
      <c r="T69" s="9" t="n">
        <f aca="false">S69</f>
        <v>10200</v>
      </c>
      <c r="U69" s="63" t="n">
        <v>11400</v>
      </c>
      <c r="V69" s="9" t="n">
        <f aca="false">U69</f>
        <v>11400</v>
      </c>
      <c r="W69" s="44" t="n">
        <f aca="false">S69/G69</f>
        <v>47.4418604651163</v>
      </c>
      <c r="X69" s="9" t="s">
        <v>123</v>
      </c>
      <c r="Y69" s="40"/>
      <c r="AA69" s="5" t="s">
        <v>40</v>
      </c>
      <c r="AB69" s="4" t="s">
        <v>73</v>
      </c>
      <c r="AE69" s="57"/>
    </row>
    <row r="70" customFormat="false" ht="19.4" hidden="false" customHeight="false" outlineLevel="0" collapsed="false">
      <c r="A70" s="11" t="s">
        <v>102</v>
      </c>
      <c r="B70" s="11" t="s">
        <v>35</v>
      </c>
      <c r="C70" s="28" t="n">
        <v>550795</v>
      </c>
      <c r="D70" s="4" t="s">
        <v>196</v>
      </c>
      <c r="E70" s="4" t="s">
        <v>114</v>
      </c>
      <c r="F70" s="5" t="s">
        <v>86</v>
      </c>
      <c r="G70" s="6" t="n">
        <v>410</v>
      </c>
      <c r="H70" s="6" t="n">
        <f aca="false">G70</f>
        <v>410</v>
      </c>
      <c r="I70" s="6" t="n">
        <v>500</v>
      </c>
      <c r="J70" s="4" t="s">
        <v>208</v>
      </c>
      <c r="K70" s="7" t="n">
        <v>45199</v>
      </c>
      <c r="L70" s="8" t="n">
        <v>47025</v>
      </c>
      <c r="O70" s="8" t="n">
        <v>46294</v>
      </c>
      <c r="P70" s="9" t="n">
        <v>22550</v>
      </c>
      <c r="Q70" s="9" t="n">
        <f aca="false">P70</f>
        <v>22550</v>
      </c>
      <c r="S70" s="9" t="n">
        <v>21100</v>
      </c>
      <c r="T70" s="9" t="n">
        <f aca="false">S70</f>
        <v>21100</v>
      </c>
      <c r="U70" s="63" t="n">
        <v>21700</v>
      </c>
      <c r="V70" s="9" t="n">
        <f aca="false">U70</f>
        <v>21700</v>
      </c>
      <c r="W70" s="44" t="n">
        <f aca="false">S70/G70</f>
        <v>51.4634146341463</v>
      </c>
      <c r="X70" s="9" t="s">
        <v>57</v>
      </c>
      <c r="Y70" s="40"/>
      <c r="AA70" s="5" t="s">
        <v>40</v>
      </c>
      <c r="AB70" s="4" t="s">
        <v>215</v>
      </c>
      <c r="AE70" s="57"/>
    </row>
    <row r="71" customFormat="false" ht="19.4" hidden="false" customHeight="false" outlineLevel="0" collapsed="false">
      <c r="A71" s="11" t="s">
        <v>102</v>
      </c>
      <c r="B71" s="11" t="s">
        <v>35</v>
      </c>
      <c r="C71" s="28" t="n">
        <v>550080</v>
      </c>
      <c r="D71" s="4" t="s">
        <v>216</v>
      </c>
      <c r="E71" s="4" t="s">
        <v>108</v>
      </c>
      <c r="F71" s="5" t="s">
        <v>130</v>
      </c>
      <c r="G71" s="6" t="n">
        <v>3626</v>
      </c>
      <c r="H71" s="6" t="n">
        <f aca="false">G71</f>
        <v>3626</v>
      </c>
      <c r="I71" s="6" t="n">
        <v>3500</v>
      </c>
      <c r="J71" s="4" t="s">
        <v>217</v>
      </c>
      <c r="K71" s="7" t="n">
        <v>44635</v>
      </c>
      <c r="L71" s="8" t="n">
        <v>48287</v>
      </c>
      <c r="N71" s="8" t="n">
        <v>46461</v>
      </c>
      <c r="O71" s="8" t="n">
        <v>46460</v>
      </c>
      <c r="P71" s="9" t="n">
        <v>220000</v>
      </c>
      <c r="Q71" s="9" t="n">
        <f aca="false">P71</f>
        <v>220000</v>
      </c>
      <c r="S71" s="9" t="n">
        <v>210000</v>
      </c>
      <c r="T71" s="9" t="n">
        <f aca="false">S71</f>
        <v>210000</v>
      </c>
      <c r="U71" s="63" t="n">
        <v>237500</v>
      </c>
      <c r="V71" s="9" t="n">
        <f aca="false">U71</f>
        <v>237500</v>
      </c>
      <c r="W71" s="44" t="n">
        <f aca="false">S71/G71</f>
        <v>57.9150579150579</v>
      </c>
      <c r="X71" s="9" t="s">
        <v>57</v>
      </c>
      <c r="Y71" s="40"/>
      <c r="AA71" s="5" t="s">
        <v>40</v>
      </c>
      <c r="AB71" s="4" t="s">
        <v>218</v>
      </c>
      <c r="AE71" s="57"/>
    </row>
    <row r="72" customFormat="false" ht="19.4" hidden="false" customHeight="false" outlineLevel="0" collapsed="false">
      <c r="A72" s="11" t="s">
        <v>102</v>
      </c>
      <c r="B72" s="11" t="s">
        <v>35</v>
      </c>
      <c r="C72" s="28" t="n">
        <v>550080</v>
      </c>
      <c r="D72" s="4" t="s">
        <v>216</v>
      </c>
      <c r="E72" s="4" t="s">
        <v>85</v>
      </c>
      <c r="F72" s="5" t="s">
        <v>219</v>
      </c>
      <c r="G72" s="6" t="n">
        <v>1493</v>
      </c>
      <c r="H72" s="6" t="n">
        <f aca="false">G72</f>
        <v>1493</v>
      </c>
      <c r="I72" s="6" t="n">
        <v>1500</v>
      </c>
      <c r="J72" s="4" t="s">
        <v>63</v>
      </c>
      <c r="M72" s="8" t="n">
        <v>43279</v>
      </c>
      <c r="P72" s="9" t="n">
        <v>0</v>
      </c>
      <c r="Q72" s="9" t="n">
        <f aca="false">P72</f>
        <v>0</v>
      </c>
      <c r="S72" s="9" t="n">
        <v>86600</v>
      </c>
      <c r="T72" s="9" t="n">
        <f aca="false">S72</f>
        <v>86600</v>
      </c>
      <c r="U72" s="63" t="n">
        <v>93300</v>
      </c>
      <c r="V72" s="9" t="n">
        <f aca="false">U72</f>
        <v>93300</v>
      </c>
      <c r="W72" s="44" t="n">
        <f aca="false">S72/G72</f>
        <v>58.0040187541862</v>
      </c>
      <c r="X72" s="9" t="s">
        <v>57</v>
      </c>
      <c r="Y72" s="40"/>
      <c r="AA72" s="5" t="s">
        <v>40</v>
      </c>
      <c r="AB72" s="4" t="s">
        <v>220</v>
      </c>
      <c r="AD72" s="58"/>
      <c r="AE72" s="59"/>
      <c r="AF72" s="58"/>
    </row>
    <row r="73" customFormat="false" ht="19.4" hidden="false" customHeight="false" outlineLevel="0" collapsed="false">
      <c r="A73" s="11" t="s">
        <v>102</v>
      </c>
      <c r="B73" s="11" t="s">
        <v>35</v>
      </c>
      <c r="C73" s="28" t="n">
        <v>550080</v>
      </c>
      <c r="D73" s="4" t="s">
        <v>216</v>
      </c>
      <c r="E73" s="4" t="s">
        <v>89</v>
      </c>
      <c r="F73" s="5" t="s">
        <v>37</v>
      </c>
      <c r="G73" s="6" t="n">
        <v>1503</v>
      </c>
      <c r="H73" s="6" t="n">
        <f aca="false">G73</f>
        <v>1503</v>
      </c>
      <c r="I73" s="6" t="n">
        <v>1500</v>
      </c>
      <c r="J73" s="4" t="s">
        <v>63</v>
      </c>
      <c r="M73" s="8" t="n">
        <v>43354</v>
      </c>
      <c r="P73" s="9" t="n">
        <v>0</v>
      </c>
      <c r="Q73" s="9" t="n">
        <f aca="false">P73</f>
        <v>0</v>
      </c>
      <c r="S73" s="9" t="n">
        <v>88100</v>
      </c>
      <c r="T73" s="9" t="n">
        <f aca="false">S73</f>
        <v>88100</v>
      </c>
      <c r="U73" s="63" t="n">
        <v>93900</v>
      </c>
      <c r="V73" s="9" t="n">
        <f aca="false">U73</f>
        <v>93900</v>
      </c>
      <c r="W73" s="44" t="n">
        <f aca="false">S73/G73</f>
        <v>58.6161011310712</v>
      </c>
      <c r="X73" s="9" t="s">
        <v>57</v>
      </c>
      <c r="Y73" s="40"/>
      <c r="AA73" s="5" t="s">
        <v>40</v>
      </c>
      <c r="AB73" s="4" t="s">
        <v>220</v>
      </c>
      <c r="AD73" s="58"/>
      <c r="AE73" s="59"/>
      <c r="AF73" s="58"/>
    </row>
    <row r="74" customFormat="false" ht="19.4" hidden="false" customHeight="false" outlineLevel="0" collapsed="false">
      <c r="A74" s="11" t="s">
        <v>102</v>
      </c>
      <c r="B74" s="11" t="s">
        <v>35</v>
      </c>
      <c r="C74" s="28" t="n">
        <v>550080</v>
      </c>
      <c r="D74" s="4" t="s">
        <v>216</v>
      </c>
      <c r="E74" s="4" t="s">
        <v>90</v>
      </c>
      <c r="F74" s="5" t="s">
        <v>37</v>
      </c>
      <c r="G74" s="6" t="n">
        <v>1519</v>
      </c>
      <c r="H74" s="6" t="n">
        <f aca="false">G74</f>
        <v>1519</v>
      </c>
      <c r="I74" s="6" t="n">
        <v>1500</v>
      </c>
      <c r="J74" s="4" t="s">
        <v>63</v>
      </c>
      <c r="M74" s="8" t="n">
        <v>43354</v>
      </c>
      <c r="P74" s="9" t="n">
        <v>0</v>
      </c>
      <c r="Q74" s="9" t="n">
        <f aca="false">P74</f>
        <v>0</v>
      </c>
      <c r="S74" s="9" t="n">
        <v>83100</v>
      </c>
      <c r="T74" s="9" t="n">
        <f aca="false">S74</f>
        <v>83100</v>
      </c>
      <c r="U74" s="63" t="n">
        <v>91100</v>
      </c>
      <c r="V74" s="9" t="n">
        <f aca="false">U74</f>
        <v>91100</v>
      </c>
      <c r="W74" s="44" t="n">
        <f aca="false">S74/G74</f>
        <v>54.7070441079658</v>
      </c>
      <c r="X74" s="9" t="s">
        <v>57</v>
      </c>
      <c r="Y74" s="40"/>
      <c r="AA74" s="5" t="s">
        <v>40</v>
      </c>
      <c r="AB74" s="4" t="s">
        <v>220</v>
      </c>
      <c r="AD74" s="58"/>
      <c r="AE74" s="59"/>
      <c r="AF74" s="58"/>
    </row>
    <row r="75" customFormat="false" ht="19.4" hidden="false" customHeight="false" outlineLevel="0" collapsed="false">
      <c r="A75" s="11" t="s">
        <v>102</v>
      </c>
      <c r="B75" s="11" t="s">
        <v>35</v>
      </c>
      <c r="C75" s="28" t="n">
        <v>550080</v>
      </c>
      <c r="D75" s="4" t="s">
        <v>216</v>
      </c>
      <c r="E75" s="4" t="s">
        <v>114</v>
      </c>
      <c r="F75" s="5" t="s">
        <v>37</v>
      </c>
      <c r="G75" s="6" t="n">
        <v>1505</v>
      </c>
      <c r="H75" s="6" t="n">
        <f aca="false">G75</f>
        <v>1505</v>
      </c>
      <c r="I75" s="6" t="n">
        <v>1500</v>
      </c>
      <c r="J75" s="4" t="s">
        <v>63</v>
      </c>
      <c r="M75" s="8" t="n">
        <v>43354</v>
      </c>
      <c r="P75" s="9" t="n">
        <v>0</v>
      </c>
      <c r="Q75" s="9" t="n">
        <f aca="false">P75</f>
        <v>0</v>
      </c>
      <c r="S75" s="9" t="n">
        <v>83800</v>
      </c>
      <c r="T75" s="9" t="n">
        <f aca="false">S75</f>
        <v>83800</v>
      </c>
      <c r="U75" s="63" t="n">
        <v>90300</v>
      </c>
      <c r="V75" s="9" t="n">
        <f aca="false">U75</f>
        <v>90300</v>
      </c>
      <c r="W75" s="44" t="n">
        <f aca="false">S75/G75</f>
        <v>55.6810631229236</v>
      </c>
      <c r="X75" s="9" t="s">
        <v>57</v>
      </c>
      <c r="Y75" s="40"/>
      <c r="AA75" s="5" t="s">
        <v>40</v>
      </c>
      <c r="AB75" s="4" t="s">
        <v>220</v>
      </c>
      <c r="AD75" s="58"/>
      <c r="AE75" s="59"/>
      <c r="AF75" s="58"/>
    </row>
    <row r="76" customFormat="false" ht="19.4" hidden="false" customHeight="false" outlineLevel="0" collapsed="false">
      <c r="A76" s="11" t="s">
        <v>185</v>
      </c>
      <c r="B76" s="11" t="s">
        <v>35</v>
      </c>
      <c r="C76" s="28" t="n">
        <v>550400</v>
      </c>
      <c r="D76" s="4" t="s">
        <v>222</v>
      </c>
      <c r="E76" s="4" t="s">
        <v>108</v>
      </c>
      <c r="F76" s="5" t="s">
        <v>223</v>
      </c>
      <c r="G76" s="6" t="n">
        <v>2164</v>
      </c>
      <c r="H76" s="6" t="n">
        <f aca="false">G76</f>
        <v>2164</v>
      </c>
      <c r="I76" s="6" t="n">
        <v>2000</v>
      </c>
      <c r="J76" s="4" t="s">
        <v>224</v>
      </c>
      <c r="K76" s="7" t="n">
        <v>44995</v>
      </c>
      <c r="L76" s="8" t="n">
        <v>48647</v>
      </c>
      <c r="N76" s="8" t="n">
        <v>46822</v>
      </c>
      <c r="P76" s="9" t="n">
        <v>165000</v>
      </c>
      <c r="Q76" s="9" t="n">
        <f aca="false">P76</f>
        <v>165000</v>
      </c>
      <c r="S76" s="9" t="n">
        <v>165000</v>
      </c>
      <c r="T76" s="9" t="n">
        <f aca="false">S76</f>
        <v>165000</v>
      </c>
      <c r="U76" s="63" t="n">
        <v>165000</v>
      </c>
      <c r="V76" s="9" t="n">
        <f aca="false">U76</f>
        <v>165000</v>
      </c>
      <c r="W76" s="44" t="n">
        <f aca="false">S76/G76</f>
        <v>76.2476894639556</v>
      </c>
      <c r="X76" s="9" t="s">
        <v>57</v>
      </c>
      <c r="Y76" s="40"/>
      <c r="AA76" s="5" t="s">
        <v>40</v>
      </c>
      <c r="AE76" s="57"/>
    </row>
    <row r="77" customFormat="false" ht="19.4" hidden="false" customHeight="false" outlineLevel="0" collapsed="false">
      <c r="A77" s="11" t="s">
        <v>185</v>
      </c>
      <c r="B77" s="11" t="s">
        <v>35</v>
      </c>
      <c r="C77" s="28" t="n">
        <v>550400</v>
      </c>
      <c r="D77" s="4" t="s">
        <v>222</v>
      </c>
      <c r="E77" s="68" t="s">
        <v>225</v>
      </c>
      <c r="F77" s="5" t="s">
        <v>37</v>
      </c>
      <c r="G77" s="6" t="n">
        <v>3545</v>
      </c>
      <c r="H77" s="6" t="n">
        <f aca="false">G77</f>
        <v>3545</v>
      </c>
      <c r="I77" s="6" t="n">
        <v>3500</v>
      </c>
      <c r="J77" s="4" t="s">
        <v>193</v>
      </c>
      <c r="K77" s="7" t="n">
        <v>44362</v>
      </c>
      <c r="L77" s="8" t="n">
        <v>48013</v>
      </c>
      <c r="N77" s="8" t="n">
        <v>46197</v>
      </c>
      <c r="O77" s="8" t="n">
        <v>46197</v>
      </c>
      <c r="P77" s="9" t="n">
        <v>220000</v>
      </c>
      <c r="Q77" s="9" t="n">
        <f aca="false">P77</f>
        <v>220000</v>
      </c>
      <c r="S77" s="9" t="n">
        <v>220000</v>
      </c>
      <c r="T77" s="9" t="n">
        <f aca="false">S77</f>
        <v>220000</v>
      </c>
      <c r="U77" s="63" t="n">
        <v>220000</v>
      </c>
      <c r="V77" s="9" t="n">
        <f aca="false">U77</f>
        <v>220000</v>
      </c>
      <c r="W77" s="44" t="n">
        <f aca="false">S77/G77</f>
        <v>62.0592383638928</v>
      </c>
      <c r="X77" s="9" t="s">
        <v>39</v>
      </c>
      <c r="Y77" s="40"/>
      <c r="AA77" s="5" t="s">
        <v>40</v>
      </c>
      <c r="AB77" s="4" t="s">
        <v>73</v>
      </c>
      <c r="AE77" s="57"/>
    </row>
    <row r="78" customFormat="false" ht="15" hidden="false" customHeight="false" outlineLevel="0" collapsed="false">
      <c r="A78" s="11" t="s">
        <v>228</v>
      </c>
      <c r="B78" s="11" t="s">
        <v>35</v>
      </c>
      <c r="C78" s="28" t="n">
        <v>550740</v>
      </c>
      <c r="D78" s="4" t="s">
        <v>227</v>
      </c>
      <c r="E78" s="4" t="s">
        <v>108</v>
      </c>
      <c r="F78" s="5" t="s">
        <v>229</v>
      </c>
      <c r="G78" s="6" t="n">
        <v>1524</v>
      </c>
      <c r="H78" s="6" t="n">
        <f aca="false">G78</f>
        <v>1524</v>
      </c>
      <c r="I78" s="6" t="n">
        <v>1500</v>
      </c>
      <c r="J78" s="4" t="s">
        <v>230</v>
      </c>
      <c r="K78" s="7" t="n">
        <v>44833</v>
      </c>
      <c r="L78" s="8" t="n">
        <v>45928</v>
      </c>
      <c r="P78" s="9" t="n">
        <v>72000</v>
      </c>
      <c r="Q78" s="9" t="n">
        <f aca="false">P78</f>
        <v>72000</v>
      </c>
      <c r="S78" s="9" t="n">
        <v>72000</v>
      </c>
      <c r="T78" s="9" t="n">
        <f aca="false">S78</f>
        <v>72000</v>
      </c>
      <c r="U78" s="63" t="n">
        <v>72038</v>
      </c>
      <c r="V78" s="9" t="n">
        <f aca="false">U78</f>
        <v>72038</v>
      </c>
      <c r="W78" s="44" t="n">
        <f aca="false">S78/G78</f>
        <v>47.244094488189</v>
      </c>
      <c r="X78" s="9" t="s">
        <v>57</v>
      </c>
      <c r="Y78" s="40"/>
      <c r="AA78" s="5" t="s">
        <v>40</v>
      </c>
      <c r="AB78" s="58" t="s">
        <v>231</v>
      </c>
      <c r="AE78" s="57"/>
    </row>
    <row r="79" customFormat="false" ht="15" hidden="false" customHeight="false" outlineLevel="0" collapsed="false">
      <c r="A79" s="11" t="s">
        <v>228</v>
      </c>
      <c r="B79" s="11" t="s">
        <v>35</v>
      </c>
      <c r="C79" s="28" t="n">
        <v>550740</v>
      </c>
      <c r="D79" s="4" t="s">
        <v>227</v>
      </c>
      <c r="E79" s="4" t="s">
        <v>85</v>
      </c>
      <c r="F79" s="5" t="s">
        <v>37</v>
      </c>
      <c r="G79" s="6" t="n">
        <v>730</v>
      </c>
      <c r="H79" s="6" t="n">
        <f aca="false">G79</f>
        <v>730</v>
      </c>
      <c r="I79" s="6" t="n">
        <v>750</v>
      </c>
      <c r="J79" s="4" t="s">
        <v>232</v>
      </c>
      <c r="K79" s="7" t="n">
        <v>45271</v>
      </c>
      <c r="L79" s="8" t="n">
        <v>46561</v>
      </c>
      <c r="P79" s="9" t="n">
        <v>42705</v>
      </c>
      <c r="Q79" s="9" t="n">
        <f aca="false">P79</f>
        <v>42705</v>
      </c>
      <c r="S79" s="9" t="n">
        <v>42000</v>
      </c>
      <c r="T79" s="9" t="n">
        <f aca="false">S79</f>
        <v>42000</v>
      </c>
      <c r="U79" s="63" t="n">
        <v>41975</v>
      </c>
      <c r="V79" s="9" t="n">
        <f aca="false">U79</f>
        <v>41975</v>
      </c>
      <c r="W79" s="44" t="n">
        <f aca="false">S79/G79</f>
        <v>57.5342465753425</v>
      </c>
      <c r="X79" s="9" t="s">
        <v>57</v>
      </c>
      <c r="Y79" s="40"/>
      <c r="AA79" s="5" t="s">
        <v>40</v>
      </c>
      <c r="AE79" s="57"/>
    </row>
    <row r="80" customFormat="false" ht="15" hidden="false" customHeight="false" outlineLevel="0" collapsed="false">
      <c r="A80" s="11" t="s">
        <v>228</v>
      </c>
      <c r="B80" s="11" t="s">
        <v>35</v>
      </c>
      <c r="C80" s="28" t="n">
        <v>550740</v>
      </c>
      <c r="D80" s="4" t="s">
        <v>227</v>
      </c>
      <c r="E80" s="4" t="s">
        <v>89</v>
      </c>
      <c r="F80" s="5" t="s">
        <v>37</v>
      </c>
      <c r="G80" s="6" t="n">
        <v>730</v>
      </c>
      <c r="H80" s="6" t="n">
        <f aca="false">G80</f>
        <v>730</v>
      </c>
      <c r="I80" s="6" t="n">
        <v>750</v>
      </c>
      <c r="J80" s="4" t="s">
        <v>233</v>
      </c>
      <c r="K80" s="7" t="n">
        <v>44833</v>
      </c>
      <c r="L80" s="8" t="n">
        <v>46658</v>
      </c>
      <c r="P80" s="9" t="n">
        <v>42000</v>
      </c>
      <c r="Q80" s="9" t="n">
        <f aca="false">P80</f>
        <v>42000</v>
      </c>
      <c r="S80" s="9" t="n">
        <v>42000</v>
      </c>
      <c r="T80" s="9" t="n">
        <f aca="false">S80</f>
        <v>42000</v>
      </c>
      <c r="U80" s="63" t="n">
        <v>41975</v>
      </c>
      <c r="V80" s="9" t="n">
        <f aca="false">U80</f>
        <v>41975</v>
      </c>
      <c r="W80" s="44" t="n">
        <f aca="false">S80/G80</f>
        <v>57.5342465753425</v>
      </c>
      <c r="X80" s="9" t="s">
        <v>57</v>
      </c>
      <c r="Y80" s="40"/>
      <c r="AA80" s="5" t="s">
        <v>40</v>
      </c>
      <c r="AE80" s="57"/>
    </row>
    <row r="81" customFormat="false" ht="15" hidden="false" customHeight="false" outlineLevel="0" collapsed="false">
      <c r="A81" s="11" t="s">
        <v>228</v>
      </c>
      <c r="B81" s="11" t="s">
        <v>35</v>
      </c>
      <c r="C81" s="28" t="n">
        <v>550740</v>
      </c>
      <c r="D81" s="4" t="s">
        <v>227</v>
      </c>
      <c r="E81" s="4" t="s">
        <v>90</v>
      </c>
      <c r="F81" s="5" t="s">
        <v>37</v>
      </c>
      <c r="G81" s="6" t="n">
        <v>730</v>
      </c>
      <c r="H81" s="6" t="n">
        <f aca="false">G81</f>
        <v>730</v>
      </c>
      <c r="I81" s="6" t="n">
        <v>750</v>
      </c>
      <c r="J81" s="4" t="s">
        <v>232</v>
      </c>
      <c r="K81" s="7" t="n">
        <v>45271</v>
      </c>
      <c r="L81" s="8" t="n">
        <v>46561</v>
      </c>
      <c r="P81" s="9" t="n">
        <v>42705</v>
      </c>
      <c r="Q81" s="9" t="n">
        <f aca="false">P81</f>
        <v>42705</v>
      </c>
      <c r="S81" s="9" t="n">
        <v>42000</v>
      </c>
      <c r="T81" s="9" t="n">
        <f aca="false">S81</f>
        <v>42000</v>
      </c>
      <c r="U81" s="63" t="n">
        <v>41975</v>
      </c>
      <c r="V81" s="9" t="n">
        <f aca="false">U81</f>
        <v>41975</v>
      </c>
      <c r="W81" s="44" t="n">
        <f aca="false">S81/G81</f>
        <v>57.5342465753425</v>
      </c>
      <c r="X81" s="9" t="s">
        <v>57</v>
      </c>
      <c r="Y81" s="40"/>
      <c r="AA81" s="5" t="s">
        <v>40</v>
      </c>
      <c r="AE81" s="57"/>
    </row>
    <row r="82" customFormat="false" ht="19.4" hidden="false" customHeight="false" outlineLevel="0" collapsed="false">
      <c r="A82" s="11" t="s">
        <v>228</v>
      </c>
      <c r="B82" s="11" t="s">
        <v>35</v>
      </c>
      <c r="C82" s="28" t="n">
        <v>550740</v>
      </c>
      <c r="D82" s="4" t="s">
        <v>227</v>
      </c>
      <c r="E82" s="4" t="s">
        <v>234</v>
      </c>
      <c r="F82" s="5" t="s">
        <v>235</v>
      </c>
      <c r="G82" s="6" t="n">
        <v>1180</v>
      </c>
      <c r="H82" s="6" t="n">
        <f aca="false">G82</f>
        <v>1180</v>
      </c>
      <c r="I82" s="6" t="n">
        <v>1000</v>
      </c>
      <c r="J82" s="58" t="s">
        <v>236</v>
      </c>
      <c r="K82" s="78" t="n">
        <v>45845</v>
      </c>
      <c r="L82" s="79" t="n">
        <v>45997</v>
      </c>
      <c r="M82" s="79"/>
      <c r="N82" s="79"/>
      <c r="O82" s="79"/>
      <c r="P82" s="63" t="n">
        <v>66000</v>
      </c>
      <c r="Q82" s="9" t="n">
        <f aca="false">P82</f>
        <v>66000</v>
      </c>
      <c r="S82" s="9" t="n">
        <v>61360</v>
      </c>
      <c r="T82" s="9" t="n">
        <f aca="false">S82</f>
        <v>61360</v>
      </c>
      <c r="U82" s="63" t="n">
        <v>63177</v>
      </c>
      <c r="V82" s="9" t="n">
        <f aca="false">U82</f>
        <v>63177</v>
      </c>
      <c r="W82" s="44" t="n">
        <f aca="false">S82/G82</f>
        <v>52</v>
      </c>
      <c r="X82" s="9" t="s">
        <v>39</v>
      </c>
      <c r="Y82" s="40"/>
      <c r="AA82" s="5" t="s">
        <v>40</v>
      </c>
      <c r="AB82" s="58" t="s">
        <v>237</v>
      </c>
      <c r="AE82" s="57"/>
    </row>
    <row r="83" customFormat="false" ht="19.4" hidden="false" customHeight="false" outlineLevel="0" collapsed="false">
      <c r="A83" s="11" t="s">
        <v>185</v>
      </c>
      <c r="B83" s="11" t="s">
        <v>35</v>
      </c>
      <c r="C83" s="28" t="n">
        <v>550840</v>
      </c>
      <c r="D83" s="4" t="s">
        <v>239</v>
      </c>
      <c r="E83" s="4" t="s">
        <v>240</v>
      </c>
      <c r="F83" s="5" t="s">
        <v>86</v>
      </c>
      <c r="G83" s="41" t="n">
        <v>2313</v>
      </c>
      <c r="H83" s="9" t="n">
        <f aca="false">G83</f>
        <v>2313</v>
      </c>
      <c r="I83" s="9" t="n">
        <v>2250</v>
      </c>
      <c r="J83" s="4" t="s">
        <v>241</v>
      </c>
      <c r="K83" s="7" t="n">
        <v>42339</v>
      </c>
      <c r="L83" s="8" t="n">
        <v>45991</v>
      </c>
      <c r="N83" s="8" t="n">
        <v>44166</v>
      </c>
      <c r="P83" s="42" t="n">
        <v>112000</v>
      </c>
      <c r="Q83" s="9" t="n">
        <f aca="false">P83</f>
        <v>112000</v>
      </c>
      <c r="R83" s="42" t="n">
        <f aca="false">Q83</f>
        <v>112000</v>
      </c>
      <c r="S83" s="41" t="n">
        <v>106600</v>
      </c>
      <c r="T83" s="9" t="n">
        <f aca="false">S83</f>
        <v>106600</v>
      </c>
      <c r="U83" s="60" t="n">
        <v>102100</v>
      </c>
      <c r="V83" s="9" t="n">
        <f aca="false">U83</f>
        <v>102100</v>
      </c>
      <c r="W83" s="44" t="n">
        <f aca="false">S83/G83</f>
        <v>46.0873324686554</v>
      </c>
      <c r="X83" s="9" t="s">
        <v>123</v>
      </c>
      <c r="Y83" s="40"/>
      <c r="Z83" s="60" t="n">
        <v>1375000</v>
      </c>
      <c r="AA83" s="5" t="s">
        <v>40</v>
      </c>
      <c r="AE83" s="57"/>
    </row>
    <row r="84" customFormat="false" ht="15" hidden="false" customHeight="false" outlineLevel="0" collapsed="false">
      <c r="A84" s="11" t="s">
        <v>228</v>
      </c>
      <c r="B84" s="11" t="s">
        <v>35</v>
      </c>
      <c r="C84" s="28" t="n">
        <v>550830</v>
      </c>
      <c r="D84" s="4" t="s">
        <v>242</v>
      </c>
      <c r="E84" s="4" t="s">
        <v>243</v>
      </c>
      <c r="F84" s="11" t="s">
        <v>244</v>
      </c>
      <c r="G84" s="6" t="n">
        <v>4259</v>
      </c>
      <c r="H84" s="6" t="n">
        <f aca="false">G84</f>
        <v>4259</v>
      </c>
      <c r="I84" s="6" t="n">
        <v>4250</v>
      </c>
      <c r="J84" s="4" t="s">
        <v>245</v>
      </c>
      <c r="K84" s="7" t="n">
        <v>44967</v>
      </c>
      <c r="L84" s="8" t="n">
        <v>48619</v>
      </c>
      <c r="N84" s="8" t="n">
        <v>46793</v>
      </c>
      <c r="O84" s="8" t="n">
        <v>46792</v>
      </c>
      <c r="P84" s="9" t="n">
        <v>215000</v>
      </c>
      <c r="Q84" s="9" t="n">
        <f aca="false">P84</f>
        <v>215000</v>
      </c>
      <c r="S84" s="6" t="n">
        <v>215000</v>
      </c>
      <c r="T84" s="9" t="n">
        <f aca="false">S84</f>
        <v>215000</v>
      </c>
      <c r="U84" s="54" t="n">
        <v>215000</v>
      </c>
      <c r="V84" s="9" t="n">
        <f aca="false">U84</f>
        <v>215000</v>
      </c>
      <c r="W84" s="44" t="n">
        <f aca="false">S84/G84</f>
        <v>50.4813336463959</v>
      </c>
      <c r="X84" s="9" t="s">
        <v>39</v>
      </c>
      <c r="Y84" s="55"/>
      <c r="AA84" s="5" t="s">
        <v>40</v>
      </c>
      <c r="AB84" s="4" t="s">
        <v>73</v>
      </c>
      <c r="AE84" s="57"/>
    </row>
    <row r="85" customFormat="false" ht="15" hidden="false" customHeight="false" outlineLevel="0" collapsed="false">
      <c r="A85" s="11" t="s">
        <v>228</v>
      </c>
      <c r="B85" s="11" t="s">
        <v>35</v>
      </c>
      <c r="C85" s="28" t="n">
        <v>550830</v>
      </c>
      <c r="D85" s="4" t="s">
        <v>242</v>
      </c>
      <c r="E85" s="4" t="s">
        <v>85</v>
      </c>
      <c r="F85" s="11" t="s">
        <v>37</v>
      </c>
      <c r="G85" s="6" t="n">
        <v>1902</v>
      </c>
      <c r="H85" s="6" t="n">
        <f aca="false">G85</f>
        <v>1902</v>
      </c>
      <c r="I85" s="6" t="n">
        <v>2000</v>
      </c>
      <c r="J85" s="4" t="s">
        <v>245</v>
      </c>
      <c r="K85" s="7" t="n">
        <v>44967</v>
      </c>
      <c r="L85" s="8" t="n">
        <v>48619</v>
      </c>
      <c r="N85" s="8" t="n">
        <v>46793</v>
      </c>
      <c r="O85" s="8" t="n">
        <v>46792</v>
      </c>
      <c r="P85" s="9" t="n">
        <v>109620</v>
      </c>
      <c r="Q85" s="9" t="n">
        <f aca="false">P85</f>
        <v>109620</v>
      </c>
      <c r="S85" s="6" t="n">
        <v>109620</v>
      </c>
      <c r="T85" s="9" t="n">
        <f aca="false">S85</f>
        <v>109620</v>
      </c>
      <c r="U85" s="54" t="n">
        <v>123600</v>
      </c>
      <c r="V85" s="9" t="n">
        <f aca="false">U85</f>
        <v>123600</v>
      </c>
      <c r="W85" s="44" t="n">
        <f aca="false">S85/G85</f>
        <v>57.6340694006309</v>
      </c>
      <c r="X85" s="9" t="s">
        <v>39</v>
      </c>
      <c r="Y85" s="40"/>
      <c r="AA85" s="5" t="s">
        <v>40</v>
      </c>
      <c r="AB85" s="4" t="s">
        <v>73</v>
      </c>
      <c r="AE85" s="57"/>
    </row>
    <row r="86" customFormat="false" ht="15" hidden="false" customHeight="false" outlineLevel="0" collapsed="false">
      <c r="A86" s="11" t="s">
        <v>228</v>
      </c>
      <c r="B86" s="11" t="s">
        <v>35</v>
      </c>
      <c r="C86" s="28" t="n">
        <v>550830</v>
      </c>
      <c r="D86" s="4" t="s">
        <v>242</v>
      </c>
      <c r="E86" s="4" t="s">
        <v>89</v>
      </c>
      <c r="F86" s="11" t="s">
        <v>37</v>
      </c>
      <c r="G86" s="6" t="n">
        <v>1440</v>
      </c>
      <c r="H86" s="6" t="n">
        <f aca="false">G86</f>
        <v>1440</v>
      </c>
      <c r="I86" s="6" t="n">
        <v>1500</v>
      </c>
      <c r="J86" s="4" t="s">
        <v>63</v>
      </c>
      <c r="M86" s="8" t="n">
        <v>44593</v>
      </c>
      <c r="P86" s="9" t="n">
        <v>0</v>
      </c>
      <c r="Q86" s="9" t="n">
        <f aca="false">P86</f>
        <v>0</v>
      </c>
      <c r="S86" s="6" t="n">
        <v>79800</v>
      </c>
      <c r="T86" s="9" t="n">
        <f aca="false">S86</f>
        <v>79800</v>
      </c>
      <c r="U86" s="54" t="n">
        <v>93600</v>
      </c>
      <c r="V86" s="9" t="n">
        <f aca="false">U86</f>
        <v>93600</v>
      </c>
      <c r="W86" s="44" t="n">
        <f aca="false">S86/G86</f>
        <v>55.4166666666667</v>
      </c>
      <c r="X86" s="9" t="s">
        <v>57</v>
      </c>
      <c r="Y86" s="40"/>
      <c r="AA86" s="5" t="s">
        <v>40</v>
      </c>
      <c r="AB86" s="58" t="s">
        <v>246</v>
      </c>
      <c r="AE86" s="57"/>
    </row>
    <row r="87" customFormat="false" ht="15" hidden="false" customHeight="false" outlineLevel="0" collapsed="false">
      <c r="A87" s="11" t="s">
        <v>228</v>
      </c>
      <c r="B87" s="11" t="s">
        <v>35</v>
      </c>
      <c r="C87" s="28" t="n">
        <v>550830</v>
      </c>
      <c r="D87" s="4" t="s">
        <v>242</v>
      </c>
      <c r="E87" s="4" t="s">
        <v>90</v>
      </c>
      <c r="F87" s="11" t="s">
        <v>37</v>
      </c>
      <c r="G87" s="6" t="n">
        <v>1433</v>
      </c>
      <c r="H87" s="6" t="n">
        <f aca="false">G87</f>
        <v>1433</v>
      </c>
      <c r="I87" s="6" t="n">
        <v>1500</v>
      </c>
      <c r="J87" s="4" t="s">
        <v>63</v>
      </c>
      <c r="M87" s="8" t="n">
        <v>43313</v>
      </c>
      <c r="P87" s="9" t="n">
        <v>0</v>
      </c>
      <c r="Q87" s="9" t="n">
        <f aca="false">P87</f>
        <v>0</v>
      </c>
      <c r="S87" s="6" t="n">
        <v>79750</v>
      </c>
      <c r="T87" s="9" t="n">
        <f aca="false">S87</f>
        <v>79750</v>
      </c>
      <c r="U87" s="54" t="n">
        <v>93100</v>
      </c>
      <c r="V87" s="9" t="n">
        <f aca="false">U87</f>
        <v>93100</v>
      </c>
      <c r="W87" s="44" t="n">
        <f aca="false">S87/G87</f>
        <v>55.6524773203071</v>
      </c>
      <c r="X87" s="9" t="s">
        <v>57</v>
      </c>
      <c r="Y87" s="40"/>
      <c r="AA87" s="5" t="s">
        <v>40</v>
      </c>
      <c r="AB87" s="58" t="s">
        <v>246</v>
      </c>
      <c r="AE87" s="57"/>
    </row>
    <row r="88" customFormat="false" ht="15" hidden="false" customHeight="false" outlineLevel="0" collapsed="false">
      <c r="A88" s="11" t="s">
        <v>228</v>
      </c>
      <c r="B88" s="11" t="s">
        <v>35</v>
      </c>
      <c r="C88" s="28" t="n">
        <v>550830</v>
      </c>
      <c r="D88" s="4" t="s">
        <v>242</v>
      </c>
      <c r="E88" s="4" t="s">
        <v>114</v>
      </c>
      <c r="F88" s="11" t="s">
        <v>37</v>
      </c>
      <c r="G88" s="6" t="n">
        <v>1480</v>
      </c>
      <c r="H88" s="6" t="n">
        <f aca="false">G88</f>
        <v>1480</v>
      </c>
      <c r="I88" s="6" t="n">
        <v>1500</v>
      </c>
      <c r="J88" s="4" t="s">
        <v>63</v>
      </c>
      <c r="M88" s="8" t="n">
        <v>44409</v>
      </c>
      <c r="P88" s="9" t="n">
        <v>0</v>
      </c>
      <c r="Q88" s="9" t="n">
        <f aca="false">P88</f>
        <v>0</v>
      </c>
      <c r="S88" s="6" t="n">
        <v>79800</v>
      </c>
      <c r="T88" s="9" t="n">
        <f aca="false">S88</f>
        <v>79800</v>
      </c>
      <c r="U88" s="54" t="n">
        <v>96200</v>
      </c>
      <c r="V88" s="9" t="n">
        <f aca="false">U88</f>
        <v>96200</v>
      </c>
      <c r="W88" s="44" t="n">
        <f aca="false">S88/G88</f>
        <v>53.9189189189189</v>
      </c>
      <c r="X88" s="9" t="s">
        <v>123</v>
      </c>
      <c r="Y88" s="40"/>
      <c r="AA88" s="5" t="s">
        <v>40</v>
      </c>
      <c r="AB88" s="58" t="s">
        <v>246</v>
      </c>
      <c r="AE88" s="57"/>
    </row>
    <row r="89" customFormat="false" ht="15" hidden="false" customHeight="false" outlineLevel="0" collapsed="false">
      <c r="A89" s="11" t="s">
        <v>228</v>
      </c>
      <c r="B89" s="11" t="s">
        <v>35</v>
      </c>
      <c r="C89" s="28" t="n">
        <v>550830</v>
      </c>
      <c r="D89" s="4" t="s">
        <v>242</v>
      </c>
      <c r="E89" s="4" t="s">
        <v>176</v>
      </c>
      <c r="F89" s="11" t="s">
        <v>37</v>
      </c>
      <c r="G89" s="6" t="n">
        <v>784</v>
      </c>
      <c r="H89" s="6" t="n">
        <f aca="false">G89</f>
        <v>784</v>
      </c>
      <c r="I89" s="6" t="n">
        <v>750</v>
      </c>
      <c r="J89" s="4" t="s">
        <v>63</v>
      </c>
      <c r="M89" s="8" t="n">
        <v>44734</v>
      </c>
      <c r="P89" s="9" t="n">
        <v>0</v>
      </c>
      <c r="Q89" s="9" t="n">
        <f aca="false">P89</f>
        <v>0</v>
      </c>
      <c r="S89" s="6" t="n">
        <v>39030</v>
      </c>
      <c r="T89" s="9" t="n">
        <f aca="false">S89</f>
        <v>39030</v>
      </c>
      <c r="U89" s="54" t="n">
        <v>49000</v>
      </c>
      <c r="V89" s="9" t="n">
        <f aca="false">U89</f>
        <v>49000</v>
      </c>
      <c r="W89" s="44" t="n">
        <f aca="false">S89/G89</f>
        <v>49.7831632653061</v>
      </c>
      <c r="X89" s="9" t="s">
        <v>57</v>
      </c>
      <c r="Y89" s="40"/>
      <c r="AA89" s="5" t="s">
        <v>40</v>
      </c>
      <c r="AB89" s="58" t="s">
        <v>246</v>
      </c>
      <c r="AE89" s="57"/>
    </row>
    <row r="90" customFormat="false" ht="28.35" hidden="false" customHeight="false" outlineLevel="0" collapsed="false">
      <c r="A90" s="11" t="s">
        <v>44</v>
      </c>
      <c r="B90" s="11" t="s">
        <v>35</v>
      </c>
      <c r="C90" s="28" t="n">
        <v>550600</v>
      </c>
      <c r="D90" s="4" t="s">
        <v>247</v>
      </c>
      <c r="E90" s="4" t="s">
        <v>248</v>
      </c>
      <c r="F90" s="5" t="s">
        <v>229</v>
      </c>
      <c r="G90" s="6" t="n">
        <v>1449</v>
      </c>
      <c r="H90" s="6" t="n">
        <f aca="false">G90</f>
        <v>1449</v>
      </c>
      <c r="I90" s="6" t="n">
        <v>1500</v>
      </c>
      <c r="J90" s="4" t="s">
        <v>249</v>
      </c>
      <c r="K90" s="7" t="n">
        <v>45624</v>
      </c>
      <c r="L90" s="8" t="n">
        <v>49275</v>
      </c>
      <c r="P90" s="9" t="n">
        <v>70000</v>
      </c>
      <c r="Q90" s="9" t="n">
        <f aca="false">P90</f>
        <v>70000</v>
      </c>
      <c r="S90" s="9" t="n">
        <v>76500</v>
      </c>
      <c r="T90" s="9" t="n">
        <f aca="false">S90</f>
        <v>76500</v>
      </c>
      <c r="U90" s="63" t="n">
        <v>94500</v>
      </c>
      <c r="V90" s="9" t="n">
        <f aca="false">U90</f>
        <v>94500</v>
      </c>
      <c r="W90" s="44" t="n">
        <f aca="false">S90/G90</f>
        <v>52.7950310559006</v>
      </c>
      <c r="X90" s="9" t="s">
        <v>39</v>
      </c>
      <c r="Y90" s="40"/>
      <c r="AA90" s="5" t="s">
        <v>40</v>
      </c>
      <c r="AB90" s="4" t="s">
        <v>250</v>
      </c>
      <c r="AC90" s="56"/>
      <c r="AE90" s="57"/>
    </row>
    <row r="91" customFormat="false" ht="15" hidden="false" customHeight="false" outlineLevel="0" collapsed="false">
      <c r="A91" s="11" t="s">
        <v>44</v>
      </c>
      <c r="B91" s="11" t="s">
        <v>35</v>
      </c>
      <c r="C91" s="28" t="n">
        <v>550600</v>
      </c>
      <c r="D91" s="4" t="s">
        <v>247</v>
      </c>
      <c r="E91" s="4" t="s">
        <v>251</v>
      </c>
      <c r="F91" s="5" t="s">
        <v>252</v>
      </c>
      <c r="G91" s="6" t="n">
        <v>1550</v>
      </c>
      <c r="H91" s="6" t="n">
        <f aca="false">G91</f>
        <v>1550</v>
      </c>
      <c r="I91" s="6" t="n">
        <v>1500</v>
      </c>
      <c r="J91" s="4" t="s">
        <v>253</v>
      </c>
      <c r="K91" s="7" t="n">
        <v>43293</v>
      </c>
      <c r="L91" s="8" t="n">
        <v>46214</v>
      </c>
      <c r="P91" s="9" t="n">
        <v>120000</v>
      </c>
      <c r="Q91" s="9" t="n">
        <f aca="false">P91</f>
        <v>120000</v>
      </c>
      <c r="S91" s="9" t="n">
        <v>81000</v>
      </c>
      <c r="T91" s="9" t="n">
        <f aca="false">S91</f>
        <v>81000</v>
      </c>
      <c r="U91" s="63" t="n">
        <v>104000</v>
      </c>
      <c r="V91" s="9" t="n">
        <f aca="false">U91</f>
        <v>104000</v>
      </c>
      <c r="W91" s="44" t="n">
        <f aca="false">S91/G91</f>
        <v>52.258064516129</v>
      </c>
      <c r="X91" s="9" t="s">
        <v>39</v>
      </c>
      <c r="Y91" s="40"/>
      <c r="AA91" s="5" t="s">
        <v>40</v>
      </c>
      <c r="AE91" s="57"/>
    </row>
    <row r="92" customFormat="false" ht="19.4" hidden="false" customHeight="false" outlineLevel="0" collapsed="false">
      <c r="A92" s="11" t="s">
        <v>44</v>
      </c>
      <c r="B92" s="11" t="s">
        <v>35</v>
      </c>
      <c r="C92" s="28" t="n">
        <v>550600</v>
      </c>
      <c r="D92" s="4" t="s">
        <v>247</v>
      </c>
      <c r="E92" s="4" t="s">
        <v>254</v>
      </c>
      <c r="F92" s="5" t="s">
        <v>37</v>
      </c>
      <c r="G92" s="6" t="n">
        <v>3441</v>
      </c>
      <c r="H92" s="6" t="n">
        <f aca="false">G92</f>
        <v>3441</v>
      </c>
      <c r="I92" s="6" t="n">
        <v>3500</v>
      </c>
      <c r="J92" s="4" t="s">
        <v>255</v>
      </c>
      <c r="K92" s="7" t="n">
        <v>44358</v>
      </c>
      <c r="L92" s="8" t="n">
        <v>48009</v>
      </c>
      <c r="N92" s="8" t="n">
        <v>46184</v>
      </c>
      <c r="O92" s="8" t="n">
        <v>46183</v>
      </c>
      <c r="P92" s="9" t="n">
        <v>189000</v>
      </c>
      <c r="Q92" s="9" t="n">
        <f aca="false">P92</f>
        <v>189000</v>
      </c>
      <c r="S92" s="9" t="n">
        <v>189300</v>
      </c>
      <c r="T92" s="9" t="n">
        <f aca="false">S92</f>
        <v>189300</v>
      </c>
      <c r="U92" s="63" t="n">
        <v>189300</v>
      </c>
      <c r="V92" s="9" t="n">
        <f aca="false">U92</f>
        <v>189300</v>
      </c>
      <c r="W92" s="44" t="n">
        <f aca="false">S92/G92</f>
        <v>55.0130775937228</v>
      </c>
      <c r="X92" s="9" t="s">
        <v>123</v>
      </c>
      <c r="Y92" s="40"/>
      <c r="AA92" s="5" t="s">
        <v>40</v>
      </c>
      <c r="AB92" s="4" t="s">
        <v>256</v>
      </c>
      <c r="AE92" s="57"/>
    </row>
    <row r="93" customFormat="false" ht="37.3" hidden="false" customHeight="false" outlineLevel="0" collapsed="false">
      <c r="A93" s="11" t="s">
        <v>185</v>
      </c>
      <c r="B93" s="11" t="s">
        <v>35</v>
      </c>
      <c r="C93" s="28" t="n">
        <v>550990</v>
      </c>
      <c r="D93" s="4" t="s">
        <v>257</v>
      </c>
      <c r="E93" s="4" t="s">
        <v>258</v>
      </c>
      <c r="F93" s="5" t="s">
        <v>46</v>
      </c>
      <c r="G93" s="6" t="n">
        <v>1361</v>
      </c>
      <c r="H93" s="6" t="n">
        <f aca="false">G93</f>
        <v>1361</v>
      </c>
      <c r="J93" s="4" t="s">
        <v>259</v>
      </c>
      <c r="K93" s="7" t="n">
        <v>45352</v>
      </c>
      <c r="L93" s="8" t="n">
        <v>49003</v>
      </c>
      <c r="N93" s="8" t="n">
        <v>47178</v>
      </c>
      <c r="O93" s="8" t="n">
        <v>47177</v>
      </c>
      <c r="P93" s="9" t="n">
        <v>60000</v>
      </c>
      <c r="Q93" s="9" t="n">
        <f aca="false">P93</f>
        <v>60000</v>
      </c>
      <c r="S93" s="9" t="n">
        <v>55600</v>
      </c>
      <c r="T93" s="9" t="n">
        <f aca="false">S93</f>
        <v>55600</v>
      </c>
      <c r="U93" s="63" t="n">
        <v>59000</v>
      </c>
      <c r="V93" s="9" t="n">
        <f aca="false">U93</f>
        <v>59000</v>
      </c>
      <c r="W93" s="44" t="n">
        <f aca="false">S93/G93</f>
        <v>40.852314474651</v>
      </c>
      <c r="X93" s="9" t="s">
        <v>52</v>
      </c>
      <c r="Y93" s="40"/>
      <c r="AA93" s="5" t="s">
        <v>40</v>
      </c>
      <c r="AB93" s="4" t="s">
        <v>260</v>
      </c>
      <c r="AE93" s="57"/>
    </row>
    <row r="94" customFormat="false" ht="15" hidden="false" customHeight="false" outlineLevel="0" collapsed="false">
      <c r="A94" s="11" t="s">
        <v>185</v>
      </c>
      <c r="B94" s="11" t="s">
        <v>35</v>
      </c>
      <c r="C94" s="28" t="n">
        <v>550990</v>
      </c>
      <c r="D94" s="4" t="s">
        <v>257</v>
      </c>
      <c r="E94" s="4" t="s">
        <v>85</v>
      </c>
      <c r="F94" s="5" t="s">
        <v>37</v>
      </c>
      <c r="G94" s="6" t="n">
        <v>552</v>
      </c>
      <c r="H94" s="6" t="n">
        <f aca="false">G94</f>
        <v>552</v>
      </c>
      <c r="J94" s="4" t="s">
        <v>261</v>
      </c>
      <c r="K94" s="7" t="n">
        <v>45579</v>
      </c>
      <c r="L94" s="8" t="n">
        <v>47404</v>
      </c>
      <c r="O94" s="8" t="n">
        <v>46673</v>
      </c>
      <c r="P94" s="9" t="n">
        <v>33000</v>
      </c>
      <c r="Q94" s="9" t="n">
        <f aca="false">P94</f>
        <v>33000</v>
      </c>
      <c r="S94" s="9" t="n">
        <v>29700</v>
      </c>
      <c r="T94" s="9" t="n">
        <f aca="false">S94</f>
        <v>29700</v>
      </c>
      <c r="U94" s="63" t="n">
        <v>30400</v>
      </c>
      <c r="V94" s="9" t="n">
        <f aca="false">U94</f>
        <v>30400</v>
      </c>
      <c r="W94" s="44" t="n">
        <f aca="false">S94/G94</f>
        <v>53.804347826087</v>
      </c>
      <c r="X94" s="9" t="s">
        <v>57</v>
      </c>
      <c r="Y94" s="40"/>
      <c r="AA94" s="5" t="s">
        <v>40</v>
      </c>
      <c r="AB94" s="4" t="s">
        <v>73</v>
      </c>
      <c r="AC94" s="56"/>
      <c r="AE94" s="57"/>
    </row>
    <row r="95" customFormat="false" ht="15" hidden="false" customHeight="false" outlineLevel="0" collapsed="false">
      <c r="A95" s="11" t="s">
        <v>185</v>
      </c>
      <c r="B95" s="11" t="s">
        <v>35</v>
      </c>
      <c r="C95" s="28" t="n">
        <v>550990</v>
      </c>
      <c r="D95" s="4" t="s">
        <v>257</v>
      </c>
      <c r="E95" s="4" t="s">
        <v>89</v>
      </c>
      <c r="F95" s="5" t="s">
        <v>37</v>
      </c>
      <c r="G95" s="6" t="n">
        <v>304</v>
      </c>
      <c r="H95" s="6" t="n">
        <f aca="false">G95</f>
        <v>304</v>
      </c>
      <c r="I95" s="6" t="n">
        <v>250</v>
      </c>
      <c r="J95" s="4" t="s">
        <v>63</v>
      </c>
      <c r="M95" s="8" t="n">
        <v>43256</v>
      </c>
      <c r="P95" s="9" t="n">
        <v>0</v>
      </c>
      <c r="Q95" s="9" t="n">
        <f aca="false">P95</f>
        <v>0</v>
      </c>
      <c r="S95" s="9" t="n">
        <v>15800</v>
      </c>
      <c r="T95" s="9" t="n">
        <f aca="false">S95</f>
        <v>15800</v>
      </c>
      <c r="U95" s="63" t="n">
        <v>16700</v>
      </c>
      <c r="V95" s="9" t="n">
        <f aca="false">U95</f>
        <v>16700</v>
      </c>
      <c r="W95" s="44" t="n">
        <f aca="false">S95/G95</f>
        <v>51.9736842105263</v>
      </c>
      <c r="X95" s="9"/>
      <c r="Y95" s="40"/>
      <c r="AA95" s="5" t="s">
        <v>40</v>
      </c>
      <c r="AB95" s="4" t="s">
        <v>115</v>
      </c>
      <c r="AE95" s="57"/>
    </row>
    <row r="96" customFormat="false" ht="15" hidden="false" customHeight="false" outlineLevel="0" collapsed="false">
      <c r="A96" s="11" t="s">
        <v>185</v>
      </c>
      <c r="B96" s="11" t="s">
        <v>35</v>
      </c>
      <c r="C96" s="28" t="n">
        <v>550990</v>
      </c>
      <c r="D96" s="4" t="s">
        <v>257</v>
      </c>
      <c r="E96" s="4" t="s">
        <v>90</v>
      </c>
      <c r="F96" s="5" t="s">
        <v>37</v>
      </c>
      <c r="G96" s="6" t="n">
        <v>314</v>
      </c>
      <c r="H96" s="6" t="n">
        <f aca="false">G96</f>
        <v>314</v>
      </c>
      <c r="J96" s="4" t="s">
        <v>262</v>
      </c>
      <c r="K96" s="7" t="n">
        <v>45476</v>
      </c>
      <c r="L96" s="8" t="n">
        <v>47301</v>
      </c>
      <c r="O96" s="8" t="n">
        <v>46570</v>
      </c>
      <c r="P96" s="9" t="n">
        <v>17500</v>
      </c>
      <c r="Q96" s="9" t="n">
        <f aca="false">P96</f>
        <v>17500</v>
      </c>
      <c r="S96" s="9" t="n">
        <v>15000</v>
      </c>
      <c r="T96" s="9" t="n">
        <f aca="false">S96</f>
        <v>15000</v>
      </c>
      <c r="U96" s="63" t="n">
        <v>18100</v>
      </c>
      <c r="V96" s="9" t="n">
        <f aca="false">U96</f>
        <v>18100</v>
      </c>
      <c r="W96" s="44" t="n">
        <f aca="false">S96/G96</f>
        <v>47.7707006369427</v>
      </c>
      <c r="X96" s="9" t="s">
        <v>39</v>
      </c>
      <c r="Y96" s="40"/>
      <c r="AA96" s="5" t="s">
        <v>40</v>
      </c>
      <c r="AB96" s="4" t="s">
        <v>263</v>
      </c>
      <c r="AD96" s="58"/>
      <c r="AE96" s="59"/>
      <c r="AF96" s="58"/>
    </row>
    <row r="97" customFormat="false" ht="15" hidden="false" customHeight="false" outlineLevel="0" collapsed="false">
      <c r="A97" s="11" t="s">
        <v>185</v>
      </c>
      <c r="B97" s="11" t="s">
        <v>35</v>
      </c>
      <c r="C97" s="28" t="n">
        <v>550990</v>
      </c>
      <c r="D97" s="4" t="s">
        <v>257</v>
      </c>
      <c r="E97" s="4" t="s">
        <v>114</v>
      </c>
      <c r="F97" s="5" t="s">
        <v>37</v>
      </c>
      <c r="G97" s="6" t="n">
        <v>314</v>
      </c>
      <c r="H97" s="6" t="n">
        <f aca="false">G97</f>
        <v>314</v>
      </c>
      <c r="J97" s="4" t="s">
        <v>264</v>
      </c>
      <c r="K97" s="7" t="n">
        <v>45754</v>
      </c>
      <c r="L97" s="8" t="n">
        <v>46849</v>
      </c>
      <c r="P97" s="9" t="n">
        <v>17500</v>
      </c>
      <c r="Q97" s="9" t="n">
        <f aca="false">P97</f>
        <v>17500</v>
      </c>
      <c r="S97" s="9" t="n">
        <v>15500</v>
      </c>
      <c r="T97" s="9" t="n">
        <f aca="false">S97</f>
        <v>15500</v>
      </c>
      <c r="U97" s="63" t="n">
        <v>17300</v>
      </c>
      <c r="V97" s="9" t="n">
        <f aca="false">U97</f>
        <v>17300</v>
      </c>
      <c r="W97" s="44" t="n">
        <f aca="false">S97/G97</f>
        <v>49.3630573248408</v>
      </c>
      <c r="X97" s="9" t="s">
        <v>39</v>
      </c>
      <c r="Y97" s="40"/>
      <c r="AA97" s="5" t="s">
        <v>40</v>
      </c>
      <c r="AE97" s="57"/>
    </row>
    <row r="98" customFormat="false" ht="15" hidden="false" customHeight="false" outlineLevel="0" collapsed="false">
      <c r="A98" s="11" t="s">
        <v>185</v>
      </c>
      <c r="B98" s="11" t="s">
        <v>35</v>
      </c>
      <c r="C98" s="28" t="n">
        <v>550990</v>
      </c>
      <c r="D98" s="4" t="s">
        <v>257</v>
      </c>
      <c r="E98" s="4" t="s">
        <v>176</v>
      </c>
      <c r="F98" s="5" t="s">
        <v>37</v>
      </c>
      <c r="G98" s="6" t="n">
        <v>309</v>
      </c>
      <c r="H98" s="6" t="n">
        <f aca="false">G98</f>
        <v>309</v>
      </c>
      <c r="J98" s="4" t="s">
        <v>265</v>
      </c>
      <c r="K98" s="7" t="n">
        <v>45863</v>
      </c>
      <c r="L98" s="8" t="n">
        <v>46958</v>
      </c>
      <c r="P98" s="9" t="n">
        <v>0</v>
      </c>
      <c r="Q98" s="9" t="n">
        <f aca="false">P98</f>
        <v>0</v>
      </c>
      <c r="S98" s="9" t="n">
        <v>15000</v>
      </c>
      <c r="T98" s="9" t="n">
        <f aca="false">S98</f>
        <v>15000</v>
      </c>
      <c r="U98" s="63" t="n">
        <v>17000</v>
      </c>
      <c r="V98" s="9" t="n">
        <f aca="false">U98</f>
        <v>17000</v>
      </c>
      <c r="W98" s="44" t="n">
        <f aca="false">S98/G98</f>
        <v>48.5436893203884</v>
      </c>
      <c r="X98" s="9" t="s">
        <v>39</v>
      </c>
      <c r="Y98" s="40"/>
      <c r="AA98" s="5" t="s">
        <v>40</v>
      </c>
      <c r="AB98" s="4" t="s">
        <v>266</v>
      </c>
      <c r="AE98" s="57"/>
    </row>
    <row r="99" customFormat="false" ht="15" hidden="false" customHeight="false" outlineLevel="0" collapsed="false">
      <c r="A99" s="11" t="s">
        <v>102</v>
      </c>
      <c r="B99" s="11" t="s">
        <v>35</v>
      </c>
      <c r="C99" s="28" t="n">
        <v>550700</v>
      </c>
      <c r="D99" s="4" t="s">
        <v>267</v>
      </c>
      <c r="E99" s="4" t="s">
        <v>258</v>
      </c>
      <c r="F99" s="5" t="s">
        <v>46</v>
      </c>
      <c r="G99" s="6" t="n">
        <v>750</v>
      </c>
      <c r="H99" s="6" t="n">
        <f aca="false">G99</f>
        <v>750</v>
      </c>
      <c r="J99" s="4" t="s">
        <v>268</v>
      </c>
      <c r="K99" s="7" t="n">
        <v>45377</v>
      </c>
      <c r="L99" s="8" t="n">
        <v>49028</v>
      </c>
      <c r="N99" s="8" t="n">
        <v>47203</v>
      </c>
      <c r="P99" s="9" t="n">
        <v>45000</v>
      </c>
      <c r="Q99" s="9" t="n">
        <f aca="false">P99</f>
        <v>45000</v>
      </c>
      <c r="S99" s="9" t="n">
        <v>39000</v>
      </c>
      <c r="T99" s="9" t="n">
        <f aca="false">S99</f>
        <v>39000</v>
      </c>
      <c r="U99" s="63" t="n">
        <v>45000</v>
      </c>
      <c r="V99" s="9" t="n">
        <f aca="false">U99</f>
        <v>45000</v>
      </c>
      <c r="W99" s="44" t="n">
        <f aca="false">S99/G99</f>
        <v>52</v>
      </c>
      <c r="X99" s="9" t="s">
        <v>57</v>
      </c>
      <c r="Y99" s="40"/>
      <c r="AA99" s="5" t="s">
        <v>40</v>
      </c>
    </row>
    <row r="100" customFormat="false" ht="15" hidden="false" customHeight="false" outlineLevel="0" collapsed="false">
      <c r="A100" s="11" t="s">
        <v>102</v>
      </c>
      <c r="B100" s="11" t="s">
        <v>35</v>
      </c>
      <c r="C100" s="28" t="n">
        <v>550700</v>
      </c>
      <c r="D100" s="4" t="s">
        <v>267</v>
      </c>
      <c r="E100" s="4" t="s">
        <v>85</v>
      </c>
      <c r="F100" s="5" t="s">
        <v>37</v>
      </c>
      <c r="G100" s="6" t="n">
        <v>325</v>
      </c>
      <c r="H100" s="6" t="n">
        <f aca="false">G100</f>
        <v>325</v>
      </c>
      <c r="I100" s="6" t="n">
        <v>500</v>
      </c>
      <c r="J100" s="4" t="s">
        <v>63</v>
      </c>
      <c r="M100" s="8" t="n">
        <v>45282</v>
      </c>
      <c r="P100" s="9" t="n">
        <v>0</v>
      </c>
      <c r="Q100" s="9" t="n">
        <f aca="false">P100</f>
        <v>0</v>
      </c>
      <c r="S100" s="9" t="n">
        <v>17100</v>
      </c>
      <c r="T100" s="9" t="n">
        <f aca="false">S100</f>
        <v>17100</v>
      </c>
      <c r="U100" s="63" t="n">
        <v>17100</v>
      </c>
      <c r="V100" s="9" t="n">
        <f aca="false">U100</f>
        <v>17100</v>
      </c>
      <c r="W100" s="44" t="n">
        <f aca="false">S100/G100</f>
        <v>52.6153846153846</v>
      </c>
      <c r="X100" s="9" t="s">
        <v>123</v>
      </c>
      <c r="Y100" s="40"/>
      <c r="AA100" s="5" t="s">
        <v>40</v>
      </c>
      <c r="AB100" s="58" t="s">
        <v>269</v>
      </c>
      <c r="AC100" s="15" t="n">
        <v>58</v>
      </c>
      <c r="AE100" s="57" t="n">
        <v>1</v>
      </c>
    </row>
    <row r="101" customFormat="false" ht="15" hidden="false" customHeight="false" outlineLevel="0" collapsed="false">
      <c r="A101" s="11" t="s">
        <v>102</v>
      </c>
      <c r="B101" s="11" t="s">
        <v>35</v>
      </c>
      <c r="C101" s="28" t="n">
        <v>550700</v>
      </c>
      <c r="D101" s="4" t="s">
        <v>267</v>
      </c>
      <c r="E101" s="4" t="s">
        <v>89</v>
      </c>
      <c r="F101" s="5" t="s">
        <v>37</v>
      </c>
      <c r="G101" s="6" t="n">
        <v>325</v>
      </c>
      <c r="H101" s="6" t="n">
        <f aca="false">G101</f>
        <v>325</v>
      </c>
      <c r="I101" s="6" t="n">
        <v>500</v>
      </c>
      <c r="J101" s="4" t="s">
        <v>270</v>
      </c>
      <c r="K101" s="7" t="n">
        <v>45698</v>
      </c>
      <c r="L101" s="8" t="n">
        <v>46427</v>
      </c>
      <c r="P101" s="9" t="n">
        <v>22069</v>
      </c>
      <c r="Q101" s="9" t="n">
        <f aca="false">P101</f>
        <v>22069</v>
      </c>
      <c r="S101" s="9" t="n">
        <v>17100</v>
      </c>
      <c r="T101" s="9" t="n">
        <f aca="false">S101</f>
        <v>17100</v>
      </c>
      <c r="U101" s="63" t="n">
        <v>17100</v>
      </c>
      <c r="V101" s="9" t="n">
        <f aca="false">U101</f>
        <v>17100</v>
      </c>
      <c r="W101" s="44" t="n">
        <f aca="false">S101/G101</f>
        <v>52.6153846153846</v>
      </c>
      <c r="X101" s="9" t="s">
        <v>57</v>
      </c>
      <c r="Y101" s="40"/>
      <c r="AA101" s="5" t="s">
        <v>40</v>
      </c>
      <c r="AB101" s="4" t="s">
        <v>271</v>
      </c>
      <c r="AE101" s="57" t="n">
        <v>1</v>
      </c>
    </row>
    <row r="102" customFormat="false" ht="19.4" hidden="false" customHeight="false" outlineLevel="0" collapsed="false">
      <c r="A102" s="11" t="s">
        <v>102</v>
      </c>
      <c r="B102" s="11" t="s">
        <v>35</v>
      </c>
      <c r="C102" s="28" t="n">
        <v>550700</v>
      </c>
      <c r="D102" s="4" t="s">
        <v>267</v>
      </c>
      <c r="E102" s="4" t="s">
        <v>90</v>
      </c>
      <c r="F102" s="5" t="s">
        <v>37</v>
      </c>
      <c r="G102" s="6" t="n">
        <v>325</v>
      </c>
      <c r="H102" s="6" t="n">
        <f aca="false">G102</f>
        <v>325</v>
      </c>
      <c r="I102" s="6" t="n">
        <v>500</v>
      </c>
      <c r="J102" s="4" t="s">
        <v>63</v>
      </c>
      <c r="M102" s="8" t="n">
        <v>44714</v>
      </c>
      <c r="P102" s="9" t="n">
        <v>0</v>
      </c>
      <c r="Q102" s="9" t="n">
        <f aca="false">P102</f>
        <v>0</v>
      </c>
      <c r="S102" s="9" t="n">
        <v>16300</v>
      </c>
      <c r="T102" s="9" t="n">
        <f aca="false">S102</f>
        <v>16300</v>
      </c>
      <c r="U102" s="63" t="n">
        <v>16300</v>
      </c>
      <c r="V102" s="9" t="n">
        <f aca="false">U102</f>
        <v>16300</v>
      </c>
      <c r="W102" s="44" t="n">
        <f aca="false">S102/G102</f>
        <v>50.1538461538462</v>
      </c>
      <c r="X102" s="9" t="s">
        <v>39</v>
      </c>
      <c r="Y102" s="40"/>
      <c r="AA102" s="5" t="s">
        <v>40</v>
      </c>
      <c r="AB102" s="58" t="s">
        <v>272</v>
      </c>
      <c r="AC102" s="15" t="n">
        <v>52.5</v>
      </c>
      <c r="AE102" s="57"/>
    </row>
    <row r="103" customFormat="false" ht="28.35" hidden="false" customHeight="false" outlineLevel="0" collapsed="false">
      <c r="A103" s="11" t="s">
        <v>102</v>
      </c>
      <c r="B103" s="11" t="s">
        <v>35</v>
      </c>
      <c r="C103" s="28" t="n">
        <v>550710</v>
      </c>
      <c r="D103" s="4" t="s">
        <v>273</v>
      </c>
      <c r="E103" s="4" t="s">
        <v>258</v>
      </c>
      <c r="F103" s="5" t="s">
        <v>274</v>
      </c>
      <c r="G103" s="6" t="n">
        <v>807</v>
      </c>
      <c r="H103" s="6" t="n">
        <f aca="false">G103</f>
        <v>807</v>
      </c>
      <c r="I103" s="6" t="n">
        <v>1000</v>
      </c>
      <c r="J103" s="4" t="s">
        <v>275</v>
      </c>
      <c r="K103" s="78" t="n">
        <v>45832</v>
      </c>
      <c r="L103" s="79" t="n">
        <v>49483</v>
      </c>
      <c r="M103" s="79"/>
      <c r="N103" s="79" t="n">
        <v>47658</v>
      </c>
      <c r="O103" s="79" t="n">
        <v>47657</v>
      </c>
      <c r="P103" s="63" t="n">
        <v>24210</v>
      </c>
      <c r="Q103" s="9" t="n">
        <f aca="false">P103</f>
        <v>24210</v>
      </c>
      <c r="S103" s="9" t="n">
        <v>34320</v>
      </c>
      <c r="T103" s="9" t="n">
        <f aca="false">S103</f>
        <v>34320</v>
      </c>
      <c r="U103" s="63" t="n">
        <v>48420</v>
      </c>
      <c r="V103" s="9" t="n">
        <f aca="false">U103</f>
        <v>48420</v>
      </c>
      <c r="W103" s="44" t="n">
        <f aca="false">S103/G103</f>
        <v>42.5278810408922</v>
      </c>
      <c r="X103" s="9" t="s">
        <v>123</v>
      </c>
      <c r="Y103" s="40"/>
      <c r="AA103" s="5" t="s">
        <v>40</v>
      </c>
      <c r="AB103" s="58" t="s">
        <v>276</v>
      </c>
      <c r="AE103" s="57"/>
    </row>
    <row r="104" customFormat="false" ht="19.4" hidden="false" customHeight="false" outlineLevel="0" collapsed="false">
      <c r="A104" s="11" t="s">
        <v>102</v>
      </c>
      <c r="B104" s="11" t="s">
        <v>35</v>
      </c>
      <c r="C104" s="28" t="n">
        <v>550710</v>
      </c>
      <c r="D104" s="4" t="s">
        <v>273</v>
      </c>
      <c r="E104" s="4" t="s">
        <v>125</v>
      </c>
      <c r="F104" s="5" t="s">
        <v>277</v>
      </c>
      <c r="G104" s="6" t="n">
        <v>60</v>
      </c>
      <c r="H104" s="6" t="n">
        <f aca="false">G104</f>
        <v>60</v>
      </c>
      <c r="J104" s="4" t="s">
        <v>278</v>
      </c>
      <c r="K104" s="7" t="n">
        <v>44075</v>
      </c>
      <c r="L104" s="8" t="n">
        <v>45900</v>
      </c>
      <c r="P104" s="9" t="n">
        <v>12500</v>
      </c>
      <c r="Q104" s="9" t="n">
        <f aca="false">P104</f>
        <v>12500</v>
      </c>
      <c r="S104" s="9" t="n">
        <v>12000</v>
      </c>
      <c r="T104" s="9" t="n">
        <f aca="false">S104</f>
        <v>12000</v>
      </c>
      <c r="U104" s="63" t="n">
        <v>12000</v>
      </c>
      <c r="V104" s="9" t="n">
        <f aca="false">U104</f>
        <v>12000</v>
      </c>
      <c r="W104" s="44" t="n">
        <f aca="false">S104/G104</f>
        <v>200</v>
      </c>
      <c r="X104" s="9" t="s">
        <v>123</v>
      </c>
      <c r="Y104" s="40"/>
      <c r="AA104" s="5" t="s">
        <v>40</v>
      </c>
      <c r="AB104" s="4" t="s">
        <v>279</v>
      </c>
      <c r="AE104" s="57"/>
    </row>
    <row r="105" customFormat="false" ht="15" hidden="false" customHeight="false" outlineLevel="0" collapsed="false">
      <c r="A105" s="11" t="s">
        <v>102</v>
      </c>
      <c r="B105" s="11" t="s">
        <v>35</v>
      </c>
      <c r="C105" s="28" t="n">
        <v>550710</v>
      </c>
      <c r="D105" s="4" t="s">
        <v>273</v>
      </c>
      <c r="E105" s="4" t="s">
        <v>85</v>
      </c>
      <c r="F105" s="5" t="s">
        <v>37</v>
      </c>
      <c r="G105" s="6" t="n">
        <v>370</v>
      </c>
      <c r="H105" s="6" t="n">
        <f aca="false">G105</f>
        <v>370</v>
      </c>
      <c r="I105" s="6" t="n">
        <v>500</v>
      </c>
      <c r="J105" s="4" t="s">
        <v>63</v>
      </c>
      <c r="M105" s="8" t="n">
        <v>43738</v>
      </c>
      <c r="P105" s="9" t="n">
        <v>0</v>
      </c>
      <c r="Q105" s="9" t="n">
        <f aca="false">P105</f>
        <v>0</v>
      </c>
      <c r="S105" s="9" t="n">
        <v>18500</v>
      </c>
      <c r="T105" s="9" t="n">
        <f aca="false">S105</f>
        <v>18500</v>
      </c>
      <c r="U105" s="63" t="n">
        <v>18500</v>
      </c>
      <c r="V105" s="9" t="n">
        <f aca="false">U105</f>
        <v>18500</v>
      </c>
      <c r="W105" s="44" t="n">
        <f aca="false">S105/G105</f>
        <v>50</v>
      </c>
      <c r="X105" s="9" t="s">
        <v>123</v>
      </c>
      <c r="Y105" s="40"/>
      <c r="AA105" s="5" t="s">
        <v>40</v>
      </c>
      <c r="AB105" s="58" t="s">
        <v>280</v>
      </c>
      <c r="AC105" s="15" t="n">
        <v>52.5</v>
      </c>
      <c r="AE105" s="57" t="n">
        <v>1</v>
      </c>
    </row>
    <row r="106" customFormat="false" ht="15" hidden="false" customHeight="false" outlineLevel="0" collapsed="false">
      <c r="A106" s="11" t="s">
        <v>102</v>
      </c>
      <c r="B106" s="11" t="s">
        <v>35</v>
      </c>
      <c r="C106" s="28" t="n">
        <v>550710</v>
      </c>
      <c r="D106" s="4" t="s">
        <v>273</v>
      </c>
      <c r="E106" s="4" t="s">
        <v>89</v>
      </c>
      <c r="F106" s="5" t="s">
        <v>37</v>
      </c>
      <c r="G106" s="6" t="n">
        <v>325</v>
      </c>
      <c r="H106" s="6" t="n">
        <f aca="false">G106</f>
        <v>325</v>
      </c>
      <c r="I106" s="6" t="n">
        <v>500</v>
      </c>
      <c r="J106" s="4" t="s">
        <v>63</v>
      </c>
      <c r="M106" s="8" t="n">
        <v>45379</v>
      </c>
      <c r="P106" s="9" t="n">
        <v>0</v>
      </c>
      <c r="Q106" s="9" t="n">
        <f aca="false">P106</f>
        <v>0</v>
      </c>
      <c r="S106" s="9" t="n">
        <v>17000</v>
      </c>
      <c r="T106" s="9" t="n">
        <f aca="false">S106</f>
        <v>17000</v>
      </c>
      <c r="U106" s="63" t="n">
        <v>17062</v>
      </c>
      <c r="V106" s="9" t="n">
        <f aca="false">U106</f>
        <v>17062</v>
      </c>
      <c r="W106" s="44" t="n">
        <f aca="false">S106/G106</f>
        <v>52.3076923076923</v>
      </c>
      <c r="X106" s="9" t="s">
        <v>123</v>
      </c>
      <c r="Y106" s="40"/>
      <c r="AA106" s="5" t="s">
        <v>40</v>
      </c>
      <c r="AB106" s="58" t="s">
        <v>280</v>
      </c>
      <c r="AC106" s="15" t="n">
        <v>53</v>
      </c>
      <c r="AE106" s="57"/>
    </row>
    <row r="107" customFormat="false" ht="15" hidden="false" customHeight="false" outlineLevel="0" collapsed="false">
      <c r="A107" s="11" t="s">
        <v>102</v>
      </c>
      <c r="B107" s="11" t="s">
        <v>35</v>
      </c>
      <c r="C107" s="28" t="n">
        <v>550710</v>
      </c>
      <c r="D107" s="4" t="s">
        <v>273</v>
      </c>
      <c r="E107" s="4" t="s">
        <v>90</v>
      </c>
      <c r="F107" s="5" t="s">
        <v>37</v>
      </c>
      <c r="G107" s="6" t="n">
        <v>321</v>
      </c>
      <c r="H107" s="6" t="n">
        <f aca="false">G107</f>
        <v>321</v>
      </c>
      <c r="I107" s="6" t="n">
        <v>500</v>
      </c>
      <c r="J107" s="4" t="s">
        <v>63</v>
      </c>
      <c r="M107" s="8" t="n">
        <v>45170</v>
      </c>
      <c r="P107" s="9" t="n">
        <v>0</v>
      </c>
      <c r="Q107" s="9" t="n">
        <f aca="false">P107</f>
        <v>0</v>
      </c>
      <c r="S107" s="9" t="n">
        <v>17000</v>
      </c>
      <c r="T107" s="9" t="n">
        <f aca="false">S107</f>
        <v>17000</v>
      </c>
      <c r="U107" s="63" t="n">
        <v>16852</v>
      </c>
      <c r="V107" s="9" t="n">
        <f aca="false">U107</f>
        <v>16852</v>
      </c>
      <c r="W107" s="44" t="n">
        <f aca="false">S107/G107</f>
        <v>52.9595015576324</v>
      </c>
      <c r="X107" s="9" t="s">
        <v>123</v>
      </c>
      <c r="Y107" s="40"/>
      <c r="AA107" s="5" t="s">
        <v>40</v>
      </c>
      <c r="AB107" s="58" t="s">
        <v>280</v>
      </c>
      <c r="AC107" s="15" t="n">
        <v>53</v>
      </c>
      <c r="AE107" s="57"/>
    </row>
    <row r="108" customFormat="false" ht="15" hidden="false" customHeight="false" outlineLevel="0" collapsed="false">
      <c r="A108" s="11" t="s">
        <v>228</v>
      </c>
      <c r="B108" s="11" t="s">
        <v>35</v>
      </c>
      <c r="C108" s="28" t="n">
        <v>550090</v>
      </c>
      <c r="D108" s="4" t="s">
        <v>281</v>
      </c>
      <c r="E108" s="4" t="s">
        <v>282</v>
      </c>
      <c r="F108" s="5" t="s">
        <v>229</v>
      </c>
      <c r="G108" s="6" t="n">
        <v>607</v>
      </c>
      <c r="H108" s="6" t="n">
        <f aca="false">G108</f>
        <v>607</v>
      </c>
      <c r="I108" s="6" t="n">
        <v>500</v>
      </c>
      <c r="J108" s="4" t="s">
        <v>275</v>
      </c>
      <c r="K108" s="7" t="n">
        <v>45706</v>
      </c>
      <c r="L108" s="8" t="n">
        <v>49357</v>
      </c>
      <c r="N108" s="8" t="n">
        <v>47532</v>
      </c>
      <c r="O108" s="8" t="n">
        <v>47531</v>
      </c>
      <c r="P108" s="9" t="n">
        <v>27000</v>
      </c>
      <c r="Q108" s="9" t="n">
        <f aca="false">P108</f>
        <v>27000</v>
      </c>
      <c r="S108" s="9" t="n">
        <v>25000</v>
      </c>
      <c r="T108" s="9" t="n">
        <f aca="false">S108</f>
        <v>25000</v>
      </c>
      <c r="U108" s="63" t="n">
        <v>27000</v>
      </c>
      <c r="V108" s="9" t="n">
        <f aca="false">U108</f>
        <v>27000</v>
      </c>
      <c r="W108" s="44" t="n">
        <f aca="false">S108/G108</f>
        <v>41.1861614497529</v>
      </c>
      <c r="X108" s="9" t="s">
        <v>52</v>
      </c>
      <c r="Y108" s="40"/>
      <c r="AA108" s="5" t="s">
        <v>40</v>
      </c>
      <c r="AB108" s="4" t="s">
        <v>283</v>
      </c>
      <c r="AE108" s="57"/>
    </row>
    <row r="109" customFormat="false" ht="15" hidden="false" customHeight="false" outlineLevel="0" collapsed="false">
      <c r="A109" s="11" t="s">
        <v>228</v>
      </c>
      <c r="B109" s="11" t="s">
        <v>35</v>
      </c>
      <c r="C109" s="28" t="n">
        <v>550090</v>
      </c>
      <c r="D109" s="4" t="s">
        <v>281</v>
      </c>
      <c r="E109" s="4" t="s">
        <v>284</v>
      </c>
      <c r="F109" s="5" t="s">
        <v>130</v>
      </c>
      <c r="G109" s="6" t="n">
        <v>662</v>
      </c>
      <c r="H109" s="6" t="n">
        <f aca="false">G109</f>
        <v>662</v>
      </c>
      <c r="I109" s="6" t="n">
        <v>500</v>
      </c>
      <c r="J109" s="4" t="s">
        <v>275</v>
      </c>
      <c r="K109" s="7" t="n">
        <v>45706</v>
      </c>
      <c r="L109" s="8" t="n">
        <v>49357</v>
      </c>
      <c r="N109" s="8" t="n">
        <v>47532</v>
      </c>
      <c r="O109" s="8" t="n">
        <v>47531</v>
      </c>
      <c r="P109" s="9" t="n">
        <v>22000</v>
      </c>
      <c r="Q109" s="9" t="n">
        <f aca="false">P109</f>
        <v>22000</v>
      </c>
      <c r="S109" s="9" t="n">
        <v>20000</v>
      </c>
      <c r="T109" s="9" t="n">
        <f aca="false">S109</f>
        <v>20000</v>
      </c>
      <c r="U109" s="63" t="n">
        <v>22000</v>
      </c>
      <c r="V109" s="9" t="n">
        <f aca="false">U109</f>
        <v>22000</v>
      </c>
      <c r="W109" s="44" t="n">
        <f aca="false">S109/G109</f>
        <v>30.2114803625378</v>
      </c>
      <c r="X109" s="9" t="s">
        <v>52</v>
      </c>
      <c r="Y109" s="40"/>
      <c r="AA109" s="5" t="s">
        <v>40</v>
      </c>
      <c r="AB109" s="4" t="s">
        <v>73</v>
      </c>
      <c r="AE109" s="57"/>
    </row>
    <row r="110" customFormat="false" ht="15" hidden="false" customHeight="false" outlineLevel="0" collapsed="false">
      <c r="A110" s="11" t="s">
        <v>228</v>
      </c>
      <c r="B110" s="11" t="s">
        <v>35</v>
      </c>
      <c r="C110" s="28" t="n">
        <v>550090</v>
      </c>
      <c r="D110" s="4" t="s">
        <v>281</v>
      </c>
      <c r="E110" s="4" t="s">
        <v>285</v>
      </c>
      <c r="F110" s="5" t="s">
        <v>37</v>
      </c>
      <c r="G110" s="6" t="n">
        <v>1765</v>
      </c>
      <c r="H110" s="6" t="n">
        <f aca="false">G110</f>
        <v>1765</v>
      </c>
      <c r="I110" s="6" t="n">
        <v>1750</v>
      </c>
      <c r="J110" s="4" t="s">
        <v>63</v>
      </c>
      <c r="M110" s="8" t="n">
        <v>43256</v>
      </c>
      <c r="P110" s="9" t="n">
        <v>0</v>
      </c>
      <c r="Q110" s="9" t="n">
        <f aca="false">P110</f>
        <v>0</v>
      </c>
      <c r="S110" s="9" t="n">
        <v>90000</v>
      </c>
      <c r="T110" s="9" t="n">
        <f aca="false">S110</f>
        <v>90000</v>
      </c>
      <c r="U110" s="63" t="n">
        <v>84000</v>
      </c>
      <c r="V110" s="9" t="n">
        <f aca="false">U110</f>
        <v>84000</v>
      </c>
      <c r="W110" s="44" t="n">
        <f aca="false">S110/G110</f>
        <v>50.9915014164306</v>
      </c>
      <c r="X110" s="9"/>
      <c r="Y110" s="40"/>
      <c r="AA110" s="5" t="s">
        <v>40</v>
      </c>
      <c r="AB110" s="4" t="s">
        <v>220</v>
      </c>
      <c r="AD110" s="58"/>
      <c r="AE110" s="59"/>
      <c r="AF110" s="58"/>
    </row>
    <row r="111" customFormat="false" ht="28.35" hidden="false" customHeight="false" outlineLevel="0" collapsed="false">
      <c r="A111" s="11" t="s">
        <v>102</v>
      </c>
      <c r="B111" s="11" t="s">
        <v>35</v>
      </c>
      <c r="C111" s="28" t="n">
        <v>550750</v>
      </c>
      <c r="D111" s="4" t="s">
        <v>286</v>
      </c>
      <c r="E111" s="4" t="s">
        <v>287</v>
      </c>
      <c r="F111" s="5" t="s">
        <v>288</v>
      </c>
      <c r="G111" s="41" t="n">
        <v>1305</v>
      </c>
      <c r="H111" s="9" t="n">
        <f aca="false">G111</f>
        <v>1305</v>
      </c>
      <c r="I111" s="9" t="n">
        <v>1250</v>
      </c>
      <c r="J111" s="4" t="s">
        <v>289</v>
      </c>
      <c r="K111" s="7" t="n">
        <v>45748</v>
      </c>
      <c r="L111" s="8" t="n">
        <v>49399</v>
      </c>
      <c r="N111" s="8" t="n">
        <v>47574</v>
      </c>
      <c r="O111" s="8" t="n">
        <v>47573</v>
      </c>
      <c r="P111" s="9" t="n">
        <v>0</v>
      </c>
      <c r="Q111" s="9" t="n">
        <f aca="false">P111</f>
        <v>0</v>
      </c>
      <c r="R111" s="42" t="n">
        <f aca="false">Q111</f>
        <v>0</v>
      </c>
      <c r="S111" s="42" t="n">
        <v>90000</v>
      </c>
      <c r="T111" s="9" t="n">
        <f aca="false">S111</f>
        <v>90000</v>
      </c>
      <c r="U111" s="43" t="n">
        <v>90000</v>
      </c>
      <c r="V111" s="9" t="n">
        <f aca="false">U111</f>
        <v>90000</v>
      </c>
      <c r="W111" s="44" t="n">
        <f aca="false">S111/G111</f>
        <v>68.9655172413793</v>
      </c>
      <c r="X111" s="9" t="s">
        <v>57</v>
      </c>
      <c r="Y111" s="40"/>
      <c r="Z111" s="60" t="n">
        <v>1450000</v>
      </c>
      <c r="AA111" s="5" t="s">
        <v>40</v>
      </c>
      <c r="AB111" s="4" t="s">
        <v>290</v>
      </c>
      <c r="AC111" s="15" t="n">
        <v>69</v>
      </c>
      <c r="AE111" s="57" t="n">
        <v>10</v>
      </c>
      <c r="AF111" s="4" t="s">
        <v>54</v>
      </c>
    </row>
    <row r="112" customFormat="false" ht="19.4" hidden="false" customHeight="false" outlineLevel="0" collapsed="false">
      <c r="A112" s="11" t="s">
        <v>228</v>
      </c>
      <c r="B112" s="11" t="s">
        <v>35</v>
      </c>
      <c r="C112" s="28" t="n">
        <v>550880</v>
      </c>
      <c r="D112" s="4" t="s">
        <v>291</v>
      </c>
      <c r="E112" s="4" t="s">
        <v>169</v>
      </c>
      <c r="F112" s="5" t="s">
        <v>130</v>
      </c>
      <c r="G112" s="93" t="n">
        <v>1440</v>
      </c>
      <c r="H112" s="9" t="n">
        <f aca="false">G112</f>
        <v>1440</v>
      </c>
      <c r="I112" s="9" t="n">
        <v>1500</v>
      </c>
      <c r="J112" s="4" t="s">
        <v>292</v>
      </c>
      <c r="K112" s="8" t="n">
        <v>43430</v>
      </c>
      <c r="L112" s="8" t="n">
        <v>47082</v>
      </c>
      <c r="N112" s="8" t="n">
        <v>45256</v>
      </c>
      <c r="P112" s="9" t="n">
        <v>100000</v>
      </c>
      <c r="Q112" s="9" t="n">
        <f aca="false">P112</f>
        <v>100000</v>
      </c>
      <c r="S112" s="9" t="n">
        <v>100000</v>
      </c>
      <c r="T112" s="9" t="n">
        <f aca="false">S112</f>
        <v>100000</v>
      </c>
      <c r="U112" s="63" t="n">
        <v>100000</v>
      </c>
      <c r="V112" s="9" t="n">
        <f aca="false">U112</f>
        <v>100000</v>
      </c>
      <c r="W112" s="44" t="n">
        <f aca="false">S112/G112</f>
        <v>69.4444444444444</v>
      </c>
      <c r="X112" s="9" t="s">
        <v>39</v>
      </c>
      <c r="Y112" s="40"/>
      <c r="AA112" s="5" t="s">
        <v>40</v>
      </c>
      <c r="AB112" s="4" t="s">
        <v>293</v>
      </c>
      <c r="AE112" s="57"/>
    </row>
    <row r="113" customFormat="false" ht="15" hidden="false" customHeight="false" outlineLevel="0" collapsed="false">
      <c r="A113" s="11" t="s">
        <v>228</v>
      </c>
      <c r="B113" s="11" t="s">
        <v>35</v>
      </c>
      <c r="C113" s="28" t="n">
        <v>550880</v>
      </c>
      <c r="D113" s="4" t="s">
        <v>291</v>
      </c>
      <c r="E113" s="4" t="s">
        <v>294</v>
      </c>
      <c r="F113" s="11" t="s">
        <v>295</v>
      </c>
      <c r="G113" s="6" t="n">
        <v>1082</v>
      </c>
      <c r="H113" s="9" t="n">
        <f aca="false">G113</f>
        <v>1082</v>
      </c>
      <c r="I113" s="9" t="n">
        <v>1000</v>
      </c>
      <c r="J113" s="94" t="s">
        <v>296</v>
      </c>
      <c r="K113" s="8" t="n">
        <v>45065</v>
      </c>
      <c r="L113" s="8" t="n">
        <v>46160</v>
      </c>
      <c r="P113" s="9" t="n">
        <v>88400</v>
      </c>
      <c r="Q113" s="9" t="n">
        <f aca="false">P113</f>
        <v>88400</v>
      </c>
      <c r="S113" s="9" t="n">
        <v>58968</v>
      </c>
      <c r="T113" s="9" t="n">
        <f aca="false">S113</f>
        <v>58968</v>
      </c>
      <c r="U113" s="63" t="n">
        <v>88400</v>
      </c>
      <c r="V113" s="9" t="n">
        <f aca="false">U113</f>
        <v>88400</v>
      </c>
      <c r="W113" s="9"/>
      <c r="X113" s="9" t="s">
        <v>57</v>
      </c>
      <c r="Y113" s="40"/>
      <c r="AA113" s="5" t="s">
        <v>40</v>
      </c>
      <c r="AE113" s="57"/>
    </row>
    <row r="114" customFormat="false" ht="28.35" hidden="false" customHeight="false" outlineLevel="0" collapsed="false">
      <c r="A114" s="11" t="s">
        <v>102</v>
      </c>
      <c r="B114" s="11" t="s">
        <v>35</v>
      </c>
      <c r="C114" s="28" t="n">
        <v>550180</v>
      </c>
      <c r="D114" s="4" t="s">
        <v>297</v>
      </c>
      <c r="E114" s="4" t="s">
        <v>298</v>
      </c>
      <c r="F114" s="5" t="s">
        <v>229</v>
      </c>
      <c r="G114" s="6" t="n">
        <v>2026</v>
      </c>
      <c r="H114" s="6" t="n">
        <f aca="false">G114</f>
        <v>2026</v>
      </c>
      <c r="I114" s="6" t="n">
        <v>2000</v>
      </c>
      <c r="J114" s="4" t="s">
        <v>299</v>
      </c>
      <c r="K114" s="7" t="n">
        <v>45247</v>
      </c>
      <c r="L114" s="8" t="n">
        <v>48899</v>
      </c>
      <c r="N114" s="8" t="n">
        <v>47074</v>
      </c>
      <c r="O114" s="8" t="n">
        <v>47073</v>
      </c>
      <c r="P114" s="9" t="n">
        <v>100000</v>
      </c>
      <c r="Q114" s="9" t="n">
        <f aca="false">P114</f>
        <v>100000</v>
      </c>
      <c r="S114" s="9" t="n">
        <v>71800</v>
      </c>
      <c r="T114" s="9" t="n">
        <f aca="false">S114</f>
        <v>71800</v>
      </c>
      <c r="U114" s="63" t="n">
        <v>100000</v>
      </c>
      <c r="V114" s="9" t="n">
        <f aca="false">U114</f>
        <v>100000</v>
      </c>
      <c r="W114" s="44" t="n">
        <f aca="false">S114/G114</f>
        <v>35.4392892398815</v>
      </c>
      <c r="X114" s="9" t="s">
        <v>39</v>
      </c>
      <c r="Y114" s="40"/>
      <c r="AA114" s="5" t="s">
        <v>40</v>
      </c>
      <c r="AB114" s="4" t="s">
        <v>300</v>
      </c>
      <c r="AE114" s="57"/>
    </row>
    <row r="115" customFormat="false" ht="19.4" hidden="false" customHeight="false" outlineLevel="0" collapsed="false">
      <c r="A115" s="11" t="s">
        <v>102</v>
      </c>
      <c r="B115" s="11" t="s">
        <v>35</v>
      </c>
      <c r="C115" s="28" t="n">
        <v>550180</v>
      </c>
      <c r="D115" s="4" t="s">
        <v>297</v>
      </c>
      <c r="E115" s="4" t="s">
        <v>248</v>
      </c>
      <c r="F115" s="5" t="s">
        <v>229</v>
      </c>
      <c r="G115" s="6" t="n">
        <v>2202</v>
      </c>
      <c r="H115" s="6" t="n">
        <f aca="false">G115</f>
        <v>2202</v>
      </c>
      <c r="I115" s="6" t="n">
        <v>2000</v>
      </c>
      <c r="J115" s="4" t="s">
        <v>301</v>
      </c>
      <c r="K115" s="7" t="n">
        <v>44497</v>
      </c>
      <c r="L115" s="8" t="n">
        <v>46322</v>
      </c>
      <c r="P115" s="9" t="n">
        <v>96000</v>
      </c>
      <c r="Q115" s="9" t="n">
        <f aca="false">P115</f>
        <v>96000</v>
      </c>
      <c r="S115" s="9" t="n">
        <v>78600</v>
      </c>
      <c r="T115" s="9" t="n">
        <f aca="false">S115</f>
        <v>78600</v>
      </c>
      <c r="U115" s="63" t="n">
        <v>96000</v>
      </c>
      <c r="V115" s="9" t="n">
        <f aca="false">U115</f>
        <v>96000</v>
      </c>
      <c r="W115" s="44" t="n">
        <f aca="false">S115/G115</f>
        <v>35.6948228882834</v>
      </c>
      <c r="X115" s="9" t="s">
        <v>39</v>
      </c>
      <c r="Y115" s="40"/>
      <c r="AA115" s="5" t="s">
        <v>40</v>
      </c>
      <c r="AE115" s="57"/>
    </row>
    <row r="116" customFormat="false" ht="19.4" hidden="false" customHeight="false" outlineLevel="0" collapsed="false">
      <c r="A116" s="11" t="s">
        <v>102</v>
      </c>
      <c r="B116" s="11" t="s">
        <v>35</v>
      </c>
      <c r="C116" s="28" t="n">
        <v>550180</v>
      </c>
      <c r="D116" s="4" t="s">
        <v>297</v>
      </c>
      <c r="E116" s="4" t="s">
        <v>85</v>
      </c>
      <c r="F116" s="5" t="s">
        <v>302</v>
      </c>
      <c r="G116" s="6" t="n">
        <v>1977</v>
      </c>
      <c r="H116" s="6" t="n">
        <f aca="false">G116</f>
        <v>1977</v>
      </c>
      <c r="I116" s="6" t="n">
        <v>2000</v>
      </c>
      <c r="J116" s="4" t="s">
        <v>299</v>
      </c>
      <c r="K116" s="78" t="n">
        <v>45748</v>
      </c>
      <c r="L116" s="79" t="n">
        <v>45930</v>
      </c>
      <c r="P116" s="63" t="n">
        <v>96000</v>
      </c>
      <c r="Q116" s="9" t="n">
        <f aca="false">P116</f>
        <v>96000</v>
      </c>
      <c r="S116" s="9" t="n">
        <v>121900</v>
      </c>
      <c r="T116" s="9" t="n">
        <f aca="false">S116</f>
        <v>121900</v>
      </c>
      <c r="U116" s="63" t="n">
        <v>133400</v>
      </c>
      <c r="V116" s="9" t="n">
        <f aca="false">U116</f>
        <v>133400</v>
      </c>
      <c r="W116" s="44" t="n">
        <f aca="false">S116/G116</f>
        <v>61.6590794132524</v>
      </c>
      <c r="X116" s="9" t="s">
        <v>57</v>
      </c>
      <c r="Y116" s="40"/>
      <c r="AA116" s="5" t="s">
        <v>40</v>
      </c>
      <c r="AB116" s="58" t="s">
        <v>303</v>
      </c>
      <c r="AD116" s="58"/>
      <c r="AE116" s="59"/>
      <c r="AF116" s="58"/>
    </row>
    <row r="117" customFormat="false" ht="19.4" hidden="false" customHeight="false" outlineLevel="0" collapsed="false">
      <c r="A117" s="11" t="s">
        <v>102</v>
      </c>
      <c r="B117" s="11" t="s">
        <v>35</v>
      </c>
      <c r="C117" s="28" t="n">
        <v>550180</v>
      </c>
      <c r="D117" s="4" t="s">
        <v>297</v>
      </c>
      <c r="E117" s="4" t="s">
        <v>89</v>
      </c>
      <c r="F117" s="5" t="s">
        <v>37</v>
      </c>
      <c r="G117" s="6" t="n">
        <v>1938</v>
      </c>
      <c r="H117" s="6" t="n">
        <f aca="false">G117</f>
        <v>1938</v>
      </c>
      <c r="I117" s="6" t="n">
        <v>2000</v>
      </c>
      <c r="J117" s="58" t="s">
        <v>63</v>
      </c>
      <c r="K117" s="79"/>
      <c r="L117" s="79"/>
      <c r="M117" s="79" t="n">
        <v>45864</v>
      </c>
      <c r="P117" s="63" t="n">
        <v>0</v>
      </c>
      <c r="Q117" s="9" t="n">
        <f aca="false">P117</f>
        <v>0</v>
      </c>
      <c r="S117" s="9" t="n">
        <v>121800</v>
      </c>
      <c r="T117" s="9" t="n">
        <f aca="false">S117</f>
        <v>121800</v>
      </c>
      <c r="U117" s="63" t="n">
        <v>130800</v>
      </c>
      <c r="V117" s="9" t="n">
        <f aca="false">U117</f>
        <v>130800</v>
      </c>
      <c r="W117" s="44" t="n">
        <f aca="false">S117/G117</f>
        <v>62.8482972136223</v>
      </c>
      <c r="X117" s="9" t="s">
        <v>57</v>
      </c>
      <c r="Y117" s="40"/>
      <c r="AA117" s="5" t="s">
        <v>40</v>
      </c>
      <c r="AB117" s="58" t="s">
        <v>64</v>
      </c>
      <c r="AE117" s="57"/>
    </row>
    <row r="118" customFormat="false" ht="19.4" hidden="false" customHeight="false" outlineLevel="0" collapsed="false">
      <c r="A118" s="11" t="s">
        <v>102</v>
      </c>
      <c r="B118" s="11" t="s">
        <v>35</v>
      </c>
      <c r="C118" s="28" t="n">
        <v>550180</v>
      </c>
      <c r="D118" s="4" t="s">
        <v>297</v>
      </c>
      <c r="E118" s="4" t="s">
        <v>90</v>
      </c>
      <c r="F118" s="5" t="s">
        <v>304</v>
      </c>
      <c r="G118" s="6" t="n">
        <v>1961</v>
      </c>
      <c r="H118" s="6" t="n">
        <f aca="false">G118</f>
        <v>1961</v>
      </c>
      <c r="I118" s="6" t="n">
        <v>2000</v>
      </c>
      <c r="J118" s="4" t="s">
        <v>305</v>
      </c>
      <c r="K118" s="7" t="n">
        <v>45357</v>
      </c>
      <c r="L118" s="8" t="n">
        <v>47182</v>
      </c>
      <c r="P118" s="9" t="n">
        <v>137025</v>
      </c>
      <c r="Q118" s="9" t="n">
        <f aca="false">P118</f>
        <v>137025</v>
      </c>
      <c r="S118" s="9" t="n">
        <v>121800</v>
      </c>
      <c r="T118" s="9" t="n">
        <f aca="false">S118</f>
        <v>121800</v>
      </c>
      <c r="U118" s="63" t="n">
        <v>137025</v>
      </c>
      <c r="V118" s="9" t="n">
        <f aca="false">U118</f>
        <v>137025</v>
      </c>
      <c r="W118" s="44" t="n">
        <f aca="false">S118/G118</f>
        <v>62.1111677715451</v>
      </c>
      <c r="X118" s="9" t="s">
        <v>52</v>
      </c>
      <c r="Y118" s="40"/>
      <c r="AA118" s="5" t="s">
        <v>40</v>
      </c>
      <c r="AE118" s="57"/>
    </row>
    <row r="119" customFormat="false" ht="19.4" hidden="false" customHeight="false" outlineLevel="0" collapsed="false">
      <c r="A119" s="11" t="s">
        <v>102</v>
      </c>
      <c r="B119" s="11" t="s">
        <v>35</v>
      </c>
      <c r="C119" s="28" t="n">
        <v>550180</v>
      </c>
      <c r="D119" s="4" t="s">
        <v>297</v>
      </c>
      <c r="E119" s="4" t="s">
        <v>114</v>
      </c>
      <c r="F119" s="5" t="s">
        <v>304</v>
      </c>
      <c r="G119" s="6" t="n">
        <v>1992</v>
      </c>
      <c r="H119" s="6" t="n">
        <f aca="false">G119</f>
        <v>1992</v>
      </c>
      <c r="I119" s="6" t="n">
        <v>2000</v>
      </c>
      <c r="J119" s="4" t="s">
        <v>63</v>
      </c>
      <c r="K119" s="8"/>
      <c r="M119" s="8" t="n">
        <v>45596</v>
      </c>
      <c r="P119" s="9" t="n">
        <v>0</v>
      </c>
      <c r="Q119" s="9" t="n">
        <f aca="false">P119</f>
        <v>0</v>
      </c>
      <c r="S119" s="9" t="n">
        <v>117300</v>
      </c>
      <c r="T119" s="9" t="n">
        <f aca="false">S119</f>
        <v>117300</v>
      </c>
      <c r="U119" s="63" t="n">
        <v>129500</v>
      </c>
      <c r="V119" s="9" t="n">
        <f aca="false">U119</f>
        <v>129500</v>
      </c>
      <c r="W119" s="44" t="n">
        <f aca="false">S119/G119</f>
        <v>58.8855421686747</v>
      </c>
      <c r="X119" s="9" t="s">
        <v>57</v>
      </c>
      <c r="Y119" s="40"/>
      <c r="AA119" s="5" t="s">
        <v>40</v>
      </c>
      <c r="AB119" s="58" t="s">
        <v>64</v>
      </c>
      <c r="AC119" s="15" t="n">
        <v>72.5</v>
      </c>
      <c r="AE119" s="57" t="n">
        <v>2</v>
      </c>
      <c r="AF119" s="4" t="s">
        <v>54</v>
      </c>
    </row>
    <row r="120" customFormat="false" ht="37.3" hidden="false" customHeight="false" outlineLevel="0" collapsed="false">
      <c r="A120" s="11" t="s">
        <v>102</v>
      </c>
      <c r="B120" s="11" t="s">
        <v>35</v>
      </c>
      <c r="C120" s="28" t="n">
        <v>550180</v>
      </c>
      <c r="D120" s="4" t="s">
        <v>297</v>
      </c>
      <c r="E120" s="4" t="s">
        <v>176</v>
      </c>
      <c r="F120" s="5" t="s">
        <v>306</v>
      </c>
      <c r="G120" s="54" t="n">
        <v>1674</v>
      </c>
      <c r="H120" s="6" t="n">
        <f aca="false">G120</f>
        <v>1674</v>
      </c>
      <c r="I120" s="6" t="n">
        <v>1500</v>
      </c>
      <c r="J120" s="4" t="s">
        <v>307</v>
      </c>
      <c r="K120" s="7" t="n">
        <v>44805</v>
      </c>
      <c r="L120" s="8" t="n">
        <v>46630</v>
      </c>
      <c r="O120" s="8" t="n">
        <v>45900</v>
      </c>
      <c r="P120" s="9" t="n">
        <v>98280</v>
      </c>
      <c r="Q120" s="9" t="n">
        <f aca="false">P120</f>
        <v>98280</v>
      </c>
      <c r="S120" s="9" t="n">
        <v>100400</v>
      </c>
      <c r="T120" s="9" t="n">
        <f aca="false">S120</f>
        <v>100400</v>
      </c>
      <c r="U120" s="63" t="n">
        <v>113000</v>
      </c>
      <c r="V120" s="9" t="n">
        <f aca="false">U120</f>
        <v>113000</v>
      </c>
      <c r="W120" s="44" t="n">
        <f aca="false">S120/G120</f>
        <v>59.9761051373955</v>
      </c>
      <c r="X120" s="63" t="s">
        <v>52</v>
      </c>
      <c r="Y120" s="40"/>
      <c r="AA120" s="5" t="s">
        <v>40</v>
      </c>
      <c r="AB120" s="4" t="s">
        <v>308</v>
      </c>
      <c r="AE120" s="57"/>
    </row>
    <row r="121" customFormat="false" ht="19.4" hidden="false" customHeight="false" outlineLevel="0" collapsed="false">
      <c r="A121" s="11" t="s">
        <v>102</v>
      </c>
      <c r="B121" s="11" t="s">
        <v>35</v>
      </c>
      <c r="C121" s="28" t="n">
        <v>550420</v>
      </c>
      <c r="D121" s="4" t="s">
        <v>310</v>
      </c>
      <c r="E121" s="4" t="s">
        <v>311</v>
      </c>
      <c r="F121" s="5" t="s">
        <v>229</v>
      </c>
      <c r="G121" s="6" t="n">
        <v>1115</v>
      </c>
      <c r="H121" s="6" t="n">
        <f aca="false">G121</f>
        <v>1115</v>
      </c>
      <c r="I121" s="6" t="n">
        <v>1000</v>
      </c>
      <c r="J121" s="4" t="s">
        <v>312</v>
      </c>
      <c r="K121" s="7" t="n">
        <v>45504</v>
      </c>
      <c r="L121" s="8" t="n">
        <v>47329</v>
      </c>
      <c r="O121" s="8" t="n">
        <v>46599</v>
      </c>
      <c r="P121" s="9" t="n">
        <v>65000</v>
      </c>
      <c r="Q121" s="9" t="n">
        <f aca="false">P121</f>
        <v>65000</v>
      </c>
      <c r="S121" s="9" t="n">
        <v>50400</v>
      </c>
      <c r="T121" s="9" t="n">
        <f aca="false">S121</f>
        <v>50400</v>
      </c>
      <c r="U121" s="63" t="n">
        <v>63500</v>
      </c>
      <c r="V121" s="9" t="n">
        <f aca="false">U121</f>
        <v>63500</v>
      </c>
      <c r="W121" s="44" t="n">
        <f aca="false">S121/G121</f>
        <v>45.2017937219731</v>
      </c>
      <c r="X121" s="9" t="s">
        <v>39</v>
      </c>
      <c r="Y121" s="40"/>
      <c r="AA121" s="5" t="s">
        <v>40</v>
      </c>
      <c r="AB121" s="4" t="s">
        <v>73</v>
      </c>
      <c r="AD121" s="58"/>
      <c r="AE121" s="59"/>
      <c r="AF121" s="58"/>
    </row>
    <row r="122" customFormat="false" ht="19.4" hidden="false" customHeight="false" outlineLevel="0" collapsed="false">
      <c r="A122" s="11" t="s">
        <v>102</v>
      </c>
      <c r="B122" s="11" t="s">
        <v>35</v>
      </c>
      <c r="C122" s="28" t="n">
        <v>550420</v>
      </c>
      <c r="D122" s="4" t="s">
        <v>310</v>
      </c>
      <c r="E122" s="4" t="s">
        <v>313</v>
      </c>
      <c r="F122" s="5" t="s">
        <v>314</v>
      </c>
      <c r="G122" s="6" t="n">
        <v>488</v>
      </c>
      <c r="H122" s="6" t="n">
        <f aca="false">G122</f>
        <v>488</v>
      </c>
      <c r="I122" s="6" t="n">
        <v>500</v>
      </c>
      <c r="J122" s="4" t="s">
        <v>315</v>
      </c>
      <c r="K122" s="7" t="n">
        <v>45439</v>
      </c>
      <c r="L122" s="8" t="n">
        <v>47264</v>
      </c>
      <c r="P122" s="9" t="n">
        <v>16000</v>
      </c>
      <c r="Q122" s="9" t="n">
        <f aca="false">P122</f>
        <v>16000</v>
      </c>
      <c r="S122" s="9" t="n">
        <v>13100</v>
      </c>
      <c r="T122" s="9" t="n">
        <f aca="false">S122</f>
        <v>13100</v>
      </c>
      <c r="U122" s="63" t="n">
        <v>14600</v>
      </c>
      <c r="V122" s="9" t="n">
        <f aca="false">U122</f>
        <v>14600</v>
      </c>
      <c r="W122" s="44" t="n">
        <f aca="false">S122/G122</f>
        <v>26.844262295082</v>
      </c>
      <c r="X122" s="9" t="s">
        <v>39</v>
      </c>
      <c r="Y122" s="40"/>
      <c r="AA122" s="5" t="s">
        <v>40</v>
      </c>
      <c r="AB122" s="68"/>
      <c r="AD122" s="68"/>
      <c r="AE122" s="98"/>
      <c r="AF122" s="68"/>
    </row>
    <row r="123" customFormat="false" ht="19.4" hidden="false" customHeight="false" outlineLevel="0" collapsed="false">
      <c r="A123" s="11" t="s">
        <v>102</v>
      </c>
      <c r="B123" s="11" t="s">
        <v>35</v>
      </c>
      <c r="C123" s="28" t="n">
        <v>550420</v>
      </c>
      <c r="D123" s="4" t="s">
        <v>310</v>
      </c>
      <c r="E123" s="4" t="s">
        <v>316</v>
      </c>
      <c r="F123" s="5" t="s">
        <v>229</v>
      </c>
      <c r="G123" s="6" t="n">
        <v>1064</v>
      </c>
      <c r="H123" s="6" t="n">
        <f aca="false">G123</f>
        <v>1064</v>
      </c>
      <c r="I123" s="6" t="n">
        <v>100</v>
      </c>
      <c r="J123" s="4" t="s">
        <v>317</v>
      </c>
      <c r="K123" s="7" t="n">
        <v>44515</v>
      </c>
      <c r="L123" s="8" t="n">
        <v>46340</v>
      </c>
      <c r="P123" s="9" t="n">
        <v>48000</v>
      </c>
      <c r="Q123" s="9" t="n">
        <f aca="false">P123</f>
        <v>48000</v>
      </c>
      <c r="S123" s="9" t="n">
        <v>48000</v>
      </c>
      <c r="T123" s="9" t="n">
        <f aca="false">S123</f>
        <v>48000</v>
      </c>
      <c r="U123" s="63" t="n">
        <v>48000</v>
      </c>
      <c r="V123" s="9" t="n">
        <f aca="false">U123</f>
        <v>48000</v>
      </c>
      <c r="W123" s="44" t="n">
        <f aca="false">S123/G123</f>
        <v>45.1127819548872</v>
      </c>
      <c r="X123" s="9" t="s">
        <v>57</v>
      </c>
      <c r="Y123" s="40"/>
      <c r="AA123" s="5" t="s">
        <v>40</v>
      </c>
      <c r="AE123" s="57"/>
    </row>
    <row r="124" customFormat="false" ht="19.4" hidden="false" customHeight="false" outlineLevel="0" collapsed="false">
      <c r="A124" s="11" t="s">
        <v>102</v>
      </c>
      <c r="B124" s="11" t="s">
        <v>35</v>
      </c>
      <c r="C124" s="28" t="n">
        <v>550420</v>
      </c>
      <c r="D124" s="4" t="s">
        <v>310</v>
      </c>
      <c r="E124" s="4" t="s">
        <v>318</v>
      </c>
      <c r="F124" s="5" t="s">
        <v>37</v>
      </c>
      <c r="G124" s="6" t="n">
        <v>325</v>
      </c>
      <c r="H124" s="6" t="n">
        <f aca="false">G124</f>
        <v>325</v>
      </c>
      <c r="I124" s="6" t="n">
        <v>500</v>
      </c>
      <c r="J124" s="4" t="s">
        <v>319</v>
      </c>
      <c r="K124" s="7" t="n">
        <v>45709</v>
      </c>
      <c r="L124" s="8" t="n">
        <v>47066</v>
      </c>
      <c r="P124" s="9" t="n">
        <v>25310</v>
      </c>
      <c r="Q124" s="9" t="n">
        <f aca="false">P124</f>
        <v>25310</v>
      </c>
      <c r="S124" s="9" t="n">
        <v>28000</v>
      </c>
      <c r="T124" s="9" t="n">
        <f aca="false">S124</f>
        <v>28000</v>
      </c>
      <c r="U124" s="63" t="n">
        <v>20000</v>
      </c>
      <c r="V124" s="9" t="n">
        <f aca="false">U124</f>
        <v>20000</v>
      </c>
      <c r="W124" s="44" t="n">
        <f aca="false">S124/G124</f>
        <v>86.1538461538462</v>
      </c>
      <c r="X124" s="63" t="s">
        <v>52</v>
      </c>
      <c r="Y124" s="40"/>
      <c r="AA124" s="5" t="s">
        <v>40</v>
      </c>
      <c r="AB124" s="4" t="s">
        <v>320</v>
      </c>
      <c r="AE124" s="57" t="n">
        <v>1</v>
      </c>
      <c r="AF124" s="4" t="s">
        <v>54</v>
      </c>
    </row>
    <row r="125" customFormat="false" ht="19.4" hidden="false" customHeight="false" outlineLevel="0" collapsed="false">
      <c r="A125" s="11" t="s">
        <v>102</v>
      </c>
      <c r="B125" s="11" t="s">
        <v>35</v>
      </c>
      <c r="C125" s="28" t="n">
        <v>550420</v>
      </c>
      <c r="D125" s="4" t="s">
        <v>310</v>
      </c>
      <c r="E125" s="4" t="s">
        <v>321</v>
      </c>
      <c r="F125" s="5" t="s">
        <v>37</v>
      </c>
      <c r="G125" s="6" t="n">
        <v>1335</v>
      </c>
      <c r="H125" s="6" t="n">
        <f aca="false">G125</f>
        <v>1335</v>
      </c>
      <c r="I125" s="6" t="n">
        <v>1250</v>
      </c>
      <c r="J125" s="4" t="s">
        <v>322</v>
      </c>
      <c r="K125" s="7" t="n">
        <v>45624</v>
      </c>
      <c r="L125" s="8" t="n">
        <v>47449</v>
      </c>
      <c r="O125" s="8" t="n">
        <v>46718</v>
      </c>
      <c r="P125" s="9" t="n">
        <v>40200</v>
      </c>
      <c r="Q125" s="9" t="n">
        <f aca="false">P125</f>
        <v>40200</v>
      </c>
      <c r="S125" s="9" t="n">
        <v>73700</v>
      </c>
      <c r="T125" s="9" t="n">
        <f aca="false">S125</f>
        <v>73700</v>
      </c>
      <c r="U125" s="63" t="n">
        <v>80400</v>
      </c>
      <c r="V125" s="9" t="n">
        <f aca="false">U125</f>
        <v>80400</v>
      </c>
      <c r="W125" s="44" t="n">
        <f aca="false">S125/G125</f>
        <v>55.2059925093633</v>
      </c>
      <c r="X125" s="63" t="s">
        <v>52</v>
      </c>
      <c r="Y125" s="40"/>
      <c r="AA125" s="5" t="s">
        <v>40</v>
      </c>
      <c r="AB125" s="4" t="s">
        <v>323</v>
      </c>
      <c r="AE125" s="57" t="n">
        <v>1</v>
      </c>
      <c r="AF125" s="4" t="s">
        <v>54</v>
      </c>
    </row>
    <row r="126" customFormat="false" ht="19.4" hidden="false" customHeight="false" outlineLevel="0" collapsed="false">
      <c r="A126" s="11" t="s">
        <v>102</v>
      </c>
      <c r="B126" s="11" t="s">
        <v>35</v>
      </c>
      <c r="C126" s="28" t="n">
        <v>550420</v>
      </c>
      <c r="D126" s="4" t="s">
        <v>310</v>
      </c>
      <c r="E126" s="4" t="s">
        <v>324</v>
      </c>
      <c r="F126" s="5" t="s">
        <v>37</v>
      </c>
      <c r="G126" s="6" t="n">
        <v>533</v>
      </c>
      <c r="H126" s="6" t="n">
        <f aca="false">G126</f>
        <v>533</v>
      </c>
      <c r="I126" s="6" t="n">
        <v>500</v>
      </c>
      <c r="J126" s="4" t="s">
        <v>63</v>
      </c>
      <c r="M126" s="8" t="n">
        <v>44536</v>
      </c>
      <c r="P126" s="9" t="n">
        <v>0</v>
      </c>
      <c r="Q126" s="9" t="n">
        <f aca="false">P126</f>
        <v>0</v>
      </c>
      <c r="S126" s="9" t="n">
        <v>28900</v>
      </c>
      <c r="T126" s="9" t="n">
        <f aca="false">S126</f>
        <v>28900</v>
      </c>
      <c r="U126" s="63" t="n">
        <v>30600</v>
      </c>
      <c r="V126" s="9" t="n">
        <f aca="false">U126</f>
        <v>30600</v>
      </c>
      <c r="W126" s="44" t="n">
        <f aca="false">S126/G126</f>
        <v>54.2213883677298</v>
      </c>
      <c r="X126" s="9" t="s">
        <v>39</v>
      </c>
      <c r="Y126" s="40"/>
      <c r="AA126" s="5" t="s">
        <v>40</v>
      </c>
      <c r="AB126" s="58" t="s">
        <v>272</v>
      </c>
      <c r="AE126" s="57"/>
    </row>
    <row r="127" customFormat="false" ht="19.4" hidden="false" customHeight="false" outlineLevel="0" collapsed="false">
      <c r="A127" s="11" t="s">
        <v>102</v>
      </c>
      <c r="B127" s="11" t="s">
        <v>35</v>
      </c>
      <c r="C127" s="28" t="n">
        <v>550420</v>
      </c>
      <c r="D127" s="4" t="s">
        <v>310</v>
      </c>
      <c r="E127" s="4" t="s">
        <v>89</v>
      </c>
      <c r="F127" s="5" t="s">
        <v>37</v>
      </c>
      <c r="G127" s="6" t="n">
        <v>1404</v>
      </c>
      <c r="H127" s="6" t="n">
        <f aca="false">G127</f>
        <v>1404</v>
      </c>
      <c r="I127" s="6" t="n">
        <v>1500</v>
      </c>
      <c r="J127" s="4" t="s">
        <v>325</v>
      </c>
      <c r="K127" s="7" t="n">
        <v>44490</v>
      </c>
      <c r="L127" s="8" t="n">
        <v>45930</v>
      </c>
      <c r="N127" s="8" t="n">
        <v>45258</v>
      </c>
      <c r="P127" s="9" t="n">
        <v>78800</v>
      </c>
      <c r="Q127" s="9" t="n">
        <f aca="false">P127</f>
        <v>78800</v>
      </c>
      <c r="S127" s="9" t="n">
        <v>79100</v>
      </c>
      <c r="T127" s="9" t="n">
        <f aca="false">S127</f>
        <v>79100</v>
      </c>
      <c r="U127" s="63" t="n">
        <v>87800</v>
      </c>
      <c r="V127" s="9" t="n">
        <f aca="false">U127</f>
        <v>87800</v>
      </c>
      <c r="W127" s="44" t="n">
        <f aca="false">S127/G127</f>
        <v>56.3390313390313</v>
      </c>
      <c r="X127" s="9" t="s">
        <v>39</v>
      </c>
      <c r="Y127" s="40"/>
      <c r="AA127" s="5" t="s">
        <v>40</v>
      </c>
      <c r="AE127" s="57"/>
    </row>
    <row r="128" customFormat="false" ht="28.35" hidden="false" customHeight="false" outlineLevel="0" collapsed="false">
      <c r="A128" s="11" t="s">
        <v>102</v>
      </c>
      <c r="B128" s="11" t="s">
        <v>35</v>
      </c>
      <c r="C128" s="28" t="n">
        <v>550420</v>
      </c>
      <c r="D128" s="4" t="s">
        <v>310</v>
      </c>
      <c r="E128" s="4" t="s">
        <v>90</v>
      </c>
      <c r="F128" s="5" t="s">
        <v>37</v>
      </c>
      <c r="G128" s="6" t="n">
        <v>1404</v>
      </c>
      <c r="H128" s="6" t="n">
        <f aca="false">G128</f>
        <v>1404</v>
      </c>
      <c r="I128" s="6" t="n">
        <v>1500</v>
      </c>
      <c r="J128" s="4" t="s">
        <v>325</v>
      </c>
      <c r="K128" s="7" t="n">
        <v>45259</v>
      </c>
      <c r="L128" s="8" t="n">
        <v>45930</v>
      </c>
      <c r="M128" s="8"/>
      <c r="N128" s="8"/>
      <c r="O128" s="8" t="n">
        <v>45930</v>
      </c>
      <c r="P128" s="9" t="n">
        <v>78800</v>
      </c>
      <c r="Q128" s="9" t="n">
        <f aca="false">P128</f>
        <v>78800</v>
      </c>
      <c r="R128" s="9"/>
      <c r="S128" s="9" t="n">
        <v>79600</v>
      </c>
      <c r="T128" s="9" t="n">
        <f aca="false">S128</f>
        <v>79600</v>
      </c>
      <c r="U128" s="63" t="n">
        <v>87800</v>
      </c>
      <c r="V128" s="9" t="n">
        <f aca="false">U128</f>
        <v>87800</v>
      </c>
      <c r="W128" s="44" t="n">
        <f aca="false">S128/G128</f>
        <v>56.6951566951567</v>
      </c>
      <c r="X128" s="9" t="s">
        <v>39</v>
      </c>
      <c r="Y128" s="40"/>
      <c r="Z128" s="356"/>
      <c r="AA128" s="5" t="s">
        <v>40</v>
      </c>
      <c r="AB128" s="4" t="s">
        <v>326</v>
      </c>
      <c r="AC128" s="15"/>
      <c r="AD128" s="4"/>
      <c r="AE128" s="57"/>
      <c r="AF128" s="4"/>
    </row>
    <row r="129" customFormat="false" ht="19.4" hidden="false" customHeight="false" outlineLevel="0" collapsed="false">
      <c r="A129" s="11" t="s">
        <v>102</v>
      </c>
      <c r="B129" s="11" t="s">
        <v>35</v>
      </c>
      <c r="C129" s="28" t="n">
        <v>550420</v>
      </c>
      <c r="D129" s="4" t="s">
        <v>310</v>
      </c>
      <c r="E129" s="4" t="s">
        <v>114</v>
      </c>
      <c r="F129" s="5" t="s">
        <v>37</v>
      </c>
      <c r="G129" s="6" t="n">
        <v>1330</v>
      </c>
      <c r="H129" s="6" t="n">
        <f aca="false">G129</f>
        <v>1330</v>
      </c>
      <c r="I129" s="6" t="n">
        <v>1250</v>
      </c>
      <c r="J129" s="4" t="s">
        <v>327</v>
      </c>
      <c r="K129" s="7" t="n">
        <v>45762</v>
      </c>
      <c r="L129" s="8" t="n">
        <v>47587</v>
      </c>
      <c r="M129" s="8"/>
      <c r="N129" s="8"/>
      <c r="O129" s="8" t="n">
        <v>46857</v>
      </c>
      <c r="P129" s="9" t="n">
        <v>86450</v>
      </c>
      <c r="Q129" s="9" t="n">
        <f aca="false">P129</f>
        <v>86450</v>
      </c>
      <c r="R129" s="9"/>
      <c r="S129" s="9" t="n">
        <v>78200</v>
      </c>
      <c r="T129" s="9" t="n">
        <f aca="false">S129</f>
        <v>78200</v>
      </c>
      <c r="U129" s="63" t="n">
        <v>86500</v>
      </c>
      <c r="V129" s="9" t="n">
        <f aca="false">U129</f>
        <v>86500</v>
      </c>
      <c r="W129" s="44" t="n">
        <f aca="false">S129/G129</f>
        <v>58.796992481203</v>
      </c>
      <c r="X129" s="9" t="s">
        <v>52</v>
      </c>
      <c r="Y129" s="40"/>
      <c r="Z129" s="356"/>
      <c r="AA129" s="5" t="s">
        <v>40</v>
      </c>
      <c r="AB129" s="4" t="s">
        <v>73</v>
      </c>
      <c r="AC129" s="15" t="n">
        <v>63</v>
      </c>
      <c r="AD129" s="4"/>
      <c r="AE129" s="57" t="n">
        <v>4</v>
      </c>
      <c r="AF129" s="4" t="s">
        <v>54</v>
      </c>
    </row>
    <row r="130" customFormat="false" ht="28.35" hidden="false" customHeight="false" outlineLevel="0" collapsed="false">
      <c r="A130" s="11" t="s">
        <v>44</v>
      </c>
      <c r="B130" s="11" t="s">
        <v>35</v>
      </c>
      <c r="C130" s="28" t="n">
        <v>550190</v>
      </c>
      <c r="D130" s="4" t="s">
        <v>329</v>
      </c>
      <c r="E130" s="4" t="s">
        <v>330</v>
      </c>
      <c r="F130" s="5" t="s">
        <v>304</v>
      </c>
      <c r="G130" s="6" t="n">
        <v>3443</v>
      </c>
      <c r="H130" s="6" t="n">
        <f aca="false">G130</f>
        <v>3443</v>
      </c>
      <c r="I130" s="6" t="n">
        <v>3500</v>
      </c>
      <c r="J130" s="4" t="s">
        <v>331</v>
      </c>
      <c r="K130" s="7" t="n">
        <v>44348</v>
      </c>
      <c r="L130" s="8" t="n">
        <v>47999</v>
      </c>
      <c r="N130" s="8" t="n">
        <v>46174</v>
      </c>
      <c r="O130" s="8" t="n">
        <v>46173</v>
      </c>
      <c r="P130" s="9" t="n">
        <v>75000</v>
      </c>
      <c r="Q130" s="9" t="n">
        <f aca="false">P130</f>
        <v>75000</v>
      </c>
      <c r="S130" s="9" t="n">
        <v>75800</v>
      </c>
      <c r="T130" s="9" t="n">
        <f aca="false">S130</f>
        <v>75800</v>
      </c>
      <c r="U130" s="63" t="n">
        <v>75000</v>
      </c>
      <c r="V130" s="9" t="n">
        <f aca="false">U130</f>
        <v>75000</v>
      </c>
      <c r="W130" s="44" t="n">
        <f aca="false">S130/G130</f>
        <v>22.0156839965147</v>
      </c>
      <c r="X130" s="9" t="s">
        <v>52</v>
      </c>
      <c r="Y130" s="40"/>
      <c r="AA130" s="5" t="s">
        <v>40</v>
      </c>
      <c r="AB130" s="4" t="s">
        <v>332</v>
      </c>
      <c r="AE130" s="57"/>
    </row>
    <row r="131" customFormat="false" ht="15" hidden="false" customHeight="false" outlineLevel="0" collapsed="false">
      <c r="A131" s="11" t="s">
        <v>44</v>
      </c>
      <c r="B131" s="11" t="s">
        <v>35</v>
      </c>
      <c r="C131" s="28" t="n">
        <v>550190</v>
      </c>
      <c r="D131" s="4" t="s">
        <v>329</v>
      </c>
      <c r="E131" s="4" t="s">
        <v>333</v>
      </c>
      <c r="F131" s="5" t="s">
        <v>37</v>
      </c>
      <c r="G131" s="6" t="n">
        <v>1946</v>
      </c>
      <c r="H131" s="6" t="n">
        <f aca="false">G131</f>
        <v>1946</v>
      </c>
      <c r="I131" s="6" t="n">
        <v>2000</v>
      </c>
      <c r="J131" s="4" t="s">
        <v>63</v>
      </c>
      <c r="M131" s="8" t="n">
        <v>45154</v>
      </c>
      <c r="P131" s="9" t="n">
        <v>0</v>
      </c>
      <c r="Q131" s="9" t="n">
        <f aca="false">P131</f>
        <v>0</v>
      </c>
      <c r="S131" s="9" t="n">
        <v>113900</v>
      </c>
      <c r="T131" s="9" t="n">
        <f aca="false">S131</f>
        <v>113900</v>
      </c>
      <c r="U131" s="63" t="n">
        <v>116800</v>
      </c>
      <c r="V131" s="9" t="n">
        <f aca="false">U131</f>
        <v>116800</v>
      </c>
      <c r="W131" s="44" t="n">
        <f aca="false">S131/G131</f>
        <v>58.5303186022611</v>
      </c>
      <c r="X131" s="9" t="s">
        <v>123</v>
      </c>
      <c r="Y131" s="40"/>
      <c r="AA131" s="5" t="s">
        <v>40</v>
      </c>
      <c r="AB131" s="4" t="s">
        <v>334</v>
      </c>
      <c r="AC131" s="15" t="n">
        <v>60</v>
      </c>
      <c r="AE131" s="57" t="n">
        <v>6</v>
      </c>
      <c r="AF131" s="4" t="s">
        <v>54</v>
      </c>
    </row>
    <row r="132" customFormat="false" ht="19.4" hidden="false" customHeight="false" outlineLevel="0" collapsed="false">
      <c r="A132" s="11" t="s">
        <v>44</v>
      </c>
      <c r="B132" s="11" t="s">
        <v>35</v>
      </c>
      <c r="C132" s="28" t="n">
        <v>550190</v>
      </c>
      <c r="D132" s="4" t="s">
        <v>329</v>
      </c>
      <c r="E132" s="4" t="s">
        <v>85</v>
      </c>
      <c r="F132" s="5" t="s">
        <v>37</v>
      </c>
      <c r="G132" s="6" t="n">
        <v>2319</v>
      </c>
      <c r="H132" s="6" t="n">
        <f aca="false">G132</f>
        <v>2319</v>
      </c>
      <c r="I132" s="6" t="n">
        <v>2250</v>
      </c>
      <c r="J132" s="4" t="s">
        <v>335</v>
      </c>
      <c r="K132" s="7" t="n">
        <v>44839</v>
      </c>
      <c r="L132" s="8" t="n">
        <v>46664</v>
      </c>
      <c r="O132" s="8" t="n">
        <v>45935</v>
      </c>
      <c r="P132" s="9" t="n">
        <v>153216</v>
      </c>
      <c r="Q132" s="9" t="n">
        <f aca="false">P132</f>
        <v>153216</v>
      </c>
      <c r="S132" s="9" t="n">
        <v>153600</v>
      </c>
      <c r="T132" s="9" t="n">
        <f aca="false">S132</f>
        <v>153600</v>
      </c>
      <c r="U132" s="63" t="n">
        <v>151900</v>
      </c>
      <c r="V132" s="9" t="n">
        <f aca="false">U132</f>
        <v>151900</v>
      </c>
      <c r="W132" s="44" t="n">
        <f aca="false">S132/G132</f>
        <v>66.235446313066</v>
      </c>
      <c r="X132" s="9" t="s">
        <v>57</v>
      </c>
      <c r="Y132" s="40"/>
      <c r="AA132" s="5" t="s">
        <v>40</v>
      </c>
      <c r="AB132" s="4" t="s">
        <v>336</v>
      </c>
      <c r="AE132" s="57"/>
    </row>
    <row r="133" customFormat="false" ht="37.3" hidden="false" customHeight="false" outlineLevel="0" collapsed="false">
      <c r="A133" s="11" t="s">
        <v>44</v>
      </c>
      <c r="B133" s="11" t="s">
        <v>35</v>
      </c>
      <c r="C133" s="28" t="n">
        <v>550190</v>
      </c>
      <c r="D133" s="4" t="s">
        <v>329</v>
      </c>
      <c r="E133" s="4" t="s">
        <v>337</v>
      </c>
      <c r="F133" s="5" t="s">
        <v>37</v>
      </c>
      <c r="G133" s="6" t="n">
        <v>4653</v>
      </c>
      <c r="H133" s="6" t="n">
        <f aca="false">G133</f>
        <v>4653</v>
      </c>
      <c r="I133" s="6" t="n">
        <v>4500</v>
      </c>
      <c r="J133" s="4" t="s">
        <v>338</v>
      </c>
      <c r="K133" s="7" t="n">
        <v>44879</v>
      </c>
      <c r="L133" s="8" t="n">
        <v>46704</v>
      </c>
      <c r="O133" s="8" t="n">
        <v>45974</v>
      </c>
      <c r="P133" s="9" t="n">
        <v>310500</v>
      </c>
      <c r="Q133" s="9" t="n">
        <f aca="false">P133</f>
        <v>310500</v>
      </c>
      <c r="S133" s="9" t="n">
        <v>310800</v>
      </c>
      <c r="T133" s="9" t="n">
        <f aca="false">S133</f>
        <v>310800</v>
      </c>
      <c r="U133" s="63" t="n">
        <v>316400</v>
      </c>
      <c r="V133" s="9" t="n">
        <f aca="false">U133</f>
        <v>316400</v>
      </c>
      <c r="W133" s="44" t="n">
        <f aca="false">S133/G133</f>
        <v>66.7956157317859</v>
      </c>
      <c r="X133" s="9" t="s">
        <v>57</v>
      </c>
      <c r="Y133" s="40"/>
      <c r="AA133" s="5" t="s">
        <v>40</v>
      </c>
      <c r="AB133" s="4" t="s">
        <v>339</v>
      </c>
      <c r="AE133" s="57"/>
    </row>
    <row r="134" customFormat="false" ht="15" hidden="false" customHeight="false" outlineLevel="0" collapsed="false">
      <c r="A134" s="11" t="s">
        <v>44</v>
      </c>
      <c r="B134" s="11" t="s">
        <v>35</v>
      </c>
      <c r="C134" s="28" t="n">
        <v>550190</v>
      </c>
      <c r="D134" s="4" t="s">
        <v>329</v>
      </c>
      <c r="E134" s="4" t="s">
        <v>114</v>
      </c>
      <c r="F134" s="5" t="s">
        <v>37</v>
      </c>
      <c r="G134" s="6" t="n">
        <v>2316</v>
      </c>
      <c r="H134" s="6" t="n">
        <f aca="false">G134</f>
        <v>2316</v>
      </c>
      <c r="I134" s="6" t="n">
        <v>2250</v>
      </c>
      <c r="J134" s="4" t="s">
        <v>340</v>
      </c>
      <c r="K134" s="7" t="n">
        <v>44883</v>
      </c>
      <c r="L134" s="8" t="n">
        <v>47074</v>
      </c>
      <c r="P134" s="9" t="n">
        <v>151875</v>
      </c>
      <c r="Q134" s="9" t="n">
        <f aca="false">P134</f>
        <v>151875</v>
      </c>
      <c r="S134" s="9" t="n">
        <v>152900</v>
      </c>
      <c r="T134" s="9" t="n">
        <f aca="false">S134</f>
        <v>152900</v>
      </c>
      <c r="U134" s="63" t="n">
        <v>157500</v>
      </c>
      <c r="V134" s="9" t="n">
        <f aca="false">U134</f>
        <v>157500</v>
      </c>
      <c r="W134" s="44" t="n">
        <f aca="false">S134/G134</f>
        <v>66.0189982728843</v>
      </c>
      <c r="X134" s="9" t="s">
        <v>123</v>
      </c>
      <c r="Y134" s="40"/>
      <c r="AA134" s="5" t="s">
        <v>40</v>
      </c>
      <c r="AB134" s="4" t="s">
        <v>341</v>
      </c>
      <c r="AE134" s="57"/>
    </row>
    <row r="135" customFormat="false" ht="15" hidden="false" customHeight="false" outlineLevel="0" collapsed="false">
      <c r="A135" s="11" t="s">
        <v>44</v>
      </c>
      <c r="B135" s="11" t="s">
        <v>35</v>
      </c>
      <c r="C135" s="28" t="n">
        <v>550190</v>
      </c>
      <c r="D135" s="4" t="s">
        <v>329</v>
      </c>
      <c r="E135" s="4" t="s">
        <v>176</v>
      </c>
      <c r="F135" s="5" t="s">
        <v>37</v>
      </c>
      <c r="G135" s="6" t="n">
        <v>2096</v>
      </c>
      <c r="H135" s="6" t="n">
        <f aca="false">G135</f>
        <v>2096</v>
      </c>
      <c r="I135" s="6" t="n">
        <v>2000</v>
      </c>
      <c r="J135" s="4" t="s">
        <v>342</v>
      </c>
      <c r="K135" s="7" t="n">
        <v>44470</v>
      </c>
      <c r="L135" s="8" t="n">
        <v>46295</v>
      </c>
      <c r="P135" s="9" t="n">
        <v>120750</v>
      </c>
      <c r="Q135" s="9" t="n">
        <f aca="false">P135</f>
        <v>120750</v>
      </c>
      <c r="S135" s="9" t="n">
        <v>141800</v>
      </c>
      <c r="T135" s="9" t="n">
        <f aca="false">S135</f>
        <v>141800</v>
      </c>
      <c r="U135" s="63" t="n">
        <v>142500</v>
      </c>
      <c r="V135" s="9" t="n">
        <f aca="false">U135</f>
        <v>142500</v>
      </c>
      <c r="W135" s="44" t="n">
        <f aca="false">S135/G135</f>
        <v>67.6526717557252</v>
      </c>
      <c r="X135" s="9" t="s">
        <v>123</v>
      </c>
      <c r="Y135" s="40"/>
      <c r="AA135" s="5" t="s">
        <v>40</v>
      </c>
      <c r="AE135" s="57"/>
    </row>
    <row r="136" customFormat="false" ht="28.35" hidden="false" customHeight="false" outlineLevel="0" collapsed="false">
      <c r="A136" s="11" t="s">
        <v>102</v>
      </c>
      <c r="B136" s="11" t="s">
        <v>35</v>
      </c>
      <c r="C136" s="28" t="n">
        <v>550570</v>
      </c>
      <c r="D136" s="4" t="s">
        <v>344</v>
      </c>
      <c r="E136" s="4" t="s">
        <v>345</v>
      </c>
      <c r="F136" s="5" t="s">
        <v>346</v>
      </c>
      <c r="G136" s="6" t="n">
        <v>2604</v>
      </c>
      <c r="H136" s="6" t="n">
        <f aca="false">G136</f>
        <v>2604</v>
      </c>
      <c r="I136" s="6" t="n">
        <v>2500</v>
      </c>
      <c r="J136" s="4" t="s">
        <v>347</v>
      </c>
      <c r="K136" s="7" t="n">
        <v>44941</v>
      </c>
      <c r="L136" s="8" t="n">
        <v>47057</v>
      </c>
      <c r="P136" s="9" t="n">
        <v>80000</v>
      </c>
      <c r="Q136" s="9" t="n">
        <f aca="false">P136</f>
        <v>80000</v>
      </c>
      <c r="S136" s="9" t="n">
        <v>80000</v>
      </c>
      <c r="T136" s="9" t="n">
        <f aca="false">S136</f>
        <v>80000</v>
      </c>
      <c r="U136" s="63" t="n">
        <v>70000</v>
      </c>
      <c r="V136" s="9" t="n">
        <f aca="false">U136</f>
        <v>70000</v>
      </c>
      <c r="W136" s="44" t="n">
        <f aca="false">S136/G136</f>
        <v>30.7219662058372</v>
      </c>
      <c r="X136" s="9" t="s">
        <v>57</v>
      </c>
      <c r="Y136" s="40"/>
      <c r="AA136" s="5" t="s">
        <v>40</v>
      </c>
      <c r="AB136" s="4" t="s">
        <v>348</v>
      </c>
      <c r="AE136" s="57"/>
    </row>
    <row r="137" customFormat="false" ht="19.4" hidden="false" customHeight="false" outlineLevel="0" collapsed="false">
      <c r="A137" s="11" t="s">
        <v>102</v>
      </c>
      <c r="B137" s="11" t="s">
        <v>35</v>
      </c>
      <c r="C137" s="28" t="n">
        <v>550570</v>
      </c>
      <c r="D137" s="4" t="s">
        <v>344</v>
      </c>
      <c r="E137" s="4" t="s">
        <v>349</v>
      </c>
      <c r="F137" s="5" t="s">
        <v>350</v>
      </c>
      <c r="G137" s="6" t="n">
        <v>1452</v>
      </c>
      <c r="H137" s="6" t="n">
        <f aca="false">G137</f>
        <v>1452</v>
      </c>
      <c r="I137" s="6" t="n">
        <v>1500</v>
      </c>
      <c r="J137" s="4" t="s">
        <v>351</v>
      </c>
      <c r="K137" s="7" t="n">
        <v>45586</v>
      </c>
      <c r="L137" s="8" t="n">
        <v>46827</v>
      </c>
      <c r="O137" s="8" t="n">
        <v>46097</v>
      </c>
      <c r="P137" s="9" t="n">
        <v>117500</v>
      </c>
      <c r="Q137" s="9" t="n">
        <f aca="false">P137</f>
        <v>117500</v>
      </c>
      <c r="S137" s="9" t="n">
        <v>115000</v>
      </c>
      <c r="T137" s="9" t="n">
        <f aca="false">S137</f>
        <v>115000</v>
      </c>
      <c r="U137" s="63" t="n">
        <v>115000</v>
      </c>
      <c r="V137" s="9" t="n">
        <f aca="false">U137</f>
        <v>115000</v>
      </c>
      <c r="W137" s="44" t="n">
        <f aca="false">S137/G137</f>
        <v>79.2011019283747</v>
      </c>
      <c r="X137" s="9" t="s">
        <v>52</v>
      </c>
      <c r="Y137" s="40"/>
      <c r="AA137" s="5" t="s">
        <v>40</v>
      </c>
      <c r="AB137" s="4" t="s">
        <v>73</v>
      </c>
      <c r="AE137" s="57"/>
    </row>
    <row r="138" customFormat="false" ht="19.4" hidden="false" customHeight="false" outlineLevel="0" collapsed="false">
      <c r="A138" s="11" t="s">
        <v>102</v>
      </c>
      <c r="B138" s="11" t="s">
        <v>35</v>
      </c>
      <c r="C138" s="28" t="n">
        <v>550570</v>
      </c>
      <c r="D138" s="4" t="s">
        <v>344</v>
      </c>
      <c r="E138" s="4" t="s">
        <v>352</v>
      </c>
      <c r="F138" s="5" t="s">
        <v>353</v>
      </c>
      <c r="G138" s="6" t="n">
        <v>1949</v>
      </c>
      <c r="H138" s="6" t="n">
        <f aca="false">G138</f>
        <v>1949</v>
      </c>
      <c r="I138" s="6" t="n">
        <v>2000</v>
      </c>
      <c r="J138" s="4" t="s">
        <v>354</v>
      </c>
      <c r="K138" s="7" t="n">
        <v>45687</v>
      </c>
      <c r="L138" s="8" t="n">
        <v>49338</v>
      </c>
      <c r="N138" s="8" t="n">
        <v>47513</v>
      </c>
      <c r="P138" s="9" t="n">
        <v>59000</v>
      </c>
      <c r="Q138" s="9" t="n">
        <f aca="false">P138</f>
        <v>59000</v>
      </c>
      <c r="S138" s="9" t="n">
        <v>91000</v>
      </c>
      <c r="T138" s="9" t="n">
        <f aca="false">S138</f>
        <v>91000</v>
      </c>
      <c r="U138" s="63" t="n">
        <v>114800</v>
      </c>
      <c r="V138" s="9" t="n">
        <f aca="false">U138</f>
        <v>114800</v>
      </c>
      <c r="W138" s="44" t="n">
        <f aca="false">S138/G138</f>
        <v>46.6906105695228</v>
      </c>
      <c r="X138" s="9" t="s">
        <v>57</v>
      </c>
      <c r="Y138" s="40"/>
      <c r="AA138" s="5" t="s">
        <v>40</v>
      </c>
      <c r="AB138" s="4" t="s">
        <v>355</v>
      </c>
      <c r="AE138" s="57" t="n">
        <v>3</v>
      </c>
      <c r="AF138" s="4" t="s">
        <v>54</v>
      </c>
    </row>
    <row r="139" customFormat="false" ht="19.4" hidden="false" customHeight="false" outlineLevel="0" collapsed="false">
      <c r="A139" s="11" t="s">
        <v>102</v>
      </c>
      <c r="B139" s="11" t="s">
        <v>35</v>
      </c>
      <c r="C139" s="28" t="n">
        <v>550570</v>
      </c>
      <c r="D139" s="4" t="s">
        <v>344</v>
      </c>
      <c r="E139" s="4" t="s">
        <v>356</v>
      </c>
      <c r="F139" s="5" t="s">
        <v>346</v>
      </c>
      <c r="G139" s="6" t="n">
        <v>4976</v>
      </c>
      <c r="H139" s="6" t="n">
        <f aca="false">G139</f>
        <v>4976</v>
      </c>
      <c r="I139" s="6" t="n">
        <v>5000</v>
      </c>
      <c r="J139" s="4" t="s">
        <v>357</v>
      </c>
      <c r="K139" s="7" t="n">
        <v>44722</v>
      </c>
      <c r="L139" s="8" t="n">
        <v>48374</v>
      </c>
      <c r="N139" s="8" t="n">
        <v>46548</v>
      </c>
      <c r="O139" s="8" t="n">
        <v>46547</v>
      </c>
      <c r="P139" s="9" t="n">
        <v>230000</v>
      </c>
      <c r="Q139" s="9" t="n">
        <f aca="false">P139</f>
        <v>230000</v>
      </c>
      <c r="S139" s="9" t="n">
        <v>230000</v>
      </c>
      <c r="T139" s="9" t="n">
        <f aca="false">S139</f>
        <v>230000</v>
      </c>
      <c r="U139" s="63" t="n">
        <v>230000</v>
      </c>
      <c r="V139" s="9" t="n">
        <f aca="false">U139</f>
        <v>230000</v>
      </c>
      <c r="W139" s="44" t="n">
        <f aca="false">S139/G139</f>
        <v>46.2218649517685</v>
      </c>
      <c r="X139" s="9" t="s">
        <v>52</v>
      </c>
      <c r="Y139" s="40"/>
      <c r="AA139" s="5" t="s">
        <v>40</v>
      </c>
      <c r="AB139" s="68" t="s">
        <v>283</v>
      </c>
      <c r="AD139" s="68"/>
      <c r="AE139" s="98"/>
      <c r="AF139" s="68"/>
    </row>
    <row r="140" customFormat="false" ht="19.4" hidden="false" customHeight="false" outlineLevel="0" collapsed="false">
      <c r="A140" s="11" t="s">
        <v>102</v>
      </c>
      <c r="B140" s="11" t="s">
        <v>35</v>
      </c>
      <c r="C140" s="28" t="n">
        <v>550570</v>
      </c>
      <c r="D140" s="4" t="s">
        <v>344</v>
      </c>
      <c r="E140" s="4" t="s">
        <v>358</v>
      </c>
      <c r="F140" s="5" t="s">
        <v>37</v>
      </c>
      <c r="G140" s="6" t="n">
        <v>1443</v>
      </c>
      <c r="H140" s="6" t="n">
        <f aca="false">G140</f>
        <v>1443</v>
      </c>
      <c r="I140" s="6" t="n">
        <v>1500</v>
      </c>
      <c r="J140" s="4" t="s">
        <v>63</v>
      </c>
      <c r="M140" s="8" t="n">
        <v>44121</v>
      </c>
      <c r="P140" s="9" t="n">
        <v>0</v>
      </c>
      <c r="Q140" s="9" t="n">
        <f aca="false">P140</f>
        <v>0</v>
      </c>
      <c r="S140" s="9" t="n">
        <v>87800</v>
      </c>
      <c r="T140" s="9" t="n">
        <f aca="false">S140</f>
        <v>87800</v>
      </c>
      <c r="U140" s="63" t="n">
        <v>93800</v>
      </c>
      <c r="V140" s="9" t="n">
        <f aca="false">U140</f>
        <v>93800</v>
      </c>
      <c r="W140" s="44" t="n">
        <f aca="false">S140/G140</f>
        <v>60.8454608454609</v>
      </c>
      <c r="X140" s="9" t="s">
        <v>57</v>
      </c>
      <c r="Y140" s="40"/>
      <c r="AA140" s="5" t="s">
        <v>40</v>
      </c>
      <c r="AB140" s="4" t="s">
        <v>115</v>
      </c>
      <c r="AC140" s="15" t="n">
        <v>65</v>
      </c>
      <c r="AE140" s="57" t="n">
        <v>1</v>
      </c>
      <c r="AF140" s="4" t="s">
        <v>54</v>
      </c>
    </row>
    <row r="141" customFormat="false" ht="19.4" hidden="false" customHeight="false" outlineLevel="0" collapsed="false">
      <c r="A141" s="11" t="s">
        <v>102</v>
      </c>
      <c r="B141" s="11" t="s">
        <v>35</v>
      </c>
      <c r="C141" s="28" t="n">
        <v>550570</v>
      </c>
      <c r="D141" s="4" t="s">
        <v>344</v>
      </c>
      <c r="E141" s="4" t="s">
        <v>359</v>
      </c>
      <c r="F141" s="5" t="s">
        <v>360</v>
      </c>
      <c r="G141" s="6" t="n">
        <v>2851</v>
      </c>
      <c r="H141" s="6" t="n">
        <f aca="false">G141</f>
        <v>2851</v>
      </c>
      <c r="I141" s="6" t="n">
        <v>2750</v>
      </c>
      <c r="J141" s="58" t="s">
        <v>63</v>
      </c>
      <c r="M141" s="79" t="n">
        <v>45845</v>
      </c>
      <c r="P141" s="63" t="n">
        <v>0</v>
      </c>
      <c r="Q141" s="9" t="n">
        <f aca="false">P141</f>
        <v>0</v>
      </c>
      <c r="S141" s="9" t="n">
        <v>151300</v>
      </c>
      <c r="T141" s="9" t="n">
        <f aca="false">S141</f>
        <v>151300</v>
      </c>
      <c r="U141" s="63" t="n">
        <v>185300</v>
      </c>
      <c r="V141" s="9" t="n">
        <f aca="false">U141</f>
        <v>185300</v>
      </c>
      <c r="W141" s="44" t="n">
        <f aca="false">S141/G141</f>
        <v>53.0690985619081</v>
      </c>
      <c r="X141" s="9" t="s">
        <v>39</v>
      </c>
      <c r="Y141" s="40"/>
      <c r="AA141" s="5" t="s">
        <v>40</v>
      </c>
      <c r="AB141" s="58" t="s">
        <v>64</v>
      </c>
      <c r="AE141" s="57"/>
    </row>
    <row r="142" customFormat="false" ht="19.4" hidden="false" customHeight="false" outlineLevel="0" collapsed="false">
      <c r="A142" s="11" t="s">
        <v>102</v>
      </c>
      <c r="B142" s="11" t="s">
        <v>35</v>
      </c>
      <c r="C142" s="28" t="n">
        <v>550570</v>
      </c>
      <c r="D142" s="4" t="s">
        <v>344</v>
      </c>
      <c r="E142" s="4" t="s">
        <v>361</v>
      </c>
      <c r="F142" s="5" t="s">
        <v>360</v>
      </c>
      <c r="G142" s="6" t="n">
        <v>483</v>
      </c>
      <c r="H142" s="6" t="n">
        <f aca="false">G142</f>
        <v>483</v>
      </c>
      <c r="I142" s="6" t="n">
        <v>500</v>
      </c>
      <c r="J142" s="4" t="s">
        <v>362</v>
      </c>
      <c r="K142" s="7" t="n">
        <v>44272</v>
      </c>
      <c r="L142" s="8" t="n">
        <v>46097</v>
      </c>
      <c r="P142" s="9" t="n">
        <v>52200</v>
      </c>
      <c r="Q142" s="9" t="n">
        <f aca="false">P142</f>
        <v>52200</v>
      </c>
      <c r="S142" s="9" t="n">
        <v>54900</v>
      </c>
      <c r="T142" s="9" t="n">
        <f aca="false">S142</f>
        <v>54900</v>
      </c>
      <c r="U142" s="63" t="n">
        <v>31400</v>
      </c>
      <c r="V142" s="9" t="n">
        <f aca="false">U142</f>
        <v>31400</v>
      </c>
      <c r="W142" s="44" t="n">
        <f aca="false">S142/G142</f>
        <v>113.664596273292</v>
      </c>
      <c r="X142" s="9" t="s">
        <v>123</v>
      </c>
      <c r="Y142" s="40"/>
      <c r="AA142" s="5" t="s">
        <v>40</v>
      </c>
      <c r="AE142" s="57"/>
    </row>
    <row r="143" customFormat="false" ht="19.4" hidden="false" customHeight="false" outlineLevel="0" collapsed="false">
      <c r="A143" s="11" t="s">
        <v>102</v>
      </c>
      <c r="B143" s="11" t="s">
        <v>35</v>
      </c>
      <c r="C143" s="28" t="n">
        <v>550570</v>
      </c>
      <c r="D143" s="4" t="s">
        <v>344</v>
      </c>
      <c r="E143" s="4" t="s">
        <v>363</v>
      </c>
      <c r="F143" s="5" t="s">
        <v>229</v>
      </c>
      <c r="G143" s="6" t="n">
        <v>3299</v>
      </c>
      <c r="H143" s="6" t="n">
        <f aca="false">G143</f>
        <v>3299</v>
      </c>
      <c r="I143" s="6" t="n">
        <v>3250</v>
      </c>
      <c r="J143" s="4" t="s">
        <v>364</v>
      </c>
      <c r="K143" s="7" t="n">
        <v>45807</v>
      </c>
      <c r="L143" s="8" t="n">
        <v>47143</v>
      </c>
      <c r="O143" s="8" t="n">
        <v>46408</v>
      </c>
      <c r="P143" s="9" t="n">
        <v>231000</v>
      </c>
      <c r="Q143" s="9" t="n">
        <f aca="false">P143</f>
        <v>231000</v>
      </c>
      <c r="S143" s="9" t="n">
        <v>193200</v>
      </c>
      <c r="T143" s="9" t="n">
        <f aca="false">S143</f>
        <v>193200</v>
      </c>
      <c r="U143" s="63" t="n">
        <v>231000</v>
      </c>
      <c r="V143" s="9" t="n">
        <f aca="false">U143</f>
        <v>231000</v>
      </c>
      <c r="W143" s="44" t="n">
        <f aca="false">S143/G143</f>
        <v>58.5632009699909</v>
      </c>
      <c r="X143" s="63" t="s">
        <v>52</v>
      </c>
      <c r="Y143" s="40"/>
      <c r="AA143" s="5" t="s">
        <v>40</v>
      </c>
      <c r="AB143" s="4" t="s">
        <v>365</v>
      </c>
      <c r="AE143" s="57"/>
    </row>
    <row r="144" customFormat="false" ht="19.4" hidden="false" customHeight="false" outlineLevel="0" collapsed="false">
      <c r="A144" s="11" t="s">
        <v>102</v>
      </c>
      <c r="B144" s="11" t="s">
        <v>35</v>
      </c>
      <c r="C144" s="28" t="n">
        <v>550570</v>
      </c>
      <c r="D144" s="4" t="s">
        <v>344</v>
      </c>
      <c r="E144" s="4" t="s">
        <v>366</v>
      </c>
      <c r="F144" s="5" t="s">
        <v>304</v>
      </c>
      <c r="G144" s="6" t="n">
        <v>882</v>
      </c>
      <c r="H144" s="6" t="n">
        <f aca="false">G144</f>
        <v>882</v>
      </c>
      <c r="I144" s="6" t="n">
        <v>1000</v>
      </c>
      <c r="J144" s="4" t="s">
        <v>367</v>
      </c>
      <c r="K144" s="7" t="n">
        <v>45114</v>
      </c>
      <c r="L144" s="8" t="n">
        <v>46209</v>
      </c>
      <c r="P144" s="9" t="n">
        <v>56225</v>
      </c>
      <c r="Q144" s="9" t="n">
        <f aca="false">P144</f>
        <v>56225</v>
      </c>
      <c r="S144" s="9" t="n">
        <v>52800</v>
      </c>
      <c r="T144" s="9" t="n">
        <f aca="false">S144</f>
        <v>52800</v>
      </c>
      <c r="U144" s="63" t="n">
        <v>58200</v>
      </c>
      <c r="V144" s="9" t="n">
        <f aca="false">U144</f>
        <v>58200</v>
      </c>
      <c r="W144" s="44" t="n">
        <f aca="false">S144/G144</f>
        <v>59.8639455782313</v>
      </c>
      <c r="X144" s="9" t="s">
        <v>57</v>
      </c>
      <c r="Y144" s="40"/>
      <c r="AA144" s="5" t="s">
        <v>40</v>
      </c>
      <c r="AB144" s="4" t="s">
        <v>368</v>
      </c>
      <c r="AE144" s="57"/>
    </row>
    <row r="145" customFormat="false" ht="19.4" hidden="false" customHeight="false" outlineLevel="0" collapsed="false">
      <c r="A145" s="11" t="s">
        <v>102</v>
      </c>
      <c r="B145" s="11" t="s">
        <v>35</v>
      </c>
      <c r="C145" s="28" t="n">
        <v>550570</v>
      </c>
      <c r="D145" s="4" t="s">
        <v>344</v>
      </c>
      <c r="E145" s="4" t="s">
        <v>90</v>
      </c>
      <c r="F145" s="5" t="s">
        <v>304</v>
      </c>
      <c r="G145" s="6" t="n">
        <v>4169</v>
      </c>
      <c r="H145" s="6" t="n">
        <f aca="false">G145</f>
        <v>4169</v>
      </c>
      <c r="I145" s="6" t="n">
        <v>4000</v>
      </c>
      <c r="J145" s="4" t="s">
        <v>369</v>
      </c>
      <c r="K145" s="7" t="n">
        <v>43378</v>
      </c>
      <c r="L145" s="8" t="n">
        <v>47030</v>
      </c>
      <c r="N145" s="8" t="n">
        <v>45204</v>
      </c>
      <c r="P145" s="9" t="n">
        <v>257635</v>
      </c>
      <c r="Q145" s="9" t="n">
        <f aca="false">P145</f>
        <v>257635</v>
      </c>
      <c r="S145" s="9" t="n">
        <v>264100</v>
      </c>
      <c r="T145" s="9" t="n">
        <f aca="false">S145</f>
        <v>264100</v>
      </c>
      <c r="U145" s="63" t="n">
        <v>281400</v>
      </c>
      <c r="V145" s="9" t="n">
        <f aca="false">U145</f>
        <v>281400</v>
      </c>
      <c r="W145" s="44" t="n">
        <f aca="false">S145/G145</f>
        <v>63.3485248260974</v>
      </c>
      <c r="X145" s="9" t="s">
        <v>57</v>
      </c>
      <c r="Y145" s="40"/>
      <c r="AA145" s="5" t="s">
        <v>40</v>
      </c>
      <c r="AB145" s="4" t="s">
        <v>370</v>
      </c>
      <c r="AE145" s="57"/>
    </row>
    <row r="146" customFormat="false" ht="28.35" hidden="false" customHeight="false" outlineLevel="0" collapsed="false">
      <c r="A146" s="11" t="s">
        <v>102</v>
      </c>
      <c r="B146" s="11" t="s">
        <v>35</v>
      </c>
      <c r="C146" s="28" t="n">
        <v>550570</v>
      </c>
      <c r="D146" s="4" t="s">
        <v>344</v>
      </c>
      <c r="E146" s="4" t="s">
        <v>371</v>
      </c>
      <c r="F146" s="5" t="s">
        <v>37</v>
      </c>
      <c r="G146" s="6" t="n">
        <v>4098</v>
      </c>
      <c r="H146" s="6" t="n">
        <f aca="false">G146</f>
        <v>4098</v>
      </c>
      <c r="I146" s="6" t="n">
        <v>4000</v>
      </c>
      <c r="J146" s="4" t="s">
        <v>364</v>
      </c>
      <c r="K146" s="7" t="n">
        <v>45317</v>
      </c>
      <c r="L146" s="8" t="n">
        <v>47143</v>
      </c>
      <c r="O146" s="8" t="n">
        <v>46047</v>
      </c>
      <c r="P146" s="9" t="n">
        <v>304500</v>
      </c>
      <c r="Q146" s="9" t="n">
        <f aca="false">P146</f>
        <v>304500</v>
      </c>
      <c r="S146" s="9" t="n">
        <v>255600</v>
      </c>
      <c r="T146" s="9" t="n">
        <f aca="false">S146</f>
        <v>255600</v>
      </c>
      <c r="U146" s="63" t="n">
        <v>304500</v>
      </c>
      <c r="V146" s="9" t="n">
        <f aca="false">U146</f>
        <v>304500</v>
      </c>
      <c r="W146" s="44" t="n">
        <f aca="false">S146/G146</f>
        <v>62.3718887262079</v>
      </c>
      <c r="X146" s="9" t="s">
        <v>52</v>
      </c>
      <c r="Y146" s="40"/>
      <c r="AA146" s="5" t="s">
        <v>40</v>
      </c>
      <c r="AB146" s="4" t="s">
        <v>372</v>
      </c>
      <c r="AE146" s="57"/>
    </row>
    <row r="147" customFormat="false" ht="28.35" hidden="false" customHeight="false" outlineLevel="0" collapsed="false">
      <c r="A147" s="11" t="s">
        <v>102</v>
      </c>
      <c r="B147" s="11" t="s">
        <v>35</v>
      </c>
      <c r="C147" s="28" t="n">
        <v>550570</v>
      </c>
      <c r="D147" s="4" t="s">
        <v>344</v>
      </c>
      <c r="E147" s="4" t="s">
        <v>176</v>
      </c>
      <c r="F147" s="5" t="s">
        <v>37</v>
      </c>
      <c r="G147" s="6" t="n">
        <v>3179</v>
      </c>
      <c r="H147" s="6" t="n">
        <f aca="false">G147</f>
        <v>3179</v>
      </c>
      <c r="I147" s="6" t="n">
        <v>3000</v>
      </c>
      <c r="J147" s="4" t="s">
        <v>373</v>
      </c>
      <c r="K147" s="7" t="n">
        <v>45086</v>
      </c>
      <c r="L147" s="8" t="n">
        <v>46912</v>
      </c>
      <c r="O147" s="8" t="n">
        <v>46181</v>
      </c>
      <c r="P147" s="9" t="n">
        <v>225875</v>
      </c>
      <c r="Q147" s="9" t="n">
        <f aca="false">P147</f>
        <v>225875</v>
      </c>
      <c r="S147" s="9" t="n">
        <v>196883</v>
      </c>
      <c r="T147" s="9" t="n">
        <f aca="false">S147</f>
        <v>196883</v>
      </c>
      <c r="U147" s="63" t="n">
        <v>230500</v>
      </c>
      <c r="V147" s="9" t="n">
        <f aca="false">U147</f>
        <v>230500</v>
      </c>
      <c r="W147" s="44" t="n">
        <f aca="false">S147/G147</f>
        <v>61.9323686693929</v>
      </c>
      <c r="X147" s="9" t="s">
        <v>57</v>
      </c>
      <c r="Y147" s="40"/>
      <c r="AA147" s="5" t="s">
        <v>40</v>
      </c>
      <c r="AB147" s="4" t="s">
        <v>374</v>
      </c>
      <c r="AE147" s="57"/>
    </row>
    <row r="148" customFormat="false" ht="28.35" hidden="false" customHeight="false" outlineLevel="0" collapsed="false">
      <c r="A148" s="11" t="s">
        <v>102</v>
      </c>
      <c r="B148" s="11" t="s">
        <v>35</v>
      </c>
      <c r="C148" s="28" t="n">
        <v>550570</v>
      </c>
      <c r="D148" s="4" t="s">
        <v>344</v>
      </c>
      <c r="E148" s="4" t="s">
        <v>375</v>
      </c>
      <c r="F148" s="5" t="s">
        <v>37</v>
      </c>
      <c r="G148" s="6" t="n">
        <v>2099</v>
      </c>
      <c r="H148" s="6" t="n">
        <f aca="false">G148</f>
        <v>2099</v>
      </c>
      <c r="I148" s="6" t="n">
        <v>2000</v>
      </c>
      <c r="J148" s="4" t="s">
        <v>376</v>
      </c>
      <c r="K148" s="7" t="n">
        <v>45019</v>
      </c>
      <c r="L148" s="8" t="n">
        <v>46845</v>
      </c>
      <c r="O148" s="8" t="n">
        <v>46114</v>
      </c>
      <c r="P148" s="9" t="n">
        <v>133250</v>
      </c>
      <c r="Q148" s="9" t="n">
        <f aca="false">P148</f>
        <v>133250</v>
      </c>
      <c r="S148" s="9" t="n">
        <v>135167</v>
      </c>
      <c r="T148" s="9" t="n">
        <f aca="false">S148</f>
        <v>135167</v>
      </c>
      <c r="U148" s="63" t="n">
        <v>152200</v>
      </c>
      <c r="V148" s="9" t="n">
        <f aca="false">U148</f>
        <v>152200</v>
      </c>
      <c r="W148" s="44" t="n">
        <f aca="false">S148/G148</f>
        <v>64.3959028108623</v>
      </c>
      <c r="X148" s="9" t="s">
        <v>57</v>
      </c>
      <c r="Y148" s="40"/>
      <c r="AA148" s="5" t="s">
        <v>40</v>
      </c>
      <c r="AB148" s="4" t="s">
        <v>377</v>
      </c>
      <c r="AE148" s="57"/>
    </row>
    <row r="149" customFormat="false" ht="19.4" hidden="false" customHeight="false" outlineLevel="0" collapsed="false">
      <c r="A149" s="11" t="s">
        <v>102</v>
      </c>
      <c r="B149" s="11" t="s">
        <v>35</v>
      </c>
      <c r="C149" s="28" t="n">
        <v>550570</v>
      </c>
      <c r="D149" s="4" t="s">
        <v>344</v>
      </c>
      <c r="E149" s="4" t="s">
        <v>378</v>
      </c>
      <c r="F149" s="5" t="s">
        <v>235</v>
      </c>
      <c r="G149" s="6" t="n">
        <v>580</v>
      </c>
      <c r="H149" s="6" t="n">
        <f aca="false">G149</f>
        <v>580</v>
      </c>
      <c r="I149" s="6" t="n">
        <v>500</v>
      </c>
      <c r="J149" s="4" t="s">
        <v>379</v>
      </c>
      <c r="K149" s="7" t="n">
        <v>45546</v>
      </c>
      <c r="L149" s="8" t="n">
        <v>45910</v>
      </c>
      <c r="P149" s="9" t="n">
        <v>42016</v>
      </c>
      <c r="Q149" s="9" t="n">
        <f aca="false">P149</f>
        <v>42016</v>
      </c>
      <c r="S149" s="9" t="n">
        <v>26496</v>
      </c>
      <c r="T149" s="9" t="n">
        <f aca="false">S149</f>
        <v>26496</v>
      </c>
      <c r="U149" s="63" t="n">
        <v>42016</v>
      </c>
      <c r="V149" s="9" t="n">
        <f aca="false">U149</f>
        <v>42016</v>
      </c>
      <c r="W149" s="44" t="n">
        <f aca="false">S149/G149</f>
        <v>45.6827586206897</v>
      </c>
      <c r="X149" s="9" t="s">
        <v>123</v>
      </c>
      <c r="Y149" s="40"/>
      <c r="AA149" s="5" t="s">
        <v>40</v>
      </c>
      <c r="AB149" s="58" t="s">
        <v>380</v>
      </c>
      <c r="AD149" s="58"/>
      <c r="AE149" s="59"/>
      <c r="AF149" s="58"/>
    </row>
    <row r="150" customFormat="false" ht="37.3" hidden="false" customHeight="false" outlineLevel="0" collapsed="false">
      <c r="A150" s="11" t="s">
        <v>185</v>
      </c>
      <c r="B150" s="11" t="s">
        <v>35</v>
      </c>
      <c r="C150" s="28" t="n">
        <v>550430</v>
      </c>
      <c r="D150" s="4" t="s">
        <v>382</v>
      </c>
      <c r="E150" s="4" t="s">
        <v>36</v>
      </c>
      <c r="F150" s="5" t="s">
        <v>46</v>
      </c>
      <c r="G150" s="41" t="n">
        <v>2692</v>
      </c>
      <c r="H150" s="9" t="n">
        <f aca="false">G150</f>
        <v>2692</v>
      </c>
      <c r="I150" s="9" t="n">
        <v>2750</v>
      </c>
      <c r="J150" s="4" t="s">
        <v>383</v>
      </c>
      <c r="K150" s="7" t="n">
        <v>39814</v>
      </c>
      <c r="L150" s="8" t="n">
        <v>45747</v>
      </c>
      <c r="P150" s="42" t="n">
        <v>104500</v>
      </c>
      <c r="Q150" s="9" t="n">
        <f aca="false">P150</f>
        <v>104500</v>
      </c>
      <c r="R150" s="42" t="n">
        <f aca="false">Q150</f>
        <v>104500</v>
      </c>
      <c r="S150" s="42" t="n">
        <v>94400</v>
      </c>
      <c r="T150" s="9" t="n">
        <f aca="false">S150</f>
        <v>94400</v>
      </c>
      <c r="U150" s="43" t="n">
        <v>94400</v>
      </c>
      <c r="V150" s="9" t="n">
        <f aca="false">U150</f>
        <v>94400</v>
      </c>
      <c r="W150" s="44" t="n">
        <f aca="false">S150/G150</f>
        <v>35.0668647845468</v>
      </c>
      <c r="X150" s="9" t="s">
        <v>52</v>
      </c>
      <c r="Y150" s="40"/>
      <c r="Z150" s="43" t="n">
        <v>1375000</v>
      </c>
      <c r="AA150" s="5" t="s">
        <v>165</v>
      </c>
      <c r="AB150" s="4" t="s">
        <v>384</v>
      </c>
      <c r="AE150" s="57"/>
    </row>
    <row r="151" customFormat="false" ht="37.3" hidden="false" customHeight="false" outlineLevel="0" collapsed="false">
      <c r="A151" s="11" t="s">
        <v>185</v>
      </c>
      <c r="B151" s="11" t="s">
        <v>35</v>
      </c>
      <c r="C151" s="28" t="n">
        <v>550440</v>
      </c>
      <c r="D151" s="4" t="s">
        <v>385</v>
      </c>
      <c r="E151" s="4" t="s">
        <v>108</v>
      </c>
      <c r="F151" s="5" t="s">
        <v>46</v>
      </c>
      <c r="G151" s="6" t="n">
        <v>1171</v>
      </c>
      <c r="H151" s="9" t="n">
        <f aca="false">G151</f>
        <v>1171</v>
      </c>
      <c r="I151" s="9" t="n">
        <v>1000</v>
      </c>
      <c r="J151" s="4" t="s">
        <v>383</v>
      </c>
      <c r="K151" s="7" t="n">
        <v>39814</v>
      </c>
      <c r="L151" s="8" t="n">
        <v>45747</v>
      </c>
      <c r="P151" s="9" t="n">
        <v>50425</v>
      </c>
      <c r="Q151" s="9" t="n">
        <f aca="false">P151</f>
        <v>50425</v>
      </c>
      <c r="S151" s="9" t="n">
        <v>41000</v>
      </c>
      <c r="T151" s="9" t="n">
        <f aca="false">S151</f>
        <v>41000</v>
      </c>
      <c r="U151" s="63" t="n">
        <v>41000</v>
      </c>
      <c r="V151" s="9" t="n">
        <f aca="false">U151</f>
        <v>41000</v>
      </c>
      <c r="W151" s="44" t="n">
        <f aca="false">S151/G151</f>
        <v>35.0128095644748</v>
      </c>
      <c r="X151" s="9" t="s">
        <v>52</v>
      </c>
      <c r="Y151" s="40"/>
      <c r="Z151" s="43"/>
      <c r="AA151" s="5" t="s">
        <v>165</v>
      </c>
      <c r="AB151" s="4" t="s">
        <v>384</v>
      </c>
      <c r="AE151" s="57"/>
    </row>
    <row r="152" customFormat="false" ht="15" hidden="false" customHeight="false" outlineLevel="0" collapsed="false">
      <c r="A152" s="11" t="s">
        <v>185</v>
      </c>
      <c r="B152" s="11" t="s">
        <v>35</v>
      </c>
      <c r="C152" s="28" t="n">
        <v>550440</v>
      </c>
      <c r="D152" s="4" t="s">
        <v>385</v>
      </c>
      <c r="E152" s="4" t="s">
        <v>254</v>
      </c>
      <c r="F152" s="5" t="s">
        <v>386</v>
      </c>
      <c r="G152" s="6" t="n">
        <v>1120</v>
      </c>
      <c r="H152" s="9" t="n">
        <f aca="false">G152</f>
        <v>1120</v>
      </c>
      <c r="I152" s="9" t="n">
        <v>1000</v>
      </c>
      <c r="J152" s="4" t="s">
        <v>383</v>
      </c>
      <c r="K152" s="7" t="n">
        <v>45292</v>
      </c>
      <c r="P152" s="9" t="n">
        <v>61575</v>
      </c>
      <c r="Q152" s="9" t="n">
        <f aca="false">P152</f>
        <v>61575</v>
      </c>
      <c r="S152" s="9" t="n">
        <v>58800</v>
      </c>
      <c r="T152" s="9" t="n">
        <f aca="false">S152</f>
        <v>58800</v>
      </c>
      <c r="U152" s="63" t="n">
        <v>58800</v>
      </c>
      <c r="V152" s="9" t="n">
        <f aca="false">U152</f>
        <v>58800</v>
      </c>
      <c r="W152" s="9"/>
      <c r="X152" s="9" t="s">
        <v>123</v>
      </c>
      <c r="Y152" s="40"/>
      <c r="Z152" s="43"/>
      <c r="AA152" s="5" t="s">
        <v>40</v>
      </c>
      <c r="AB152" s="4" t="s">
        <v>387</v>
      </c>
      <c r="AE152" s="57"/>
    </row>
    <row r="153" customFormat="false" ht="15" hidden="false" customHeight="false" outlineLevel="0" collapsed="false">
      <c r="A153" s="11" t="s">
        <v>102</v>
      </c>
      <c r="B153" s="11" t="s">
        <v>35</v>
      </c>
      <c r="C153" s="28" t="n">
        <v>550220</v>
      </c>
      <c r="D153" s="4" t="s">
        <v>388</v>
      </c>
      <c r="E153" s="4" t="s">
        <v>389</v>
      </c>
      <c r="F153" s="5" t="s">
        <v>390</v>
      </c>
      <c r="G153" s="41" t="n">
        <v>4284</v>
      </c>
      <c r="H153" s="9" t="n">
        <f aca="false">G153</f>
        <v>4284</v>
      </c>
      <c r="I153" s="9" t="n">
        <v>4250</v>
      </c>
      <c r="J153" s="4" t="s">
        <v>63</v>
      </c>
      <c r="M153" s="8" t="n">
        <v>44387</v>
      </c>
      <c r="P153" s="42" t="n">
        <v>0</v>
      </c>
      <c r="Q153" s="9" t="n">
        <f aca="false">P153</f>
        <v>0</v>
      </c>
      <c r="R153" s="42" t="n">
        <f aca="false">Q153</f>
        <v>0</v>
      </c>
      <c r="S153" s="42" t="n">
        <v>0</v>
      </c>
      <c r="T153" s="9" t="n">
        <f aca="false">S153</f>
        <v>0</v>
      </c>
      <c r="U153" s="43" t="n">
        <v>0</v>
      </c>
      <c r="V153" s="9" t="n">
        <f aca="false">U153</f>
        <v>0</v>
      </c>
      <c r="W153" s="9"/>
      <c r="X153" s="9"/>
      <c r="Y153" s="40"/>
      <c r="Z153" s="43" t="n">
        <v>1500000</v>
      </c>
      <c r="AA153" s="5" t="s">
        <v>40</v>
      </c>
      <c r="AB153" s="4" t="s">
        <v>220</v>
      </c>
      <c r="AD153" s="58"/>
      <c r="AE153" s="59"/>
      <c r="AF153" s="58"/>
    </row>
    <row r="154" customFormat="false" ht="46.25" hidden="false" customHeight="false" outlineLevel="0" collapsed="false">
      <c r="A154" s="11" t="s">
        <v>102</v>
      </c>
      <c r="B154" s="11" t="s">
        <v>35</v>
      </c>
      <c r="C154" s="28" t="n">
        <v>550890</v>
      </c>
      <c r="D154" s="4" t="s">
        <v>392</v>
      </c>
      <c r="E154" s="4" t="s">
        <v>36</v>
      </c>
      <c r="F154" s="5" t="s">
        <v>393</v>
      </c>
      <c r="G154" s="41" t="n">
        <v>23500</v>
      </c>
      <c r="H154" s="9" t="n">
        <f aca="false">G154</f>
        <v>23500</v>
      </c>
      <c r="I154" s="9" t="n">
        <v>23500</v>
      </c>
      <c r="J154" s="4" t="s">
        <v>394</v>
      </c>
      <c r="K154" s="7" t="n">
        <v>45651</v>
      </c>
      <c r="L154" s="8" t="n">
        <v>49302</v>
      </c>
      <c r="N154" s="7" t="n">
        <v>47477</v>
      </c>
      <c r="O154" s="7"/>
      <c r="P154" s="42" t="n">
        <v>660000</v>
      </c>
      <c r="Q154" s="9" t="n">
        <f aca="false">P154</f>
        <v>660000</v>
      </c>
      <c r="R154" s="42" t="n">
        <f aca="false">Q154</f>
        <v>660000</v>
      </c>
      <c r="S154" s="42" t="n">
        <v>0</v>
      </c>
      <c r="T154" s="9" t="n">
        <f aca="false">S154</f>
        <v>0</v>
      </c>
      <c r="U154" s="43" t="n">
        <v>0</v>
      </c>
      <c r="V154" s="9" t="n">
        <f aca="false">U154</f>
        <v>0</v>
      </c>
      <c r="W154" s="9"/>
      <c r="X154" s="9" t="s">
        <v>52</v>
      </c>
      <c r="Y154" s="40"/>
      <c r="Z154" s="43" t="n">
        <v>17100000</v>
      </c>
      <c r="AA154" s="5" t="s">
        <v>40</v>
      </c>
      <c r="AB154" s="101" t="s">
        <v>395</v>
      </c>
      <c r="AC154" s="102"/>
      <c r="AD154" s="101"/>
      <c r="AE154" s="103"/>
      <c r="AF154" s="101"/>
    </row>
    <row r="155" customFormat="false" ht="15" hidden="false" customHeight="false" outlineLevel="0" collapsed="false">
      <c r="A155" s="11" t="s">
        <v>228</v>
      </c>
      <c r="B155" s="11" t="s">
        <v>35</v>
      </c>
      <c r="C155" s="28" t="n">
        <v>550586</v>
      </c>
      <c r="D155" s="4" t="s">
        <v>396</v>
      </c>
      <c r="E155" s="4" t="s">
        <v>397</v>
      </c>
      <c r="F155" s="5" t="s">
        <v>235</v>
      </c>
      <c r="G155" s="41" t="n">
        <v>420</v>
      </c>
      <c r="H155" s="9" t="n">
        <f aca="false">G155</f>
        <v>420</v>
      </c>
      <c r="I155" s="9" t="n">
        <v>500</v>
      </c>
      <c r="J155" s="4" t="s">
        <v>398</v>
      </c>
      <c r="K155" s="7" t="n">
        <v>45664</v>
      </c>
      <c r="L155" s="8" t="n">
        <v>46028</v>
      </c>
      <c r="P155" s="42" t="n">
        <v>25220</v>
      </c>
      <c r="Q155" s="9" t="n">
        <f aca="false">P155</f>
        <v>25220</v>
      </c>
      <c r="R155" s="42" t="n">
        <f aca="false">Q155</f>
        <v>25220</v>
      </c>
      <c r="S155" s="42" t="n">
        <v>27000</v>
      </c>
      <c r="T155" s="9" t="n">
        <f aca="false">S155</f>
        <v>27000</v>
      </c>
      <c r="U155" s="43" t="n">
        <v>25220</v>
      </c>
      <c r="V155" s="9" t="n">
        <f aca="false">U155</f>
        <v>25220</v>
      </c>
      <c r="W155" s="9"/>
      <c r="X155" s="9" t="s">
        <v>57</v>
      </c>
      <c r="Y155" s="40"/>
      <c r="Z155" s="43" t="n">
        <v>575000</v>
      </c>
      <c r="AA155" s="5" t="s">
        <v>40</v>
      </c>
      <c r="AD155" s="58"/>
      <c r="AE155" s="59"/>
      <c r="AF155" s="58"/>
    </row>
    <row r="156" customFormat="false" ht="19.4" hidden="false" customHeight="false" outlineLevel="0" collapsed="false">
      <c r="A156" s="11" t="s">
        <v>185</v>
      </c>
      <c r="B156" s="11" t="s">
        <v>35</v>
      </c>
      <c r="C156" s="28" t="n">
        <v>550300</v>
      </c>
      <c r="D156" s="4" t="s">
        <v>400</v>
      </c>
      <c r="E156" s="4" t="s">
        <v>401</v>
      </c>
      <c r="F156" s="5" t="s">
        <v>402</v>
      </c>
      <c r="G156" s="6" t="n">
        <v>1911</v>
      </c>
      <c r="H156" s="6" t="n">
        <f aca="false">G156</f>
        <v>1911</v>
      </c>
      <c r="I156" s="6" t="n">
        <v>2000</v>
      </c>
      <c r="J156" s="4" t="s">
        <v>403</v>
      </c>
      <c r="K156" s="7" t="n">
        <v>44774</v>
      </c>
      <c r="L156" s="8" t="n">
        <v>46599</v>
      </c>
      <c r="O156" s="8" t="n">
        <v>45870</v>
      </c>
      <c r="P156" s="9" t="n">
        <v>44735</v>
      </c>
      <c r="Q156" s="9" t="n">
        <f aca="false">P156</f>
        <v>44735</v>
      </c>
      <c r="S156" s="9" t="n">
        <v>45700</v>
      </c>
      <c r="T156" s="9" t="n">
        <f aca="false">S156</f>
        <v>45700</v>
      </c>
      <c r="U156" s="63" t="n">
        <v>47800</v>
      </c>
      <c r="V156" s="9" t="n">
        <f aca="false">U156</f>
        <v>47800</v>
      </c>
      <c r="W156" s="44" t="n">
        <f aca="false">S156/G156</f>
        <v>23.9141810570382</v>
      </c>
      <c r="X156" s="9" t="s">
        <v>123</v>
      </c>
      <c r="Y156" s="40"/>
      <c r="AA156" s="5" t="s">
        <v>40</v>
      </c>
      <c r="AB156" s="4" t="s">
        <v>71</v>
      </c>
      <c r="AE156" s="57"/>
    </row>
    <row r="157" customFormat="false" ht="15" hidden="false" customHeight="false" outlineLevel="0" collapsed="false">
      <c r="A157" s="11" t="s">
        <v>185</v>
      </c>
      <c r="B157" s="11" t="s">
        <v>35</v>
      </c>
      <c r="C157" s="28" t="n">
        <v>550300</v>
      </c>
      <c r="D157" s="4" t="s">
        <v>400</v>
      </c>
      <c r="E157" s="4" t="s">
        <v>404</v>
      </c>
      <c r="F157" s="5" t="s">
        <v>405</v>
      </c>
      <c r="G157" s="6" t="n">
        <v>0</v>
      </c>
      <c r="H157" s="6" t="n">
        <f aca="false">G157</f>
        <v>0</v>
      </c>
      <c r="J157" s="4" t="s">
        <v>77</v>
      </c>
      <c r="M157" s="8" t="n">
        <v>45456</v>
      </c>
      <c r="P157" s="9" t="n">
        <v>0</v>
      </c>
      <c r="Q157" s="9" t="n">
        <f aca="false">P157</f>
        <v>0</v>
      </c>
      <c r="S157" s="9" t="n">
        <v>0</v>
      </c>
      <c r="T157" s="9" t="n">
        <f aca="false">S157</f>
        <v>0</v>
      </c>
      <c r="U157" s="63" t="n">
        <v>0</v>
      </c>
      <c r="V157" s="9" t="n">
        <f aca="false">U157</f>
        <v>0</v>
      </c>
      <c r="W157" s="44"/>
      <c r="X157" s="9" t="s">
        <v>123</v>
      </c>
      <c r="Y157" s="40"/>
      <c r="AA157" s="5" t="s">
        <v>40</v>
      </c>
      <c r="AE157" s="57"/>
    </row>
    <row r="158" customFormat="false" ht="15" hidden="false" customHeight="false" outlineLevel="0" collapsed="false">
      <c r="A158" s="11" t="s">
        <v>185</v>
      </c>
      <c r="B158" s="11" t="s">
        <v>35</v>
      </c>
      <c r="C158" s="28" t="n">
        <v>550300</v>
      </c>
      <c r="D158" s="4" t="s">
        <v>400</v>
      </c>
      <c r="E158" s="4" t="s">
        <v>406</v>
      </c>
      <c r="F158" s="5" t="s">
        <v>229</v>
      </c>
      <c r="G158" s="6" t="n">
        <v>495</v>
      </c>
      <c r="H158" s="6" t="n">
        <f aca="false">G158</f>
        <v>495</v>
      </c>
      <c r="I158" s="6" t="n">
        <v>500</v>
      </c>
      <c r="J158" s="4" t="s">
        <v>407</v>
      </c>
      <c r="K158" s="7" t="n">
        <v>45010</v>
      </c>
      <c r="L158" s="8" t="n">
        <v>48662</v>
      </c>
      <c r="N158" s="8" t="n">
        <v>46837</v>
      </c>
      <c r="P158" s="9" t="n">
        <v>35000</v>
      </c>
      <c r="Q158" s="9" t="n">
        <f aca="false">P158</f>
        <v>35000</v>
      </c>
      <c r="S158" s="9" t="n">
        <v>35400</v>
      </c>
      <c r="T158" s="9" t="n">
        <f aca="false">S158</f>
        <v>35400</v>
      </c>
      <c r="U158" s="63" t="n">
        <v>35000</v>
      </c>
      <c r="V158" s="9" t="n">
        <f aca="false">U158</f>
        <v>35000</v>
      </c>
      <c r="W158" s="44" t="n">
        <f aca="false">S158/G158</f>
        <v>71.5151515151515</v>
      </c>
      <c r="X158" s="9" t="s">
        <v>123</v>
      </c>
      <c r="Y158" s="40"/>
      <c r="AA158" s="5" t="s">
        <v>40</v>
      </c>
      <c r="AE158" s="57"/>
    </row>
    <row r="159" customFormat="false" ht="28.35" hidden="false" customHeight="false" outlineLevel="0" collapsed="false">
      <c r="A159" s="11" t="s">
        <v>185</v>
      </c>
      <c r="B159" s="11" t="s">
        <v>35</v>
      </c>
      <c r="C159" s="28" t="n">
        <v>550300</v>
      </c>
      <c r="D159" s="4" t="s">
        <v>400</v>
      </c>
      <c r="E159" s="4" t="s">
        <v>408</v>
      </c>
      <c r="F159" s="5" t="s">
        <v>409</v>
      </c>
      <c r="G159" s="6" t="n">
        <v>1051</v>
      </c>
      <c r="H159" s="6" t="n">
        <f aca="false">G159</f>
        <v>1051</v>
      </c>
      <c r="I159" s="6" t="n">
        <v>1000</v>
      </c>
      <c r="J159" s="4" t="s">
        <v>410</v>
      </c>
      <c r="K159" s="7" t="n">
        <v>43549</v>
      </c>
      <c r="L159" s="8" t="n">
        <v>46836</v>
      </c>
      <c r="N159" s="8" t="n">
        <v>45010</v>
      </c>
      <c r="P159" s="9" t="n">
        <v>28200</v>
      </c>
      <c r="Q159" s="9" t="n">
        <f aca="false">P159</f>
        <v>28200</v>
      </c>
      <c r="S159" s="9" t="n">
        <v>32000</v>
      </c>
      <c r="T159" s="9" t="n">
        <f aca="false">S159</f>
        <v>32000</v>
      </c>
      <c r="U159" s="63" t="n">
        <v>21000</v>
      </c>
      <c r="V159" s="9" t="n">
        <f aca="false">U159</f>
        <v>21000</v>
      </c>
      <c r="W159" s="44" t="n">
        <f aca="false">S159/G159</f>
        <v>30.4471931493815</v>
      </c>
      <c r="X159" s="9" t="s">
        <v>123</v>
      </c>
      <c r="Y159" s="40"/>
      <c r="AA159" s="5" t="s">
        <v>40</v>
      </c>
      <c r="AB159" s="4" t="s">
        <v>411</v>
      </c>
      <c r="AE159" s="57"/>
    </row>
    <row r="160" customFormat="false" ht="28.35" hidden="false" customHeight="false" outlineLevel="0" collapsed="false">
      <c r="A160" s="11" t="s">
        <v>185</v>
      </c>
      <c r="B160" s="11" t="s">
        <v>35</v>
      </c>
      <c r="C160" s="28" t="n">
        <v>550300</v>
      </c>
      <c r="D160" s="4" t="s">
        <v>400</v>
      </c>
      <c r="E160" s="4" t="s">
        <v>333</v>
      </c>
      <c r="F160" s="5" t="s">
        <v>86</v>
      </c>
      <c r="G160" s="6" t="n">
        <v>2254</v>
      </c>
      <c r="H160" s="6" t="n">
        <f aca="false">G160</f>
        <v>2254</v>
      </c>
      <c r="I160" s="6" t="n">
        <v>2250</v>
      </c>
      <c r="J160" s="4" t="s">
        <v>351</v>
      </c>
      <c r="K160" s="7" t="n">
        <v>45001</v>
      </c>
      <c r="L160" s="8" t="n">
        <v>46827</v>
      </c>
      <c r="O160" s="8" t="n">
        <v>46097</v>
      </c>
      <c r="P160" s="9" t="n">
        <v>148590</v>
      </c>
      <c r="Q160" s="9" t="n">
        <f aca="false">P160</f>
        <v>148590</v>
      </c>
      <c r="S160" s="9" t="n">
        <v>148600</v>
      </c>
      <c r="T160" s="9" t="n">
        <f aca="false">S160</f>
        <v>148600</v>
      </c>
      <c r="U160" s="63" t="n">
        <v>148590</v>
      </c>
      <c r="V160" s="9" t="n">
        <f aca="false">U160</f>
        <v>148590</v>
      </c>
      <c r="W160" s="44" t="n">
        <f aca="false">S160/G160</f>
        <v>65.927240461402</v>
      </c>
      <c r="X160" s="9" t="s">
        <v>123</v>
      </c>
      <c r="Y160" s="40"/>
      <c r="AA160" s="5" t="s">
        <v>40</v>
      </c>
      <c r="AB160" s="4" t="s">
        <v>412</v>
      </c>
      <c r="AE160" s="57"/>
    </row>
    <row r="161" customFormat="false" ht="28.35" hidden="false" customHeight="false" outlineLevel="0" collapsed="false">
      <c r="A161" s="11" t="s">
        <v>185</v>
      </c>
      <c r="B161" s="11" t="s">
        <v>35</v>
      </c>
      <c r="C161" s="28" t="n">
        <v>550300</v>
      </c>
      <c r="D161" s="4" t="s">
        <v>400</v>
      </c>
      <c r="E161" s="4" t="s">
        <v>85</v>
      </c>
      <c r="F161" s="5" t="s">
        <v>37</v>
      </c>
      <c r="G161" s="6" t="n">
        <v>3205</v>
      </c>
      <c r="H161" s="6" t="n">
        <f aca="false">G161</f>
        <v>3205</v>
      </c>
      <c r="I161" s="6" t="n">
        <v>3250</v>
      </c>
      <c r="J161" s="4" t="s">
        <v>351</v>
      </c>
      <c r="K161" s="7" t="n">
        <v>45000</v>
      </c>
      <c r="L161" s="8" t="n">
        <v>46827</v>
      </c>
      <c r="O161" s="8" t="n">
        <v>46097</v>
      </c>
      <c r="P161" s="9" t="n">
        <v>218325</v>
      </c>
      <c r="Q161" s="9" t="n">
        <f aca="false">P161</f>
        <v>218325</v>
      </c>
      <c r="S161" s="9" t="n">
        <v>218300</v>
      </c>
      <c r="T161" s="9" t="n">
        <f aca="false">S161</f>
        <v>218300</v>
      </c>
      <c r="U161" s="63" t="n">
        <v>218325</v>
      </c>
      <c r="V161" s="9" t="n">
        <f aca="false">U161</f>
        <v>218325</v>
      </c>
      <c r="W161" s="44" t="n">
        <f aca="false">S161/G161</f>
        <v>68.1123244929797</v>
      </c>
      <c r="X161" s="9" t="s">
        <v>123</v>
      </c>
      <c r="Y161" s="40"/>
      <c r="AA161" s="5" t="s">
        <v>40</v>
      </c>
      <c r="AB161" s="4" t="s">
        <v>412</v>
      </c>
      <c r="AE161" s="57"/>
    </row>
    <row r="162" customFormat="false" ht="19.4" hidden="false" customHeight="false" outlineLevel="0" collapsed="false">
      <c r="A162" s="11" t="s">
        <v>185</v>
      </c>
      <c r="B162" s="11" t="s">
        <v>35</v>
      </c>
      <c r="C162" s="28" t="n">
        <v>550300</v>
      </c>
      <c r="D162" s="4" t="s">
        <v>400</v>
      </c>
      <c r="E162" s="4" t="s">
        <v>413</v>
      </c>
      <c r="F162" s="5" t="s">
        <v>37</v>
      </c>
      <c r="G162" s="6" t="n">
        <v>1510</v>
      </c>
      <c r="H162" s="6" t="n">
        <f aca="false">G162</f>
        <v>1510</v>
      </c>
      <c r="I162" s="6" t="n">
        <v>1500</v>
      </c>
      <c r="J162" s="4" t="s">
        <v>351</v>
      </c>
      <c r="K162" s="7" t="n">
        <v>45200</v>
      </c>
      <c r="L162" s="8" t="n">
        <v>46827</v>
      </c>
      <c r="O162" s="8" t="n">
        <v>46097</v>
      </c>
      <c r="P162" s="9" t="n">
        <v>92250</v>
      </c>
      <c r="Q162" s="9" t="n">
        <f aca="false">P162</f>
        <v>92250</v>
      </c>
      <c r="S162" s="9" t="n">
        <v>92300</v>
      </c>
      <c r="T162" s="9" t="n">
        <f aca="false">S162</f>
        <v>92300</v>
      </c>
      <c r="U162" s="63" t="n">
        <v>92250</v>
      </c>
      <c r="V162" s="9" t="n">
        <f aca="false">U162</f>
        <v>92250</v>
      </c>
      <c r="W162" s="44" t="n">
        <f aca="false">S162/G162</f>
        <v>61.1258278145695</v>
      </c>
      <c r="X162" s="9" t="s">
        <v>123</v>
      </c>
      <c r="Y162" s="40"/>
      <c r="AA162" s="5" t="s">
        <v>40</v>
      </c>
      <c r="AB162" s="4" t="s">
        <v>414</v>
      </c>
      <c r="AE162" s="57"/>
    </row>
    <row r="163" customFormat="false" ht="15" hidden="false" customHeight="false" outlineLevel="0" collapsed="false">
      <c r="A163" s="11" t="s">
        <v>185</v>
      </c>
      <c r="B163" s="11" t="s">
        <v>35</v>
      </c>
      <c r="C163" s="28" t="n">
        <v>550300</v>
      </c>
      <c r="D163" s="4" t="s">
        <v>400</v>
      </c>
      <c r="E163" s="4" t="s">
        <v>415</v>
      </c>
      <c r="F163" s="5" t="s">
        <v>37</v>
      </c>
      <c r="G163" s="6" t="n">
        <v>130</v>
      </c>
      <c r="H163" s="6" t="n">
        <f aca="false">G163</f>
        <v>130</v>
      </c>
      <c r="I163" s="6" t="n">
        <v>250</v>
      </c>
      <c r="J163" s="4" t="s">
        <v>63</v>
      </c>
      <c r="M163" s="8" t="n">
        <v>45173</v>
      </c>
      <c r="P163" s="9" t="n">
        <v>0</v>
      </c>
      <c r="Q163" s="9" t="n">
        <f aca="false">P163</f>
        <v>0</v>
      </c>
      <c r="S163" s="9" t="n">
        <v>8120</v>
      </c>
      <c r="T163" s="9" t="n">
        <f aca="false">S163</f>
        <v>8120</v>
      </c>
      <c r="U163" s="63" t="n">
        <v>8260</v>
      </c>
      <c r="V163" s="9" t="n">
        <f aca="false">U163</f>
        <v>8260</v>
      </c>
      <c r="W163" s="44" t="n">
        <f aca="false">S163/G163</f>
        <v>62.4615384615385</v>
      </c>
      <c r="X163" s="9" t="s">
        <v>123</v>
      </c>
      <c r="Y163" s="40"/>
      <c r="AA163" s="5" t="s">
        <v>40</v>
      </c>
      <c r="AB163" s="4" t="s">
        <v>334</v>
      </c>
      <c r="AE163" s="57"/>
    </row>
    <row r="164" customFormat="false" ht="15" hidden="false" customHeight="false" outlineLevel="0" collapsed="false">
      <c r="A164" s="11" t="s">
        <v>185</v>
      </c>
      <c r="B164" s="11" t="s">
        <v>35</v>
      </c>
      <c r="C164" s="28" t="n">
        <v>550300</v>
      </c>
      <c r="D164" s="4" t="s">
        <v>400</v>
      </c>
      <c r="E164" s="105" t="s">
        <v>416</v>
      </c>
      <c r="F164" s="5" t="s">
        <v>417</v>
      </c>
      <c r="G164" s="6" t="n">
        <v>1074</v>
      </c>
      <c r="H164" s="6" t="n">
        <f aca="false">G164</f>
        <v>1074</v>
      </c>
      <c r="I164" s="6" t="n">
        <v>1000</v>
      </c>
      <c r="J164" s="4" t="s">
        <v>63</v>
      </c>
      <c r="M164" s="8" t="n">
        <v>45003</v>
      </c>
      <c r="P164" s="9" t="n">
        <v>0</v>
      </c>
      <c r="Q164" s="9" t="n">
        <f aca="false">P164</f>
        <v>0</v>
      </c>
      <c r="S164" s="9" t="n">
        <v>72100</v>
      </c>
      <c r="T164" s="9" t="n">
        <f aca="false">S164</f>
        <v>72100</v>
      </c>
      <c r="U164" s="63" t="n">
        <v>68200</v>
      </c>
      <c r="V164" s="9" t="n">
        <f aca="false">U164</f>
        <v>68200</v>
      </c>
      <c r="W164" s="44" t="n">
        <f aca="false">S164/G164</f>
        <v>67.1322160148976</v>
      </c>
      <c r="X164" s="9" t="s">
        <v>123</v>
      </c>
      <c r="Y164" s="40" t="s">
        <v>25</v>
      </c>
      <c r="AA164" s="5" t="s">
        <v>40</v>
      </c>
      <c r="AB164" s="4" t="s">
        <v>334</v>
      </c>
      <c r="AC164" s="15" t="n">
        <v>67.5</v>
      </c>
      <c r="AE164" s="57"/>
    </row>
    <row r="165" customFormat="false" ht="15" hidden="false" customHeight="false" outlineLevel="0" collapsed="false">
      <c r="A165" s="11" t="s">
        <v>185</v>
      </c>
      <c r="B165" s="11" t="s">
        <v>35</v>
      </c>
      <c r="C165" s="28" t="n">
        <v>550300</v>
      </c>
      <c r="D165" s="4" t="s">
        <v>400</v>
      </c>
      <c r="E165" s="4" t="s">
        <v>90</v>
      </c>
      <c r="F165" s="5" t="s">
        <v>37</v>
      </c>
      <c r="G165" s="6" t="n">
        <v>2018</v>
      </c>
      <c r="H165" s="6" t="n">
        <f aca="false">G165</f>
        <v>2018</v>
      </c>
      <c r="I165" s="6" t="n">
        <v>2000</v>
      </c>
      <c r="J165" s="4" t="s">
        <v>418</v>
      </c>
      <c r="K165" s="7" t="n">
        <v>45456</v>
      </c>
      <c r="L165" s="8" t="n">
        <v>47281</v>
      </c>
      <c r="O165" s="8" t="n">
        <v>46550</v>
      </c>
      <c r="P165" s="9" t="n">
        <v>140315</v>
      </c>
      <c r="Q165" s="9" t="n">
        <f aca="false">P165</f>
        <v>140315</v>
      </c>
      <c r="S165" s="9" t="n">
        <v>129800</v>
      </c>
      <c r="T165" s="9" t="n">
        <f aca="false">S165</f>
        <v>129800</v>
      </c>
      <c r="U165" s="63" t="n">
        <v>140315</v>
      </c>
      <c r="V165" s="9" t="n">
        <f aca="false">U165</f>
        <v>140315</v>
      </c>
      <c r="W165" s="44" t="n">
        <f aca="false">S165/G165</f>
        <v>64.3211100099108</v>
      </c>
      <c r="X165" s="9" t="s">
        <v>123</v>
      </c>
      <c r="Y165" s="40"/>
      <c r="AA165" s="5" t="s">
        <v>40</v>
      </c>
      <c r="AB165" s="4" t="s">
        <v>73</v>
      </c>
      <c r="AE165" s="57"/>
    </row>
    <row r="166" customFormat="false" ht="28.35" hidden="false" customHeight="false" outlineLevel="0" collapsed="false">
      <c r="A166" s="11" t="s">
        <v>185</v>
      </c>
      <c r="B166" s="11" t="s">
        <v>35</v>
      </c>
      <c r="C166" s="28" t="n">
        <v>550300</v>
      </c>
      <c r="D166" s="4" t="s">
        <v>400</v>
      </c>
      <c r="E166" s="4" t="s">
        <v>419</v>
      </c>
      <c r="F166" s="5" t="s">
        <v>163</v>
      </c>
      <c r="G166" s="6" t="n">
        <v>0</v>
      </c>
      <c r="H166" s="6" t="n">
        <f aca="false">G166</f>
        <v>0</v>
      </c>
      <c r="J166" s="4" t="s">
        <v>164</v>
      </c>
      <c r="K166" s="7" t="n">
        <v>43866</v>
      </c>
      <c r="L166" s="8" t="n">
        <v>47518</v>
      </c>
      <c r="N166" s="8" t="n">
        <v>45693</v>
      </c>
      <c r="P166" s="9" t="n">
        <v>1000</v>
      </c>
      <c r="Q166" s="9" t="n">
        <f aca="false">P166</f>
        <v>1000</v>
      </c>
      <c r="S166" s="9" t="n">
        <v>1000</v>
      </c>
      <c r="T166" s="9" t="n">
        <f aca="false">S166</f>
        <v>1000</v>
      </c>
      <c r="U166" s="63" t="n">
        <v>1000</v>
      </c>
      <c r="V166" s="9" t="n">
        <f aca="false">U166</f>
        <v>1000</v>
      </c>
      <c r="W166" s="44"/>
      <c r="X166" s="9"/>
      <c r="Y166" s="40"/>
      <c r="AA166" s="5" t="s">
        <v>165</v>
      </c>
      <c r="AB166" s="4" t="s">
        <v>420</v>
      </c>
      <c r="AE166" s="57"/>
    </row>
    <row r="167" customFormat="false" ht="15" hidden="false" customHeight="false" outlineLevel="0" collapsed="false">
      <c r="A167" s="11" t="s">
        <v>185</v>
      </c>
      <c r="B167" s="11" t="s">
        <v>35</v>
      </c>
      <c r="C167" s="28" t="n">
        <v>550500</v>
      </c>
      <c r="D167" s="4" t="s">
        <v>422</v>
      </c>
      <c r="E167" s="4" t="s">
        <v>423</v>
      </c>
      <c r="F167" s="5" t="s">
        <v>424</v>
      </c>
      <c r="G167" s="6" t="n">
        <v>2520</v>
      </c>
      <c r="H167" s="9" t="n">
        <f aca="false">G167</f>
        <v>2520</v>
      </c>
      <c r="I167" s="9" t="n">
        <v>2500</v>
      </c>
      <c r="J167" s="4" t="s">
        <v>425</v>
      </c>
      <c r="K167" s="7" t="n">
        <v>43571</v>
      </c>
      <c r="L167" s="8" t="n">
        <v>47223</v>
      </c>
      <c r="N167" s="8" t="n">
        <v>45398</v>
      </c>
      <c r="P167" s="9" t="n">
        <v>82500</v>
      </c>
      <c r="Q167" s="9" t="n">
        <f aca="false">P167</f>
        <v>82500</v>
      </c>
      <c r="S167" s="9" t="n">
        <v>70000</v>
      </c>
      <c r="T167" s="9" t="n">
        <f aca="false">S167</f>
        <v>70000</v>
      </c>
      <c r="U167" s="63" t="n">
        <v>70000</v>
      </c>
      <c r="V167" s="9" t="n">
        <f aca="false">U167</f>
        <v>70000</v>
      </c>
      <c r="W167" s="44" t="n">
        <f aca="false">S167/G167</f>
        <v>27.7777777777778</v>
      </c>
      <c r="X167" s="9" t="s">
        <v>52</v>
      </c>
      <c r="Y167" s="40"/>
      <c r="Z167" s="43"/>
      <c r="AA167" s="5" t="s">
        <v>40</v>
      </c>
      <c r="AE167" s="57"/>
    </row>
    <row r="168" customFormat="false" ht="28.35" hidden="false" customHeight="false" outlineLevel="0" collapsed="false">
      <c r="A168" s="11" t="s">
        <v>185</v>
      </c>
      <c r="B168" s="11" t="s">
        <v>35</v>
      </c>
      <c r="C168" s="28" t="n">
        <v>550500</v>
      </c>
      <c r="D168" s="4" t="s">
        <v>422</v>
      </c>
      <c r="E168" s="4" t="s">
        <v>426</v>
      </c>
      <c r="F168" s="5" t="s">
        <v>37</v>
      </c>
      <c r="G168" s="6" t="n">
        <v>2186</v>
      </c>
      <c r="H168" s="9" t="n">
        <f aca="false">G168</f>
        <v>2186</v>
      </c>
      <c r="I168" s="9" t="n">
        <v>2000</v>
      </c>
      <c r="J168" s="4" t="s">
        <v>427</v>
      </c>
      <c r="K168" s="7" t="n">
        <v>43398</v>
      </c>
      <c r="L168" s="8" t="n">
        <v>47050</v>
      </c>
      <c r="N168" s="8" t="n">
        <v>45955</v>
      </c>
      <c r="O168" s="8" t="n">
        <v>45954</v>
      </c>
      <c r="P168" s="9" t="n">
        <v>101200</v>
      </c>
      <c r="Q168" s="9" t="n">
        <f aca="false">P168</f>
        <v>101200</v>
      </c>
      <c r="S168" s="9" t="n">
        <v>117100</v>
      </c>
      <c r="T168" s="9" t="n">
        <f aca="false">S168</f>
        <v>117100</v>
      </c>
      <c r="U168" s="63" t="n">
        <v>128000</v>
      </c>
      <c r="V168" s="9" t="n">
        <f aca="false">U168</f>
        <v>128000</v>
      </c>
      <c r="W168" s="44" t="n">
        <f aca="false">S168/G168</f>
        <v>53.5681610247027</v>
      </c>
      <c r="X168" s="9" t="s">
        <v>123</v>
      </c>
      <c r="Y168" s="40"/>
      <c r="Z168" s="43"/>
      <c r="AA168" s="5" t="s">
        <v>40</v>
      </c>
      <c r="AB168" s="58" t="s">
        <v>428</v>
      </c>
      <c r="AE168" s="57"/>
    </row>
    <row r="169" customFormat="false" ht="19.4" hidden="false" customHeight="false" outlineLevel="0" collapsed="false">
      <c r="A169" s="11" t="s">
        <v>185</v>
      </c>
      <c r="B169" s="11" t="s">
        <v>35</v>
      </c>
      <c r="C169" s="28" t="n">
        <v>550310</v>
      </c>
      <c r="D169" s="4" t="s">
        <v>429</v>
      </c>
      <c r="E169" s="4" t="s">
        <v>430</v>
      </c>
      <c r="F169" s="5" t="s">
        <v>130</v>
      </c>
      <c r="G169" s="6" t="n">
        <v>4430</v>
      </c>
      <c r="H169" s="9" t="n">
        <f aca="false">G169</f>
        <v>4430</v>
      </c>
      <c r="I169" s="9" t="n">
        <v>4500</v>
      </c>
      <c r="J169" s="4" t="s">
        <v>431</v>
      </c>
      <c r="K169" s="7" t="n">
        <v>41585</v>
      </c>
      <c r="L169" s="8" t="n">
        <v>47063</v>
      </c>
      <c r="N169" s="8" t="n">
        <v>45237</v>
      </c>
      <c r="P169" s="9" t="n">
        <v>170000</v>
      </c>
      <c r="Q169" s="9" t="n">
        <f aca="false">P169</f>
        <v>170000</v>
      </c>
      <c r="S169" s="9" t="n">
        <v>146900</v>
      </c>
      <c r="T169" s="9" t="n">
        <f aca="false">S169</f>
        <v>146900</v>
      </c>
      <c r="U169" s="63" t="n">
        <v>152100</v>
      </c>
      <c r="V169" s="9" t="n">
        <f aca="false">U169</f>
        <v>152100</v>
      </c>
      <c r="W169" s="44" t="n">
        <f aca="false">S169/G169</f>
        <v>33.1602708803612</v>
      </c>
      <c r="X169" s="9" t="s">
        <v>52</v>
      </c>
      <c r="Y169" s="40"/>
      <c r="Z169" s="43"/>
      <c r="AA169" s="5" t="s">
        <v>40</v>
      </c>
      <c r="AB169" s="4" t="s">
        <v>432</v>
      </c>
      <c r="AE169" s="57"/>
    </row>
    <row r="170" customFormat="false" ht="19.4" hidden="false" customHeight="false" outlineLevel="0" collapsed="false">
      <c r="A170" s="11" t="s">
        <v>185</v>
      </c>
      <c r="B170" s="11" t="s">
        <v>35</v>
      </c>
      <c r="C170" s="28" t="n">
        <v>550310</v>
      </c>
      <c r="D170" s="4" t="s">
        <v>429</v>
      </c>
      <c r="E170" s="4" t="s">
        <v>225</v>
      </c>
      <c r="F170" s="5" t="s">
        <v>37</v>
      </c>
      <c r="G170" s="6" t="n">
        <v>10421</v>
      </c>
      <c r="H170" s="9" t="n">
        <f aca="false">G170</f>
        <v>10421</v>
      </c>
      <c r="I170" s="9" t="n">
        <v>10500</v>
      </c>
      <c r="J170" s="4" t="s">
        <v>433</v>
      </c>
      <c r="K170" s="7" t="n">
        <v>44552</v>
      </c>
      <c r="L170" s="8" t="n">
        <v>46377</v>
      </c>
      <c r="P170" s="9" t="n">
        <v>573565</v>
      </c>
      <c r="Q170" s="9" t="n">
        <f aca="false">P170</f>
        <v>573565</v>
      </c>
      <c r="S170" s="9" t="n">
        <v>572700</v>
      </c>
      <c r="T170" s="9" t="n">
        <f aca="false">S170</f>
        <v>572700</v>
      </c>
      <c r="U170" s="63" t="n">
        <v>589700</v>
      </c>
      <c r="V170" s="9" t="n">
        <f aca="false">U170</f>
        <v>589700</v>
      </c>
      <c r="W170" s="9"/>
      <c r="X170" s="9" t="s">
        <v>39</v>
      </c>
      <c r="Y170" s="40"/>
      <c r="Z170" s="43"/>
      <c r="AA170" s="5" t="s">
        <v>40</v>
      </c>
      <c r="AB170" s="4" t="s">
        <v>71</v>
      </c>
      <c r="AE170" s="57"/>
    </row>
    <row r="171" customFormat="false" ht="19.4" hidden="false" customHeight="false" outlineLevel="0" collapsed="false">
      <c r="A171" s="11" t="s">
        <v>185</v>
      </c>
      <c r="B171" s="11" t="s">
        <v>35</v>
      </c>
      <c r="C171" s="28" t="n">
        <v>551010</v>
      </c>
      <c r="D171" s="94" t="s">
        <v>435</v>
      </c>
      <c r="E171" s="4" t="s">
        <v>436</v>
      </c>
      <c r="F171" s="5" t="s">
        <v>437</v>
      </c>
      <c r="G171" s="6" t="n">
        <v>747</v>
      </c>
      <c r="H171" s="9" t="n">
        <f aca="false">G171</f>
        <v>747</v>
      </c>
      <c r="I171" s="9" t="n">
        <v>750</v>
      </c>
      <c r="J171" s="4" t="s">
        <v>438</v>
      </c>
      <c r="K171" s="7" t="n">
        <v>44724</v>
      </c>
      <c r="P171" s="9" t="n">
        <v>45000</v>
      </c>
      <c r="Q171" s="9" t="n">
        <f aca="false">P171</f>
        <v>45000</v>
      </c>
      <c r="S171" s="9" t="n">
        <v>41700</v>
      </c>
      <c r="T171" s="9" t="n">
        <f aca="false">S171</f>
        <v>41700</v>
      </c>
      <c r="U171" s="63" t="n">
        <v>45000</v>
      </c>
      <c r="V171" s="9" t="n">
        <f aca="false">U171</f>
        <v>45000</v>
      </c>
      <c r="W171" s="44" t="n">
        <f aca="false">S171/G171</f>
        <v>55.8232931726908</v>
      </c>
      <c r="X171" s="9" t="s">
        <v>123</v>
      </c>
      <c r="Y171" s="40"/>
      <c r="AA171" s="5" t="s">
        <v>40</v>
      </c>
      <c r="AB171" s="4" t="s">
        <v>439</v>
      </c>
      <c r="AE171" s="57"/>
    </row>
    <row r="172" customFormat="false" ht="15" hidden="false" customHeight="false" outlineLevel="0" collapsed="false">
      <c r="A172" s="11" t="s">
        <v>185</v>
      </c>
      <c r="B172" s="11" t="s">
        <v>35</v>
      </c>
      <c r="C172" s="28" t="n">
        <v>551010</v>
      </c>
      <c r="D172" s="94" t="s">
        <v>435</v>
      </c>
      <c r="E172" s="4" t="s">
        <v>85</v>
      </c>
      <c r="F172" s="5" t="s">
        <v>37</v>
      </c>
      <c r="G172" s="6" t="n">
        <v>452</v>
      </c>
      <c r="H172" s="9" t="n">
        <f aca="false">G172</f>
        <v>452</v>
      </c>
      <c r="I172" s="9" t="n">
        <v>500</v>
      </c>
      <c r="J172" s="4" t="s">
        <v>63</v>
      </c>
      <c r="M172" s="8" t="n">
        <v>43466</v>
      </c>
      <c r="P172" s="9" t="n">
        <v>0</v>
      </c>
      <c r="Q172" s="9" t="n">
        <f aca="false">P172</f>
        <v>0</v>
      </c>
      <c r="S172" s="9" t="n">
        <v>24900</v>
      </c>
      <c r="T172" s="9" t="n">
        <f aca="false">S172</f>
        <v>24900</v>
      </c>
      <c r="U172" s="63" t="n">
        <v>24900</v>
      </c>
      <c r="V172" s="9" t="n">
        <f aca="false">U172</f>
        <v>24900</v>
      </c>
      <c r="W172" s="9"/>
      <c r="X172" s="9" t="s">
        <v>123</v>
      </c>
      <c r="Y172" s="40"/>
      <c r="AA172" s="5" t="s">
        <v>40</v>
      </c>
      <c r="AB172" s="4" t="s">
        <v>115</v>
      </c>
      <c r="AE172" s="57"/>
    </row>
    <row r="173" customFormat="false" ht="15" hidden="false" customHeight="false" outlineLevel="0" collapsed="false">
      <c r="A173" s="11" t="s">
        <v>185</v>
      </c>
      <c r="B173" s="11" t="s">
        <v>35</v>
      </c>
      <c r="C173" s="28" t="n">
        <v>551010</v>
      </c>
      <c r="D173" s="94" t="s">
        <v>435</v>
      </c>
      <c r="E173" s="4" t="s">
        <v>440</v>
      </c>
      <c r="F173" s="5" t="s">
        <v>37</v>
      </c>
      <c r="G173" s="6" t="n">
        <v>437</v>
      </c>
      <c r="H173" s="9" t="n">
        <f aca="false">G173</f>
        <v>437</v>
      </c>
      <c r="I173" s="9" t="n">
        <v>500</v>
      </c>
      <c r="J173" s="4" t="s">
        <v>63</v>
      </c>
      <c r="M173" s="8" t="n">
        <v>43466</v>
      </c>
      <c r="P173" s="9" t="n">
        <v>0</v>
      </c>
      <c r="Q173" s="9" t="n">
        <f aca="false">P173</f>
        <v>0</v>
      </c>
      <c r="S173" s="9" t="n">
        <v>24000</v>
      </c>
      <c r="T173" s="9" t="n">
        <f aca="false">S173</f>
        <v>24000</v>
      </c>
      <c r="U173" s="63" t="n">
        <v>24000</v>
      </c>
      <c r="V173" s="9" t="n">
        <f aca="false">U173</f>
        <v>24000</v>
      </c>
      <c r="W173" s="9"/>
      <c r="X173" s="9" t="s">
        <v>123</v>
      </c>
      <c r="Y173" s="40"/>
      <c r="AA173" s="5" t="s">
        <v>40</v>
      </c>
      <c r="AB173" s="4" t="s">
        <v>115</v>
      </c>
      <c r="AE173" s="57"/>
    </row>
    <row r="174" customFormat="false" ht="19.4" hidden="false" customHeight="false" outlineLevel="0" collapsed="false">
      <c r="A174" s="11" t="s">
        <v>185</v>
      </c>
      <c r="B174" s="11" t="s">
        <v>35</v>
      </c>
      <c r="C174" s="28" t="n">
        <v>551010</v>
      </c>
      <c r="D174" s="94" t="s">
        <v>435</v>
      </c>
      <c r="E174" s="4" t="s">
        <v>90</v>
      </c>
      <c r="F174" s="5" t="s">
        <v>37</v>
      </c>
      <c r="G174" s="6" t="n">
        <v>350</v>
      </c>
      <c r="H174" s="9" t="n">
        <f aca="false">G174</f>
        <v>350</v>
      </c>
      <c r="I174" s="9" t="n">
        <v>500</v>
      </c>
      <c r="J174" s="4" t="s">
        <v>441</v>
      </c>
      <c r="K174" s="7" t="n">
        <v>44724</v>
      </c>
      <c r="P174" s="9" t="n">
        <v>21060</v>
      </c>
      <c r="Q174" s="9" t="n">
        <f aca="false">P174</f>
        <v>21060</v>
      </c>
      <c r="S174" s="9" t="n">
        <v>19300</v>
      </c>
      <c r="T174" s="9" t="n">
        <f aca="false">S174</f>
        <v>19300</v>
      </c>
      <c r="U174" s="63" t="n">
        <v>19300</v>
      </c>
      <c r="V174" s="9" t="n">
        <f aca="false">U174</f>
        <v>19300</v>
      </c>
      <c r="W174" s="9"/>
      <c r="X174" s="9" t="s">
        <v>123</v>
      </c>
      <c r="Y174" s="40"/>
      <c r="AA174" s="5" t="s">
        <v>40</v>
      </c>
      <c r="AB174" s="4" t="s">
        <v>439</v>
      </c>
      <c r="AE174" s="57"/>
    </row>
    <row r="175" customFormat="false" ht="37.3" hidden="false" customHeight="false" outlineLevel="0" collapsed="false">
      <c r="A175" s="11" t="s">
        <v>102</v>
      </c>
      <c r="B175" s="11" t="s">
        <v>35</v>
      </c>
      <c r="C175" s="28" t="n">
        <v>550960</v>
      </c>
      <c r="D175" s="4" t="s">
        <v>442</v>
      </c>
      <c r="E175" s="4" t="s">
        <v>436</v>
      </c>
      <c r="F175" s="5" t="s">
        <v>37</v>
      </c>
      <c r="G175" s="6" t="n">
        <v>2820</v>
      </c>
      <c r="H175" s="9" t="n">
        <f aca="false">G175</f>
        <v>2820</v>
      </c>
      <c r="I175" s="9" t="n">
        <v>3000</v>
      </c>
      <c r="J175" s="4" t="s">
        <v>443</v>
      </c>
      <c r="K175" s="7" t="n">
        <v>43794</v>
      </c>
      <c r="L175" s="8" t="n">
        <v>47446</v>
      </c>
      <c r="N175" s="8" t="n">
        <v>45621</v>
      </c>
      <c r="P175" s="9" t="n">
        <v>124773</v>
      </c>
      <c r="Q175" s="9" t="n">
        <f aca="false">P175</f>
        <v>124773</v>
      </c>
      <c r="S175" s="9" t="n">
        <v>126900</v>
      </c>
      <c r="T175" s="9" t="n">
        <f aca="false">S175</f>
        <v>126900</v>
      </c>
      <c r="U175" s="63" t="n">
        <v>155100</v>
      </c>
      <c r="V175" s="9" t="n">
        <f aca="false">U175</f>
        <v>155100</v>
      </c>
      <c r="W175" s="44" t="n">
        <f aca="false">S175/G175</f>
        <v>45</v>
      </c>
      <c r="X175" s="9" t="s">
        <v>57</v>
      </c>
      <c r="Y175" s="40"/>
      <c r="Z175" s="60"/>
      <c r="AA175" s="5" t="s">
        <v>40</v>
      </c>
      <c r="AB175" s="4" t="s">
        <v>444</v>
      </c>
      <c r="AE175" s="57"/>
    </row>
    <row r="176" customFormat="false" ht="15" hidden="false" customHeight="false" outlineLevel="0" collapsed="false">
      <c r="A176" s="11" t="s">
        <v>102</v>
      </c>
      <c r="B176" s="11" t="s">
        <v>35</v>
      </c>
      <c r="C176" s="28" t="n">
        <v>550960</v>
      </c>
      <c r="D176" s="4" t="s">
        <v>442</v>
      </c>
      <c r="E176" s="4" t="s">
        <v>85</v>
      </c>
      <c r="F176" s="6" t="s">
        <v>37</v>
      </c>
      <c r="G176" s="6" t="n">
        <v>1282</v>
      </c>
      <c r="H176" s="9" t="n">
        <f aca="false">G176</f>
        <v>1282</v>
      </c>
      <c r="I176" s="9" t="n">
        <v>1250</v>
      </c>
      <c r="J176" s="4" t="s">
        <v>63</v>
      </c>
      <c r="M176" s="8" t="n">
        <v>44747</v>
      </c>
      <c r="P176" s="9" t="n">
        <v>0</v>
      </c>
      <c r="Q176" s="9" t="n">
        <f aca="false">P176</f>
        <v>0</v>
      </c>
      <c r="S176" s="9" t="n">
        <v>70500</v>
      </c>
      <c r="T176" s="9" t="n">
        <f aca="false">S176</f>
        <v>70500</v>
      </c>
      <c r="U176" s="63" t="n">
        <v>76900</v>
      </c>
      <c r="V176" s="9" t="n">
        <f aca="false">U176</f>
        <v>76900</v>
      </c>
      <c r="W176" s="9"/>
      <c r="X176" s="9" t="s">
        <v>57</v>
      </c>
      <c r="Y176" s="40"/>
      <c r="Z176" s="60"/>
      <c r="AA176" s="5" t="s">
        <v>40</v>
      </c>
      <c r="AB176" s="58" t="s">
        <v>445</v>
      </c>
      <c r="AC176" s="15" t="n">
        <v>67.5</v>
      </c>
      <c r="AE176" s="57" t="n">
        <v>1</v>
      </c>
      <c r="AF176" s="4" t="s">
        <v>54</v>
      </c>
    </row>
    <row r="177" customFormat="false" ht="28.35" hidden="false" customHeight="false" outlineLevel="0" collapsed="false">
      <c r="A177" s="11" t="s">
        <v>102</v>
      </c>
      <c r="B177" s="11" t="s">
        <v>35</v>
      </c>
      <c r="C177" s="28" t="n">
        <v>550960</v>
      </c>
      <c r="D177" s="4" t="s">
        <v>442</v>
      </c>
      <c r="E177" s="4" t="s">
        <v>89</v>
      </c>
      <c r="F177" s="5" t="s">
        <v>37</v>
      </c>
      <c r="G177" s="6" t="n">
        <v>1214</v>
      </c>
      <c r="H177" s="9" t="n">
        <f aca="false">G177</f>
        <v>1214</v>
      </c>
      <c r="I177" s="9" t="n">
        <v>1250</v>
      </c>
      <c r="J177" s="4" t="s">
        <v>446</v>
      </c>
      <c r="K177" s="7" t="n">
        <v>44733</v>
      </c>
      <c r="L177" s="8" t="n">
        <v>46558</v>
      </c>
      <c r="O177" s="8" t="n">
        <v>45828</v>
      </c>
      <c r="P177" s="9" t="n">
        <v>71000</v>
      </c>
      <c r="Q177" s="9" t="n">
        <f aca="false">P177</f>
        <v>71000</v>
      </c>
      <c r="S177" s="9" t="n">
        <v>71000</v>
      </c>
      <c r="T177" s="9" t="n">
        <f aca="false">S177</f>
        <v>71000</v>
      </c>
      <c r="U177" s="63" t="n">
        <v>75900</v>
      </c>
      <c r="V177" s="9" t="n">
        <f aca="false">U177</f>
        <v>75900</v>
      </c>
      <c r="W177" s="9"/>
      <c r="X177" s="9" t="s">
        <v>57</v>
      </c>
      <c r="Y177" s="40"/>
      <c r="Z177" s="60"/>
      <c r="AA177" s="5" t="s">
        <v>40</v>
      </c>
      <c r="AB177" s="4" t="s">
        <v>447</v>
      </c>
      <c r="AE177" s="57"/>
    </row>
    <row r="178" customFormat="false" ht="15" hidden="false" customHeight="false" outlineLevel="0" collapsed="false">
      <c r="A178" s="11" t="s">
        <v>102</v>
      </c>
      <c r="B178" s="11" t="s">
        <v>35</v>
      </c>
      <c r="C178" s="28" t="n">
        <v>550960</v>
      </c>
      <c r="D178" s="4" t="s">
        <v>442</v>
      </c>
      <c r="E178" s="4" t="s">
        <v>90</v>
      </c>
      <c r="F178" s="5" t="s">
        <v>37</v>
      </c>
      <c r="G178" s="6" t="n">
        <v>1226</v>
      </c>
      <c r="H178" s="9" t="n">
        <f aca="false">G178</f>
        <v>1226</v>
      </c>
      <c r="I178" s="9" t="n">
        <v>1250</v>
      </c>
      <c r="J178" s="4" t="s">
        <v>448</v>
      </c>
      <c r="K178" s="7" t="n">
        <v>44605</v>
      </c>
      <c r="L178" s="8" t="n">
        <v>46430</v>
      </c>
      <c r="P178" s="9" t="n">
        <v>63000</v>
      </c>
      <c r="Q178" s="9" t="n">
        <f aca="false">P178</f>
        <v>63000</v>
      </c>
      <c r="S178" s="9" t="n">
        <v>63100</v>
      </c>
      <c r="T178" s="9" t="n">
        <f aca="false">S178</f>
        <v>63100</v>
      </c>
      <c r="U178" s="63" t="n">
        <v>67400</v>
      </c>
      <c r="V178" s="9" t="n">
        <f aca="false">U178</f>
        <v>67400</v>
      </c>
      <c r="W178" s="9"/>
      <c r="X178" s="9" t="s">
        <v>57</v>
      </c>
      <c r="Y178" s="40"/>
      <c r="Z178" s="60"/>
      <c r="AA178" s="5" t="s">
        <v>40</v>
      </c>
      <c r="AE178" s="57"/>
    </row>
    <row r="179" customFormat="false" ht="15" hidden="false" customHeight="false" outlineLevel="0" collapsed="false">
      <c r="A179" s="11" t="s">
        <v>102</v>
      </c>
      <c r="B179" s="11" t="s">
        <v>35</v>
      </c>
      <c r="C179" s="28" t="n">
        <v>550320</v>
      </c>
      <c r="D179" s="4" t="s">
        <v>450</v>
      </c>
      <c r="E179" s="4" t="s">
        <v>36</v>
      </c>
      <c r="F179" s="5" t="s">
        <v>451</v>
      </c>
      <c r="G179" s="41" t="n">
        <v>9776</v>
      </c>
      <c r="H179" s="9" t="n">
        <f aca="false">G179</f>
        <v>9776</v>
      </c>
      <c r="I179" s="9" t="n">
        <v>10000</v>
      </c>
      <c r="J179" s="4" t="s">
        <v>452</v>
      </c>
      <c r="K179" s="7" t="n">
        <v>45463</v>
      </c>
      <c r="L179" s="8" t="n">
        <v>49114</v>
      </c>
      <c r="N179" s="8" t="n">
        <v>47289</v>
      </c>
      <c r="O179" s="8" t="n">
        <v>47288</v>
      </c>
      <c r="P179" s="42" t="n">
        <v>715000</v>
      </c>
      <c r="Q179" s="42" t="n">
        <f aca="false">P179</f>
        <v>715000</v>
      </c>
      <c r="R179" s="42" t="n">
        <f aca="false">Q179</f>
        <v>715000</v>
      </c>
      <c r="S179" s="42" t="n">
        <v>715000</v>
      </c>
      <c r="T179" s="9" t="n">
        <f aca="false">S179</f>
        <v>715000</v>
      </c>
      <c r="U179" s="43" t="n">
        <v>715000</v>
      </c>
      <c r="V179" s="9" t="n">
        <f aca="false">U179</f>
        <v>715000</v>
      </c>
      <c r="W179" s="44" t="n">
        <f aca="false">S179/G179</f>
        <v>73.1382978723404</v>
      </c>
      <c r="X179" s="9" t="s">
        <v>453</v>
      </c>
      <c r="Y179" s="40"/>
      <c r="Z179" s="60" t="n">
        <v>12325000</v>
      </c>
      <c r="AA179" s="5" t="s">
        <v>40</v>
      </c>
      <c r="AB179" s="4" t="s">
        <v>73</v>
      </c>
      <c r="AE179" s="57"/>
    </row>
    <row r="180" customFormat="false" ht="19.4" hidden="false" customHeight="false" outlineLevel="0" collapsed="false">
      <c r="A180" s="11" t="s">
        <v>102</v>
      </c>
      <c r="B180" s="11" t="s">
        <v>35</v>
      </c>
      <c r="C180" s="28" t="n">
        <v>550330</v>
      </c>
      <c r="D180" s="4" t="s">
        <v>454</v>
      </c>
      <c r="E180" s="4" t="s">
        <v>455</v>
      </c>
      <c r="F180" s="5" t="s">
        <v>37</v>
      </c>
      <c r="G180" s="41" t="n">
        <v>4969</v>
      </c>
      <c r="H180" s="9" t="n">
        <f aca="false">G180</f>
        <v>4969</v>
      </c>
      <c r="I180" s="9" t="n">
        <v>5000</v>
      </c>
      <c r="J180" s="4" t="s">
        <v>149</v>
      </c>
      <c r="K180" s="7" t="n">
        <v>45198</v>
      </c>
      <c r="L180" s="8" t="n">
        <v>48850</v>
      </c>
      <c r="N180" s="8" t="n">
        <v>47025</v>
      </c>
      <c r="O180" s="8" t="n">
        <v>46293</v>
      </c>
      <c r="P180" s="42" t="n">
        <v>315000</v>
      </c>
      <c r="Q180" s="9" t="n">
        <f aca="false">P180</f>
        <v>315000</v>
      </c>
      <c r="R180" s="42" t="n">
        <f aca="false">Q180</f>
        <v>315000</v>
      </c>
      <c r="S180" s="42" t="n">
        <v>266600</v>
      </c>
      <c r="T180" s="9" t="n">
        <f aca="false">S180</f>
        <v>266600</v>
      </c>
      <c r="U180" s="43" t="n">
        <v>324500</v>
      </c>
      <c r="V180" s="9" t="n">
        <f aca="false">U180</f>
        <v>324500</v>
      </c>
      <c r="W180" s="44" t="n">
        <f aca="false">S180/G180</f>
        <v>53.6526464077279</v>
      </c>
      <c r="X180" s="9" t="s">
        <v>39</v>
      </c>
      <c r="Y180" s="40"/>
      <c r="Z180" s="60" t="n">
        <v>5400000</v>
      </c>
      <c r="AA180" s="5" t="s">
        <v>40</v>
      </c>
      <c r="AB180" s="4" t="s">
        <v>456</v>
      </c>
      <c r="AE180" s="57"/>
    </row>
    <row r="181" customFormat="false" ht="28.35" hidden="false" customHeight="false" outlineLevel="0" collapsed="false">
      <c r="A181" s="11" t="s">
        <v>228</v>
      </c>
      <c r="B181" s="11" t="s">
        <v>35</v>
      </c>
      <c r="C181" s="28" t="n">
        <v>550340</v>
      </c>
      <c r="D181" s="4" t="s">
        <v>457</v>
      </c>
      <c r="E181" s="4" t="s">
        <v>458</v>
      </c>
      <c r="F181" s="5" t="s">
        <v>161</v>
      </c>
      <c r="G181" s="6" t="n">
        <v>400</v>
      </c>
      <c r="H181" s="6" t="n">
        <f aca="false">G181</f>
        <v>400</v>
      </c>
      <c r="J181" s="4" t="s">
        <v>410</v>
      </c>
      <c r="K181" s="8" t="n">
        <v>43184</v>
      </c>
      <c r="L181" s="8" t="n">
        <v>46836</v>
      </c>
      <c r="N181" s="8" t="n">
        <v>45010</v>
      </c>
      <c r="P181" s="9" t="n">
        <v>2400</v>
      </c>
      <c r="Q181" s="9" t="n">
        <f aca="false">P181</f>
        <v>2400</v>
      </c>
      <c r="S181" s="9" t="n">
        <v>2000</v>
      </c>
      <c r="T181" s="9" t="n">
        <f aca="false">S181</f>
        <v>2000</v>
      </c>
      <c r="U181" s="63" t="n">
        <v>2000</v>
      </c>
      <c r="V181" s="9" t="n">
        <f aca="false">U181</f>
        <v>2000</v>
      </c>
      <c r="W181" s="44" t="n">
        <f aca="false">S181/G181</f>
        <v>5</v>
      </c>
      <c r="X181" s="9"/>
      <c r="Y181" s="40"/>
      <c r="AA181" s="5" t="s">
        <v>40</v>
      </c>
      <c r="AB181" s="4" t="s">
        <v>411</v>
      </c>
      <c r="AE181" s="57"/>
    </row>
    <row r="182" customFormat="false" ht="28.35" hidden="false" customHeight="false" outlineLevel="0" collapsed="false">
      <c r="A182" s="11" t="s">
        <v>228</v>
      </c>
      <c r="B182" s="11" t="s">
        <v>35</v>
      </c>
      <c r="C182" s="28" t="n">
        <v>550340</v>
      </c>
      <c r="D182" s="4" t="s">
        <v>457</v>
      </c>
      <c r="E182" s="4" t="s">
        <v>459</v>
      </c>
      <c r="F182" s="5" t="s">
        <v>460</v>
      </c>
      <c r="G182" s="6" t="n">
        <v>873</v>
      </c>
      <c r="H182" s="6" t="n">
        <f aca="false">G182</f>
        <v>873</v>
      </c>
      <c r="J182" s="4" t="s">
        <v>410</v>
      </c>
      <c r="K182" s="8" t="n">
        <v>43184</v>
      </c>
      <c r="L182" s="8" t="n">
        <v>46836</v>
      </c>
      <c r="N182" s="8" t="n">
        <v>45010</v>
      </c>
      <c r="P182" s="9" t="n">
        <v>24500</v>
      </c>
      <c r="Q182" s="9" t="n">
        <f aca="false">P182</f>
        <v>24500</v>
      </c>
      <c r="S182" s="9" t="n">
        <v>17500</v>
      </c>
      <c r="T182" s="9" t="n">
        <f aca="false">S182</f>
        <v>17500</v>
      </c>
      <c r="U182" s="63" t="n">
        <v>26200</v>
      </c>
      <c r="V182" s="9" t="n">
        <f aca="false">U182</f>
        <v>26200</v>
      </c>
      <c r="W182" s="9"/>
      <c r="X182" s="9" t="s">
        <v>57</v>
      </c>
      <c r="Y182" s="40"/>
      <c r="AA182" s="5" t="s">
        <v>40</v>
      </c>
      <c r="AB182" s="4" t="s">
        <v>411</v>
      </c>
      <c r="AE182" s="57"/>
    </row>
    <row r="183" customFormat="false" ht="28.35" hidden="false" customHeight="false" outlineLevel="0" collapsed="false">
      <c r="A183" s="11" t="s">
        <v>228</v>
      </c>
      <c r="B183" s="11" t="s">
        <v>35</v>
      </c>
      <c r="C183" s="28" t="n">
        <v>550340</v>
      </c>
      <c r="D183" s="4" t="s">
        <v>457</v>
      </c>
      <c r="E183" s="4" t="s">
        <v>461</v>
      </c>
      <c r="F183" s="5" t="s">
        <v>37</v>
      </c>
      <c r="G183" s="6" t="n">
        <v>624</v>
      </c>
      <c r="H183" s="6" t="n">
        <f aca="false">G183</f>
        <v>624</v>
      </c>
      <c r="J183" s="4" t="s">
        <v>410</v>
      </c>
      <c r="K183" s="8" t="n">
        <v>43184</v>
      </c>
      <c r="L183" s="8" t="n">
        <v>46836</v>
      </c>
      <c r="N183" s="8" t="n">
        <v>45010</v>
      </c>
      <c r="P183" s="9" t="n">
        <v>15600</v>
      </c>
      <c r="Q183" s="9" t="n">
        <f aca="false">P183</f>
        <v>15600</v>
      </c>
      <c r="S183" s="9" t="n">
        <v>12500</v>
      </c>
      <c r="T183" s="9" t="n">
        <f aca="false">S183</f>
        <v>12500</v>
      </c>
      <c r="U183" s="63" t="n">
        <v>18700</v>
      </c>
      <c r="V183" s="9" t="n">
        <f aca="false">U183</f>
        <v>18700</v>
      </c>
      <c r="W183" s="9"/>
      <c r="X183" s="9" t="s">
        <v>57</v>
      </c>
      <c r="Y183" s="40"/>
      <c r="AA183" s="5" t="s">
        <v>40</v>
      </c>
      <c r="AB183" s="4" t="s">
        <v>411</v>
      </c>
      <c r="AE183" s="57"/>
    </row>
    <row r="184" customFormat="false" ht="28.35" hidden="false" customHeight="false" outlineLevel="0" collapsed="false">
      <c r="A184" s="11" t="s">
        <v>228</v>
      </c>
      <c r="B184" s="11" t="s">
        <v>35</v>
      </c>
      <c r="C184" s="28" t="n">
        <v>550340</v>
      </c>
      <c r="D184" s="4" t="s">
        <v>457</v>
      </c>
      <c r="E184" s="4" t="s">
        <v>406</v>
      </c>
      <c r="F184" s="5" t="s">
        <v>37</v>
      </c>
      <c r="G184" s="6" t="n">
        <v>1497</v>
      </c>
      <c r="H184" s="6" t="n">
        <f aca="false">G184</f>
        <v>1497</v>
      </c>
      <c r="J184" s="4" t="s">
        <v>410</v>
      </c>
      <c r="K184" s="8" t="n">
        <v>45010</v>
      </c>
      <c r="L184" s="8" t="n">
        <v>46836</v>
      </c>
      <c r="P184" s="9" t="n">
        <v>84600</v>
      </c>
      <c r="Q184" s="9" t="n">
        <f aca="false">P184</f>
        <v>84600</v>
      </c>
      <c r="S184" s="9" t="n">
        <v>86100</v>
      </c>
      <c r="T184" s="9" t="n">
        <f aca="false">S184</f>
        <v>86100</v>
      </c>
      <c r="U184" s="63" t="n">
        <v>89800</v>
      </c>
      <c r="V184" s="9" t="n">
        <f aca="false">U184</f>
        <v>89800</v>
      </c>
      <c r="W184" s="9"/>
      <c r="X184" s="9" t="s">
        <v>39</v>
      </c>
      <c r="Y184" s="40"/>
      <c r="AA184" s="5" t="s">
        <v>40</v>
      </c>
      <c r="AB184" s="4" t="s">
        <v>411</v>
      </c>
      <c r="AE184" s="57"/>
    </row>
    <row r="185" customFormat="false" ht="28.35" hidden="false" customHeight="false" outlineLevel="0" collapsed="false">
      <c r="A185" s="11" t="s">
        <v>228</v>
      </c>
      <c r="B185" s="11" t="s">
        <v>35</v>
      </c>
      <c r="C185" s="28" t="n">
        <v>550340</v>
      </c>
      <c r="D185" s="4" t="s">
        <v>457</v>
      </c>
      <c r="E185" s="4" t="s">
        <v>333</v>
      </c>
      <c r="F185" s="5" t="s">
        <v>37</v>
      </c>
      <c r="G185" s="6" t="n">
        <v>1553</v>
      </c>
      <c r="H185" s="6" t="n">
        <f aca="false">G185</f>
        <v>1553</v>
      </c>
      <c r="J185" s="4" t="s">
        <v>410</v>
      </c>
      <c r="K185" s="7" t="n">
        <v>45269</v>
      </c>
      <c r="L185" s="8" t="n">
        <v>46836</v>
      </c>
      <c r="P185" s="9" t="n">
        <v>87750</v>
      </c>
      <c r="Q185" s="9" t="n">
        <f aca="false">P185</f>
        <v>87750</v>
      </c>
      <c r="S185" s="9" t="n">
        <v>89300</v>
      </c>
      <c r="T185" s="9" t="n">
        <f aca="false">S185</f>
        <v>89300</v>
      </c>
      <c r="U185" s="63" t="n">
        <v>93200</v>
      </c>
      <c r="V185" s="9" t="n">
        <f aca="false">U185</f>
        <v>93200</v>
      </c>
      <c r="W185" s="9"/>
      <c r="X185" s="9" t="s">
        <v>57</v>
      </c>
      <c r="Y185" s="40"/>
      <c r="AA185" s="5" t="s">
        <v>40</v>
      </c>
      <c r="AB185" s="4" t="s">
        <v>411</v>
      </c>
      <c r="AE185" s="57"/>
    </row>
    <row r="186" customFormat="false" ht="28.35" hidden="false" customHeight="false" outlineLevel="0" collapsed="false">
      <c r="A186" s="11" t="s">
        <v>228</v>
      </c>
      <c r="B186" s="11" t="s">
        <v>35</v>
      </c>
      <c r="C186" s="28" t="n">
        <v>550340</v>
      </c>
      <c r="D186" s="4" t="s">
        <v>457</v>
      </c>
      <c r="E186" s="4" t="s">
        <v>135</v>
      </c>
      <c r="F186" s="5" t="s">
        <v>37</v>
      </c>
      <c r="G186" s="6" t="n">
        <v>1445</v>
      </c>
      <c r="H186" s="6" t="n">
        <f aca="false">G186</f>
        <v>1445</v>
      </c>
      <c r="J186" s="4" t="s">
        <v>410</v>
      </c>
      <c r="K186" s="8" t="n">
        <v>43184</v>
      </c>
      <c r="L186" s="8" t="n">
        <v>46836</v>
      </c>
      <c r="N186" s="8" t="n">
        <v>45010</v>
      </c>
      <c r="P186" s="9" t="n">
        <v>79500</v>
      </c>
      <c r="Q186" s="9" t="n">
        <f aca="false">P186</f>
        <v>79500</v>
      </c>
      <c r="S186" s="9" t="n">
        <v>86700</v>
      </c>
      <c r="T186" s="9" t="n">
        <f aca="false">S186</f>
        <v>86700</v>
      </c>
      <c r="U186" s="63" t="n">
        <v>90300</v>
      </c>
      <c r="V186" s="9" t="n">
        <f aca="false">U186</f>
        <v>90300</v>
      </c>
      <c r="W186" s="9"/>
      <c r="X186" s="9" t="s">
        <v>57</v>
      </c>
      <c r="Y186" s="40"/>
      <c r="AA186" s="5" t="s">
        <v>40</v>
      </c>
      <c r="AB186" s="4" t="s">
        <v>411</v>
      </c>
      <c r="AE186" s="57"/>
    </row>
    <row r="187" customFormat="false" ht="28.35" hidden="false" customHeight="false" outlineLevel="0" collapsed="false">
      <c r="A187" s="11" t="s">
        <v>228</v>
      </c>
      <c r="B187" s="11" t="s">
        <v>35</v>
      </c>
      <c r="C187" s="28" t="n">
        <v>550340</v>
      </c>
      <c r="D187" s="4" t="s">
        <v>457</v>
      </c>
      <c r="E187" s="4" t="s">
        <v>133</v>
      </c>
      <c r="F187" s="5" t="s">
        <v>37</v>
      </c>
      <c r="G187" s="6" t="n">
        <v>1200</v>
      </c>
      <c r="H187" s="6" t="n">
        <f aca="false">G187</f>
        <v>1200</v>
      </c>
      <c r="J187" s="4" t="s">
        <v>410</v>
      </c>
      <c r="K187" s="8" t="n">
        <v>43184</v>
      </c>
      <c r="L187" s="8" t="n">
        <v>46836</v>
      </c>
      <c r="N187" s="8" t="n">
        <v>45010</v>
      </c>
      <c r="P187" s="9" t="n">
        <v>66000</v>
      </c>
      <c r="Q187" s="9" t="n">
        <f aca="false">P187</f>
        <v>66000</v>
      </c>
      <c r="S187" s="9" t="n">
        <v>72000</v>
      </c>
      <c r="T187" s="9" t="n">
        <f aca="false">S187</f>
        <v>72000</v>
      </c>
      <c r="U187" s="63" t="n">
        <v>75000</v>
      </c>
      <c r="V187" s="9" t="n">
        <f aca="false">U187</f>
        <v>75000</v>
      </c>
      <c r="W187" s="9"/>
      <c r="X187" s="9" t="s">
        <v>39</v>
      </c>
      <c r="Y187" s="40"/>
      <c r="AA187" s="5" t="s">
        <v>40</v>
      </c>
      <c r="AB187" s="4" t="s">
        <v>411</v>
      </c>
      <c r="AE187" s="57"/>
    </row>
    <row r="188" customFormat="false" ht="28.35" hidden="false" customHeight="false" outlineLevel="0" collapsed="false">
      <c r="A188" s="11" t="s">
        <v>228</v>
      </c>
      <c r="B188" s="11" t="s">
        <v>35</v>
      </c>
      <c r="C188" s="28" t="n">
        <v>550340</v>
      </c>
      <c r="D188" s="4" t="s">
        <v>457</v>
      </c>
      <c r="E188" s="4" t="s">
        <v>138</v>
      </c>
      <c r="F188" s="5" t="s">
        <v>37</v>
      </c>
      <c r="G188" s="6" t="n">
        <v>373</v>
      </c>
      <c r="H188" s="6" t="n">
        <f aca="false">G188</f>
        <v>373</v>
      </c>
      <c r="J188" s="4" t="s">
        <v>410</v>
      </c>
      <c r="K188" s="8" t="n">
        <v>43184</v>
      </c>
      <c r="L188" s="8" t="n">
        <v>46836</v>
      </c>
      <c r="N188" s="8" t="n">
        <v>45010</v>
      </c>
      <c r="P188" s="9" t="n">
        <v>18650</v>
      </c>
      <c r="Q188" s="9" t="n">
        <f aca="false">P188</f>
        <v>18650</v>
      </c>
      <c r="S188" s="9" t="n">
        <v>22400</v>
      </c>
      <c r="T188" s="9" t="n">
        <f aca="false">S188</f>
        <v>22400</v>
      </c>
      <c r="U188" s="63" t="n">
        <v>23300</v>
      </c>
      <c r="V188" s="9" t="n">
        <f aca="false">U188</f>
        <v>23300</v>
      </c>
      <c r="W188" s="9"/>
      <c r="X188" s="9" t="s">
        <v>57</v>
      </c>
      <c r="Y188" s="40"/>
      <c r="AA188" s="5" t="s">
        <v>40</v>
      </c>
      <c r="AB188" s="4" t="s">
        <v>411</v>
      </c>
      <c r="AE188" s="57"/>
    </row>
    <row r="189" customFormat="false" ht="28.35" hidden="false" customHeight="false" outlineLevel="0" collapsed="false">
      <c r="A189" s="11" t="s">
        <v>228</v>
      </c>
      <c r="B189" s="11" t="s">
        <v>35</v>
      </c>
      <c r="C189" s="28" t="n">
        <v>550340</v>
      </c>
      <c r="D189" s="4" t="s">
        <v>457</v>
      </c>
      <c r="E189" s="4" t="s">
        <v>140</v>
      </c>
      <c r="F189" s="5" t="s">
        <v>37</v>
      </c>
      <c r="G189" s="6" t="n">
        <v>346</v>
      </c>
      <c r="H189" s="6" t="n">
        <f aca="false">G189</f>
        <v>346</v>
      </c>
      <c r="J189" s="4" t="s">
        <v>410</v>
      </c>
      <c r="K189" s="8" t="n">
        <v>43184</v>
      </c>
      <c r="L189" s="8" t="n">
        <v>46836</v>
      </c>
      <c r="N189" s="8" t="n">
        <v>45010</v>
      </c>
      <c r="P189" s="9" t="n">
        <v>18150</v>
      </c>
      <c r="Q189" s="9" t="n">
        <f aca="false">P189</f>
        <v>18150</v>
      </c>
      <c r="S189" s="9" t="n">
        <v>20800</v>
      </c>
      <c r="T189" s="9" t="n">
        <f aca="false">S189</f>
        <v>20800</v>
      </c>
      <c r="U189" s="63" t="n">
        <v>21600</v>
      </c>
      <c r="V189" s="9" t="n">
        <f aca="false">U189</f>
        <v>21600</v>
      </c>
      <c r="W189" s="9"/>
      <c r="X189" s="9" t="s">
        <v>57</v>
      </c>
      <c r="Y189" s="40"/>
      <c r="AA189" s="5" t="s">
        <v>40</v>
      </c>
      <c r="AB189" s="4" t="s">
        <v>411</v>
      </c>
      <c r="AE189" s="57"/>
    </row>
    <row r="190" customFormat="false" ht="19.4" hidden="false" customHeight="false" outlineLevel="0" collapsed="false">
      <c r="A190" s="11" t="s">
        <v>44</v>
      </c>
      <c r="B190" s="11" t="s">
        <v>35</v>
      </c>
      <c r="C190" s="28" t="n">
        <v>550900</v>
      </c>
      <c r="D190" s="4" t="s">
        <v>463</v>
      </c>
      <c r="E190" s="4" t="s">
        <v>455</v>
      </c>
      <c r="F190" s="5" t="s">
        <v>37</v>
      </c>
      <c r="G190" s="6" t="n">
        <v>8445</v>
      </c>
      <c r="H190" s="9" t="n">
        <f aca="false">G190</f>
        <v>8445</v>
      </c>
      <c r="I190" s="9" t="n">
        <v>8500</v>
      </c>
      <c r="J190" s="4" t="s">
        <v>255</v>
      </c>
      <c r="K190" s="7" t="n">
        <v>44390</v>
      </c>
      <c r="L190" s="8" t="n">
        <v>48041</v>
      </c>
      <c r="N190" s="8" t="n">
        <v>46216</v>
      </c>
      <c r="O190" s="8" t="n">
        <v>46215</v>
      </c>
      <c r="P190" s="9" t="n">
        <v>450500</v>
      </c>
      <c r="Q190" s="9" t="n">
        <f aca="false">P190</f>
        <v>450500</v>
      </c>
      <c r="S190" s="9" t="n">
        <v>450500</v>
      </c>
      <c r="T190" s="9" t="n">
        <f aca="false">S190</f>
        <v>450500</v>
      </c>
      <c r="U190" s="63" t="n">
        <v>495300</v>
      </c>
      <c r="V190" s="9" t="n">
        <f aca="false">U190</f>
        <v>495300</v>
      </c>
      <c r="W190" s="44" t="n">
        <f aca="false">S190/G190</f>
        <v>53.3451746595619</v>
      </c>
      <c r="X190" s="9" t="s">
        <v>39</v>
      </c>
      <c r="Y190" s="40"/>
      <c r="Z190" s="43"/>
      <c r="AA190" s="5" t="s">
        <v>40</v>
      </c>
      <c r="AB190" s="4" t="s">
        <v>464</v>
      </c>
      <c r="AE190" s="57"/>
    </row>
    <row r="191" customFormat="false" ht="19.4" hidden="false" customHeight="false" outlineLevel="0" collapsed="false">
      <c r="A191" s="11" t="s">
        <v>44</v>
      </c>
      <c r="B191" s="11" t="s">
        <v>35</v>
      </c>
      <c r="C191" s="28" t="n">
        <v>550900</v>
      </c>
      <c r="D191" s="4" t="s">
        <v>463</v>
      </c>
      <c r="E191" s="4" t="s">
        <v>465</v>
      </c>
      <c r="F191" s="5" t="s">
        <v>163</v>
      </c>
      <c r="G191" s="6" t="n">
        <v>0</v>
      </c>
      <c r="H191" s="9" t="n">
        <f aca="false">G191</f>
        <v>0</v>
      </c>
      <c r="I191" s="9"/>
      <c r="J191" s="4" t="s">
        <v>164</v>
      </c>
      <c r="K191" s="7" t="n">
        <v>38840</v>
      </c>
      <c r="L191" s="8" t="n">
        <v>46144</v>
      </c>
      <c r="P191" s="9" t="n">
        <v>1100</v>
      </c>
      <c r="Q191" s="9" t="n">
        <f aca="false">P191</f>
        <v>1100</v>
      </c>
      <c r="S191" s="9" t="n">
        <v>1100</v>
      </c>
      <c r="T191" s="9" t="n">
        <f aca="false">S191</f>
        <v>1100</v>
      </c>
      <c r="U191" s="63" t="n">
        <v>1100</v>
      </c>
      <c r="V191" s="9" t="n">
        <f aca="false">U191</f>
        <v>1100</v>
      </c>
      <c r="W191" s="9"/>
      <c r="X191" s="9"/>
      <c r="Y191" s="40"/>
      <c r="Z191" s="43"/>
      <c r="AA191" s="5" t="s">
        <v>40</v>
      </c>
      <c r="AB191" s="4" t="s">
        <v>466</v>
      </c>
      <c r="AE191" s="57"/>
    </row>
    <row r="192" customFormat="false" ht="15" hidden="false" customHeight="false" outlineLevel="0" collapsed="false">
      <c r="A192" s="11" t="s">
        <v>44</v>
      </c>
      <c r="B192" s="11" t="s">
        <v>35</v>
      </c>
      <c r="C192" s="28" t="n">
        <v>550350</v>
      </c>
      <c r="D192" s="4" t="s">
        <v>467</v>
      </c>
      <c r="E192" s="4" t="s">
        <v>455</v>
      </c>
      <c r="F192" s="5" t="s">
        <v>37</v>
      </c>
      <c r="G192" s="41" t="n">
        <v>6563</v>
      </c>
      <c r="H192" s="9" t="n">
        <f aca="false">G192</f>
        <v>6563</v>
      </c>
      <c r="I192" s="9" t="n">
        <v>6500</v>
      </c>
      <c r="J192" s="4" t="s">
        <v>468</v>
      </c>
      <c r="K192" s="7" t="n">
        <v>45062</v>
      </c>
      <c r="L192" s="8" t="n">
        <v>48714</v>
      </c>
      <c r="N192" s="8" t="n">
        <v>46889</v>
      </c>
      <c r="P192" s="42" t="n">
        <v>350000</v>
      </c>
      <c r="Q192" s="9" t="n">
        <f aca="false">P192</f>
        <v>350000</v>
      </c>
      <c r="R192" s="42" t="n">
        <f aca="false">Q192</f>
        <v>350000</v>
      </c>
      <c r="S192" s="42" t="n">
        <v>350000</v>
      </c>
      <c r="T192" s="9" t="n">
        <f aca="false">S192</f>
        <v>350000</v>
      </c>
      <c r="U192" s="43" t="n">
        <v>372700</v>
      </c>
      <c r="V192" s="9" t="n">
        <f aca="false">U192</f>
        <v>372700</v>
      </c>
      <c r="W192" s="44" t="n">
        <f aca="false">S192/G192</f>
        <v>53.3292701508457</v>
      </c>
      <c r="X192" s="9" t="s">
        <v>57</v>
      </c>
      <c r="Y192" s="40"/>
      <c r="Z192" s="108" t="n">
        <v>6300000</v>
      </c>
      <c r="AA192" s="5" t="s">
        <v>40</v>
      </c>
      <c r="AE192" s="57"/>
    </row>
    <row r="193" customFormat="false" ht="19.4" hidden="false" customHeight="false" outlineLevel="0" collapsed="false">
      <c r="A193" s="11" t="s">
        <v>102</v>
      </c>
      <c r="B193" s="11" t="s">
        <v>35</v>
      </c>
      <c r="C193" s="28" t="n">
        <v>550360</v>
      </c>
      <c r="D193" s="4" t="s">
        <v>470</v>
      </c>
      <c r="E193" s="4" t="s">
        <v>169</v>
      </c>
      <c r="F193" s="5" t="s">
        <v>46</v>
      </c>
      <c r="G193" s="6" t="n">
        <v>5735</v>
      </c>
      <c r="H193" s="9" t="n">
        <f aca="false">G193</f>
        <v>5735</v>
      </c>
      <c r="I193" s="9" t="n">
        <v>5750</v>
      </c>
      <c r="J193" s="4" t="s">
        <v>319</v>
      </c>
      <c r="K193" s="7" t="n">
        <v>45240</v>
      </c>
      <c r="L193" s="8" t="n">
        <v>48892</v>
      </c>
      <c r="N193" s="8" t="n">
        <v>47067</v>
      </c>
      <c r="O193" s="8" t="n">
        <v>47066</v>
      </c>
      <c r="P193" s="9" t="n">
        <v>282288</v>
      </c>
      <c r="Q193" s="9" t="n">
        <f aca="false">P193</f>
        <v>282288</v>
      </c>
      <c r="R193" s="42"/>
      <c r="S193" s="9" t="n">
        <v>258600</v>
      </c>
      <c r="T193" s="9" t="n">
        <f aca="false">S193</f>
        <v>258600</v>
      </c>
      <c r="U193" s="63" t="n">
        <v>282288</v>
      </c>
      <c r="V193" s="9" t="n">
        <f aca="false">U193</f>
        <v>282288</v>
      </c>
      <c r="W193" s="44" t="n">
        <f aca="false">S193/G193</f>
        <v>45.0915431560593</v>
      </c>
      <c r="X193" s="9" t="s">
        <v>39</v>
      </c>
      <c r="Y193" s="40"/>
      <c r="Z193" s="108"/>
      <c r="AA193" s="5" t="s">
        <v>40</v>
      </c>
      <c r="AB193" s="4" t="s">
        <v>471</v>
      </c>
      <c r="AE193" s="57"/>
    </row>
    <row r="194" customFormat="false" ht="15" hidden="false" customHeight="false" outlineLevel="0" collapsed="false">
      <c r="A194" s="11" t="s">
        <v>102</v>
      </c>
      <c r="B194" s="11" t="s">
        <v>35</v>
      </c>
      <c r="C194" s="28" t="n">
        <v>550360</v>
      </c>
      <c r="D194" s="4" t="s">
        <v>470</v>
      </c>
      <c r="E194" s="4" t="s">
        <v>85</v>
      </c>
      <c r="F194" s="5" t="s">
        <v>37</v>
      </c>
      <c r="G194" s="6" t="n">
        <v>2400</v>
      </c>
      <c r="H194" s="9" t="n">
        <f aca="false">G194</f>
        <v>2400</v>
      </c>
      <c r="I194" s="9" t="n">
        <v>2500</v>
      </c>
      <c r="J194" s="4" t="s">
        <v>325</v>
      </c>
      <c r="K194" s="7" t="n">
        <v>44665</v>
      </c>
      <c r="L194" s="8" t="n">
        <v>48852</v>
      </c>
      <c r="N194" s="8" t="n">
        <v>46491</v>
      </c>
      <c r="O194" s="8" t="n">
        <v>47026</v>
      </c>
      <c r="P194" s="9" t="n">
        <v>152500</v>
      </c>
      <c r="Q194" s="9" t="n">
        <f aca="false">P194</f>
        <v>152500</v>
      </c>
      <c r="R194" s="42"/>
      <c r="S194" s="9" t="n">
        <v>152400</v>
      </c>
      <c r="T194" s="9" t="n">
        <f aca="false">S194</f>
        <v>152400</v>
      </c>
      <c r="U194" s="63" t="n">
        <v>152400</v>
      </c>
      <c r="V194" s="9" t="n">
        <f aca="false">U194</f>
        <v>152400</v>
      </c>
      <c r="W194" s="44" t="n">
        <f aca="false">S194/G194</f>
        <v>63.5</v>
      </c>
      <c r="X194" s="9" t="s">
        <v>123</v>
      </c>
      <c r="Y194" s="40"/>
      <c r="Z194" s="108"/>
      <c r="AA194" s="5" t="s">
        <v>40</v>
      </c>
      <c r="AB194" s="4" t="s">
        <v>283</v>
      </c>
      <c r="AE194" s="57"/>
    </row>
    <row r="195" customFormat="false" ht="15" hidden="false" customHeight="false" outlineLevel="0" collapsed="false">
      <c r="A195" s="11" t="s">
        <v>102</v>
      </c>
      <c r="B195" s="11" t="s">
        <v>35</v>
      </c>
      <c r="C195" s="28" t="n">
        <v>550360</v>
      </c>
      <c r="D195" s="4" t="s">
        <v>470</v>
      </c>
      <c r="E195" s="4" t="s">
        <v>89</v>
      </c>
      <c r="F195" s="5" t="s">
        <v>37</v>
      </c>
      <c r="G195" s="6" t="n">
        <v>2516</v>
      </c>
      <c r="H195" s="9" t="n">
        <f aca="false">G195</f>
        <v>2516</v>
      </c>
      <c r="I195" s="9" t="n">
        <v>2500</v>
      </c>
      <c r="J195" s="4" t="s">
        <v>325</v>
      </c>
      <c r="K195" s="7" t="n">
        <v>44445</v>
      </c>
      <c r="L195" s="8" t="n">
        <v>47026</v>
      </c>
      <c r="N195" s="8" t="n">
        <v>46271</v>
      </c>
      <c r="P195" s="9" t="n">
        <v>150000</v>
      </c>
      <c r="Q195" s="9" t="n">
        <f aca="false">P195</f>
        <v>150000</v>
      </c>
      <c r="R195" s="42"/>
      <c r="S195" s="9" t="n">
        <v>158800</v>
      </c>
      <c r="T195" s="9" t="n">
        <f aca="false">S195</f>
        <v>158800</v>
      </c>
      <c r="U195" s="63" t="n">
        <v>159800</v>
      </c>
      <c r="V195" s="9" t="n">
        <f aca="false">U195</f>
        <v>159800</v>
      </c>
      <c r="W195" s="44" t="n">
        <f aca="false">S195/G195</f>
        <v>63.1160572337043</v>
      </c>
      <c r="X195" s="9" t="s">
        <v>123</v>
      </c>
      <c r="Y195" s="40"/>
      <c r="Z195" s="108"/>
      <c r="AA195" s="5" t="s">
        <v>40</v>
      </c>
      <c r="AE195" s="57"/>
    </row>
    <row r="196" customFormat="false" ht="15" hidden="false" customHeight="false" outlineLevel="0" collapsed="false">
      <c r="A196" s="11" t="s">
        <v>102</v>
      </c>
      <c r="B196" s="11" t="s">
        <v>35</v>
      </c>
      <c r="C196" s="28" t="n">
        <v>550360</v>
      </c>
      <c r="D196" s="4" t="s">
        <v>470</v>
      </c>
      <c r="E196" s="4" t="s">
        <v>472</v>
      </c>
      <c r="F196" s="5" t="s">
        <v>37</v>
      </c>
      <c r="G196" s="6" t="n">
        <v>4902</v>
      </c>
      <c r="H196" s="9" t="n">
        <f aca="false">G196</f>
        <v>4902</v>
      </c>
      <c r="I196" s="9" t="n">
        <v>5000</v>
      </c>
      <c r="J196" s="4" t="s">
        <v>325</v>
      </c>
      <c r="K196" s="7" t="n">
        <v>45259</v>
      </c>
      <c r="L196" s="8" t="n">
        <v>47026</v>
      </c>
      <c r="P196" s="9" t="n">
        <v>307687</v>
      </c>
      <c r="Q196" s="9" t="n">
        <f aca="false">P196</f>
        <v>307687</v>
      </c>
      <c r="R196" s="42"/>
      <c r="S196" s="9" t="n">
        <v>314300</v>
      </c>
      <c r="T196" s="9" t="n">
        <f aca="false">S196</f>
        <v>314300</v>
      </c>
      <c r="U196" s="63" t="n">
        <v>311300</v>
      </c>
      <c r="V196" s="9" t="n">
        <f aca="false">U196</f>
        <v>311300</v>
      </c>
      <c r="W196" s="44" t="n">
        <f aca="false">S196/G196</f>
        <v>64.1166870665035</v>
      </c>
      <c r="X196" s="9" t="s">
        <v>123</v>
      </c>
      <c r="Y196" s="40"/>
      <c r="Z196" s="108"/>
      <c r="AA196" s="5" t="s">
        <v>40</v>
      </c>
      <c r="AE196" s="57"/>
    </row>
    <row r="197" customFormat="false" ht="15" hidden="false" customHeight="false" outlineLevel="0" collapsed="false">
      <c r="A197" s="11" t="s">
        <v>102</v>
      </c>
      <c r="B197" s="11" t="s">
        <v>35</v>
      </c>
      <c r="C197" s="28" t="n">
        <v>550360</v>
      </c>
      <c r="D197" s="4" t="s">
        <v>470</v>
      </c>
      <c r="E197" s="4" t="s">
        <v>176</v>
      </c>
      <c r="F197" s="5" t="s">
        <v>37</v>
      </c>
      <c r="G197" s="6" t="n">
        <v>2251</v>
      </c>
      <c r="H197" s="9" t="n">
        <f aca="false">G197</f>
        <v>2251</v>
      </c>
      <c r="I197" s="9" t="n">
        <v>2250</v>
      </c>
      <c r="J197" s="4" t="s">
        <v>325</v>
      </c>
      <c r="K197" s="7" t="n">
        <v>45259</v>
      </c>
      <c r="L197" s="8" t="n">
        <v>47026</v>
      </c>
      <c r="P197" s="9" t="n">
        <v>138500</v>
      </c>
      <c r="Q197" s="9" t="n">
        <f aca="false">P197</f>
        <v>138500</v>
      </c>
      <c r="R197" s="42"/>
      <c r="S197" s="9" t="n">
        <v>138500</v>
      </c>
      <c r="T197" s="9" t="n">
        <f aca="false">S197</f>
        <v>138500</v>
      </c>
      <c r="U197" s="63" t="n">
        <v>140700</v>
      </c>
      <c r="V197" s="9" t="n">
        <f aca="false">U197</f>
        <v>140700</v>
      </c>
      <c r="W197" s="44" t="n">
        <f aca="false">S197/G197</f>
        <v>61.5282096845846</v>
      </c>
      <c r="X197" s="9" t="s">
        <v>123</v>
      </c>
      <c r="Y197" s="40"/>
      <c r="Z197" s="108"/>
      <c r="AA197" s="5" t="s">
        <v>40</v>
      </c>
      <c r="AE197" s="57"/>
    </row>
    <row r="198" customFormat="false" ht="46.25" hidden="false" customHeight="false" outlineLevel="0" collapsed="false">
      <c r="A198" s="11" t="s">
        <v>102</v>
      </c>
      <c r="B198" s="11" t="s">
        <v>35</v>
      </c>
      <c r="C198" s="28" t="n">
        <v>550370</v>
      </c>
      <c r="D198" s="4" t="s">
        <v>474</v>
      </c>
      <c r="E198" s="4" t="s">
        <v>475</v>
      </c>
      <c r="F198" s="5" t="s">
        <v>37</v>
      </c>
      <c r="G198" s="6" t="n">
        <v>2161</v>
      </c>
      <c r="H198" s="6" t="n">
        <f aca="false">G198</f>
        <v>2161</v>
      </c>
      <c r="I198" s="6" t="n">
        <v>2000</v>
      </c>
      <c r="J198" s="58" t="s">
        <v>476</v>
      </c>
      <c r="K198" s="78" t="n">
        <v>45887</v>
      </c>
      <c r="L198" s="79" t="n">
        <v>49538</v>
      </c>
      <c r="M198" s="79"/>
      <c r="N198" s="79" t="n">
        <v>47713</v>
      </c>
      <c r="O198" s="79" t="n">
        <v>47712</v>
      </c>
      <c r="P198" s="63" t="n">
        <v>0</v>
      </c>
      <c r="Q198" s="9" t="n">
        <f aca="false">P198</f>
        <v>0</v>
      </c>
      <c r="S198" s="9" t="n">
        <v>53800</v>
      </c>
      <c r="T198" s="9" t="n">
        <f aca="false">S198</f>
        <v>53800</v>
      </c>
      <c r="U198" s="63" t="n">
        <v>54000</v>
      </c>
      <c r="V198" s="9" t="n">
        <f aca="false">U198</f>
        <v>54000</v>
      </c>
      <c r="W198" s="44" t="n">
        <f aca="false">S198/G198</f>
        <v>24.8958815363258</v>
      </c>
      <c r="X198" s="9" t="s">
        <v>123</v>
      </c>
      <c r="Y198" s="40"/>
      <c r="Z198" s="108"/>
      <c r="AA198" s="5" t="s">
        <v>40</v>
      </c>
      <c r="AB198" s="58" t="s">
        <v>477</v>
      </c>
      <c r="AD198" s="4" t="n">
        <v>2</v>
      </c>
      <c r="AE198" s="57" t="n">
        <v>8</v>
      </c>
      <c r="AF198" s="4" t="s">
        <v>54</v>
      </c>
    </row>
    <row r="199" customFormat="false" ht="15" hidden="false" customHeight="false" outlineLevel="0" collapsed="false">
      <c r="A199" s="11" t="s">
        <v>102</v>
      </c>
      <c r="B199" s="11" t="s">
        <v>35</v>
      </c>
      <c r="C199" s="28" t="n">
        <v>550370</v>
      </c>
      <c r="D199" s="4" t="s">
        <v>474</v>
      </c>
      <c r="E199" s="4" t="s">
        <v>125</v>
      </c>
      <c r="F199" s="5" t="s">
        <v>37</v>
      </c>
      <c r="G199" s="6" t="n">
        <v>2185</v>
      </c>
      <c r="H199" s="6" t="n">
        <f aca="false">G199</f>
        <v>2185</v>
      </c>
      <c r="I199" s="6" t="n">
        <v>2000</v>
      </c>
      <c r="J199" s="4" t="s">
        <v>319</v>
      </c>
      <c r="K199" s="7" t="n">
        <v>45240</v>
      </c>
      <c r="L199" s="8" t="n">
        <v>48892</v>
      </c>
      <c r="N199" s="8" t="n">
        <v>47067</v>
      </c>
      <c r="O199" s="8" t="n">
        <v>47066</v>
      </c>
      <c r="P199" s="9" t="n">
        <v>132000</v>
      </c>
      <c r="Q199" s="9" t="n">
        <f aca="false">P199</f>
        <v>132000</v>
      </c>
      <c r="S199" s="9" t="n">
        <v>130000</v>
      </c>
      <c r="T199" s="9" t="n">
        <f aca="false">S199</f>
        <v>130000</v>
      </c>
      <c r="U199" s="63" t="n">
        <v>132000</v>
      </c>
      <c r="V199" s="9" t="n">
        <f aca="false">U199</f>
        <v>132000</v>
      </c>
      <c r="W199" s="44" t="n">
        <f aca="false">S199/G199</f>
        <v>59.4965675057208</v>
      </c>
      <c r="X199" s="9" t="s">
        <v>39</v>
      </c>
      <c r="Y199" s="40"/>
      <c r="Z199" s="108"/>
      <c r="AA199" s="5" t="s">
        <v>40</v>
      </c>
      <c r="AB199" s="4" t="s">
        <v>478</v>
      </c>
      <c r="AE199" s="57"/>
    </row>
    <row r="200" customFormat="false" ht="15" hidden="false" customHeight="false" outlineLevel="0" collapsed="false">
      <c r="A200" s="11" t="s">
        <v>102</v>
      </c>
      <c r="B200" s="11" t="s">
        <v>35</v>
      </c>
      <c r="C200" s="28" t="n">
        <v>550370</v>
      </c>
      <c r="D200" s="4" t="s">
        <v>474</v>
      </c>
      <c r="E200" s="4" t="s">
        <v>85</v>
      </c>
      <c r="F200" s="5" t="s">
        <v>37</v>
      </c>
      <c r="G200" s="6" t="n">
        <v>1606</v>
      </c>
      <c r="H200" s="6" t="n">
        <f aca="false">G200</f>
        <v>1606</v>
      </c>
      <c r="I200" s="6" t="n">
        <v>1500</v>
      </c>
      <c r="J200" s="4" t="s">
        <v>63</v>
      </c>
      <c r="M200" s="8" t="n">
        <v>44403</v>
      </c>
      <c r="P200" s="9" t="n">
        <v>0</v>
      </c>
      <c r="Q200" s="9" t="n">
        <f aca="false">P200</f>
        <v>0</v>
      </c>
      <c r="S200" s="9" t="n">
        <v>85800</v>
      </c>
      <c r="T200" s="9" t="n">
        <f aca="false">S200</f>
        <v>85800</v>
      </c>
      <c r="U200" s="63" t="n">
        <v>106800</v>
      </c>
      <c r="V200" s="9" t="n">
        <f aca="false">U200</f>
        <v>106800</v>
      </c>
      <c r="W200" s="44" t="n">
        <f aca="false">S200/G200</f>
        <v>53.4246575342466</v>
      </c>
      <c r="X200" s="9" t="s">
        <v>57</v>
      </c>
      <c r="Y200" s="40"/>
      <c r="Z200" s="108"/>
      <c r="AA200" s="5" t="s">
        <v>40</v>
      </c>
      <c r="AB200" s="4" t="s">
        <v>334</v>
      </c>
      <c r="AC200" s="15" t="n">
        <v>65</v>
      </c>
      <c r="AE200" s="57" t="n">
        <v>1</v>
      </c>
      <c r="AF200" s="4" t="s">
        <v>54</v>
      </c>
    </row>
    <row r="201" customFormat="false" ht="15" hidden="false" customHeight="false" outlineLevel="0" collapsed="false">
      <c r="A201" s="11" t="s">
        <v>102</v>
      </c>
      <c r="B201" s="11" t="s">
        <v>35</v>
      </c>
      <c r="C201" s="28" t="n">
        <v>550370</v>
      </c>
      <c r="D201" s="4" t="s">
        <v>474</v>
      </c>
      <c r="E201" s="4" t="s">
        <v>89</v>
      </c>
      <c r="F201" s="5" t="s">
        <v>37</v>
      </c>
      <c r="G201" s="6" t="n">
        <v>1296</v>
      </c>
      <c r="H201" s="6" t="n">
        <f aca="false">G201</f>
        <v>1296</v>
      </c>
      <c r="I201" s="6" t="n">
        <v>1250</v>
      </c>
      <c r="J201" s="4" t="s">
        <v>479</v>
      </c>
      <c r="K201" s="7" t="n">
        <v>44798</v>
      </c>
      <c r="L201" s="8" t="n">
        <v>46623</v>
      </c>
      <c r="P201" s="9" t="n">
        <v>73700</v>
      </c>
      <c r="Q201" s="9" t="n">
        <f aca="false">P201</f>
        <v>73700</v>
      </c>
      <c r="S201" s="9" t="n">
        <v>73500</v>
      </c>
      <c r="T201" s="9" t="n">
        <f aca="false">S201</f>
        <v>73500</v>
      </c>
      <c r="U201" s="63" t="n">
        <v>86200</v>
      </c>
      <c r="V201" s="9" t="n">
        <f aca="false">U201</f>
        <v>86200</v>
      </c>
      <c r="W201" s="44" t="n">
        <f aca="false">S201/G201</f>
        <v>56.712962962963</v>
      </c>
      <c r="X201" s="9" t="s">
        <v>57</v>
      </c>
      <c r="Y201" s="40"/>
      <c r="Z201" s="108"/>
      <c r="AA201" s="5" t="s">
        <v>40</v>
      </c>
      <c r="AE201" s="57"/>
    </row>
    <row r="202" customFormat="false" ht="15" hidden="false" customHeight="false" outlineLevel="0" collapsed="false">
      <c r="A202" s="11" t="s">
        <v>102</v>
      </c>
      <c r="B202" s="11" t="s">
        <v>35</v>
      </c>
      <c r="C202" s="28" t="n">
        <v>550370</v>
      </c>
      <c r="D202" s="4" t="s">
        <v>474</v>
      </c>
      <c r="E202" s="4" t="s">
        <v>90</v>
      </c>
      <c r="F202" s="5" t="s">
        <v>37</v>
      </c>
      <c r="G202" s="6" t="n">
        <v>1129</v>
      </c>
      <c r="H202" s="6" t="n">
        <f aca="false">G202</f>
        <v>1129</v>
      </c>
      <c r="I202" s="6" t="n">
        <v>1000</v>
      </c>
      <c r="J202" s="4" t="s">
        <v>63</v>
      </c>
      <c r="M202" s="8" t="n">
        <v>44097</v>
      </c>
      <c r="P202" s="9" t="n">
        <v>0</v>
      </c>
      <c r="Q202" s="9" t="n">
        <f aca="false">P202</f>
        <v>0</v>
      </c>
      <c r="S202" s="9" t="n">
        <v>65600</v>
      </c>
      <c r="T202" s="9" t="n">
        <f aca="false">S202</f>
        <v>65600</v>
      </c>
      <c r="U202" s="63" t="n">
        <v>75100</v>
      </c>
      <c r="V202" s="9" t="n">
        <f aca="false">U202</f>
        <v>75100</v>
      </c>
      <c r="W202" s="44" t="n">
        <f aca="false">S202/G202</f>
        <v>58.1045172719221</v>
      </c>
      <c r="X202" s="9" t="s">
        <v>57</v>
      </c>
      <c r="Y202" s="40"/>
      <c r="Z202" s="108"/>
      <c r="AA202" s="5" t="s">
        <v>40</v>
      </c>
      <c r="AB202" s="4" t="s">
        <v>480</v>
      </c>
      <c r="AC202" s="15" t="n">
        <v>65</v>
      </c>
      <c r="AE202" s="57"/>
    </row>
    <row r="203" customFormat="false" ht="15" hidden="false" customHeight="false" outlineLevel="0" collapsed="false">
      <c r="A203" s="11" t="s">
        <v>102</v>
      </c>
      <c r="B203" s="11" t="s">
        <v>35</v>
      </c>
      <c r="C203" s="28" t="n">
        <v>550370</v>
      </c>
      <c r="D203" s="4" t="s">
        <v>474</v>
      </c>
      <c r="E203" s="4" t="s">
        <v>114</v>
      </c>
      <c r="F203" s="5" t="s">
        <v>37</v>
      </c>
      <c r="G203" s="6" t="n">
        <v>856</v>
      </c>
      <c r="H203" s="6" t="n">
        <f aca="false">G203</f>
        <v>856</v>
      </c>
      <c r="I203" s="6" t="n">
        <v>1000</v>
      </c>
      <c r="J203" s="4" t="s">
        <v>63</v>
      </c>
      <c r="M203" s="8" t="n">
        <v>44814</v>
      </c>
      <c r="P203" s="9" t="n">
        <v>0</v>
      </c>
      <c r="Q203" s="9" t="n">
        <f aca="false">P203</f>
        <v>0</v>
      </c>
      <c r="S203" s="9" t="n">
        <v>45000</v>
      </c>
      <c r="T203" s="9" t="n">
        <f aca="false">S203</f>
        <v>45000</v>
      </c>
      <c r="U203" s="63" t="n">
        <v>55200</v>
      </c>
      <c r="V203" s="9" t="n">
        <f aca="false">U203</f>
        <v>55200</v>
      </c>
      <c r="W203" s="44" t="n">
        <f aca="false">S203/G203</f>
        <v>52.5700934579439</v>
      </c>
      <c r="X203" s="9" t="s">
        <v>123</v>
      </c>
      <c r="Y203" s="40"/>
      <c r="Z203" s="108"/>
      <c r="AA203" s="5" t="s">
        <v>40</v>
      </c>
      <c r="AB203" s="4" t="s">
        <v>480</v>
      </c>
      <c r="AC203" s="15" t="n">
        <v>65</v>
      </c>
      <c r="AE203" s="57"/>
    </row>
    <row r="204" customFormat="false" ht="15" hidden="false" customHeight="false" outlineLevel="0" collapsed="false">
      <c r="A204" s="11" t="s">
        <v>102</v>
      </c>
      <c r="B204" s="11" t="s">
        <v>35</v>
      </c>
      <c r="C204" s="28" t="n">
        <v>550370</v>
      </c>
      <c r="D204" s="4" t="s">
        <v>474</v>
      </c>
      <c r="E204" s="4" t="s">
        <v>176</v>
      </c>
      <c r="F204" s="5" t="s">
        <v>37</v>
      </c>
      <c r="G204" s="6" t="n">
        <v>766</v>
      </c>
      <c r="H204" s="6" t="n">
        <f aca="false">G204</f>
        <v>766</v>
      </c>
      <c r="I204" s="6" t="n">
        <v>750</v>
      </c>
      <c r="J204" s="4" t="s">
        <v>63</v>
      </c>
      <c r="M204" s="8" t="n">
        <v>44063</v>
      </c>
      <c r="P204" s="9" t="n">
        <v>0</v>
      </c>
      <c r="Q204" s="9" t="n">
        <f aca="false">P204</f>
        <v>0</v>
      </c>
      <c r="S204" s="9" t="n">
        <v>39300</v>
      </c>
      <c r="T204" s="9" t="n">
        <f aca="false">S204</f>
        <v>39300</v>
      </c>
      <c r="U204" s="63" t="n">
        <v>44500</v>
      </c>
      <c r="V204" s="9" t="n">
        <f aca="false">U204</f>
        <v>44500</v>
      </c>
      <c r="W204" s="44" t="n">
        <f aca="false">S204/G204</f>
        <v>51.3054830287206</v>
      </c>
      <c r="X204" s="9" t="s">
        <v>123</v>
      </c>
      <c r="Y204" s="40"/>
      <c r="Z204" s="108"/>
      <c r="AA204" s="5" t="s">
        <v>40</v>
      </c>
      <c r="AB204" s="4" t="s">
        <v>480</v>
      </c>
      <c r="AC204" s="15" t="n">
        <v>65</v>
      </c>
      <c r="AE204" s="57"/>
    </row>
    <row r="205" customFormat="false" ht="15" hidden="false" customHeight="false" outlineLevel="0" collapsed="false">
      <c r="A205" s="11" t="s">
        <v>102</v>
      </c>
      <c r="B205" s="11" t="s">
        <v>35</v>
      </c>
      <c r="C205" s="28" t="n">
        <v>550380</v>
      </c>
      <c r="D205" s="4" t="s">
        <v>482</v>
      </c>
      <c r="E205" s="4" t="s">
        <v>177</v>
      </c>
      <c r="F205" s="5" t="s">
        <v>353</v>
      </c>
      <c r="G205" s="6" t="n">
        <v>2481</v>
      </c>
      <c r="H205" s="6" t="n">
        <f aca="false">G205</f>
        <v>2481</v>
      </c>
      <c r="I205" s="6" t="n">
        <v>2500</v>
      </c>
      <c r="J205" s="111" t="s">
        <v>483</v>
      </c>
      <c r="K205" s="7" t="n">
        <v>44758</v>
      </c>
      <c r="L205" s="8" t="n">
        <v>46583</v>
      </c>
      <c r="P205" s="9" t="n">
        <v>69440</v>
      </c>
      <c r="Q205" s="9" t="n">
        <f aca="false">P205</f>
        <v>69440</v>
      </c>
      <c r="S205" s="9" t="n">
        <v>69500</v>
      </c>
      <c r="T205" s="9" t="n">
        <f aca="false">S205</f>
        <v>69500</v>
      </c>
      <c r="U205" s="63" t="n">
        <v>69500</v>
      </c>
      <c r="V205" s="9" t="n">
        <f aca="false">U205</f>
        <v>69500</v>
      </c>
      <c r="W205" s="44" t="n">
        <f aca="false">S205/G205</f>
        <v>28.0128980249899</v>
      </c>
      <c r="X205" s="9" t="s">
        <v>123</v>
      </c>
      <c r="Y205" s="40"/>
      <c r="AA205" s="5" t="s">
        <v>40</v>
      </c>
      <c r="AE205" s="57"/>
    </row>
    <row r="206" customFormat="false" ht="15" hidden="false" customHeight="false" outlineLevel="0" collapsed="false">
      <c r="A206" s="11" t="s">
        <v>102</v>
      </c>
      <c r="B206" s="11" t="s">
        <v>35</v>
      </c>
      <c r="C206" s="28" t="n">
        <v>550380</v>
      </c>
      <c r="D206" s="4" t="s">
        <v>482</v>
      </c>
      <c r="E206" s="4" t="s">
        <v>484</v>
      </c>
      <c r="F206" s="5" t="s">
        <v>229</v>
      </c>
      <c r="G206" s="6" t="n">
        <v>1616</v>
      </c>
      <c r="H206" s="6" t="n">
        <f aca="false">G206</f>
        <v>1616</v>
      </c>
      <c r="I206" s="6" t="n">
        <v>1500</v>
      </c>
      <c r="J206" s="4" t="s">
        <v>319</v>
      </c>
      <c r="K206" s="7" t="n">
        <v>45240</v>
      </c>
      <c r="L206" s="8" t="n">
        <v>48892</v>
      </c>
      <c r="N206" s="8" t="n">
        <v>47067</v>
      </c>
      <c r="O206" s="8" t="n">
        <v>47066</v>
      </c>
      <c r="P206" s="9" t="n">
        <v>85500</v>
      </c>
      <c r="Q206" s="9" t="n">
        <f aca="false">P206</f>
        <v>85500</v>
      </c>
      <c r="S206" s="9" t="n">
        <v>84800</v>
      </c>
      <c r="T206" s="9" t="n">
        <f aca="false">S206</f>
        <v>84800</v>
      </c>
      <c r="U206" s="63" t="n">
        <v>85000</v>
      </c>
      <c r="V206" s="9" t="n">
        <f aca="false">U206</f>
        <v>85000</v>
      </c>
      <c r="W206" s="44" t="n">
        <f aca="false">S206/G206</f>
        <v>52.4752475247525</v>
      </c>
      <c r="X206" s="9" t="s">
        <v>57</v>
      </c>
      <c r="Y206" s="40"/>
      <c r="AA206" s="5" t="s">
        <v>40</v>
      </c>
      <c r="AB206" s="4" t="s">
        <v>478</v>
      </c>
      <c r="AE206" s="57"/>
    </row>
    <row r="207" customFormat="false" ht="15" hidden="false" customHeight="false" outlineLevel="0" collapsed="false">
      <c r="A207" s="11" t="s">
        <v>102</v>
      </c>
      <c r="B207" s="11" t="s">
        <v>35</v>
      </c>
      <c r="C207" s="28" t="n">
        <v>550380</v>
      </c>
      <c r="D207" s="4" t="s">
        <v>482</v>
      </c>
      <c r="E207" s="4" t="s">
        <v>485</v>
      </c>
      <c r="F207" s="5" t="s">
        <v>353</v>
      </c>
      <c r="G207" s="6" t="n">
        <v>1485</v>
      </c>
      <c r="H207" s="6" t="n">
        <f aca="false">G207</f>
        <v>1485</v>
      </c>
      <c r="I207" s="6" t="n">
        <v>1500</v>
      </c>
      <c r="J207" s="4" t="s">
        <v>486</v>
      </c>
      <c r="K207" s="7" t="n">
        <v>45525</v>
      </c>
      <c r="L207" s="8" t="n">
        <v>47350</v>
      </c>
      <c r="O207" s="8" t="n">
        <v>46620</v>
      </c>
      <c r="P207" s="9" t="n">
        <v>90000</v>
      </c>
      <c r="Q207" s="9" t="n">
        <f aca="false">P207</f>
        <v>90000</v>
      </c>
      <c r="S207" s="9" t="n">
        <v>78000</v>
      </c>
      <c r="T207" s="9" t="n">
        <f aca="false">S207</f>
        <v>78000</v>
      </c>
      <c r="U207" s="63" t="n">
        <v>90000</v>
      </c>
      <c r="V207" s="9" t="n">
        <f aca="false">U207</f>
        <v>90000</v>
      </c>
      <c r="W207" s="44" t="n">
        <f aca="false">S207/G207</f>
        <v>52.5252525252525</v>
      </c>
      <c r="X207" s="9" t="s">
        <v>123</v>
      </c>
      <c r="Y207" s="40"/>
      <c r="AA207" s="5" t="s">
        <v>40</v>
      </c>
      <c r="AB207" s="4" t="s">
        <v>283</v>
      </c>
      <c r="AE207" s="57"/>
    </row>
    <row r="208" customFormat="false" ht="15" hidden="false" customHeight="false" outlineLevel="0" collapsed="false">
      <c r="A208" s="11" t="s">
        <v>102</v>
      </c>
      <c r="B208" s="11" t="s">
        <v>35</v>
      </c>
      <c r="C208" s="28" t="n">
        <v>550380</v>
      </c>
      <c r="D208" s="4" t="s">
        <v>482</v>
      </c>
      <c r="E208" s="4" t="s">
        <v>85</v>
      </c>
      <c r="F208" s="5" t="s">
        <v>37</v>
      </c>
      <c r="G208" s="6" t="n">
        <v>1855</v>
      </c>
      <c r="H208" s="6" t="n">
        <f aca="false">G208</f>
        <v>1855</v>
      </c>
      <c r="I208" s="6" t="n">
        <v>2000</v>
      </c>
      <c r="J208" s="4" t="s">
        <v>483</v>
      </c>
      <c r="K208" s="7" t="n">
        <v>44758</v>
      </c>
      <c r="L208" s="8" t="n">
        <v>46583</v>
      </c>
      <c r="P208" s="9" t="n">
        <v>106663</v>
      </c>
      <c r="Q208" s="9" t="n">
        <f aca="false">P208</f>
        <v>106663</v>
      </c>
      <c r="S208" s="9" t="n">
        <v>106700</v>
      </c>
      <c r="T208" s="9" t="n">
        <f aca="false">S208</f>
        <v>106700</v>
      </c>
      <c r="U208" s="63" t="n">
        <v>108500</v>
      </c>
      <c r="V208" s="9" t="n">
        <f aca="false">U208</f>
        <v>108500</v>
      </c>
      <c r="W208" s="44" t="n">
        <f aca="false">S208/G208</f>
        <v>57.5202156334232</v>
      </c>
      <c r="X208" s="9" t="s">
        <v>123</v>
      </c>
      <c r="Y208" s="40"/>
      <c r="AA208" s="5" t="s">
        <v>40</v>
      </c>
      <c r="AE208" s="57"/>
    </row>
    <row r="209" customFormat="false" ht="15" hidden="false" customHeight="false" outlineLevel="0" collapsed="false">
      <c r="A209" s="11" t="s">
        <v>102</v>
      </c>
      <c r="B209" s="11" t="s">
        <v>35</v>
      </c>
      <c r="C209" s="28" t="n">
        <v>550380</v>
      </c>
      <c r="D209" s="4" t="s">
        <v>482</v>
      </c>
      <c r="E209" s="4" t="s">
        <v>487</v>
      </c>
      <c r="F209" s="5" t="s">
        <v>37</v>
      </c>
      <c r="G209" s="6" t="n">
        <v>726</v>
      </c>
      <c r="H209" s="6" t="n">
        <f aca="false">G209</f>
        <v>726</v>
      </c>
      <c r="I209" s="6" t="n">
        <v>750</v>
      </c>
      <c r="J209" s="4" t="s">
        <v>483</v>
      </c>
      <c r="K209" s="7" t="n">
        <v>44758</v>
      </c>
      <c r="L209" s="8" t="n">
        <v>46583</v>
      </c>
      <c r="P209" s="9" t="n">
        <v>41975</v>
      </c>
      <c r="Q209" s="9" t="n">
        <f aca="false">P209</f>
        <v>41975</v>
      </c>
      <c r="S209" s="9" t="n">
        <v>41700</v>
      </c>
      <c r="T209" s="9" t="n">
        <f aca="false">S209</f>
        <v>41700</v>
      </c>
      <c r="U209" s="63" t="n">
        <v>42500</v>
      </c>
      <c r="V209" s="9" t="n">
        <f aca="false">U209</f>
        <v>42500</v>
      </c>
      <c r="W209" s="44" t="n">
        <f aca="false">S209/G209</f>
        <v>57.4380165289256</v>
      </c>
      <c r="X209" s="9" t="s">
        <v>123</v>
      </c>
      <c r="Y209" s="40"/>
      <c r="AA209" s="5" t="s">
        <v>40</v>
      </c>
      <c r="AE209" s="57"/>
    </row>
    <row r="210" customFormat="false" ht="19.4" hidden="false" customHeight="false" outlineLevel="0" collapsed="false">
      <c r="A210" s="11" t="s">
        <v>102</v>
      </c>
      <c r="B210" s="11" t="s">
        <v>35</v>
      </c>
      <c r="C210" s="28" t="n">
        <v>550380</v>
      </c>
      <c r="D210" s="4" t="s">
        <v>482</v>
      </c>
      <c r="E210" s="4" t="s">
        <v>488</v>
      </c>
      <c r="F210" s="11" t="s">
        <v>37</v>
      </c>
      <c r="G210" s="6" t="n">
        <v>1220</v>
      </c>
      <c r="H210" s="6" t="n">
        <f aca="false">G210</f>
        <v>1220</v>
      </c>
      <c r="I210" s="6" t="n">
        <v>1250</v>
      </c>
      <c r="J210" s="4" t="s">
        <v>489</v>
      </c>
      <c r="K210" s="7" t="n">
        <v>45438</v>
      </c>
      <c r="L210" s="8" t="n">
        <v>47263</v>
      </c>
      <c r="O210" s="8" t="n">
        <v>46532</v>
      </c>
      <c r="P210" s="9" t="n">
        <v>70200</v>
      </c>
      <c r="Q210" s="9" t="n">
        <f aca="false">P210</f>
        <v>70200</v>
      </c>
      <c r="S210" s="9" t="n">
        <v>70200</v>
      </c>
      <c r="T210" s="9" t="n">
        <f aca="false">S210</f>
        <v>70200</v>
      </c>
      <c r="U210" s="63" t="n">
        <v>71400</v>
      </c>
      <c r="V210" s="9" t="n">
        <f aca="false">U210</f>
        <v>71400</v>
      </c>
      <c r="W210" s="44" t="n">
        <f aca="false">S210/G210</f>
        <v>57.5409836065574</v>
      </c>
      <c r="X210" s="9" t="s">
        <v>57</v>
      </c>
      <c r="Y210" s="40"/>
      <c r="AA210" s="5" t="s">
        <v>40</v>
      </c>
      <c r="AB210" s="4" t="s">
        <v>490</v>
      </c>
      <c r="AE210" s="57"/>
    </row>
    <row r="211" customFormat="false" ht="15" hidden="false" customHeight="false" outlineLevel="0" collapsed="false">
      <c r="A211" s="11" t="s">
        <v>102</v>
      </c>
      <c r="B211" s="11" t="s">
        <v>35</v>
      </c>
      <c r="C211" s="28" t="n">
        <v>550380</v>
      </c>
      <c r="D211" s="4" t="s">
        <v>482</v>
      </c>
      <c r="E211" s="4" t="s">
        <v>90</v>
      </c>
      <c r="F211" s="5" t="s">
        <v>37</v>
      </c>
      <c r="G211" s="6" t="n">
        <v>1963</v>
      </c>
      <c r="H211" s="6" t="n">
        <f aca="false">G211</f>
        <v>1963</v>
      </c>
      <c r="I211" s="6" t="n">
        <v>2000</v>
      </c>
      <c r="J211" s="4" t="s">
        <v>483</v>
      </c>
      <c r="K211" s="7" t="n">
        <v>44758</v>
      </c>
      <c r="L211" s="8" t="n">
        <v>46583</v>
      </c>
      <c r="P211" s="9" t="n">
        <v>107965</v>
      </c>
      <c r="Q211" s="9" t="n">
        <f aca="false">P211</f>
        <v>107965</v>
      </c>
      <c r="S211" s="9" t="n">
        <v>108000</v>
      </c>
      <c r="T211" s="9" t="n">
        <f aca="false">S211</f>
        <v>108000</v>
      </c>
      <c r="U211" s="63" t="n">
        <v>108000</v>
      </c>
      <c r="V211" s="9" t="n">
        <f aca="false">U211</f>
        <v>108000</v>
      </c>
      <c r="W211" s="44" t="n">
        <f aca="false">S211/G211</f>
        <v>55.0178298522669</v>
      </c>
      <c r="X211" s="9" t="s">
        <v>123</v>
      </c>
      <c r="Y211" s="40"/>
      <c r="AA211" s="5" t="s">
        <v>40</v>
      </c>
      <c r="AE211" s="57"/>
    </row>
    <row r="212" customFormat="false" ht="19.4" hidden="false" customHeight="false" outlineLevel="0" collapsed="false">
      <c r="A212" s="11" t="s">
        <v>102</v>
      </c>
      <c r="B212" s="11" t="s">
        <v>35</v>
      </c>
      <c r="C212" s="28" t="n">
        <v>550380</v>
      </c>
      <c r="D212" s="4" t="s">
        <v>482</v>
      </c>
      <c r="E212" s="4" t="s">
        <v>491</v>
      </c>
      <c r="F212" s="5" t="s">
        <v>37</v>
      </c>
      <c r="G212" s="6" t="n">
        <v>94</v>
      </c>
      <c r="H212" s="6" t="n">
        <f aca="false">G212</f>
        <v>94</v>
      </c>
      <c r="I212" s="6" t="n">
        <v>100</v>
      </c>
      <c r="J212" s="4" t="s">
        <v>492</v>
      </c>
      <c r="K212" s="7" t="n">
        <v>45735</v>
      </c>
      <c r="L212" s="8" t="n">
        <v>47560</v>
      </c>
      <c r="P212" s="9" t="n">
        <v>7200</v>
      </c>
      <c r="Q212" s="9" t="n">
        <f aca="false">P212</f>
        <v>7200</v>
      </c>
      <c r="S212" s="9" t="n">
        <v>5410</v>
      </c>
      <c r="T212" s="9" t="n">
        <f aca="false">S212</f>
        <v>5410</v>
      </c>
      <c r="U212" s="63" t="n">
        <v>7200</v>
      </c>
      <c r="V212" s="9" t="n">
        <f aca="false">U212</f>
        <v>7200</v>
      </c>
      <c r="W212" s="44" t="n">
        <f aca="false">S212/G212</f>
        <v>57.5531914893617</v>
      </c>
      <c r="X212" s="9" t="s">
        <v>123</v>
      </c>
      <c r="Y212" s="40" t="s">
        <v>25</v>
      </c>
      <c r="AA212" s="5" t="s">
        <v>40</v>
      </c>
      <c r="AB212" s="4" t="s">
        <v>493</v>
      </c>
      <c r="AE212" s="57"/>
    </row>
    <row r="213" customFormat="false" ht="15" hidden="false" customHeight="false" outlineLevel="0" collapsed="false">
      <c r="A213" s="11" t="s">
        <v>102</v>
      </c>
      <c r="B213" s="11" t="s">
        <v>35</v>
      </c>
      <c r="C213" s="28" t="n">
        <v>550380</v>
      </c>
      <c r="D213" s="4" t="s">
        <v>482</v>
      </c>
      <c r="E213" s="4" t="s">
        <v>494</v>
      </c>
      <c r="F213" s="5" t="s">
        <v>37</v>
      </c>
      <c r="G213" s="6" t="n">
        <v>284</v>
      </c>
      <c r="H213" s="6" t="n">
        <f aca="false">G213</f>
        <v>284</v>
      </c>
      <c r="I213" s="6" t="n">
        <v>250</v>
      </c>
      <c r="J213" s="4" t="s">
        <v>63</v>
      </c>
      <c r="M213" s="8" t="n">
        <v>43909</v>
      </c>
      <c r="P213" s="9" t="n">
        <v>0</v>
      </c>
      <c r="Q213" s="9" t="n">
        <f aca="false">P213</f>
        <v>0</v>
      </c>
      <c r="S213" s="9" t="n">
        <v>16300</v>
      </c>
      <c r="T213" s="9" t="n">
        <f aca="false">S213</f>
        <v>16300</v>
      </c>
      <c r="U213" s="63" t="n">
        <v>16300</v>
      </c>
      <c r="V213" s="9" t="n">
        <f aca="false">U213</f>
        <v>16300</v>
      </c>
      <c r="W213" s="44" t="n">
        <f aca="false">S213/G213</f>
        <v>57.3943661971831</v>
      </c>
      <c r="X213" s="9" t="s">
        <v>123</v>
      </c>
      <c r="Y213" s="40" t="s">
        <v>25</v>
      </c>
      <c r="AA213" s="5"/>
      <c r="AB213" s="4" t="s">
        <v>115</v>
      </c>
      <c r="AE213" s="57"/>
    </row>
    <row r="214" customFormat="false" ht="15" hidden="false" customHeight="false" outlineLevel="0" collapsed="false">
      <c r="A214" s="11" t="s">
        <v>102</v>
      </c>
      <c r="B214" s="11" t="s">
        <v>35</v>
      </c>
      <c r="C214" s="28" t="n">
        <v>550380</v>
      </c>
      <c r="D214" s="4" t="s">
        <v>482</v>
      </c>
      <c r="E214" s="4" t="s">
        <v>495</v>
      </c>
      <c r="F214" s="5" t="s">
        <v>37</v>
      </c>
      <c r="G214" s="6" t="n">
        <v>619</v>
      </c>
      <c r="H214" s="6" t="n">
        <f aca="false">G214</f>
        <v>619</v>
      </c>
      <c r="I214" s="6" t="n">
        <v>500</v>
      </c>
      <c r="J214" s="4" t="s">
        <v>63</v>
      </c>
      <c r="M214" s="8" t="n">
        <v>45678</v>
      </c>
      <c r="P214" s="9" t="n">
        <v>0</v>
      </c>
      <c r="Q214" s="9" t="n">
        <f aca="false">P214</f>
        <v>0</v>
      </c>
      <c r="S214" s="9" t="n">
        <v>35600</v>
      </c>
      <c r="T214" s="9" t="n">
        <f aca="false">S214</f>
        <v>35600</v>
      </c>
      <c r="U214" s="63" t="n">
        <v>35600</v>
      </c>
      <c r="V214" s="9" t="n">
        <f aca="false">U214</f>
        <v>35600</v>
      </c>
      <c r="W214" s="44" t="n">
        <f aca="false">S214/G214</f>
        <v>57.5121163166397</v>
      </c>
      <c r="X214" s="9" t="s">
        <v>123</v>
      </c>
      <c r="Y214" s="40"/>
      <c r="AA214" s="5" t="s">
        <v>40</v>
      </c>
      <c r="AB214" s="4" t="s">
        <v>64</v>
      </c>
      <c r="AE214" s="57"/>
    </row>
    <row r="215" customFormat="false" ht="15" hidden="false" customHeight="false" outlineLevel="0" collapsed="false">
      <c r="A215" s="11" t="s">
        <v>102</v>
      </c>
      <c r="B215" s="11" t="s">
        <v>35</v>
      </c>
      <c r="C215" s="28" t="n">
        <v>550380</v>
      </c>
      <c r="D215" s="4" t="s">
        <v>482</v>
      </c>
      <c r="E215" s="4" t="s">
        <v>496</v>
      </c>
      <c r="F215" s="5" t="s">
        <v>37</v>
      </c>
      <c r="G215" s="6" t="n">
        <v>653</v>
      </c>
      <c r="H215" s="6" t="n">
        <f aca="false">G215</f>
        <v>653</v>
      </c>
      <c r="I215" s="6" t="n">
        <v>750</v>
      </c>
      <c r="J215" s="4" t="s">
        <v>63</v>
      </c>
      <c r="M215" s="8" t="n">
        <v>44555</v>
      </c>
      <c r="P215" s="9" t="n">
        <v>0</v>
      </c>
      <c r="Q215" s="9" t="n">
        <f aca="false">P215</f>
        <v>0</v>
      </c>
      <c r="S215" s="9" t="n">
        <v>37500</v>
      </c>
      <c r="T215" s="9" t="n">
        <f aca="false">S215</f>
        <v>37500</v>
      </c>
      <c r="U215" s="63" t="n">
        <v>37500</v>
      </c>
      <c r="V215" s="9" t="n">
        <f aca="false">U215</f>
        <v>37500</v>
      </c>
      <c r="W215" s="44" t="n">
        <f aca="false">S215/G215</f>
        <v>57.427258805513</v>
      </c>
      <c r="X215" s="9" t="s">
        <v>123</v>
      </c>
      <c r="Y215" s="40"/>
      <c r="AA215" s="5" t="s">
        <v>40</v>
      </c>
      <c r="AB215" s="4" t="s">
        <v>115</v>
      </c>
      <c r="AC215" s="15" t="n">
        <v>62.5</v>
      </c>
      <c r="AE215" s="57" t="n">
        <v>1</v>
      </c>
      <c r="AF215" s="4" t="s">
        <v>54</v>
      </c>
    </row>
    <row r="216" customFormat="false" ht="46.25" hidden="false" customHeight="false" outlineLevel="0" collapsed="false">
      <c r="A216" s="11" t="s">
        <v>102</v>
      </c>
      <c r="B216" s="11" t="s">
        <v>35</v>
      </c>
      <c r="C216" s="28" t="n">
        <v>550950</v>
      </c>
      <c r="D216" s="4" t="s">
        <v>498</v>
      </c>
      <c r="E216" s="4" t="s">
        <v>436</v>
      </c>
      <c r="F216" s="5" t="s">
        <v>37</v>
      </c>
      <c r="G216" s="6" t="n">
        <v>2370</v>
      </c>
      <c r="H216" s="6" t="n">
        <f aca="false">G216</f>
        <v>2370</v>
      </c>
      <c r="J216" s="4" t="s">
        <v>443</v>
      </c>
      <c r="K216" s="7" t="n">
        <v>43794</v>
      </c>
      <c r="L216" s="8" t="n">
        <v>47446</v>
      </c>
      <c r="N216" s="8" t="n">
        <v>45621</v>
      </c>
      <c r="P216" s="9" t="n">
        <v>104885</v>
      </c>
      <c r="Q216" s="9" t="n">
        <f aca="false">P216</f>
        <v>104885</v>
      </c>
      <c r="S216" s="9" t="n">
        <v>100700</v>
      </c>
      <c r="T216" s="9" t="n">
        <f aca="false">S216</f>
        <v>100700</v>
      </c>
      <c r="U216" s="63" t="n">
        <v>142200</v>
      </c>
      <c r="V216" s="9" t="n">
        <f aca="false">U216</f>
        <v>142200</v>
      </c>
      <c r="W216" s="44" t="n">
        <f aca="false">S216/G216</f>
        <v>42.4894514767933</v>
      </c>
      <c r="X216" s="9" t="s">
        <v>57</v>
      </c>
      <c r="Y216" s="40"/>
      <c r="Z216" s="43"/>
      <c r="AA216" s="5" t="s">
        <v>40</v>
      </c>
      <c r="AB216" s="4" t="s">
        <v>499</v>
      </c>
      <c r="AE216" s="57"/>
    </row>
    <row r="217" customFormat="false" ht="15" hidden="false" customHeight="false" outlineLevel="0" collapsed="false">
      <c r="A217" s="11" t="s">
        <v>102</v>
      </c>
      <c r="B217" s="11" t="s">
        <v>35</v>
      </c>
      <c r="C217" s="28" t="n">
        <v>550950</v>
      </c>
      <c r="D217" s="4" t="s">
        <v>498</v>
      </c>
      <c r="E217" s="4" t="s">
        <v>85</v>
      </c>
      <c r="F217" s="5" t="s">
        <v>37</v>
      </c>
      <c r="G217" s="6" t="n">
        <v>980</v>
      </c>
      <c r="H217" s="6" t="n">
        <f aca="false">G217</f>
        <v>980</v>
      </c>
      <c r="I217" s="6" t="n">
        <v>1000</v>
      </c>
      <c r="J217" s="4" t="s">
        <v>63</v>
      </c>
      <c r="M217" s="8" t="n">
        <v>43323</v>
      </c>
      <c r="P217" s="9" t="n">
        <v>0</v>
      </c>
      <c r="Q217" s="9" t="n">
        <f aca="false">P217</f>
        <v>0</v>
      </c>
      <c r="S217" s="9" t="n">
        <v>53900</v>
      </c>
      <c r="T217" s="9" t="n">
        <f aca="false">S217</f>
        <v>53900</v>
      </c>
      <c r="U217" s="63" t="n">
        <v>56400</v>
      </c>
      <c r="V217" s="9" t="n">
        <f aca="false">U217</f>
        <v>56400</v>
      </c>
      <c r="W217" s="44" t="n">
        <f aca="false">S217/G217</f>
        <v>55</v>
      </c>
      <c r="X217" s="9" t="s">
        <v>57</v>
      </c>
      <c r="Y217" s="40"/>
      <c r="Z217" s="43"/>
      <c r="AA217" s="5" t="s">
        <v>40</v>
      </c>
      <c r="AB217" s="4" t="s">
        <v>500</v>
      </c>
      <c r="AC217" s="15" t="n">
        <v>61.5</v>
      </c>
      <c r="AE217" s="57"/>
    </row>
    <row r="218" customFormat="false" ht="15" hidden="false" customHeight="false" outlineLevel="0" collapsed="false">
      <c r="A218" s="11" t="s">
        <v>102</v>
      </c>
      <c r="B218" s="11" t="s">
        <v>35</v>
      </c>
      <c r="C218" s="28" t="n">
        <v>550950</v>
      </c>
      <c r="D218" s="4" t="s">
        <v>498</v>
      </c>
      <c r="E218" s="4" t="s">
        <v>89</v>
      </c>
      <c r="F218" s="5" t="s">
        <v>37</v>
      </c>
      <c r="G218" s="6" t="n">
        <v>980</v>
      </c>
      <c r="H218" s="6" t="n">
        <f aca="false">G218</f>
        <v>980</v>
      </c>
      <c r="I218" s="6" t="n">
        <v>1000</v>
      </c>
      <c r="J218" s="4" t="s">
        <v>501</v>
      </c>
      <c r="K218" s="7" t="n">
        <v>45210</v>
      </c>
      <c r="L218" s="8" t="n">
        <v>46305</v>
      </c>
      <c r="P218" s="9" t="n">
        <v>52800</v>
      </c>
      <c r="Q218" s="9" t="n">
        <f aca="false">P218</f>
        <v>52800</v>
      </c>
      <c r="S218" s="9" t="n">
        <v>53900</v>
      </c>
      <c r="T218" s="9" t="n">
        <f aca="false">S218</f>
        <v>53900</v>
      </c>
      <c r="U218" s="63" t="n">
        <v>56400</v>
      </c>
      <c r="V218" s="9" t="n">
        <f aca="false">U218</f>
        <v>56400</v>
      </c>
      <c r="W218" s="44" t="n">
        <f aca="false">S218/G218</f>
        <v>55</v>
      </c>
      <c r="X218" s="9" t="s">
        <v>123</v>
      </c>
      <c r="Y218" s="40"/>
      <c r="Z218" s="43"/>
      <c r="AA218" s="5" t="s">
        <v>40</v>
      </c>
      <c r="AE218" s="57"/>
    </row>
    <row r="219" customFormat="false" ht="15" hidden="false" customHeight="false" outlineLevel="0" collapsed="false">
      <c r="A219" s="11" t="s">
        <v>102</v>
      </c>
      <c r="B219" s="11" t="s">
        <v>35</v>
      </c>
      <c r="C219" s="28" t="n">
        <v>550950</v>
      </c>
      <c r="D219" s="4" t="s">
        <v>498</v>
      </c>
      <c r="E219" s="4" t="s">
        <v>90</v>
      </c>
      <c r="F219" s="5" t="s">
        <v>37</v>
      </c>
      <c r="G219" s="6" t="n">
        <v>836</v>
      </c>
      <c r="H219" s="6" t="n">
        <f aca="false">G219</f>
        <v>836</v>
      </c>
      <c r="I219" s="6" t="n">
        <v>1000</v>
      </c>
      <c r="J219" s="4" t="s">
        <v>502</v>
      </c>
      <c r="K219" s="7" t="n">
        <v>44869</v>
      </c>
      <c r="L219" s="8" t="n">
        <v>46694</v>
      </c>
      <c r="O219" s="8" t="n">
        <v>45964</v>
      </c>
      <c r="P219" s="9" t="n">
        <v>48300</v>
      </c>
      <c r="Q219" s="9" t="n">
        <f aca="false">P219</f>
        <v>48300</v>
      </c>
      <c r="S219" s="9" t="n">
        <v>46000</v>
      </c>
      <c r="T219" s="9" t="n">
        <f aca="false">S219</f>
        <v>46000</v>
      </c>
      <c r="U219" s="63" t="n">
        <v>48100</v>
      </c>
      <c r="V219" s="9" t="n">
        <f aca="false">U219</f>
        <v>48100</v>
      </c>
      <c r="W219" s="44" t="n">
        <f aca="false">S219/G219</f>
        <v>55.0239234449761</v>
      </c>
      <c r="X219" s="9" t="s">
        <v>123</v>
      </c>
      <c r="Y219" s="40"/>
      <c r="Z219" s="43"/>
      <c r="AA219" s="5" t="s">
        <v>40</v>
      </c>
      <c r="AB219" s="4" t="s">
        <v>73</v>
      </c>
      <c r="AE219" s="57"/>
    </row>
    <row r="220" customFormat="false" ht="15" hidden="false" customHeight="false" outlineLevel="0" collapsed="false">
      <c r="A220" s="11" t="s">
        <v>102</v>
      </c>
      <c r="B220" s="11" t="s">
        <v>35</v>
      </c>
      <c r="C220" s="28" t="n">
        <v>550950</v>
      </c>
      <c r="D220" s="4" t="s">
        <v>498</v>
      </c>
      <c r="E220" s="4" t="s">
        <v>114</v>
      </c>
      <c r="F220" s="5" t="s">
        <v>37</v>
      </c>
      <c r="G220" s="6" t="n">
        <v>830</v>
      </c>
      <c r="H220" s="6" t="n">
        <f aca="false">G220</f>
        <v>830</v>
      </c>
      <c r="I220" s="6" t="n">
        <v>1000</v>
      </c>
      <c r="J220" s="4" t="s">
        <v>502</v>
      </c>
      <c r="K220" s="7" t="n">
        <v>45436</v>
      </c>
      <c r="L220" s="8" t="n">
        <v>46694</v>
      </c>
      <c r="O220" s="8" t="n">
        <v>45964</v>
      </c>
      <c r="P220" s="9" t="n">
        <v>47725</v>
      </c>
      <c r="Q220" s="9" t="n">
        <f aca="false">P220</f>
        <v>47725</v>
      </c>
      <c r="S220" s="9" t="n">
        <v>45700</v>
      </c>
      <c r="T220" s="9" t="n">
        <f aca="false">S220</f>
        <v>45700</v>
      </c>
      <c r="U220" s="63" t="n">
        <v>47700</v>
      </c>
      <c r="V220" s="9" t="n">
        <f aca="false">U220</f>
        <v>47700</v>
      </c>
      <c r="W220" s="44" t="n">
        <f aca="false">S220/G220</f>
        <v>55.0602409638554</v>
      </c>
      <c r="X220" s="9" t="s">
        <v>57</v>
      </c>
      <c r="Y220" s="40"/>
      <c r="Z220" s="43"/>
      <c r="AA220" s="5" t="s">
        <v>40</v>
      </c>
      <c r="AB220" s="4" t="s">
        <v>73</v>
      </c>
      <c r="AE220" s="57"/>
    </row>
    <row r="221" customFormat="false" ht="15" hidden="false" customHeight="false" outlineLevel="0" collapsed="false">
      <c r="A221" s="11" t="s">
        <v>102</v>
      </c>
      <c r="B221" s="11" t="s">
        <v>35</v>
      </c>
      <c r="C221" s="28" t="n">
        <v>550950</v>
      </c>
      <c r="D221" s="4" t="s">
        <v>498</v>
      </c>
      <c r="E221" s="4" t="s">
        <v>176</v>
      </c>
      <c r="F221" s="5" t="s">
        <v>37</v>
      </c>
      <c r="G221" s="6" t="n">
        <v>685</v>
      </c>
      <c r="H221" s="6" t="n">
        <f aca="false">G221</f>
        <v>685</v>
      </c>
      <c r="I221" s="6" t="n">
        <v>750</v>
      </c>
      <c r="J221" s="4" t="s">
        <v>63</v>
      </c>
      <c r="M221" s="8" t="n">
        <v>45627</v>
      </c>
      <c r="P221" s="9" t="n">
        <v>0</v>
      </c>
      <c r="Q221" s="9" t="n">
        <f aca="false">P221</f>
        <v>0</v>
      </c>
      <c r="S221" s="9" t="n">
        <v>37700</v>
      </c>
      <c r="T221" s="9" t="n">
        <f aca="false">S221</f>
        <v>37700</v>
      </c>
      <c r="U221" s="63" t="n">
        <v>39400</v>
      </c>
      <c r="V221" s="9" t="n">
        <f aca="false">U221</f>
        <v>39400</v>
      </c>
      <c r="W221" s="44" t="n">
        <f aca="false">S221/G221</f>
        <v>55.036496350365</v>
      </c>
      <c r="X221" s="9" t="s">
        <v>123</v>
      </c>
      <c r="Y221" s="40"/>
      <c r="Z221" s="43"/>
      <c r="AA221" s="5" t="s">
        <v>40</v>
      </c>
      <c r="AB221" s="4" t="s">
        <v>64</v>
      </c>
      <c r="AE221" s="57"/>
    </row>
    <row r="222" customFormat="false" ht="37.3" hidden="false" customHeight="false" outlineLevel="0" collapsed="false">
      <c r="A222" s="11" t="s">
        <v>102</v>
      </c>
      <c r="B222" s="11" t="s">
        <v>35</v>
      </c>
      <c r="C222" s="28" t="n">
        <v>550730</v>
      </c>
      <c r="D222" s="4" t="s">
        <v>503</v>
      </c>
      <c r="E222" s="4" t="s">
        <v>108</v>
      </c>
      <c r="F222" s="5" t="s">
        <v>229</v>
      </c>
      <c r="G222" s="6" t="n">
        <v>1946</v>
      </c>
      <c r="H222" s="6" t="n">
        <f aca="false">G222</f>
        <v>1946</v>
      </c>
      <c r="I222" s="6" t="n">
        <v>2000</v>
      </c>
      <c r="J222" s="4" t="s">
        <v>504</v>
      </c>
      <c r="K222" s="7" t="n">
        <v>45457</v>
      </c>
      <c r="L222" s="8" t="n">
        <v>47282</v>
      </c>
      <c r="O222" s="8" t="n">
        <v>46186</v>
      </c>
      <c r="P222" s="9" t="n">
        <v>94417</v>
      </c>
      <c r="Q222" s="9" t="n">
        <f aca="false">P222</f>
        <v>94417</v>
      </c>
      <c r="S222" s="9" t="n">
        <v>86800</v>
      </c>
      <c r="T222" s="9" t="n">
        <f aca="false">S222</f>
        <v>86800</v>
      </c>
      <c r="U222" s="63" t="n">
        <v>94000</v>
      </c>
      <c r="V222" s="9" t="n">
        <f aca="false">U222</f>
        <v>94000</v>
      </c>
      <c r="W222" s="44" t="n">
        <f aca="false">S222/G222</f>
        <v>44.6043165467626</v>
      </c>
      <c r="X222" s="9" t="s">
        <v>123</v>
      </c>
      <c r="Y222" s="40"/>
      <c r="AA222" s="5" t="s">
        <v>40</v>
      </c>
      <c r="AB222" s="4" t="s">
        <v>505</v>
      </c>
      <c r="AE222" s="57"/>
    </row>
    <row r="223" customFormat="false" ht="15" hidden="false" customHeight="false" outlineLevel="0" collapsed="false">
      <c r="A223" s="11" t="s">
        <v>102</v>
      </c>
      <c r="B223" s="11" t="s">
        <v>35</v>
      </c>
      <c r="C223" s="28" t="n">
        <v>550730</v>
      </c>
      <c r="D223" s="4" t="s">
        <v>503</v>
      </c>
      <c r="E223" s="4" t="s">
        <v>85</v>
      </c>
      <c r="F223" s="5" t="s">
        <v>37</v>
      </c>
      <c r="G223" s="6" t="n">
        <v>804</v>
      </c>
      <c r="H223" s="6" t="n">
        <f aca="false">G223</f>
        <v>804</v>
      </c>
      <c r="I223" s="6" t="n">
        <v>750</v>
      </c>
      <c r="J223" s="4" t="s">
        <v>63</v>
      </c>
      <c r="M223" s="8" t="n">
        <v>43132</v>
      </c>
      <c r="P223" s="9" t="n">
        <v>0</v>
      </c>
      <c r="Q223" s="9" t="n">
        <f aca="false">P223</f>
        <v>0</v>
      </c>
      <c r="S223" s="9" t="n">
        <v>44200</v>
      </c>
      <c r="T223" s="9" t="n">
        <f aca="false">S223</f>
        <v>44200</v>
      </c>
      <c r="U223" s="63" t="n">
        <v>46200</v>
      </c>
      <c r="V223" s="9" t="n">
        <f aca="false">U223</f>
        <v>46200</v>
      </c>
      <c r="W223" s="44" t="n">
        <f aca="false">S223/G223</f>
        <v>54.9751243781095</v>
      </c>
      <c r="X223" s="9" t="s">
        <v>123</v>
      </c>
      <c r="Y223" s="40"/>
      <c r="AA223" s="5" t="s">
        <v>40</v>
      </c>
      <c r="AB223" s="58" t="s">
        <v>506</v>
      </c>
      <c r="AC223" s="15" t="n">
        <v>62.5</v>
      </c>
      <c r="AD223" s="4" t="n">
        <v>1</v>
      </c>
      <c r="AE223" s="57" t="n">
        <v>2</v>
      </c>
      <c r="AF223" s="4" t="s">
        <v>54</v>
      </c>
    </row>
    <row r="224" customFormat="false" ht="15" hidden="false" customHeight="false" outlineLevel="0" collapsed="false">
      <c r="A224" s="11" t="s">
        <v>102</v>
      </c>
      <c r="B224" s="11" t="s">
        <v>35</v>
      </c>
      <c r="C224" s="28" t="n">
        <v>550730</v>
      </c>
      <c r="D224" s="4" t="s">
        <v>503</v>
      </c>
      <c r="E224" s="4" t="s">
        <v>89</v>
      </c>
      <c r="F224" s="5" t="s">
        <v>37</v>
      </c>
      <c r="G224" s="6" t="n">
        <v>813</v>
      </c>
      <c r="H224" s="6" t="n">
        <f aca="false">G224</f>
        <v>813</v>
      </c>
      <c r="I224" s="6" t="n">
        <v>750</v>
      </c>
      <c r="J224" s="4" t="s">
        <v>63</v>
      </c>
      <c r="M224" s="8" t="n">
        <v>42819</v>
      </c>
      <c r="P224" s="9" t="n">
        <v>0</v>
      </c>
      <c r="Q224" s="9" t="n">
        <f aca="false">P224</f>
        <v>0</v>
      </c>
      <c r="R224" s="94"/>
      <c r="S224" s="9" t="n">
        <v>44700</v>
      </c>
      <c r="T224" s="9" t="n">
        <f aca="false">S224</f>
        <v>44700</v>
      </c>
      <c r="U224" s="63" t="n">
        <v>46700</v>
      </c>
      <c r="V224" s="9" t="n">
        <f aca="false">U224</f>
        <v>46700</v>
      </c>
      <c r="W224" s="44" t="n">
        <f aca="false">S224/G224</f>
        <v>54.9815498154982</v>
      </c>
      <c r="X224" s="9" t="s">
        <v>123</v>
      </c>
      <c r="Y224" s="40"/>
      <c r="AA224" s="5" t="s">
        <v>40</v>
      </c>
      <c r="AB224" s="58" t="s">
        <v>506</v>
      </c>
      <c r="AC224" s="15" t="n">
        <v>62.5</v>
      </c>
      <c r="AD224" s="4" t="n">
        <v>1</v>
      </c>
      <c r="AE224" s="57" t="n">
        <v>2</v>
      </c>
      <c r="AF224" s="4" t="s">
        <v>54</v>
      </c>
    </row>
    <row r="225" customFormat="false" ht="15" hidden="false" customHeight="false" outlineLevel="0" collapsed="false">
      <c r="A225" s="11" t="s">
        <v>102</v>
      </c>
      <c r="B225" s="11" t="s">
        <v>35</v>
      </c>
      <c r="C225" s="28" t="n">
        <v>550730</v>
      </c>
      <c r="D225" s="4" t="s">
        <v>503</v>
      </c>
      <c r="E225" s="4" t="s">
        <v>90</v>
      </c>
      <c r="F225" s="5" t="s">
        <v>37</v>
      </c>
      <c r="G225" s="6" t="n">
        <v>791</v>
      </c>
      <c r="H225" s="6" t="n">
        <f aca="false">G225</f>
        <v>791</v>
      </c>
      <c r="I225" s="6" t="n">
        <v>750</v>
      </c>
      <c r="J225" s="4" t="s">
        <v>507</v>
      </c>
      <c r="K225" s="7" t="n">
        <v>45533</v>
      </c>
      <c r="L225" s="8" t="n">
        <v>47358</v>
      </c>
      <c r="P225" s="9" t="n">
        <v>46273</v>
      </c>
      <c r="Q225" s="9" t="n">
        <f aca="false">P225</f>
        <v>46273</v>
      </c>
      <c r="S225" s="9" t="n">
        <v>43500</v>
      </c>
      <c r="T225" s="9" t="n">
        <f aca="false">S225</f>
        <v>43500</v>
      </c>
      <c r="U225" s="63" t="n">
        <v>45500</v>
      </c>
      <c r="V225" s="9" t="n">
        <f aca="false">U225</f>
        <v>45500</v>
      </c>
      <c r="W225" s="44" t="n">
        <f aca="false">S225/G225</f>
        <v>54.9936788874842</v>
      </c>
      <c r="X225" s="9" t="s">
        <v>123</v>
      </c>
      <c r="Y225" s="40"/>
      <c r="AA225" s="5" t="s">
        <v>40</v>
      </c>
      <c r="AD225" s="58"/>
      <c r="AE225" s="59"/>
      <c r="AF225" s="58"/>
    </row>
    <row r="226" customFormat="false" ht="15" hidden="false" customHeight="false" outlineLevel="0" collapsed="false">
      <c r="A226" s="11" t="s">
        <v>102</v>
      </c>
      <c r="B226" s="11" t="s">
        <v>35</v>
      </c>
      <c r="C226" s="28" t="n">
        <v>550730</v>
      </c>
      <c r="D226" s="4" t="s">
        <v>503</v>
      </c>
      <c r="E226" s="4" t="s">
        <v>114</v>
      </c>
      <c r="F226" s="5" t="s">
        <v>37</v>
      </c>
      <c r="G226" s="6" t="n">
        <v>797</v>
      </c>
      <c r="H226" s="6" t="n">
        <f aca="false">G226</f>
        <v>797</v>
      </c>
      <c r="I226" s="6" t="n">
        <v>750</v>
      </c>
      <c r="J226" s="4" t="s">
        <v>63</v>
      </c>
      <c r="M226" s="8" t="n">
        <v>44439</v>
      </c>
      <c r="P226" s="9" t="n">
        <v>0</v>
      </c>
      <c r="Q226" s="9" t="n">
        <f aca="false">P226</f>
        <v>0</v>
      </c>
      <c r="S226" s="9" t="n">
        <v>43800</v>
      </c>
      <c r="T226" s="9" t="n">
        <f aca="false">S226</f>
        <v>43800</v>
      </c>
      <c r="U226" s="63" t="n">
        <v>45800</v>
      </c>
      <c r="V226" s="9" t="n">
        <f aca="false">U226</f>
        <v>45800</v>
      </c>
      <c r="W226" s="44" t="n">
        <f aca="false">S226/G226</f>
        <v>54.9560853199498</v>
      </c>
      <c r="X226" s="9" t="s">
        <v>123</v>
      </c>
      <c r="Y226" s="40"/>
      <c r="AA226" s="5" t="s">
        <v>40</v>
      </c>
      <c r="AB226" s="58" t="s">
        <v>506</v>
      </c>
      <c r="AC226" s="15" t="n">
        <v>62.5</v>
      </c>
      <c r="AD226" s="4" t="n">
        <v>1</v>
      </c>
      <c r="AE226" s="57" t="n">
        <v>2</v>
      </c>
      <c r="AF226" s="4" t="s">
        <v>54</v>
      </c>
    </row>
    <row r="227" customFormat="false" ht="15" hidden="false" customHeight="false" outlineLevel="0" collapsed="false">
      <c r="A227" s="11" t="s">
        <v>102</v>
      </c>
      <c r="B227" s="11" t="s">
        <v>35</v>
      </c>
      <c r="C227" s="28" t="n">
        <v>550730</v>
      </c>
      <c r="D227" s="4" t="s">
        <v>503</v>
      </c>
      <c r="E227" s="4" t="s">
        <v>176</v>
      </c>
      <c r="F227" s="5" t="s">
        <v>37</v>
      </c>
      <c r="G227" s="6" t="n">
        <v>747</v>
      </c>
      <c r="H227" s="6" t="n">
        <f aca="false">G227</f>
        <v>747</v>
      </c>
      <c r="I227" s="6" t="n">
        <v>750</v>
      </c>
      <c r="J227" s="4" t="s">
        <v>508</v>
      </c>
      <c r="K227" s="7" t="n">
        <v>45553</v>
      </c>
      <c r="L227" s="8" t="n">
        <v>46282</v>
      </c>
      <c r="P227" s="9" t="n">
        <v>41250</v>
      </c>
      <c r="Q227" s="9" t="n">
        <f aca="false">P227</f>
        <v>41250</v>
      </c>
      <c r="S227" s="9" t="n">
        <v>39200</v>
      </c>
      <c r="T227" s="9" t="n">
        <f aca="false">S227</f>
        <v>39200</v>
      </c>
      <c r="U227" s="63" t="n">
        <v>41250</v>
      </c>
      <c r="V227" s="9" t="n">
        <f aca="false">U227</f>
        <v>41250</v>
      </c>
      <c r="W227" s="44" t="n">
        <f aca="false">S227/G227</f>
        <v>52.4765729585007</v>
      </c>
      <c r="X227" s="9" t="s">
        <v>123</v>
      </c>
      <c r="Y227" s="40"/>
      <c r="AA227" s="5" t="s">
        <v>40</v>
      </c>
      <c r="AE227" s="57"/>
    </row>
    <row r="228" customFormat="false" ht="15" hidden="false" customHeight="false" outlineLevel="0" collapsed="false">
      <c r="A228" s="11" t="s">
        <v>228</v>
      </c>
      <c r="B228" s="11" t="s">
        <v>35</v>
      </c>
      <c r="C228" s="28" t="n">
        <v>550800</v>
      </c>
      <c r="D228" s="4" t="s">
        <v>509</v>
      </c>
      <c r="E228" s="4" t="s">
        <v>177</v>
      </c>
      <c r="F228" s="5" t="s">
        <v>229</v>
      </c>
      <c r="G228" s="6" t="n">
        <v>424</v>
      </c>
      <c r="H228" s="6" t="n">
        <f aca="false">G228</f>
        <v>424</v>
      </c>
      <c r="I228" s="6" t="n">
        <v>500</v>
      </c>
      <c r="J228" s="4" t="s">
        <v>510</v>
      </c>
      <c r="K228" s="7" t="n">
        <v>45262</v>
      </c>
      <c r="L228" s="8" t="n">
        <v>47088</v>
      </c>
      <c r="P228" s="9" t="n">
        <v>11872</v>
      </c>
      <c r="Q228" s="9" t="n">
        <f aca="false">P228</f>
        <v>11872</v>
      </c>
      <c r="S228" s="9" t="n">
        <v>11660</v>
      </c>
      <c r="T228" s="9" t="n">
        <f aca="false">S228</f>
        <v>11660</v>
      </c>
      <c r="U228" s="63" t="n">
        <v>11660</v>
      </c>
      <c r="V228" s="9" t="n">
        <f aca="false">U228</f>
        <v>11660</v>
      </c>
      <c r="W228" s="44" t="n">
        <f aca="false">S228/G228</f>
        <v>27.5</v>
      </c>
      <c r="X228" s="9" t="s">
        <v>123</v>
      </c>
      <c r="Y228" s="40"/>
      <c r="Z228" s="43"/>
      <c r="AA228" s="5" t="s">
        <v>40</v>
      </c>
      <c r="AC228" s="56"/>
      <c r="AE228" s="57"/>
    </row>
    <row r="229" customFormat="false" ht="15" hidden="false" customHeight="false" outlineLevel="0" collapsed="false">
      <c r="A229" s="11" t="s">
        <v>228</v>
      </c>
      <c r="B229" s="11" t="s">
        <v>35</v>
      </c>
      <c r="C229" s="28" t="n">
        <v>550800</v>
      </c>
      <c r="D229" s="4" t="s">
        <v>509</v>
      </c>
      <c r="E229" s="4" t="s">
        <v>511</v>
      </c>
      <c r="F229" s="5" t="s">
        <v>46</v>
      </c>
      <c r="G229" s="6" t="n">
        <v>515</v>
      </c>
      <c r="H229" s="6" t="n">
        <f aca="false">G229</f>
        <v>515</v>
      </c>
      <c r="I229" s="6" t="n">
        <v>500</v>
      </c>
      <c r="J229" s="4" t="s">
        <v>512</v>
      </c>
      <c r="K229" s="7" t="n">
        <v>44756</v>
      </c>
      <c r="L229" s="8" t="n">
        <v>47154</v>
      </c>
      <c r="N229" s="8" t="n">
        <v>45328</v>
      </c>
      <c r="P229" s="9" t="n">
        <v>37500</v>
      </c>
      <c r="Q229" s="9" t="n">
        <f aca="false">P229</f>
        <v>37500</v>
      </c>
      <c r="S229" s="9" t="n">
        <v>37502</v>
      </c>
      <c r="T229" s="9" t="n">
        <f aca="false">S229</f>
        <v>37502</v>
      </c>
      <c r="U229" s="63" t="n">
        <v>37500</v>
      </c>
      <c r="V229" s="9" t="n">
        <f aca="false">U229</f>
        <v>37500</v>
      </c>
      <c r="W229" s="44" t="n">
        <f aca="false">S229/G229</f>
        <v>72.8194174757282</v>
      </c>
      <c r="X229" s="9" t="s">
        <v>52</v>
      </c>
      <c r="Y229" s="40"/>
      <c r="Z229" s="43"/>
      <c r="AA229" s="5" t="s">
        <v>40</v>
      </c>
      <c r="AE229" s="57"/>
    </row>
    <row r="230" customFormat="false" ht="15" hidden="false" customHeight="false" outlineLevel="0" collapsed="false">
      <c r="A230" s="11" t="s">
        <v>228</v>
      </c>
      <c r="B230" s="11" t="s">
        <v>35</v>
      </c>
      <c r="C230" s="28" t="n">
        <v>550800</v>
      </c>
      <c r="D230" s="4" t="s">
        <v>509</v>
      </c>
      <c r="E230" s="4" t="s">
        <v>513</v>
      </c>
      <c r="F230" s="5" t="s">
        <v>37</v>
      </c>
      <c r="G230" s="6" t="n">
        <v>172</v>
      </c>
      <c r="H230" s="6" t="n">
        <f aca="false">G230</f>
        <v>172</v>
      </c>
      <c r="I230" s="6" t="n">
        <v>250</v>
      </c>
      <c r="J230" s="4" t="s">
        <v>514</v>
      </c>
      <c r="K230" s="7" t="n">
        <v>44750</v>
      </c>
      <c r="L230" s="8" t="n">
        <v>46575</v>
      </c>
      <c r="P230" s="9" t="n">
        <v>9400</v>
      </c>
      <c r="Q230" s="9" t="n">
        <f aca="false">P230</f>
        <v>9400</v>
      </c>
      <c r="S230" s="9" t="n">
        <v>9460</v>
      </c>
      <c r="T230" s="9" t="n">
        <f aca="false">S230</f>
        <v>9460</v>
      </c>
      <c r="U230" s="63" t="n">
        <v>11180</v>
      </c>
      <c r="V230" s="9" t="n">
        <f aca="false">U230</f>
        <v>11180</v>
      </c>
      <c r="W230" s="44" t="n">
        <f aca="false">S230/G230</f>
        <v>55</v>
      </c>
      <c r="X230" s="9" t="s">
        <v>123</v>
      </c>
      <c r="Y230" s="40"/>
      <c r="Z230" s="43"/>
      <c r="AA230" s="5" t="s">
        <v>40</v>
      </c>
      <c r="AE230" s="57"/>
    </row>
    <row r="231" customFormat="false" ht="15" hidden="false" customHeight="false" outlineLevel="0" collapsed="false">
      <c r="A231" s="11" t="s">
        <v>228</v>
      </c>
      <c r="B231" s="11" t="s">
        <v>35</v>
      </c>
      <c r="C231" s="28" t="n">
        <v>550800</v>
      </c>
      <c r="D231" s="4" t="s">
        <v>509</v>
      </c>
      <c r="E231" s="4" t="s">
        <v>515</v>
      </c>
      <c r="F231" s="5" t="s">
        <v>37</v>
      </c>
      <c r="G231" s="6" t="n">
        <v>117</v>
      </c>
      <c r="H231" s="6" t="n">
        <f aca="false">G231</f>
        <v>117</v>
      </c>
      <c r="I231" s="6" t="n">
        <v>250</v>
      </c>
      <c r="J231" s="4" t="s">
        <v>516</v>
      </c>
      <c r="K231" s="7" t="n">
        <v>45194</v>
      </c>
      <c r="L231" s="8" t="n">
        <v>47020</v>
      </c>
      <c r="O231" s="8" t="n">
        <v>46289</v>
      </c>
      <c r="P231" s="9" t="n">
        <v>7100</v>
      </c>
      <c r="Q231" s="9" t="n">
        <f aca="false">P231</f>
        <v>7100</v>
      </c>
      <c r="S231" s="9" t="n">
        <v>7000</v>
      </c>
      <c r="T231" s="9" t="n">
        <f aca="false">S231</f>
        <v>7000</v>
      </c>
      <c r="U231" s="63" t="n">
        <v>7605</v>
      </c>
      <c r="V231" s="9" t="n">
        <f aca="false">U231</f>
        <v>7605</v>
      </c>
      <c r="W231" s="44" t="n">
        <f aca="false">S231/G231</f>
        <v>59.8290598290598</v>
      </c>
      <c r="X231" s="9" t="s">
        <v>123</v>
      </c>
      <c r="Y231" s="40"/>
      <c r="Z231" s="43"/>
      <c r="AA231" s="5" t="s">
        <v>40</v>
      </c>
      <c r="AB231" s="4" t="s">
        <v>73</v>
      </c>
      <c r="AE231" s="57"/>
    </row>
    <row r="232" customFormat="false" ht="15" hidden="false" customHeight="false" outlineLevel="0" collapsed="false">
      <c r="A232" s="11" t="s">
        <v>228</v>
      </c>
      <c r="B232" s="11" t="s">
        <v>35</v>
      </c>
      <c r="C232" s="28" t="n">
        <v>550800</v>
      </c>
      <c r="D232" s="4" t="s">
        <v>509</v>
      </c>
      <c r="E232" s="4" t="s">
        <v>517</v>
      </c>
      <c r="F232" s="5" t="s">
        <v>37</v>
      </c>
      <c r="G232" s="6" t="n">
        <v>170</v>
      </c>
      <c r="H232" s="6" t="n">
        <f aca="false">G232</f>
        <v>170</v>
      </c>
      <c r="I232" s="6" t="n">
        <v>250</v>
      </c>
      <c r="J232" s="4" t="s">
        <v>518</v>
      </c>
      <c r="K232" s="7" t="n">
        <v>45632</v>
      </c>
      <c r="L232" s="8" t="n">
        <v>47457</v>
      </c>
      <c r="O232" s="8" t="n">
        <v>46519</v>
      </c>
      <c r="P232" s="9" t="n">
        <v>9400</v>
      </c>
      <c r="Q232" s="9" t="n">
        <f aca="false">P232</f>
        <v>9400</v>
      </c>
      <c r="S232" s="9" t="n">
        <v>8925</v>
      </c>
      <c r="T232" s="9" t="n">
        <f aca="false">S232</f>
        <v>8925</v>
      </c>
      <c r="U232" s="63" t="n">
        <v>11050</v>
      </c>
      <c r="V232" s="9" t="n">
        <f aca="false">U232</f>
        <v>11050</v>
      </c>
      <c r="W232" s="44" t="n">
        <f aca="false">S232/G232</f>
        <v>52.5</v>
      </c>
      <c r="X232" s="9" t="s">
        <v>123</v>
      </c>
      <c r="Y232" s="40"/>
      <c r="Z232" s="43"/>
      <c r="AA232" s="5" t="s">
        <v>40</v>
      </c>
      <c r="AB232" s="4" t="s">
        <v>519</v>
      </c>
      <c r="AE232" s="57"/>
    </row>
    <row r="233" customFormat="false" ht="15" hidden="false" customHeight="false" outlineLevel="0" collapsed="false">
      <c r="A233" s="11" t="s">
        <v>228</v>
      </c>
      <c r="B233" s="11" t="s">
        <v>35</v>
      </c>
      <c r="C233" s="28" t="n">
        <v>550800</v>
      </c>
      <c r="D233" s="4" t="s">
        <v>509</v>
      </c>
      <c r="E233" s="4" t="s">
        <v>520</v>
      </c>
      <c r="F233" s="5" t="s">
        <v>37</v>
      </c>
      <c r="G233" s="6" t="n">
        <v>130</v>
      </c>
      <c r="H233" s="6" t="n">
        <f aca="false">G233</f>
        <v>130</v>
      </c>
      <c r="I233" s="6" t="n">
        <v>250</v>
      </c>
      <c r="J233" s="4" t="s">
        <v>521</v>
      </c>
      <c r="K233" s="7" t="n">
        <v>44762</v>
      </c>
      <c r="L233" s="8" t="n">
        <v>46587</v>
      </c>
      <c r="P233" s="9" t="n">
        <v>7605</v>
      </c>
      <c r="Q233" s="9" t="n">
        <f aca="false">P233</f>
        <v>7605</v>
      </c>
      <c r="S233" s="9" t="n">
        <v>7605</v>
      </c>
      <c r="T233" s="9" t="n">
        <f aca="false">S233</f>
        <v>7605</v>
      </c>
      <c r="U233" s="63" t="n">
        <v>8450</v>
      </c>
      <c r="V233" s="9" t="n">
        <f aca="false">U233</f>
        <v>8450</v>
      </c>
      <c r="W233" s="44" t="n">
        <f aca="false">S233/G233</f>
        <v>58.5</v>
      </c>
      <c r="X233" s="9" t="s">
        <v>123</v>
      </c>
      <c r="Y233" s="40"/>
      <c r="Z233" s="43"/>
      <c r="AA233" s="5" t="s">
        <v>40</v>
      </c>
      <c r="AE233" s="57"/>
    </row>
    <row r="234" customFormat="false" ht="15" hidden="false" customHeight="false" outlineLevel="0" collapsed="false">
      <c r="A234" s="11" t="s">
        <v>228</v>
      </c>
      <c r="B234" s="11" t="s">
        <v>35</v>
      </c>
      <c r="C234" s="28" t="n">
        <v>550800</v>
      </c>
      <c r="D234" s="4" t="s">
        <v>509</v>
      </c>
      <c r="E234" s="4" t="s">
        <v>522</v>
      </c>
      <c r="F234" s="5" t="s">
        <v>235</v>
      </c>
      <c r="G234" s="6" t="n">
        <v>600</v>
      </c>
      <c r="H234" s="6" t="n">
        <f aca="false">G234</f>
        <v>600</v>
      </c>
      <c r="I234" s="6" t="n">
        <v>500</v>
      </c>
      <c r="J234" s="4" t="s">
        <v>523</v>
      </c>
      <c r="K234" s="7" t="n">
        <v>45866</v>
      </c>
      <c r="L234" s="8" t="n">
        <v>46230</v>
      </c>
      <c r="P234" s="9" t="n">
        <v>41600</v>
      </c>
      <c r="Q234" s="9" t="n">
        <f aca="false">P234</f>
        <v>41600</v>
      </c>
      <c r="S234" s="9" t="n">
        <v>36140</v>
      </c>
      <c r="T234" s="9" t="n">
        <f aca="false">S234</f>
        <v>36140</v>
      </c>
      <c r="U234" s="63" t="n">
        <v>41600</v>
      </c>
      <c r="V234" s="9" t="n">
        <f aca="false">U234</f>
        <v>41600</v>
      </c>
      <c r="W234" s="44" t="n">
        <f aca="false">S234/G234</f>
        <v>60.2333333333333</v>
      </c>
      <c r="X234" s="9" t="s">
        <v>123</v>
      </c>
      <c r="Y234" s="40"/>
      <c r="Z234" s="43"/>
      <c r="AA234" s="5" t="s">
        <v>40</v>
      </c>
      <c r="AE234" s="57"/>
    </row>
    <row r="235" customFormat="false" ht="15" hidden="false" customHeight="false" outlineLevel="0" collapsed="false">
      <c r="A235" s="11" t="s">
        <v>44</v>
      </c>
      <c r="B235" s="11" t="s">
        <v>35</v>
      </c>
      <c r="C235" s="28" t="n">
        <v>550550</v>
      </c>
      <c r="D235" s="4" t="s">
        <v>524</v>
      </c>
      <c r="E235" s="4" t="s">
        <v>525</v>
      </c>
      <c r="F235" s="5" t="s">
        <v>526</v>
      </c>
      <c r="G235" s="6" t="n">
        <v>3664</v>
      </c>
      <c r="H235" s="6" t="n">
        <f aca="false">G235</f>
        <v>3664</v>
      </c>
      <c r="I235" s="6" t="n">
        <v>3500</v>
      </c>
      <c r="J235" s="4" t="s">
        <v>527</v>
      </c>
      <c r="K235" s="7" t="n">
        <v>40946</v>
      </c>
      <c r="L235" s="7" t="n">
        <v>46424</v>
      </c>
      <c r="M235" s="7"/>
      <c r="P235" s="9" t="n">
        <v>230000</v>
      </c>
      <c r="Q235" s="9" t="n">
        <f aca="false">P235</f>
        <v>230000</v>
      </c>
      <c r="S235" s="9" t="n">
        <v>225000</v>
      </c>
      <c r="T235" s="9" t="n">
        <f aca="false">S235</f>
        <v>225000</v>
      </c>
      <c r="U235" s="63" t="n">
        <v>201500</v>
      </c>
      <c r="V235" s="9" t="n">
        <f aca="false">U235</f>
        <v>201500</v>
      </c>
      <c r="W235" s="44" t="n">
        <f aca="false">S235/G235</f>
        <v>61.4082969432314</v>
      </c>
      <c r="X235" s="9" t="s">
        <v>52</v>
      </c>
      <c r="Y235" s="40"/>
      <c r="AA235" s="5" t="s">
        <v>40</v>
      </c>
      <c r="AB235" s="4" t="s">
        <v>528</v>
      </c>
      <c r="AE235" s="57"/>
    </row>
    <row r="236" customFormat="false" ht="19.4" hidden="false" customHeight="false" outlineLevel="0" collapsed="false">
      <c r="A236" s="11" t="s">
        <v>44</v>
      </c>
      <c r="B236" s="11" t="s">
        <v>35</v>
      </c>
      <c r="C236" s="28" t="n">
        <v>550550</v>
      </c>
      <c r="D236" s="4" t="s">
        <v>524</v>
      </c>
      <c r="E236" s="4" t="s">
        <v>529</v>
      </c>
      <c r="F236" s="5" t="s">
        <v>46</v>
      </c>
      <c r="G236" s="6" t="n">
        <v>1496</v>
      </c>
      <c r="H236" s="6" t="n">
        <f aca="false">G236</f>
        <v>1496</v>
      </c>
      <c r="I236" s="6" t="n">
        <v>1500</v>
      </c>
      <c r="J236" s="4" t="s">
        <v>530</v>
      </c>
      <c r="K236" s="7" t="n">
        <v>45178</v>
      </c>
      <c r="L236" s="8" t="n">
        <v>47004</v>
      </c>
      <c r="P236" s="9" t="n">
        <v>53200</v>
      </c>
      <c r="Q236" s="9" t="n">
        <f aca="false">P236</f>
        <v>53200</v>
      </c>
      <c r="S236" s="9" t="n">
        <v>53200</v>
      </c>
      <c r="T236" s="9" t="n">
        <f aca="false">S236</f>
        <v>53200</v>
      </c>
      <c r="U236" s="63" t="n">
        <v>58000</v>
      </c>
      <c r="V236" s="9" t="n">
        <f aca="false">U236</f>
        <v>58000</v>
      </c>
      <c r="W236" s="44" t="n">
        <f aca="false">S236/G236</f>
        <v>35.5614973262032</v>
      </c>
      <c r="X236" s="9" t="s">
        <v>52</v>
      </c>
      <c r="Y236" s="40"/>
      <c r="AA236" s="5" t="s">
        <v>40</v>
      </c>
      <c r="AB236" s="4" t="s">
        <v>531</v>
      </c>
      <c r="AE236" s="57"/>
    </row>
    <row r="237" customFormat="false" ht="19.4" hidden="false" customHeight="false" outlineLevel="0" collapsed="false">
      <c r="A237" s="11" t="s">
        <v>44</v>
      </c>
      <c r="B237" s="11" t="s">
        <v>35</v>
      </c>
      <c r="C237" s="28" t="n">
        <v>550550</v>
      </c>
      <c r="D237" s="4" t="s">
        <v>524</v>
      </c>
      <c r="E237" s="4" t="s">
        <v>532</v>
      </c>
      <c r="F237" s="5" t="s">
        <v>130</v>
      </c>
      <c r="G237" s="6" t="n">
        <v>1592</v>
      </c>
      <c r="H237" s="6" t="n">
        <f aca="false">G237</f>
        <v>1592</v>
      </c>
      <c r="I237" s="6" t="n">
        <v>1500</v>
      </c>
      <c r="J237" s="4" t="s">
        <v>533</v>
      </c>
      <c r="K237" s="7" t="n">
        <v>44663</v>
      </c>
      <c r="L237" s="8" t="n">
        <v>50141</v>
      </c>
      <c r="N237" s="8" t="n">
        <v>46489</v>
      </c>
      <c r="O237" s="8" t="n">
        <v>48315</v>
      </c>
      <c r="P237" s="9" t="n">
        <v>95000</v>
      </c>
      <c r="Q237" s="9" t="n">
        <f aca="false">P237</f>
        <v>95000</v>
      </c>
      <c r="S237" s="9" t="n">
        <v>100500</v>
      </c>
      <c r="T237" s="9" t="n">
        <f aca="false">S237</f>
        <v>100500</v>
      </c>
      <c r="U237" s="63" t="n">
        <v>95500</v>
      </c>
      <c r="V237" s="9" t="n">
        <f aca="false">U237</f>
        <v>95500</v>
      </c>
      <c r="W237" s="44" t="n">
        <f aca="false">S237/G237</f>
        <v>63.1281407035176</v>
      </c>
      <c r="X237" s="63" t="s">
        <v>52</v>
      </c>
      <c r="Y237" s="40"/>
      <c r="AA237" s="5" t="s">
        <v>40</v>
      </c>
      <c r="AB237" s="4" t="s">
        <v>534</v>
      </c>
      <c r="AE237" s="57"/>
    </row>
    <row r="238" customFormat="false" ht="15" hidden="false" customHeight="false" outlineLevel="0" collapsed="false">
      <c r="A238" s="11" t="s">
        <v>44</v>
      </c>
      <c r="B238" s="11" t="s">
        <v>35</v>
      </c>
      <c r="C238" s="28" t="n">
        <v>550550</v>
      </c>
      <c r="D238" s="4" t="s">
        <v>524</v>
      </c>
      <c r="E238" s="4" t="s">
        <v>535</v>
      </c>
      <c r="F238" s="5" t="s">
        <v>46</v>
      </c>
      <c r="G238" s="6" t="n">
        <v>1704</v>
      </c>
      <c r="H238" s="6" t="n">
        <f aca="false">G238</f>
        <v>1704</v>
      </c>
      <c r="I238" s="6" t="n">
        <v>1750</v>
      </c>
      <c r="J238" s="4" t="s">
        <v>536</v>
      </c>
      <c r="K238" s="7" t="n">
        <v>45111</v>
      </c>
      <c r="L238" s="8" t="n">
        <v>48763</v>
      </c>
      <c r="N238" s="8" t="n">
        <v>46938</v>
      </c>
      <c r="P238" s="9" t="n">
        <v>105000</v>
      </c>
      <c r="Q238" s="9" t="n">
        <f aca="false">P238</f>
        <v>105000</v>
      </c>
      <c r="S238" s="9" t="n">
        <v>96300</v>
      </c>
      <c r="T238" s="9" t="n">
        <f aca="false">S238</f>
        <v>96300</v>
      </c>
      <c r="U238" s="63" t="n">
        <v>102200</v>
      </c>
      <c r="V238" s="9" t="n">
        <f aca="false">U238</f>
        <v>102200</v>
      </c>
      <c r="W238" s="44" t="n">
        <f aca="false">S238/G238</f>
        <v>56.5140845070423</v>
      </c>
      <c r="X238" s="9" t="s">
        <v>52</v>
      </c>
      <c r="Y238" s="40"/>
      <c r="AA238" s="5" t="s">
        <v>40</v>
      </c>
      <c r="AE238" s="57"/>
    </row>
    <row r="239" customFormat="false" ht="15" hidden="false" customHeight="false" outlineLevel="0" collapsed="false">
      <c r="A239" s="11" t="s">
        <v>44</v>
      </c>
      <c r="B239" s="11" t="s">
        <v>35</v>
      </c>
      <c r="C239" s="28" t="n">
        <v>550550</v>
      </c>
      <c r="D239" s="4" t="s">
        <v>524</v>
      </c>
      <c r="E239" s="4" t="s">
        <v>135</v>
      </c>
      <c r="F239" s="5" t="s">
        <v>537</v>
      </c>
      <c r="G239" s="6" t="n">
        <v>2955</v>
      </c>
      <c r="H239" s="6" t="n">
        <f aca="false">G239</f>
        <v>2955</v>
      </c>
      <c r="I239" s="6" t="n">
        <v>3000</v>
      </c>
      <c r="J239" s="4" t="s">
        <v>538</v>
      </c>
      <c r="K239" s="7" t="n">
        <v>45329</v>
      </c>
      <c r="L239" s="8" t="n">
        <v>46059</v>
      </c>
      <c r="P239" s="9" t="n">
        <v>150000</v>
      </c>
      <c r="Q239" s="9" t="n">
        <f aca="false">P239</f>
        <v>150000</v>
      </c>
      <c r="S239" s="9" t="n">
        <v>180000</v>
      </c>
      <c r="T239" s="9" t="n">
        <f aca="false">S239</f>
        <v>180000</v>
      </c>
      <c r="U239" s="63" t="n">
        <v>177300</v>
      </c>
      <c r="V239" s="9" t="n">
        <f aca="false">U239</f>
        <v>177300</v>
      </c>
      <c r="W239" s="44" t="n">
        <f aca="false">S239/G239</f>
        <v>60.9137055837564</v>
      </c>
      <c r="X239" s="9" t="s">
        <v>39</v>
      </c>
      <c r="Y239" s="40"/>
      <c r="AA239" s="5" t="s">
        <v>40</v>
      </c>
      <c r="AE239" s="57"/>
    </row>
    <row r="240" customFormat="false" ht="15" hidden="false" customHeight="false" outlineLevel="0" collapsed="false">
      <c r="A240" s="11" t="s">
        <v>44</v>
      </c>
      <c r="B240" s="11" t="s">
        <v>35</v>
      </c>
      <c r="C240" s="28" t="n">
        <v>550550</v>
      </c>
      <c r="D240" s="4" t="s">
        <v>524</v>
      </c>
      <c r="E240" s="4" t="s">
        <v>133</v>
      </c>
      <c r="F240" s="5" t="s">
        <v>37</v>
      </c>
      <c r="G240" s="6" t="n">
        <v>388</v>
      </c>
      <c r="H240" s="6" t="n">
        <f aca="false">G240</f>
        <v>388</v>
      </c>
      <c r="I240" s="6" t="n">
        <v>500</v>
      </c>
      <c r="J240" s="4" t="s">
        <v>539</v>
      </c>
      <c r="K240" s="7" t="n">
        <v>45429</v>
      </c>
      <c r="L240" s="8" t="n">
        <v>47254</v>
      </c>
      <c r="O240" s="8" t="n">
        <v>46158</v>
      </c>
      <c r="P240" s="9" t="n">
        <v>20520</v>
      </c>
      <c r="Q240" s="9" t="n">
        <f aca="false">P240</f>
        <v>20520</v>
      </c>
      <c r="S240" s="9" t="n">
        <v>19000</v>
      </c>
      <c r="T240" s="9" t="n">
        <f aca="false">S240</f>
        <v>19000</v>
      </c>
      <c r="U240" s="63" t="n">
        <v>21000</v>
      </c>
      <c r="V240" s="9" t="n">
        <f aca="false">U240</f>
        <v>21000</v>
      </c>
      <c r="W240" s="44" t="n">
        <f aca="false">S240/G240</f>
        <v>48.9690721649485</v>
      </c>
      <c r="X240" s="9" t="s">
        <v>39</v>
      </c>
      <c r="Y240" s="40"/>
      <c r="AA240" s="5" t="s">
        <v>40</v>
      </c>
      <c r="AB240" s="4" t="s">
        <v>73</v>
      </c>
      <c r="AE240" s="57"/>
    </row>
    <row r="241" customFormat="false" ht="28.35" hidden="false" customHeight="false" outlineLevel="0" collapsed="false">
      <c r="A241" s="11" t="s">
        <v>44</v>
      </c>
      <c r="B241" s="11" t="s">
        <v>35</v>
      </c>
      <c r="C241" s="28" t="n">
        <v>550550</v>
      </c>
      <c r="D241" s="4" t="s">
        <v>524</v>
      </c>
      <c r="E241" s="4" t="s">
        <v>540</v>
      </c>
      <c r="F241" s="5" t="s">
        <v>37</v>
      </c>
      <c r="G241" s="6" t="n">
        <v>395</v>
      </c>
      <c r="H241" s="6" t="n">
        <f aca="false">G241</f>
        <v>395</v>
      </c>
      <c r="I241" s="6" t="n">
        <v>500</v>
      </c>
      <c r="J241" s="4" t="s">
        <v>541</v>
      </c>
      <c r="K241" s="7" t="n">
        <v>45450</v>
      </c>
      <c r="L241" s="8" t="n">
        <v>47275</v>
      </c>
      <c r="O241" s="8" t="n">
        <v>46574</v>
      </c>
      <c r="P241" s="9" t="n">
        <v>21850</v>
      </c>
      <c r="Q241" s="9" t="n">
        <f aca="false">P241</f>
        <v>21850</v>
      </c>
      <c r="S241" s="9" t="n">
        <v>18900</v>
      </c>
      <c r="T241" s="9" t="n">
        <f aca="false">S241</f>
        <v>18900</v>
      </c>
      <c r="U241" s="63" t="n">
        <v>22700</v>
      </c>
      <c r="V241" s="9" t="n">
        <f aca="false">U241</f>
        <v>22700</v>
      </c>
      <c r="W241" s="44" t="n">
        <f aca="false">S241/G241</f>
        <v>47.8481012658228</v>
      </c>
      <c r="X241" s="9" t="s">
        <v>39</v>
      </c>
      <c r="Y241" s="40"/>
      <c r="AA241" s="5" t="s">
        <v>40</v>
      </c>
      <c r="AB241" s="4" t="s">
        <v>542</v>
      </c>
      <c r="AE241" s="57"/>
    </row>
    <row r="242" customFormat="false" ht="37.3" hidden="false" customHeight="false" outlineLevel="0" collapsed="false">
      <c r="A242" s="11" t="s">
        <v>44</v>
      </c>
      <c r="B242" s="11" t="s">
        <v>35</v>
      </c>
      <c r="C242" s="28" t="n">
        <v>550550</v>
      </c>
      <c r="D242" s="4" t="s">
        <v>524</v>
      </c>
      <c r="E242" s="4" t="s">
        <v>138</v>
      </c>
      <c r="F242" s="5" t="s">
        <v>37</v>
      </c>
      <c r="G242" s="6" t="n">
        <v>2610</v>
      </c>
      <c r="H242" s="6" t="n">
        <f aca="false">G242</f>
        <v>2610</v>
      </c>
      <c r="I242" s="6" t="n">
        <v>2500</v>
      </c>
      <c r="J242" s="4" t="s">
        <v>543</v>
      </c>
      <c r="K242" s="7" t="n">
        <v>45846</v>
      </c>
      <c r="L242" s="8" t="n">
        <v>48402</v>
      </c>
      <c r="N242" s="8" t="n">
        <v>47672</v>
      </c>
      <c r="O242" s="8" t="n">
        <v>47671</v>
      </c>
      <c r="P242" s="9" t="n">
        <v>0</v>
      </c>
      <c r="Q242" s="9" t="n">
        <f aca="false">P242</f>
        <v>0</v>
      </c>
      <c r="S242" s="9" t="n">
        <v>182500</v>
      </c>
      <c r="T242" s="9" t="n">
        <f aca="false">S242</f>
        <v>182500</v>
      </c>
      <c r="U242" s="63" t="n">
        <v>151400</v>
      </c>
      <c r="V242" s="9" t="n">
        <f aca="false">U242</f>
        <v>151400</v>
      </c>
      <c r="W242" s="44" t="n">
        <f aca="false">S242/G242</f>
        <v>69.9233716475096</v>
      </c>
      <c r="X242" s="9" t="s">
        <v>39</v>
      </c>
      <c r="Y242" s="40"/>
      <c r="AA242" s="5" t="s">
        <v>40</v>
      </c>
      <c r="AB242" s="4" t="s">
        <v>544</v>
      </c>
      <c r="AC242" s="15" t="n">
        <v>72.5</v>
      </c>
      <c r="AD242" s="4" t="n">
        <v>1</v>
      </c>
      <c r="AE242" s="57" t="n">
        <v>1</v>
      </c>
    </row>
    <row r="243" customFormat="false" ht="15" hidden="false" customHeight="false" outlineLevel="0" collapsed="false">
      <c r="A243" s="11" t="s">
        <v>44</v>
      </c>
      <c r="B243" s="11" t="s">
        <v>35</v>
      </c>
      <c r="C243" s="28" t="n">
        <v>550550</v>
      </c>
      <c r="D243" s="4" t="s">
        <v>524</v>
      </c>
      <c r="E243" s="4" t="s">
        <v>545</v>
      </c>
      <c r="F243" s="5" t="s">
        <v>37</v>
      </c>
      <c r="G243" s="6" t="n">
        <v>2508</v>
      </c>
      <c r="H243" s="6" t="n">
        <f aca="false">G243</f>
        <v>2508</v>
      </c>
      <c r="I243" s="6" t="n">
        <v>2500</v>
      </c>
      <c r="J243" s="4" t="s">
        <v>63</v>
      </c>
      <c r="M243" s="8" t="n">
        <v>45504</v>
      </c>
      <c r="P243" s="9" t="n">
        <v>0</v>
      </c>
      <c r="Q243" s="9" t="n">
        <f aca="false">P243</f>
        <v>0</v>
      </c>
      <c r="S243" s="9" t="n">
        <v>138800</v>
      </c>
      <c r="T243" s="9" t="n">
        <f aca="false">S243</f>
        <v>138800</v>
      </c>
      <c r="U243" s="63" t="n">
        <v>141700</v>
      </c>
      <c r="V243" s="9" t="n">
        <f aca="false">U243</f>
        <v>141700</v>
      </c>
      <c r="W243" s="44" t="n">
        <f aca="false">S243/G243</f>
        <v>55.3429027113238</v>
      </c>
      <c r="X243" s="9" t="s">
        <v>39</v>
      </c>
      <c r="Y243" s="40"/>
      <c r="AA243" s="5" t="s">
        <v>40</v>
      </c>
      <c r="AC243" s="15" t="n">
        <v>72.5</v>
      </c>
      <c r="AD243" s="58" t="n">
        <v>1</v>
      </c>
      <c r="AE243" s="59" t="n">
        <v>3</v>
      </c>
      <c r="AF243" s="58" t="s">
        <v>546</v>
      </c>
    </row>
    <row r="244" customFormat="false" ht="15" hidden="false" customHeight="false" outlineLevel="0" collapsed="false">
      <c r="A244" s="11" t="s">
        <v>44</v>
      </c>
      <c r="B244" s="11" t="s">
        <v>35</v>
      </c>
      <c r="C244" s="28" t="n">
        <v>550550</v>
      </c>
      <c r="D244" s="4" t="s">
        <v>524</v>
      </c>
      <c r="E244" s="4" t="s">
        <v>142</v>
      </c>
      <c r="F244" s="5" t="s">
        <v>37</v>
      </c>
      <c r="G244" s="6" t="n">
        <v>389</v>
      </c>
      <c r="H244" s="6" t="n">
        <f aca="false">G244</f>
        <v>389</v>
      </c>
      <c r="I244" s="6" t="n">
        <v>500</v>
      </c>
      <c r="J244" s="4" t="s">
        <v>63</v>
      </c>
      <c r="M244" s="8" t="n">
        <v>45635</v>
      </c>
      <c r="P244" s="9" t="n">
        <v>0</v>
      </c>
      <c r="Q244" s="9" t="n">
        <f aca="false">P244</f>
        <v>0</v>
      </c>
      <c r="S244" s="9" t="n">
        <v>19500</v>
      </c>
      <c r="T244" s="9" t="n">
        <f aca="false">S244</f>
        <v>19500</v>
      </c>
      <c r="U244" s="63" t="n">
        <v>22400</v>
      </c>
      <c r="V244" s="9" t="n">
        <f aca="false">U244</f>
        <v>22400</v>
      </c>
      <c r="W244" s="44" t="n">
        <f aca="false">S244/G244</f>
        <v>50.1285347043702</v>
      </c>
      <c r="X244" s="9" t="s">
        <v>39</v>
      </c>
      <c r="Y244" s="40"/>
      <c r="AA244" s="5" t="s">
        <v>40</v>
      </c>
      <c r="AB244" s="4" t="s">
        <v>64</v>
      </c>
      <c r="AC244" s="56"/>
      <c r="AE244" s="57"/>
    </row>
    <row r="245" customFormat="false" ht="15" hidden="false" customHeight="false" outlineLevel="0" collapsed="false">
      <c r="A245" s="11" t="s">
        <v>44</v>
      </c>
      <c r="B245" s="11" t="s">
        <v>35</v>
      </c>
      <c r="C245" s="28" t="n">
        <v>550550</v>
      </c>
      <c r="D245" s="4" t="s">
        <v>524</v>
      </c>
      <c r="E245" s="4" t="s">
        <v>148</v>
      </c>
      <c r="F245" s="5" t="s">
        <v>37</v>
      </c>
      <c r="G245" s="6" t="n">
        <v>390</v>
      </c>
      <c r="H245" s="6" t="n">
        <f aca="false">G245</f>
        <v>390</v>
      </c>
      <c r="I245" s="6" t="n">
        <v>500</v>
      </c>
      <c r="J245" s="4" t="s">
        <v>547</v>
      </c>
      <c r="K245" s="7" t="n">
        <v>45680</v>
      </c>
      <c r="L245" s="8" t="n">
        <v>47505</v>
      </c>
      <c r="M245" s="8"/>
      <c r="N245" s="8"/>
      <c r="O245" s="8" t="n">
        <v>46774</v>
      </c>
      <c r="P245" s="9" t="n">
        <v>21060</v>
      </c>
      <c r="Q245" s="9" t="n">
        <f aca="false">P245</f>
        <v>21060</v>
      </c>
      <c r="R245" s="9"/>
      <c r="S245" s="9" t="n">
        <v>0</v>
      </c>
      <c r="T245" s="9" t="n">
        <f aca="false">S245</f>
        <v>0</v>
      </c>
      <c r="U245" s="63" t="n">
        <v>19500</v>
      </c>
      <c r="V245" s="9" t="n">
        <f aca="false">U245</f>
        <v>19500</v>
      </c>
      <c r="W245" s="44" t="n">
        <f aca="false">S245/G245</f>
        <v>0</v>
      </c>
      <c r="X245" s="9" t="s">
        <v>39</v>
      </c>
      <c r="Y245" s="40"/>
      <c r="Z245" s="356"/>
      <c r="AA245" s="5" t="s">
        <v>40</v>
      </c>
      <c r="AB245" s="4" t="s">
        <v>73</v>
      </c>
      <c r="AC245" s="15"/>
      <c r="AD245" s="4"/>
      <c r="AE245" s="57"/>
      <c r="AF245" s="4"/>
    </row>
    <row r="246" customFormat="false" ht="15" hidden="false" customHeight="false" outlineLevel="0" collapsed="false">
      <c r="A246" s="11" t="s">
        <v>44</v>
      </c>
      <c r="B246" s="11" t="s">
        <v>35</v>
      </c>
      <c r="C246" s="28" t="n">
        <v>550550</v>
      </c>
      <c r="D246" s="4" t="s">
        <v>524</v>
      </c>
      <c r="E246" s="4" t="s">
        <v>151</v>
      </c>
      <c r="F246" s="5" t="s">
        <v>537</v>
      </c>
      <c r="G246" s="6" t="n">
        <v>691</v>
      </c>
      <c r="H246" s="6" t="n">
        <f aca="false">G246</f>
        <v>691</v>
      </c>
      <c r="I246" s="6" t="n">
        <v>750</v>
      </c>
      <c r="J246" s="4" t="s">
        <v>63</v>
      </c>
      <c r="K246" s="7"/>
      <c r="L246" s="8"/>
      <c r="M246" s="8" t="n">
        <v>45434</v>
      </c>
      <c r="N246" s="8"/>
      <c r="O246" s="8"/>
      <c r="P246" s="9" t="n">
        <v>0</v>
      </c>
      <c r="Q246" s="9" t="n">
        <f aca="false">P246</f>
        <v>0</v>
      </c>
      <c r="R246" s="9"/>
      <c r="S246" s="9" t="n">
        <v>42000</v>
      </c>
      <c r="T246" s="9" t="n">
        <f aca="false">S246</f>
        <v>42000</v>
      </c>
      <c r="U246" s="63" t="n">
        <v>41500</v>
      </c>
      <c r="V246" s="9" t="n">
        <f aca="false">U246</f>
        <v>41500</v>
      </c>
      <c r="W246" s="44" t="n">
        <f aca="false">S246/G246</f>
        <v>60.781476121563</v>
      </c>
      <c r="X246" s="9" t="s">
        <v>39</v>
      </c>
      <c r="Y246" s="40"/>
      <c r="Z246" s="356"/>
      <c r="AA246" s="5" t="s">
        <v>40</v>
      </c>
      <c r="AB246" s="4" t="s">
        <v>64</v>
      </c>
      <c r="AC246" s="15" t="n">
        <v>62.5</v>
      </c>
      <c r="AD246" s="4"/>
      <c r="AE246" s="57"/>
      <c r="AF246" s="4"/>
    </row>
    <row r="247" customFormat="false" ht="15" hidden="false" customHeight="false" outlineLevel="0" collapsed="false">
      <c r="A247" s="11" t="s">
        <v>44</v>
      </c>
      <c r="B247" s="11" t="s">
        <v>35</v>
      </c>
      <c r="C247" s="28" t="n">
        <v>550510</v>
      </c>
      <c r="D247" s="4" t="s">
        <v>548</v>
      </c>
      <c r="E247" s="4" t="s">
        <v>549</v>
      </c>
      <c r="F247" s="5" t="s">
        <v>161</v>
      </c>
      <c r="G247" s="6" t="n">
        <v>120</v>
      </c>
      <c r="H247" s="6" t="n">
        <f aca="false">G247</f>
        <v>120</v>
      </c>
      <c r="I247" s="6" t="n">
        <v>250</v>
      </c>
      <c r="J247" s="4" t="s">
        <v>550</v>
      </c>
      <c r="K247" s="7" t="n">
        <v>43881</v>
      </c>
      <c r="L247" s="7" t="n">
        <v>47240</v>
      </c>
      <c r="M247" s="7"/>
      <c r="P247" s="9" t="n">
        <v>0</v>
      </c>
      <c r="Q247" s="9" t="n">
        <f aca="false">P247</f>
        <v>0</v>
      </c>
      <c r="S247" s="9" t="n">
        <v>0</v>
      </c>
      <c r="T247" s="9" t="n">
        <f aca="false">S247</f>
        <v>0</v>
      </c>
      <c r="U247" s="63" t="n">
        <v>0</v>
      </c>
      <c r="V247" s="9" t="n">
        <f aca="false">U247</f>
        <v>0</v>
      </c>
      <c r="W247" s="44" t="n">
        <f aca="false">S247/G247</f>
        <v>0</v>
      </c>
      <c r="X247" s="9"/>
      <c r="Y247" s="40" t="s">
        <v>25</v>
      </c>
      <c r="AA247" s="5" t="s">
        <v>40</v>
      </c>
      <c r="AB247" s="4" t="s">
        <v>551</v>
      </c>
      <c r="AE247" s="57"/>
    </row>
    <row r="248" customFormat="false" ht="15" hidden="false" customHeight="false" outlineLevel="0" collapsed="false">
      <c r="A248" s="11" t="s">
        <v>44</v>
      </c>
      <c r="B248" s="11" t="s">
        <v>35</v>
      </c>
      <c r="C248" s="28" t="n">
        <v>550510</v>
      </c>
      <c r="D248" s="4" t="s">
        <v>548</v>
      </c>
      <c r="E248" s="4" t="s">
        <v>552</v>
      </c>
      <c r="F248" s="5" t="s">
        <v>244</v>
      </c>
      <c r="G248" s="6" t="n">
        <v>1032</v>
      </c>
      <c r="H248" s="6" t="n">
        <f aca="false">G248</f>
        <v>1032</v>
      </c>
      <c r="I248" s="6" t="n">
        <f aca="false">H248</f>
        <v>1032</v>
      </c>
      <c r="J248" s="4" t="s">
        <v>550</v>
      </c>
      <c r="K248" s="7" t="n">
        <v>43588</v>
      </c>
      <c r="L248" s="7" t="n">
        <v>47240</v>
      </c>
      <c r="M248" s="7"/>
      <c r="P248" s="9" t="n">
        <v>70000</v>
      </c>
      <c r="Q248" s="9" t="n">
        <f aca="false">P248</f>
        <v>70000</v>
      </c>
      <c r="S248" s="9" t="n">
        <v>57500</v>
      </c>
      <c r="T248" s="9" t="n">
        <f aca="false">S248</f>
        <v>57500</v>
      </c>
      <c r="U248" s="63" t="n">
        <v>57500</v>
      </c>
      <c r="V248" s="9" t="n">
        <f aca="false">U248</f>
        <v>57500</v>
      </c>
      <c r="W248" s="44" t="n">
        <f aca="false">S248/G248</f>
        <v>55.7170542635659</v>
      </c>
      <c r="X248" s="9" t="s">
        <v>453</v>
      </c>
      <c r="Y248" s="40"/>
      <c r="AA248" s="5" t="s">
        <v>40</v>
      </c>
      <c r="AE248" s="57"/>
    </row>
    <row r="249" customFormat="false" ht="15" hidden="false" customHeight="false" outlineLevel="0" collapsed="false">
      <c r="A249" s="11" t="s">
        <v>44</v>
      </c>
      <c r="B249" s="11" t="s">
        <v>35</v>
      </c>
      <c r="C249" s="28" t="n">
        <v>550510</v>
      </c>
      <c r="D249" s="4" t="s">
        <v>548</v>
      </c>
      <c r="E249" s="4" t="s">
        <v>549</v>
      </c>
      <c r="F249" s="5" t="s">
        <v>161</v>
      </c>
      <c r="G249" s="6" t="n">
        <v>90</v>
      </c>
      <c r="H249" s="6" t="n">
        <f aca="false">G249</f>
        <v>90</v>
      </c>
      <c r="I249" s="6" t="n">
        <f aca="false">H249</f>
        <v>90</v>
      </c>
      <c r="J249" s="4" t="s">
        <v>77</v>
      </c>
      <c r="M249" s="8" t="n">
        <v>44681</v>
      </c>
      <c r="P249" s="9" t="n">
        <v>0</v>
      </c>
      <c r="Q249" s="9" t="n">
        <f aca="false">P249</f>
        <v>0</v>
      </c>
      <c r="S249" s="9" t="n">
        <v>5665</v>
      </c>
      <c r="T249" s="9" t="n">
        <f aca="false">S249</f>
        <v>5665</v>
      </c>
      <c r="U249" s="63" t="n">
        <v>900</v>
      </c>
      <c r="V249" s="9" t="n">
        <f aca="false">U249</f>
        <v>900</v>
      </c>
      <c r="W249" s="44" t="n">
        <f aca="false">S249/G249</f>
        <v>62.9444444444444</v>
      </c>
      <c r="X249" s="9"/>
      <c r="Y249" s="40"/>
      <c r="AA249" s="5" t="s">
        <v>40</v>
      </c>
      <c r="AE249" s="57"/>
    </row>
    <row r="250" customFormat="false" ht="28.35" hidden="false" customHeight="false" outlineLevel="0" collapsed="false">
      <c r="A250" s="112" t="s">
        <v>44</v>
      </c>
      <c r="B250" s="112" t="s">
        <v>35</v>
      </c>
      <c r="C250" s="113" t="n">
        <v>550510</v>
      </c>
      <c r="D250" s="114" t="s">
        <v>548</v>
      </c>
      <c r="E250" s="4" t="s">
        <v>553</v>
      </c>
      <c r="F250" s="115" t="s">
        <v>244</v>
      </c>
      <c r="G250" s="54" t="n">
        <v>1922</v>
      </c>
      <c r="H250" s="6" t="n">
        <f aca="false">G250</f>
        <v>1922</v>
      </c>
      <c r="I250" s="6" t="n">
        <f aca="false">H250</f>
        <v>1922</v>
      </c>
      <c r="J250" s="4" t="s">
        <v>554</v>
      </c>
      <c r="K250" s="7" t="n">
        <v>45845</v>
      </c>
      <c r="L250" s="8" t="n">
        <v>51323</v>
      </c>
      <c r="N250" s="8" t="n">
        <v>47671</v>
      </c>
      <c r="O250" s="8" t="n">
        <v>47670</v>
      </c>
      <c r="P250" s="9" t="n">
        <v>0</v>
      </c>
      <c r="Q250" s="9" t="n">
        <f aca="false">P250</f>
        <v>0</v>
      </c>
      <c r="S250" s="9" t="n">
        <v>126000</v>
      </c>
      <c r="T250" s="9" t="n">
        <f aca="false">S250</f>
        <v>126000</v>
      </c>
      <c r="U250" s="63" t="n">
        <v>132000</v>
      </c>
      <c r="V250" s="9" t="n">
        <f aca="false">U250</f>
        <v>132000</v>
      </c>
      <c r="W250" s="44" t="n">
        <f aca="false">S250/G250</f>
        <v>65.5567117585848</v>
      </c>
      <c r="X250" s="9" t="s">
        <v>57</v>
      </c>
      <c r="Y250" s="40"/>
      <c r="AA250" s="5" t="s">
        <v>40</v>
      </c>
      <c r="AB250" s="4" t="s">
        <v>555</v>
      </c>
      <c r="AE250" s="57"/>
    </row>
    <row r="251" customFormat="false" ht="15" hidden="false" customHeight="false" outlineLevel="0" collapsed="false">
      <c r="A251" s="11" t="s">
        <v>44</v>
      </c>
      <c r="B251" s="11" t="s">
        <v>35</v>
      </c>
      <c r="C251" s="28" t="n">
        <v>550510</v>
      </c>
      <c r="D251" s="4" t="s">
        <v>548</v>
      </c>
      <c r="E251" s="4" t="s">
        <v>135</v>
      </c>
      <c r="F251" s="115" t="s">
        <v>37</v>
      </c>
      <c r="G251" s="6" t="n">
        <v>635</v>
      </c>
      <c r="H251" s="6" t="n">
        <f aca="false">G251</f>
        <v>635</v>
      </c>
      <c r="I251" s="6" t="n">
        <v>750</v>
      </c>
      <c r="J251" s="4" t="s">
        <v>556</v>
      </c>
      <c r="K251" s="7" t="n">
        <v>45431</v>
      </c>
      <c r="L251" s="8" t="n">
        <v>46525</v>
      </c>
      <c r="P251" s="9" t="n">
        <v>36500</v>
      </c>
      <c r="Q251" s="9" t="n">
        <f aca="false">P251</f>
        <v>36500</v>
      </c>
      <c r="S251" s="9" t="n">
        <v>36500</v>
      </c>
      <c r="T251" s="9" t="n">
        <f aca="false">S251</f>
        <v>36500</v>
      </c>
      <c r="U251" s="63" t="n">
        <v>38100</v>
      </c>
      <c r="V251" s="9" t="n">
        <f aca="false">U251</f>
        <v>38100</v>
      </c>
      <c r="W251" s="44" t="n">
        <f aca="false">S251/G251</f>
        <v>57.4803149606299</v>
      </c>
      <c r="X251" s="9" t="s">
        <v>123</v>
      </c>
      <c r="Y251" s="40"/>
      <c r="AA251" s="5" t="s">
        <v>40</v>
      </c>
      <c r="AE251" s="57"/>
    </row>
    <row r="252" customFormat="false" ht="15" hidden="false" customHeight="false" outlineLevel="0" collapsed="false">
      <c r="A252" s="11" t="s">
        <v>44</v>
      </c>
      <c r="B252" s="11" t="s">
        <v>35</v>
      </c>
      <c r="C252" s="28" t="n">
        <v>550510</v>
      </c>
      <c r="D252" s="4" t="s">
        <v>548</v>
      </c>
      <c r="E252" s="4" t="s">
        <v>133</v>
      </c>
      <c r="F252" s="5" t="s">
        <v>37</v>
      </c>
      <c r="G252" s="93" t="n">
        <v>450</v>
      </c>
      <c r="H252" s="6" t="n">
        <f aca="false">G252</f>
        <v>450</v>
      </c>
      <c r="I252" s="6" t="n">
        <v>500</v>
      </c>
      <c r="J252" s="4" t="s">
        <v>63</v>
      </c>
      <c r="M252" s="8" t="n">
        <v>42943</v>
      </c>
      <c r="P252" s="9" t="n">
        <v>0</v>
      </c>
      <c r="Q252" s="9" t="n">
        <f aca="false">P252</f>
        <v>0</v>
      </c>
      <c r="S252" s="9" t="n">
        <v>23600</v>
      </c>
      <c r="T252" s="9" t="n">
        <f aca="false">S252</f>
        <v>23600</v>
      </c>
      <c r="U252" s="63" t="n">
        <v>25900</v>
      </c>
      <c r="V252" s="9" t="n">
        <f aca="false">U252</f>
        <v>25900</v>
      </c>
      <c r="W252" s="44" t="n">
        <f aca="false">S252/G252</f>
        <v>52.4444444444444</v>
      </c>
      <c r="X252" s="9" t="s">
        <v>52</v>
      </c>
      <c r="Y252" s="40"/>
      <c r="AA252" s="5" t="s">
        <v>40</v>
      </c>
      <c r="AE252" s="57" t="n">
        <v>2</v>
      </c>
      <c r="AF252" s="4" t="s">
        <v>200</v>
      </c>
    </row>
    <row r="253" customFormat="false" ht="19.4" hidden="false" customHeight="false" outlineLevel="0" collapsed="false">
      <c r="A253" s="11" t="s">
        <v>44</v>
      </c>
      <c r="B253" s="11" t="s">
        <v>35</v>
      </c>
      <c r="C253" s="28" t="n">
        <v>550510</v>
      </c>
      <c r="D253" s="4" t="s">
        <v>548</v>
      </c>
      <c r="E253" s="4" t="s">
        <v>138</v>
      </c>
      <c r="F253" s="5" t="s">
        <v>37</v>
      </c>
      <c r="G253" s="6" t="n">
        <v>615</v>
      </c>
      <c r="H253" s="6" t="n">
        <f aca="false">G253</f>
        <v>615</v>
      </c>
      <c r="I253" s="6" t="n">
        <v>500</v>
      </c>
      <c r="J253" s="4" t="s">
        <v>557</v>
      </c>
      <c r="K253" s="7" t="n">
        <v>45092</v>
      </c>
      <c r="L253" s="8" t="n">
        <v>46918</v>
      </c>
      <c r="O253" s="8" t="n">
        <v>46187</v>
      </c>
      <c r="P253" s="9" t="n">
        <v>35363</v>
      </c>
      <c r="Q253" s="9" t="n">
        <f aca="false">P253</f>
        <v>35363</v>
      </c>
      <c r="S253" s="9" t="n">
        <v>32300</v>
      </c>
      <c r="T253" s="9" t="n">
        <f aca="false">S253</f>
        <v>32300</v>
      </c>
      <c r="U253" s="63" t="n">
        <v>35363</v>
      </c>
      <c r="V253" s="9" t="n">
        <f aca="false">U253</f>
        <v>35363</v>
      </c>
      <c r="W253" s="44" t="n">
        <f aca="false">S253/G253</f>
        <v>52.520325203252</v>
      </c>
      <c r="X253" s="9"/>
      <c r="Y253" s="40"/>
      <c r="AA253" s="5" t="s">
        <v>40</v>
      </c>
      <c r="AB253" s="4" t="s">
        <v>558</v>
      </c>
      <c r="AE253" s="57"/>
    </row>
    <row r="254" customFormat="false" ht="15" hidden="false" customHeight="false" outlineLevel="0" collapsed="false">
      <c r="A254" s="11" t="s">
        <v>44</v>
      </c>
      <c r="B254" s="11" t="s">
        <v>35</v>
      </c>
      <c r="C254" s="28" t="n">
        <v>550510</v>
      </c>
      <c r="D254" s="4" t="s">
        <v>548</v>
      </c>
      <c r="E254" s="4" t="s">
        <v>140</v>
      </c>
      <c r="F254" s="5" t="s">
        <v>37</v>
      </c>
      <c r="G254" s="6" t="n">
        <v>500</v>
      </c>
      <c r="H254" s="6" t="n">
        <f aca="false">G254</f>
        <v>500</v>
      </c>
      <c r="I254" s="6" t="n">
        <v>500</v>
      </c>
      <c r="J254" s="4" t="s">
        <v>63</v>
      </c>
      <c r="M254" s="8" t="n">
        <v>43820</v>
      </c>
      <c r="P254" s="9" t="n">
        <v>0</v>
      </c>
      <c r="Q254" s="9" t="n">
        <f aca="false">P254</f>
        <v>0</v>
      </c>
      <c r="S254" s="9" t="n">
        <v>26300</v>
      </c>
      <c r="T254" s="9" t="n">
        <f aca="false">S254</f>
        <v>26300</v>
      </c>
      <c r="U254" s="63" t="n">
        <v>28800</v>
      </c>
      <c r="V254" s="9" t="n">
        <f aca="false">U254</f>
        <v>28800</v>
      </c>
      <c r="W254" s="44" t="n">
        <f aca="false">S254/G254</f>
        <v>52.6</v>
      </c>
      <c r="X254" s="9" t="s">
        <v>123</v>
      </c>
      <c r="Y254" s="40"/>
      <c r="AA254" s="5" t="s">
        <v>40</v>
      </c>
      <c r="AB254" s="4" t="s">
        <v>64</v>
      </c>
      <c r="AC254" s="15" t="n">
        <v>58.5</v>
      </c>
      <c r="AE254" s="57" t="n">
        <v>1</v>
      </c>
      <c r="AF254" s="4" t="s">
        <v>200</v>
      </c>
    </row>
    <row r="255" customFormat="false" ht="15" hidden="false" customHeight="false" outlineLevel="0" collapsed="false">
      <c r="A255" s="11" t="s">
        <v>44</v>
      </c>
      <c r="B255" s="11" t="s">
        <v>35</v>
      </c>
      <c r="C255" s="28" t="n">
        <v>550510</v>
      </c>
      <c r="D255" s="4" t="s">
        <v>548</v>
      </c>
      <c r="E255" s="4" t="s">
        <v>142</v>
      </c>
      <c r="F255" s="5" t="s">
        <v>37</v>
      </c>
      <c r="G255" s="6" t="n">
        <v>504</v>
      </c>
      <c r="H255" s="6" t="n">
        <f aca="false">G255</f>
        <v>504</v>
      </c>
      <c r="I255" s="6" t="n">
        <v>500</v>
      </c>
      <c r="J255" s="4" t="s">
        <v>559</v>
      </c>
      <c r="K255" s="7" t="n">
        <v>45601</v>
      </c>
      <c r="L255" s="8" t="n">
        <v>47426</v>
      </c>
      <c r="O255" s="8" t="n">
        <v>46330</v>
      </c>
      <c r="P255" s="9" t="n">
        <v>28050</v>
      </c>
      <c r="Q255" s="9" t="n">
        <f aca="false">P255</f>
        <v>28050</v>
      </c>
      <c r="S255" s="9" t="n">
        <v>26500</v>
      </c>
      <c r="T255" s="9" t="n">
        <f aca="false">S255</f>
        <v>26500</v>
      </c>
      <c r="U255" s="63" t="n">
        <v>29000</v>
      </c>
      <c r="V255" s="9" t="n">
        <f aca="false">U255</f>
        <v>29000</v>
      </c>
      <c r="W255" s="44" t="n">
        <f aca="false">S255/G255</f>
        <v>52.5793650793651</v>
      </c>
      <c r="X255" s="9" t="s">
        <v>123</v>
      </c>
      <c r="Y255" s="40"/>
      <c r="AA255" s="5" t="s">
        <v>40</v>
      </c>
      <c r="AB255" s="4" t="s">
        <v>73</v>
      </c>
      <c r="AC255" s="56"/>
      <c r="AE255" s="57"/>
    </row>
    <row r="256" customFormat="false" ht="15" hidden="false" customHeight="false" outlineLevel="0" collapsed="false">
      <c r="A256" s="11" t="s">
        <v>44</v>
      </c>
      <c r="B256" s="11" t="s">
        <v>35</v>
      </c>
      <c r="C256" s="28" t="n">
        <v>550510</v>
      </c>
      <c r="D256" s="4" t="s">
        <v>548</v>
      </c>
      <c r="E256" s="4" t="s">
        <v>545</v>
      </c>
      <c r="F256" s="5" t="s">
        <v>37</v>
      </c>
      <c r="G256" s="6" t="n">
        <v>591</v>
      </c>
      <c r="H256" s="6" t="n">
        <f aca="false">G256</f>
        <v>591</v>
      </c>
      <c r="I256" s="6" t="n">
        <v>500</v>
      </c>
      <c r="J256" s="4" t="s">
        <v>63</v>
      </c>
      <c r="M256" s="8" t="n">
        <v>44119</v>
      </c>
      <c r="P256" s="9" t="n">
        <v>0</v>
      </c>
      <c r="Q256" s="9" t="n">
        <f aca="false">P256</f>
        <v>0</v>
      </c>
      <c r="S256" s="9" t="n">
        <v>31000</v>
      </c>
      <c r="T256" s="9" t="n">
        <f aca="false">S256</f>
        <v>31000</v>
      </c>
      <c r="U256" s="63" t="n">
        <v>34000</v>
      </c>
      <c r="V256" s="9" t="n">
        <f aca="false">U256</f>
        <v>34000</v>
      </c>
      <c r="W256" s="44" t="n">
        <f aca="false">S256/G256</f>
        <v>52.4534686971235</v>
      </c>
      <c r="X256" s="9" t="s">
        <v>123</v>
      </c>
      <c r="Y256" s="40"/>
      <c r="AA256" s="5" t="s">
        <v>40</v>
      </c>
      <c r="AB256" s="4" t="s">
        <v>64</v>
      </c>
      <c r="AC256" s="15" t="n">
        <v>58.5</v>
      </c>
      <c r="AE256" s="57" t="n">
        <v>1</v>
      </c>
      <c r="AF256" s="4" t="s">
        <v>141</v>
      </c>
    </row>
    <row r="257" customFormat="false" ht="15" hidden="false" customHeight="false" outlineLevel="0" collapsed="false">
      <c r="A257" s="11" t="s">
        <v>44</v>
      </c>
      <c r="B257" s="11" t="s">
        <v>35</v>
      </c>
      <c r="C257" s="28" t="n">
        <v>550510</v>
      </c>
      <c r="D257" s="4" t="s">
        <v>548</v>
      </c>
      <c r="E257" s="4" t="s">
        <v>148</v>
      </c>
      <c r="F257" s="5" t="s">
        <v>37</v>
      </c>
      <c r="G257" s="6" t="n">
        <v>450</v>
      </c>
      <c r="H257" s="6" t="n">
        <f aca="false">G257</f>
        <v>450</v>
      </c>
      <c r="I257" s="6" t="n">
        <v>500</v>
      </c>
      <c r="J257" s="4" t="s">
        <v>63</v>
      </c>
      <c r="M257" s="8" t="n">
        <v>43389</v>
      </c>
      <c r="P257" s="9" t="n">
        <v>0</v>
      </c>
      <c r="Q257" s="9" t="n">
        <f aca="false">P257</f>
        <v>0</v>
      </c>
      <c r="S257" s="9" t="n">
        <v>23600</v>
      </c>
      <c r="T257" s="9" t="n">
        <f aca="false">S257</f>
        <v>23600</v>
      </c>
      <c r="U257" s="63" t="n">
        <v>25900</v>
      </c>
      <c r="V257" s="9" t="n">
        <f aca="false">U257</f>
        <v>25900</v>
      </c>
      <c r="W257" s="44" t="n">
        <f aca="false">S257/G257</f>
        <v>52.4444444444444</v>
      </c>
      <c r="X257" s="9" t="s">
        <v>123</v>
      </c>
      <c r="Y257" s="40"/>
      <c r="AA257" s="5" t="s">
        <v>40</v>
      </c>
      <c r="AB257" s="4" t="s">
        <v>64</v>
      </c>
      <c r="AC257" s="15" t="n">
        <v>58.5</v>
      </c>
      <c r="AE257" s="57"/>
    </row>
    <row r="258" customFormat="false" ht="15" hidden="false" customHeight="false" outlineLevel="0" collapsed="false">
      <c r="A258" s="11" t="s">
        <v>44</v>
      </c>
      <c r="B258" s="11" t="s">
        <v>35</v>
      </c>
      <c r="C258" s="28" t="n">
        <v>550510</v>
      </c>
      <c r="D258" s="4" t="s">
        <v>548</v>
      </c>
      <c r="E258" s="4" t="s">
        <v>151</v>
      </c>
      <c r="F258" s="5" t="s">
        <v>37</v>
      </c>
      <c r="G258" s="6" t="n">
        <v>582</v>
      </c>
      <c r="H258" s="6" t="n">
        <f aca="false">G258</f>
        <v>582</v>
      </c>
      <c r="I258" s="6" t="n">
        <v>500</v>
      </c>
      <c r="J258" s="4" t="s">
        <v>560</v>
      </c>
      <c r="K258" s="7" t="n">
        <v>45614</v>
      </c>
      <c r="L258" s="8" t="n">
        <v>46343</v>
      </c>
      <c r="P258" s="9" t="n">
        <v>42282</v>
      </c>
      <c r="Q258" s="9" t="n">
        <f aca="false">P258</f>
        <v>42282</v>
      </c>
      <c r="S258" s="9" t="n">
        <v>34000</v>
      </c>
      <c r="T258" s="9" t="n">
        <f aca="false">S258</f>
        <v>34000</v>
      </c>
      <c r="U258" s="63" t="n">
        <v>35500</v>
      </c>
      <c r="V258" s="9" t="n">
        <f aca="false">U258</f>
        <v>35500</v>
      </c>
      <c r="W258" s="44" t="n">
        <f aca="false">S258/G258</f>
        <v>58.4192439862543</v>
      </c>
      <c r="X258" s="9" t="s">
        <v>123</v>
      </c>
      <c r="Y258" s="40"/>
      <c r="AA258" s="5" t="s">
        <v>40</v>
      </c>
      <c r="AB258" s="4" t="s">
        <v>561</v>
      </c>
      <c r="AC258" s="56"/>
      <c r="AE258" s="57"/>
    </row>
    <row r="259" customFormat="false" ht="15" hidden="false" customHeight="false" outlineLevel="0" collapsed="false">
      <c r="A259" s="11" t="s">
        <v>228</v>
      </c>
      <c r="B259" s="11" t="s">
        <v>35</v>
      </c>
      <c r="C259" s="28" t="n">
        <v>550610</v>
      </c>
      <c r="D259" s="4" t="s">
        <v>563</v>
      </c>
      <c r="E259" s="4" t="s">
        <v>564</v>
      </c>
      <c r="F259" s="5" t="s">
        <v>565</v>
      </c>
      <c r="G259" s="6" t="n">
        <v>2047</v>
      </c>
      <c r="H259" s="6" t="n">
        <f aca="false">G259</f>
        <v>2047</v>
      </c>
      <c r="I259" s="6" t="n">
        <v>2000</v>
      </c>
      <c r="J259" s="4" t="s">
        <v>566</v>
      </c>
      <c r="K259" s="7" t="n">
        <v>45100</v>
      </c>
      <c r="L259" s="8" t="n">
        <v>48752</v>
      </c>
      <c r="N259" s="8" t="n">
        <v>46926</v>
      </c>
      <c r="O259" s="8" t="n">
        <v>46195</v>
      </c>
      <c r="P259" s="9" t="n">
        <v>105000</v>
      </c>
      <c r="Q259" s="9" t="n">
        <f aca="false">P259</f>
        <v>105000</v>
      </c>
      <c r="S259" s="9" t="n">
        <v>100000</v>
      </c>
      <c r="T259" s="9" t="n">
        <f aca="false">S259</f>
        <v>100000</v>
      </c>
      <c r="U259" s="63" t="n">
        <v>105000</v>
      </c>
      <c r="V259" s="9" t="n">
        <f aca="false">U259</f>
        <v>105000</v>
      </c>
      <c r="W259" s="44" t="n">
        <f aca="false">S259/G259</f>
        <v>48.8519785051295</v>
      </c>
      <c r="X259" s="9" t="s">
        <v>123</v>
      </c>
      <c r="Y259" s="40"/>
      <c r="AA259" s="5" t="s">
        <v>40</v>
      </c>
      <c r="AB259" s="4" t="s">
        <v>73</v>
      </c>
      <c r="AE259" s="57"/>
    </row>
    <row r="260" customFormat="false" ht="37.3" hidden="false" customHeight="false" outlineLevel="0" collapsed="false">
      <c r="A260" s="11" t="s">
        <v>228</v>
      </c>
      <c r="B260" s="11" t="s">
        <v>35</v>
      </c>
      <c r="C260" s="28" t="n">
        <v>550610</v>
      </c>
      <c r="D260" s="4" t="s">
        <v>563</v>
      </c>
      <c r="E260" s="4" t="s">
        <v>567</v>
      </c>
      <c r="F260" s="5" t="s">
        <v>46</v>
      </c>
      <c r="G260" s="6" t="n">
        <v>2185</v>
      </c>
      <c r="H260" s="6" t="n">
        <f aca="false">G260</f>
        <v>2185</v>
      </c>
      <c r="I260" s="6" t="n">
        <v>2000</v>
      </c>
      <c r="J260" s="4" t="s">
        <v>568</v>
      </c>
      <c r="K260" s="7" t="n">
        <v>42655</v>
      </c>
      <c r="L260" s="8" t="n">
        <v>46306</v>
      </c>
      <c r="P260" s="9" t="n">
        <v>100000</v>
      </c>
      <c r="Q260" s="9" t="n">
        <f aca="false">P260</f>
        <v>100000</v>
      </c>
      <c r="S260" s="9" t="n">
        <v>90000</v>
      </c>
      <c r="T260" s="9" t="n">
        <f aca="false">S260</f>
        <v>90000</v>
      </c>
      <c r="U260" s="63" t="n">
        <v>100000</v>
      </c>
      <c r="V260" s="9" t="n">
        <f aca="false">U260</f>
        <v>100000</v>
      </c>
      <c r="W260" s="44" t="n">
        <f aca="false">S260/G260</f>
        <v>41.1899313501144</v>
      </c>
      <c r="X260" s="9" t="s">
        <v>39</v>
      </c>
      <c r="Y260" s="40"/>
      <c r="AA260" s="5" t="s">
        <v>40</v>
      </c>
      <c r="AB260" s="4" t="s">
        <v>569</v>
      </c>
      <c r="AE260" s="57"/>
    </row>
    <row r="261" customFormat="false" ht="15" hidden="false" customHeight="false" outlineLevel="0" collapsed="false">
      <c r="A261" s="11" t="s">
        <v>228</v>
      </c>
      <c r="B261" s="11" t="s">
        <v>35</v>
      </c>
      <c r="C261" s="28" t="n">
        <v>550610</v>
      </c>
      <c r="D261" s="4" t="s">
        <v>563</v>
      </c>
      <c r="E261" s="4" t="s">
        <v>135</v>
      </c>
      <c r="F261" s="5" t="s">
        <v>37</v>
      </c>
      <c r="G261" s="6" t="n">
        <v>727</v>
      </c>
      <c r="H261" s="6" t="n">
        <f aca="false">G261</f>
        <v>727</v>
      </c>
      <c r="I261" s="6" t="n">
        <v>250</v>
      </c>
      <c r="J261" s="4" t="s">
        <v>570</v>
      </c>
      <c r="K261" s="7" t="n">
        <v>44703</v>
      </c>
      <c r="L261" s="8" t="n">
        <v>46528</v>
      </c>
      <c r="P261" s="9" t="n">
        <v>42350</v>
      </c>
      <c r="Q261" s="9" t="n">
        <f aca="false">P261</f>
        <v>42350</v>
      </c>
      <c r="S261" s="9" t="n">
        <v>40000</v>
      </c>
      <c r="T261" s="9" t="n">
        <f aca="false">S261</f>
        <v>40000</v>
      </c>
      <c r="U261" s="63" t="n">
        <v>48700</v>
      </c>
      <c r="V261" s="9" t="n">
        <f aca="false">U261</f>
        <v>48700</v>
      </c>
      <c r="W261" s="44" t="n">
        <f aca="false">S261/G261</f>
        <v>55.0206327372765</v>
      </c>
      <c r="X261" s="9" t="s">
        <v>57</v>
      </c>
      <c r="Y261" s="40"/>
      <c r="AA261" s="5" t="s">
        <v>40</v>
      </c>
      <c r="AE261" s="57"/>
    </row>
    <row r="262" customFormat="false" ht="19.4" hidden="false" customHeight="false" outlineLevel="0" collapsed="false">
      <c r="A262" s="11" t="s">
        <v>228</v>
      </c>
      <c r="B262" s="11" t="s">
        <v>35</v>
      </c>
      <c r="C262" s="28" t="n">
        <v>550610</v>
      </c>
      <c r="D262" s="4" t="s">
        <v>563</v>
      </c>
      <c r="E262" s="4" t="s">
        <v>571</v>
      </c>
      <c r="F262" s="5" t="s">
        <v>37</v>
      </c>
      <c r="G262" s="6" t="n">
        <v>710</v>
      </c>
      <c r="H262" s="6" t="n">
        <f aca="false">G262</f>
        <v>710</v>
      </c>
      <c r="I262" s="6" t="n">
        <v>750</v>
      </c>
      <c r="J262" s="4" t="s">
        <v>572</v>
      </c>
      <c r="K262" s="7" t="n">
        <v>45551</v>
      </c>
      <c r="L262" s="8" t="n">
        <v>46645</v>
      </c>
      <c r="O262" s="8" t="n">
        <v>46280</v>
      </c>
      <c r="P262" s="9" t="n">
        <v>47250</v>
      </c>
      <c r="Q262" s="9" t="n">
        <f aca="false">P262</f>
        <v>47250</v>
      </c>
      <c r="S262" s="9" t="n">
        <v>35000</v>
      </c>
      <c r="T262" s="9" t="n">
        <f aca="false">S262</f>
        <v>35000</v>
      </c>
      <c r="U262" s="63" t="n">
        <v>47600</v>
      </c>
      <c r="V262" s="9" t="n">
        <f aca="false">U262</f>
        <v>47600</v>
      </c>
      <c r="W262" s="44" t="n">
        <f aca="false">S262/G262</f>
        <v>49.2957746478873</v>
      </c>
      <c r="X262" s="9" t="s">
        <v>57</v>
      </c>
      <c r="Y262" s="40"/>
      <c r="AA262" s="5" t="s">
        <v>40</v>
      </c>
      <c r="AB262" s="4" t="s">
        <v>573</v>
      </c>
      <c r="AD262" s="58"/>
      <c r="AE262" s="59"/>
      <c r="AF262" s="58"/>
    </row>
    <row r="263" customFormat="false" ht="15" hidden="false" customHeight="false" outlineLevel="0" collapsed="false">
      <c r="A263" s="11" t="s">
        <v>228</v>
      </c>
      <c r="B263" s="11" t="s">
        <v>35</v>
      </c>
      <c r="C263" s="28" t="n">
        <v>550610</v>
      </c>
      <c r="D263" s="4" t="s">
        <v>563</v>
      </c>
      <c r="E263" s="4" t="s">
        <v>574</v>
      </c>
      <c r="F263" s="5" t="s">
        <v>37</v>
      </c>
      <c r="G263" s="6" t="n">
        <v>130</v>
      </c>
      <c r="H263" s="6" t="n">
        <f aca="false">G263</f>
        <v>130</v>
      </c>
      <c r="I263" s="6" t="n">
        <v>250</v>
      </c>
      <c r="J263" s="4" t="s">
        <v>575</v>
      </c>
      <c r="K263" s="7" t="n">
        <v>45456</v>
      </c>
      <c r="L263" s="8" t="n">
        <v>47085</v>
      </c>
      <c r="O263" s="8" t="n">
        <v>46354</v>
      </c>
      <c r="P263" s="9" t="n">
        <v>7320</v>
      </c>
      <c r="Q263" s="9" t="n">
        <f aca="false">P263</f>
        <v>7320</v>
      </c>
      <c r="S263" s="9" t="n">
        <v>7000</v>
      </c>
      <c r="T263" s="9" t="n">
        <f aca="false">S263</f>
        <v>7000</v>
      </c>
      <c r="U263" s="63" t="n">
        <v>7360</v>
      </c>
      <c r="V263" s="9" t="n">
        <f aca="false">U263</f>
        <v>7360</v>
      </c>
      <c r="W263" s="44" t="n">
        <f aca="false">S263/G263</f>
        <v>53.8461538461539</v>
      </c>
      <c r="X263" s="9" t="s">
        <v>57</v>
      </c>
      <c r="Y263" s="40"/>
      <c r="AA263" s="5" t="s">
        <v>40</v>
      </c>
      <c r="AB263" s="4" t="s">
        <v>73</v>
      </c>
      <c r="AE263" s="57"/>
    </row>
    <row r="264" customFormat="false" ht="15" hidden="false" customHeight="false" outlineLevel="0" collapsed="false">
      <c r="A264" s="11" t="s">
        <v>228</v>
      </c>
      <c r="B264" s="11" t="s">
        <v>35</v>
      </c>
      <c r="C264" s="28" t="n">
        <v>550610</v>
      </c>
      <c r="D264" s="4" t="s">
        <v>563</v>
      </c>
      <c r="E264" s="4" t="s">
        <v>138</v>
      </c>
      <c r="F264" s="106" t="s">
        <v>37</v>
      </c>
      <c r="G264" s="6" t="n">
        <v>710</v>
      </c>
      <c r="H264" s="6" t="n">
        <f aca="false">G264</f>
        <v>710</v>
      </c>
      <c r="I264" s="6" t="n">
        <v>750</v>
      </c>
      <c r="J264" s="4" t="s">
        <v>576</v>
      </c>
      <c r="K264" s="7" t="n">
        <v>45253</v>
      </c>
      <c r="L264" s="8" t="n">
        <v>46348</v>
      </c>
      <c r="P264" s="9" t="n">
        <v>42350</v>
      </c>
      <c r="Q264" s="9" t="n">
        <f aca="false">P264</f>
        <v>42350</v>
      </c>
      <c r="S264" s="9" t="n">
        <v>38700</v>
      </c>
      <c r="T264" s="9" t="n">
        <f aca="false">S264</f>
        <v>38700</v>
      </c>
      <c r="U264" s="63" t="n">
        <v>45100</v>
      </c>
      <c r="V264" s="9" t="n">
        <f aca="false">U264</f>
        <v>45100</v>
      </c>
      <c r="W264" s="44" t="n">
        <f aca="false">S264/G264</f>
        <v>54.5070422535211</v>
      </c>
      <c r="X264" s="9" t="s">
        <v>57</v>
      </c>
      <c r="Y264" s="40"/>
      <c r="AA264" s="5" t="s">
        <v>40</v>
      </c>
      <c r="AE264" s="57"/>
    </row>
    <row r="265" customFormat="false" ht="15" hidden="false" customHeight="false" outlineLevel="0" collapsed="false">
      <c r="A265" s="11" t="s">
        <v>228</v>
      </c>
      <c r="B265" s="11" t="s">
        <v>35</v>
      </c>
      <c r="C265" s="28" t="n">
        <v>550610</v>
      </c>
      <c r="D265" s="4" t="s">
        <v>563</v>
      </c>
      <c r="E265" s="4" t="s">
        <v>577</v>
      </c>
      <c r="F265" s="106" t="s">
        <v>37</v>
      </c>
      <c r="G265" s="6" t="n">
        <v>130</v>
      </c>
      <c r="H265" s="6" t="n">
        <f aca="false">G265</f>
        <v>130</v>
      </c>
      <c r="I265" s="6" t="n">
        <v>250</v>
      </c>
      <c r="J265" s="4" t="s">
        <v>575</v>
      </c>
      <c r="K265" s="7" t="n">
        <v>45259</v>
      </c>
      <c r="L265" s="8" t="n">
        <v>47085</v>
      </c>
      <c r="O265" s="8" t="n">
        <v>46354</v>
      </c>
      <c r="P265" s="9" t="n">
        <v>7320</v>
      </c>
      <c r="Q265" s="9" t="n">
        <f aca="false">P265</f>
        <v>7320</v>
      </c>
      <c r="S265" s="9" t="n">
        <v>6300</v>
      </c>
      <c r="T265" s="9" t="n">
        <f aca="false">S265</f>
        <v>6300</v>
      </c>
      <c r="U265" s="63" t="n">
        <v>8700</v>
      </c>
      <c r="V265" s="9" t="n">
        <f aca="false">U265</f>
        <v>8700</v>
      </c>
      <c r="W265" s="44" t="n">
        <f aca="false">S265/G265</f>
        <v>48.4615384615385</v>
      </c>
      <c r="X265" s="9" t="s">
        <v>57</v>
      </c>
      <c r="Y265" s="40"/>
      <c r="AA265" s="5" t="s">
        <v>40</v>
      </c>
      <c r="AB265" s="4" t="s">
        <v>73</v>
      </c>
      <c r="AE265" s="57"/>
    </row>
    <row r="266" customFormat="false" ht="15" hidden="false" customHeight="false" outlineLevel="0" collapsed="false">
      <c r="A266" s="11" t="s">
        <v>228</v>
      </c>
      <c r="B266" s="11" t="s">
        <v>35</v>
      </c>
      <c r="C266" s="28" t="n">
        <v>550610</v>
      </c>
      <c r="D266" s="4" t="s">
        <v>563</v>
      </c>
      <c r="E266" s="4" t="s">
        <v>140</v>
      </c>
      <c r="F266" s="5" t="s">
        <v>37</v>
      </c>
      <c r="G266" s="6" t="n">
        <v>727</v>
      </c>
      <c r="H266" s="6" t="n">
        <f aca="false">G266</f>
        <v>727</v>
      </c>
      <c r="I266" s="6" t="n">
        <v>750</v>
      </c>
      <c r="J266" s="4" t="s">
        <v>63</v>
      </c>
      <c r="M266" s="8" t="n">
        <v>43080</v>
      </c>
      <c r="P266" s="9" t="n">
        <v>0</v>
      </c>
      <c r="Q266" s="9" t="n">
        <f aca="false">P266</f>
        <v>0</v>
      </c>
      <c r="S266" s="9" t="n">
        <v>35000</v>
      </c>
      <c r="T266" s="9" t="n">
        <f aca="false">S266</f>
        <v>35000</v>
      </c>
      <c r="U266" s="63" t="n">
        <v>41800</v>
      </c>
      <c r="V266" s="9" t="n">
        <f aca="false">U266</f>
        <v>41800</v>
      </c>
      <c r="W266" s="44" t="n">
        <f aca="false">S266/G266</f>
        <v>48.1430536451169</v>
      </c>
      <c r="X266" s="9" t="s">
        <v>57</v>
      </c>
      <c r="Y266" s="40"/>
      <c r="AA266" s="5" t="s">
        <v>40</v>
      </c>
      <c r="AB266" s="4" t="s">
        <v>115</v>
      </c>
      <c r="AC266" s="15" t="n">
        <v>62.5</v>
      </c>
      <c r="AE266" s="57"/>
    </row>
    <row r="267" customFormat="false" ht="15" hidden="false" customHeight="false" outlineLevel="0" collapsed="false">
      <c r="A267" s="11" t="s">
        <v>228</v>
      </c>
      <c r="B267" s="11" t="s">
        <v>35</v>
      </c>
      <c r="C267" s="28" t="n">
        <v>550610</v>
      </c>
      <c r="D267" s="4" t="s">
        <v>563</v>
      </c>
      <c r="E267" s="4" t="s">
        <v>545</v>
      </c>
      <c r="F267" s="5" t="s">
        <v>37</v>
      </c>
      <c r="G267" s="6" t="n">
        <v>760</v>
      </c>
      <c r="H267" s="6" t="n">
        <f aca="false">G267</f>
        <v>760</v>
      </c>
      <c r="I267" s="6" t="n">
        <v>750</v>
      </c>
      <c r="J267" s="4" t="s">
        <v>63</v>
      </c>
      <c r="M267" s="8" t="n">
        <v>43593</v>
      </c>
      <c r="P267" s="9" t="n">
        <v>0</v>
      </c>
      <c r="Q267" s="9" t="n">
        <f aca="false">P267</f>
        <v>0</v>
      </c>
      <c r="S267" s="9" t="n">
        <v>40000</v>
      </c>
      <c r="T267" s="9" t="n">
        <f aca="false">S267</f>
        <v>40000</v>
      </c>
      <c r="U267" s="63" t="n">
        <v>43700</v>
      </c>
      <c r="V267" s="9" t="n">
        <f aca="false">U267</f>
        <v>43700</v>
      </c>
      <c r="W267" s="44" t="n">
        <f aca="false">S267/G267</f>
        <v>52.6315789473684</v>
      </c>
      <c r="X267" s="9" t="s">
        <v>57</v>
      </c>
      <c r="Y267" s="40"/>
      <c r="AA267" s="5" t="s">
        <v>40</v>
      </c>
      <c r="AB267" s="4" t="s">
        <v>115</v>
      </c>
      <c r="AC267" s="15" t="n">
        <v>62.5</v>
      </c>
      <c r="AD267" s="4" t="n">
        <v>2</v>
      </c>
      <c r="AE267" s="57" t="n">
        <v>3</v>
      </c>
      <c r="AF267" s="4" t="s">
        <v>54</v>
      </c>
    </row>
    <row r="268" customFormat="false" ht="15" hidden="false" customHeight="false" outlineLevel="0" collapsed="false">
      <c r="A268" s="11" t="s">
        <v>228</v>
      </c>
      <c r="B268" s="11" t="s">
        <v>35</v>
      </c>
      <c r="C268" s="28" t="n">
        <v>550610</v>
      </c>
      <c r="D268" s="4" t="s">
        <v>563</v>
      </c>
      <c r="E268" s="4" t="s">
        <v>142</v>
      </c>
      <c r="F268" s="5" t="s">
        <v>37</v>
      </c>
      <c r="G268" s="6" t="n">
        <v>666</v>
      </c>
      <c r="H268" s="6" t="n">
        <f aca="false">G268</f>
        <v>666</v>
      </c>
      <c r="I268" s="6" t="n">
        <v>750</v>
      </c>
      <c r="J268" s="4" t="s">
        <v>63</v>
      </c>
      <c r="M268" s="8" t="n">
        <v>42905</v>
      </c>
      <c r="P268" s="9" t="n">
        <v>0</v>
      </c>
      <c r="Q268" s="9" t="n">
        <f aca="false">P268</f>
        <v>0</v>
      </c>
      <c r="S268" s="9" t="n">
        <v>35000</v>
      </c>
      <c r="T268" s="9" t="n">
        <f aca="false">S268</f>
        <v>35000</v>
      </c>
      <c r="U268" s="63" t="n">
        <v>38300</v>
      </c>
      <c r="V268" s="9" t="n">
        <f aca="false">U268</f>
        <v>38300</v>
      </c>
      <c r="W268" s="44" t="n">
        <f aca="false">S268/G268</f>
        <v>52.5525525525526</v>
      </c>
      <c r="X268" s="9" t="s">
        <v>57</v>
      </c>
      <c r="Y268" s="40"/>
      <c r="AA268" s="5" t="s">
        <v>40</v>
      </c>
      <c r="AB268" s="4" t="s">
        <v>115</v>
      </c>
      <c r="AC268" s="15" t="n">
        <v>62.5</v>
      </c>
      <c r="AD268" s="4" t="n">
        <v>0</v>
      </c>
      <c r="AE268" s="57" t="n">
        <v>1</v>
      </c>
      <c r="AF268" s="4" t="s">
        <v>54</v>
      </c>
    </row>
    <row r="269" customFormat="false" ht="15" hidden="false" customHeight="false" outlineLevel="0" collapsed="false">
      <c r="A269" s="11" t="s">
        <v>228</v>
      </c>
      <c r="B269" s="11" t="s">
        <v>35</v>
      </c>
      <c r="C269" s="28" t="n">
        <v>550610</v>
      </c>
      <c r="D269" s="4" t="s">
        <v>563</v>
      </c>
      <c r="E269" s="4" t="s">
        <v>151</v>
      </c>
      <c r="F269" s="5" t="s">
        <v>37</v>
      </c>
      <c r="G269" s="6" t="n">
        <v>767</v>
      </c>
      <c r="H269" s="6" t="n">
        <f aca="false">G269</f>
        <v>767</v>
      </c>
      <c r="I269" s="6" t="n">
        <v>750</v>
      </c>
      <c r="J269" s="4" t="s">
        <v>63</v>
      </c>
      <c r="M269" s="8" t="n">
        <v>45719</v>
      </c>
      <c r="P269" s="9" t="n">
        <v>0</v>
      </c>
      <c r="Q269" s="9" t="n">
        <f aca="false">P269</f>
        <v>0</v>
      </c>
      <c r="S269" s="9" t="n">
        <v>40000</v>
      </c>
      <c r="T269" s="9" t="n">
        <f aca="false">S269</f>
        <v>40000</v>
      </c>
      <c r="U269" s="63" t="n">
        <v>44100</v>
      </c>
      <c r="V269" s="9" t="n">
        <f aca="false">U269</f>
        <v>44100</v>
      </c>
      <c r="W269" s="44" t="n">
        <f aca="false">S269/G269</f>
        <v>52.1512385919166</v>
      </c>
      <c r="X269" s="9" t="s">
        <v>57</v>
      </c>
      <c r="Y269" s="40"/>
      <c r="AA269" s="5" t="s">
        <v>40</v>
      </c>
      <c r="AB269" s="4" t="s">
        <v>115</v>
      </c>
      <c r="AD269" s="58"/>
      <c r="AE269" s="59"/>
      <c r="AF269" s="58"/>
    </row>
    <row r="270" customFormat="false" ht="15" hidden="false" customHeight="false" outlineLevel="0" collapsed="false">
      <c r="A270" s="11" t="s">
        <v>228</v>
      </c>
      <c r="B270" s="11" t="s">
        <v>35</v>
      </c>
      <c r="C270" s="28" t="n">
        <v>550610</v>
      </c>
      <c r="D270" s="4" t="s">
        <v>563</v>
      </c>
      <c r="E270" s="4" t="s">
        <v>148</v>
      </c>
      <c r="F270" s="5" t="s">
        <v>37</v>
      </c>
      <c r="G270" s="6" t="n">
        <v>645</v>
      </c>
      <c r="H270" s="6" t="n">
        <f aca="false">G270</f>
        <v>645</v>
      </c>
      <c r="I270" s="6" t="n">
        <v>750</v>
      </c>
      <c r="J270" s="4" t="s">
        <v>63</v>
      </c>
      <c r="M270" s="8" t="n">
        <v>44263</v>
      </c>
      <c r="P270" s="9" t="n">
        <v>0</v>
      </c>
      <c r="Q270" s="9" t="n">
        <f aca="false">P270</f>
        <v>0</v>
      </c>
      <c r="S270" s="9" t="n">
        <v>35000</v>
      </c>
      <c r="T270" s="9" t="n">
        <f aca="false">S270</f>
        <v>35000</v>
      </c>
      <c r="U270" s="63" t="n">
        <v>37100</v>
      </c>
      <c r="V270" s="9" t="n">
        <f aca="false">U270</f>
        <v>37100</v>
      </c>
      <c r="W270" s="44" t="n">
        <f aca="false">S270/G270</f>
        <v>54.2635658914729</v>
      </c>
      <c r="X270" s="9" t="s">
        <v>57</v>
      </c>
      <c r="Y270" s="40"/>
      <c r="AA270" s="5" t="s">
        <v>40</v>
      </c>
      <c r="AB270" s="4" t="s">
        <v>115</v>
      </c>
      <c r="AC270" s="15" t="n">
        <v>60</v>
      </c>
      <c r="AE270" s="57"/>
    </row>
    <row r="271" customFormat="false" ht="15" hidden="false" customHeight="false" outlineLevel="0" collapsed="false">
      <c r="A271" s="11" t="s">
        <v>228</v>
      </c>
      <c r="B271" s="11" t="s">
        <v>35</v>
      </c>
      <c r="C271" s="28" t="n">
        <v>550610</v>
      </c>
      <c r="D271" s="4" t="s">
        <v>563</v>
      </c>
      <c r="E271" s="4" t="s">
        <v>152</v>
      </c>
      <c r="F271" s="5" t="s">
        <v>37</v>
      </c>
      <c r="G271" s="6" t="n">
        <v>767</v>
      </c>
      <c r="H271" s="6" t="n">
        <f aca="false">G271</f>
        <v>767</v>
      </c>
      <c r="I271" s="6" t="n">
        <v>750</v>
      </c>
      <c r="J271" s="4" t="s">
        <v>63</v>
      </c>
      <c r="M271" s="8" t="n">
        <v>44263</v>
      </c>
      <c r="P271" s="9" t="n">
        <v>0</v>
      </c>
      <c r="Q271" s="9" t="n">
        <f aca="false">P271</f>
        <v>0</v>
      </c>
      <c r="S271" s="9" t="n">
        <v>40000</v>
      </c>
      <c r="T271" s="9" t="n">
        <f aca="false">S271</f>
        <v>40000</v>
      </c>
      <c r="U271" s="63" t="n">
        <v>44100</v>
      </c>
      <c r="V271" s="9" t="n">
        <f aca="false">U271</f>
        <v>44100</v>
      </c>
      <c r="W271" s="44" t="n">
        <f aca="false">S271/G271</f>
        <v>52.1512385919166</v>
      </c>
      <c r="X271" s="9" t="s">
        <v>57</v>
      </c>
      <c r="Y271" s="40"/>
      <c r="AA271" s="5" t="s">
        <v>40</v>
      </c>
      <c r="AB271" s="4" t="s">
        <v>115</v>
      </c>
      <c r="AC271" s="15" t="n">
        <v>60</v>
      </c>
      <c r="AE271" s="57"/>
    </row>
    <row r="272" customFormat="false" ht="15" hidden="false" customHeight="false" outlineLevel="0" collapsed="false">
      <c r="A272" s="11" t="s">
        <v>228</v>
      </c>
      <c r="B272" s="11" t="s">
        <v>35</v>
      </c>
      <c r="C272" s="28" t="n">
        <v>550610</v>
      </c>
      <c r="D272" s="4" t="s">
        <v>563</v>
      </c>
      <c r="E272" s="4" t="s">
        <v>154</v>
      </c>
      <c r="F272" s="5" t="s">
        <v>37</v>
      </c>
      <c r="G272" s="6" t="n">
        <v>534</v>
      </c>
      <c r="H272" s="6" t="n">
        <f aca="false">G272</f>
        <v>534</v>
      </c>
      <c r="I272" s="6" t="n">
        <v>500</v>
      </c>
      <c r="J272" s="4" t="s">
        <v>63</v>
      </c>
      <c r="M272" s="8" t="n">
        <v>43061</v>
      </c>
      <c r="P272" s="9" t="n">
        <v>0</v>
      </c>
      <c r="Q272" s="9" t="n">
        <f aca="false">P272</f>
        <v>0</v>
      </c>
      <c r="S272" s="9" t="n">
        <v>0</v>
      </c>
      <c r="T272" s="9" t="n">
        <f aca="false">S272</f>
        <v>0</v>
      </c>
      <c r="U272" s="63" t="n">
        <v>30700</v>
      </c>
      <c r="V272" s="9" t="n">
        <f aca="false">U272</f>
        <v>30700</v>
      </c>
      <c r="W272" s="44" t="n">
        <f aca="false">S272/G272</f>
        <v>0</v>
      </c>
      <c r="X272" s="9" t="s">
        <v>57</v>
      </c>
      <c r="Y272" s="40"/>
      <c r="AA272" s="5" t="s">
        <v>40</v>
      </c>
      <c r="AB272" s="4" t="s">
        <v>115</v>
      </c>
      <c r="AC272" s="15" t="n">
        <v>60</v>
      </c>
      <c r="AE272" s="57"/>
    </row>
    <row r="273" customFormat="false" ht="15" hidden="false" customHeight="false" outlineLevel="0" collapsed="false">
      <c r="A273" s="11" t="s">
        <v>228</v>
      </c>
      <c r="B273" s="11" t="s">
        <v>35</v>
      </c>
      <c r="C273" s="28" t="n">
        <v>550620</v>
      </c>
      <c r="D273" s="4" t="s">
        <v>579</v>
      </c>
      <c r="E273" s="4" t="s">
        <v>258</v>
      </c>
      <c r="F273" s="5" t="s">
        <v>252</v>
      </c>
      <c r="G273" s="6" t="n">
        <v>930</v>
      </c>
      <c r="H273" s="6" t="n">
        <f aca="false">G273</f>
        <v>930</v>
      </c>
      <c r="I273" s="6" t="n">
        <v>1000</v>
      </c>
      <c r="J273" s="4" t="s">
        <v>580</v>
      </c>
      <c r="K273" s="7" t="n">
        <v>45588</v>
      </c>
      <c r="L273" s="8" t="n">
        <v>46132</v>
      </c>
      <c r="P273" s="9" t="n">
        <v>46500</v>
      </c>
      <c r="Q273" s="9" t="n">
        <f aca="false">P273</f>
        <v>46500</v>
      </c>
      <c r="S273" s="9" t="n">
        <v>45350</v>
      </c>
      <c r="T273" s="9" t="n">
        <f aca="false">S273</f>
        <v>45350</v>
      </c>
      <c r="U273" s="63" t="n">
        <v>45350</v>
      </c>
      <c r="V273" s="9" t="n">
        <f aca="false">U273</f>
        <v>45350</v>
      </c>
      <c r="W273" s="44" t="n">
        <f aca="false">S273/G273</f>
        <v>48.7634408602151</v>
      </c>
      <c r="X273" s="63" t="s">
        <v>52</v>
      </c>
      <c r="Y273" s="40"/>
      <c r="Z273" s="43"/>
      <c r="AA273" s="5" t="s">
        <v>40</v>
      </c>
      <c r="AE273" s="57"/>
    </row>
    <row r="274" customFormat="false" ht="15" hidden="false" customHeight="false" outlineLevel="0" collapsed="false">
      <c r="A274" s="11" t="s">
        <v>228</v>
      </c>
      <c r="B274" s="11" t="s">
        <v>35</v>
      </c>
      <c r="C274" s="28" t="n">
        <v>550620</v>
      </c>
      <c r="D274" s="4" t="s">
        <v>579</v>
      </c>
      <c r="E274" s="4" t="s">
        <v>85</v>
      </c>
      <c r="F274" s="5" t="s">
        <v>37</v>
      </c>
      <c r="G274" s="6" t="n">
        <v>360</v>
      </c>
      <c r="H274" s="6" t="n">
        <f aca="false">G274</f>
        <v>360</v>
      </c>
      <c r="I274" s="6" t="n">
        <v>250</v>
      </c>
      <c r="J274" s="4" t="s">
        <v>580</v>
      </c>
      <c r="K274" s="7" t="n">
        <v>44307</v>
      </c>
      <c r="L274" s="8" t="n">
        <v>46132</v>
      </c>
      <c r="P274" s="9" t="n">
        <v>18500</v>
      </c>
      <c r="Q274" s="9" t="n">
        <f aca="false">P274</f>
        <v>18500</v>
      </c>
      <c r="S274" s="9" t="n">
        <v>20200</v>
      </c>
      <c r="T274" s="9" t="n">
        <f aca="false">S274</f>
        <v>20200</v>
      </c>
      <c r="U274" s="63" t="n">
        <v>21200</v>
      </c>
      <c r="V274" s="9" t="n">
        <f aca="false">U274</f>
        <v>21200</v>
      </c>
      <c r="W274" s="44" t="n">
        <f aca="false">S274/G274</f>
        <v>56.1111111111111</v>
      </c>
      <c r="X274" s="9" t="s">
        <v>57</v>
      </c>
      <c r="Y274" s="40"/>
      <c r="Z274" s="43"/>
      <c r="AA274" s="5" t="s">
        <v>40</v>
      </c>
      <c r="AE274" s="57"/>
    </row>
    <row r="275" customFormat="false" ht="37.3" hidden="false" customHeight="false" outlineLevel="0" collapsed="false">
      <c r="A275" s="11" t="s">
        <v>228</v>
      </c>
      <c r="B275" s="11" t="s">
        <v>35</v>
      </c>
      <c r="C275" s="28" t="n">
        <v>550620</v>
      </c>
      <c r="D275" s="4" t="s">
        <v>579</v>
      </c>
      <c r="E275" s="4" t="s">
        <v>89</v>
      </c>
      <c r="F275" s="5" t="s">
        <v>37</v>
      </c>
      <c r="G275" s="6" t="n">
        <v>375</v>
      </c>
      <c r="H275" s="6" t="n">
        <f aca="false">G275</f>
        <v>375</v>
      </c>
      <c r="I275" s="6" t="n">
        <v>500</v>
      </c>
      <c r="J275" s="58" t="s">
        <v>581</v>
      </c>
      <c r="K275" s="78" t="n">
        <v>45891</v>
      </c>
      <c r="L275" s="79" t="n">
        <v>46986</v>
      </c>
      <c r="M275" s="79"/>
      <c r="N275" s="79"/>
      <c r="O275" s="79" t="n">
        <v>46440</v>
      </c>
      <c r="P275" s="63" t="n">
        <v>0</v>
      </c>
      <c r="Q275" s="9" t="n">
        <f aca="false">P275</f>
        <v>0</v>
      </c>
      <c r="S275" s="9" t="n">
        <v>21000</v>
      </c>
      <c r="T275" s="9" t="n">
        <f aca="false">S275</f>
        <v>21000</v>
      </c>
      <c r="U275" s="63" t="n">
        <v>22100</v>
      </c>
      <c r="V275" s="9" t="n">
        <f aca="false">U275</f>
        <v>22100</v>
      </c>
      <c r="W275" s="44" t="n">
        <f aca="false">S275/G275</f>
        <v>56</v>
      </c>
      <c r="X275" s="9" t="s">
        <v>57</v>
      </c>
      <c r="Y275" s="40"/>
      <c r="Z275" s="43"/>
      <c r="AA275" s="5" t="s">
        <v>40</v>
      </c>
      <c r="AB275" s="58" t="s">
        <v>582</v>
      </c>
      <c r="AE275" s="57"/>
    </row>
    <row r="276" customFormat="false" ht="15" hidden="false" customHeight="false" outlineLevel="0" collapsed="false">
      <c r="A276" s="11" t="s">
        <v>228</v>
      </c>
      <c r="B276" s="11" t="s">
        <v>35</v>
      </c>
      <c r="C276" s="28" t="n">
        <v>550620</v>
      </c>
      <c r="D276" s="4" t="s">
        <v>579</v>
      </c>
      <c r="E276" s="4" t="s">
        <v>90</v>
      </c>
      <c r="F276" s="5" t="s">
        <v>37</v>
      </c>
      <c r="G276" s="6" t="n">
        <v>350</v>
      </c>
      <c r="H276" s="6" t="n">
        <f aca="false">G276</f>
        <v>350</v>
      </c>
      <c r="I276" s="6" t="n">
        <v>500</v>
      </c>
      <c r="J276" s="4" t="s">
        <v>583</v>
      </c>
      <c r="K276" s="7" t="n">
        <v>44974</v>
      </c>
      <c r="L276" s="8" t="n">
        <v>46799</v>
      </c>
      <c r="O276" s="8" t="n">
        <v>46069</v>
      </c>
      <c r="P276" s="9" t="n">
        <v>19600</v>
      </c>
      <c r="Q276" s="9" t="n">
        <f aca="false">P276</f>
        <v>19600</v>
      </c>
      <c r="S276" s="9" t="n">
        <v>19600</v>
      </c>
      <c r="T276" s="9" t="n">
        <f aca="false">S276</f>
        <v>19600</v>
      </c>
      <c r="U276" s="63" t="n">
        <v>20700</v>
      </c>
      <c r="V276" s="9" t="n">
        <f aca="false">U276</f>
        <v>20700</v>
      </c>
      <c r="W276" s="44" t="n">
        <f aca="false">S276/G276</f>
        <v>56</v>
      </c>
      <c r="X276" s="9" t="s">
        <v>57</v>
      </c>
      <c r="Y276" s="40"/>
      <c r="Z276" s="43"/>
      <c r="AA276" s="5" t="s">
        <v>40</v>
      </c>
      <c r="AB276" s="4" t="s">
        <v>73</v>
      </c>
      <c r="AE276" s="57"/>
    </row>
    <row r="277" customFormat="false" ht="28.35" hidden="false" customHeight="false" outlineLevel="0" collapsed="false">
      <c r="A277" s="11" t="s">
        <v>228</v>
      </c>
      <c r="B277" s="11" t="s">
        <v>35</v>
      </c>
      <c r="C277" s="28" t="n">
        <v>550620</v>
      </c>
      <c r="D277" s="4" t="s">
        <v>579</v>
      </c>
      <c r="E277" s="4" t="s">
        <v>114</v>
      </c>
      <c r="F277" s="5" t="s">
        <v>37</v>
      </c>
      <c r="G277" s="6" t="n">
        <v>350</v>
      </c>
      <c r="H277" s="6" t="n">
        <f aca="false">G277</f>
        <v>350</v>
      </c>
      <c r="I277" s="6" t="n">
        <v>500</v>
      </c>
      <c r="J277" s="4" t="s">
        <v>584</v>
      </c>
      <c r="K277" s="7" t="n">
        <v>45359</v>
      </c>
      <c r="L277" s="8" t="n">
        <v>46453</v>
      </c>
      <c r="O277" s="8" t="n">
        <v>45907</v>
      </c>
      <c r="P277" s="9" t="n">
        <v>19600</v>
      </c>
      <c r="Q277" s="9" t="n">
        <f aca="false">P277</f>
        <v>19600</v>
      </c>
      <c r="S277" s="9" t="n">
        <v>17500</v>
      </c>
      <c r="T277" s="9" t="n">
        <f aca="false">S277</f>
        <v>17500</v>
      </c>
      <c r="U277" s="63" t="n">
        <v>20000</v>
      </c>
      <c r="V277" s="9" t="n">
        <f aca="false">U277</f>
        <v>20000</v>
      </c>
      <c r="W277" s="44" t="n">
        <f aca="false">S277/G277</f>
        <v>50</v>
      </c>
      <c r="X277" s="9" t="s">
        <v>57</v>
      </c>
      <c r="Y277" s="40"/>
      <c r="Z277" s="43"/>
      <c r="AA277" s="5" t="s">
        <v>40</v>
      </c>
      <c r="AB277" s="4" t="s">
        <v>585</v>
      </c>
      <c r="AE277" s="57"/>
    </row>
    <row r="278" customFormat="false" ht="19.4" hidden="false" customHeight="false" outlineLevel="0" collapsed="false">
      <c r="A278" s="11" t="s">
        <v>228</v>
      </c>
      <c r="B278" s="11" t="s">
        <v>35</v>
      </c>
      <c r="C278" s="28" t="n">
        <v>550620</v>
      </c>
      <c r="D278" s="4" t="s">
        <v>579</v>
      </c>
      <c r="E278" s="4" t="s">
        <v>176</v>
      </c>
      <c r="F278" s="5" t="s">
        <v>37</v>
      </c>
      <c r="G278" s="6" t="n">
        <v>350</v>
      </c>
      <c r="H278" s="6" t="n">
        <f aca="false">G278</f>
        <v>350</v>
      </c>
      <c r="I278" s="6" t="n">
        <v>500</v>
      </c>
      <c r="J278" s="4" t="s">
        <v>586</v>
      </c>
      <c r="K278" s="7" t="n">
        <v>45744</v>
      </c>
      <c r="L278" s="8" t="n">
        <v>47569</v>
      </c>
      <c r="O278" s="8" t="n">
        <v>46839</v>
      </c>
      <c r="P278" s="9" t="n">
        <v>19950</v>
      </c>
      <c r="Q278" s="9" t="n">
        <f aca="false">P278</f>
        <v>19950</v>
      </c>
      <c r="S278" s="9" t="n">
        <v>17500</v>
      </c>
      <c r="T278" s="9" t="n">
        <f aca="false">S278</f>
        <v>17500</v>
      </c>
      <c r="U278" s="63" t="n">
        <v>20300</v>
      </c>
      <c r="V278" s="9" t="n">
        <f aca="false">U278</f>
        <v>20300</v>
      </c>
      <c r="W278" s="44" t="n">
        <f aca="false">S278/G278</f>
        <v>50</v>
      </c>
      <c r="X278" s="9" t="s">
        <v>57</v>
      </c>
      <c r="Y278" s="40"/>
      <c r="Z278" s="43"/>
      <c r="AA278" s="5" t="s">
        <v>40</v>
      </c>
      <c r="AB278" s="4" t="s">
        <v>558</v>
      </c>
      <c r="AD278" s="4" t="n">
        <v>1</v>
      </c>
      <c r="AE278" s="57" t="n">
        <v>3</v>
      </c>
      <c r="AF278" s="4" t="s">
        <v>54</v>
      </c>
    </row>
    <row r="279" customFormat="false" ht="15" hidden="false" customHeight="false" outlineLevel="0" collapsed="false">
      <c r="A279" s="11" t="s">
        <v>185</v>
      </c>
      <c r="B279" s="11" t="s">
        <v>35</v>
      </c>
      <c r="C279" s="28" t="n">
        <v>550640</v>
      </c>
      <c r="D279" s="4" t="s">
        <v>587</v>
      </c>
      <c r="E279" s="4" t="s">
        <v>588</v>
      </c>
      <c r="F279" s="5" t="s">
        <v>37</v>
      </c>
      <c r="G279" s="6" t="n">
        <v>3760</v>
      </c>
      <c r="H279" s="6" t="n">
        <f aca="false">G279</f>
        <v>3760</v>
      </c>
      <c r="I279" s="6" t="n">
        <v>2750</v>
      </c>
      <c r="J279" s="4" t="s">
        <v>589</v>
      </c>
      <c r="K279" s="7" t="n">
        <v>44769</v>
      </c>
      <c r="L279" s="8" t="n">
        <v>46594</v>
      </c>
      <c r="P279" s="9" t="n">
        <v>95000</v>
      </c>
      <c r="Q279" s="9" t="n">
        <f aca="false">P279</f>
        <v>95000</v>
      </c>
      <c r="S279" s="9" t="n">
        <v>95000</v>
      </c>
      <c r="T279" s="9" t="n">
        <f aca="false">S279</f>
        <v>95000</v>
      </c>
      <c r="U279" s="63" t="n">
        <v>95000</v>
      </c>
      <c r="V279" s="9" t="n">
        <f aca="false">U279</f>
        <v>95000</v>
      </c>
      <c r="W279" s="44" t="n">
        <f aca="false">S279/G279</f>
        <v>25.2659574468085</v>
      </c>
      <c r="X279" s="9" t="s">
        <v>123</v>
      </c>
      <c r="Y279" s="40"/>
      <c r="AA279" s="5" t="s">
        <v>40</v>
      </c>
      <c r="AE279" s="57"/>
    </row>
    <row r="280" customFormat="false" ht="37.3" hidden="false" customHeight="false" outlineLevel="0" collapsed="false">
      <c r="A280" s="11" t="s">
        <v>185</v>
      </c>
      <c r="B280" s="11" t="s">
        <v>35</v>
      </c>
      <c r="C280" s="28" t="n">
        <v>550640</v>
      </c>
      <c r="D280" s="4" t="s">
        <v>587</v>
      </c>
      <c r="E280" s="4" t="s">
        <v>590</v>
      </c>
      <c r="F280" s="5" t="s">
        <v>591</v>
      </c>
      <c r="G280" s="6" t="n">
        <v>7994</v>
      </c>
      <c r="H280" s="6" t="n">
        <f aca="false">G280</f>
        <v>7994</v>
      </c>
      <c r="I280" s="6" t="n">
        <v>8000</v>
      </c>
      <c r="J280" s="4" t="s">
        <v>592</v>
      </c>
      <c r="K280" s="7" t="n">
        <v>45417</v>
      </c>
      <c r="L280" s="8" t="n">
        <v>49068</v>
      </c>
      <c r="N280" s="8" t="n">
        <v>47243</v>
      </c>
      <c r="O280" s="8" t="n">
        <v>47242</v>
      </c>
      <c r="P280" s="9" t="n">
        <v>424275</v>
      </c>
      <c r="Q280" s="9" t="n">
        <f aca="false">P280</f>
        <v>424275</v>
      </c>
      <c r="S280" s="9" t="n">
        <v>379100</v>
      </c>
      <c r="T280" s="9" t="n">
        <f aca="false">S280</f>
        <v>379100</v>
      </c>
      <c r="U280" s="63" t="n">
        <v>424275</v>
      </c>
      <c r="V280" s="9" t="n">
        <f aca="false">U280</f>
        <v>424275</v>
      </c>
      <c r="W280" s="44" t="n">
        <f aca="false">S280/G280</f>
        <v>47.4230673004754</v>
      </c>
      <c r="X280" s="9" t="s">
        <v>52</v>
      </c>
      <c r="Y280" s="40"/>
      <c r="AA280" s="5" t="s">
        <v>40</v>
      </c>
      <c r="AB280" s="4" t="s">
        <v>593</v>
      </c>
      <c r="AE280" s="57"/>
    </row>
    <row r="281" customFormat="false" ht="15" hidden="false" customHeight="false" outlineLevel="0" collapsed="false">
      <c r="A281" s="11" t="s">
        <v>185</v>
      </c>
      <c r="B281" s="11" t="s">
        <v>35</v>
      </c>
      <c r="C281" s="28" t="n">
        <v>550640</v>
      </c>
      <c r="D281" s="4" t="s">
        <v>587</v>
      </c>
      <c r="E281" s="4" t="s">
        <v>321</v>
      </c>
      <c r="F281" s="5" t="s">
        <v>37</v>
      </c>
      <c r="G281" s="6" t="n">
        <v>2106</v>
      </c>
      <c r="H281" s="6" t="n">
        <f aca="false">G281</f>
        <v>2106</v>
      </c>
      <c r="I281" s="6" t="n">
        <v>2000</v>
      </c>
      <c r="J281" s="4" t="s">
        <v>594</v>
      </c>
      <c r="K281" s="7" t="n">
        <v>44317</v>
      </c>
      <c r="L281" s="8" t="n">
        <v>46142</v>
      </c>
      <c r="P281" s="9" t="n">
        <v>115500</v>
      </c>
      <c r="Q281" s="9" t="n">
        <f aca="false">P281</f>
        <v>115500</v>
      </c>
      <c r="S281" s="9" t="n">
        <v>120700</v>
      </c>
      <c r="T281" s="9" t="n">
        <f aca="false">S281</f>
        <v>120700</v>
      </c>
      <c r="U281" s="63" t="n">
        <v>133700</v>
      </c>
      <c r="V281" s="9" t="n">
        <f aca="false">U281</f>
        <v>133700</v>
      </c>
      <c r="W281" s="44" t="n">
        <f aca="false">S281/G281</f>
        <v>57.312440645774</v>
      </c>
      <c r="X281" s="9" t="s">
        <v>57</v>
      </c>
      <c r="Y281" s="40"/>
      <c r="AA281" s="5" t="s">
        <v>40</v>
      </c>
      <c r="AE281" s="57"/>
    </row>
    <row r="282" customFormat="false" ht="15" hidden="false" customHeight="false" outlineLevel="0" collapsed="false">
      <c r="A282" s="11" t="s">
        <v>185</v>
      </c>
      <c r="B282" s="11" t="s">
        <v>35</v>
      </c>
      <c r="C282" s="28" t="n">
        <v>550640</v>
      </c>
      <c r="D282" s="4" t="s">
        <v>587</v>
      </c>
      <c r="E282" s="4" t="s">
        <v>324</v>
      </c>
      <c r="F282" s="5" t="s">
        <v>37</v>
      </c>
      <c r="G282" s="6" t="n">
        <v>1218</v>
      </c>
      <c r="H282" s="6" t="n">
        <f aca="false">G282</f>
        <v>1218</v>
      </c>
      <c r="I282" s="6" t="n">
        <v>1250</v>
      </c>
      <c r="J282" s="4" t="s">
        <v>63</v>
      </c>
      <c r="M282" s="8" t="n">
        <v>42705</v>
      </c>
      <c r="P282" s="9" t="n">
        <v>0</v>
      </c>
      <c r="Q282" s="9" t="n">
        <f aca="false">P282</f>
        <v>0</v>
      </c>
      <c r="S282" s="9" t="n">
        <v>61500</v>
      </c>
      <c r="T282" s="9" t="n">
        <f aca="false">S282</f>
        <v>61500</v>
      </c>
      <c r="U282" s="63" t="n">
        <v>67000</v>
      </c>
      <c r="V282" s="9" t="n">
        <f aca="false">U282</f>
        <v>67000</v>
      </c>
      <c r="W282" s="44" t="n">
        <f aca="false">S282/G282</f>
        <v>50.4926108374384</v>
      </c>
      <c r="X282" s="9" t="s">
        <v>57</v>
      </c>
      <c r="Y282" s="40"/>
      <c r="AA282" s="5" t="s">
        <v>40</v>
      </c>
      <c r="AB282" s="4" t="s">
        <v>115</v>
      </c>
      <c r="AC282" s="15" t="n">
        <v>62.5</v>
      </c>
      <c r="AE282" s="57"/>
    </row>
    <row r="283" customFormat="false" ht="15" hidden="false" customHeight="false" outlineLevel="0" collapsed="false">
      <c r="A283" s="11" t="s">
        <v>185</v>
      </c>
      <c r="B283" s="11" t="s">
        <v>35</v>
      </c>
      <c r="C283" s="28" t="n">
        <v>550640</v>
      </c>
      <c r="D283" s="4" t="s">
        <v>587</v>
      </c>
      <c r="E283" s="4" t="s">
        <v>595</v>
      </c>
      <c r="F283" s="5" t="s">
        <v>37</v>
      </c>
      <c r="G283" s="6" t="n">
        <v>2256</v>
      </c>
      <c r="H283" s="6" t="n">
        <f aca="false">G283</f>
        <v>2256</v>
      </c>
      <c r="I283" s="6" t="n">
        <v>2250</v>
      </c>
      <c r="J283" s="4" t="s">
        <v>63</v>
      </c>
      <c r="M283" s="8" t="n">
        <v>44782</v>
      </c>
      <c r="P283" s="9" t="n">
        <v>0</v>
      </c>
      <c r="Q283" s="9" t="n">
        <f aca="false">P283</f>
        <v>0</v>
      </c>
      <c r="S283" s="9" t="n">
        <v>129200</v>
      </c>
      <c r="T283" s="9" t="n">
        <f aca="false">S283</f>
        <v>129200</v>
      </c>
      <c r="U283" s="63" t="n">
        <v>135400</v>
      </c>
      <c r="V283" s="9" t="n">
        <f aca="false">U283</f>
        <v>135400</v>
      </c>
      <c r="W283" s="44" t="n">
        <f aca="false">S283/G283</f>
        <v>57.2695035460993</v>
      </c>
      <c r="X283" s="9" t="s">
        <v>57</v>
      </c>
      <c r="Y283" s="40"/>
      <c r="AA283" s="5" t="s">
        <v>40</v>
      </c>
      <c r="AB283" s="4" t="s">
        <v>115</v>
      </c>
      <c r="AC283" s="15" t="n">
        <v>62.5</v>
      </c>
      <c r="AD283" s="4" t="n">
        <v>1</v>
      </c>
      <c r="AE283" s="57" t="n">
        <v>1</v>
      </c>
    </row>
    <row r="284" customFormat="false" ht="15" hidden="false" customHeight="false" outlineLevel="0" collapsed="false">
      <c r="A284" s="11" t="s">
        <v>185</v>
      </c>
      <c r="B284" s="11" t="s">
        <v>35</v>
      </c>
      <c r="C284" s="28" t="n">
        <v>550640</v>
      </c>
      <c r="D284" s="4" t="s">
        <v>587</v>
      </c>
      <c r="E284" s="4" t="s">
        <v>577</v>
      </c>
      <c r="F284" s="5" t="s">
        <v>37</v>
      </c>
      <c r="G284" s="6" t="n">
        <v>1218</v>
      </c>
      <c r="H284" s="6" t="n">
        <f aca="false">G284</f>
        <v>1218</v>
      </c>
      <c r="I284" s="6" t="n">
        <v>1250</v>
      </c>
      <c r="J284" s="4" t="s">
        <v>63</v>
      </c>
      <c r="M284" s="8" t="n">
        <v>42513</v>
      </c>
      <c r="P284" s="9" t="n">
        <v>0</v>
      </c>
      <c r="Q284" s="9" t="n">
        <f aca="false">P284</f>
        <v>0</v>
      </c>
      <c r="S284" s="9" t="n">
        <v>59700</v>
      </c>
      <c r="T284" s="9" t="n">
        <f aca="false">S284</f>
        <v>59700</v>
      </c>
      <c r="U284" s="63" t="n">
        <v>67000</v>
      </c>
      <c r="V284" s="9" t="n">
        <f aca="false">U284</f>
        <v>67000</v>
      </c>
      <c r="W284" s="44" t="n">
        <f aca="false">S284/G284</f>
        <v>49.0147783251232</v>
      </c>
      <c r="X284" s="9" t="s">
        <v>123</v>
      </c>
      <c r="Y284" s="40"/>
      <c r="AA284" s="5" t="s">
        <v>40</v>
      </c>
      <c r="AB284" s="4" t="s">
        <v>115</v>
      </c>
      <c r="AC284" s="15" t="n">
        <v>62.5</v>
      </c>
      <c r="AE284" s="57"/>
    </row>
    <row r="285" customFormat="false" ht="15" hidden="false" customHeight="false" outlineLevel="0" collapsed="false">
      <c r="A285" s="11" t="s">
        <v>185</v>
      </c>
      <c r="B285" s="11" t="s">
        <v>35</v>
      </c>
      <c r="C285" s="28" t="n">
        <v>550640</v>
      </c>
      <c r="D285" s="4" t="s">
        <v>587</v>
      </c>
      <c r="E285" s="4" t="s">
        <v>90</v>
      </c>
      <c r="F285" s="5" t="s">
        <v>37</v>
      </c>
      <c r="G285" s="6" t="n">
        <v>2194</v>
      </c>
      <c r="H285" s="6" t="n">
        <f aca="false">G285</f>
        <v>2194</v>
      </c>
      <c r="I285" s="6" t="n">
        <v>2000</v>
      </c>
      <c r="J285" s="4" t="s">
        <v>596</v>
      </c>
      <c r="K285" s="7" t="n">
        <v>45082</v>
      </c>
      <c r="L285" s="8" t="n">
        <v>46908</v>
      </c>
      <c r="O285" s="8" t="n">
        <v>46177</v>
      </c>
      <c r="P285" s="9" t="n">
        <v>130980</v>
      </c>
      <c r="Q285" s="9" t="n">
        <f aca="false">P285</f>
        <v>130980</v>
      </c>
      <c r="S285" s="9" t="n">
        <v>122200</v>
      </c>
      <c r="T285" s="9" t="n">
        <f aca="false">S285</f>
        <v>122200</v>
      </c>
      <c r="U285" s="63" t="n">
        <v>134900</v>
      </c>
      <c r="V285" s="9" t="n">
        <f aca="false">U285</f>
        <v>134900</v>
      </c>
      <c r="W285" s="44" t="n">
        <f aca="false">S285/G285</f>
        <v>55.6973564266181</v>
      </c>
      <c r="X285" s="9" t="s">
        <v>39</v>
      </c>
      <c r="Y285" s="40"/>
      <c r="AA285" s="5" t="s">
        <v>40</v>
      </c>
      <c r="AB285" s="4" t="s">
        <v>73</v>
      </c>
      <c r="AD285" s="58"/>
      <c r="AE285" s="59"/>
      <c r="AF285" s="58"/>
    </row>
    <row r="286" customFormat="false" ht="15" hidden="false" customHeight="false" outlineLevel="0" collapsed="false">
      <c r="A286" s="11" t="s">
        <v>185</v>
      </c>
      <c r="B286" s="11" t="s">
        <v>35</v>
      </c>
      <c r="C286" s="28" t="n">
        <v>550640</v>
      </c>
      <c r="D286" s="4" t="s">
        <v>587</v>
      </c>
      <c r="E286" s="4" t="s">
        <v>114</v>
      </c>
      <c r="F286" s="5" t="s">
        <v>37</v>
      </c>
      <c r="G286" s="6" t="n">
        <v>2080</v>
      </c>
      <c r="H286" s="6" t="n">
        <f aca="false">G286</f>
        <v>2080</v>
      </c>
      <c r="I286" s="6" t="n">
        <v>2000</v>
      </c>
      <c r="J286" s="4" t="s">
        <v>63</v>
      </c>
      <c r="M286" s="8" t="n">
        <v>44647</v>
      </c>
      <c r="P286" s="9" t="n">
        <v>0</v>
      </c>
      <c r="Q286" s="9" t="n">
        <f aca="false">P286</f>
        <v>0</v>
      </c>
      <c r="S286" s="9" t="n">
        <v>117900</v>
      </c>
      <c r="T286" s="9" t="n">
        <f aca="false">S286</f>
        <v>117900</v>
      </c>
      <c r="U286" s="63" t="n">
        <v>127900</v>
      </c>
      <c r="V286" s="9" t="n">
        <f aca="false">U286</f>
        <v>127900</v>
      </c>
      <c r="W286" s="44" t="n">
        <f aca="false">S286/G286</f>
        <v>56.6826923076923</v>
      </c>
      <c r="X286" s="9" t="s">
        <v>57</v>
      </c>
      <c r="Y286" s="40"/>
      <c r="AA286" s="5" t="s">
        <v>40</v>
      </c>
      <c r="AB286" s="4" t="s">
        <v>115</v>
      </c>
      <c r="AC286" s="15" t="n">
        <v>63</v>
      </c>
      <c r="AD286" s="4" t="n">
        <v>1</v>
      </c>
      <c r="AE286" s="57" t="n">
        <v>4</v>
      </c>
      <c r="AF286" s="4" t="s">
        <v>597</v>
      </c>
    </row>
    <row r="287" customFormat="false" ht="15" hidden="false" customHeight="false" outlineLevel="0" collapsed="false">
      <c r="A287" s="11" t="s">
        <v>185</v>
      </c>
      <c r="B287" s="11" t="s">
        <v>35</v>
      </c>
      <c r="C287" s="28" t="n">
        <v>550640</v>
      </c>
      <c r="D287" s="4" t="s">
        <v>587</v>
      </c>
      <c r="E287" s="4" t="s">
        <v>176</v>
      </c>
      <c r="F287" s="5" t="s">
        <v>37</v>
      </c>
      <c r="G287" s="6" t="n">
        <v>1713</v>
      </c>
      <c r="H287" s="6" t="n">
        <f aca="false">G287</f>
        <v>1713</v>
      </c>
      <c r="I287" s="6" t="n">
        <v>1750</v>
      </c>
      <c r="J287" s="4" t="s">
        <v>63</v>
      </c>
      <c r="M287" s="8" t="n">
        <v>45195</v>
      </c>
      <c r="P287" s="9" t="n">
        <v>0</v>
      </c>
      <c r="Q287" s="9" t="n">
        <f aca="false">P287</f>
        <v>0</v>
      </c>
      <c r="S287" s="9" t="n">
        <v>94300</v>
      </c>
      <c r="T287" s="9" t="n">
        <f aca="false">S287</f>
        <v>94300</v>
      </c>
      <c r="U287" s="63" t="n">
        <v>105300</v>
      </c>
      <c r="V287" s="9" t="n">
        <f aca="false">U287</f>
        <v>105300</v>
      </c>
      <c r="W287" s="44" t="n">
        <f aca="false">S287/G287</f>
        <v>55.0496205487449</v>
      </c>
      <c r="X287" s="9" t="s">
        <v>123</v>
      </c>
      <c r="Y287" s="40"/>
      <c r="AA287" s="5" t="s">
        <v>40</v>
      </c>
      <c r="AB287" s="4" t="s">
        <v>115</v>
      </c>
      <c r="AC287" s="15" t="n">
        <v>65</v>
      </c>
      <c r="AD287" s="4" t="n">
        <v>1</v>
      </c>
      <c r="AE287" s="57" t="n">
        <v>1</v>
      </c>
    </row>
    <row r="288" customFormat="false" ht="15" hidden="false" customHeight="false" outlineLevel="0" collapsed="false">
      <c r="A288" s="11" t="s">
        <v>34</v>
      </c>
      <c r="B288" s="11" t="s">
        <v>35</v>
      </c>
      <c r="C288" s="28" t="n">
        <v>550630</v>
      </c>
      <c r="D288" s="4" t="s">
        <v>599</v>
      </c>
      <c r="E288" s="4" t="s">
        <v>177</v>
      </c>
      <c r="F288" s="5" t="s">
        <v>161</v>
      </c>
      <c r="G288" s="6" t="n">
        <v>927</v>
      </c>
      <c r="H288" s="6" t="n">
        <f aca="false">G288</f>
        <v>927</v>
      </c>
      <c r="I288" s="6" t="n">
        <v>1000</v>
      </c>
      <c r="J288" s="4" t="s">
        <v>63</v>
      </c>
      <c r="K288" s="4"/>
      <c r="L288" s="4"/>
      <c r="M288" s="8" t="n">
        <v>45785</v>
      </c>
      <c r="P288" s="9" t="n">
        <v>0</v>
      </c>
      <c r="Q288" s="9" t="n">
        <f aca="false">P288</f>
        <v>0</v>
      </c>
      <c r="S288" s="9" t="n">
        <v>13900</v>
      </c>
      <c r="T288" s="9" t="n">
        <f aca="false">S288</f>
        <v>13900</v>
      </c>
      <c r="U288" s="63" t="n">
        <v>18500</v>
      </c>
      <c r="V288" s="9" t="n">
        <f aca="false">U288</f>
        <v>18500</v>
      </c>
      <c r="W288" s="44" t="n">
        <f aca="false">S288/G288</f>
        <v>14.9946062567422</v>
      </c>
      <c r="X288" s="9" t="s">
        <v>57</v>
      </c>
      <c r="Y288" s="40"/>
      <c r="Z288" s="43"/>
      <c r="AA288" s="5" t="s">
        <v>40</v>
      </c>
      <c r="AB288" s="4" t="s">
        <v>220</v>
      </c>
      <c r="AD288" s="58"/>
      <c r="AE288" s="59"/>
      <c r="AF288" s="58"/>
    </row>
    <row r="289" customFormat="false" ht="15" hidden="false" customHeight="false" outlineLevel="0" collapsed="false">
      <c r="A289" s="11" t="s">
        <v>34</v>
      </c>
      <c r="B289" s="11" t="s">
        <v>35</v>
      </c>
      <c r="C289" s="28" t="n">
        <v>550630</v>
      </c>
      <c r="D289" s="4" t="s">
        <v>599</v>
      </c>
      <c r="E289" s="4" t="s">
        <v>600</v>
      </c>
      <c r="F289" s="5" t="s">
        <v>37</v>
      </c>
      <c r="G289" s="6" t="n">
        <v>1010</v>
      </c>
      <c r="H289" s="6" t="n">
        <f aca="false">G289</f>
        <v>1010</v>
      </c>
      <c r="I289" s="6" t="n">
        <v>1000</v>
      </c>
      <c r="J289" s="4" t="s">
        <v>63</v>
      </c>
      <c r="M289" s="8" t="n">
        <v>42794</v>
      </c>
      <c r="P289" s="9" t="n">
        <v>0</v>
      </c>
      <c r="Q289" s="9" t="n">
        <f aca="false">P289</f>
        <v>0</v>
      </c>
      <c r="S289" s="9" t="n">
        <v>55600</v>
      </c>
      <c r="T289" s="9" t="n">
        <f aca="false">S289</f>
        <v>55600</v>
      </c>
      <c r="U289" s="63" t="n">
        <v>60600</v>
      </c>
      <c r="V289" s="9" t="n">
        <f aca="false">U289</f>
        <v>60600</v>
      </c>
      <c r="W289" s="44" t="n">
        <f aca="false">S289/G289</f>
        <v>55.0495049504951</v>
      </c>
      <c r="X289" s="9" t="s">
        <v>57</v>
      </c>
      <c r="Y289" s="40"/>
      <c r="Z289" s="43"/>
      <c r="AA289" s="5" t="s">
        <v>40</v>
      </c>
      <c r="AB289" s="4" t="s">
        <v>220</v>
      </c>
      <c r="AD289" s="58"/>
      <c r="AE289" s="59"/>
      <c r="AF289" s="58"/>
    </row>
    <row r="290" customFormat="false" ht="15" hidden="false" customHeight="false" outlineLevel="0" collapsed="false">
      <c r="A290" s="11" t="s">
        <v>34</v>
      </c>
      <c r="B290" s="11" t="s">
        <v>35</v>
      </c>
      <c r="C290" s="28" t="n">
        <v>550630</v>
      </c>
      <c r="D290" s="4" t="s">
        <v>599</v>
      </c>
      <c r="E290" s="4" t="s">
        <v>85</v>
      </c>
      <c r="F290" s="5" t="s">
        <v>37</v>
      </c>
      <c r="G290" s="6" t="n">
        <v>971</v>
      </c>
      <c r="H290" s="6" t="n">
        <f aca="false">G290</f>
        <v>971</v>
      </c>
      <c r="I290" s="6" t="n">
        <v>1000</v>
      </c>
      <c r="J290" s="4" t="s">
        <v>63</v>
      </c>
      <c r="M290" s="8" t="n">
        <v>44071</v>
      </c>
      <c r="P290" s="9" t="n">
        <v>0</v>
      </c>
      <c r="Q290" s="9" t="n">
        <f aca="false">P290</f>
        <v>0</v>
      </c>
      <c r="S290" s="9" t="n">
        <v>53400</v>
      </c>
      <c r="T290" s="9" t="n">
        <f aca="false">S290</f>
        <v>53400</v>
      </c>
      <c r="U290" s="63" t="n">
        <v>58300</v>
      </c>
      <c r="V290" s="9" t="n">
        <f aca="false">U290</f>
        <v>58300</v>
      </c>
      <c r="W290" s="44" t="n">
        <f aca="false">S290/G290</f>
        <v>54.994850669413</v>
      </c>
      <c r="X290" s="9" t="s">
        <v>57</v>
      </c>
      <c r="Y290" s="40"/>
      <c r="Z290" s="43"/>
      <c r="AA290" s="5" t="s">
        <v>40</v>
      </c>
      <c r="AB290" s="4" t="s">
        <v>220</v>
      </c>
      <c r="AD290" s="58"/>
      <c r="AE290" s="59"/>
      <c r="AF290" s="58"/>
    </row>
    <row r="291" customFormat="false" ht="15" hidden="false" customHeight="false" outlineLevel="0" collapsed="false">
      <c r="A291" s="11" t="s">
        <v>34</v>
      </c>
      <c r="B291" s="11" t="s">
        <v>35</v>
      </c>
      <c r="C291" s="28" t="n">
        <v>550630</v>
      </c>
      <c r="D291" s="4" t="s">
        <v>599</v>
      </c>
      <c r="E291" s="4" t="s">
        <v>89</v>
      </c>
      <c r="F291" s="5" t="s">
        <v>37</v>
      </c>
      <c r="G291" s="6" t="n">
        <v>1000</v>
      </c>
      <c r="H291" s="6" t="n">
        <f aca="false">G291</f>
        <v>1000</v>
      </c>
      <c r="I291" s="6" t="n">
        <v>1000</v>
      </c>
      <c r="J291" s="4" t="s">
        <v>63</v>
      </c>
      <c r="M291" s="8" t="n">
        <v>43261</v>
      </c>
      <c r="P291" s="9" t="n">
        <v>0</v>
      </c>
      <c r="Q291" s="9" t="n">
        <f aca="false">P291</f>
        <v>0</v>
      </c>
      <c r="S291" s="9" t="n">
        <v>52500</v>
      </c>
      <c r="T291" s="9" t="n">
        <f aca="false">S291</f>
        <v>52500</v>
      </c>
      <c r="U291" s="63" t="n">
        <v>57500</v>
      </c>
      <c r="V291" s="9" t="n">
        <f aca="false">U291</f>
        <v>57500</v>
      </c>
      <c r="W291" s="44" t="n">
        <f aca="false">S291/G291</f>
        <v>52.5</v>
      </c>
      <c r="X291" s="9" t="s">
        <v>57</v>
      </c>
      <c r="Y291" s="40"/>
      <c r="Z291" s="43"/>
      <c r="AA291" s="5" t="s">
        <v>40</v>
      </c>
      <c r="AB291" s="4" t="s">
        <v>220</v>
      </c>
      <c r="AD291" s="58"/>
      <c r="AE291" s="59"/>
      <c r="AF291" s="58"/>
    </row>
    <row r="292" customFormat="false" ht="15" hidden="false" customHeight="false" outlineLevel="0" collapsed="false">
      <c r="A292" s="11" t="s">
        <v>34</v>
      </c>
      <c r="B292" s="11" t="s">
        <v>35</v>
      </c>
      <c r="C292" s="28" t="n">
        <v>550690</v>
      </c>
      <c r="D292" s="4" t="s">
        <v>602</v>
      </c>
      <c r="E292" s="4" t="s">
        <v>603</v>
      </c>
      <c r="F292" s="106" t="s">
        <v>37</v>
      </c>
      <c r="G292" s="6" t="n">
        <v>1519</v>
      </c>
      <c r="H292" s="6" t="n">
        <f aca="false">G292</f>
        <v>1519</v>
      </c>
      <c r="I292" s="6" t="n">
        <v>1500</v>
      </c>
      <c r="J292" s="4" t="s">
        <v>604</v>
      </c>
      <c r="K292" s="7" t="n">
        <v>45824</v>
      </c>
      <c r="L292" s="8" t="n">
        <v>46188</v>
      </c>
      <c r="P292" s="9" t="n">
        <v>61812</v>
      </c>
      <c r="Q292" s="9" t="n">
        <f aca="false">P292</f>
        <v>61812</v>
      </c>
      <c r="S292" s="9" t="n">
        <v>53600</v>
      </c>
      <c r="T292" s="9" t="n">
        <f aca="false">S292</f>
        <v>53600</v>
      </c>
      <c r="U292" s="63" t="n">
        <v>54700</v>
      </c>
      <c r="V292" s="9" t="n">
        <f aca="false">U292</f>
        <v>54700</v>
      </c>
      <c r="W292" s="44" t="n">
        <f aca="false">S292/G292</f>
        <v>35.2863726135616</v>
      </c>
      <c r="X292" s="9" t="s">
        <v>123</v>
      </c>
      <c r="Y292" s="40" t="s">
        <v>25</v>
      </c>
      <c r="AA292" s="5" t="s">
        <v>40</v>
      </c>
      <c r="AB292" s="4" t="s">
        <v>271</v>
      </c>
      <c r="AD292" s="4" t="n">
        <v>1</v>
      </c>
      <c r="AE292" s="57" t="n">
        <v>4</v>
      </c>
      <c r="AF292" s="4" t="s">
        <v>54</v>
      </c>
    </row>
    <row r="293" customFormat="false" ht="37.3" hidden="false" customHeight="false" outlineLevel="0" collapsed="false">
      <c r="A293" s="11" t="s">
        <v>34</v>
      </c>
      <c r="B293" s="11" t="s">
        <v>35</v>
      </c>
      <c r="C293" s="28" t="n">
        <v>550690</v>
      </c>
      <c r="D293" s="4" t="s">
        <v>602</v>
      </c>
      <c r="E293" s="4" t="s">
        <v>605</v>
      </c>
      <c r="F293" s="5" t="s">
        <v>37</v>
      </c>
      <c r="G293" s="6" t="n">
        <v>1525</v>
      </c>
      <c r="H293" s="6" t="n">
        <f aca="false">G293</f>
        <v>1525</v>
      </c>
      <c r="I293" s="6" t="n">
        <v>1500</v>
      </c>
      <c r="J293" s="4" t="s">
        <v>606</v>
      </c>
      <c r="K293" s="7" t="n">
        <v>45834</v>
      </c>
      <c r="L293" s="8" t="n">
        <v>47659</v>
      </c>
      <c r="P293" s="9" t="n">
        <v>0</v>
      </c>
      <c r="Q293" s="9" t="n">
        <f aca="false">P293</f>
        <v>0</v>
      </c>
      <c r="S293" s="9" t="n">
        <v>90600</v>
      </c>
      <c r="T293" s="9" t="n">
        <f aca="false">S293</f>
        <v>90600</v>
      </c>
      <c r="U293" s="63" t="n">
        <v>91500</v>
      </c>
      <c r="V293" s="9" t="n">
        <f aca="false">U293</f>
        <v>91500</v>
      </c>
      <c r="W293" s="44" t="n">
        <f aca="false">S293/G293</f>
        <v>59.4098360655738</v>
      </c>
      <c r="X293" s="9" t="s">
        <v>123</v>
      </c>
      <c r="Y293" s="40"/>
      <c r="AA293" s="5" t="s">
        <v>40</v>
      </c>
      <c r="AB293" s="4" t="s">
        <v>607</v>
      </c>
      <c r="AE293" s="57"/>
    </row>
    <row r="294" customFormat="false" ht="15" hidden="false" customHeight="false" outlineLevel="0" collapsed="false">
      <c r="A294" s="11" t="s">
        <v>34</v>
      </c>
      <c r="B294" s="11" t="s">
        <v>35</v>
      </c>
      <c r="C294" s="28" t="n">
        <v>550690</v>
      </c>
      <c r="D294" s="4" t="s">
        <v>602</v>
      </c>
      <c r="E294" s="4" t="s">
        <v>608</v>
      </c>
      <c r="F294" s="5" t="s">
        <v>229</v>
      </c>
      <c r="G294" s="6" t="n">
        <v>1989</v>
      </c>
      <c r="H294" s="6" t="n">
        <f aca="false">G294</f>
        <v>1989</v>
      </c>
      <c r="I294" s="6" t="n">
        <v>2000</v>
      </c>
      <c r="J294" s="4" t="s">
        <v>609</v>
      </c>
      <c r="K294" s="7" t="n">
        <v>42874</v>
      </c>
      <c r="L294" s="8" t="n">
        <v>46525</v>
      </c>
      <c r="N294" s="8" t="n">
        <v>44700</v>
      </c>
      <c r="P294" s="9" t="n">
        <v>82575</v>
      </c>
      <c r="Q294" s="9" t="n">
        <f aca="false">P294</f>
        <v>82575</v>
      </c>
      <c r="S294" s="9" t="n">
        <v>75000</v>
      </c>
      <c r="T294" s="9" t="n">
        <f aca="false">S294</f>
        <v>75000</v>
      </c>
      <c r="U294" s="63" t="n">
        <v>87300</v>
      </c>
      <c r="V294" s="9" t="n">
        <f aca="false">U294</f>
        <v>87300</v>
      </c>
      <c r="W294" s="44" t="n">
        <f aca="false">S294/G294</f>
        <v>37.7073906485671</v>
      </c>
      <c r="X294" s="9" t="s">
        <v>39</v>
      </c>
      <c r="Y294" s="40"/>
      <c r="AA294" s="5" t="s">
        <v>40</v>
      </c>
      <c r="AE294" s="57"/>
    </row>
    <row r="295" customFormat="false" ht="15" hidden="false" customHeight="false" outlineLevel="0" collapsed="false">
      <c r="A295" s="11" t="s">
        <v>34</v>
      </c>
      <c r="B295" s="11" t="s">
        <v>35</v>
      </c>
      <c r="C295" s="28" t="n">
        <v>550690</v>
      </c>
      <c r="D295" s="4" t="s">
        <v>602</v>
      </c>
      <c r="E295" s="4" t="s">
        <v>135</v>
      </c>
      <c r="F295" s="5" t="s">
        <v>304</v>
      </c>
      <c r="G295" s="6" t="n">
        <v>1143</v>
      </c>
      <c r="H295" s="6" t="n">
        <f aca="false">G295</f>
        <v>1143</v>
      </c>
      <c r="I295" s="6" t="n">
        <v>1000</v>
      </c>
      <c r="J295" s="4" t="s">
        <v>63</v>
      </c>
      <c r="M295" s="8" t="n">
        <v>44293</v>
      </c>
      <c r="P295" s="9" t="n">
        <v>0</v>
      </c>
      <c r="Q295" s="9" t="n">
        <f aca="false">P295</f>
        <v>0</v>
      </c>
      <c r="S295" s="9" t="n">
        <v>73600</v>
      </c>
      <c r="T295" s="9" t="n">
        <f aca="false">S295</f>
        <v>73600</v>
      </c>
      <c r="U295" s="63" t="n">
        <v>74300</v>
      </c>
      <c r="V295" s="9" t="n">
        <f aca="false">U295</f>
        <v>74300</v>
      </c>
      <c r="W295" s="44" t="n">
        <f aca="false">S295/G295</f>
        <v>64.3919510061242</v>
      </c>
      <c r="X295" s="9" t="s">
        <v>57</v>
      </c>
      <c r="Y295" s="40"/>
      <c r="AA295" s="5" t="s">
        <v>40</v>
      </c>
      <c r="AB295" s="4" t="s">
        <v>220</v>
      </c>
      <c r="AD295" s="58"/>
      <c r="AE295" s="59"/>
      <c r="AF295" s="58"/>
    </row>
    <row r="296" customFormat="false" ht="15" hidden="false" customHeight="false" outlineLevel="0" collapsed="false">
      <c r="A296" s="11" t="s">
        <v>34</v>
      </c>
      <c r="B296" s="11" t="s">
        <v>35</v>
      </c>
      <c r="C296" s="28" t="n">
        <v>550690</v>
      </c>
      <c r="D296" s="4" t="s">
        <v>602</v>
      </c>
      <c r="E296" s="4" t="s">
        <v>133</v>
      </c>
      <c r="F296" s="5" t="s">
        <v>37</v>
      </c>
      <c r="G296" s="6" t="n">
        <v>805</v>
      </c>
      <c r="H296" s="6" t="n">
        <f aca="false">G296</f>
        <v>805</v>
      </c>
      <c r="I296" s="6" t="n">
        <v>1000</v>
      </c>
      <c r="J296" s="4" t="s">
        <v>63</v>
      </c>
      <c r="M296" s="8" t="n">
        <v>44336</v>
      </c>
      <c r="P296" s="9" t="n">
        <v>0</v>
      </c>
      <c r="Q296" s="9" t="n">
        <f aca="false">P296</f>
        <v>0</v>
      </c>
      <c r="S296" s="9" t="n">
        <v>45600</v>
      </c>
      <c r="T296" s="9" t="n">
        <f aca="false">S296</f>
        <v>45600</v>
      </c>
      <c r="U296" s="63" t="n">
        <v>52300</v>
      </c>
      <c r="V296" s="9" t="n">
        <f aca="false">U296</f>
        <v>52300</v>
      </c>
      <c r="W296" s="44" t="n">
        <f aca="false">S296/G296</f>
        <v>56.6459627329193</v>
      </c>
      <c r="X296" s="9" t="s">
        <v>57</v>
      </c>
      <c r="Y296" s="40"/>
      <c r="AA296" s="5" t="s">
        <v>40</v>
      </c>
      <c r="AB296" s="4" t="s">
        <v>220</v>
      </c>
      <c r="AD296" s="58"/>
      <c r="AE296" s="59"/>
      <c r="AF296" s="58"/>
    </row>
    <row r="297" customFormat="false" ht="15" hidden="false" customHeight="false" outlineLevel="0" collapsed="false">
      <c r="A297" s="11" t="s">
        <v>34</v>
      </c>
      <c r="B297" s="11" t="s">
        <v>35</v>
      </c>
      <c r="C297" s="28" t="n">
        <v>550690</v>
      </c>
      <c r="D297" s="4" t="s">
        <v>602</v>
      </c>
      <c r="E297" s="4" t="s">
        <v>138</v>
      </c>
      <c r="F297" s="5" t="s">
        <v>37</v>
      </c>
      <c r="G297" s="6" t="n">
        <v>1171</v>
      </c>
      <c r="H297" s="6" t="n">
        <f aca="false">G297</f>
        <v>1171</v>
      </c>
      <c r="I297" s="6" t="n">
        <v>1000</v>
      </c>
      <c r="J297" s="4" t="s">
        <v>63</v>
      </c>
      <c r="M297" s="8" t="n">
        <v>44049</v>
      </c>
      <c r="P297" s="9" t="n">
        <v>0</v>
      </c>
      <c r="Q297" s="9" t="n">
        <f aca="false">P297</f>
        <v>0</v>
      </c>
      <c r="S297" s="9" t="n">
        <v>72300</v>
      </c>
      <c r="T297" s="9" t="n">
        <f aca="false">S297</f>
        <v>72300</v>
      </c>
      <c r="U297" s="63" t="n">
        <v>76100</v>
      </c>
      <c r="V297" s="9" t="n">
        <f aca="false">U297</f>
        <v>76100</v>
      </c>
      <c r="W297" s="44" t="n">
        <f aca="false">S297/G297</f>
        <v>61.7421007685739</v>
      </c>
      <c r="X297" s="9" t="s">
        <v>57</v>
      </c>
      <c r="Y297" s="40"/>
      <c r="AA297" s="5" t="s">
        <v>40</v>
      </c>
      <c r="AB297" s="4" t="s">
        <v>220</v>
      </c>
      <c r="AD297" s="58"/>
      <c r="AE297" s="59"/>
      <c r="AF297" s="58"/>
    </row>
    <row r="298" customFormat="false" ht="15" hidden="false" customHeight="false" outlineLevel="0" collapsed="false">
      <c r="A298" s="11" t="s">
        <v>34</v>
      </c>
      <c r="B298" s="11" t="s">
        <v>35</v>
      </c>
      <c r="C298" s="28" t="n">
        <v>550690</v>
      </c>
      <c r="D298" s="4" t="s">
        <v>602</v>
      </c>
      <c r="E298" s="4" t="s">
        <v>140</v>
      </c>
      <c r="F298" s="5" t="s">
        <v>37</v>
      </c>
      <c r="G298" s="6" t="n">
        <v>793</v>
      </c>
      <c r="H298" s="6" t="n">
        <f aca="false">G298</f>
        <v>793</v>
      </c>
      <c r="I298" s="6" t="n">
        <v>750</v>
      </c>
      <c r="J298" s="4" t="s">
        <v>63</v>
      </c>
      <c r="M298" s="8" t="n">
        <v>44805</v>
      </c>
      <c r="P298" s="9" t="n">
        <v>0</v>
      </c>
      <c r="Q298" s="9" t="n">
        <f aca="false">P298</f>
        <v>0</v>
      </c>
      <c r="S298" s="9" t="n">
        <v>46300</v>
      </c>
      <c r="T298" s="9" t="n">
        <f aca="false">S298</f>
        <v>46300</v>
      </c>
      <c r="U298" s="63" t="n">
        <v>51500</v>
      </c>
      <c r="V298" s="9" t="n">
        <f aca="false">U298</f>
        <v>51500</v>
      </c>
      <c r="W298" s="44" t="n">
        <f aca="false">S298/G298</f>
        <v>58.3858764186633</v>
      </c>
      <c r="X298" s="9" t="s">
        <v>57</v>
      </c>
      <c r="Y298" s="40"/>
      <c r="AA298" s="5" t="s">
        <v>40</v>
      </c>
      <c r="AB298" s="4" t="s">
        <v>220</v>
      </c>
      <c r="AD298" s="58"/>
      <c r="AE298" s="59"/>
      <c r="AF298" s="58"/>
    </row>
    <row r="299" customFormat="false" ht="15" hidden="false" customHeight="false" outlineLevel="0" collapsed="false">
      <c r="A299" s="11" t="s">
        <v>34</v>
      </c>
      <c r="B299" s="11" t="s">
        <v>35</v>
      </c>
      <c r="C299" s="28" t="n">
        <v>550690</v>
      </c>
      <c r="D299" s="4" t="s">
        <v>602</v>
      </c>
      <c r="E299" s="4" t="s">
        <v>545</v>
      </c>
      <c r="F299" s="5" t="s">
        <v>37</v>
      </c>
      <c r="G299" s="6" t="n">
        <v>1030</v>
      </c>
      <c r="H299" s="6" t="n">
        <f aca="false">G299</f>
        <v>1030</v>
      </c>
      <c r="I299" s="6" t="n">
        <v>1000</v>
      </c>
      <c r="J299" s="4" t="s">
        <v>63</v>
      </c>
      <c r="M299" s="8" t="n">
        <v>43914</v>
      </c>
      <c r="P299" s="9" t="n">
        <v>0</v>
      </c>
      <c r="Q299" s="9" t="n">
        <f aca="false">P299</f>
        <v>0</v>
      </c>
      <c r="S299" s="9" t="n">
        <v>63800</v>
      </c>
      <c r="T299" s="9" t="n">
        <f aca="false">S299</f>
        <v>63800</v>
      </c>
      <c r="U299" s="63" t="n">
        <v>67000</v>
      </c>
      <c r="V299" s="9" t="n">
        <f aca="false">U299</f>
        <v>67000</v>
      </c>
      <c r="W299" s="44" t="n">
        <f aca="false">S299/G299</f>
        <v>61.9417475728155</v>
      </c>
      <c r="X299" s="9" t="s">
        <v>57</v>
      </c>
      <c r="Y299" s="40"/>
      <c r="AA299" s="5" t="s">
        <v>40</v>
      </c>
      <c r="AB299" s="4" t="s">
        <v>220</v>
      </c>
      <c r="AD299" s="58"/>
      <c r="AE299" s="59"/>
      <c r="AF299" s="58"/>
    </row>
    <row r="300" customFormat="false" ht="15" hidden="false" customHeight="false" outlineLevel="0" collapsed="false">
      <c r="A300" s="11" t="s">
        <v>34</v>
      </c>
      <c r="B300" s="11" t="s">
        <v>35</v>
      </c>
      <c r="C300" s="28" t="n">
        <v>550690</v>
      </c>
      <c r="D300" s="4" t="s">
        <v>602</v>
      </c>
      <c r="E300" s="4" t="s">
        <v>142</v>
      </c>
      <c r="F300" s="5" t="s">
        <v>37</v>
      </c>
      <c r="G300" s="6" t="n">
        <v>731</v>
      </c>
      <c r="H300" s="6" t="n">
        <f aca="false">G300</f>
        <v>731</v>
      </c>
      <c r="I300" s="6" t="n">
        <v>750</v>
      </c>
      <c r="J300" s="4" t="s">
        <v>63</v>
      </c>
      <c r="M300" s="8" t="n">
        <v>44321</v>
      </c>
      <c r="P300" s="9" t="n">
        <v>0</v>
      </c>
      <c r="Q300" s="9" t="n">
        <f aca="false">P300</f>
        <v>0</v>
      </c>
      <c r="S300" s="9" t="n">
        <v>46100</v>
      </c>
      <c r="T300" s="9" t="n">
        <f aca="false">S300</f>
        <v>46100</v>
      </c>
      <c r="U300" s="63" t="n">
        <v>47500</v>
      </c>
      <c r="V300" s="9" t="n">
        <f aca="false">U300</f>
        <v>47500</v>
      </c>
      <c r="W300" s="44" t="n">
        <f aca="false">S300/G300</f>
        <v>63.0642954856361</v>
      </c>
      <c r="X300" s="9" t="s">
        <v>57</v>
      </c>
      <c r="Y300" s="40"/>
      <c r="AA300" s="5" t="s">
        <v>40</v>
      </c>
      <c r="AB300" s="4" t="s">
        <v>220</v>
      </c>
      <c r="AD300" s="58"/>
      <c r="AE300" s="59"/>
      <c r="AF300" s="58"/>
    </row>
    <row r="301" customFormat="false" ht="15" hidden="false" customHeight="false" outlineLevel="0" collapsed="false">
      <c r="A301" s="11" t="s">
        <v>34</v>
      </c>
      <c r="B301" s="11" t="s">
        <v>35</v>
      </c>
      <c r="C301" s="28" t="n">
        <v>550690</v>
      </c>
      <c r="D301" s="4" t="s">
        <v>602</v>
      </c>
      <c r="E301" s="4" t="s">
        <v>151</v>
      </c>
      <c r="F301" s="5" t="s">
        <v>37</v>
      </c>
      <c r="G301" s="6" t="n">
        <v>949</v>
      </c>
      <c r="H301" s="6" t="n">
        <f aca="false">G301</f>
        <v>949</v>
      </c>
      <c r="I301" s="6" t="n">
        <v>1000</v>
      </c>
      <c r="J301" s="4" t="s">
        <v>63</v>
      </c>
      <c r="M301" s="8" t="n">
        <v>42550</v>
      </c>
      <c r="P301" s="9" t="n">
        <v>0</v>
      </c>
      <c r="Q301" s="9" t="n">
        <f aca="false">P301</f>
        <v>0</v>
      </c>
      <c r="S301" s="9" t="n">
        <v>55600</v>
      </c>
      <c r="T301" s="9" t="n">
        <f aca="false">S301</f>
        <v>55600</v>
      </c>
      <c r="U301" s="63" t="n">
        <v>59300</v>
      </c>
      <c r="V301" s="9" t="n">
        <f aca="false">U301</f>
        <v>59300</v>
      </c>
      <c r="W301" s="44" t="n">
        <f aca="false">S301/G301</f>
        <v>58.5879873551106</v>
      </c>
      <c r="X301" s="9" t="s">
        <v>57</v>
      </c>
      <c r="Y301" s="40"/>
      <c r="AA301" s="5" t="s">
        <v>40</v>
      </c>
      <c r="AB301" s="4" t="s">
        <v>220</v>
      </c>
      <c r="AD301" s="58"/>
      <c r="AE301" s="59"/>
      <c r="AF301" s="58"/>
    </row>
    <row r="302" customFormat="false" ht="15" hidden="false" customHeight="false" outlineLevel="0" collapsed="false">
      <c r="A302" s="11" t="s">
        <v>34</v>
      </c>
      <c r="B302" s="11" t="s">
        <v>35</v>
      </c>
      <c r="C302" s="28" t="n">
        <v>550690</v>
      </c>
      <c r="D302" s="4" t="s">
        <v>602</v>
      </c>
      <c r="E302" s="4" t="s">
        <v>148</v>
      </c>
      <c r="F302" s="5" t="s">
        <v>37</v>
      </c>
      <c r="G302" s="6" t="n">
        <v>601</v>
      </c>
      <c r="H302" s="6" t="n">
        <f aca="false">G302</f>
        <v>601</v>
      </c>
      <c r="I302" s="6" t="n">
        <v>500</v>
      </c>
      <c r="J302" s="4" t="s">
        <v>63</v>
      </c>
      <c r="M302" s="8" t="n">
        <v>44027</v>
      </c>
      <c r="P302" s="9" t="n">
        <v>0</v>
      </c>
      <c r="Q302" s="9" t="n">
        <f aca="false">P302</f>
        <v>0</v>
      </c>
      <c r="S302" s="9" t="n">
        <v>36800</v>
      </c>
      <c r="T302" s="9" t="n">
        <f aca="false">S302</f>
        <v>36800</v>
      </c>
      <c r="U302" s="63" t="n">
        <v>37600</v>
      </c>
      <c r="V302" s="9" t="n">
        <f aca="false">U302</f>
        <v>37600</v>
      </c>
      <c r="W302" s="44" t="n">
        <f aca="false">S302/G302</f>
        <v>61.2312811980033</v>
      </c>
      <c r="X302" s="9" t="s">
        <v>57</v>
      </c>
      <c r="Y302" s="40"/>
      <c r="AA302" s="5" t="s">
        <v>40</v>
      </c>
      <c r="AB302" s="4" t="s">
        <v>220</v>
      </c>
      <c r="AD302" s="58"/>
      <c r="AE302" s="59"/>
      <c r="AF302" s="58"/>
    </row>
    <row r="303" customFormat="false" ht="15" hidden="false" customHeight="false" outlineLevel="0" collapsed="false">
      <c r="A303" s="11" t="s">
        <v>34</v>
      </c>
      <c r="B303" s="11" t="s">
        <v>35</v>
      </c>
      <c r="C303" s="28" t="n">
        <v>550690</v>
      </c>
      <c r="D303" s="4" t="s">
        <v>602</v>
      </c>
      <c r="E303" s="4" t="s">
        <v>152</v>
      </c>
      <c r="F303" s="5" t="s">
        <v>37</v>
      </c>
      <c r="G303" s="6" t="n">
        <v>730</v>
      </c>
      <c r="H303" s="6" t="n">
        <f aca="false">G303</f>
        <v>730</v>
      </c>
      <c r="I303" s="6" t="n">
        <v>750</v>
      </c>
      <c r="J303" s="4" t="s">
        <v>63</v>
      </c>
      <c r="M303" s="8" t="n">
        <v>42723</v>
      </c>
      <c r="P303" s="9" t="n">
        <v>0</v>
      </c>
      <c r="Q303" s="9" t="n">
        <f aca="false">P303</f>
        <v>0</v>
      </c>
      <c r="S303" s="9" t="n">
        <v>44700</v>
      </c>
      <c r="T303" s="9" t="n">
        <f aca="false">S303</f>
        <v>44700</v>
      </c>
      <c r="U303" s="63" t="n">
        <v>45600</v>
      </c>
      <c r="V303" s="9" t="n">
        <f aca="false">U303</f>
        <v>45600</v>
      </c>
      <c r="W303" s="44" t="n">
        <f aca="false">S303/G303</f>
        <v>61.2328767123288</v>
      </c>
      <c r="X303" s="9" t="s">
        <v>57</v>
      </c>
      <c r="Y303" s="40"/>
      <c r="AA303" s="5" t="s">
        <v>40</v>
      </c>
      <c r="AB303" s="4" t="s">
        <v>220</v>
      </c>
      <c r="AD303" s="58"/>
      <c r="AE303" s="59"/>
      <c r="AF303" s="58"/>
    </row>
    <row r="304" customFormat="false" ht="15" hidden="false" customHeight="false" outlineLevel="0" collapsed="false">
      <c r="A304" s="11" t="s">
        <v>34</v>
      </c>
      <c r="B304" s="11" t="s">
        <v>35</v>
      </c>
      <c r="C304" s="28" t="n">
        <v>550690</v>
      </c>
      <c r="D304" s="4" t="s">
        <v>602</v>
      </c>
      <c r="E304" s="4" t="s">
        <v>154</v>
      </c>
      <c r="F304" s="5" t="s">
        <v>37</v>
      </c>
      <c r="G304" s="6" t="n">
        <v>462</v>
      </c>
      <c r="H304" s="6" t="n">
        <f aca="false">G304</f>
        <v>462</v>
      </c>
      <c r="I304" s="6" t="n">
        <v>500</v>
      </c>
      <c r="J304" s="4" t="s">
        <v>63</v>
      </c>
      <c r="M304" s="8" t="n">
        <v>43824</v>
      </c>
      <c r="P304" s="9" t="n">
        <v>0</v>
      </c>
      <c r="Q304" s="9" t="n">
        <f aca="false">P304</f>
        <v>0</v>
      </c>
      <c r="S304" s="9" t="n">
        <v>27300</v>
      </c>
      <c r="T304" s="9" t="n">
        <f aca="false">S304</f>
        <v>27300</v>
      </c>
      <c r="U304" s="63" t="n">
        <v>28900</v>
      </c>
      <c r="V304" s="9" t="n">
        <f aca="false">U304</f>
        <v>28900</v>
      </c>
      <c r="W304" s="44" t="n">
        <f aca="false">S304/G304</f>
        <v>59.0909090909091</v>
      </c>
      <c r="X304" s="9" t="s">
        <v>57</v>
      </c>
      <c r="Y304" s="40"/>
      <c r="AA304" s="5" t="s">
        <v>40</v>
      </c>
      <c r="AB304" s="4" t="s">
        <v>220</v>
      </c>
      <c r="AD304" s="58"/>
      <c r="AE304" s="59"/>
      <c r="AF304" s="58"/>
    </row>
    <row r="305" customFormat="false" ht="19.4" hidden="false" customHeight="false" outlineLevel="0" collapsed="false">
      <c r="A305" s="11" t="s">
        <v>102</v>
      </c>
      <c r="B305" s="11" t="s">
        <v>35</v>
      </c>
      <c r="C305" s="28" t="n">
        <v>550810</v>
      </c>
      <c r="D305" s="4" t="s">
        <v>611</v>
      </c>
      <c r="E305" s="4" t="s">
        <v>612</v>
      </c>
      <c r="F305" s="5" t="s">
        <v>130</v>
      </c>
      <c r="G305" s="6" t="n">
        <v>1190</v>
      </c>
      <c r="H305" s="6" t="n">
        <f aca="false">G305</f>
        <v>1190</v>
      </c>
      <c r="I305" s="6" t="n">
        <v>1000</v>
      </c>
      <c r="J305" s="4" t="s">
        <v>613</v>
      </c>
      <c r="K305" s="7" t="n">
        <v>41673</v>
      </c>
      <c r="L305" s="8" t="n">
        <v>47151</v>
      </c>
      <c r="P305" s="9" t="n">
        <v>115000</v>
      </c>
      <c r="Q305" s="9" t="n">
        <f aca="false">P305</f>
        <v>115000</v>
      </c>
      <c r="S305" s="9" t="n">
        <v>106000</v>
      </c>
      <c r="T305" s="9" t="n">
        <f aca="false">S305</f>
        <v>106000</v>
      </c>
      <c r="U305" s="63" t="n">
        <v>115000</v>
      </c>
      <c r="V305" s="9" t="n">
        <f aca="false">U305</f>
        <v>115000</v>
      </c>
      <c r="W305" s="44" t="n">
        <f aca="false">S305/G305</f>
        <v>89.0756302521008</v>
      </c>
      <c r="X305" s="9" t="s">
        <v>57</v>
      </c>
      <c r="Y305" s="40"/>
      <c r="Z305" s="43"/>
      <c r="AA305" s="5" t="s">
        <v>40</v>
      </c>
      <c r="AB305" s="4" t="s">
        <v>614</v>
      </c>
      <c r="AE305" s="57"/>
    </row>
    <row r="306" customFormat="false" ht="15" hidden="false" customHeight="false" outlineLevel="0" collapsed="false">
      <c r="A306" s="11" t="s">
        <v>102</v>
      </c>
      <c r="B306" s="11" t="s">
        <v>35</v>
      </c>
      <c r="C306" s="28" t="n">
        <v>550810</v>
      </c>
      <c r="D306" s="4" t="s">
        <v>611</v>
      </c>
      <c r="E306" s="4" t="s">
        <v>426</v>
      </c>
      <c r="F306" s="5" t="s">
        <v>37</v>
      </c>
      <c r="G306" s="6" t="n">
        <v>1044</v>
      </c>
      <c r="H306" s="6" t="n">
        <f aca="false">G306</f>
        <v>1044</v>
      </c>
      <c r="I306" s="6" t="n">
        <v>1000</v>
      </c>
      <c r="J306" s="4" t="s">
        <v>615</v>
      </c>
      <c r="K306" s="7" t="n">
        <v>45413</v>
      </c>
      <c r="L306" s="8" t="n">
        <v>47238</v>
      </c>
      <c r="O306" s="8" t="n">
        <v>46326</v>
      </c>
      <c r="P306" s="9" t="n">
        <v>52500</v>
      </c>
      <c r="Q306" s="9" t="n">
        <f aca="false">P306</f>
        <v>52500</v>
      </c>
      <c r="S306" s="9" t="n">
        <v>53800</v>
      </c>
      <c r="T306" s="9" t="n">
        <f aca="false">S306</f>
        <v>53800</v>
      </c>
      <c r="U306" s="63" t="n">
        <v>53800</v>
      </c>
      <c r="V306" s="9" t="n">
        <f aca="false">U306</f>
        <v>53800</v>
      </c>
      <c r="W306" s="44" t="n">
        <f aca="false">S306/G306</f>
        <v>51.5325670498084</v>
      </c>
      <c r="X306" s="9" t="s">
        <v>57</v>
      </c>
      <c r="Y306" s="40"/>
      <c r="Z306" s="43"/>
      <c r="AA306" s="5" t="s">
        <v>40</v>
      </c>
      <c r="AB306" s="4" t="s">
        <v>73</v>
      </c>
      <c r="AE306" s="57"/>
    </row>
    <row r="307" customFormat="false" ht="15" hidden="false" customHeight="false" outlineLevel="0" collapsed="false">
      <c r="A307" s="11" t="s">
        <v>102</v>
      </c>
      <c r="B307" s="11" t="s">
        <v>35</v>
      </c>
      <c r="C307" s="28" t="n">
        <v>550490</v>
      </c>
      <c r="D307" s="4" t="s">
        <v>616</v>
      </c>
      <c r="E307" s="4" t="s">
        <v>36</v>
      </c>
      <c r="F307" s="5" t="s">
        <v>617</v>
      </c>
      <c r="G307" s="41" t="n">
        <v>6979</v>
      </c>
      <c r="H307" s="9" t="n">
        <f aca="false">G307</f>
        <v>6979</v>
      </c>
      <c r="I307" s="9" t="n">
        <v>7000</v>
      </c>
      <c r="J307" s="4" t="s">
        <v>618</v>
      </c>
      <c r="K307" s="7" t="n">
        <v>44185</v>
      </c>
      <c r="L307" s="8" t="n">
        <v>47836</v>
      </c>
      <c r="N307" s="8" t="n">
        <v>46011</v>
      </c>
      <c r="P307" s="42" t="n">
        <v>420000</v>
      </c>
      <c r="Q307" s="9" t="n">
        <f aca="false">P307</f>
        <v>420000</v>
      </c>
      <c r="R307" s="42" t="n">
        <f aca="false">Q307</f>
        <v>420000</v>
      </c>
      <c r="S307" s="42" t="n">
        <v>364600</v>
      </c>
      <c r="T307" s="9" t="n">
        <f aca="false">S307</f>
        <v>364600</v>
      </c>
      <c r="U307" s="43" t="n">
        <v>420000</v>
      </c>
      <c r="V307" s="9" t="n">
        <f aca="false">U307</f>
        <v>420000</v>
      </c>
      <c r="W307" s="44" t="n">
        <f aca="false">S307/G307</f>
        <v>52.2424416105459</v>
      </c>
      <c r="X307" s="9" t="s">
        <v>123</v>
      </c>
      <c r="Y307" s="40"/>
      <c r="Z307" s="43" t="n">
        <v>7550000</v>
      </c>
      <c r="AA307" s="5" t="s">
        <v>40</v>
      </c>
      <c r="AB307" s="4" t="s">
        <v>619</v>
      </c>
      <c r="AE307" s="57"/>
    </row>
    <row r="308" customFormat="false" ht="19.4" hidden="false" customHeight="false" outlineLevel="0" collapsed="false">
      <c r="A308" s="11" t="s">
        <v>34</v>
      </c>
      <c r="B308" s="11" t="s">
        <v>35</v>
      </c>
      <c r="C308" s="28" t="n">
        <v>550940</v>
      </c>
      <c r="D308" s="4" t="s">
        <v>620</v>
      </c>
      <c r="E308" s="4" t="s">
        <v>621</v>
      </c>
      <c r="F308" s="5" t="s">
        <v>622</v>
      </c>
      <c r="G308" s="6" t="n">
        <v>2662</v>
      </c>
      <c r="H308" s="6" t="n">
        <f aca="false">G308</f>
        <v>2662</v>
      </c>
      <c r="I308" s="6" t="n">
        <v>2500</v>
      </c>
      <c r="J308" s="4" t="s">
        <v>623</v>
      </c>
      <c r="K308" s="7" t="n">
        <v>44942</v>
      </c>
      <c r="L308" s="8" t="n">
        <v>46767</v>
      </c>
      <c r="O308" s="8" t="n">
        <v>46037</v>
      </c>
      <c r="P308" s="9" t="n">
        <v>100000</v>
      </c>
      <c r="Q308" s="9" t="n">
        <f aca="false">P308</f>
        <v>100000</v>
      </c>
      <c r="S308" s="6" t="n">
        <v>100000</v>
      </c>
      <c r="T308" s="9" t="n">
        <f aca="false">S308</f>
        <v>100000</v>
      </c>
      <c r="U308" s="54" t="n">
        <v>100000</v>
      </c>
      <c r="V308" s="9" t="n">
        <f aca="false">U308</f>
        <v>100000</v>
      </c>
      <c r="W308" s="44" t="n">
        <f aca="false">S308/G308</f>
        <v>37.5657400450789</v>
      </c>
      <c r="X308" s="9" t="s">
        <v>123</v>
      </c>
      <c r="Y308" s="40"/>
      <c r="AA308" s="5" t="s">
        <v>40</v>
      </c>
      <c r="AB308" s="4" t="s">
        <v>71</v>
      </c>
      <c r="AE308" s="57"/>
    </row>
    <row r="309" customFormat="false" ht="19.4" hidden="false" customHeight="false" outlineLevel="0" collapsed="false">
      <c r="A309" s="11" t="s">
        <v>34</v>
      </c>
      <c r="B309" s="11" t="s">
        <v>35</v>
      </c>
      <c r="C309" s="28" t="n">
        <v>550940</v>
      </c>
      <c r="D309" s="4" t="s">
        <v>620</v>
      </c>
      <c r="E309" s="4" t="s">
        <v>624</v>
      </c>
      <c r="F309" s="5" t="s">
        <v>37</v>
      </c>
      <c r="G309" s="6" t="n">
        <v>3452</v>
      </c>
      <c r="H309" s="6" t="n">
        <f aca="false">G309</f>
        <v>3452</v>
      </c>
      <c r="I309" s="6" t="n">
        <v>3500</v>
      </c>
      <c r="J309" s="4" t="s">
        <v>625</v>
      </c>
      <c r="K309" s="7" t="n">
        <v>45707</v>
      </c>
      <c r="L309" s="8" t="n">
        <v>46071</v>
      </c>
      <c r="O309" s="8" t="n">
        <v>45887</v>
      </c>
      <c r="P309" s="6" t="n">
        <v>138440</v>
      </c>
      <c r="Q309" s="9" t="n">
        <f aca="false">P309</f>
        <v>138440</v>
      </c>
      <c r="S309" s="6" t="n">
        <v>109600</v>
      </c>
      <c r="T309" s="9" t="n">
        <f aca="false">S309</f>
        <v>109600</v>
      </c>
      <c r="U309" s="54" t="n">
        <v>112000</v>
      </c>
      <c r="V309" s="9" t="n">
        <f aca="false">U309</f>
        <v>112000</v>
      </c>
      <c r="W309" s="44" t="n">
        <f aca="false">S309/G309</f>
        <v>31.7497103128621</v>
      </c>
      <c r="X309" s="9" t="s">
        <v>123</v>
      </c>
      <c r="Y309" s="40"/>
      <c r="AA309" s="5" t="s">
        <v>40</v>
      </c>
      <c r="AB309" s="4" t="s">
        <v>73</v>
      </c>
      <c r="AE309" s="57"/>
    </row>
    <row r="310" customFormat="false" ht="19.4" hidden="false" customHeight="false" outlineLevel="0" collapsed="false">
      <c r="A310" s="11" t="s">
        <v>34</v>
      </c>
      <c r="B310" s="11" t="s">
        <v>35</v>
      </c>
      <c r="C310" s="28" t="n">
        <v>550940</v>
      </c>
      <c r="D310" s="4" t="s">
        <v>620</v>
      </c>
      <c r="E310" s="4" t="s">
        <v>626</v>
      </c>
      <c r="F310" s="5" t="s">
        <v>37</v>
      </c>
      <c r="G310" s="6" t="n">
        <v>2274</v>
      </c>
      <c r="H310" s="6" t="n">
        <f aca="false">G310</f>
        <v>2274</v>
      </c>
      <c r="I310" s="6" t="n">
        <v>2250</v>
      </c>
      <c r="J310" s="4" t="s">
        <v>63</v>
      </c>
      <c r="M310" s="8" t="n">
        <v>44280</v>
      </c>
      <c r="P310" s="9" t="n">
        <v>0</v>
      </c>
      <c r="Q310" s="9" t="n">
        <f aca="false">P310</f>
        <v>0</v>
      </c>
      <c r="S310" s="6" t="n">
        <v>124700</v>
      </c>
      <c r="T310" s="9" t="n">
        <f aca="false">S310</f>
        <v>124700</v>
      </c>
      <c r="U310" s="54" t="n">
        <v>125100</v>
      </c>
      <c r="V310" s="9" t="n">
        <f aca="false">U310</f>
        <v>125100</v>
      </c>
      <c r="W310" s="44" t="n">
        <f aca="false">S310/G310</f>
        <v>54.8372911169745</v>
      </c>
      <c r="X310" s="9" t="s">
        <v>123</v>
      </c>
      <c r="Y310" s="40"/>
      <c r="AA310" s="5" t="s">
        <v>165</v>
      </c>
      <c r="AB310" s="4" t="s">
        <v>64</v>
      </c>
      <c r="AC310" s="56"/>
      <c r="AE310" s="57"/>
    </row>
    <row r="311" customFormat="false" ht="19.4" hidden="false" customHeight="false" outlineLevel="0" collapsed="false">
      <c r="A311" s="11" t="s">
        <v>34</v>
      </c>
      <c r="B311" s="11" t="s">
        <v>35</v>
      </c>
      <c r="C311" s="28" t="n">
        <v>550940</v>
      </c>
      <c r="D311" s="4" t="s">
        <v>620</v>
      </c>
      <c r="E311" s="4" t="s">
        <v>627</v>
      </c>
      <c r="F311" s="5" t="s">
        <v>37</v>
      </c>
      <c r="G311" s="6" t="n">
        <v>1201</v>
      </c>
      <c r="H311" s="6" t="n">
        <f aca="false">G311</f>
        <v>1201</v>
      </c>
      <c r="I311" s="6" t="n">
        <v>1250</v>
      </c>
      <c r="J311" s="4" t="s">
        <v>63</v>
      </c>
      <c r="M311" s="8" t="n">
        <v>45521</v>
      </c>
      <c r="P311" s="9" t="n">
        <v>0</v>
      </c>
      <c r="Q311" s="9" t="n">
        <f aca="false">P311</f>
        <v>0</v>
      </c>
      <c r="S311" s="6" t="n">
        <v>64100</v>
      </c>
      <c r="T311" s="9" t="n">
        <f aca="false">S311</f>
        <v>64100</v>
      </c>
      <c r="U311" s="54" t="n">
        <v>63100</v>
      </c>
      <c r="V311" s="9" t="n">
        <f aca="false">U311</f>
        <v>63100</v>
      </c>
      <c r="W311" s="44" t="n">
        <f aca="false">S311/G311</f>
        <v>53.3721898417985</v>
      </c>
      <c r="X311" s="9" t="s">
        <v>57</v>
      </c>
      <c r="Y311" s="40"/>
      <c r="AA311" s="5" t="s">
        <v>40</v>
      </c>
      <c r="AB311" s="4" t="s">
        <v>64</v>
      </c>
      <c r="AD311" s="58"/>
      <c r="AE311" s="59"/>
      <c r="AF311" s="58"/>
    </row>
    <row r="312" customFormat="false" ht="19.4" hidden="false" customHeight="false" outlineLevel="0" collapsed="false">
      <c r="A312" s="11" t="s">
        <v>34</v>
      </c>
      <c r="B312" s="11" t="s">
        <v>35</v>
      </c>
      <c r="C312" s="28" t="n">
        <v>550940</v>
      </c>
      <c r="D312" s="4" t="s">
        <v>620</v>
      </c>
      <c r="E312" s="4" t="s">
        <v>628</v>
      </c>
      <c r="F312" s="5" t="s">
        <v>37</v>
      </c>
      <c r="G312" s="6" t="n">
        <v>1255</v>
      </c>
      <c r="H312" s="6" t="n">
        <f aca="false">G312</f>
        <v>1255</v>
      </c>
      <c r="I312" s="6" t="n">
        <v>1250</v>
      </c>
      <c r="J312" s="4" t="s">
        <v>63</v>
      </c>
      <c r="M312" s="8" t="n">
        <v>44320</v>
      </c>
      <c r="P312" s="9" t="n">
        <v>0</v>
      </c>
      <c r="Q312" s="9" t="n">
        <f aca="false">P312</f>
        <v>0</v>
      </c>
      <c r="S312" s="6" t="n">
        <v>67300</v>
      </c>
      <c r="T312" s="9" t="n">
        <f aca="false">S312</f>
        <v>67300</v>
      </c>
      <c r="U312" s="54" t="n">
        <v>69000</v>
      </c>
      <c r="V312" s="9" t="n">
        <f aca="false">U312</f>
        <v>69000</v>
      </c>
      <c r="W312" s="44" t="n">
        <f aca="false">S312/G312</f>
        <v>53.6254980079681</v>
      </c>
      <c r="X312" s="9" t="s">
        <v>57</v>
      </c>
      <c r="Y312" s="40"/>
      <c r="AA312" s="5" t="s">
        <v>40</v>
      </c>
      <c r="AB312" s="4" t="s">
        <v>115</v>
      </c>
      <c r="AE312" s="57"/>
    </row>
    <row r="313" customFormat="false" ht="19.4" hidden="false" customHeight="false" outlineLevel="0" collapsed="false">
      <c r="A313" s="11" t="s">
        <v>34</v>
      </c>
      <c r="B313" s="11" t="s">
        <v>35</v>
      </c>
      <c r="C313" s="28" t="n">
        <v>550940</v>
      </c>
      <c r="D313" s="4" t="s">
        <v>620</v>
      </c>
      <c r="E313" s="4" t="s">
        <v>629</v>
      </c>
      <c r="F313" s="5" t="s">
        <v>37</v>
      </c>
      <c r="G313" s="6" t="n">
        <v>1252</v>
      </c>
      <c r="H313" s="6" t="n">
        <f aca="false">G313</f>
        <v>1252</v>
      </c>
      <c r="I313" s="6" t="n">
        <v>1250</v>
      </c>
      <c r="J313" s="4" t="s">
        <v>63</v>
      </c>
      <c r="M313" s="8" t="n">
        <v>44622</v>
      </c>
      <c r="P313" s="9" t="n">
        <v>0</v>
      </c>
      <c r="Q313" s="9" t="n">
        <f aca="false">P313</f>
        <v>0</v>
      </c>
      <c r="S313" s="6" t="n">
        <v>67600</v>
      </c>
      <c r="T313" s="9" t="n">
        <f aca="false">S313</f>
        <v>67600</v>
      </c>
      <c r="U313" s="54" t="n">
        <v>68900</v>
      </c>
      <c r="V313" s="9" t="n">
        <f aca="false">U313</f>
        <v>68900</v>
      </c>
      <c r="W313" s="44" t="n">
        <f aca="false">S313/G313</f>
        <v>53.9936102236422</v>
      </c>
      <c r="X313" s="9" t="s">
        <v>123</v>
      </c>
      <c r="Y313" s="40"/>
      <c r="AA313" s="5" t="s">
        <v>40</v>
      </c>
      <c r="AB313" s="4" t="s">
        <v>115</v>
      </c>
      <c r="AE313" s="57"/>
    </row>
    <row r="314" customFormat="false" ht="19.4" hidden="false" customHeight="false" outlineLevel="0" collapsed="false">
      <c r="A314" s="11" t="s">
        <v>34</v>
      </c>
      <c r="B314" s="11" t="s">
        <v>35</v>
      </c>
      <c r="C314" s="28" t="n">
        <v>550940</v>
      </c>
      <c r="D314" s="4" t="s">
        <v>620</v>
      </c>
      <c r="E314" s="4" t="s">
        <v>630</v>
      </c>
      <c r="F314" s="5" t="s">
        <v>37</v>
      </c>
      <c r="G314" s="6" t="n">
        <v>1055</v>
      </c>
      <c r="H314" s="6" t="n">
        <f aca="false">G314</f>
        <v>1055</v>
      </c>
      <c r="I314" s="6" t="n">
        <v>1000</v>
      </c>
      <c r="J314" s="4" t="s">
        <v>631</v>
      </c>
      <c r="K314" s="7" t="n">
        <v>44887</v>
      </c>
      <c r="L314" s="8" t="n">
        <v>46712</v>
      </c>
      <c r="N314" s="8" t="n">
        <v>45983</v>
      </c>
      <c r="O314" s="8" t="n">
        <v>45982</v>
      </c>
      <c r="P314" s="6" t="n">
        <v>63070</v>
      </c>
      <c r="Q314" s="9" t="n">
        <f aca="false">P314</f>
        <v>63070</v>
      </c>
      <c r="S314" s="6" t="n">
        <v>61000</v>
      </c>
      <c r="T314" s="9" t="n">
        <f aca="false">S314</f>
        <v>61000</v>
      </c>
      <c r="U314" s="54" t="n">
        <v>60700</v>
      </c>
      <c r="V314" s="9" t="n">
        <f aca="false">U314</f>
        <v>60700</v>
      </c>
      <c r="W314" s="44" t="n">
        <f aca="false">S314/G314</f>
        <v>57.8199052132701</v>
      </c>
      <c r="X314" s="9" t="s">
        <v>57</v>
      </c>
      <c r="Y314" s="40"/>
      <c r="AA314" s="5" t="s">
        <v>40</v>
      </c>
      <c r="AB314" s="4" t="s">
        <v>632</v>
      </c>
      <c r="AE314" s="57"/>
    </row>
    <row r="315" customFormat="false" ht="19.4" hidden="false" customHeight="false" outlineLevel="0" collapsed="false">
      <c r="A315" s="11" t="s">
        <v>34</v>
      </c>
      <c r="B315" s="11" t="s">
        <v>35</v>
      </c>
      <c r="C315" s="28" t="n">
        <v>550940</v>
      </c>
      <c r="D315" s="4" t="s">
        <v>620</v>
      </c>
      <c r="E315" s="4" t="s">
        <v>633</v>
      </c>
      <c r="F315" s="11" t="s">
        <v>37</v>
      </c>
      <c r="G315" s="6" t="n">
        <v>1167</v>
      </c>
      <c r="H315" s="6" t="n">
        <f aca="false">G315</f>
        <v>1167</v>
      </c>
      <c r="I315" s="6" t="n">
        <v>1000</v>
      </c>
      <c r="J315" s="4" t="s">
        <v>634</v>
      </c>
      <c r="K315" s="7" t="n">
        <v>45573</v>
      </c>
      <c r="L315" s="8" t="n">
        <v>47398</v>
      </c>
      <c r="P315" s="9" t="n">
        <v>46800</v>
      </c>
      <c r="Q315" s="9" t="n">
        <f aca="false">P315</f>
        <v>46800</v>
      </c>
      <c r="S315" s="6" t="n">
        <v>37700</v>
      </c>
      <c r="T315" s="9" t="n">
        <f aca="false">S315</f>
        <v>37700</v>
      </c>
      <c r="U315" s="54" t="n">
        <v>49600</v>
      </c>
      <c r="V315" s="9" t="n">
        <f aca="false">U315</f>
        <v>49600</v>
      </c>
      <c r="W315" s="44" t="n">
        <f aca="false">S315/G315</f>
        <v>32.3050556983719</v>
      </c>
      <c r="X315" s="9" t="s">
        <v>52</v>
      </c>
      <c r="Y315" s="40" t="s">
        <v>25</v>
      </c>
      <c r="AA315" s="5" t="s">
        <v>40</v>
      </c>
      <c r="AE315" s="57"/>
    </row>
    <row r="316" customFormat="false" ht="19.4" hidden="false" customHeight="false" outlineLevel="0" collapsed="false">
      <c r="A316" s="11" t="s">
        <v>34</v>
      </c>
      <c r="B316" s="11" t="s">
        <v>35</v>
      </c>
      <c r="C316" s="28" t="n">
        <v>550940</v>
      </c>
      <c r="D316" s="4" t="s">
        <v>620</v>
      </c>
      <c r="E316" s="4" t="s">
        <v>635</v>
      </c>
      <c r="F316" s="11" t="s">
        <v>37</v>
      </c>
      <c r="G316" s="6" t="n">
        <v>922</v>
      </c>
      <c r="H316" s="6" t="n">
        <f aca="false">G316</f>
        <v>922</v>
      </c>
      <c r="I316" s="6" t="n">
        <v>1000</v>
      </c>
      <c r="J316" s="4" t="s">
        <v>636</v>
      </c>
      <c r="K316" s="7" t="n">
        <v>45204</v>
      </c>
      <c r="L316" s="8" t="n">
        <v>46299</v>
      </c>
      <c r="P316" s="6" t="n">
        <v>45800</v>
      </c>
      <c r="Q316" s="9" t="n">
        <f aca="false">P316</f>
        <v>45800</v>
      </c>
      <c r="S316" s="6" t="n">
        <v>39100</v>
      </c>
      <c r="T316" s="9" t="n">
        <f aca="false">S316</f>
        <v>39100</v>
      </c>
      <c r="U316" s="54" t="n">
        <v>39200</v>
      </c>
      <c r="V316" s="9" t="n">
        <f aca="false">U316</f>
        <v>39200</v>
      </c>
      <c r="W316" s="44" t="n">
        <f aca="false">S316/G316</f>
        <v>42.4078091106291</v>
      </c>
      <c r="X316" s="9" t="s">
        <v>52</v>
      </c>
      <c r="Y316" s="40" t="s">
        <v>25</v>
      </c>
      <c r="AA316" s="5" t="s">
        <v>40</v>
      </c>
      <c r="AE316" s="57"/>
    </row>
    <row r="317" customFormat="false" ht="19.4" hidden="false" customHeight="false" outlineLevel="0" collapsed="false">
      <c r="A317" s="11" t="s">
        <v>34</v>
      </c>
      <c r="B317" s="11" t="s">
        <v>35</v>
      </c>
      <c r="C317" s="28" t="n">
        <v>550940</v>
      </c>
      <c r="D317" s="4" t="s">
        <v>620</v>
      </c>
      <c r="E317" s="4" t="s">
        <v>637</v>
      </c>
      <c r="F317" s="11" t="s">
        <v>37</v>
      </c>
      <c r="G317" s="6" t="n">
        <v>781</v>
      </c>
      <c r="H317" s="6" t="n">
        <f aca="false">G317</f>
        <v>781</v>
      </c>
      <c r="I317" s="6" t="n">
        <v>750</v>
      </c>
      <c r="J317" s="4" t="s">
        <v>63</v>
      </c>
      <c r="M317" s="8" t="n">
        <v>45383</v>
      </c>
      <c r="P317" s="9" t="n">
        <v>0</v>
      </c>
      <c r="Q317" s="9" t="n">
        <f aca="false">P317</f>
        <v>0</v>
      </c>
      <c r="S317" s="6" t="n">
        <v>37300</v>
      </c>
      <c r="T317" s="9" t="n">
        <f aca="false">S317</f>
        <v>37300</v>
      </c>
      <c r="U317" s="54" t="n">
        <v>33200</v>
      </c>
      <c r="V317" s="9" t="n">
        <f aca="false">U317</f>
        <v>33200</v>
      </c>
      <c r="W317" s="44" t="n">
        <f aca="false">S317/G317</f>
        <v>47.7592829705506</v>
      </c>
      <c r="X317" s="9" t="s">
        <v>52</v>
      </c>
      <c r="Y317" s="40" t="s">
        <v>25</v>
      </c>
      <c r="AA317" s="5" t="s">
        <v>40</v>
      </c>
      <c r="AB317" s="4" t="s">
        <v>64</v>
      </c>
      <c r="AE317" s="57"/>
    </row>
    <row r="318" customFormat="false" ht="19.4" hidden="false" customHeight="false" outlineLevel="0" collapsed="false">
      <c r="A318" s="11" t="s">
        <v>228</v>
      </c>
      <c r="B318" s="11" t="s">
        <v>35</v>
      </c>
      <c r="C318" s="28" t="n">
        <v>550390</v>
      </c>
      <c r="D318" s="4" t="s">
        <v>639</v>
      </c>
      <c r="E318" s="4" t="s">
        <v>640</v>
      </c>
      <c r="F318" s="5" t="s">
        <v>641</v>
      </c>
      <c r="G318" s="6" t="n">
        <v>6542</v>
      </c>
      <c r="H318" s="9" t="n">
        <f aca="false">G318</f>
        <v>6542</v>
      </c>
      <c r="I318" s="9" t="n">
        <v>6500</v>
      </c>
      <c r="J318" s="4" t="s">
        <v>642</v>
      </c>
      <c r="K318" s="7" t="n">
        <v>44609</v>
      </c>
      <c r="L318" s="8" t="n">
        <v>50087</v>
      </c>
      <c r="N318" s="7" t="n">
        <v>46435</v>
      </c>
      <c r="O318" s="7" t="n">
        <v>48260</v>
      </c>
      <c r="P318" s="9" t="n">
        <v>210000</v>
      </c>
      <c r="Q318" s="9" t="n">
        <f aca="false">P318</f>
        <v>210000</v>
      </c>
      <c r="S318" s="128" t="n">
        <v>210000</v>
      </c>
      <c r="T318" s="9" t="n">
        <f aca="false">S318</f>
        <v>210000</v>
      </c>
      <c r="U318" s="129" t="n">
        <v>232000</v>
      </c>
      <c r="V318" s="9" t="n">
        <f aca="false">U318</f>
        <v>232000</v>
      </c>
      <c r="W318" s="44" t="n">
        <f aca="false">S318/G318</f>
        <v>32.1002751452155</v>
      </c>
      <c r="X318" s="9" t="s">
        <v>453</v>
      </c>
      <c r="Y318" s="40"/>
      <c r="Z318" s="60"/>
      <c r="AA318" s="5" t="s">
        <v>40</v>
      </c>
      <c r="AB318" s="4" t="s">
        <v>128</v>
      </c>
      <c r="AE318" s="57"/>
    </row>
    <row r="319" customFormat="false" ht="19.4" hidden="false" customHeight="false" outlineLevel="0" collapsed="false">
      <c r="A319" s="11" t="s">
        <v>228</v>
      </c>
      <c r="B319" s="11" t="s">
        <v>35</v>
      </c>
      <c r="C319" s="28" t="n">
        <v>550390</v>
      </c>
      <c r="D319" s="4" t="s">
        <v>639</v>
      </c>
      <c r="E319" s="4" t="s">
        <v>643</v>
      </c>
      <c r="F319" s="5" t="s">
        <v>37</v>
      </c>
      <c r="G319" s="6" t="n">
        <v>20993</v>
      </c>
      <c r="H319" s="9" t="n">
        <f aca="false">G319</f>
        <v>20993</v>
      </c>
      <c r="I319" s="9" t="n">
        <v>21000</v>
      </c>
      <c r="J319" s="4" t="s">
        <v>644</v>
      </c>
      <c r="K319" s="7" t="n">
        <v>45564</v>
      </c>
      <c r="L319" s="8" t="n">
        <v>47389</v>
      </c>
      <c r="P319" s="9" t="n">
        <v>1000000</v>
      </c>
      <c r="Q319" s="9" t="n">
        <f aca="false">P319</f>
        <v>1000000</v>
      </c>
      <c r="S319" s="9" t="n">
        <v>1688000</v>
      </c>
      <c r="T319" s="9" t="n">
        <f aca="false">S319</f>
        <v>1688000</v>
      </c>
      <c r="U319" s="63" t="n">
        <v>2005000</v>
      </c>
      <c r="V319" s="9" t="n">
        <f aca="false">U319</f>
        <v>2005000</v>
      </c>
      <c r="W319" s="44" t="n">
        <f aca="false">S319/G319</f>
        <v>80.407754965941</v>
      </c>
      <c r="X319" s="9" t="s">
        <v>123</v>
      </c>
      <c r="Y319" s="40"/>
      <c r="Z319" s="60"/>
      <c r="AA319" s="5" t="s">
        <v>40</v>
      </c>
      <c r="AB319" s="4" t="s">
        <v>645</v>
      </c>
      <c r="AE319" s="57"/>
    </row>
    <row r="320" customFormat="false" ht="28.35" hidden="false" customHeight="false" outlineLevel="0" collapsed="false">
      <c r="A320" s="11" t="s">
        <v>102</v>
      </c>
      <c r="B320" s="11" t="s">
        <v>35</v>
      </c>
      <c r="C320" s="28" t="n">
        <v>550870</v>
      </c>
      <c r="D320" s="4" t="s">
        <v>647</v>
      </c>
      <c r="E320" s="4" t="s">
        <v>648</v>
      </c>
      <c r="F320" s="5" t="s">
        <v>244</v>
      </c>
      <c r="G320" s="6" t="n">
        <v>1330</v>
      </c>
      <c r="H320" s="6" t="n">
        <f aca="false">G320</f>
        <v>1330</v>
      </c>
      <c r="I320" s="6" t="n">
        <v>1250</v>
      </c>
      <c r="J320" s="4" t="s">
        <v>649</v>
      </c>
      <c r="K320" s="7" t="n">
        <v>44936</v>
      </c>
      <c r="L320" s="8" t="n">
        <v>46761</v>
      </c>
      <c r="O320" s="8" t="n">
        <v>46031</v>
      </c>
      <c r="P320" s="9" t="n">
        <v>70000</v>
      </c>
      <c r="Q320" s="9" t="n">
        <f aca="false">P320</f>
        <v>70000</v>
      </c>
      <c r="S320" s="9" t="n">
        <v>69900</v>
      </c>
      <c r="T320" s="9" t="n">
        <f aca="false">S320</f>
        <v>69900</v>
      </c>
      <c r="U320" s="63" t="n">
        <v>69900</v>
      </c>
      <c r="V320" s="9" t="n">
        <f aca="false">U320</f>
        <v>69900</v>
      </c>
      <c r="W320" s="44" t="n">
        <f aca="false">S320/G320</f>
        <v>52.5563909774436</v>
      </c>
      <c r="X320" s="9" t="s">
        <v>57</v>
      </c>
      <c r="Y320" s="40"/>
      <c r="AA320" s="5" t="s">
        <v>40</v>
      </c>
      <c r="AB320" s="4" t="s">
        <v>650</v>
      </c>
      <c r="AE320" s="57"/>
    </row>
    <row r="321" customFormat="false" ht="15" hidden="false" customHeight="false" outlineLevel="0" collapsed="false">
      <c r="A321" s="11" t="s">
        <v>102</v>
      </c>
      <c r="B321" s="11" t="s">
        <v>35</v>
      </c>
      <c r="C321" s="28" t="n">
        <v>550870</v>
      </c>
      <c r="D321" s="4" t="s">
        <v>647</v>
      </c>
      <c r="E321" s="4" t="s">
        <v>651</v>
      </c>
      <c r="F321" s="5" t="s">
        <v>652</v>
      </c>
      <c r="G321" s="6" t="n">
        <v>1486</v>
      </c>
      <c r="H321" s="6" t="n">
        <f aca="false">G321</f>
        <v>1486</v>
      </c>
      <c r="I321" s="6" t="n">
        <v>1500</v>
      </c>
      <c r="J321" s="4" t="s">
        <v>653</v>
      </c>
      <c r="K321" s="7" t="n">
        <v>44314</v>
      </c>
      <c r="L321" s="8" t="n">
        <v>47965</v>
      </c>
      <c r="O321" s="8" t="n">
        <v>46139</v>
      </c>
      <c r="P321" s="9" t="n">
        <v>59500</v>
      </c>
      <c r="Q321" s="9" t="n">
        <f aca="false">P321</f>
        <v>59500</v>
      </c>
      <c r="S321" s="9" t="n">
        <v>64900</v>
      </c>
      <c r="T321" s="9" t="n">
        <f aca="false">S321</f>
        <v>64900</v>
      </c>
      <c r="U321" s="63" t="n">
        <v>64900</v>
      </c>
      <c r="V321" s="9" t="n">
        <f aca="false">U321</f>
        <v>64900</v>
      </c>
      <c r="W321" s="44" t="n">
        <f aca="false">S321/G321</f>
        <v>43.6742934051144</v>
      </c>
      <c r="X321" s="9" t="s">
        <v>39</v>
      </c>
      <c r="Y321" s="40"/>
      <c r="AA321" s="5" t="s">
        <v>40</v>
      </c>
      <c r="AB321" s="4" t="s">
        <v>654</v>
      </c>
      <c r="AE321" s="57"/>
    </row>
    <row r="322" customFormat="false" ht="37.3" hidden="false" customHeight="false" outlineLevel="0" collapsed="false">
      <c r="A322" s="11" t="s">
        <v>102</v>
      </c>
      <c r="B322" s="11" t="s">
        <v>35</v>
      </c>
      <c r="C322" s="28" t="n">
        <v>550870</v>
      </c>
      <c r="D322" s="4" t="s">
        <v>647</v>
      </c>
      <c r="E322" s="4" t="s">
        <v>655</v>
      </c>
      <c r="F322" s="5" t="s">
        <v>652</v>
      </c>
      <c r="G322" s="6" t="n">
        <v>1204</v>
      </c>
      <c r="H322" s="6" t="n">
        <f aca="false">G322</f>
        <v>1204</v>
      </c>
      <c r="I322" s="6" t="n">
        <v>1250</v>
      </c>
      <c r="J322" s="4" t="s">
        <v>656</v>
      </c>
      <c r="K322" s="7" t="n">
        <v>45741</v>
      </c>
      <c r="L322" s="8" t="n">
        <v>46836</v>
      </c>
      <c r="O322" s="8" t="n">
        <v>46106</v>
      </c>
      <c r="P322" s="9" t="n">
        <v>0</v>
      </c>
      <c r="Q322" s="9" t="n">
        <f aca="false">P322</f>
        <v>0</v>
      </c>
      <c r="S322" s="9" t="n">
        <v>53100</v>
      </c>
      <c r="T322" s="9" t="n">
        <f aca="false">S322</f>
        <v>53100</v>
      </c>
      <c r="U322" s="63" t="n">
        <v>55800</v>
      </c>
      <c r="V322" s="9" t="n">
        <f aca="false">U322</f>
        <v>55800</v>
      </c>
      <c r="W322" s="44" t="n">
        <f aca="false">S322/G322</f>
        <v>44.1029900332226</v>
      </c>
      <c r="X322" s="9" t="s">
        <v>39</v>
      </c>
      <c r="Y322" s="40"/>
      <c r="AA322" s="5" t="s">
        <v>40</v>
      </c>
      <c r="AB322" s="4" t="s">
        <v>657</v>
      </c>
      <c r="AE322" s="57"/>
    </row>
    <row r="323" customFormat="false" ht="15" hidden="false" customHeight="false" outlineLevel="0" collapsed="false">
      <c r="A323" s="11" t="s">
        <v>102</v>
      </c>
      <c r="B323" s="11" t="s">
        <v>35</v>
      </c>
      <c r="C323" s="28" t="n">
        <v>550870</v>
      </c>
      <c r="D323" s="4" t="s">
        <v>647</v>
      </c>
      <c r="E323" s="4" t="s">
        <v>658</v>
      </c>
      <c r="F323" s="5" t="s">
        <v>652</v>
      </c>
      <c r="G323" s="6" t="n">
        <v>1119</v>
      </c>
      <c r="H323" s="6" t="n">
        <f aca="false">G323</f>
        <v>1119</v>
      </c>
      <c r="I323" s="6" t="n">
        <v>1250</v>
      </c>
      <c r="J323" s="4" t="s">
        <v>656</v>
      </c>
      <c r="K323" s="7" t="n">
        <v>45741</v>
      </c>
      <c r="L323" s="8" t="n">
        <v>46836</v>
      </c>
      <c r="P323" s="9" t="n">
        <v>55000</v>
      </c>
      <c r="Q323" s="9" t="n">
        <f aca="false">P323</f>
        <v>55000</v>
      </c>
      <c r="S323" s="9" t="n">
        <v>51200</v>
      </c>
      <c r="T323" s="9" t="n">
        <f aca="false">S323</f>
        <v>51200</v>
      </c>
      <c r="U323" s="63" t="n">
        <v>53900</v>
      </c>
      <c r="V323" s="9" t="n">
        <f aca="false">U323</f>
        <v>53900</v>
      </c>
      <c r="W323" s="44" t="n">
        <f aca="false">S323/G323</f>
        <v>45.7551385165326</v>
      </c>
      <c r="X323" s="9" t="s">
        <v>57</v>
      </c>
      <c r="Y323" s="40"/>
      <c r="AA323" s="5" t="s">
        <v>40</v>
      </c>
      <c r="AE323" s="57"/>
    </row>
    <row r="324" customFormat="false" ht="19.4" hidden="false" customHeight="false" outlineLevel="0" collapsed="false">
      <c r="A324" s="11" t="s">
        <v>102</v>
      </c>
      <c r="B324" s="11" t="s">
        <v>35</v>
      </c>
      <c r="C324" s="28" t="n">
        <v>550870</v>
      </c>
      <c r="D324" s="4" t="s">
        <v>647</v>
      </c>
      <c r="E324" s="4" t="s">
        <v>659</v>
      </c>
      <c r="F324" s="5" t="s">
        <v>130</v>
      </c>
      <c r="G324" s="6" t="n">
        <v>3114</v>
      </c>
      <c r="H324" s="6" t="n">
        <f aca="false">G324</f>
        <v>3114</v>
      </c>
      <c r="I324" s="6" t="n">
        <v>3000</v>
      </c>
      <c r="J324" s="4" t="s">
        <v>660</v>
      </c>
      <c r="K324" s="7" t="n">
        <v>44143</v>
      </c>
      <c r="L324" s="8" t="n">
        <v>49620</v>
      </c>
      <c r="N324" s="8" t="n">
        <v>45969</v>
      </c>
      <c r="P324" s="9" t="n">
        <v>175000</v>
      </c>
      <c r="Q324" s="9" t="n">
        <f aca="false">P324</f>
        <v>175000</v>
      </c>
      <c r="S324" s="9" t="n">
        <v>146200</v>
      </c>
      <c r="T324" s="9" t="n">
        <f aca="false">S324</f>
        <v>146200</v>
      </c>
      <c r="U324" s="63" t="n">
        <v>146200</v>
      </c>
      <c r="V324" s="9" t="n">
        <f aca="false">U324</f>
        <v>146200</v>
      </c>
      <c r="W324" s="44" t="n">
        <f aca="false">S324/G324</f>
        <v>46.9492614001285</v>
      </c>
      <c r="X324" s="9" t="s">
        <v>57</v>
      </c>
      <c r="Y324" s="40"/>
      <c r="AA324" s="5" t="s">
        <v>165</v>
      </c>
      <c r="AB324" s="4" t="s">
        <v>661</v>
      </c>
      <c r="AE324" s="57"/>
    </row>
    <row r="325" customFormat="false" ht="15" hidden="false" customHeight="false" outlineLevel="0" collapsed="false">
      <c r="A325" s="11" t="s">
        <v>102</v>
      </c>
      <c r="B325" s="11" t="s">
        <v>35</v>
      </c>
      <c r="C325" s="28" t="n">
        <v>550870</v>
      </c>
      <c r="D325" s="4" t="s">
        <v>647</v>
      </c>
      <c r="E325" s="4" t="s">
        <v>135</v>
      </c>
      <c r="F325" s="5" t="s">
        <v>37</v>
      </c>
      <c r="G325" s="6" t="n">
        <v>1560</v>
      </c>
      <c r="H325" s="6" t="n">
        <f aca="false">G325</f>
        <v>1560</v>
      </c>
      <c r="I325" s="6" t="n">
        <v>1500</v>
      </c>
      <c r="J325" s="4" t="s">
        <v>615</v>
      </c>
      <c r="K325" s="7" t="n">
        <v>44732</v>
      </c>
      <c r="L325" s="8" t="n">
        <v>46557</v>
      </c>
      <c r="N325" s="7"/>
      <c r="O325" s="7"/>
      <c r="P325" s="9" t="n">
        <v>67146</v>
      </c>
      <c r="Q325" s="9" t="n">
        <f aca="false">P325</f>
        <v>67146</v>
      </c>
      <c r="S325" s="9" t="n">
        <v>85800</v>
      </c>
      <c r="T325" s="9" t="n">
        <f aca="false">S325</f>
        <v>85800</v>
      </c>
      <c r="U325" s="63" t="n">
        <v>85800</v>
      </c>
      <c r="V325" s="9" t="n">
        <f aca="false">U325</f>
        <v>85800</v>
      </c>
      <c r="W325" s="44" t="n">
        <f aca="false">S325/G325</f>
        <v>55</v>
      </c>
      <c r="X325" s="9" t="s">
        <v>39</v>
      </c>
      <c r="Y325" s="40"/>
      <c r="AA325" s="5" t="s">
        <v>40</v>
      </c>
      <c r="AB325" s="4" t="s">
        <v>662</v>
      </c>
      <c r="AE325" s="57"/>
    </row>
    <row r="326" customFormat="false" ht="15" hidden="false" customHeight="false" outlineLevel="0" collapsed="false">
      <c r="A326" s="11" t="s">
        <v>102</v>
      </c>
      <c r="B326" s="11" t="s">
        <v>35</v>
      </c>
      <c r="C326" s="28" t="n">
        <v>550870</v>
      </c>
      <c r="D326" s="4" t="s">
        <v>647</v>
      </c>
      <c r="E326" s="4" t="s">
        <v>133</v>
      </c>
      <c r="F326" s="5" t="s">
        <v>37</v>
      </c>
      <c r="G326" s="6" t="n">
        <v>1454</v>
      </c>
      <c r="H326" s="6" t="n">
        <f aca="false">G326</f>
        <v>1454</v>
      </c>
      <c r="I326" s="6" t="n">
        <v>1500</v>
      </c>
      <c r="J326" s="4" t="s">
        <v>615</v>
      </c>
      <c r="K326" s="7" t="n">
        <v>44419</v>
      </c>
      <c r="L326" s="8" t="n">
        <v>46244</v>
      </c>
      <c r="N326" s="7"/>
      <c r="O326" s="7"/>
      <c r="P326" s="63" t="n">
        <v>83950</v>
      </c>
      <c r="Q326" s="9" t="n">
        <f aca="false">P326</f>
        <v>83950</v>
      </c>
      <c r="S326" s="9" t="n">
        <v>80000</v>
      </c>
      <c r="T326" s="9" t="n">
        <f aca="false">S326</f>
        <v>80000</v>
      </c>
      <c r="U326" s="63" t="n">
        <v>80000</v>
      </c>
      <c r="V326" s="9" t="n">
        <f aca="false">U326</f>
        <v>80000</v>
      </c>
      <c r="W326" s="44" t="n">
        <f aca="false">S326/G326</f>
        <v>55.0206327372765</v>
      </c>
      <c r="X326" s="9" t="s">
        <v>57</v>
      </c>
      <c r="Y326" s="40"/>
      <c r="AA326" s="5" t="s">
        <v>40</v>
      </c>
      <c r="AE326" s="57"/>
    </row>
    <row r="327" customFormat="false" ht="15" hidden="false" customHeight="false" outlineLevel="0" collapsed="false">
      <c r="A327" s="11" t="s">
        <v>102</v>
      </c>
      <c r="B327" s="11" t="s">
        <v>35</v>
      </c>
      <c r="C327" s="28" t="n">
        <v>550870</v>
      </c>
      <c r="D327" s="4" t="s">
        <v>647</v>
      </c>
      <c r="E327" s="4" t="s">
        <v>140</v>
      </c>
      <c r="F327" s="5" t="s">
        <v>37</v>
      </c>
      <c r="G327" s="6" t="n">
        <v>1395</v>
      </c>
      <c r="H327" s="6" t="n">
        <f aca="false">G327</f>
        <v>1395</v>
      </c>
      <c r="I327" s="6" t="n">
        <v>1500</v>
      </c>
      <c r="J327" s="4" t="s">
        <v>63</v>
      </c>
      <c r="M327" s="8" t="n">
        <v>45837</v>
      </c>
      <c r="N327" s="7"/>
      <c r="O327" s="7"/>
      <c r="P327" s="9" t="n">
        <v>0</v>
      </c>
      <c r="Q327" s="9" t="n">
        <f aca="false">P327</f>
        <v>0</v>
      </c>
      <c r="S327" s="9" t="n">
        <v>76700</v>
      </c>
      <c r="T327" s="9" t="n">
        <f aca="false">S327</f>
        <v>76700</v>
      </c>
      <c r="U327" s="63" t="n">
        <v>76700</v>
      </c>
      <c r="V327" s="9" t="n">
        <f aca="false">U327</f>
        <v>76700</v>
      </c>
      <c r="W327" s="44" t="n">
        <f aca="false">S327/G327</f>
        <v>54.9820788530466</v>
      </c>
      <c r="X327" s="9" t="s">
        <v>123</v>
      </c>
      <c r="Y327" s="40"/>
      <c r="AA327" s="5" t="s">
        <v>40</v>
      </c>
      <c r="AB327" s="4" t="s">
        <v>663</v>
      </c>
      <c r="AE327" s="57"/>
    </row>
    <row r="328" customFormat="false" ht="19.4" hidden="false" customHeight="false" outlineLevel="0" collapsed="false">
      <c r="A328" s="11" t="s">
        <v>102</v>
      </c>
      <c r="B328" s="11" t="s">
        <v>35</v>
      </c>
      <c r="C328" s="28" t="n">
        <v>550870</v>
      </c>
      <c r="D328" s="4" t="s">
        <v>647</v>
      </c>
      <c r="E328" s="4" t="s">
        <v>138</v>
      </c>
      <c r="F328" s="5" t="s">
        <v>37</v>
      </c>
      <c r="G328" s="6" t="n">
        <v>1281</v>
      </c>
      <c r="H328" s="6" t="n">
        <f aca="false">G328</f>
        <v>1281</v>
      </c>
      <c r="I328" s="6" t="n">
        <v>1250</v>
      </c>
      <c r="J328" s="4" t="s">
        <v>615</v>
      </c>
      <c r="K328" s="7" t="n">
        <v>45393</v>
      </c>
      <c r="L328" s="8" t="n">
        <v>47218</v>
      </c>
      <c r="O328" s="8" t="n">
        <v>46488</v>
      </c>
      <c r="P328" s="9" t="n">
        <v>72800</v>
      </c>
      <c r="Q328" s="9" t="n">
        <f aca="false">P328</f>
        <v>72800</v>
      </c>
      <c r="S328" s="9" t="n">
        <v>70500</v>
      </c>
      <c r="T328" s="9" t="n">
        <f aca="false">S328</f>
        <v>70500</v>
      </c>
      <c r="U328" s="63" t="n">
        <v>70500</v>
      </c>
      <c r="V328" s="9" t="n">
        <f aca="false">U328</f>
        <v>70500</v>
      </c>
      <c r="W328" s="44" t="n">
        <f aca="false">S328/G328</f>
        <v>55.0351288056206</v>
      </c>
      <c r="X328" s="9" t="s">
        <v>57</v>
      </c>
      <c r="Y328" s="40"/>
      <c r="AA328" s="5" t="s">
        <v>40</v>
      </c>
      <c r="AB328" s="4" t="s">
        <v>664</v>
      </c>
      <c r="AE328" s="57"/>
    </row>
    <row r="329" customFormat="false" ht="15" hidden="false" customHeight="false" outlineLevel="0" collapsed="false">
      <c r="A329" s="11" t="s">
        <v>102</v>
      </c>
      <c r="B329" s="11" t="s">
        <v>35</v>
      </c>
      <c r="C329" s="28" t="n">
        <v>550870</v>
      </c>
      <c r="D329" s="4" t="s">
        <v>647</v>
      </c>
      <c r="E329" s="4" t="s">
        <v>545</v>
      </c>
      <c r="F329" s="5" t="s">
        <v>37</v>
      </c>
      <c r="G329" s="6" t="n">
        <v>1371</v>
      </c>
      <c r="H329" s="6" t="n">
        <f aca="false">G329</f>
        <v>1371</v>
      </c>
      <c r="I329" s="6" t="n">
        <v>1250</v>
      </c>
      <c r="J329" s="4" t="s">
        <v>63</v>
      </c>
      <c r="M329" s="8" t="n">
        <v>44647</v>
      </c>
      <c r="N329" s="7"/>
      <c r="O329" s="7"/>
      <c r="P329" s="9" t="n">
        <v>0</v>
      </c>
      <c r="Q329" s="9" t="n">
        <f aca="false">P329</f>
        <v>0</v>
      </c>
      <c r="S329" s="9" t="n">
        <v>75400</v>
      </c>
      <c r="T329" s="9" t="n">
        <f aca="false">S329</f>
        <v>75400</v>
      </c>
      <c r="U329" s="63" t="n">
        <v>75400</v>
      </c>
      <c r="V329" s="9" t="n">
        <f aca="false">U329</f>
        <v>75400</v>
      </c>
      <c r="W329" s="44" t="n">
        <f aca="false">S329/G329</f>
        <v>54.9963530269876</v>
      </c>
      <c r="X329" s="63" t="s">
        <v>52</v>
      </c>
      <c r="Y329" s="40"/>
      <c r="AA329" s="5" t="s">
        <v>40</v>
      </c>
      <c r="AB329" s="4" t="s">
        <v>269</v>
      </c>
      <c r="AC329" s="15" t="n">
        <v>62</v>
      </c>
      <c r="AE329" s="57"/>
    </row>
    <row r="330" customFormat="false" ht="15" hidden="false" customHeight="false" outlineLevel="0" collapsed="false">
      <c r="A330" s="11" t="s">
        <v>102</v>
      </c>
      <c r="B330" s="11" t="s">
        <v>35</v>
      </c>
      <c r="C330" s="28" t="n">
        <v>550870</v>
      </c>
      <c r="D330" s="4" t="s">
        <v>647</v>
      </c>
      <c r="E330" s="4" t="s">
        <v>142</v>
      </c>
      <c r="F330" s="5" t="s">
        <v>37</v>
      </c>
      <c r="G330" s="6" t="n">
        <v>1204</v>
      </c>
      <c r="H330" s="6" t="n">
        <f aca="false">G330</f>
        <v>1204</v>
      </c>
      <c r="I330" s="6" t="n">
        <v>1250</v>
      </c>
      <c r="J330" s="4" t="s">
        <v>63</v>
      </c>
      <c r="M330" s="8" t="n">
        <v>42983</v>
      </c>
      <c r="N330" s="7"/>
      <c r="O330" s="7"/>
      <c r="P330" s="9" t="n">
        <v>0</v>
      </c>
      <c r="Q330" s="9" t="n">
        <f aca="false">P330</f>
        <v>0</v>
      </c>
      <c r="S330" s="9" t="n">
        <v>66200</v>
      </c>
      <c r="T330" s="9" t="n">
        <f aca="false">S330</f>
        <v>66200</v>
      </c>
      <c r="U330" s="63" t="n">
        <v>66200</v>
      </c>
      <c r="V330" s="9" t="n">
        <f aca="false">U330</f>
        <v>66200</v>
      </c>
      <c r="W330" s="44" t="n">
        <f aca="false">S330/G330</f>
        <v>54.9833887043189</v>
      </c>
      <c r="X330" s="63" t="s">
        <v>52</v>
      </c>
      <c r="Y330" s="40"/>
      <c r="AA330" s="5" t="s">
        <v>40</v>
      </c>
      <c r="AB330" s="4" t="s">
        <v>269</v>
      </c>
      <c r="AC330" s="15" t="n">
        <v>62</v>
      </c>
      <c r="AE330" s="57"/>
    </row>
    <row r="331" customFormat="false" ht="19.4" hidden="false" customHeight="false" outlineLevel="0" collapsed="false">
      <c r="A331" s="11" t="s">
        <v>102</v>
      </c>
      <c r="B331" s="11" t="s">
        <v>35</v>
      </c>
      <c r="C331" s="28" t="n">
        <v>550980</v>
      </c>
      <c r="D331" s="4" t="s">
        <v>666</v>
      </c>
      <c r="E331" s="4" t="s">
        <v>455</v>
      </c>
      <c r="F331" s="5" t="s">
        <v>50</v>
      </c>
      <c r="G331" s="41" t="n">
        <v>10112</v>
      </c>
      <c r="H331" s="42" t="n">
        <f aca="false">G331</f>
        <v>10112</v>
      </c>
      <c r="I331" s="42"/>
      <c r="J331" s="4" t="s">
        <v>667</v>
      </c>
      <c r="K331" s="7" t="n">
        <v>45708</v>
      </c>
      <c r="L331" s="8" t="n">
        <v>51185</v>
      </c>
      <c r="N331" s="8" t="n">
        <v>47534</v>
      </c>
      <c r="O331" s="8" t="n">
        <v>47898</v>
      </c>
      <c r="P331" s="42" t="n">
        <v>550000</v>
      </c>
      <c r="Q331" s="42" t="n">
        <f aca="false">P331</f>
        <v>550000</v>
      </c>
      <c r="R331" s="42" t="n">
        <f aca="false">Q331</f>
        <v>550000</v>
      </c>
      <c r="S331" s="42" t="n">
        <v>750000</v>
      </c>
      <c r="T331" s="42" t="n">
        <f aca="false">S331</f>
        <v>750000</v>
      </c>
      <c r="U331" s="43" t="n">
        <v>700000</v>
      </c>
      <c r="V331" s="42" t="n">
        <f aca="false">U331</f>
        <v>700000</v>
      </c>
      <c r="W331" s="44" t="n">
        <f aca="false">S331/G331</f>
        <v>74.1693037974684</v>
      </c>
      <c r="X331" s="42" t="s">
        <v>453</v>
      </c>
      <c r="Y331" s="64"/>
      <c r="Z331" s="43" t="n">
        <v>11850000</v>
      </c>
      <c r="AA331" s="5" t="s">
        <v>40</v>
      </c>
      <c r="AB331" s="4" t="s">
        <v>668</v>
      </c>
      <c r="AD331" s="4" t="n">
        <v>1</v>
      </c>
      <c r="AE331" s="57" t="n">
        <v>1</v>
      </c>
    </row>
    <row r="332" customFormat="false" ht="19.4" hidden="false" customHeight="false" outlineLevel="0" collapsed="false">
      <c r="A332" s="11" t="s">
        <v>34</v>
      </c>
      <c r="B332" s="11" t="s">
        <v>35</v>
      </c>
      <c r="C332" s="28" t="n">
        <v>100850</v>
      </c>
      <c r="D332" s="4" t="s">
        <v>670</v>
      </c>
      <c r="E332" s="4" t="s">
        <v>187</v>
      </c>
      <c r="F332" s="5" t="s">
        <v>671</v>
      </c>
      <c r="G332" s="6" t="n">
        <v>5200</v>
      </c>
      <c r="H332" s="6" t="n">
        <f aca="false">G332</f>
        <v>5200</v>
      </c>
      <c r="I332" s="6" t="n">
        <v>5000</v>
      </c>
      <c r="J332" s="4" t="s">
        <v>672</v>
      </c>
      <c r="K332" s="7" t="n">
        <v>45776</v>
      </c>
      <c r="L332" s="8" t="n">
        <v>49427</v>
      </c>
      <c r="N332" s="8" t="n">
        <v>47602</v>
      </c>
      <c r="O332" s="8" t="n">
        <v>47601</v>
      </c>
      <c r="P332" s="9" t="n">
        <v>352500</v>
      </c>
      <c r="Q332" s="9" t="n">
        <f aca="false">P332</f>
        <v>352500</v>
      </c>
      <c r="S332" s="6" t="n">
        <v>616000</v>
      </c>
      <c r="T332" s="9" t="n">
        <f aca="false">S332</f>
        <v>616000</v>
      </c>
      <c r="U332" s="54" t="n">
        <v>746500</v>
      </c>
      <c r="V332" s="9" t="n">
        <f aca="false">U332</f>
        <v>746500</v>
      </c>
      <c r="W332" s="44" t="n">
        <f aca="false">S332/G332</f>
        <v>118.461538461538</v>
      </c>
      <c r="X332" s="9" t="s">
        <v>52</v>
      </c>
      <c r="Y332" s="40"/>
      <c r="Z332" s="43"/>
      <c r="AA332" s="5" t="s">
        <v>40</v>
      </c>
      <c r="AB332" s="4" t="s">
        <v>673</v>
      </c>
      <c r="AD332" s="4" t="n">
        <v>1</v>
      </c>
      <c r="AE332" s="57" t="n">
        <v>1</v>
      </c>
      <c r="AF332" s="4" t="s">
        <v>54</v>
      </c>
    </row>
    <row r="333" customFormat="false" ht="37.3" hidden="false" customHeight="false" outlineLevel="0" collapsed="false">
      <c r="A333" s="11" t="s">
        <v>34</v>
      </c>
      <c r="B333" s="11" t="s">
        <v>35</v>
      </c>
      <c r="C333" s="28" t="n">
        <v>100850</v>
      </c>
      <c r="D333" s="4" t="s">
        <v>670</v>
      </c>
      <c r="E333" s="4" t="s">
        <v>674</v>
      </c>
      <c r="F333" s="5" t="s">
        <v>277</v>
      </c>
      <c r="G333" s="93" t="n">
        <v>85</v>
      </c>
      <c r="H333" s="6" t="n">
        <f aca="false">G333</f>
        <v>85</v>
      </c>
      <c r="J333" s="39" t="s">
        <v>675</v>
      </c>
      <c r="K333" s="7" t="n">
        <v>45589</v>
      </c>
      <c r="L333" s="7" t="n">
        <v>45953</v>
      </c>
      <c r="M333" s="7"/>
      <c r="P333" s="9" t="n">
        <v>68250</v>
      </c>
      <c r="Q333" s="9" t="n">
        <f aca="false">P333</f>
        <v>68250</v>
      </c>
      <c r="S333" s="6" t="n">
        <v>65000</v>
      </c>
      <c r="T333" s="9" t="n">
        <f aca="false">S333</f>
        <v>65000</v>
      </c>
      <c r="U333" s="54" t="n">
        <v>0</v>
      </c>
      <c r="V333" s="9" t="n">
        <f aca="false">U333</f>
        <v>0</v>
      </c>
      <c r="W333" s="44" t="n">
        <f aca="false">S333/G333</f>
        <v>764.705882352941</v>
      </c>
      <c r="X333" s="9"/>
      <c r="Y333" s="40"/>
      <c r="Z333" s="43"/>
      <c r="AA333" s="5" t="s">
        <v>40</v>
      </c>
      <c r="AB333" s="39" t="s">
        <v>676</v>
      </c>
      <c r="AD333" s="39"/>
      <c r="AE333" s="131"/>
      <c r="AF333" s="39"/>
    </row>
    <row r="334" customFormat="false" ht="15" hidden="false" customHeight="false" outlineLevel="0" collapsed="false">
      <c r="A334" s="11" t="s">
        <v>34</v>
      </c>
      <c r="B334" s="11" t="s">
        <v>35</v>
      </c>
      <c r="C334" s="28" t="n">
        <v>100850</v>
      </c>
      <c r="D334" s="4" t="s">
        <v>670</v>
      </c>
      <c r="E334" s="4" t="s">
        <v>677</v>
      </c>
      <c r="F334" s="5" t="s">
        <v>235</v>
      </c>
      <c r="G334" s="93" t="n">
        <v>4011</v>
      </c>
      <c r="H334" s="6" t="n">
        <f aca="false">G334</f>
        <v>4011</v>
      </c>
      <c r="I334" s="6" t="n">
        <v>4000</v>
      </c>
      <c r="J334" s="4" t="s">
        <v>678</v>
      </c>
      <c r="K334" s="7" t="n">
        <v>44204</v>
      </c>
      <c r="L334" s="8" t="n">
        <v>47855</v>
      </c>
      <c r="N334" s="8" t="n">
        <v>46030</v>
      </c>
      <c r="P334" s="9" t="n">
        <v>130000</v>
      </c>
      <c r="Q334" s="9" t="n">
        <f aca="false">P334</f>
        <v>130000</v>
      </c>
      <c r="S334" s="6" t="n">
        <v>130000</v>
      </c>
      <c r="T334" s="9" t="n">
        <f aca="false">S334</f>
        <v>130000</v>
      </c>
      <c r="U334" s="54" t="n">
        <v>130000</v>
      </c>
      <c r="V334" s="9" t="n">
        <f aca="false">U334</f>
        <v>130000</v>
      </c>
      <c r="W334" s="44" t="n">
        <f aca="false">S334/G334</f>
        <v>32.4108701072052</v>
      </c>
      <c r="X334" s="9" t="s">
        <v>52</v>
      </c>
      <c r="Y334" s="40"/>
      <c r="Z334" s="43"/>
      <c r="AA334" s="5" t="s">
        <v>40</v>
      </c>
      <c r="AB334" s="39"/>
      <c r="AD334" s="39"/>
      <c r="AE334" s="131"/>
      <c r="AF334" s="39"/>
    </row>
    <row r="335" customFormat="false" ht="19.4" hidden="false" customHeight="false" outlineLevel="0" collapsed="false">
      <c r="A335" s="11" t="s">
        <v>34</v>
      </c>
      <c r="B335" s="11" t="s">
        <v>35</v>
      </c>
      <c r="C335" s="28" t="n">
        <v>100670</v>
      </c>
      <c r="D335" s="4" t="s">
        <v>679</v>
      </c>
      <c r="E335" s="4" t="s">
        <v>680</v>
      </c>
      <c r="F335" s="5" t="s">
        <v>46</v>
      </c>
      <c r="G335" s="6" t="n">
        <v>3348</v>
      </c>
      <c r="H335" s="9" t="n">
        <f aca="false">G335</f>
        <v>3348</v>
      </c>
      <c r="I335" s="9" t="n">
        <v>3250</v>
      </c>
      <c r="J335" s="4" t="s">
        <v>681</v>
      </c>
      <c r="K335" s="7" t="n">
        <v>45600</v>
      </c>
      <c r="L335" s="8" t="n">
        <v>49251</v>
      </c>
      <c r="N335" s="8" t="n">
        <v>47426</v>
      </c>
      <c r="O335" s="8" t="n">
        <v>47790</v>
      </c>
      <c r="P335" s="9" t="n">
        <v>260000</v>
      </c>
      <c r="Q335" s="9" t="n">
        <f aca="false">P335</f>
        <v>260000</v>
      </c>
      <c r="S335" s="9" t="n">
        <v>522500</v>
      </c>
      <c r="T335" s="9" t="n">
        <f aca="false">S335</f>
        <v>522500</v>
      </c>
      <c r="U335" s="63" t="n">
        <v>661800</v>
      </c>
      <c r="V335" s="9" t="n">
        <f aca="false">U335</f>
        <v>661800</v>
      </c>
      <c r="W335" s="44" t="n">
        <f aca="false">S335/G335</f>
        <v>156.063321385902</v>
      </c>
      <c r="X335" s="9" t="s">
        <v>52</v>
      </c>
      <c r="Y335" s="40"/>
      <c r="Z335" s="357"/>
      <c r="AA335" s="5" t="s">
        <v>40</v>
      </c>
      <c r="AB335" s="4" t="s">
        <v>682</v>
      </c>
      <c r="AC335" s="56"/>
      <c r="AD335" s="58"/>
      <c r="AE335" s="59"/>
      <c r="AF335" s="58"/>
    </row>
    <row r="336" customFormat="false" ht="15" hidden="false" customHeight="false" outlineLevel="0" collapsed="false">
      <c r="A336" s="11" t="s">
        <v>34</v>
      </c>
      <c r="B336" s="11" t="s">
        <v>35</v>
      </c>
      <c r="C336" s="28" t="n">
        <v>100670</v>
      </c>
      <c r="D336" s="4" t="s">
        <v>679</v>
      </c>
      <c r="E336" s="4" t="s">
        <v>225</v>
      </c>
      <c r="F336" s="5" t="s">
        <v>683</v>
      </c>
      <c r="G336" s="6" t="n">
        <v>2964</v>
      </c>
      <c r="H336" s="9" t="n">
        <f aca="false">G336</f>
        <v>2964</v>
      </c>
      <c r="I336" s="9" t="n">
        <v>3000</v>
      </c>
      <c r="J336" s="4" t="s">
        <v>63</v>
      </c>
      <c r="M336" s="8" t="n">
        <v>42593</v>
      </c>
      <c r="P336" s="9" t="n">
        <v>0</v>
      </c>
      <c r="Q336" s="9" t="n">
        <f aca="false">P336</f>
        <v>0</v>
      </c>
      <c r="S336" s="9" t="n">
        <v>115000</v>
      </c>
      <c r="T336" s="9" t="n">
        <f aca="false">S336</f>
        <v>115000</v>
      </c>
      <c r="U336" s="63" t="n">
        <v>115000</v>
      </c>
      <c r="V336" s="9" t="n">
        <f aca="false">U336</f>
        <v>115000</v>
      </c>
      <c r="W336" s="44" t="n">
        <f aca="false">S336/G336</f>
        <v>38.7989203778677</v>
      </c>
      <c r="X336" s="9" t="s">
        <v>123</v>
      </c>
      <c r="Y336" s="40"/>
      <c r="Z336" s="357"/>
      <c r="AA336" s="5" t="s">
        <v>40</v>
      </c>
      <c r="AB336" s="4" t="s">
        <v>684</v>
      </c>
      <c r="AE336" s="57"/>
    </row>
    <row r="337" customFormat="false" ht="28.35" hidden="false" customHeight="false" outlineLevel="0" collapsed="false">
      <c r="A337" s="11" t="s">
        <v>34</v>
      </c>
      <c r="B337" s="11" t="s">
        <v>35</v>
      </c>
      <c r="C337" s="28" t="n">
        <v>100650</v>
      </c>
      <c r="D337" s="4" t="s">
        <v>686</v>
      </c>
      <c r="E337" s="4" t="s">
        <v>687</v>
      </c>
      <c r="F337" s="5" t="s">
        <v>46</v>
      </c>
      <c r="G337" s="41" t="n">
        <v>61433</v>
      </c>
      <c r="H337" s="9" t="n">
        <f aca="false">G337</f>
        <v>61433</v>
      </c>
      <c r="I337" s="9" t="n">
        <v>60000</v>
      </c>
      <c r="J337" s="4" t="s">
        <v>688</v>
      </c>
      <c r="K337" s="7" t="n">
        <v>40925</v>
      </c>
      <c r="L337" s="8" t="n">
        <v>46403</v>
      </c>
      <c r="N337" s="8" t="n">
        <v>44578</v>
      </c>
      <c r="P337" s="42" t="n">
        <v>4275000</v>
      </c>
      <c r="Q337" s="9" t="n">
        <f aca="false">P337</f>
        <v>4275000</v>
      </c>
      <c r="R337" s="42" t="n">
        <f aca="false">Q337</f>
        <v>4275000</v>
      </c>
      <c r="S337" s="42" t="n">
        <v>2569000</v>
      </c>
      <c r="T337" s="9" t="n">
        <f aca="false">S337</f>
        <v>2569000</v>
      </c>
      <c r="U337" s="43" t="n">
        <v>3490000</v>
      </c>
      <c r="V337" s="9" t="n">
        <f aca="false">U337</f>
        <v>3490000</v>
      </c>
      <c r="W337" s="44" t="n">
        <f aca="false">S337/G337</f>
        <v>41.8179154526069</v>
      </c>
      <c r="X337" s="9" t="s">
        <v>52</v>
      </c>
      <c r="Y337" s="40"/>
      <c r="Z337" s="43" t="n">
        <v>72800000</v>
      </c>
      <c r="AA337" s="5" t="s">
        <v>165</v>
      </c>
      <c r="AB337" s="4" t="s">
        <v>689</v>
      </c>
      <c r="AE337" s="57"/>
    </row>
    <row r="338" customFormat="false" ht="15" hidden="false" customHeight="false" outlineLevel="0" collapsed="false">
      <c r="A338" s="11" t="s">
        <v>34</v>
      </c>
      <c r="B338" s="11" t="s">
        <v>35</v>
      </c>
      <c r="C338" s="28" t="n">
        <v>100650</v>
      </c>
      <c r="D338" s="4" t="s">
        <v>691</v>
      </c>
      <c r="E338" s="4" t="s">
        <v>692</v>
      </c>
      <c r="F338" s="5" t="s">
        <v>161</v>
      </c>
      <c r="G338" s="6" t="n">
        <v>114</v>
      </c>
      <c r="H338" s="6" t="n">
        <f aca="false">G338</f>
        <v>114</v>
      </c>
      <c r="J338" s="4" t="s">
        <v>693</v>
      </c>
      <c r="P338" s="9" t="n">
        <v>0</v>
      </c>
      <c r="Q338" s="9" t="n">
        <f aca="false">P338</f>
        <v>0</v>
      </c>
      <c r="S338" s="9" t="n">
        <v>2007</v>
      </c>
      <c r="T338" s="9" t="n">
        <f aca="false">S338</f>
        <v>2007</v>
      </c>
      <c r="U338" s="63" t="n">
        <v>2000</v>
      </c>
      <c r="V338" s="9" t="n">
        <f aca="false">U338</f>
        <v>2000</v>
      </c>
      <c r="W338" s="44" t="n">
        <f aca="false">S338/G338</f>
        <v>17.6052631578947</v>
      </c>
      <c r="X338" s="9"/>
      <c r="Y338" s="40"/>
      <c r="AA338" s="5" t="s">
        <v>40</v>
      </c>
      <c r="AE338" s="57"/>
    </row>
    <row r="339" customFormat="false" ht="15" hidden="false" customHeight="false" outlineLevel="0" collapsed="false">
      <c r="A339" s="11" t="s">
        <v>34</v>
      </c>
      <c r="B339" s="11" t="s">
        <v>35</v>
      </c>
      <c r="C339" s="28" t="n">
        <v>100650</v>
      </c>
      <c r="D339" s="4" t="s">
        <v>691</v>
      </c>
      <c r="E339" s="4" t="s">
        <v>694</v>
      </c>
      <c r="F339" s="5" t="s">
        <v>161</v>
      </c>
      <c r="G339" s="6" t="n">
        <v>454</v>
      </c>
      <c r="H339" s="6" t="n">
        <f aca="false">G339</f>
        <v>454</v>
      </c>
      <c r="J339" s="4" t="s">
        <v>695</v>
      </c>
      <c r="K339" s="7" t="n">
        <v>45685</v>
      </c>
      <c r="L339" s="8" t="n">
        <v>47358</v>
      </c>
      <c r="O339" s="8" t="n">
        <v>46627</v>
      </c>
      <c r="P339" s="9" t="n">
        <v>18000</v>
      </c>
      <c r="Q339" s="9" t="n">
        <f aca="false">P339</f>
        <v>18000</v>
      </c>
      <c r="S339" s="9" t="n">
        <v>7993</v>
      </c>
      <c r="T339" s="9"/>
      <c r="U339" s="63" t="n">
        <v>18000</v>
      </c>
      <c r="V339" s="9" t="n">
        <f aca="false">U339</f>
        <v>18000</v>
      </c>
      <c r="W339" s="44" t="n">
        <f aca="false">S339/G339</f>
        <v>17.6057268722467</v>
      </c>
      <c r="X339" s="9"/>
      <c r="Y339" s="40"/>
      <c r="AA339" s="5"/>
      <c r="AB339" s="4" t="s">
        <v>73</v>
      </c>
      <c r="AE339" s="57"/>
    </row>
    <row r="340" customFormat="false" ht="28.35" hidden="false" customHeight="false" outlineLevel="0" collapsed="false">
      <c r="A340" s="11" t="s">
        <v>34</v>
      </c>
      <c r="B340" s="11" t="s">
        <v>35</v>
      </c>
      <c r="C340" s="28" t="n">
        <v>100650</v>
      </c>
      <c r="D340" s="4" t="s">
        <v>691</v>
      </c>
      <c r="E340" s="4" t="s">
        <v>120</v>
      </c>
      <c r="F340" s="5" t="s">
        <v>696</v>
      </c>
      <c r="G340" s="6" t="n">
        <v>780</v>
      </c>
      <c r="H340" s="6" t="n">
        <f aca="false">G340</f>
        <v>780</v>
      </c>
      <c r="I340" s="6" t="n">
        <v>750</v>
      </c>
      <c r="J340" s="4" t="s">
        <v>410</v>
      </c>
      <c r="K340" s="7" t="n">
        <v>44562</v>
      </c>
      <c r="L340" s="8" t="n">
        <v>46752</v>
      </c>
      <c r="N340" s="8" t="n">
        <v>45292</v>
      </c>
      <c r="P340" s="9" t="n">
        <v>17100</v>
      </c>
      <c r="Q340" s="9" t="n">
        <f aca="false">P340</f>
        <v>17100</v>
      </c>
      <c r="S340" s="9" t="n">
        <v>12500</v>
      </c>
      <c r="T340" s="9" t="n">
        <f aca="false">S340</f>
        <v>12500</v>
      </c>
      <c r="U340" s="63" t="n">
        <v>12500</v>
      </c>
      <c r="V340" s="9" t="n">
        <f aca="false">U340</f>
        <v>12500</v>
      </c>
      <c r="W340" s="44" t="n">
        <f aca="false">S340/G340</f>
        <v>16.025641025641</v>
      </c>
      <c r="X340" s="9" t="s">
        <v>57</v>
      </c>
      <c r="Y340" s="40"/>
      <c r="AA340" s="5" t="s">
        <v>40</v>
      </c>
      <c r="AB340" s="4" t="s">
        <v>697</v>
      </c>
      <c r="AE340" s="57"/>
    </row>
    <row r="341" customFormat="false" ht="15" hidden="false" customHeight="false" outlineLevel="0" collapsed="false">
      <c r="A341" s="11" t="s">
        <v>34</v>
      </c>
      <c r="B341" s="11" t="s">
        <v>35</v>
      </c>
      <c r="C341" s="28" t="n">
        <v>100650</v>
      </c>
      <c r="D341" s="4" t="s">
        <v>691</v>
      </c>
      <c r="E341" s="4" t="s">
        <v>698</v>
      </c>
      <c r="F341" s="5" t="s">
        <v>130</v>
      </c>
      <c r="G341" s="6" t="n">
        <v>3661</v>
      </c>
      <c r="H341" s="6" t="n">
        <f aca="false">G341</f>
        <v>3661</v>
      </c>
      <c r="I341" s="6" t="n">
        <v>3500</v>
      </c>
      <c r="J341" s="4" t="s">
        <v>699</v>
      </c>
      <c r="K341" s="7" t="n">
        <v>44115</v>
      </c>
      <c r="L341" s="8" t="n">
        <v>46670</v>
      </c>
      <c r="P341" s="9" t="n">
        <v>170000</v>
      </c>
      <c r="Q341" s="9" t="n">
        <f aca="false">P341</f>
        <v>170000</v>
      </c>
      <c r="S341" s="9" t="n">
        <v>216700</v>
      </c>
      <c r="T341" s="9" t="n">
        <f aca="false">S341</f>
        <v>216700</v>
      </c>
      <c r="U341" s="63" t="n">
        <v>216700</v>
      </c>
      <c r="V341" s="9" t="n">
        <f aca="false">U341</f>
        <v>216700</v>
      </c>
      <c r="W341" s="44" t="n">
        <f aca="false">S341/G341</f>
        <v>59.1914777383229</v>
      </c>
      <c r="X341" s="9" t="s">
        <v>57</v>
      </c>
      <c r="Y341" s="40"/>
      <c r="AA341" s="5" t="s">
        <v>40</v>
      </c>
      <c r="AE341" s="57"/>
    </row>
    <row r="342" customFormat="false" ht="15" hidden="false" customHeight="false" outlineLevel="0" collapsed="false">
      <c r="A342" s="11" t="s">
        <v>34</v>
      </c>
      <c r="B342" s="11" t="s">
        <v>35</v>
      </c>
      <c r="C342" s="28" t="n">
        <v>100650</v>
      </c>
      <c r="D342" s="4" t="s">
        <v>691</v>
      </c>
      <c r="E342" s="4" t="s">
        <v>700</v>
      </c>
      <c r="F342" s="5" t="s">
        <v>229</v>
      </c>
      <c r="G342" s="6" t="n">
        <v>1716</v>
      </c>
      <c r="H342" s="6" t="n">
        <f aca="false">G342</f>
        <v>1716</v>
      </c>
      <c r="I342" s="6" t="n">
        <v>1750</v>
      </c>
      <c r="J342" s="4" t="s">
        <v>63</v>
      </c>
      <c r="P342" s="9" t="n">
        <v>0</v>
      </c>
      <c r="Q342" s="9" t="n">
        <f aca="false">P342</f>
        <v>0</v>
      </c>
      <c r="S342" s="9" t="n">
        <v>107600</v>
      </c>
      <c r="T342" s="9" t="n">
        <f aca="false">S342</f>
        <v>107600</v>
      </c>
      <c r="U342" s="63" t="n">
        <v>0</v>
      </c>
      <c r="V342" s="9" t="n">
        <f aca="false">U342</f>
        <v>0</v>
      </c>
      <c r="W342" s="44" t="n">
        <f aca="false">S342/G342</f>
        <v>62.7039627039627</v>
      </c>
      <c r="X342" s="9"/>
      <c r="Y342" s="40"/>
      <c r="AA342" s="5" t="s">
        <v>40</v>
      </c>
      <c r="AB342" s="4" t="s">
        <v>220</v>
      </c>
      <c r="AE342" s="57"/>
    </row>
    <row r="343" customFormat="false" ht="28.35" hidden="false" customHeight="false" outlineLevel="0" collapsed="false">
      <c r="A343" s="11" t="s">
        <v>34</v>
      </c>
      <c r="B343" s="11" t="s">
        <v>35</v>
      </c>
      <c r="C343" s="28" t="n">
        <v>100650</v>
      </c>
      <c r="D343" s="4" t="s">
        <v>691</v>
      </c>
      <c r="E343" s="4" t="s">
        <v>701</v>
      </c>
      <c r="F343" s="5" t="s">
        <v>229</v>
      </c>
      <c r="G343" s="6" t="n">
        <v>1952</v>
      </c>
      <c r="H343" s="6" t="n">
        <f aca="false">G343</f>
        <v>1952</v>
      </c>
      <c r="I343" s="6" t="n">
        <v>2000</v>
      </c>
      <c r="J343" s="4" t="s">
        <v>702</v>
      </c>
      <c r="K343" s="7" t="n">
        <v>45450</v>
      </c>
      <c r="L343" s="8" t="n">
        <v>49101</v>
      </c>
      <c r="N343" s="8" t="n">
        <v>47276</v>
      </c>
      <c r="O343" s="8" t="n">
        <v>47275</v>
      </c>
      <c r="P343" s="9" t="n">
        <v>159500</v>
      </c>
      <c r="Q343" s="9" t="n">
        <f aca="false">P343</f>
        <v>159500</v>
      </c>
      <c r="S343" s="9" t="n">
        <v>122400</v>
      </c>
      <c r="T343" s="9" t="n">
        <f aca="false">S343</f>
        <v>122400</v>
      </c>
      <c r="U343" s="63" t="n">
        <v>136600</v>
      </c>
      <c r="V343" s="9" t="n">
        <f aca="false">U343</f>
        <v>136600</v>
      </c>
      <c r="W343" s="44" t="n">
        <f aca="false">S343/G343</f>
        <v>62.7049180327869</v>
      </c>
      <c r="X343" s="9" t="s">
        <v>39</v>
      </c>
      <c r="Y343" s="40"/>
      <c r="AA343" s="5" t="s">
        <v>40</v>
      </c>
      <c r="AB343" s="4" t="s">
        <v>703</v>
      </c>
      <c r="AE343" s="57"/>
    </row>
    <row r="344" customFormat="false" ht="15" hidden="false" customHeight="false" outlineLevel="0" collapsed="false">
      <c r="A344" s="11" t="s">
        <v>34</v>
      </c>
      <c r="B344" s="11" t="s">
        <v>35</v>
      </c>
      <c r="C344" s="28" t="n">
        <v>100650</v>
      </c>
      <c r="D344" s="4" t="s">
        <v>691</v>
      </c>
      <c r="E344" s="4" t="s">
        <v>704</v>
      </c>
      <c r="F344" s="5" t="s">
        <v>705</v>
      </c>
      <c r="G344" s="6" t="n">
        <v>1710</v>
      </c>
      <c r="H344" s="6" t="n">
        <f aca="false">G344</f>
        <v>1710</v>
      </c>
      <c r="I344" s="6" t="n">
        <v>1750</v>
      </c>
      <c r="J344" s="58" t="s">
        <v>63</v>
      </c>
      <c r="K344" s="78"/>
      <c r="L344" s="79"/>
      <c r="M344" s="79" t="n">
        <v>45874</v>
      </c>
      <c r="N344" s="79"/>
      <c r="O344" s="79"/>
      <c r="P344" s="63" t="n">
        <v>0</v>
      </c>
      <c r="Q344" s="9" t="n">
        <f aca="false">P344</f>
        <v>0</v>
      </c>
      <c r="S344" s="9" t="n">
        <v>85500</v>
      </c>
      <c r="T344" s="9" t="n">
        <f aca="false">S344</f>
        <v>85500</v>
      </c>
      <c r="U344" s="63" t="n">
        <v>100000</v>
      </c>
      <c r="V344" s="9" t="n">
        <f aca="false">U344</f>
        <v>100000</v>
      </c>
      <c r="W344" s="44" t="n">
        <f aca="false">S344/G344</f>
        <v>50</v>
      </c>
      <c r="X344" s="9" t="s">
        <v>57</v>
      </c>
      <c r="Y344" s="40"/>
      <c r="AA344" s="5" t="s">
        <v>40</v>
      </c>
      <c r="AB344" s="58" t="s">
        <v>64</v>
      </c>
      <c r="AE344" s="57"/>
    </row>
    <row r="345" customFormat="false" ht="37.3" hidden="false" customHeight="false" outlineLevel="0" collapsed="false">
      <c r="A345" s="11" t="s">
        <v>34</v>
      </c>
      <c r="B345" s="11" t="s">
        <v>35</v>
      </c>
      <c r="C345" s="28" t="n">
        <v>100650</v>
      </c>
      <c r="D345" s="4" t="s">
        <v>691</v>
      </c>
      <c r="E345" s="4" t="s">
        <v>706</v>
      </c>
      <c r="F345" s="5" t="s">
        <v>705</v>
      </c>
      <c r="G345" s="6" t="n">
        <v>3601</v>
      </c>
      <c r="H345" s="6" t="n">
        <f aca="false">G345</f>
        <v>3601</v>
      </c>
      <c r="I345" s="6" t="n">
        <v>3500</v>
      </c>
      <c r="J345" s="4" t="s">
        <v>695</v>
      </c>
      <c r="K345" s="7" t="n">
        <v>45533</v>
      </c>
      <c r="L345" s="8" t="n">
        <v>49184</v>
      </c>
      <c r="N345" s="8" t="n">
        <v>47359</v>
      </c>
      <c r="O345" s="8" t="n">
        <v>46627</v>
      </c>
      <c r="P345" s="9" t="n">
        <v>83500</v>
      </c>
      <c r="Q345" s="9" t="n">
        <f aca="false">P345</f>
        <v>83500</v>
      </c>
      <c r="S345" s="9" t="n">
        <v>144000</v>
      </c>
      <c r="T345" s="9" t="n">
        <f aca="false">S345</f>
        <v>144000</v>
      </c>
      <c r="U345" s="63" t="n">
        <v>167400</v>
      </c>
      <c r="V345" s="9" t="n">
        <f aca="false">U345</f>
        <v>167400</v>
      </c>
      <c r="W345" s="44" t="n">
        <f aca="false">S345/G345</f>
        <v>39.9888919744515</v>
      </c>
      <c r="X345" s="9" t="s">
        <v>57</v>
      </c>
      <c r="Y345" s="40"/>
      <c r="Z345" s="357"/>
      <c r="AA345" s="5" t="s">
        <v>40</v>
      </c>
      <c r="AB345" s="4" t="s">
        <v>707</v>
      </c>
      <c r="AD345" s="58"/>
      <c r="AE345" s="59"/>
      <c r="AF345" s="58"/>
    </row>
    <row r="346" customFormat="false" ht="37.3" hidden="false" customHeight="false" outlineLevel="0" collapsed="false">
      <c r="A346" s="11" t="s">
        <v>34</v>
      </c>
      <c r="B346" s="11" t="s">
        <v>35</v>
      </c>
      <c r="C346" s="28" t="n">
        <v>100650</v>
      </c>
      <c r="D346" s="4" t="s">
        <v>691</v>
      </c>
      <c r="E346" s="4" t="s">
        <v>708</v>
      </c>
      <c r="F346" s="5" t="s">
        <v>130</v>
      </c>
      <c r="G346" s="6" t="n">
        <v>6889</v>
      </c>
      <c r="H346" s="6" t="n">
        <f aca="false">G346</f>
        <v>6889</v>
      </c>
      <c r="I346" s="6" t="n">
        <v>7000</v>
      </c>
      <c r="J346" s="4" t="s">
        <v>709</v>
      </c>
      <c r="K346" s="7" t="n">
        <v>44630</v>
      </c>
      <c r="L346" s="8" t="n">
        <v>48282</v>
      </c>
      <c r="N346" s="8" t="n">
        <v>46456</v>
      </c>
      <c r="P346" s="9" t="n">
        <v>385000</v>
      </c>
      <c r="Q346" s="9" t="n">
        <f aca="false">P346</f>
        <v>385000</v>
      </c>
      <c r="S346" s="9" t="n">
        <v>390000</v>
      </c>
      <c r="T346" s="9" t="n">
        <f aca="false">S346</f>
        <v>390000</v>
      </c>
      <c r="U346" s="63" t="n">
        <v>390000</v>
      </c>
      <c r="V346" s="9" t="n">
        <f aca="false">U346</f>
        <v>390000</v>
      </c>
      <c r="W346" s="44" t="n">
        <f aca="false">S346/G346</f>
        <v>56.6119901291915</v>
      </c>
      <c r="X346" s="9" t="s">
        <v>453</v>
      </c>
      <c r="Y346" s="40"/>
      <c r="Z346" s="357"/>
      <c r="AA346" s="5" t="s">
        <v>40</v>
      </c>
      <c r="AB346" s="4" t="s">
        <v>710</v>
      </c>
      <c r="AE346" s="57"/>
    </row>
    <row r="347" customFormat="false" ht="19.4" hidden="false" customHeight="false" outlineLevel="0" collapsed="false">
      <c r="A347" s="11" t="s">
        <v>34</v>
      </c>
      <c r="B347" s="11" t="s">
        <v>35</v>
      </c>
      <c r="C347" s="28" t="n">
        <v>100650</v>
      </c>
      <c r="D347" s="4" t="s">
        <v>691</v>
      </c>
      <c r="E347" s="58" t="s">
        <v>85</v>
      </c>
      <c r="F347" s="5" t="s">
        <v>304</v>
      </c>
      <c r="G347" s="54" t="n">
        <v>13294</v>
      </c>
      <c r="H347" s="6" t="n">
        <f aca="false">G347</f>
        <v>13294</v>
      </c>
      <c r="I347" s="6" t="n">
        <v>13294</v>
      </c>
      <c r="J347" s="4" t="s">
        <v>63</v>
      </c>
      <c r="M347" s="8" t="n">
        <v>44682</v>
      </c>
      <c r="P347" s="9" t="n">
        <v>0</v>
      </c>
      <c r="Q347" s="9" t="n">
        <f aca="false">P347</f>
        <v>0</v>
      </c>
      <c r="S347" s="6" t="n">
        <v>670700</v>
      </c>
      <c r="T347" s="9" t="n">
        <f aca="false">S347</f>
        <v>670700</v>
      </c>
      <c r="U347" s="63" t="n">
        <v>897300</v>
      </c>
      <c r="V347" s="9" t="n">
        <f aca="false">U347</f>
        <v>897300</v>
      </c>
      <c r="W347" s="44" t="n">
        <f aca="false">S347/G347</f>
        <v>50.4513314277118</v>
      </c>
      <c r="X347" s="9" t="s">
        <v>57</v>
      </c>
      <c r="Y347" s="40"/>
      <c r="Z347" s="357"/>
      <c r="AA347" s="5" t="s">
        <v>40</v>
      </c>
      <c r="AB347" s="58" t="s">
        <v>711</v>
      </c>
      <c r="AE347" s="57"/>
    </row>
    <row r="348" customFormat="false" ht="19.4" hidden="false" customHeight="false" outlineLevel="0" collapsed="false">
      <c r="A348" s="11" t="s">
        <v>34</v>
      </c>
      <c r="B348" s="11" t="s">
        <v>35</v>
      </c>
      <c r="C348" s="28" t="n">
        <v>100650</v>
      </c>
      <c r="D348" s="4" t="s">
        <v>691</v>
      </c>
      <c r="E348" s="58" t="s">
        <v>440</v>
      </c>
      <c r="F348" s="5" t="s">
        <v>37</v>
      </c>
      <c r="G348" s="54" t="n">
        <v>18378</v>
      </c>
      <c r="H348" s="6" t="n">
        <f aca="false">G348</f>
        <v>18378</v>
      </c>
      <c r="I348" s="6" t="n">
        <f aca="false">H348</f>
        <v>18378</v>
      </c>
      <c r="J348" s="4" t="s">
        <v>63</v>
      </c>
      <c r="K348" s="7"/>
      <c r="L348" s="8"/>
      <c r="M348" s="8" t="n">
        <v>44849</v>
      </c>
      <c r="N348" s="8"/>
      <c r="O348" s="8"/>
      <c r="P348" s="9" t="n">
        <v>0</v>
      </c>
      <c r="Q348" s="9" t="n">
        <f aca="false">P348</f>
        <v>0</v>
      </c>
      <c r="R348" s="9"/>
      <c r="S348" s="9" t="n">
        <v>1161100</v>
      </c>
      <c r="T348" s="9" t="n">
        <f aca="false">S348</f>
        <v>1161100</v>
      </c>
      <c r="U348" s="63" t="n">
        <v>1294400</v>
      </c>
      <c r="V348" s="9" t="n">
        <f aca="false">U348</f>
        <v>1294400</v>
      </c>
      <c r="W348" s="44" t="n">
        <f aca="false">S348/G348</f>
        <v>63.1788007400152</v>
      </c>
      <c r="X348" s="9" t="s">
        <v>57</v>
      </c>
      <c r="Y348" s="40"/>
      <c r="Z348" s="357"/>
      <c r="AA348" s="5" t="s">
        <v>40</v>
      </c>
      <c r="AB348" s="58" t="s">
        <v>712</v>
      </c>
      <c r="AC348" s="15"/>
      <c r="AD348" s="4"/>
      <c r="AE348" s="57" t="n">
        <v>1</v>
      </c>
      <c r="AF348" s="4" t="s">
        <v>54</v>
      </c>
    </row>
    <row r="349" customFormat="false" ht="15" hidden="false" customHeight="false" outlineLevel="0" collapsed="false">
      <c r="A349" s="11" t="s">
        <v>34</v>
      </c>
      <c r="B349" s="11" t="s">
        <v>35</v>
      </c>
      <c r="C349" s="28" t="n">
        <v>100650</v>
      </c>
      <c r="D349" s="4" t="s">
        <v>691</v>
      </c>
      <c r="E349" s="4" t="s">
        <v>713</v>
      </c>
      <c r="F349" s="5" t="s">
        <v>37</v>
      </c>
      <c r="G349" s="6" t="n">
        <v>5350</v>
      </c>
      <c r="H349" s="6" t="n">
        <f aca="false">G349</f>
        <v>5350</v>
      </c>
      <c r="I349" s="6" t="n">
        <v>5250</v>
      </c>
      <c r="J349" s="4" t="s">
        <v>714</v>
      </c>
      <c r="K349" s="7" t="n">
        <v>44986</v>
      </c>
      <c r="L349" s="8" t="n">
        <v>46081</v>
      </c>
      <c r="P349" s="9" t="n">
        <v>320000</v>
      </c>
      <c r="Q349" s="9" t="n">
        <f aca="false">P349</f>
        <v>320000</v>
      </c>
      <c r="S349" s="9" t="n">
        <v>321000</v>
      </c>
      <c r="T349" s="9" t="n">
        <f aca="false">S349</f>
        <v>321000</v>
      </c>
      <c r="U349" s="63" t="n">
        <v>307600</v>
      </c>
      <c r="V349" s="9" t="n">
        <f aca="false">U349</f>
        <v>307600</v>
      </c>
      <c r="W349" s="44" t="n">
        <f aca="false">S349/G349</f>
        <v>60</v>
      </c>
      <c r="X349" s="9" t="s">
        <v>57</v>
      </c>
      <c r="Y349" s="40"/>
      <c r="Z349" s="358"/>
      <c r="AA349" s="5" t="s">
        <v>40</v>
      </c>
      <c r="AE349" s="57"/>
    </row>
    <row r="350" customFormat="false" ht="15" hidden="false" customHeight="false" outlineLevel="0" collapsed="false">
      <c r="A350" s="11" t="s">
        <v>34</v>
      </c>
      <c r="B350" s="11" t="s">
        <v>35</v>
      </c>
      <c r="C350" s="28" t="n">
        <v>100650</v>
      </c>
      <c r="D350" s="4" t="s">
        <v>691</v>
      </c>
      <c r="E350" s="4" t="s">
        <v>715</v>
      </c>
      <c r="F350" s="5" t="s">
        <v>37</v>
      </c>
      <c r="G350" s="6" t="n">
        <v>1929</v>
      </c>
      <c r="H350" s="6" t="n">
        <f aca="false">G350</f>
        <v>1929</v>
      </c>
      <c r="I350" s="6" t="n">
        <v>2000</v>
      </c>
      <c r="J350" s="111" t="s">
        <v>716</v>
      </c>
      <c r="K350" s="7" t="n">
        <v>45096</v>
      </c>
      <c r="L350" s="8" t="n">
        <v>46191</v>
      </c>
      <c r="P350" s="9" t="n">
        <v>111825</v>
      </c>
      <c r="Q350" s="9" t="n">
        <f aca="false">P350</f>
        <v>111825</v>
      </c>
      <c r="S350" s="9" t="n">
        <v>110900</v>
      </c>
      <c r="T350" s="9" t="n">
        <f aca="false">S350</f>
        <v>110900</v>
      </c>
      <c r="U350" s="63" t="n">
        <v>144700</v>
      </c>
      <c r="V350" s="9" t="n">
        <f aca="false">U350</f>
        <v>144700</v>
      </c>
      <c r="W350" s="44" t="n">
        <f aca="false">S350/G350</f>
        <v>57.4909279419388</v>
      </c>
      <c r="X350" s="9" t="s">
        <v>123</v>
      </c>
      <c r="Y350" s="40"/>
      <c r="Z350" s="357"/>
      <c r="AA350" s="5" t="s">
        <v>40</v>
      </c>
      <c r="AB350" s="4" t="s">
        <v>115</v>
      </c>
      <c r="AE350" s="57"/>
    </row>
    <row r="351" customFormat="false" ht="15" hidden="false" customHeight="false" outlineLevel="0" collapsed="false">
      <c r="A351" s="11" t="s">
        <v>34</v>
      </c>
      <c r="B351" s="11" t="s">
        <v>35</v>
      </c>
      <c r="C351" s="28" t="n">
        <v>100650</v>
      </c>
      <c r="D351" s="4" t="s">
        <v>691</v>
      </c>
      <c r="E351" s="58" t="s">
        <v>717</v>
      </c>
      <c r="F351" s="5" t="s">
        <v>86</v>
      </c>
      <c r="G351" s="54" t="n">
        <v>7676</v>
      </c>
      <c r="H351" s="6" t="n">
        <f aca="false">G351</f>
        <v>7676</v>
      </c>
      <c r="I351" s="6" t="n">
        <v>7676</v>
      </c>
      <c r="J351" s="4" t="s">
        <v>63</v>
      </c>
      <c r="M351" s="8" t="n">
        <v>44340</v>
      </c>
      <c r="P351" s="9" t="n">
        <v>0</v>
      </c>
      <c r="Q351" s="9" t="n">
        <f aca="false">P351</f>
        <v>0</v>
      </c>
      <c r="S351" s="9" t="n">
        <v>441300</v>
      </c>
      <c r="T351" s="9" t="n">
        <f aca="false">S351</f>
        <v>441300</v>
      </c>
      <c r="U351" s="63" t="n">
        <v>518100</v>
      </c>
      <c r="V351" s="9" t="n">
        <f aca="false">U351</f>
        <v>518100</v>
      </c>
      <c r="W351" s="44" t="n">
        <f aca="false">S351/G351</f>
        <v>57.4908806670141</v>
      </c>
      <c r="X351" s="9" t="s">
        <v>123</v>
      </c>
      <c r="Y351" s="40"/>
      <c r="Z351" s="357"/>
      <c r="AA351" s="5" t="s">
        <v>40</v>
      </c>
      <c r="AB351" s="58" t="s">
        <v>718</v>
      </c>
      <c r="AD351" s="4" t="n">
        <v>1</v>
      </c>
      <c r="AE351" s="57" t="n">
        <v>1</v>
      </c>
      <c r="AF351" s="4" t="s">
        <v>54</v>
      </c>
    </row>
    <row r="352" customFormat="false" ht="15" hidden="false" customHeight="false" outlineLevel="0" collapsed="false">
      <c r="A352" s="11" t="s">
        <v>34</v>
      </c>
      <c r="B352" s="11" t="s">
        <v>35</v>
      </c>
      <c r="C352" s="28" t="n">
        <v>100650</v>
      </c>
      <c r="D352" s="4" t="s">
        <v>691</v>
      </c>
      <c r="E352" s="4" t="s">
        <v>719</v>
      </c>
      <c r="F352" s="5" t="s">
        <v>304</v>
      </c>
      <c r="G352" s="6" t="n">
        <v>363</v>
      </c>
      <c r="H352" s="6" t="n">
        <f aca="false">G352</f>
        <v>363</v>
      </c>
      <c r="I352" s="6" t="n">
        <v>500</v>
      </c>
      <c r="J352" s="4" t="s">
        <v>63</v>
      </c>
      <c r="M352" s="8" t="n">
        <v>45139</v>
      </c>
      <c r="P352" s="9" t="n">
        <v>0</v>
      </c>
      <c r="Q352" s="9" t="n">
        <f aca="false">P352</f>
        <v>0</v>
      </c>
      <c r="S352" s="9" t="n">
        <v>20900</v>
      </c>
      <c r="T352" s="9" t="n">
        <f aca="false">S352</f>
        <v>20900</v>
      </c>
      <c r="U352" s="63" t="n">
        <v>27200</v>
      </c>
      <c r="V352" s="9" t="n">
        <f aca="false">U352</f>
        <v>27200</v>
      </c>
      <c r="W352" s="44" t="n">
        <f aca="false">S352/G352</f>
        <v>57.5757575757576</v>
      </c>
      <c r="X352" s="9" t="s">
        <v>57</v>
      </c>
      <c r="Y352" s="40"/>
      <c r="Z352" s="357"/>
      <c r="AA352" s="5" t="s">
        <v>40</v>
      </c>
      <c r="AB352" s="4" t="s">
        <v>115</v>
      </c>
      <c r="AE352" s="57"/>
    </row>
    <row r="353" customFormat="false" ht="15" hidden="false" customHeight="false" outlineLevel="0" collapsed="false">
      <c r="A353" s="11" t="s">
        <v>34</v>
      </c>
      <c r="B353" s="11" t="s">
        <v>35</v>
      </c>
      <c r="C353" s="28" t="n">
        <v>100650</v>
      </c>
      <c r="D353" s="4" t="s">
        <v>691</v>
      </c>
      <c r="E353" s="4" t="s">
        <v>720</v>
      </c>
      <c r="F353" s="5" t="s">
        <v>304</v>
      </c>
      <c r="G353" s="6" t="n">
        <v>933</v>
      </c>
      <c r="H353" s="6" t="n">
        <f aca="false">G353</f>
        <v>933</v>
      </c>
      <c r="I353" s="6" t="n">
        <v>1000</v>
      </c>
      <c r="J353" s="4" t="s">
        <v>63</v>
      </c>
      <c r="M353" s="8" t="n">
        <v>44340</v>
      </c>
      <c r="P353" s="9" t="n">
        <v>0</v>
      </c>
      <c r="Q353" s="9" t="n">
        <f aca="false">P353</f>
        <v>0</v>
      </c>
      <c r="S353" s="9" t="n">
        <v>53600</v>
      </c>
      <c r="T353" s="9" t="n">
        <f aca="false">S353</f>
        <v>53600</v>
      </c>
      <c r="U353" s="63" t="n">
        <v>70000</v>
      </c>
      <c r="V353" s="9" t="n">
        <f aca="false">U353</f>
        <v>70000</v>
      </c>
      <c r="W353" s="44" t="n">
        <f aca="false">S353/G353</f>
        <v>57.449088960343</v>
      </c>
      <c r="X353" s="9" t="s">
        <v>123</v>
      </c>
      <c r="Y353" s="40"/>
      <c r="Z353" s="357"/>
      <c r="AA353" s="5" t="s">
        <v>40</v>
      </c>
      <c r="AB353" s="4" t="s">
        <v>115</v>
      </c>
      <c r="AE353" s="57" t="n">
        <v>1</v>
      </c>
      <c r="AF353" s="4" t="s">
        <v>54</v>
      </c>
    </row>
    <row r="354" customFormat="false" ht="15" hidden="false" customHeight="false" outlineLevel="0" collapsed="false">
      <c r="A354" s="11" t="s">
        <v>34</v>
      </c>
      <c r="B354" s="11" t="s">
        <v>35</v>
      </c>
      <c r="C354" s="28" t="n">
        <v>100650</v>
      </c>
      <c r="D354" s="4" t="s">
        <v>691</v>
      </c>
      <c r="E354" s="4" t="s">
        <v>721</v>
      </c>
      <c r="F354" s="5" t="s">
        <v>304</v>
      </c>
      <c r="G354" s="6" t="n">
        <v>1350</v>
      </c>
      <c r="H354" s="6" t="n">
        <f aca="false">G354</f>
        <v>1350</v>
      </c>
      <c r="I354" s="6" t="n">
        <v>1350</v>
      </c>
      <c r="J354" s="4" t="s">
        <v>722</v>
      </c>
      <c r="K354" s="7" t="n">
        <v>44501</v>
      </c>
      <c r="L354" s="8" t="n">
        <v>46326</v>
      </c>
      <c r="P354" s="9" t="n">
        <v>74250</v>
      </c>
      <c r="Q354" s="9" t="n">
        <f aca="false">P354</f>
        <v>74250</v>
      </c>
      <c r="S354" s="6" t="n">
        <v>77600</v>
      </c>
      <c r="T354" s="9" t="n">
        <f aca="false">S354</f>
        <v>77600</v>
      </c>
      <c r="U354" s="63" t="n">
        <v>101300</v>
      </c>
      <c r="V354" s="9" t="n">
        <f aca="false">U354</f>
        <v>101300</v>
      </c>
      <c r="W354" s="44" t="n">
        <f aca="false">S354/G354</f>
        <v>57.4814814814815</v>
      </c>
      <c r="X354" s="9" t="s">
        <v>123</v>
      </c>
      <c r="Y354" s="40"/>
      <c r="Z354" s="357"/>
      <c r="AA354" s="5" t="s">
        <v>40</v>
      </c>
      <c r="AE354" s="57"/>
    </row>
    <row r="355" customFormat="false" ht="15" hidden="false" customHeight="false" outlineLevel="0" collapsed="false">
      <c r="A355" s="11" t="s">
        <v>34</v>
      </c>
      <c r="B355" s="11" t="s">
        <v>35</v>
      </c>
      <c r="C355" s="28" t="n">
        <v>100650</v>
      </c>
      <c r="D355" s="4" t="s">
        <v>691</v>
      </c>
      <c r="E355" s="4" t="s">
        <v>723</v>
      </c>
      <c r="F355" s="5" t="s">
        <v>37</v>
      </c>
      <c r="G355" s="6" t="n">
        <v>688</v>
      </c>
      <c r="H355" s="6" t="n">
        <f aca="false">G355</f>
        <v>688</v>
      </c>
      <c r="I355" s="6" t="n">
        <v>750</v>
      </c>
      <c r="J355" s="4" t="s">
        <v>63</v>
      </c>
      <c r="M355" s="8" t="n">
        <v>45139</v>
      </c>
      <c r="P355" s="9" t="n">
        <v>0</v>
      </c>
      <c r="Q355" s="9" t="n">
        <f aca="false">P355</f>
        <v>0</v>
      </c>
      <c r="S355" s="9" t="n">
        <v>39600</v>
      </c>
      <c r="T355" s="9" t="n">
        <f aca="false">S355</f>
        <v>39600</v>
      </c>
      <c r="U355" s="63" t="n">
        <v>51600</v>
      </c>
      <c r="V355" s="9" t="n">
        <f aca="false">U355</f>
        <v>51600</v>
      </c>
      <c r="W355" s="44" t="n">
        <f aca="false">S355/G355</f>
        <v>57.5581395348837</v>
      </c>
      <c r="X355" s="9" t="s">
        <v>123</v>
      </c>
      <c r="Y355" s="40"/>
      <c r="Z355" s="357"/>
      <c r="AA355" s="5" t="s">
        <v>40</v>
      </c>
      <c r="AB355" s="4" t="s">
        <v>115</v>
      </c>
      <c r="AE355" s="57"/>
    </row>
    <row r="356" customFormat="false" ht="15" hidden="false" customHeight="false" outlineLevel="0" collapsed="false">
      <c r="A356" s="11" t="s">
        <v>34</v>
      </c>
      <c r="B356" s="11" t="s">
        <v>35</v>
      </c>
      <c r="C356" s="28" t="n">
        <v>100650</v>
      </c>
      <c r="D356" s="4" t="s">
        <v>691</v>
      </c>
      <c r="E356" s="4" t="s">
        <v>724</v>
      </c>
      <c r="F356" s="5" t="s">
        <v>37</v>
      </c>
      <c r="G356" s="6" t="n">
        <v>325</v>
      </c>
      <c r="H356" s="6" t="n">
        <f aca="false">G356</f>
        <v>325</v>
      </c>
      <c r="I356" s="6" t="n">
        <v>500</v>
      </c>
      <c r="J356" s="4" t="s">
        <v>63</v>
      </c>
      <c r="M356" s="8" t="n">
        <v>44340</v>
      </c>
      <c r="P356" s="9" t="n">
        <v>0</v>
      </c>
      <c r="Q356" s="9" t="n">
        <f aca="false">P356</f>
        <v>0</v>
      </c>
      <c r="S356" s="9" t="n">
        <v>18700</v>
      </c>
      <c r="T356" s="9" t="n">
        <f aca="false">S356</f>
        <v>18700</v>
      </c>
      <c r="U356" s="63" t="n">
        <v>24400</v>
      </c>
      <c r="V356" s="9" t="n">
        <f aca="false">U356</f>
        <v>24400</v>
      </c>
      <c r="W356" s="44" t="n">
        <f aca="false">S356/G356</f>
        <v>57.5384615384615</v>
      </c>
      <c r="X356" s="9" t="s">
        <v>123</v>
      </c>
      <c r="Y356" s="40"/>
      <c r="Z356" s="357"/>
      <c r="AA356" s="5" t="s">
        <v>40</v>
      </c>
      <c r="AB356" s="4" t="s">
        <v>115</v>
      </c>
      <c r="AE356" s="57"/>
    </row>
    <row r="357" customFormat="false" ht="19.4" hidden="false" customHeight="false" outlineLevel="0" collapsed="false">
      <c r="A357" s="11" t="s">
        <v>34</v>
      </c>
      <c r="B357" s="11" t="s">
        <v>35</v>
      </c>
      <c r="C357" s="28" t="n">
        <v>100650</v>
      </c>
      <c r="D357" s="4" t="s">
        <v>691</v>
      </c>
      <c r="E357" s="4" t="s">
        <v>725</v>
      </c>
      <c r="F357" s="5" t="s">
        <v>37</v>
      </c>
      <c r="G357" s="6" t="n">
        <v>489</v>
      </c>
      <c r="H357" s="6" t="n">
        <f aca="false">G357</f>
        <v>489</v>
      </c>
      <c r="I357" s="6" t="n">
        <v>500</v>
      </c>
      <c r="J357" s="4" t="s">
        <v>604</v>
      </c>
      <c r="K357" s="7" t="n">
        <v>45770</v>
      </c>
      <c r="L357" s="8" t="n">
        <v>46088</v>
      </c>
      <c r="M357" s="8"/>
      <c r="P357" s="9" t="n">
        <v>36529</v>
      </c>
      <c r="Q357" s="9" t="n">
        <f aca="false">P357</f>
        <v>36529</v>
      </c>
      <c r="S357" s="9" t="n">
        <v>28100</v>
      </c>
      <c r="T357" s="9" t="n">
        <f aca="false">S357</f>
        <v>28100</v>
      </c>
      <c r="U357" s="63" t="n">
        <v>36700</v>
      </c>
      <c r="V357" s="9" t="n">
        <f aca="false">U357</f>
        <v>36700</v>
      </c>
      <c r="W357" s="44" t="n">
        <f aca="false">S357/G357</f>
        <v>57.4642126789366</v>
      </c>
      <c r="X357" s="9" t="s">
        <v>123</v>
      </c>
      <c r="Y357" s="40"/>
      <c r="Z357" s="357"/>
      <c r="AA357" s="5" t="s">
        <v>40</v>
      </c>
      <c r="AB357" s="4" t="s">
        <v>726</v>
      </c>
      <c r="AE357" s="57"/>
    </row>
    <row r="358" customFormat="false" ht="19.4" hidden="false" customHeight="false" outlineLevel="0" collapsed="false">
      <c r="A358" s="11" t="s">
        <v>34</v>
      </c>
      <c r="B358" s="11" t="s">
        <v>35</v>
      </c>
      <c r="C358" s="28" t="n">
        <v>100650</v>
      </c>
      <c r="D358" s="4" t="s">
        <v>691</v>
      </c>
      <c r="E358" s="4" t="s">
        <v>727</v>
      </c>
      <c r="F358" s="5" t="s">
        <v>37</v>
      </c>
      <c r="G358" s="6" t="n">
        <v>3558</v>
      </c>
      <c r="H358" s="6" t="n">
        <f aca="false">G358</f>
        <v>3558</v>
      </c>
      <c r="I358" s="6" t="n">
        <v>3500</v>
      </c>
      <c r="J358" s="4" t="s">
        <v>728</v>
      </c>
      <c r="K358" s="7" t="n">
        <v>45072</v>
      </c>
      <c r="L358" s="8" t="n">
        <v>46898</v>
      </c>
      <c r="O358" s="8" t="n">
        <v>46167</v>
      </c>
      <c r="P358" s="9" t="n">
        <v>202920</v>
      </c>
      <c r="Q358" s="9" t="n">
        <f aca="false">P358</f>
        <v>202920</v>
      </c>
      <c r="S358" s="9" t="n">
        <v>204600</v>
      </c>
      <c r="T358" s="9" t="n">
        <f aca="false">S358</f>
        <v>204600</v>
      </c>
      <c r="U358" s="63" t="n">
        <v>266900</v>
      </c>
      <c r="V358" s="9" t="n">
        <f aca="false">U358</f>
        <v>266900</v>
      </c>
      <c r="W358" s="44" t="n">
        <f aca="false">S358/G358</f>
        <v>57.504215851602</v>
      </c>
      <c r="X358" s="9" t="s">
        <v>57</v>
      </c>
      <c r="Y358" s="40"/>
      <c r="Z358" s="357"/>
      <c r="AA358" s="5" t="s">
        <v>40</v>
      </c>
      <c r="AB358" s="4" t="s">
        <v>558</v>
      </c>
      <c r="AE358" s="57"/>
    </row>
    <row r="359" customFormat="false" ht="15" hidden="false" customHeight="false" outlineLevel="0" collapsed="false">
      <c r="A359" s="11" t="s">
        <v>34</v>
      </c>
      <c r="B359" s="11" t="s">
        <v>35</v>
      </c>
      <c r="C359" s="28" t="n">
        <v>100650</v>
      </c>
      <c r="D359" s="4" t="s">
        <v>691</v>
      </c>
      <c r="E359" s="4" t="s">
        <v>729</v>
      </c>
      <c r="F359" s="5" t="s">
        <v>37</v>
      </c>
      <c r="G359" s="6" t="n">
        <v>3500</v>
      </c>
      <c r="H359" s="6" t="n">
        <f aca="false">G359</f>
        <v>3500</v>
      </c>
      <c r="I359" s="6" t="n">
        <v>3500</v>
      </c>
      <c r="J359" s="4" t="s">
        <v>730</v>
      </c>
      <c r="K359" s="7" t="n">
        <v>44879</v>
      </c>
      <c r="L359" s="8" t="n">
        <v>46704</v>
      </c>
      <c r="P359" s="9" t="n">
        <v>200000</v>
      </c>
      <c r="Q359" s="9" t="n">
        <f aca="false">P359</f>
        <v>200000</v>
      </c>
      <c r="S359" s="9" t="n">
        <v>201300</v>
      </c>
      <c r="T359" s="9" t="n">
        <f aca="false">S359</f>
        <v>201300</v>
      </c>
      <c r="U359" s="63" t="n">
        <v>262500</v>
      </c>
      <c r="V359" s="9" t="n">
        <f aca="false">U359</f>
        <v>262500</v>
      </c>
      <c r="W359" s="44" t="n">
        <f aca="false">S359/G359</f>
        <v>57.5142857142857</v>
      </c>
      <c r="X359" s="9" t="s">
        <v>57</v>
      </c>
      <c r="Y359" s="40"/>
      <c r="Z359" s="357"/>
      <c r="AA359" s="5" t="s">
        <v>40</v>
      </c>
      <c r="AE359" s="57"/>
    </row>
    <row r="360" customFormat="false" ht="15" hidden="false" customHeight="false" outlineLevel="0" collapsed="false">
      <c r="A360" s="11" t="s">
        <v>34</v>
      </c>
      <c r="B360" s="11" t="s">
        <v>35</v>
      </c>
      <c r="C360" s="28" t="n">
        <v>100650</v>
      </c>
      <c r="D360" s="4" t="s">
        <v>691</v>
      </c>
      <c r="E360" s="4" t="s">
        <v>731</v>
      </c>
      <c r="F360" s="5" t="s">
        <v>37</v>
      </c>
      <c r="G360" s="6" t="n">
        <v>416</v>
      </c>
      <c r="H360" s="6" t="n">
        <f aca="false">G360</f>
        <v>416</v>
      </c>
      <c r="I360" s="6" t="n">
        <v>500</v>
      </c>
      <c r="J360" s="4" t="s">
        <v>730</v>
      </c>
      <c r="K360" s="7" t="n">
        <v>45701</v>
      </c>
      <c r="L360" s="8" t="n">
        <v>46704</v>
      </c>
      <c r="P360" s="9" t="n">
        <v>15000</v>
      </c>
      <c r="Q360" s="9" t="n">
        <f aca="false">P360</f>
        <v>15000</v>
      </c>
      <c r="S360" s="9" t="n">
        <v>23900</v>
      </c>
      <c r="T360" s="9" t="n">
        <f aca="false">S360</f>
        <v>23900</v>
      </c>
      <c r="U360" s="63" t="n">
        <v>31200</v>
      </c>
      <c r="V360" s="9" t="n">
        <f aca="false">U360</f>
        <v>31200</v>
      </c>
      <c r="W360" s="44" t="n">
        <f aca="false">S360/G360</f>
        <v>57.4519230769231</v>
      </c>
      <c r="X360" s="9" t="s">
        <v>123</v>
      </c>
      <c r="Y360" s="40"/>
      <c r="Z360" s="357"/>
      <c r="AA360" s="5" t="s">
        <v>40</v>
      </c>
      <c r="AB360" s="4" t="s">
        <v>732</v>
      </c>
      <c r="AE360" s="57"/>
    </row>
    <row r="361" customFormat="false" ht="15" hidden="false" customHeight="false" outlineLevel="0" collapsed="false">
      <c r="A361" s="11" t="s">
        <v>34</v>
      </c>
      <c r="B361" s="11" t="s">
        <v>35</v>
      </c>
      <c r="C361" s="28" t="n">
        <v>100650</v>
      </c>
      <c r="D361" s="4" t="s">
        <v>691</v>
      </c>
      <c r="E361" s="4" t="s">
        <v>733</v>
      </c>
      <c r="F361" s="5" t="s">
        <v>304</v>
      </c>
      <c r="G361" s="6" t="n">
        <v>1400</v>
      </c>
      <c r="H361" s="6" t="n">
        <f aca="false">G361</f>
        <v>1400</v>
      </c>
      <c r="I361" s="6" t="n">
        <v>1500</v>
      </c>
      <c r="J361" s="4" t="s">
        <v>734</v>
      </c>
      <c r="K361" s="7" t="n">
        <v>45359</v>
      </c>
      <c r="L361" s="8" t="n">
        <v>46088</v>
      </c>
      <c r="P361" s="9" t="n">
        <v>81900</v>
      </c>
      <c r="Q361" s="9" t="n">
        <f aca="false">P361</f>
        <v>81900</v>
      </c>
      <c r="S361" s="9" t="n">
        <v>80500</v>
      </c>
      <c r="T361" s="9" t="n">
        <f aca="false">S361</f>
        <v>80500</v>
      </c>
      <c r="U361" s="63" t="n">
        <v>105000</v>
      </c>
      <c r="V361" s="9" t="n">
        <f aca="false">U361</f>
        <v>105000</v>
      </c>
      <c r="W361" s="44" t="n">
        <f aca="false">S361/G361</f>
        <v>57.5</v>
      </c>
      <c r="X361" s="9" t="s">
        <v>123</v>
      </c>
      <c r="Y361" s="40"/>
      <c r="Z361" s="357"/>
      <c r="AA361" s="5" t="s">
        <v>40</v>
      </c>
      <c r="AE361" s="57"/>
    </row>
    <row r="362" customFormat="false" ht="15" hidden="false" customHeight="false" outlineLevel="0" collapsed="false">
      <c r="A362" s="11" t="s">
        <v>34</v>
      </c>
      <c r="B362" s="11" t="s">
        <v>35</v>
      </c>
      <c r="C362" s="28" t="n">
        <v>100650</v>
      </c>
      <c r="D362" s="4" t="s">
        <v>691</v>
      </c>
      <c r="E362" s="4" t="s">
        <v>735</v>
      </c>
      <c r="F362" s="5" t="s">
        <v>304</v>
      </c>
      <c r="G362" s="6" t="n">
        <v>1277</v>
      </c>
      <c r="H362" s="6" t="n">
        <f aca="false">G362</f>
        <v>1277</v>
      </c>
      <c r="I362" s="6" t="n">
        <v>750</v>
      </c>
      <c r="J362" s="4" t="s">
        <v>604</v>
      </c>
      <c r="K362" s="7" t="n">
        <v>45714</v>
      </c>
      <c r="L362" s="8" t="n">
        <v>46088</v>
      </c>
      <c r="P362" s="9" t="n">
        <v>95395</v>
      </c>
      <c r="Q362" s="9" t="n">
        <f aca="false">P362</f>
        <v>95395</v>
      </c>
      <c r="S362" s="9" t="n">
        <v>73400</v>
      </c>
      <c r="T362" s="9" t="n">
        <f aca="false">S362</f>
        <v>73400</v>
      </c>
      <c r="U362" s="63" t="n">
        <v>95800</v>
      </c>
      <c r="V362" s="9" t="n">
        <f aca="false">U362</f>
        <v>95800</v>
      </c>
      <c r="W362" s="44" t="n">
        <f aca="false">S362/G362</f>
        <v>57.4784651527016</v>
      </c>
      <c r="X362" s="9" t="s">
        <v>123</v>
      </c>
      <c r="Y362" s="40"/>
      <c r="Z362" s="357"/>
      <c r="AA362" s="5" t="s">
        <v>40</v>
      </c>
      <c r="AB362" s="4" t="s">
        <v>736</v>
      </c>
      <c r="AD362" s="4" t="n">
        <v>1</v>
      </c>
      <c r="AE362" s="57" t="n">
        <v>2</v>
      </c>
      <c r="AF362" s="4" t="s">
        <v>54</v>
      </c>
    </row>
    <row r="363" customFormat="false" ht="28.35" hidden="false" customHeight="false" outlineLevel="0" collapsed="false">
      <c r="A363" s="11" t="s">
        <v>34</v>
      </c>
      <c r="B363" s="11" t="s">
        <v>35</v>
      </c>
      <c r="C363" s="28" t="n">
        <v>100650</v>
      </c>
      <c r="D363" s="4" t="s">
        <v>691</v>
      </c>
      <c r="E363" s="4" t="s">
        <v>737</v>
      </c>
      <c r="F363" s="5" t="s">
        <v>738</v>
      </c>
      <c r="G363" s="6" t="n">
        <v>0</v>
      </c>
      <c r="H363" s="6" t="n">
        <f aca="false">G363</f>
        <v>0</v>
      </c>
      <c r="J363" s="4" t="s">
        <v>164</v>
      </c>
      <c r="K363" s="7" t="n">
        <v>39295</v>
      </c>
      <c r="L363" s="8" t="n">
        <v>46599</v>
      </c>
      <c r="N363" s="8" t="n">
        <v>44409</v>
      </c>
      <c r="P363" s="9" t="n">
        <v>681</v>
      </c>
      <c r="Q363" s="9" t="n">
        <f aca="false">P363</f>
        <v>681</v>
      </c>
      <c r="S363" s="9" t="n">
        <v>700</v>
      </c>
      <c r="T363" s="9" t="n">
        <f aca="false">S363</f>
        <v>700</v>
      </c>
      <c r="U363" s="63" t="n">
        <v>700</v>
      </c>
      <c r="V363" s="9" t="n">
        <f aca="false">U363</f>
        <v>700</v>
      </c>
      <c r="W363" s="44"/>
      <c r="X363" s="9"/>
      <c r="Y363" s="40"/>
      <c r="Z363" s="357"/>
      <c r="AA363" s="5" t="s">
        <v>40</v>
      </c>
      <c r="AB363" s="4" t="s">
        <v>739</v>
      </c>
      <c r="AE363" s="57"/>
    </row>
    <row r="364" customFormat="false" ht="28.35" hidden="false" customHeight="false" outlineLevel="0" collapsed="false">
      <c r="A364" s="11" t="s">
        <v>34</v>
      </c>
      <c r="B364" s="11" t="s">
        <v>35</v>
      </c>
      <c r="C364" s="28" t="n">
        <v>100650</v>
      </c>
      <c r="D364" s="4" t="s">
        <v>691</v>
      </c>
      <c r="E364" s="4" t="s">
        <v>740</v>
      </c>
      <c r="F364" s="5" t="s">
        <v>738</v>
      </c>
      <c r="G364" s="6" t="n">
        <v>0</v>
      </c>
      <c r="H364" s="6" t="n">
        <f aca="false">G364</f>
        <v>0</v>
      </c>
      <c r="J364" s="4" t="s">
        <v>164</v>
      </c>
      <c r="K364" s="7" t="n">
        <v>39295</v>
      </c>
      <c r="L364" s="8" t="n">
        <v>46599</v>
      </c>
      <c r="N364" s="8" t="n">
        <v>44409</v>
      </c>
      <c r="P364" s="9" t="n">
        <v>681</v>
      </c>
      <c r="Q364" s="9" t="n">
        <f aca="false">P364</f>
        <v>681</v>
      </c>
      <c r="S364" s="9" t="n">
        <v>700</v>
      </c>
      <c r="T364" s="9" t="n">
        <f aca="false">S364</f>
        <v>700</v>
      </c>
      <c r="U364" s="63" t="n">
        <v>700</v>
      </c>
      <c r="V364" s="9" t="n">
        <f aca="false">U364</f>
        <v>700</v>
      </c>
      <c r="W364" s="44"/>
      <c r="X364" s="9"/>
      <c r="Y364" s="40"/>
      <c r="Z364" s="357"/>
      <c r="AA364" s="5" t="s">
        <v>40</v>
      </c>
      <c r="AB364" s="4" t="s">
        <v>739</v>
      </c>
      <c r="AE364" s="57"/>
    </row>
    <row r="365" customFormat="false" ht="15" hidden="false" customHeight="false" outlineLevel="0" collapsed="false">
      <c r="A365" s="11" t="s">
        <v>34</v>
      </c>
      <c r="B365" s="11" t="s">
        <v>35</v>
      </c>
      <c r="C365" s="28" t="n">
        <v>100680</v>
      </c>
      <c r="D365" s="4" t="s">
        <v>742</v>
      </c>
      <c r="E365" s="4" t="s">
        <v>743</v>
      </c>
      <c r="F365" s="5" t="s">
        <v>161</v>
      </c>
      <c r="G365" s="11" t="n">
        <v>0</v>
      </c>
      <c r="H365" s="6" t="n">
        <f aca="false">G365</f>
        <v>0</v>
      </c>
      <c r="J365" s="4" t="s">
        <v>744</v>
      </c>
      <c r="K365" s="7" t="n">
        <v>44736</v>
      </c>
      <c r="L365" s="8" t="n">
        <v>46657</v>
      </c>
      <c r="P365" s="9" t="n">
        <v>1000</v>
      </c>
      <c r="Q365" s="9" t="n">
        <f aca="false">P365</f>
        <v>1000</v>
      </c>
      <c r="S365" s="9" t="n">
        <v>1000</v>
      </c>
      <c r="T365" s="9" t="n">
        <f aca="false">S365</f>
        <v>1000</v>
      </c>
      <c r="U365" s="63" t="n">
        <v>0</v>
      </c>
      <c r="V365" s="9" t="n">
        <f aca="false">U365</f>
        <v>0</v>
      </c>
      <c r="W365" s="44"/>
      <c r="X365" s="9"/>
      <c r="Y365" s="40"/>
      <c r="AA365" s="5" t="s">
        <v>40</v>
      </c>
      <c r="AB365" s="4" t="s">
        <v>745</v>
      </c>
      <c r="AE365" s="57"/>
    </row>
    <row r="366" customFormat="false" ht="19.4" hidden="false" customHeight="false" outlineLevel="0" collapsed="false">
      <c r="A366" s="11" t="s">
        <v>34</v>
      </c>
      <c r="B366" s="11" t="s">
        <v>35</v>
      </c>
      <c r="C366" s="28" t="n">
        <v>100680</v>
      </c>
      <c r="D366" s="4" t="s">
        <v>742</v>
      </c>
      <c r="E366" s="4" t="s">
        <v>746</v>
      </c>
      <c r="F366" s="5" t="s">
        <v>526</v>
      </c>
      <c r="G366" s="6" t="n">
        <v>7079</v>
      </c>
      <c r="H366" s="6" t="n">
        <f aca="false">G366</f>
        <v>7079</v>
      </c>
      <c r="I366" s="6" t="n">
        <v>7000</v>
      </c>
      <c r="J366" s="4" t="s">
        <v>744</v>
      </c>
      <c r="K366" s="7" t="n">
        <v>41180</v>
      </c>
      <c r="L366" s="8" t="n">
        <v>46657</v>
      </c>
      <c r="P366" s="9" t="n">
        <v>425033</v>
      </c>
      <c r="Q366" s="9" t="n">
        <f aca="false">P366</f>
        <v>425033</v>
      </c>
      <c r="S366" s="9" t="n">
        <v>447350</v>
      </c>
      <c r="T366" s="9" t="n">
        <f aca="false">S366</f>
        <v>447350</v>
      </c>
      <c r="U366" s="63" t="n">
        <v>425600</v>
      </c>
      <c r="V366" s="9" t="n">
        <f aca="false">U366</f>
        <v>425600</v>
      </c>
      <c r="W366" s="44" t="n">
        <f aca="false">S366/G366</f>
        <v>63.1939539482978</v>
      </c>
      <c r="X366" s="9" t="s">
        <v>52</v>
      </c>
      <c r="Y366" s="40"/>
      <c r="Z366" s="357"/>
      <c r="AA366" s="5" t="s">
        <v>165</v>
      </c>
      <c r="AE366" s="57"/>
    </row>
    <row r="367" customFormat="false" ht="15" hidden="false" customHeight="false" outlineLevel="0" collapsed="false">
      <c r="A367" s="11" t="s">
        <v>34</v>
      </c>
      <c r="B367" s="11" t="s">
        <v>35</v>
      </c>
      <c r="C367" s="28" t="n">
        <v>100680</v>
      </c>
      <c r="D367" s="4" t="s">
        <v>742</v>
      </c>
      <c r="E367" s="4" t="s">
        <v>747</v>
      </c>
      <c r="F367" s="5" t="s">
        <v>161</v>
      </c>
      <c r="G367" s="6" t="n">
        <v>0</v>
      </c>
      <c r="H367" s="6" t="n">
        <f aca="false">G367</f>
        <v>0</v>
      </c>
      <c r="J367" s="4" t="s">
        <v>744</v>
      </c>
      <c r="K367" s="7" t="n">
        <v>42114</v>
      </c>
      <c r="L367" s="8" t="n">
        <v>46657</v>
      </c>
      <c r="P367" s="9" t="n">
        <v>22317</v>
      </c>
      <c r="Q367" s="9" t="n">
        <f aca="false">P367</f>
        <v>22317</v>
      </c>
      <c r="S367" s="9" t="n">
        <v>21000</v>
      </c>
      <c r="T367" s="9" t="n">
        <f aca="false">S367</f>
        <v>21000</v>
      </c>
      <c r="U367" s="63" t="n">
        <v>0</v>
      </c>
      <c r="V367" s="9" t="n">
        <f aca="false">U367</f>
        <v>0</v>
      </c>
      <c r="W367" s="44"/>
      <c r="X367" s="9"/>
      <c r="Y367" s="40"/>
      <c r="Z367" s="357"/>
      <c r="AA367" s="5" t="s">
        <v>40</v>
      </c>
      <c r="AE367" s="57"/>
    </row>
    <row r="368" customFormat="false" ht="19.4" hidden="false" customHeight="false" outlineLevel="0" collapsed="false">
      <c r="A368" s="11" t="s">
        <v>34</v>
      </c>
      <c r="B368" s="11" t="s">
        <v>35</v>
      </c>
      <c r="C368" s="28" t="n">
        <v>100680</v>
      </c>
      <c r="D368" s="4" t="s">
        <v>742</v>
      </c>
      <c r="E368" s="4" t="s">
        <v>748</v>
      </c>
      <c r="F368" s="11" t="s">
        <v>46</v>
      </c>
      <c r="G368" s="6" t="n">
        <v>3030</v>
      </c>
      <c r="H368" s="6" t="n">
        <f aca="false">G368</f>
        <v>3030</v>
      </c>
      <c r="I368" s="6" t="n">
        <v>3000</v>
      </c>
      <c r="J368" s="4" t="s">
        <v>749</v>
      </c>
      <c r="K368" s="7" t="n">
        <v>45711</v>
      </c>
      <c r="L368" s="8" t="n">
        <v>49362</v>
      </c>
      <c r="P368" s="9" t="n">
        <v>500000</v>
      </c>
      <c r="Q368" s="9" t="n">
        <f aca="false">P368</f>
        <v>500000</v>
      </c>
      <c r="S368" s="9" t="n">
        <v>393300</v>
      </c>
      <c r="T368" s="9" t="n">
        <f aca="false">S368</f>
        <v>393300</v>
      </c>
      <c r="U368" s="63" t="n">
        <v>604900</v>
      </c>
      <c r="V368" s="9" t="n">
        <f aca="false">U368</f>
        <v>604900</v>
      </c>
      <c r="W368" s="44" t="n">
        <f aca="false">S368/G368</f>
        <v>129.80198019802</v>
      </c>
      <c r="X368" s="9" t="s">
        <v>39</v>
      </c>
      <c r="Y368" s="40"/>
      <c r="Z368" s="357"/>
      <c r="AA368" s="5" t="s">
        <v>40</v>
      </c>
      <c r="AB368" s="4" t="s">
        <v>73</v>
      </c>
      <c r="AE368" s="57"/>
    </row>
    <row r="369" customFormat="false" ht="15" hidden="false" customHeight="false" outlineLevel="0" collapsed="false">
      <c r="A369" s="11" t="s">
        <v>34</v>
      </c>
      <c r="B369" s="11" t="s">
        <v>35</v>
      </c>
      <c r="C369" s="28" t="n">
        <v>100680</v>
      </c>
      <c r="D369" s="4" t="s">
        <v>742</v>
      </c>
      <c r="E369" s="4" t="s">
        <v>750</v>
      </c>
      <c r="F369" s="5" t="s">
        <v>46</v>
      </c>
      <c r="G369" s="6" t="n">
        <v>1296</v>
      </c>
      <c r="H369" s="6" t="n">
        <f aca="false">G369</f>
        <v>1296</v>
      </c>
      <c r="I369" s="6" t="n">
        <v>1250</v>
      </c>
      <c r="J369" s="4" t="s">
        <v>751</v>
      </c>
      <c r="K369" s="7" t="n">
        <v>44908</v>
      </c>
      <c r="L369" s="8" t="n">
        <v>46003</v>
      </c>
      <c r="P369" s="9" t="n">
        <v>295000</v>
      </c>
      <c r="Q369" s="9" t="n">
        <f aca="false">P369</f>
        <v>295000</v>
      </c>
      <c r="S369" s="9" t="n">
        <v>275300</v>
      </c>
      <c r="T369" s="9" t="n">
        <f aca="false">S369</f>
        <v>275300</v>
      </c>
      <c r="U369" s="63" t="n">
        <v>402000</v>
      </c>
      <c r="V369" s="9" t="n">
        <f aca="false">U369</f>
        <v>402000</v>
      </c>
      <c r="W369" s="44" t="n">
        <f aca="false">S369/G369</f>
        <v>212.422839506173</v>
      </c>
      <c r="X369" s="9" t="s">
        <v>52</v>
      </c>
      <c r="Y369" s="40"/>
      <c r="Z369" s="357"/>
      <c r="AA369" s="5" t="s">
        <v>40</v>
      </c>
      <c r="AE369" s="57"/>
    </row>
    <row r="370" customFormat="false" ht="15" hidden="false" customHeight="false" outlineLevel="0" collapsed="false">
      <c r="A370" s="11" t="s">
        <v>34</v>
      </c>
      <c r="B370" s="11" t="s">
        <v>35</v>
      </c>
      <c r="C370" s="28" t="n">
        <v>100680</v>
      </c>
      <c r="D370" s="4" t="s">
        <v>742</v>
      </c>
      <c r="E370" s="4" t="s">
        <v>752</v>
      </c>
      <c r="F370" s="5" t="s">
        <v>46</v>
      </c>
      <c r="G370" s="6" t="n">
        <v>1690</v>
      </c>
      <c r="H370" s="6" t="n">
        <f aca="false">G370</f>
        <v>1690</v>
      </c>
      <c r="I370" s="6" t="n">
        <v>1500</v>
      </c>
      <c r="J370" s="4" t="s">
        <v>753</v>
      </c>
      <c r="K370" s="7" t="n">
        <v>42388</v>
      </c>
      <c r="L370" s="8" t="n">
        <v>46040</v>
      </c>
      <c r="P370" s="9" t="n">
        <v>500000</v>
      </c>
      <c r="Q370" s="9" t="n">
        <f aca="false">P370</f>
        <v>500000</v>
      </c>
      <c r="S370" s="9" t="n">
        <v>337700</v>
      </c>
      <c r="T370" s="9" t="n">
        <f aca="false">S370</f>
        <v>337700</v>
      </c>
      <c r="U370" s="63" t="n">
        <v>501900</v>
      </c>
      <c r="V370" s="9" t="n">
        <f aca="false">U370</f>
        <v>501900</v>
      </c>
      <c r="W370" s="44" t="n">
        <f aca="false">S370/G370</f>
        <v>199.822485207101</v>
      </c>
      <c r="X370" s="9" t="s">
        <v>52</v>
      </c>
      <c r="Y370" s="40"/>
      <c r="Z370" s="357"/>
      <c r="AA370" s="5" t="s">
        <v>40</v>
      </c>
      <c r="AE370" s="57"/>
    </row>
    <row r="371" customFormat="false" ht="19.4" hidden="false" customHeight="false" outlineLevel="0" collapsed="false">
      <c r="A371" s="11" t="s">
        <v>34</v>
      </c>
      <c r="B371" s="11" t="s">
        <v>35</v>
      </c>
      <c r="C371" s="28" t="n">
        <v>100680</v>
      </c>
      <c r="D371" s="4" t="s">
        <v>742</v>
      </c>
      <c r="E371" s="4" t="s">
        <v>754</v>
      </c>
      <c r="F371" s="5" t="s">
        <v>46</v>
      </c>
      <c r="G371" s="6" t="n">
        <v>2304</v>
      </c>
      <c r="H371" s="6" t="n">
        <f aca="false">G371</f>
        <v>2304</v>
      </c>
      <c r="I371" s="6" t="n">
        <v>2250</v>
      </c>
      <c r="J371" s="4" t="s">
        <v>755</v>
      </c>
      <c r="K371" s="7" t="n">
        <v>45748</v>
      </c>
      <c r="L371" s="8" t="n">
        <v>49399</v>
      </c>
      <c r="N371" s="8" t="n">
        <v>47574</v>
      </c>
      <c r="O371" s="8" t="n">
        <v>47574</v>
      </c>
      <c r="P371" s="9" t="n">
        <v>237500</v>
      </c>
      <c r="Q371" s="9" t="n">
        <f aca="false">P371</f>
        <v>237500</v>
      </c>
      <c r="S371" s="9" t="n">
        <v>371300</v>
      </c>
      <c r="T371" s="9" t="n">
        <f aca="false">S371</f>
        <v>371300</v>
      </c>
      <c r="U371" s="63" t="n">
        <v>515100</v>
      </c>
      <c r="V371" s="9" t="n">
        <f aca="false">U371</f>
        <v>515100</v>
      </c>
      <c r="W371" s="44" t="n">
        <f aca="false">S371/G371</f>
        <v>161.154513888889</v>
      </c>
      <c r="X371" s="9" t="s">
        <v>39</v>
      </c>
      <c r="Y371" s="40"/>
      <c r="Z371" s="357"/>
      <c r="AA371" s="5" t="s">
        <v>40</v>
      </c>
      <c r="AB371" s="4" t="s">
        <v>756</v>
      </c>
      <c r="AE371" s="57"/>
    </row>
    <row r="372" customFormat="false" ht="37.3" hidden="false" customHeight="false" outlineLevel="0" collapsed="false">
      <c r="A372" s="11" t="s">
        <v>34</v>
      </c>
      <c r="B372" s="11" t="s">
        <v>35</v>
      </c>
      <c r="C372" s="28" t="n">
        <v>100680</v>
      </c>
      <c r="D372" s="4" t="s">
        <v>742</v>
      </c>
      <c r="E372" s="4" t="s">
        <v>757</v>
      </c>
      <c r="F372" s="5" t="s">
        <v>37</v>
      </c>
      <c r="G372" s="6" t="n">
        <v>7519</v>
      </c>
      <c r="H372" s="6" t="n">
        <f aca="false">G372</f>
        <v>7519</v>
      </c>
      <c r="I372" s="6" t="n">
        <v>7500</v>
      </c>
      <c r="J372" s="4" t="s">
        <v>758</v>
      </c>
      <c r="K372" s="7" t="n">
        <v>45231</v>
      </c>
      <c r="L372" s="8" t="n">
        <v>45961</v>
      </c>
      <c r="P372" s="9" t="n">
        <v>450600</v>
      </c>
      <c r="Q372" s="9" t="n">
        <f aca="false">P372</f>
        <v>450600</v>
      </c>
      <c r="R372" s="141"/>
      <c r="S372" s="9" t="n">
        <v>489500</v>
      </c>
      <c r="T372" s="9" t="n">
        <f aca="false">S372</f>
        <v>489500</v>
      </c>
      <c r="U372" s="63" t="n">
        <v>469900</v>
      </c>
      <c r="V372" s="9" t="n">
        <f aca="false">U372</f>
        <v>469900</v>
      </c>
      <c r="W372" s="44" t="n">
        <f aca="false">S372/G372</f>
        <v>65.1017422529592</v>
      </c>
      <c r="X372" s="9" t="s">
        <v>57</v>
      </c>
      <c r="Y372" s="40"/>
      <c r="Z372" s="357"/>
      <c r="AA372" s="5" t="s">
        <v>40</v>
      </c>
      <c r="AB372" s="58" t="s">
        <v>759</v>
      </c>
      <c r="AE372" s="57"/>
    </row>
    <row r="373" customFormat="false" ht="37.3" hidden="false" customHeight="false" outlineLevel="0" collapsed="false">
      <c r="A373" s="11" t="s">
        <v>34</v>
      </c>
      <c r="B373" s="11" t="s">
        <v>35</v>
      </c>
      <c r="C373" s="28" t="n">
        <v>100680</v>
      </c>
      <c r="D373" s="4" t="s">
        <v>742</v>
      </c>
      <c r="E373" s="4" t="s">
        <v>85</v>
      </c>
      <c r="F373" s="5" t="s">
        <v>37</v>
      </c>
      <c r="G373" s="6" t="n">
        <v>6890</v>
      </c>
      <c r="H373" s="6" t="n">
        <f aca="false">G373</f>
        <v>6890</v>
      </c>
      <c r="I373" s="6" t="n">
        <v>7000</v>
      </c>
      <c r="J373" s="4" t="s">
        <v>760</v>
      </c>
      <c r="K373" s="7" t="n">
        <v>45672</v>
      </c>
      <c r="L373" s="8" t="n">
        <v>46766</v>
      </c>
      <c r="O373" s="8" t="n">
        <v>46218</v>
      </c>
      <c r="P373" s="9" t="n">
        <v>241776</v>
      </c>
      <c r="Q373" s="9" t="n">
        <f aca="false">P373</f>
        <v>241776</v>
      </c>
      <c r="R373" s="71"/>
      <c r="S373" s="9" t="n">
        <v>438000</v>
      </c>
      <c r="T373" s="9" t="n">
        <f aca="false">S373</f>
        <v>438000</v>
      </c>
      <c r="U373" s="63" t="n">
        <v>551200</v>
      </c>
      <c r="V373" s="9" t="n">
        <f aca="false">U373</f>
        <v>551200</v>
      </c>
      <c r="W373" s="44" t="n">
        <f aca="false">S373/G373</f>
        <v>63.5703918722787</v>
      </c>
      <c r="X373" s="9" t="s">
        <v>52</v>
      </c>
      <c r="Y373" s="40"/>
      <c r="Z373" s="357"/>
      <c r="AA373" s="5" t="s">
        <v>40</v>
      </c>
      <c r="AB373" s="4" t="s">
        <v>761</v>
      </c>
      <c r="AE373" s="57"/>
    </row>
    <row r="374" customFormat="false" ht="37.3" hidden="false" customHeight="false" outlineLevel="0" collapsed="false">
      <c r="A374" s="11" t="s">
        <v>34</v>
      </c>
      <c r="B374" s="11" t="s">
        <v>35</v>
      </c>
      <c r="C374" s="28" t="n">
        <v>100680</v>
      </c>
      <c r="D374" s="4" t="s">
        <v>742</v>
      </c>
      <c r="E374" s="4" t="s">
        <v>89</v>
      </c>
      <c r="F374" s="5" t="s">
        <v>37</v>
      </c>
      <c r="G374" s="6" t="n">
        <v>6973</v>
      </c>
      <c r="H374" s="6" t="n">
        <f aca="false">G374</f>
        <v>6973</v>
      </c>
      <c r="I374" s="6" t="n">
        <v>7000</v>
      </c>
      <c r="J374" s="4" t="s">
        <v>760</v>
      </c>
      <c r="K374" s="7" t="n">
        <v>45672</v>
      </c>
      <c r="L374" s="8" t="n">
        <v>46766</v>
      </c>
      <c r="O374" s="8" t="n">
        <v>46218</v>
      </c>
      <c r="P374" s="9" t="n">
        <v>242259</v>
      </c>
      <c r="Q374" s="9" t="n">
        <f aca="false">P374</f>
        <v>242259</v>
      </c>
      <c r="R374" s="71"/>
      <c r="S374" s="9" t="n">
        <v>438900</v>
      </c>
      <c r="T374" s="9" t="n">
        <f aca="false">S374</f>
        <v>438900</v>
      </c>
      <c r="U374" s="63" t="n">
        <v>557800</v>
      </c>
      <c r="V374" s="9" t="n">
        <f aca="false">U374</f>
        <v>557800</v>
      </c>
      <c r="W374" s="44" t="n">
        <f aca="false">S374/G374</f>
        <v>62.9427792915531</v>
      </c>
      <c r="X374" s="9" t="s">
        <v>52</v>
      </c>
      <c r="Y374" s="40"/>
      <c r="Z374" s="357"/>
      <c r="AA374" s="5" t="s">
        <v>40</v>
      </c>
      <c r="AB374" s="4" t="s">
        <v>762</v>
      </c>
      <c r="AE374" s="57"/>
    </row>
    <row r="375" customFormat="false" ht="15" hidden="false" customHeight="false" outlineLevel="0" collapsed="false">
      <c r="A375" s="11" t="s">
        <v>34</v>
      </c>
      <c r="B375" s="11" t="s">
        <v>35</v>
      </c>
      <c r="C375" s="28" t="n">
        <v>100680</v>
      </c>
      <c r="D375" s="4" t="s">
        <v>742</v>
      </c>
      <c r="E375" s="4" t="s">
        <v>90</v>
      </c>
      <c r="F375" s="5" t="s">
        <v>37</v>
      </c>
      <c r="G375" s="6" t="n">
        <v>6999</v>
      </c>
      <c r="H375" s="6" t="n">
        <f aca="false">G375</f>
        <v>6999</v>
      </c>
      <c r="I375" s="6" t="n">
        <v>7000</v>
      </c>
      <c r="J375" s="4" t="s">
        <v>63</v>
      </c>
      <c r="M375" s="8" t="n">
        <v>45673</v>
      </c>
      <c r="P375" s="9" t="n">
        <v>0</v>
      </c>
      <c r="Q375" s="9" t="n">
        <f aca="false">P375</f>
        <v>0</v>
      </c>
      <c r="R375" s="71"/>
      <c r="S375" s="9" t="n">
        <v>448100</v>
      </c>
      <c r="T375" s="9" t="n">
        <f aca="false">S375</f>
        <v>448100</v>
      </c>
      <c r="U375" s="63" t="n">
        <v>489900</v>
      </c>
      <c r="V375" s="9" t="n">
        <f aca="false">U375</f>
        <v>489900</v>
      </c>
      <c r="W375" s="44" t="n">
        <f aca="false">S375/G375</f>
        <v>64.0234319188456</v>
      </c>
      <c r="X375" s="9" t="s">
        <v>57</v>
      </c>
      <c r="Y375" s="40"/>
      <c r="Z375" s="357"/>
      <c r="AA375" s="5" t="s">
        <v>40</v>
      </c>
      <c r="AB375" s="4" t="s">
        <v>480</v>
      </c>
      <c r="AD375" s="4" t="n">
        <v>1</v>
      </c>
      <c r="AE375" s="57" t="n">
        <v>1</v>
      </c>
      <c r="AF375" s="4" t="s">
        <v>54</v>
      </c>
    </row>
    <row r="376" customFormat="false" ht="37.3" hidden="false" customHeight="false" outlineLevel="0" collapsed="false">
      <c r="A376" s="11" t="s">
        <v>34</v>
      </c>
      <c r="B376" s="11" t="s">
        <v>35</v>
      </c>
      <c r="C376" s="28" t="n">
        <v>100680</v>
      </c>
      <c r="D376" s="4" t="s">
        <v>742</v>
      </c>
      <c r="E376" s="4" t="s">
        <v>114</v>
      </c>
      <c r="F376" s="5" t="s">
        <v>37</v>
      </c>
      <c r="G376" s="6" t="n">
        <v>7007</v>
      </c>
      <c r="H376" s="6" t="n">
        <f aca="false">G376</f>
        <v>7007</v>
      </c>
      <c r="I376" s="6" t="n">
        <v>7000</v>
      </c>
      <c r="J376" s="4" t="s">
        <v>760</v>
      </c>
      <c r="K376" s="7" t="n">
        <v>45672</v>
      </c>
      <c r="L376" s="8" t="n">
        <v>46766</v>
      </c>
      <c r="O376" s="8" t="n">
        <v>46218</v>
      </c>
      <c r="P376" s="9" t="n">
        <v>252885</v>
      </c>
      <c r="Q376" s="9" t="n">
        <f aca="false">P376</f>
        <v>252885</v>
      </c>
      <c r="R376" s="71"/>
      <c r="S376" s="9" t="n">
        <v>458100</v>
      </c>
      <c r="T376" s="9" t="n">
        <f aca="false">S376</f>
        <v>458100</v>
      </c>
      <c r="U376" s="63" t="n">
        <v>560600</v>
      </c>
      <c r="V376" s="9" t="n">
        <f aca="false">U376</f>
        <v>560600</v>
      </c>
      <c r="W376" s="44" t="n">
        <f aca="false">S376/G376</f>
        <v>65.377479663194</v>
      </c>
      <c r="X376" s="9" t="s">
        <v>52</v>
      </c>
      <c r="Y376" s="40"/>
      <c r="Z376" s="357"/>
      <c r="AA376" s="5" t="s">
        <v>40</v>
      </c>
      <c r="AB376" s="4" t="s">
        <v>763</v>
      </c>
      <c r="AE376" s="57"/>
    </row>
    <row r="377" customFormat="false" ht="37.3" hidden="false" customHeight="false" outlineLevel="0" collapsed="false">
      <c r="A377" s="11" t="s">
        <v>34</v>
      </c>
      <c r="B377" s="11" t="s">
        <v>35</v>
      </c>
      <c r="C377" s="28" t="n">
        <v>100680</v>
      </c>
      <c r="D377" s="4" t="s">
        <v>742</v>
      </c>
      <c r="E377" s="4" t="s">
        <v>176</v>
      </c>
      <c r="F377" s="5" t="s">
        <v>37</v>
      </c>
      <c r="G377" s="6" t="n">
        <v>6662</v>
      </c>
      <c r="H377" s="6" t="n">
        <f aca="false">G377</f>
        <v>6662</v>
      </c>
      <c r="I377" s="6" t="n">
        <v>6500</v>
      </c>
      <c r="J377" s="4" t="s">
        <v>760</v>
      </c>
      <c r="K377" s="7" t="n">
        <v>45672</v>
      </c>
      <c r="L377" s="8" t="n">
        <v>46766</v>
      </c>
      <c r="O377" s="8" t="n">
        <v>46218</v>
      </c>
      <c r="P377" s="9" t="n">
        <v>252394</v>
      </c>
      <c r="Q377" s="9" t="n">
        <f aca="false">P377</f>
        <v>252394</v>
      </c>
      <c r="R377" s="71"/>
      <c r="S377" s="9" t="n">
        <v>434600</v>
      </c>
      <c r="T377" s="9" t="n">
        <f aca="false">S377</f>
        <v>434600</v>
      </c>
      <c r="U377" s="63" t="n">
        <v>533000</v>
      </c>
      <c r="V377" s="9" t="n">
        <f aca="false">U377</f>
        <v>533000</v>
      </c>
      <c r="W377" s="44" t="n">
        <f aca="false">S377/G377</f>
        <v>65.2356649654758</v>
      </c>
      <c r="X377" s="9" t="s">
        <v>52</v>
      </c>
      <c r="Y377" s="40"/>
      <c r="Z377" s="357"/>
      <c r="AA377" s="5" t="s">
        <v>40</v>
      </c>
      <c r="AB377" s="4" t="s">
        <v>764</v>
      </c>
      <c r="AE377" s="57"/>
    </row>
    <row r="378" customFormat="false" ht="15" hidden="false" customHeight="false" outlineLevel="0" collapsed="false">
      <c r="A378" s="11" t="s">
        <v>228</v>
      </c>
      <c r="B378" s="11" t="s">
        <v>35</v>
      </c>
      <c r="C378" s="28" t="n">
        <v>550030</v>
      </c>
      <c r="D378" s="4" t="s">
        <v>766</v>
      </c>
      <c r="E378" s="4" t="s">
        <v>590</v>
      </c>
      <c r="F378" s="5" t="s">
        <v>37</v>
      </c>
      <c r="G378" s="6" t="n">
        <v>825</v>
      </c>
      <c r="H378" s="9" t="n">
        <f aca="false">G378</f>
        <v>825</v>
      </c>
      <c r="I378" s="9" t="n">
        <v>1000</v>
      </c>
      <c r="J378" s="4" t="s">
        <v>63</v>
      </c>
      <c r="M378" s="8" t="n">
        <v>44709</v>
      </c>
      <c r="P378" s="9" t="n">
        <v>0</v>
      </c>
      <c r="Q378" s="9" t="n">
        <f aca="false">P378</f>
        <v>0</v>
      </c>
      <c r="S378" s="9" t="n">
        <v>27200</v>
      </c>
      <c r="T378" s="9" t="n">
        <f aca="false">S378</f>
        <v>27200</v>
      </c>
      <c r="U378" s="63" t="n">
        <v>33000</v>
      </c>
      <c r="V378" s="9" t="n">
        <f aca="false">U378</f>
        <v>33000</v>
      </c>
      <c r="W378" s="44" t="n">
        <f aca="false">S378/G378</f>
        <v>32.969696969697</v>
      </c>
      <c r="X378" s="9" t="s">
        <v>52</v>
      </c>
      <c r="Y378" s="40"/>
      <c r="Z378" s="357"/>
      <c r="AA378" s="5" t="s">
        <v>40</v>
      </c>
      <c r="AE378" s="57"/>
    </row>
    <row r="379" customFormat="false" ht="19.4" hidden="false" customHeight="false" outlineLevel="0" collapsed="false">
      <c r="A379" s="11" t="s">
        <v>228</v>
      </c>
      <c r="B379" s="11" t="s">
        <v>35</v>
      </c>
      <c r="C379" s="28" t="n">
        <v>550030</v>
      </c>
      <c r="D379" s="4" t="s">
        <v>766</v>
      </c>
      <c r="E379" s="4" t="s">
        <v>767</v>
      </c>
      <c r="F379" s="5" t="s">
        <v>768</v>
      </c>
      <c r="G379" s="6" t="n">
        <v>0</v>
      </c>
      <c r="H379" s="9" t="n">
        <f aca="false">G379</f>
        <v>0</v>
      </c>
      <c r="I379" s="9"/>
      <c r="J379" s="4" t="s">
        <v>769</v>
      </c>
      <c r="K379" s="7" t="n">
        <v>30310</v>
      </c>
      <c r="L379" s="142" t="n">
        <v>66469</v>
      </c>
      <c r="M379" s="142"/>
      <c r="N379" s="8" t="n">
        <v>54417</v>
      </c>
      <c r="P379" s="9" t="n">
        <v>150</v>
      </c>
      <c r="Q379" s="9" t="n">
        <f aca="false">P379</f>
        <v>150</v>
      </c>
      <c r="S379" s="9" t="n">
        <v>150</v>
      </c>
      <c r="T379" s="9" t="n">
        <f aca="false">S379</f>
        <v>150</v>
      </c>
      <c r="U379" s="63" t="n">
        <v>150</v>
      </c>
      <c r="V379" s="9" t="n">
        <f aca="false">U379</f>
        <v>150</v>
      </c>
      <c r="W379" s="44"/>
      <c r="X379" s="9"/>
      <c r="Y379" s="40"/>
      <c r="Z379" s="357"/>
      <c r="AA379" s="5"/>
      <c r="AB379" s="4" t="s">
        <v>770</v>
      </c>
      <c r="AE379" s="57"/>
    </row>
    <row r="380" customFormat="false" ht="19.4" hidden="false" customHeight="false" outlineLevel="0" collapsed="false">
      <c r="A380" s="11" t="s">
        <v>228</v>
      </c>
      <c r="B380" s="11" t="s">
        <v>35</v>
      </c>
      <c r="C380" s="28" t="n">
        <v>550030</v>
      </c>
      <c r="D380" s="4" t="s">
        <v>766</v>
      </c>
      <c r="E380" s="4" t="s">
        <v>771</v>
      </c>
      <c r="F380" s="5" t="s">
        <v>768</v>
      </c>
      <c r="G380" s="6" t="n">
        <v>0</v>
      </c>
      <c r="H380" s="9" t="n">
        <f aca="false">G380</f>
        <v>0</v>
      </c>
      <c r="I380" s="9"/>
      <c r="J380" s="4" t="s">
        <v>772</v>
      </c>
      <c r="K380" s="7" t="n">
        <v>30310</v>
      </c>
      <c r="L380" s="142" t="n">
        <v>66469</v>
      </c>
      <c r="M380" s="142"/>
      <c r="N380" s="8" t="n">
        <v>54417</v>
      </c>
      <c r="P380" s="9" t="n">
        <v>150</v>
      </c>
      <c r="Q380" s="9" t="n">
        <f aca="false">P380</f>
        <v>150</v>
      </c>
      <c r="S380" s="9" t="n">
        <v>150</v>
      </c>
      <c r="T380" s="9" t="n">
        <f aca="false">S380</f>
        <v>150</v>
      </c>
      <c r="U380" s="63" t="n">
        <v>150</v>
      </c>
      <c r="V380" s="9" t="n">
        <f aca="false">U380</f>
        <v>150</v>
      </c>
      <c r="W380" s="44"/>
      <c r="X380" s="9"/>
      <c r="Y380" s="40"/>
      <c r="Z380" s="357"/>
      <c r="AA380" s="5"/>
      <c r="AB380" s="4" t="s">
        <v>770</v>
      </c>
      <c r="AE380" s="57"/>
    </row>
    <row r="381" customFormat="false" ht="15" hidden="false" customHeight="false" outlineLevel="0" collapsed="false">
      <c r="A381" s="11" t="s">
        <v>228</v>
      </c>
      <c r="B381" s="11" t="s">
        <v>35</v>
      </c>
      <c r="C381" s="28" t="n">
        <v>550030</v>
      </c>
      <c r="D381" s="4" t="s">
        <v>766</v>
      </c>
      <c r="E381" s="4" t="s">
        <v>773</v>
      </c>
      <c r="F381" s="5" t="s">
        <v>768</v>
      </c>
      <c r="G381" s="6" t="n">
        <v>0</v>
      </c>
      <c r="H381" s="9" t="n">
        <f aca="false">G381</f>
        <v>0</v>
      </c>
      <c r="I381" s="9"/>
      <c r="J381" s="4" t="s">
        <v>774</v>
      </c>
      <c r="K381" s="7" t="n">
        <v>30310</v>
      </c>
      <c r="L381" s="142" t="n">
        <v>99340</v>
      </c>
      <c r="M381" s="142"/>
      <c r="P381" s="9" t="n">
        <v>0</v>
      </c>
      <c r="Q381" s="9" t="n">
        <f aca="false">P381</f>
        <v>0</v>
      </c>
      <c r="S381" s="9" t="n">
        <v>150</v>
      </c>
      <c r="T381" s="9" t="n">
        <f aca="false">S381</f>
        <v>150</v>
      </c>
      <c r="U381" s="63" t="n">
        <v>150</v>
      </c>
      <c r="V381" s="9" t="n">
        <f aca="false">U381</f>
        <v>150</v>
      </c>
      <c r="W381" s="44"/>
      <c r="X381" s="9"/>
      <c r="Y381" s="40"/>
      <c r="Z381" s="357"/>
      <c r="AA381" s="5"/>
      <c r="AB381" s="4" t="s">
        <v>775</v>
      </c>
      <c r="AE381" s="57"/>
    </row>
    <row r="382" customFormat="false" ht="15" hidden="false" customHeight="false" outlineLevel="0" collapsed="false">
      <c r="A382" s="11" t="s">
        <v>228</v>
      </c>
      <c r="B382" s="11" t="s">
        <v>35</v>
      </c>
      <c r="C382" s="28" t="n">
        <v>550030</v>
      </c>
      <c r="D382" s="4" t="s">
        <v>766</v>
      </c>
      <c r="E382" s="4" t="s">
        <v>776</v>
      </c>
      <c r="F382" s="5" t="s">
        <v>768</v>
      </c>
      <c r="G382" s="6" t="n">
        <v>0</v>
      </c>
      <c r="H382" s="9" t="n">
        <f aca="false">G382</f>
        <v>0</v>
      </c>
      <c r="I382" s="9"/>
      <c r="J382" s="4" t="s">
        <v>777</v>
      </c>
      <c r="K382" s="7" t="n">
        <v>30310</v>
      </c>
      <c r="L382" s="142" t="n">
        <v>66469</v>
      </c>
      <c r="M382" s="142"/>
      <c r="N382" s="8" t="n">
        <v>54417</v>
      </c>
      <c r="P382" s="9" t="n">
        <v>0</v>
      </c>
      <c r="Q382" s="9" t="n">
        <f aca="false">P382</f>
        <v>0</v>
      </c>
      <c r="S382" s="9" t="n">
        <v>150</v>
      </c>
      <c r="T382" s="9" t="n">
        <f aca="false">S382</f>
        <v>150</v>
      </c>
      <c r="U382" s="63" t="n">
        <v>150</v>
      </c>
      <c r="V382" s="9" t="n">
        <f aca="false">U382</f>
        <v>150</v>
      </c>
      <c r="W382" s="44"/>
      <c r="X382" s="9"/>
      <c r="Y382" s="40"/>
      <c r="Z382" s="357"/>
      <c r="AA382" s="5"/>
      <c r="AB382" s="4" t="s">
        <v>775</v>
      </c>
      <c r="AE382" s="57"/>
    </row>
    <row r="383" customFormat="false" ht="19.4" hidden="false" customHeight="false" outlineLevel="0" collapsed="false">
      <c r="A383" s="11" t="s">
        <v>228</v>
      </c>
      <c r="B383" s="11" t="s">
        <v>35</v>
      </c>
      <c r="C383" s="28" t="n">
        <v>550760</v>
      </c>
      <c r="D383" s="4" t="s">
        <v>778</v>
      </c>
      <c r="E383" s="4" t="s">
        <v>36</v>
      </c>
      <c r="F383" s="5" t="s">
        <v>779</v>
      </c>
      <c r="G383" s="41" t="n">
        <v>2085</v>
      </c>
      <c r="H383" s="9" t="n">
        <f aca="false">G383</f>
        <v>2085</v>
      </c>
      <c r="I383" s="9" t="n">
        <v>2000</v>
      </c>
      <c r="J383" s="4" t="s">
        <v>780</v>
      </c>
      <c r="K383" s="7" t="n">
        <v>45741</v>
      </c>
      <c r="L383" s="8" t="n">
        <v>46836</v>
      </c>
      <c r="O383" s="8" t="n">
        <v>46289</v>
      </c>
      <c r="P383" s="42" t="n">
        <v>90000</v>
      </c>
      <c r="Q383" s="9" t="n">
        <f aca="false">P383</f>
        <v>90000</v>
      </c>
      <c r="R383" s="42" t="n">
        <f aca="false">Q383</f>
        <v>90000</v>
      </c>
      <c r="S383" s="42" t="n">
        <v>80000</v>
      </c>
      <c r="T383" s="9" t="n">
        <f aca="false">S383</f>
        <v>80000</v>
      </c>
      <c r="U383" s="43" t="n">
        <v>90000</v>
      </c>
      <c r="V383" s="9" t="n">
        <f aca="false">U383</f>
        <v>90000</v>
      </c>
      <c r="W383" s="9"/>
      <c r="X383" s="9" t="s">
        <v>57</v>
      </c>
      <c r="Y383" s="40"/>
      <c r="Z383" s="43" t="n">
        <v>1400000</v>
      </c>
      <c r="AA383" s="5" t="s">
        <v>40</v>
      </c>
      <c r="AB383" s="4" t="s">
        <v>781</v>
      </c>
      <c r="AE383" s="57"/>
    </row>
    <row r="384" customFormat="false" ht="15" hidden="false" customHeight="false" outlineLevel="0" collapsed="false">
      <c r="A384" s="11" t="s">
        <v>185</v>
      </c>
      <c r="B384" s="11" t="s">
        <v>784</v>
      </c>
      <c r="C384" s="167" t="n">
        <v>800200</v>
      </c>
      <c r="D384" s="167" t="s">
        <v>783</v>
      </c>
      <c r="E384" s="167" t="s">
        <v>36</v>
      </c>
      <c r="F384" s="168" t="s">
        <v>785</v>
      </c>
      <c r="G384" s="169" t="n">
        <v>3122</v>
      </c>
      <c r="H384" s="170" t="n">
        <f aca="false">G384</f>
        <v>3122</v>
      </c>
      <c r="I384" s="170" t="n">
        <v>3000</v>
      </c>
      <c r="J384" s="167" t="s">
        <v>786</v>
      </c>
      <c r="K384" s="171" t="n">
        <v>42580</v>
      </c>
      <c r="L384" s="171" t="n">
        <v>46231</v>
      </c>
      <c r="M384" s="171"/>
      <c r="N384" s="171" t="n">
        <v>44406</v>
      </c>
      <c r="O384" s="171"/>
      <c r="P384" s="169" t="n">
        <v>170000</v>
      </c>
      <c r="Q384" s="169" t="n">
        <f aca="false">P384</f>
        <v>170000</v>
      </c>
      <c r="R384" s="9"/>
      <c r="S384" s="169" t="n">
        <v>124100</v>
      </c>
      <c r="T384" s="170" t="n">
        <f aca="false">S384</f>
        <v>124100</v>
      </c>
      <c r="U384" s="174" t="n">
        <v>134000</v>
      </c>
      <c r="V384" s="170" t="n">
        <f aca="false">U384</f>
        <v>134000</v>
      </c>
      <c r="W384" s="44" t="n">
        <f aca="false">S384/G384</f>
        <v>39.7501601537476</v>
      </c>
      <c r="X384" s="170" t="s">
        <v>123</v>
      </c>
      <c r="Y384" s="168"/>
      <c r="Z384" s="174" t="n">
        <v>1325000</v>
      </c>
      <c r="AA384" s="170" t="s">
        <v>40</v>
      </c>
      <c r="AB384" s="167"/>
      <c r="AC384" s="176"/>
      <c r="AD384" s="167"/>
      <c r="AE384" s="177"/>
      <c r="AF384" s="167"/>
    </row>
    <row r="385" customFormat="false" ht="19.4" hidden="false" customHeight="false" outlineLevel="0" collapsed="false">
      <c r="A385" s="11" t="s">
        <v>185</v>
      </c>
      <c r="B385" s="11" t="s">
        <v>784</v>
      </c>
      <c r="C385" s="167" t="n">
        <v>800100</v>
      </c>
      <c r="D385" s="167" t="s">
        <v>787</v>
      </c>
      <c r="E385" s="167" t="s">
        <v>258</v>
      </c>
      <c r="F385" s="168" t="s">
        <v>130</v>
      </c>
      <c r="G385" s="170" t="n">
        <v>4332</v>
      </c>
      <c r="H385" s="170" t="n">
        <f aca="false">G385</f>
        <v>4332</v>
      </c>
      <c r="I385" s="170" t="n">
        <v>4250</v>
      </c>
      <c r="J385" s="105" t="s">
        <v>427</v>
      </c>
      <c r="K385" s="171" t="n">
        <v>41789</v>
      </c>
      <c r="L385" s="171" t="n">
        <v>47267</v>
      </c>
      <c r="M385" s="171"/>
      <c r="N385" s="171" t="n">
        <v>45442</v>
      </c>
      <c r="O385" s="171"/>
      <c r="P385" s="170" t="n">
        <v>255000</v>
      </c>
      <c r="Q385" s="170" t="n">
        <f aca="false">P385</f>
        <v>255000</v>
      </c>
      <c r="R385" s="9"/>
      <c r="S385" s="170" t="n">
        <v>290500</v>
      </c>
      <c r="T385" s="170" t="n">
        <f aca="false">S385</f>
        <v>290500</v>
      </c>
      <c r="U385" s="359" t="n">
        <v>255000</v>
      </c>
      <c r="V385" s="170" t="n">
        <f aca="false">U385</f>
        <v>255000</v>
      </c>
      <c r="W385" s="44" t="n">
        <f aca="false">S385/G385</f>
        <v>67.0590951061865</v>
      </c>
      <c r="X385" s="170" t="s">
        <v>52</v>
      </c>
      <c r="Y385" s="181" t="s">
        <v>25</v>
      </c>
      <c r="Z385" s="182"/>
      <c r="AA385" s="170" t="s">
        <v>40</v>
      </c>
      <c r="AB385" s="167" t="s">
        <v>788</v>
      </c>
      <c r="AC385" s="176"/>
      <c r="AD385" s="167"/>
      <c r="AE385" s="177"/>
      <c r="AF385" s="167"/>
    </row>
    <row r="386" customFormat="false" ht="15" hidden="false" customHeight="false" outlineLevel="0" collapsed="false">
      <c r="A386" s="11" t="s">
        <v>185</v>
      </c>
      <c r="B386" s="11" t="s">
        <v>784</v>
      </c>
      <c r="C386" s="167" t="n">
        <v>800100</v>
      </c>
      <c r="D386" s="167" t="s">
        <v>787</v>
      </c>
      <c r="E386" s="167" t="s">
        <v>85</v>
      </c>
      <c r="F386" s="168" t="s">
        <v>86</v>
      </c>
      <c r="G386" s="170" t="n">
        <v>1818</v>
      </c>
      <c r="H386" s="170" t="n">
        <f aca="false">G386</f>
        <v>1818</v>
      </c>
      <c r="I386" s="170" t="n">
        <v>2000</v>
      </c>
      <c r="J386" s="105" t="s">
        <v>789</v>
      </c>
      <c r="K386" s="171" t="n">
        <v>44280</v>
      </c>
      <c r="L386" s="171" t="n">
        <v>46105</v>
      </c>
      <c r="M386" s="171"/>
      <c r="N386" s="171"/>
      <c r="O386" s="171"/>
      <c r="P386" s="170" t="n">
        <v>83000</v>
      </c>
      <c r="Q386" s="170" t="n">
        <f aca="false">P386</f>
        <v>83000</v>
      </c>
      <c r="R386" s="9"/>
      <c r="S386" s="170" t="n">
        <v>111800</v>
      </c>
      <c r="T386" s="170" t="n">
        <f aca="false">S386</f>
        <v>111800</v>
      </c>
      <c r="U386" s="359" t="n">
        <v>118200</v>
      </c>
      <c r="V386" s="170" t="n">
        <f aca="false">U386</f>
        <v>118200</v>
      </c>
      <c r="W386" s="44" t="n">
        <f aca="false">S386/G386</f>
        <v>61.4961496149615</v>
      </c>
      <c r="X386" s="170" t="s">
        <v>57</v>
      </c>
      <c r="Y386" s="181"/>
      <c r="Z386" s="182"/>
      <c r="AA386" s="170" t="s">
        <v>165</v>
      </c>
      <c r="AB386" s="167"/>
      <c r="AC386" s="176"/>
      <c r="AD386" s="167"/>
      <c r="AE386" s="177"/>
      <c r="AF386" s="167"/>
    </row>
    <row r="387" customFormat="false" ht="19.4" hidden="false" customHeight="false" outlineLevel="0" collapsed="false">
      <c r="A387" s="11" t="s">
        <v>185</v>
      </c>
      <c r="B387" s="11" t="s">
        <v>784</v>
      </c>
      <c r="C387" s="167" t="n">
        <v>800100</v>
      </c>
      <c r="D387" s="167" t="s">
        <v>787</v>
      </c>
      <c r="E387" s="167" t="s">
        <v>89</v>
      </c>
      <c r="F387" s="168" t="s">
        <v>86</v>
      </c>
      <c r="G387" s="170" t="n">
        <v>1829</v>
      </c>
      <c r="H387" s="170" t="n">
        <f aca="false">G387</f>
        <v>1829</v>
      </c>
      <c r="I387" s="170" t="n">
        <v>2000</v>
      </c>
      <c r="J387" s="105" t="s">
        <v>790</v>
      </c>
      <c r="K387" s="171" t="n">
        <v>45715</v>
      </c>
      <c r="L387" s="171" t="n">
        <v>47540</v>
      </c>
      <c r="M387" s="171"/>
      <c r="N387" s="171"/>
      <c r="O387" s="171" t="n">
        <v>46809</v>
      </c>
      <c r="P387" s="170" t="n">
        <v>120700</v>
      </c>
      <c r="Q387" s="170" t="n">
        <f aca="false">P387</f>
        <v>120700</v>
      </c>
      <c r="R387" s="9"/>
      <c r="S387" s="170" t="n">
        <v>112500</v>
      </c>
      <c r="T387" s="170" t="n">
        <f aca="false">S387</f>
        <v>112500</v>
      </c>
      <c r="U387" s="359" t="n">
        <v>118900</v>
      </c>
      <c r="V387" s="170" t="n">
        <f aca="false">U387</f>
        <v>118900</v>
      </c>
      <c r="W387" s="44" t="n">
        <f aca="false">S387/G387</f>
        <v>61.5090213231274</v>
      </c>
      <c r="X387" s="170" t="s">
        <v>57</v>
      </c>
      <c r="Y387" s="181"/>
      <c r="Z387" s="182"/>
      <c r="AA387" s="170" t="s">
        <v>40</v>
      </c>
      <c r="AB387" s="167" t="s">
        <v>558</v>
      </c>
      <c r="AC387" s="176"/>
      <c r="AD387" s="167"/>
      <c r="AE387" s="177"/>
      <c r="AF387" s="167"/>
    </row>
    <row r="388" customFormat="false" ht="28.35" hidden="false" customHeight="false" outlineLevel="0" collapsed="false">
      <c r="A388" s="11" t="s">
        <v>185</v>
      </c>
      <c r="B388" s="11" t="s">
        <v>784</v>
      </c>
      <c r="C388" s="167" t="n">
        <v>800100</v>
      </c>
      <c r="D388" s="167" t="s">
        <v>787</v>
      </c>
      <c r="E388" s="167" t="s">
        <v>90</v>
      </c>
      <c r="F388" s="168" t="s">
        <v>86</v>
      </c>
      <c r="G388" s="170" t="n">
        <v>1837</v>
      </c>
      <c r="H388" s="170" t="n">
        <f aca="false">G388</f>
        <v>1837</v>
      </c>
      <c r="I388" s="170" t="n">
        <v>2000</v>
      </c>
      <c r="J388" s="105" t="s">
        <v>791</v>
      </c>
      <c r="K388" s="171" t="n">
        <v>44900</v>
      </c>
      <c r="L388" s="171" t="n">
        <v>46725</v>
      </c>
      <c r="M388" s="171"/>
      <c r="N388" s="171"/>
      <c r="O388" s="171" t="n">
        <v>45995</v>
      </c>
      <c r="P388" s="170" t="n">
        <v>115731</v>
      </c>
      <c r="Q388" s="170" t="n">
        <f aca="false">P388</f>
        <v>115731</v>
      </c>
      <c r="R388" s="9"/>
      <c r="S388" s="170" t="n">
        <v>116600</v>
      </c>
      <c r="T388" s="170" t="n">
        <f aca="false">S388</f>
        <v>116600</v>
      </c>
      <c r="U388" s="359" t="n">
        <v>123100</v>
      </c>
      <c r="V388" s="170" t="n">
        <f aca="false">U388</f>
        <v>123100</v>
      </c>
      <c r="W388" s="44" t="n">
        <f aca="false">S388/G388</f>
        <v>63.4730538922156</v>
      </c>
      <c r="X388" s="170" t="s">
        <v>39</v>
      </c>
      <c r="Y388" s="181"/>
      <c r="Z388" s="182"/>
      <c r="AA388" s="170" t="s">
        <v>40</v>
      </c>
      <c r="AB388" s="167" t="s">
        <v>792</v>
      </c>
      <c r="AC388" s="176"/>
      <c r="AD388" s="167"/>
      <c r="AE388" s="177"/>
      <c r="AF388" s="167"/>
    </row>
    <row r="389" customFormat="false" ht="15" hidden="false" customHeight="false" outlineLevel="0" collapsed="false">
      <c r="A389" s="11" t="s">
        <v>185</v>
      </c>
      <c r="B389" s="11" t="s">
        <v>784</v>
      </c>
      <c r="C389" s="167" t="n">
        <v>800100</v>
      </c>
      <c r="D389" s="167" t="s">
        <v>787</v>
      </c>
      <c r="E389" s="167" t="s">
        <v>114</v>
      </c>
      <c r="F389" s="168" t="s">
        <v>86</v>
      </c>
      <c r="G389" s="170" t="n">
        <v>1815</v>
      </c>
      <c r="H389" s="170" t="n">
        <f aca="false">G389</f>
        <v>1815</v>
      </c>
      <c r="I389" s="170" t="n">
        <v>2000</v>
      </c>
      <c r="J389" s="105" t="s">
        <v>793</v>
      </c>
      <c r="K389" s="171" t="n">
        <v>44627</v>
      </c>
      <c r="L389" s="171" t="n">
        <v>46452</v>
      </c>
      <c r="M389" s="171"/>
      <c r="N389" s="171"/>
      <c r="O389" s="171"/>
      <c r="P389" s="170" t="n">
        <v>149742</v>
      </c>
      <c r="Q389" s="170" t="n">
        <f aca="false">P389</f>
        <v>149742</v>
      </c>
      <c r="R389" s="9"/>
      <c r="S389" s="170" t="n">
        <v>115300</v>
      </c>
      <c r="T389" s="170" t="n">
        <f aca="false">S389</f>
        <v>115300</v>
      </c>
      <c r="U389" s="359" t="n">
        <v>121600</v>
      </c>
      <c r="V389" s="170" t="n">
        <f aca="false">U389</f>
        <v>121600</v>
      </c>
      <c r="W389" s="44" t="n">
        <f aca="false">S389/G389</f>
        <v>63.5261707988981</v>
      </c>
      <c r="X389" s="170" t="s">
        <v>39</v>
      </c>
      <c r="Y389" s="181"/>
      <c r="Z389" s="182"/>
      <c r="AA389" s="170" t="s">
        <v>40</v>
      </c>
      <c r="AB389" s="167" t="s">
        <v>794</v>
      </c>
      <c r="AC389" s="176"/>
      <c r="AD389" s="167"/>
      <c r="AE389" s="177"/>
      <c r="AF389" s="167"/>
    </row>
    <row r="390" customFormat="false" ht="15" hidden="false" customHeight="false" outlineLevel="0" collapsed="false">
      <c r="A390" s="11" t="s">
        <v>185</v>
      </c>
      <c r="B390" s="11" t="s">
        <v>784</v>
      </c>
      <c r="C390" s="167" t="n">
        <v>800100</v>
      </c>
      <c r="D390" s="167" t="s">
        <v>787</v>
      </c>
      <c r="E390" s="167" t="s">
        <v>176</v>
      </c>
      <c r="F390" s="168" t="s">
        <v>86</v>
      </c>
      <c r="G390" s="170" t="n">
        <v>1815</v>
      </c>
      <c r="H390" s="170" t="n">
        <f aca="false">G390</f>
        <v>1815</v>
      </c>
      <c r="I390" s="170" t="n">
        <v>2000</v>
      </c>
      <c r="J390" s="105" t="s">
        <v>795</v>
      </c>
      <c r="K390" s="171" t="n">
        <v>45408</v>
      </c>
      <c r="L390" s="171" t="n">
        <v>47233</v>
      </c>
      <c r="M390" s="171"/>
      <c r="N390" s="171"/>
      <c r="O390" s="171"/>
      <c r="P390" s="170" t="n">
        <v>122513</v>
      </c>
      <c r="Q390" s="170" t="n">
        <f aca="false">P390</f>
        <v>122513</v>
      </c>
      <c r="R390" s="9"/>
      <c r="S390" s="170" t="n">
        <v>115300</v>
      </c>
      <c r="T390" s="170" t="n">
        <f aca="false">S390</f>
        <v>115300</v>
      </c>
      <c r="U390" s="359" t="n">
        <v>121600</v>
      </c>
      <c r="V390" s="170" t="n">
        <f aca="false">U390</f>
        <v>121600</v>
      </c>
      <c r="W390" s="44" t="n">
        <f aca="false">S390/G390</f>
        <v>63.5261707988981</v>
      </c>
      <c r="X390" s="170" t="s">
        <v>57</v>
      </c>
      <c r="Y390" s="181"/>
      <c r="Z390" s="359"/>
      <c r="AA390" s="170" t="s">
        <v>40</v>
      </c>
      <c r="AB390" s="167"/>
      <c r="AC390" s="176"/>
      <c r="AD390" s="167"/>
      <c r="AE390" s="177"/>
      <c r="AF390" s="167"/>
    </row>
    <row r="391" customFormat="false" ht="15" hidden="false" customHeight="false" outlineLevel="0" collapsed="false">
      <c r="A391" s="11" t="s">
        <v>185</v>
      </c>
      <c r="B391" s="11" t="s">
        <v>784</v>
      </c>
      <c r="C391" s="167" t="n">
        <v>800100</v>
      </c>
      <c r="D391" s="167" t="s">
        <v>787</v>
      </c>
      <c r="E391" s="167" t="s">
        <v>378</v>
      </c>
      <c r="F391" s="168" t="s">
        <v>86</v>
      </c>
      <c r="G391" s="170" t="n">
        <v>790</v>
      </c>
      <c r="H391" s="170" t="n">
        <f aca="false">G391</f>
        <v>790</v>
      </c>
      <c r="I391" s="170" t="n">
        <v>750</v>
      </c>
      <c r="J391" s="105" t="s">
        <v>796</v>
      </c>
      <c r="K391" s="171" t="n">
        <v>44442</v>
      </c>
      <c r="L391" s="171" t="n">
        <v>46267</v>
      </c>
      <c r="M391" s="171"/>
      <c r="N391" s="171"/>
      <c r="O391" s="171"/>
      <c r="P391" s="170" t="n">
        <v>41080</v>
      </c>
      <c r="Q391" s="170" t="n">
        <f aca="false">P391</f>
        <v>41080</v>
      </c>
      <c r="R391" s="9"/>
      <c r="S391" s="170" t="n">
        <v>46200</v>
      </c>
      <c r="T391" s="170" t="n">
        <f aca="false">S391</f>
        <v>46200</v>
      </c>
      <c r="U391" s="359" t="n">
        <v>48600</v>
      </c>
      <c r="V391" s="170" t="n">
        <f aca="false">U391</f>
        <v>48600</v>
      </c>
      <c r="W391" s="44" t="n">
        <f aca="false">S391/G391</f>
        <v>58.4810126582279</v>
      </c>
      <c r="X391" s="170" t="s">
        <v>123</v>
      </c>
      <c r="Y391" s="181"/>
      <c r="Z391" s="182"/>
      <c r="AA391" s="170" t="s">
        <v>40</v>
      </c>
      <c r="AB391" s="167"/>
      <c r="AC391" s="176"/>
      <c r="AD391" s="167"/>
      <c r="AE391" s="177"/>
      <c r="AF391" s="167"/>
    </row>
    <row r="392" customFormat="false" ht="15" hidden="false" customHeight="false" outlineLevel="0" collapsed="false">
      <c r="A392" s="11" t="s">
        <v>185</v>
      </c>
      <c r="B392" s="11" t="s">
        <v>784</v>
      </c>
      <c r="C392" s="167" t="n">
        <v>800100</v>
      </c>
      <c r="D392" s="167" t="s">
        <v>787</v>
      </c>
      <c r="E392" s="167" t="s">
        <v>797</v>
      </c>
      <c r="F392" s="183" t="s">
        <v>419</v>
      </c>
      <c r="G392" s="170" t="n">
        <v>0</v>
      </c>
      <c r="H392" s="170" t="n">
        <f aca="false">G392</f>
        <v>0</v>
      </c>
      <c r="I392" s="170"/>
      <c r="J392" s="105" t="s">
        <v>164</v>
      </c>
      <c r="K392" s="171" t="n">
        <v>42552</v>
      </c>
      <c r="L392" s="171" t="n">
        <v>47267</v>
      </c>
      <c r="M392" s="171"/>
      <c r="N392" s="171" t="n">
        <v>46204</v>
      </c>
      <c r="O392" s="171"/>
      <c r="P392" s="170" t="n">
        <v>1160</v>
      </c>
      <c r="Q392" s="170" t="n">
        <f aca="false">P392</f>
        <v>1160</v>
      </c>
      <c r="R392" s="9"/>
      <c r="S392" s="170" t="n">
        <v>1160</v>
      </c>
      <c r="T392" s="170" t="n">
        <f aca="false">S392</f>
        <v>1160</v>
      </c>
      <c r="U392" s="359" t="n">
        <v>1160</v>
      </c>
      <c r="V392" s="170" t="n">
        <f aca="false">U392</f>
        <v>1160</v>
      </c>
      <c r="W392" s="44"/>
      <c r="X392" s="170"/>
      <c r="Y392" s="181"/>
      <c r="Z392" s="182"/>
      <c r="AA392" s="170" t="s">
        <v>165</v>
      </c>
      <c r="AB392" s="167" t="s">
        <v>798</v>
      </c>
      <c r="AC392" s="176"/>
      <c r="AD392" s="167"/>
      <c r="AE392" s="177"/>
      <c r="AF392" s="167"/>
    </row>
    <row r="393" customFormat="false" ht="15" hidden="false" customHeight="false" outlineLevel="0" collapsed="false">
      <c r="A393" s="11" t="s">
        <v>185</v>
      </c>
      <c r="B393" s="11" t="s">
        <v>784</v>
      </c>
      <c r="C393" s="167" t="n">
        <v>800400</v>
      </c>
      <c r="D393" s="167" t="s">
        <v>799</v>
      </c>
      <c r="E393" s="167" t="s">
        <v>36</v>
      </c>
      <c r="F393" s="168" t="s">
        <v>785</v>
      </c>
      <c r="G393" s="169" t="n">
        <v>2598</v>
      </c>
      <c r="H393" s="170" t="n">
        <f aca="false">G393</f>
        <v>2598</v>
      </c>
      <c r="I393" s="170" t="n">
        <v>2500</v>
      </c>
      <c r="J393" s="105" t="s">
        <v>800</v>
      </c>
      <c r="K393" s="171" t="n">
        <v>43070</v>
      </c>
      <c r="L393" s="171" t="n">
        <v>46721</v>
      </c>
      <c r="M393" s="171"/>
      <c r="N393" s="171" t="n">
        <v>44896</v>
      </c>
      <c r="O393" s="171"/>
      <c r="P393" s="169" t="n">
        <v>155000</v>
      </c>
      <c r="Q393" s="169" t="n">
        <f aca="false">P393</f>
        <v>155000</v>
      </c>
      <c r="R393" s="9"/>
      <c r="S393" s="169" t="n">
        <v>118500</v>
      </c>
      <c r="T393" s="170" t="n">
        <f aca="false">S393</f>
        <v>118500</v>
      </c>
      <c r="U393" s="174" t="n">
        <v>142400</v>
      </c>
      <c r="V393" s="170" t="n">
        <f aca="false">U393</f>
        <v>142400</v>
      </c>
      <c r="W393" s="170"/>
      <c r="X393" s="170" t="s">
        <v>453</v>
      </c>
      <c r="Y393" s="198"/>
      <c r="Z393" s="174" t="n">
        <v>2300000</v>
      </c>
      <c r="AA393" s="170" t="s">
        <v>40</v>
      </c>
      <c r="AB393" s="4"/>
      <c r="AC393" s="15"/>
      <c r="AD393" s="58"/>
      <c r="AE393" s="59"/>
      <c r="AF393" s="58"/>
    </row>
    <row r="394" customFormat="false" ht="15" hidden="false" customHeight="false" outlineLevel="0" collapsed="false">
      <c r="A394" s="11" t="s">
        <v>228</v>
      </c>
      <c r="B394" s="11" t="s">
        <v>784</v>
      </c>
      <c r="C394" s="167" t="n">
        <v>800300</v>
      </c>
      <c r="D394" s="167" t="s">
        <v>801</v>
      </c>
      <c r="E394" s="167" t="s">
        <v>36</v>
      </c>
      <c r="F394" s="202" t="s">
        <v>86</v>
      </c>
      <c r="G394" s="169" t="n">
        <v>19812</v>
      </c>
      <c r="H394" s="203" t="n">
        <f aca="false">G394</f>
        <v>19812</v>
      </c>
      <c r="I394" s="203" t="n">
        <v>20000</v>
      </c>
      <c r="J394" s="105" t="s">
        <v>802</v>
      </c>
      <c r="K394" s="171" t="n">
        <v>44986</v>
      </c>
      <c r="L394" s="171" t="n">
        <v>50464</v>
      </c>
      <c r="M394" s="171"/>
      <c r="N394" s="171" t="n">
        <v>46813</v>
      </c>
      <c r="O394" s="171"/>
      <c r="P394" s="169" t="n">
        <v>729167</v>
      </c>
      <c r="Q394" s="170" t="n">
        <f aca="false">P394</f>
        <v>729167</v>
      </c>
      <c r="S394" s="169" t="n">
        <v>1250000</v>
      </c>
      <c r="T394" s="170" t="n">
        <f aca="false">S394</f>
        <v>1250000</v>
      </c>
      <c r="U394" s="174" t="n">
        <v>1305000</v>
      </c>
      <c r="V394" s="170" t="n">
        <f aca="false">U394</f>
        <v>1305000</v>
      </c>
      <c r="W394" s="170"/>
      <c r="X394" s="170" t="s">
        <v>52</v>
      </c>
      <c r="Y394" s="204"/>
      <c r="Z394" s="174" t="n">
        <v>22350000</v>
      </c>
      <c r="AA394" s="170" t="s">
        <v>40</v>
      </c>
      <c r="AB394" s="167" t="s">
        <v>803</v>
      </c>
      <c r="AC394" s="176"/>
      <c r="AD394" s="167"/>
      <c r="AE394" s="177"/>
      <c r="AF394" s="167"/>
    </row>
    <row r="395" customFormat="false" ht="15" hidden="false" customHeight="false" outlineLevel="0" collapsed="false">
      <c r="A395" s="11" t="s">
        <v>102</v>
      </c>
      <c r="B395" s="11" t="s">
        <v>784</v>
      </c>
      <c r="C395" s="167" t="n">
        <v>800500</v>
      </c>
      <c r="D395" s="167" t="s">
        <v>804</v>
      </c>
      <c r="E395" s="167" t="s">
        <v>169</v>
      </c>
      <c r="F395" s="168" t="s">
        <v>229</v>
      </c>
      <c r="G395" s="170" t="n">
        <v>1582</v>
      </c>
      <c r="H395" s="203" t="n">
        <f aca="false">G395</f>
        <v>1582</v>
      </c>
      <c r="I395" s="203" t="n">
        <v>1500</v>
      </c>
      <c r="J395" s="105" t="s">
        <v>805</v>
      </c>
      <c r="K395" s="171" t="n">
        <v>43514</v>
      </c>
      <c r="L395" s="171" t="n">
        <v>46982</v>
      </c>
      <c r="M395" s="171"/>
      <c r="N395" s="171" t="n">
        <v>45340</v>
      </c>
      <c r="O395" s="171"/>
      <c r="P395" s="170" t="n">
        <v>70000</v>
      </c>
      <c r="Q395" s="170" t="n">
        <f aca="false">P395</f>
        <v>70000</v>
      </c>
      <c r="R395" s="9"/>
      <c r="S395" s="170" t="n">
        <v>63300</v>
      </c>
      <c r="T395" s="170" t="n">
        <f aca="false">S395</f>
        <v>63300</v>
      </c>
      <c r="U395" s="359" t="n">
        <v>63300</v>
      </c>
      <c r="V395" s="170" t="n">
        <f aca="false">U395</f>
        <v>63300</v>
      </c>
      <c r="W395" s="44" t="n">
        <f aca="false">S395/G395</f>
        <v>40.0126422250316</v>
      </c>
      <c r="X395" s="170" t="s">
        <v>39</v>
      </c>
      <c r="Y395" s="204"/>
      <c r="Z395" s="174"/>
      <c r="AA395" s="170" t="s">
        <v>40</v>
      </c>
      <c r="AB395" s="167"/>
      <c r="AC395" s="176"/>
      <c r="AD395" s="167"/>
      <c r="AE395" s="177"/>
      <c r="AF395" s="167"/>
    </row>
    <row r="396" customFormat="false" ht="15" hidden="false" customHeight="false" outlineLevel="0" collapsed="false">
      <c r="A396" s="11" t="s">
        <v>102</v>
      </c>
      <c r="B396" s="11" t="s">
        <v>784</v>
      </c>
      <c r="C396" s="167" t="n">
        <v>800500</v>
      </c>
      <c r="D396" s="167" t="s">
        <v>804</v>
      </c>
      <c r="E396" s="167" t="s">
        <v>426</v>
      </c>
      <c r="F396" s="168" t="s">
        <v>86</v>
      </c>
      <c r="G396" s="170" t="n">
        <v>1248</v>
      </c>
      <c r="H396" s="203" t="n">
        <f aca="false">G396</f>
        <v>1248</v>
      </c>
      <c r="I396" s="203" t="n">
        <v>1250</v>
      </c>
      <c r="J396" s="105" t="s">
        <v>63</v>
      </c>
      <c r="K396" s="171"/>
      <c r="L396" s="171"/>
      <c r="M396" s="171" t="n">
        <v>44550</v>
      </c>
      <c r="N396" s="171"/>
      <c r="O396" s="171"/>
      <c r="P396" s="170" t="n">
        <v>0</v>
      </c>
      <c r="Q396" s="170" t="n">
        <f aca="false">P396</f>
        <v>0</v>
      </c>
      <c r="R396" s="9"/>
      <c r="S396" s="170" t="n">
        <v>66800</v>
      </c>
      <c r="T396" s="170" t="n">
        <f aca="false">S396</f>
        <v>66800</v>
      </c>
      <c r="U396" s="359" t="n">
        <v>68600</v>
      </c>
      <c r="V396" s="170" t="n">
        <f aca="false">U396</f>
        <v>68600</v>
      </c>
      <c r="W396" s="44" t="n">
        <f aca="false">S396/G396</f>
        <v>53.525641025641</v>
      </c>
      <c r="X396" s="170" t="s">
        <v>52</v>
      </c>
      <c r="Y396" s="204"/>
      <c r="Z396" s="174"/>
      <c r="AA396" s="170" t="s">
        <v>40</v>
      </c>
      <c r="AB396" s="167" t="s">
        <v>115</v>
      </c>
      <c r="AC396" s="176" t="n">
        <v>58</v>
      </c>
      <c r="AD396" s="167"/>
      <c r="AE396" s="177"/>
      <c r="AF396" s="167"/>
    </row>
    <row r="397" customFormat="false" ht="15" hidden="false" customHeight="false" outlineLevel="0" collapsed="false">
      <c r="A397" s="11" t="s">
        <v>102</v>
      </c>
      <c r="B397" s="11" t="s">
        <v>784</v>
      </c>
      <c r="C397" s="167" t="n">
        <v>800600</v>
      </c>
      <c r="D397" s="167" t="s">
        <v>806</v>
      </c>
      <c r="E397" s="167" t="s">
        <v>807</v>
      </c>
      <c r="F397" s="183" t="s">
        <v>808</v>
      </c>
      <c r="G397" s="170" t="n">
        <v>0</v>
      </c>
      <c r="H397" s="203" t="n">
        <f aca="false">G397</f>
        <v>0</v>
      </c>
      <c r="I397" s="203"/>
      <c r="J397" s="105" t="s">
        <v>164</v>
      </c>
      <c r="K397" s="171" t="n">
        <v>18170</v>
      </c>
      <c r="L397" s="171" t="n">
        <v>54329</v>
      </c>
      <c r="M397" s="171"/>
      <c r="N397" s="171"/>
      <c r="O397" s="171"/>
      <c r="P397" s="170" t="n">
        <v>0</v>
      </c>
      <c r="Q397" s="170" t="n">
        <f aca="false">P397</f>
        <v>0</v>
      </c>
      <c r="R397" s="9"/>
      <c r="S397" s="170" t="n">
        <v>0</v>
      </c>
      <c r="T397" s="170" t="n">
        <f aca="false">S397</f>
        <v>0</v>
      </c>
      <c r="U397" s="359" t="n">
        <v>0</v>
      </c>
      <c r="V397" s="170" t="n">
        <f aca="false">U397</f>
        <v>0</v>
      </c>
      <c r="W397" s="44"/>
      <c r="X397" s="170"/>
      <c r="Y397" s="204"/>
      <c r="Z397" s="174"/>
      <c r="AA397" s="170" t="s">
        <v>165</v>
      </c>
      <c r="AB397" s="167" t="s">
        <v>809</v>
      </c>
      <c r="AC397" s="176"/>
      <c r="AD397" s="167"/>
      <c r="AE397" s="177"/>
      <c r="AF397" s="167"/>
    </row>
    <row r="398" customFormat="false" ht="19.4" hidden="false" customHeight="false" outlineLevel="0" collapsed="false">
      <c r="A398" s="11" t="s">
        <v>102</v>
      </c>
      <c r="B398" s="11" t="s">
        <v>784</v>
      </c>
      <c r="C398" s="167" t="n">
        <v>800600</v>
      </c>
      <c r="D398" s="167" t="s">
        <v>806</v>
      </c>
      <c r="E398" s="167" t="s">
        <v>810</v>
      </c>
      <c r="F398" s="168" t="s">
        <v>811</v>
      </c>
      <c r="G398" s="170" t="n">
        <v>3356</v>
      </c>
      <c r="H398" s="203" t="n">
        <f aca="false">G398</f>
        <v>3356</v>
      </c>
      <c r="I398" s="203" t="n">
        <v>3500</v>
      </c>
      <c r="J398" s="105" t="s">
        <v>63</v>
      </c>
      <c r="K398" s="171"/>
      <c r="L398" s="171"/>
      <c r="M398" s="171" t="n">
        <v>45457</v>
      </c>
      <c r="N398" s="171"/>
      <c r="O398" s="171"/>
      <c r="P398" s="170" t="n">
        <v>0</v>
      </c>
      <c r="Q398" s="170" t="n">
        <f aca="false">P398</f>
        <v>0</v>
      </c>
      <c r="R398" s="9"/>
      <c r="S398" s="170" t="n">
        <v>174600</v>
      </c>
      <c r="T398" s="170" t="n">
        <f aca="false">S398</f>
        <v>174600</v>
      </c>
      <c r="U398" s="359" t="n">
        <v>177700</v>
      </c>
      <c r="V398" s="170" t="n">
        <f aca="false">U398</f>
        <v>177700</v>
      </c>
      <c r="W398" s="44" t="n">
        <f aca="false">S398/G398</f>
        <v>52.0262216924911</v>
      </c>
      <c r="X398" s="170" t="s">
        <v>52</v>
      </c>
      <c r="Y398" s="204"/>
      <c r="Z398" s="174"/>
      <c r="AA398" s="170" t="s">
        <v>40</v>
      </c>
      <c r="AB398" s="167"/>
      <c r="AC398" s="176" t="n">
        <v>45</v>
      </c>
      <c r="AD398" s="167" t="n">
        <v>2</v>
      </c>
      <c r="AE398" s="177" t="n">
        <v>2</v>
      </c>
      <c r="AF398" s="167" t="s">
        <v>54</v>
      </c>
    </row>
    <row r="399" customFormat="false" ht="28.35" hidden="false" customHeight="false" outlineLevel="0" collapsed="false">
      <c r="A399" s="11" t="s">
        <v>102</v>
      </c>
      <c r="B399" s="11" t="s">
        <v>784</v>
      </c>
      <c r="C399" s="167" t="n">
        <v>800600</v>
      </c>
      <c r="D399" s="167" t="s">
        <v>806</v>
      </c>
      <c r="E399" s="167" t="s">
        <v>812</v>
      </c>
      <c r="F399" s="168" t="s">
        <v>244</v>
      </c>
      <c r="G399" s="170" t="n">
        <v>1157</v>
      </c>
      <c r="H399" s="203" t="n">
        <f aca="false">G399</f>
        <v>1157</v>
      </c>
      <c r="I399" s="203" t="n">
        <v>1000</v>
      </c>
      <c r="J399" s="105" t="s">
        <v>813</v>
      </c>
      <c r="K399" s="171" t="n">
        <v>45230</v>
      </c>
      <c r="L399" s="171" t="n">
        <v>46325</v>
      </c>
      <c r="M399" s="171"/>
      <c r="N399" s="171"/>
      <c r="O399" s="171"/>
      <c r="P399" s="170" t="n">
        <v>46000</v>
      </c>
      <c r="Q399" s="170" t="n">
        <f aca="false">P399</f>
        <v>46000</v>
      </c>
      <c r="R399" s="9"/>
      <c r="S399" s="170" t="n">
        <v>52800</v>
      </c>
      <c r="T399" s="170" t="n">
        <f aca="false">S399</f>
        <v>52800</v>
      </c>
      <c r="U399" s="359" t="n">
        <v>52800</v>
      </c>
      <c r="V399" s="170" t="n">
        <f aca="false">U399</f>
        <v>52800</v>
      </c>
      <c r="W399" s="44" t="n">
        <f aca="false">S399/G399</f>
        <v>45.6352636127917</v>
      </c>
      <c r="X399" s="170" t="s">
        <v>57</v>
      </c>
      <c r="Y399" s="204"/>
      <c r="Z399" s="174"/>
      <c r="AA399" s="170" t="s">
        <v>40</v>
      </c>
      <c r="AB399" s="167" t="s">
        <v>814</v>
      </c>
      <c r="AC399" s="176"/>
      <c r="AD399" s="167"/>
      <c r="AE399" s="177"/>
      <c r="AF399" s="167"/>
    </row>
    <row r="400" customFormat="false" ht="15" hidden="false" customHeight="false" outlineLevel="0" collapsed="false">
      <c r="A400" s="11" t="s">
        <v>102</v>
      </c>
      <c r="B400" s="11" t="s">
        <v>784</v>
      </c>
      <c r="C400" s="167" t="n">
        <v>800600</v>
      </c>
      <c r="D400" s="167" t="s">
        <v>806</v>
      </c>
      <c r="E400" s="167" t="s">
        <v>321</v>
      </c>
      <c r="F400" s="168" t="s">
        <v>86</v>
      </c>
      <c r="G400" s="170" t="n">
        <v>1015</v>
      </c>
      <c r="H400" s="203" t="n">
        <f aca="false">G400</f>
        <v>1015</v>
      </c>
      <c r="I400" s="203" t="n">
        <v>1000</v>
      </c>
      <c r="J400" s="105" t="s">
        <v>63</v>
      </c>
      <c r="K400" s="171"/>
      <c r="L400" s="171"/>
      <c r="M400" s="171" t="n">
        <v>43840</v>
      </c>
      <c r="N400" s="171"/>
      <c r="O400" s="171"/>
      <c r="P400" s="170" t="n">
        <v>0</v>
      </c>
      <c r="Q400" s="170" t="n">
        <f aca="false">P400</f>
        <v>0</v>
      </c>
      <c r="R400" s="9"/>
      <c r="S400" s="170" t="n">
        <v>53300</v>
      </c>
      <c r="T400" s="170" t="n">
        <f aca="false">S400</f>
        <v>53300</v>
      </c>
      <c r="U400" s="359" t="n">
        <v>53300</v>
      </c>
      <c r="V400" s="170" t="n">
        <f aca="false">U400</f>
        <v>53300</v>
      </c>
      <c r="W400" s="44" t="n">
        <f aca="false">S400/G400</f>
        <v>52.512315270936</v>
      </c>
      <c r="X400" s="170" t="s">
        <v>57</v>
      </c>
      <c r="Y400" s="204"/>
      <c r="Z400" s="174"/>
      <c r="AA400" s="170" t="s">
        <v>40</v>
      </c>
      <c r="AB400" s="4" t="s">
        <v>220</v>
      </c>
      <c r="AC400" s="15"/>
      <c r="AD400" s="58"/>
      <c r="AE400" s="59"/>
      <c r="AF400" s="58"/>
    </row>
    <row r="401" customFormat="false" ht="15" hidden="false" customHeight="false" outlineLevel="0" collapsed="false">
      <c r="A401" s="11" t="s">
        <v>102</v>
      </c>
      <c r="B401" s="11" t="s">
        <v>784</v>
      </c>
      <c r="C401" s="167" t="n">
        <v>800600</v>
      </c>
      <c r="D401" s="167" t="s">
        <v>806</v>
      </c>
      <c r="E401" s="167" t="s">
        <v>324</v>
      </c>
      <c r="F401" s="168" t="s">
        <v>86</v>
      </c>
      <c r="G401" s="170" t="n">
        <v>250</v>
      </c>
      <c r="H401" s="203" t="n">
        <f aca="false">G401</f>
        <v>250</v>
      </c>
      <c r="I401" s="203" t="n">
        <v>250</v>
      </c>
      <c r="J401" s="105" t="s">
        <v>63</v>
      </c>
      <c r="K401" s="171"/>
      <c r="L401" s="171"/>
      <c r="M401" s="171" t="n">
        <v>45682</v>
      </c>
      <c r="N401" s="171"/>
      <c r="O401" s="171"/>
      <c r="P401" s="170" t="n">
        <v>0</v>
      </c>
      <c r="Q401" s="170" t="n">
        <f aca="false">P401</f>
        <v>0</v>
      </c>
      <c r="R401" s="9"/>
      <c r="S401" s="170" t="n">
        <v>14500</v>
      </c>
      <c r="T401" s="170" t="n">
        <f aca="false">S401</f>
        <v>14500</v>
      </c>
      <c r="U401" s="359" t="n">
        <v>14500</v>
      </c>
      <c r="V401" s="170" t="n">
        <f aca="false">U401</f>
        <v>14500</v>
      </c>
      <c r="W401" s="44" t="n">
        <f aca="false">S401/G401</f>
        <v>58</v>
      </c>
      <c r="X401" s="170" t="s">
        <v>57</v>
      </c>
      <c r="Y401" s="204"/>
      <c r="Z401" s="174"/>
      <c r="AA401" s="170" t="s">
        <v>40</v>
      </c>
      <c r="AB401" s="167" t="s">
        <v>64</v>
      </c>
      <c r="AC401" s="176"/>
      <c r="AD401" s="167"/>
      <c r="AE401" s="177"/>
      <c r="AF401" s="167"/>
    </row>
    <row r="402" customFormat="false" ht="15" hidden="false" customHeight="false" outlineLevel="0" collapsed="false">
      <c r="A402" s="11" t="s">
        <v>102</v>
      </c>
      <c r="B402" s="11" t="s">
        <v>784</v>
      </c>
      <c r="C402" s="167" t="n">
        <v>800600</v>
      </c>
      <c r="D402" s="167" t="s">
        <v>806</v>
      </c>
      <c r="E402" s="167" t="s">
        <v>595</v>
      </c>
      <c r="F402" s="168" t="s">
        <v>86</v>
      </c>
      <c r="G402" s="170" t="n">
        <v>1026</v>
      </c>
      <c r="H402" s="203" t="n">
        <f aca="false">G402</f>
        <v>1026</v>
      </c>
      <c r="I402" s="203" t="n">
        <v>1000</v>
      </c>
      <c r="J402" s="105" t="s">
        <v>63</v>
      </c>
      <c r="K402" s="171"/>
      <c r="L402" s="171"/>
      <c r="M402" s="171" t="n">
        <v>44500</v>
      </c>
      <c r="N402" s="171"/>
      <c r="O402" s="171"/>
      <c r="P402" s="170" t="n">
        <v>0</v>
      </c>
      <c r="Q402" s="170" t="n">
        <f aca="false">P402</f>
        <v>0</v>
      </c>
      <c r="R402" s="9"/>
      <c r="S402" s="170" t="n">
        <v>53900</v>
      </c>
      <c r="T402" s="170" t="n">
        <f aca="false">S402</f>
        <v>53900</v>
      </c>
      <c r="U402" s="359" t="n">
        <v>53900</v>
      </c>
      <c r="V402" s="170" t="n">
        <f aca="false">U402</f>
        <v>53900</v>
      </c>
      <c r="W402" s="44" t="n">
        <f aca="false">S402/G402</f>
        <v>52.5341130604289</v>
      </c>
      <c r="X402" s="170" t="s">
        <v>39</v>
      </c>
      <c r="Y402" s="204"/>
      <c r="Z402" s="174"/>
      <c r="AA402" s="170" t="s">
        <v>40</v>
      </c>
      <c r="AB402" s="4" t="s">
        <v>220</v>
      </c>
      <c r="AC402" s="15"/>
      <c r="AD402" s="58"/>
      <c r="AE402" s="59"/>
      <c r="AF402" s="58"/>
    </row>
    <row r="403" customFormat="false" ht="15" hidden="false" customHeight="false" outlineLevel="0" collapsed="false">
      <c r="A403" s="11" t="s">
        <v>102</v>
      </c>
      <c r="B403" s="11" t="s">
        <v>784</v>
      </c>
      <c r="C403" s="167" t="n">
        <v>800600</v>
      </c>
      <c r="D403" s="167" t="s">
        <v>806</v>
      </c>
      <c r="E403" s="167" t="s">
        <v>577</v>
      </c>
      <c r="F403" s="168" t="s">
        <v>86</v>
      </c>
      <c r="G403" s="170" t="n">
        <v>242</v>
      </c>
      <c r="H403" s="203" t="n">
        <f aca="false">G403</f>
        <v>242</v>
      </c>
      <c r="I403" s="203" t="n">
        <v>250</v>
      </c>
      <c r="J403" s="105" t="s">
        <v>63</v>
      </c>
      <c r="K403" s="171"/>
      <c r="L403" s="171"/>
      <c r="M403" s="171" t="n">
        <v>44135</v>
      </c>
      <c r="N403" s="171"/>
      <c r="O403" s="171"/>
      <c r="P403" s="170" t="n">
        <v>0</v>
      </c>
      <c r="Q403" s="170" t="n">
        <f aca="false">P403</f>
        <v>0</v>
      </c>
      <c r="R403" s="9"/>
      <c r="S403" s="170" t="n">
        <v>14000</v>
      </c>
      <c r="T403" s="170" t="n">
        <f aca="false">S403</f>
        <v>14000</v>
      </c>
      <c r="U403" s="359" t="n">
        <v>14000</v>
      </c>
      <c r="V403" s="170" t="n">
        <f aca="false">U403</f>
        <v>14000</v>
      </c>
      <c r="W403" s="44" t="n">
        <f aca="false">S403/G403</f>
        <v>57.8512396694215</v>
      </c>
      <c r="X403" s="170" t="s">
        <v>123</v>
      </c>
      <c r="Y403" s="204"/>
      <c r="Z403" s="174"/>
      <c r="AA403" s="170" t="s">
        <v>40</v>
      </c>
      <c r="AB403" s="4" t="s">
        <v>220</v>
      </c>
      <c r="AC403" s="15"/>
      <c r="AD403" s="58"/>
      <c r="AE403" s="59"/>
      <c r="AF403" s="58"/>
    </row>
    <row r="404" customFormat="false" ht="15" hidden="false" customHeight="false" outlineLevel="0" collapsed="false">
      <c r="A404" s="11" t="s">
        <v>102</v>
      </c>
      <c r="B404" s="11" t="s">
        <v>784</v>
      </c>
      <c r="C404" s="167" t="n">
        <v>800600</v>
      </c>
      <c r="D404" s="167" t="s">
        <v>806</v>
      </c>
      <c r="E404" s="167" t="s">
        <v>90</v>
      </c>
      <c r="F404" s="168" t="s">
        <v>86</v>
      </c>
      <c r="G404" s="170" t="n">
        <v>1028</v>
      </c>
      <c r="H404" s="203" t="n">
        <f aca="false">G404</f>
        <v>1028</v>
      </c>
      <c r="I404" s="203" t="n">
        <v>1000</v>
      </c>
      <c r="J404" s="105" t="s">
        <v>815</v>
      </c>
      <c r="K404" s="171" t="n">
        <v>44135</v>
      </c>
      <c r="L404" s="171" t="n">
        <v>45960</v>
      </c>
      <c r="M404" s="171"/>
      <c r="N404" s="171"/>
      <c r="O404" s="171"/>
      <c r="P404" s="170" t="n">
        <v>52572</v>
      </c>
      <c r="Q404" s="170" t="n">
        <f aca="false">P404</f>
        <v>52572</v>
      </c>
      <c r="R404" s="9"/>
      <c r="S404" s="170" t="n">
        <v>51400</v>
      </c>
      <c r="T404" s="170" t="n">
        <f aca="false">S404</f>
        <v>51400</v>
      </c>
      <c r="U404" s="359" t="n">
        <v>51400</v>
      </c>
      <c r="V404" s="170" t="n">
        <f aca="false">U404</f>
        <v>51400</v>
      </c>
      <c r="W404" s="44" t="n">
        <f aca="false">S404/G404</f>
        <v>50</v>
      </c>
      <c r="X404" s="170" t="s">
        <v>57</v>
      </c>
      <c r="Y404" s="204"/>
      <c r="Z404" s="174"/>
      <c r="AA404" s="170" t="s">
        <v>40</v>
      </c>
      <c r="AB404" s="4" t="s">
        <v>220</v>
      </c>
      <c r="AC404" s="15"/>
      <c r="AD404" s="58"/>
      <c r="AE404" s="59"/>
      <c r="AF404" s="58"/>
    </row>
    <row r="405" customFormat="false" ht="15" hidden="false" customHeight="false" outlineLevel="0" collapsed="false">
      <c r="A405" s="11" t="s">
        <v>102</v>
      </c>
      <c r="B405" s="11" t="s">
        <v>784</v>
      </c>
      <c r="C405" s="167" t="n">
        <v>800600</v>
      </c>
      <c r="D405" s="167" t="s">
        <v>806</v>
      </c>
      <c r="E405" s="167" t="s">
        <v>114</v>
      </c>
      <c r="F405" s="168" t="s">
        <v>86</v>
      </c>
      <c r="G405" s="170" t="n">
        <v>834</v>
      </c>
      <c r="H405" s="203" t="n">
        <f aca="false">G405</f>
        <v>834</v>
      </c>
      <c r="I405" s="203" t="n">
        <v>1000</v>
      </c>
      <c r="J405" s="105" t="s">
        <v>63</v>
      </c>
      <c r="K405" s="171"/>
      <c r="L405" s="171"/>
      <c r="M405" s="171" t="n">
        <v>43840</v>
      </c>
      <c r="N405" s="171"/>
      <c r="O405" s="171"/>
      <c r="P405" s="170" t="n">
        <v>0</v>
      </c>
      <c r="Q405" s="170" t="n">
        <f aca="false">P405</f>
        <v>0</v>
      </c>
      <c r="R405" s="9"/>
      <c r="S405" s="170" t="n">
        <v>43800</v>
      </c>
      <c r="T405" s="170" t="n">
        <f aca="false">S405</f>
        <v>43800</v>
      </c>
      <c r="U405" s="359" t="n">
        <v>43800</v>
      </c>
      <c r="V405" s="170" t="n">
        <f aca="false">U405</f>
        <v>43800</v>
      </c>
      <c r="W405" s="44" t="n">
        <f aca="false">S405/G405</f>
        <v>52.5179856115108</v>
      </c>
      <c r="X405" s="170" t="s">
        <v>57</v>
      </c>
      <c r="Y405" s="204"/>
      <c r="Z405" s="174"/>
      <c r="AA405" s="170" t="s">
        <v>40</v>
      </c>
      <c r="AB405" s="4" t="s">
        <v>220</v>
      </c>
      <c r="AC405" s="15"/>
      <c r="AD405" s="58"/>
      <c r="AE405" s="59"/>
      <c r="AF405" s="58"/>
    </row>
    <row r="406" customFormat="false" ht="19.4" hidden="false" customHeight="false" outlineLevel="0" collapsed="false">
      <c r="A406" s="11" t="s">
        <v>185</v>
      </c>
      <c r="B406" s="11" t="s">
        <v>817</v>
      </c>
      <c r="C406" s="167" t="n">
        <v>111010</v>
      </c>
      <c r="D406" s="167" t="s">
        <v>816</v>
      </c>
      <c r="E406" s="167" t="s">
        <v>258</v>
      </c>
      <c r="F406" s="183" t="s">
        <v>591</v>
      </c>
      <c r="G406" s="170" t="n">
        <v>4289</v>
      </c>
      <c r="H406" s="170" t="n">
        <f aca="false">G406</f>
        <v>4289</v>
      </c>
      <c r="I406" s="170" t="n">
        <v>4250</v>
      </c>
      <c r="J406" s="105" t="s">
        <v>818</v>
      </c>
      <c r="K406" s="171" t="n">
        <v>45510</v>
      </c>
      <c r="L406" s="171" t="n">
        <v>50987</v>
      </c>
      <c r="M406" s="171"/>
      <c r="N406" s="171" t="n">
        <v>47336</v>
      </c>
      <c r="O406" s="171" t="n">
        <v>49162</v>
      </c>
      <c r="P406" s="170" t="n">
        <v>110000</v>
      </c>
      <c r="Q406" s="170" t="n">
        <f aca="false">P406</f>
        <v>110000</v>
      </c>
      <c r="R406" s="9"/>
      <c r="S406" s="170" t="n">
        <v>220100</v>
      </c>
      <c r="T406" s="170" t="n">
        <f aca="false">S406</f>
        <v>220100</v>
      </c>
      <c r="U406" s="359" t="n">
        <v>220100</v>
      </c>
      <c r="V406" s="170" t="n">
        <f aca="false">U406</f>
        <v>220100</v>
      </c>
      <c r="W406" s="44" t="n">
        <f aca="false">S406/G406</f>
        <v>51.3173233854045</v>
      </c>
      <c r="X406" s="170" t="s">
        <v>39</v>
      </c>
      <c r="Y406" s="181" t="s">
        <v>25</v>
      </c>
      <c r="Z406" s="182"/>
      <c r="AA406" s="170" t="s">
        <v>40</v>
      </c>
      <c r="AB406" s="167" t="s">
        <v>819</v>
      </c>
      <c r="AC406" s="176"/>
      <c r="AD406" s="219"/>
      <c r="AE406" s="220"/>
      <c r="AF406" s="221"/>
    </row>
    <row r="407" customFormat="false" ht="15" hidden="false" customHeight="false" outlineLevel="0" collapsed="false">
      <c r="A407" s="11" t="s">
        <v>185</v>
      </c>
      <c r="B407" s="11" t="s">
        <v>817</v>
      </c>
      <c r="C407" s="167" t="n">
        <v>111010</v>
      </c>
      <c r="D407" s="167" t="s">
        <v>816</v>
      </c>
      <c r="E407" s="167" t="s">
        <v>85</v>
      </c>
      <c r="F407" s="168" t="s">
        <v>86</v>
      </c>
      <c r="G407" s="170" t="n">
        <v>2279</v>
      </c>
      <c r="H407" s="170" t="n">
        <f aca="false">G407</f>
        <v>2279</v>
      </c>
      <c r="I407" s="170" t="n">
        <v>2250</v>
      </c>
      <c r="J407" s="105" t="s">
        <v>63</v>
      </c>
      <c r="K407" s="171"/>
      <c r="L407" s="171"/>
      <c r="M407" s="171" t="n">
        <v>44577</v>
      </c>
      <c r="N407" s="171"/>
      <c r="O407" s="171"/>
      <c r="P407" s="170" t="n">
        <v>0</v>
      </c>
      <c r="Q407" s="170" t="n">
        <f aca="false">P407</f>
        <v>0</v>
      </c>
      <c r="R407" s="9"/>
      <c r="S407" s="170"/>
      <c r="T407" s="170" t="n">
        <f aca="false">S407</f>
        <v>0</v>
      </c>
      <c r="U407" s="359" t="n">
        <v>159500</v>
      </c>
      <c r="V407" s="170" t="n">
        <f aca="false">U407</f>
        <v>159500</v>
      </c>
      <c r="W407" s="44" t="n">
        <f aca="false">S407/G407</f>
        <v>0</v>
      </c>
      <c r="X407" s="170" t="s">
        <v>39</v>
      </c>
      <c r="Y407" s="181" t="s">
        <v>25</v>
      </c>
      <c r="Z407" s="182"/>
      <c r="AA407" s="170" t="s">
        <v>40</v>
      </c>
      <c r="AB407" s="167" t="s">
        <v>64</v>
      </c>
      <c r="AC407" s="176" t="n">
        <v>75</v>
      </c>
      <c r="AD407" s="167" t="n">
        <v>1</v>
      </c>
      <c r="AE407" s="177" t="n">
        <v>1</v>
      </c>
      <c r="AF407" s="178" t="s">
        <v>54</v>
      </c>
    </row>
    <row r="408" customFormat="false" ht="15" hidden="false" customHeight="false" outlineLevel="0" collapsed="false">
      <c r="A408" s="11" t="s">
        <v>185</v>
      </c>
      <c r="B408" s="11" t="s">
        <v>817</v>
      </c>
      <c r="C408" s="167" t="n">
        <v>111010</v>
      </c>
      <c r="D408" s="167" t="s">
        <v>816</v>
      </c>
      <c r="E408" s="167" t="s">
        <v>89</v>
      </c>
      <c r="F408" s="168" t="s">
        <v>86</v>
      </c>
      <c r="G408" s="170" t="n">
        <v>1640</v>
      </c>
      <c r="H408" s="170" t="n">
        <f aca="false">G408</f>
        <v>1640</v>
      </c>
      <c r="I408" s="170" t="n">
        <v>1500</v>
      </c>
      <c r="J408" s="105" t="s">
        <v>820</v>
      </c>
      <c r="K408" s="171" t="n">
        <v>44710</v>
      </c>
      <c r="L408" s="171" t="n">
        <v>45805</v>
      </c>
      <c r="M408" s="171"/>
      <c r="N408" s="171"/>
      <c r="O408" s="171"/>
      <c r="P408" s="170" t="n">
        <v>101000</v>
      </c>
      <c r="Q408" s="170" t="n">
        <f aca="false">P408</f>
        <v>101000</v>
      </c>
      <c r="R408" s="9"/>
      <c r="S408" s="170" t="n">
        <v>104100</v>
      </c>
      <c r="T408" s="170" t="n">
        <f aca="false">S408</f>
        <v>104100</v>
      </c>
      <c r="U408" s="359" t="n">
        <v>114800</v>
      </c>
      <c r="V408" s="170" t="n">
        <f aca="false">U408</f>
        <v>114800</v>
      </c>
      <c r="W408" s="44" t="n">
        <f aca="false">S408/G408</f>
        <v>63.4756097560976</v>
      </c>
      <c r="X408" s="170" t="s">
        <v>39</v>
      </c>
      <c r="Y408" s="181" t="s">
        <v>25</v>
      </c>
      <c r="Z408" s="182"/>
      <c r="AA408" s="170" t="s">
        <v>40</v>
      </c>
      <c r="AB408" s="167" t="s">
        <v>821</v>
      </c>
      <c r="AD408" s="167"/>
      <c r="AE408" s="177"/>
      <c r="AF408" s="178"/>
    </row>
    <row r="409" customFormat="false" ht="15" hidden="false" customHeight="false" outlineLevel="0" collapsed="false">
      <c r="A409" s="11" t="s">
        <v>185</v>
      </c>
      <c r="B409" s="11" t="s">
        <v>817</v>
      </c>
      <c r="C409" s="167" t="n">
        <v>111010</v>
      </c>
      <c r="D409" s="167" t="s">
        <v>816</v>
      </c>
      <c r="E409" s="167" t="s">
        <v>90</v>
      </c>
      <c r="F409" s="168" t="s">
        <v>86</v>
      </c>
      <c r="G409" s="170" t="n">
        <v>1641</v>
      </c>
      <c r="H409" s="170" t="n">
        <f aca="false">G409</f>
        <v>1641</v>
      </c>
      <c r="I409" s="170" t="n">
        <v>1500</v>
      </c>
      <c r="J409" s="105" t="s">
        <v>63</v>
      </c>
      <c r="K409" s="171"/>
      <c r="L409" s="171"/>
      <c r="M409" s="171" t="n">
        <v>44603</v>
      </c>
      <c r="N409" s="171"/>
      <c r="O409" s="171"/>
      <c r="P409" s="170" t="n">
        <v>0</v>
      </c>
      <c r="Q409" s="170" t="n">
        <f aca="false">P409</f>
        <v>0</v>
      </c>
      <c r="R409" s="9"/>
      <c r="S409" s="170" t="n">
        <v>120000</v>
      </c>
      <c r="T409" s="170" t="n">
        <f aca="false">S409</f>
        <v>120000</v>
      </c>
      <c r="U409" s="359" t="n">
        <v>114900</v>
      </c>
      <c r="V409" s="170" t="n">
        <f aca="false">U409</f>
        <v>114900</v>
      </c>
      <c r="W409" s="44" t="n">
        <f aca="false">S409/G409</f>
        <v>73.1261425959781</v>
      </c>
      <c r="X409" s="170" t="s">
        <v>39</v>
      </c>
      <c r="Y409" s="181" t="s">
        <v>25</v>
      </c>
      <c r="Z409" s="182"/>
      <c r="AA409" s="170" t="s">
        <v>40</v>
      </c>
      <c r="AB409" s="167" t="s">
        <v>64</v>
      </c>
      <c r="AC409" s="176" t="n">
        <v>75</v>
      </c>
      <c r="AD409" s="167" t="n">
        <v>1</v>
      </c>
      <c r="AE409" s="177" t="n">
        <v>1</v>
      </c>
      <c r="AF409" s="178" t="s">
        <v>54</v>
      </c>
    </row>
    <row r="410" customFormat="false" ht="15" hidden="false" customHeight="false" outlineLevel="0" collapsed="false">
      <c r="A410" s="11" t="s">
        <v>185</v>
      </c>
      <c r="B410" s="11" t="s">
        <v>817</v>
      </c>
      <c r="C410" s="167" t="n">
        <v>111010</v>
      </c>
      <c r="D410" s="167" t="s">
        <v>816</v>
      </c>
      <c r="E410" s="167" t="s">
        <v>822</v>
      </c>
      <c r="F410" s="168" t="s">
        <v>86</v>
      </c>
      <c r="G410" s="170" t="n">
        <v>1636</v>
      </c>
      <c r="H410" s="170" t="n">
        <f aca="false">G410</f>
        <v>1636</v>
      </c>
      <c r="I410" s="170" t="n">
        <v>1500</v>
      </c>
      <c r="J410" s="105" t="s">
        <v>63</v>
      </c>
      <c r="K410" s="171"/>
      <c r="L410" s="171"/>
      <c r="M410" s="171" t="n">
        <v>45579</v>
      </c>
      <c r="N410" s="171"/>
      <c r="O410" s="171"/>
      <c r="P410" s="170" t="n">
        <v>0</v>
      </c>
      <c r="Q410" s="170" t="n">
        <f aca="false">P410</f>
        <v>0</v>
      </c>
      <c r="R410" s="9"/>
      <c r="S410" s="170" t="n">
        <v>103900</v>
      </c>
      <c r="T410" s="170" t="n">
        <f aca="false">S410</f>
        <v>103900</v>
      </c>
      <c r="U410" s="359" t="n">
        <v>118600</v>
      </c>
      <c r="V410" s="170" t="n">
        <f aca="false">U410</f>
        <v>118600</v>
      </c>
      <c r="W410" s="44" t="n">
        <f aca="false">S410/G410</f>
        <v>63.5085574572127</v>
      </c>
      <c r="X410" s="170" t="s">
        <v>52</v>
      </c>
      <c r="Y410" s="181" t="s">
        <v>25</v>
      </c>
      <c r="Z410" s="182"/>
      <c r="AA410" s="170" t="s">
        <v>40</v>
      </c>
      <c r="AB410" s="167" t="s">
        <v>64</v>
      </c>
      <c r="AC410" s="176" t="n">
        <v>75</v>
      </c>
      <c r="AD410" s="167" t="n">
        <v>1</v>
      </c>
      <c r="AE410" s="177" t="n">
        <v>1</v>
      </c>
      <c r="AF410" s="178" t="s">
        <v>597</v>
      </c>
    </row>
    <row r="411" customFormat="false" ht="19.4" hidden="false" customHeight="false" outlineLevel="0" collapsed="false">
      <c r="A411" s="11" t="s">
        <v>185</v>
      </c>
      <c r="B411" s="11" t="s">
        <v>817</v>
      </c>
      <c r="C411" s="167" t="n">
        <v>111010</v>
      </c>
      <c r="D411" s="167" t="s">
        <v>816</v>
      </c>
      <c r="E411" s="167" t="s">
        <v>176</v>
      </c>
      <c r="F411" s="168" t="s">
        <v>86</v>
      </c>
      <c r="G411" s="170" t="n">
        <v>1536</v>
      </c>
      <c r="H411" s="170" t="n">
        <f aca="false">G411</f>
        <v>1536</v>
      </c>
      <c r="I411" s="170" t="n">
        <v>1500</v>
      </c>
      <c r="J411" s="105" t="s">
        <v>823</v>
      </c>
      <c r="K411" s="171" t="n">
        <v>45464</v>
      </c>
      <c r="L411" s="171" t="n">
        <v>49115</v>
      </c>
      <c r="M411" s="171"/>
      <c r="N411" s="171" t="n">
        <v>47290</v>
      </c>
      <c r="O411" s="171" t="n">
        <v>47289</v>
      </c>
      <c r="P411" s="170" t="n">
        <v>52745</v>
      </c>
      <c r="Q411" s="170" t="n">
        <f aca="false">P411</f>
        <v>52745</v>
      </c>
      <c r="R411" s="9"/>
      <c r="S411" s="170" t="n">
        <v>97500</v>
      </c>
      <c r="T411" s="170" t="n">
        <f aca="false">S411</f>
        <v>97500</v>
      </c>
      <c r="U411" s="359" t="n">
        <v>105200</v>
      </c>
      <c r="V411" s="170" t="n">
        <f aca="false">U411</f>
        <v>105200</v>
      </c>
      <c r="W411" s="44" t="n">
        <f aca="false">S411/G411</f>
        <v>63.4765625</v>
      </c>
      <c r="X411" s="170" t="s">
        <v>39</v>
      </c>
      <c r="Y411" s="181" t="s">
        <v>25</v>
      </c>
      <c r="Z411" s="182"/>
      <c r="AA411" s="170" t="s">
        <v>40</v>
      </c>
      <c r="AB411" s="167" t="s">
        <v>824</v>
      </c>
      <c r="AC411" s="176"/>
      <c r="AD411" s="167"/>
      <c r="AE411" s="177"/>
      <c r="AF411" s="178"/>
    </row>
    <row r="412" customFormat="false" ht="28.35" hidden="false" customHeight="false" outlineLevel="0" collapsed="false">
      <c r="A412" s="11" t="s">
        <v>185</v>
      </c>
      <c r="B412" s="166" t="s">
        <v>828</v>
      </c>
      <c r="C412" s="167" t="n">
        <v>888010</v>
      </c>
      <c r="D412" s="167" t="s">
        <v>827</v>
      </c>
      <c r="E412" s="167" t="s">
        <v>829</v>
      </c>
      <c r="F412" s="168" t="s">
        <v>46</v>
      </c>
      <c r="G412" s="170" t="n">
        <v>5662</v>
      </c>
      <c r="H412" s="170" t="n">
        <f aca="false">G412</f>
        <v>5662</v>
      </c>
      <c r="I412" s="170" t="n">
        <v>5500</v>
      </c>
      <c r="J412" s="105" t="s">
        <v>830</v>
      </c>
      <c r="K412" s="171" t="n">
        <v>45192</v>
      </c>
      <c r="L412" s="171" t="n">
        <v>48844</v>
      </c>
      <c r="M412" s="171"/>
      <c r="N412" s="171" t="n">
        <v>47019</v>
      </c>
      <c r="O412" s="171" t="n">
        <v>47018</v>
      </c>
      <c r="P412" s="170" t="n">
        <v>325000</v>
      </c>
      <c r="Q412" s="170" t="n">
        <f aca="false">P412</f>
        <v>325000</v>
      </c>
      <c r="R412" s="170"/>
      <c r="S412" s="170" t="n">
        <v>650000</v>
      </c>
      <c r="T412" s="170" t="n">
        <f aca="false">S412</f>
        <v>650000</v>
      </c>
      <c r="U412" s="359" t="n">
        <v>1230000</v>
      </c>
      <c r="V412" s="170" t="n">
        <f aca="false">U412</f>
        <v>1230000</v>
      </c>
      <c r="W412" s="44" t="n">
        <f aca="false">S412/G412</f>
        <v>114.800423878488</v>
      </c>
      <c r="X412" s="170" t="s">
        <v>39</v>
      </c>
      <c r="Y412" s="181"/>
      <c r="Z412" s="182"/>
      <c r="AA412" s="283" t="s">
        <v>40</v>
      </c>
      <c r="AB412" s="167" t="s">
        <v>831</v>
      </c>
      <c r="AC412" s="176"/>
      <c r="AD412" s="167"/>
      <c r="AE412" s="177"/>
      <c r="AF412" s="178"/>
    </row>
    <row r="413" customFormat="false" ht="19.4" hidden="false" customHeight="false" outlineLevel="0" collapsed="false">
      <c r="A413" s="11" t="s">
        <v>185</v>
      </c>
      <c r="B413" s="166" t="s">
        <v>828</v>
      </c>
      <c r="C413" s="167" t="n">
        <v>888010</v>
      </c>
      <c r="D413" s="167" t="s">
        <v>827</v>
      </c>
      <c r="E413" s="105" t="s">
        <v>832</v>
      </c>
      <c r="F413" s="168" t="s">
        <v>46</v>
      </c>
      <c r="G413" s="170" t="n">
        <v>5350</v>
      </c>
      <c r="H413" s="170" t="n">
        <f aca="false">G413</f>
        <v>5350</v>
      </c>
      <c r="I413" s="170" t="n">
        <v>5500</v>
      </c>
      <c r="J413" s="105" t="s">
        <v>833</v>
      </c>
      <c r="K413" s="171" t="n">
        <v>40651</v>
      </c>
      <c r="L413" s="171" t="n">
        <v>46129</v>
      </c>
      <c r="M413" s="171"/>
      <c r="N413" s="171" t="n">
        <v>44304</v>
      </c>
      <c r="O413" s="171"/>
      <c r="P413" s="170" t="n">
        <v>730000</v>
      </c>
      <c r="Q413" s="170" t="n">
        <f aca="false">P413</f>
        <v>730000</v>
      </c>
      <c r="R413" s="170"/>
      <c r="S413" s="170" t="n">
        <v>400000</v>
      </c>
      <c r="T413" s="170" t="n">
        <f aca="false">S413</f>
        <v>400000</v>
      </c>
      <c r="U413" s="359" t="n">
        <v>710000</v>
      </c>
      <c r="V413" s="170" t="n">
        <f aca="false">U413</f>
        <v>710000</v>
      </c>
      <c r="W413" s="44" t="n">
        <f aca="false">S413/G413</f>
        <v>74.7663551401869</v>
      </c>
      <c r="X413" s="170" t="s">
        <v>39</v>
      </c>
      <c r="Y413" s="181"/>
      <c r="Z413" s="182"/>
      <c r="AA413" s="283" t="s">
        <v>165</v>
      </c>
      <c r="AB413" s="167"/>
      <c r="AC413" s="176"/>
      <c r="AD413" s="167"/>
      <c r="AE413" s="177"/>
      <c r="AF413" s="178"/>
    </row>
    <row r="414" customFormat="false" ht="19.4" hidden="false" customHeight="false" outlineLevel="0" collapsed="false">
      <c r="A414" s="11" t="s">
        <v>185</v>
      </c>
      <c r="B414" s="166" t="s">
        <v>828</v>
      </c>
      <c r="C414" s="167" t="n">
        <v>888010</v>
      </c>
      <c r="D414" s="167" t="s">
        <v>827</v>
      </c>
      <c r="E414" s="167" t="s">
        <v>834</v>
      </c>
      <c r="F414" s="168" t="s">
        <v>46</v>
      </c>
      <c r="G414" s="170" t="n">
        <v>2044</v>
      </c>
      <c r="H414" s="170" t="n">
        <f aca="false">G414</f>
        <v>2044</v>
      </c>
      <c r="I414" s="170" t="n">
        <v>2000</v>
      </c>
      <c r="J414" s="105" t="s">
        <v>835</v>
      </c>
      <c r="K414" s="171" t="n">
        <v>42650</v>
      </c>
      <c r="L414" s="171" t="n">
        <v>46301</v>
      </c>
      <c r="M414" s="171"/>
      <c r="N414" s="171" t="n">
        <v>45885</v>
      </c>
      <c r="O414" s="171"/>
      <c r="P414" s="170" t="n">
        <v>115701</v>
      </c>
      <c r="Q414" s="170" t="n">
        <f aca="false">P414</f>
        <v>115701</v>
      </c>
      <c r="R414" s="170"/>
      <c r="S414" s="170" t="n">
        <v>110000</v>
      </c>
      <c r="T414" s="170" t="n">
        <f aca="false">S414</f>
        <v>110000</v>
      </c>
      <c r="U414" s="359" t="n">
        <v>112000</v>
      </c>
      <c r="V414" s="170" t="n">
        <f aca="false">U414</f>
        <v>112000</v>
      </c>
      <c r="W414" s="44" t="n">
        <f aca="false">S414/G414</f>
        <v>53.8160469667319</v>
      </c>
      <c r="X414" s="170" t="s">
        <v>52</v>
      </c>
      <c r="Y414" s="181"/>
      <c r="Z414" s="182"/>
      <c r="AA414" s="283" t="s">
        <v>40</v>
      </c>
      <c r="AB414" s="167" t="s">
        <v>836</v>
      </c>
      <c r="AC414" s="176"/>
      <c r="AD414" s="167"/>
      <c r="AE414" s="177"/>
      <c r="AF414" s="178"/>
    </row>
    <row r="415" customFormat="false" ht="37.3" hidden="false" customHeight="false" outlineLevel="0" collapsed="false">
      <c r="A415" s="11" t="s">
        <v>185</v>
      </c>
      <c r="B415" s="166" t="s">
        <v>828</v>
      </c>
      <c r="C415" s="167" t="n">
        <v>888010</v>
      </c>
      <c r="D415" s="167" t="s">
        <v>827</v>
      </c>
      <c r="E415" s="167" t="s">
        <v>837</v>
      </c>
      <c r="F415" s="168" t="s">
        <v>37</v>
      </c>
      <c r="G415" s="170" t="n">
        <v>4463</v>
      </c>
      <c r="H415" s="170" t="n">
        <f aca="false">G415</f>
        <v>4463</v>
      </c>
      <c r="I415" s="170" t="n">
        <v>4500</v>
      </c>
      <c r="J415" s="105" t="s">
        <v>838</v>
      </c>
      <c r="K415" s="171" t="n">
        <v>42286</v>
      </c>
      <c r="L415" s="171" t="n">
        <v>45938</v>
      </c>
      <c r="M415" s="171"/>
      <c r="N415" s="171" t="n">
        <v>44113</v>
      </c>
      <c r="O415" s="171"/>
      <c r="P415" s="170" t="n">
        <v>367290</v>
      </c>
      <c r="Q415" s="170" t="n">
        <f aca="false">P415</f>
        <v>367290</v>
      </c>
      <c r="R415" s="170"/>
      <c r="S415" s="170" t="n">
        <v>345000</v>
      </c>
      <c r="T415" s="170" t="n">
        <f aca="false">S415</f>
        <v>345000</v>
      </c>
      <c r="U415" s="359" t="n">
        <v>368000</v>
      </c>
      <c r="V415" s="170" t="n">
        <f aca="false">U415</f>
        <v>368000</v>
      </c>
      <c r="W415" s="44" t="n">
        <f aca="false">S415/G415</f>
        <v>77.3022630517589</v>
      </c>
      <c r="X415" s="170" t="s">
        <v>52</v>
      </c>
      <c r="Y415" s="181"/>
      <c r="Z415" s="182"/>
      <c r="AA415" s="283" t="s">
        <v>40</v>
      </c>
      <c r="AB415" s="219" t="s">
        <v>839</v>
      </c>
      <c r="AC415" s="176"/>
      <c r="AD415" s="167"/>
      <c r="AE415" s="177"/>
      <c r="AF415" s="178"/>
    </row>
    <row r="416" customFormat="false" ht="19.4" hidden="false" customHeight="false" outlineLevel="0" collapsed="false">
      <c r="A416" s="11" t="s">
        <v>185</v>
      </c>
      <c r="B416" s="166" t="s">
        <v>828</v>
      </c>
      <c r="C416" s="167" t="n">
        <v>888010</v>
      </c>
      <c r="D416" s="167" t="s">
        <v>827</v>
      </c>
      <c r="E416" s="167" t="s">
        <v>840</v>
      </c>
      <c r="F416" s="168" t="s">
        <v>37</v>
      </c>
      <c r="G416" s="170" t="n">
        <v>4462</v>
      </c>
      <c r="H416" s="170" t="n">
        <f aca="false">G416</f>
        <v>4462</v>
      </c>
      <c r="I416" s="170" t="n">
        <v>4500</v>
      </c>
      <c r="J416" s="105" t="s">
        <v>63</v>
      </c>
      <c r="K416" s="171"/>
      <c r="L416" s="171"/>
      <c r="M416" s="171" t="n">
        <v>45490</v>
      </c>
      <c r="N416" s="171"/>
      <c r="O416" s="171"/>
      <c r="P416" s="170" t="n">
        <v>0</v>
      </c>
      <c r="Q416" s="170" t="n">
        <f aca="false">P416</f>
        <v>0</v>
      </c>
      <c r="R416" s="170"/>
      <c r="S416" s="170" t="n">
        <v>357800</v>
      </c>
      <c r="T416" s="170" t="n">
        <f aca="false">S416</f>
        <v>357800</v>
      </c>
      <c r="U416" s="359" t="n">
        <v>379000</v>
      </c>
      <c r="V416" s="170" t="n">
        <f aca="false">U416</f>
        <v>379000</v>
      </c>
      <c r="W416" s="44" t="n">
        <f aca="false">S416/G416</f>
        <v>80.1882563872703</v>
      </c>
      <c r="X416" s="170" t="s">
        <v>453</v>
      </c>
      <c r="Y416" s="181"/>
      <c r="Z416" s="182"/>
      <c r="AA416" s="181"/>
      <c r="AB416" s="4" t="s">
        <v>64</v>
      </c>
      <c r="AC416" s="239" t="n">
        <v>85</v>
      </c>
      <c r="AD416" s="240" t="n">
        <v>1</v>
      </c>
      <c r="AE416" s="241" t="n">
        <v>4</v>
      </c>
      <c r="AF416" s="238" t="s">
        <v>841</v>
      </c>
    </row>
    <row r="417" customFormat="false" ht="46.25" hidden="false" customHeight="false" outlineLevel="0" collapsed="false">
      <c r="A417" s="11" t="s">
        <v>185</v>
      </c>
      <c r="B417" s="166" t="s">
        <v>828</v>
      </c>
      <c r="C417" s="167" t="n">
        <v>888010</v>
      </c>
      <c r="D417" s="167" t="s">
        <v>827</v>
      </c>
      <c r="E417" s="167" t="s">
        <v>842</v>
      </c>
      <c r="F417" s="168" t="s">
        <v>37</v>
      </c>
      <c r="G417" s="170" t="n">
        <v>4250</v>
      </c>
      <c r="H417" s="170" t="n">
        <f aca="false">G417</f>
        <v>4250</v>
      </c>
      <c r="I417" s="170" t="n">
        <v>4500</v>
      </c>
      <c r="J417" s="105" t="s">
        <v>843</v>
      </c>
      <c r="K417" s="171" t="n">
        <v>45786</v>
      </c>
      <c r="L417" s="171" t="n">
        <v>49437</v>
      </c>
      <c r="M417" s="171"/>
      <c r="N417" s="171" t="n">
        <v>47612</v>
      </c>
      <c r="O417" s="171" t="n">
        <v>47611</v>
      </c>
      <c r="P417" s="170" t="n">
        <v>0</v>
      </c>
      <c r="Q417" s="170" t="n">
        <f aca="false">P417</f>
        <v>0</v>
      </c>
      <c r="R417" s="170"/>
      <c r="S417" s="170" t="n">
        <v>358600</v>
      </c>
      <c r="T417" s="170" t="n">
        <f aca="false">S417</f>
        <v>358600</v>
      </c>
      <c r="U417" s="359" t="n">
        <v>361000</v>
      </c>
      <c r="V417" s="170" t="n">
        <f aca="false">U417</f>
        <v>361000</v>
      </c>
      <c r="W417" s="44" t="n">
        <f aca="false">S417/G417</f>
        <v>84.3764705882353</v>
      </c>
      <c r="X417" s="170" t="s">
        <v>453</v>
      </c>
      <c r="Y417" s="181"/>
      <c r="Z417" s="182"/>
      <c r="AA417" s="181"/>
      <c r="AB417" s="167" t="s">
        <v>844</v>
      </c>
      <c r="AC417" s="176" t="n">
        <v>85</v>
      </c>
      <c r="AD417" s="242" t="n">
        <v>1</v>
      </c>
      <c r="AE417" s="241" t="n">
        <v>3</v>
      </c>
      <c r="AF417" s="238" t="s">
        <v>841</v>
      </c>
    </row>
    <row r="418" customFormat="false" ht="19.4" hidden="false" customHeight="false" outlineLevel="0" collapsed="false">
      <c r="A418" s="11" t="s">
        <v>185</v>
      </c>
      <c r="B418" s="166" t="s">
        <v>828</v>
      </c>
      <c r="C418" s="167" t="n">
        <v>888010</v>
      </c>
      <c r="D418" s="167" t="s">
        <v>827</v>
      </c>
      <c r="E418" s="167" t="s">
        <v>845</v>
      </c>
      <c r="F418" s="168" t="s">
        <v>37</v>
      </c>
      <c r="G418" s="170" t="n">
        <v>3999</v>
      </c>
      <c r="H418" s="170" t="n">
        <f aca="false">G418</f>
        <v>3999</v>
      </c>
      <c r="I418" s="170" t="n">
        <v>4000</v>
      </c>
      <c r="J418" s="105" t="s">
        <v>846</v>
      </c>
      <c r="K418" s="171" t="n">
        <v>44183</v>
      </c>
      <c r="L418" s="171" t="n">
        <v>46373</v>
      </c>
      <c r="M418" s="171"/>
      <c r="N418" s="171"/>
      <c r="O418" s="171"/>
      <c r="P418" s="170" t="n">
        <v>348163</v>
      </c>
      <c r="Q418" s="170" t="n">
        <f aca="false">P418</f>
        <v>348163</v>
      </c>
      <c r="R418" s="170"/>
      <c r="S418" s="170" t="n">
        <v>352000</v>
      </c>
      <c r="T418" s="170" t="n">
        <f aca="false">S418</f>
        <v>352000</v>
      </c>
      <c r="U418" s="359" t="n">
        <v>350000</v>
      </c>
      <c r="V418" s="170" t="n">
        <f aca="false">U418</f>
        <v>350000</v>
      </c>
      <c r="W418" s="44" t="n">
        <f aca="false">S418/G418</f>
        <v>88.0220055013754</v>
      </c>
      <c r="X418" s="170" t="s">
        <v>52</v>
      </c>
      <c r="Y418" s="181"/>
      <c r="Z418" s="182"/>
      <c r="AA418" s="283" t="s">
        <v>40</v>
      </c>
      <c r="AB418" s="167" t="s">
        <v>847</v>
      </c>
      <c r="AC418" s="176"/>
      <c r="AD418" s="167"/>
      <c r="AE418" s="177"/>
      <c r="AF418" s="178"/>
    </row>
    <row r="419" customFormat="false" ht="19.4" hidden="false" customHeight="false" outlineLevel="0" collapsed="false">
      <c r="A419" s="11" t="s">
        <v>185</v>
      </c>
      <c r="B419" s="166" t="s">
        <v>828</v>
      </c>
      <c r="C419" s="167" t="n">
        <v>888010</v>
      </c>
      <c r="D419" s="167" t="s">
        <v>827</v>
      </c>
      <c r="E419" s="167" t="s">
        <v>848</v>
      </c>
      <c r="F419" s="168" t="s">
        <v>37</v>
      </c>
      <c r="G419" s="170" t="n">
        <v>3145</v>
      </c>
      <c r="H419" s="170" t="n">
        <f aca="false">G419</f>
        <v>3145</v>
      </c>
      <c r="I419" s="170" t="n">
        <v>3000</v>
      </c>
      <c r="J419" s="105" t="s">
        <v>846</v>
      </c>
      <c r="K419" s="171" t="n">
        <v>44217</v>
      </c>
      <c r="L419" s="171" t="n">
        <v>46373</v>
      </c>
      <c r="M419" s="171"/>
      <c r="N419" s="171"/>
      <c r="O419" s="171"/>
      <c r="P419" s="170" t="n">
        <v>281873</v>
      </c>
      <c r="Q419" s="170" t="n">
        <f aca="false">P419</f>
        <v>281873</v>
      </c>
      <c r="R419" s="170"/>
      <c r="S419" s="170" t="n">
        <v>284800</v>
      </c>
      <c r="T419" s="170" t="n">
        <f aca="false">S419</f>
        <v>284800</v>
      </c>
      <c r="U419" s="359" t="n">
        <v>283000</v>
      </c>
      <c r="V419" s="170" t="n">
        <f aca="false">U419</f>
        <v>283000</v>
      </c>
      <c r="W419" s="44" t="n">
        <f aca="false">S419/G419</f>
        <v>90.5564387917329</v>
      </c>
      <c r="X419" s="170" t="s">
        <v>52</v>
      </c>
      <c r="Y419" s="181"/>
      <c r="Z419" s="182"/>
      <c r="AA419" s="283" t="s">
        <v>40</v>
      </c>
      <c r="AB419" s="167" t="s">
        <v>847</v>
      </c>
      <c r="AC419" s="176"/>
      <c r="AD419" s="167"/>
      <c r="AE419" s="177"/>
      <c r="AF419" s="167"/>
    </row>
    <row r="420" customFormat="false" ht="19.4" hidden="false" customHeight="false" outlineLevel="0" collapsed="false">
      <c r="A420" s="11" t="s">
        <v>185</v>
      </c>
      <c r="B420" s="166" t="s">
        <v>828</v>
      </c>
      <c r="C420" s="167" t="n">
        <v>888010</v>
      </c>
      <c r="D420" s="167" t="s">
        <v>827</v>
      </c>
      <c r="E420" s="167" t="s">
        <v>743</v>
      </c>
      <c r="F420" s="168" t="s">
        <v>163</v>
      </c>
      <c r="G420" s="170" t="n">
        <v>0</v>
      </c>
      <c r="H420" s="170" t="n">
        <f aca="false">G420</f>
        <v>0</v>
      </c>
      <c r="I420" s="170"/>
      <c r="J420" s="105" t="s">
        <v>849</v>
      </c>
      <c r="K420" s="243" t="n">
        <v>20814</v>
      </c>
      <c r="L420" s="243" t="n">
        <v>39073</v>
      </c>
      <c r="M420" s="243"/>
      <c r="N420" s="171"/>
      <c r="O420" s="171"/>
      <c r="P420" s="170" t="n">
        <v>0</v>
      </c>
      <c r="Q420" s="170" t="n">
        <f aca="false">P420</f>
        <v>0</v>
      </c>
      <c r="R420" s="170"/>
      <c r="S420" s="170" t="n">
        <v>0</v>
      </c>
      <c r="T420" s="170" t="n">
        <f aca="false">S420</f>
        <v>0</v>
      </c>
      <c r="U420" s="359" t="n">
        <v>0</v>
      </c>
      <c r="V420" s="170" t="n">
        <f aca="false">U420</f>
        <v>0</v>
      </c>
      <c r="W420" s="44"/>
      <c r="X420" s="170"/>
      <c r="Y420" s="181"/>
      <c r="Z420" s="182"/>
      <c r="AA420" s="283" t="s">
        <v>165</v>
      </c>
      <c r="AB420" s="167" t="s">
        <v>850</v>
      </c>
      <c r="AC420" s="176"/>
      <c r="AD420" s="167"/>
      <c r="AE420" s="177"/>
      <c r="AF420" s="167"/>
    </row>
  </sheetData>
  <autoFilter ref="A2:AF420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8"/>
  <sheetViews>
    <sheetView showFormulas="false" showGridLines="true" showRowColHeaders="true" showZeros="fals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5" min="1" style="0" width="25"/>
    <col collapsed="false" customWidth="true" hidden="false" outlineLevel="0" max="6" min="6" style="0" width="24"/>
  </cols>
  <sheetData>
    <row r="1" customFormat="false" ht="15" hidden="false" customHeight="false" outlineLevel="0" collapsed="false">
      <c r="A1" s="354" t="s">
        <v>897</v>
      </c>
      <c r="B1" s="354"/>
      <c r="C1" s="354"/>
      <c r="D1" s="354"/>
      <c r="E1" s="354"/>
    </row>
    <row r="2" customFormat="false" ht="15" hidden="false" customHeight="false" outlineLevel="0" collapsed="false">
      <c r="A2" s="360" t="s">
        <v>899</v>
      </c>
      <c r="B2" s="360" t="s">
        <v>7</v>
      </c>
      <c r="C2" s="360" t="s">
        <v>900</v>
      </c>
      <c r="D2" s="360" t="s">
        <v>901</v>
      </c>
      <c r="E2" s="360" t="s">
        <v>902</v>
      </c>
      <c r="F2" s="360" t="s">
        <v>903</v>
      </c>
    </row>
    <row r="3" customFormat="false" ht="15" hidden="false" customHeight="false" outlineLevel="0" collapsed="false">
      <c r="A3" s="0" t="s">
        <v>33</v>
      </c>
      <c r="B3" s="361" t="n">
        <f aca="false">SUMIF(Units!D:D,"5-6 Bywell Place HELLO",Units!G:G)</f>
        <v>0</v>
      </c>
      <c r="C3" s="362" t="n">
        <f aca="false">SUMIF(Units!D:D,"5-6 Bywell Place HELLO",Units!P:P)</f>
        <v>0</v>
      </c>
      <c r="D3" s="362" t="n">
        <f aca="false">SUMIF(Units!D:D,"5-6 Bywell Place HELLO",Units!S:S)</f>
        <v>0</v>
      </c>
      <c r="E3" s="362" t="n">
        <f aca="false">SUMIF(Units!D:D,"5-6 Bywell Place HELLO",Units!U:U)</f>
        <v>0</v>
      </c>
      <c r="F3" s="363" t="n">
        <f aca="false">'Bank Schedule'!AA7</f>
        <v>1750000</v>
      </c>
    </row>
    <row r="4" customFormat="false" ht="15" hidden="false" customHeight="false" outlineLevel="0" collapsed="false">
      <c r="A4" s="0" t="s">
        <v>43</v>
      </c>
      <c r="B4" s="361" t="n">
        <f aca="false">SUMIF(Units!D:D,"22 and 23-25 Eastcastle Street",Units!G:G)</f>
        <v>20705</v>
      </c>
      <c r="C4" s="362" t="n">
        <f aca="false">SUMIF(Units!D:D,"22 and 23-25 Eastcastle Street",Units!P:P)</f>
        <v>858696</v>
      </c>
      <c r="D4" s="362" t="n">
        <f aca="false">SUMIF(Units!D:D,"22 and 23-25 Eastcastle Street",Units!S:S)</f>
        <v>1001300</v>
      </c>
      <c r="E4" s="362" t="n">
        <f aca="false">SUMIF(Units!D:D,"22 and 23-25 Eastcastle Street",Units!U:U)</f>
        <v>1169400</v>
      </c>
      <c r="F4" s="363" t="n">
        <f aca="false">'Bank Schedule'!AA25</f>
        <v>16175000</v>
      </c>
    </row>
    <row r="5" customFormat="false" ht="15" hidden="false" customHeight="false" outlineLevel="0" collapsed="false">
      <c r="A5" s="0" t="s">
        <v>80</v>
      </c>
      <c r="B5" s="361" t="n">
        <f aca="false">SUMIF(Units!D:D,"26 Eastcastle Street",Units!G:G)</f>
        <v>5929</v>
      </c>
      <c r="C5" s="362" t="n">
        <f aca="false">SUMIF(Units!D:D,"26 Eastcastle Street",Units!P:P)</f>
        <v>247833</v>
      </c>
      <c r="D5" s="362" t="n">
        <f aca="false">SUMIF(Units!D:D,"26 Eastcastle Street",Units!S:S)</f>
        <v>277900</v>
      </c>
      <c r="E5" s="362" t="n">
        <f aca="false">SUMIF(Units!D:D,"26 Eastcastle Street",Units!U:U)</f>
        <v>325300</v>
      </c>
      <c r="F5" s="363" t="n">
        <f aca="false">'Bank Schedule'!AA34</f>
        <v>4650000</v>
      </c>
    </row>
    <row r="6" customFormat="false" ht="15" hidden="false" customHeight="false" outlineLevel="0" collapsed="false">
      <c r="A6" s="0" t="s">
        <v>92</v>
      </c>
      <c r="B6" s="361" t="n">
        <f aca="false">SUMIF(Units!D:D,"27 - 28 Eastcastle Street",Units!G:G)</f>
        <v>6467</v>
      </c>
      <c r="C6" s="362" t="n">
        <f aca="false">SUMIF(Units!D:D,"27 - 28 Eastcastle Street",Units!P:P)</f>
        <v>427375</v>
      </c>
      <c r="D6" s="362" t="n">
        <f aca="false">SUMIF(Units!D:D,"27 - 28 Eastcastle Street",Units!S:S)</f>
        <v>324000</v>
      </c>
      <c r="E6" s="362" t="n">
        <f aca="false">SUMIF(Units!D:D,"27 - 28 Eastcastle Street",Units!U:U)</f>
        <v>366300</v>
      </c>
      <c r="F6" s="363" t="n">
        <f aca="false">'Bank Schedule'!AA43</f>
        <v>5650000</v>
      </c>
    </row>
    <row r="7" customFormat="false" ht="15" hidden="false" customHeight="false" outlineLevel="0" collapsed="false">
      <c r="A7" s="0" t="s">
        <v>101</v>
      </c>
      <c r="B7" s="361" t="n">
        <f aca="false">SUMIF(Units!D:D,"10 Great Castle Street",Units!G:G)</f>
        <v>12578</v>
      </c>
      <c r="C7" s="362" t="n">
        <f aca="false">SUMIF(Units!D:D,"10 Great Castle Street",Units!P:P)</f>
        <v>633334</v>
      </c>
      <c r="D7" s="362" t="n">
        <f aca="false">SUMIF(Units!D:D,"10 Great Castle Street",Units!S:S)</f>
        <v>950000</v>
      </c>
      <c r="E7" s="362" t="n">
        <f aca="false">SUMIF(Units!D:D,"10 Great Castle Street",Units!U:U)</f>
        <v>976900</v>
      </c>
      <c r="F7" s="363" t="n">
        <f aca="false">'Bank Schedule'!AA47</f>
        <v>17750000</v>
      </c>
    </row>
    <row r="8" customFormat="false" ht="15" hidden="false" customHeight="false" outlineLevel="0" collapsed="false">
      <c r="A8" s="0" t="s">
        <v>107</v>
      </c>
      <c r="B8" s="361" t="n">
        <f aca="false">SUMIF(Units!D:D,"Windsor House, 40-41 Great Castle Street",Units!G:G)</f>
        <v>4639</v>
      </c>
      <c r="C8" s="362" t="n">
        <f aca="false">SUMIF(Units!D:D,"Windsor House, 40-41 Great Castle Street",Units!P:P)</f>
        <v>115500</v>
      </c>
      <c r="D8" s="362" t="n">
        <f aca="false">SUMIF(Units!D:D,"Windsor House, 40-41 Great Castle Street",Units!S:S)</f>
        <v>280400</v>
      </c>
      <c r="E8" s="362" t="n">
        <f aca="false">SUMIF(Units!D:D,"Windsor House, 40-41 Great Castle Street",Units!U:U)</f>
        <v>273800</v>
      </c>
      <c r="F8" s="363" t="n">
        <f aca="false">'Bank Schedule'!AA58</f>
        <v>4000000</v>
      </c>
    </row>
    <row r="9" customFormat="false" ht="15" hidden="false" customHeight="false" outlineLevel="0" collapsed="false">
      <c r="A9" s="0" t="s">
        <v>119</v>
      </c>
      <c r="B9" s="361" t="n">
        <f aca="false">SUMIF(Units!D:D,"Portland House, 4 Great Portland Street",Units!G:G)</f>
        <v>31169</v>
      </c>
      <c r="C9" s="362" t="n">
        <f aca="false">SUMIF(Units!D:D,"Portland House, 4 Great Portland Street",Units!P:P)</f>
        <v>1643268</v>
      </c>
      <c r="D9" s="362" t="n">
        <f aca="false">SUMIF(Units!D:D,"Portland House, 4 Great Portland Street",Units!S:S)</f>
        <v>1752665</v>
      </c>
      <c r="E9" s="362" t="n">
        <f aca="false">SUMIF(Units!D:D,"Portland House, 4 Great Portland Street",Units!U:U)</f>
        <v>2131800</v>
      </c>
      <c r="F9" s="363" t="n">
        <f aca="false">'Bank Schedule'!AA80</f>
        <v>35000000</v>
      </c>
    </row>
    <row r="10" customFormat="false" ht="15" hidden="false" customHeight="false" outlineLevel="0" collapsed="false">
      <c r="A10" s="0" t="s">
        <v>168</v>
      </c>
      <c r="B10" s="361" t="n">
        <f aca="false">SUMIF(Units!D:D,"6-10a Great Portland Street",Units!G:G)</f>
        <v>13113</v>
      </c>
      <c r="C10" s="362" t="n">
        <f aca="false">SUMIF(Units!D:D,"6-10a Great Portland Street",Units!P:P)</f>
        <v>358501</v>
      </c>
      <c r="D10" s="362" t="n">
        <f aca="false">SUMIF(Units!D:D,"6-10a Great Portland Street",Units!S:S)</f>
        <v>814825</v>
      </c>
      <c r="E10" s="362" t="n">
        <f aca="false">SUMIF(Units!D:D,"6-10a Great Portland Street",Units!U:U)</f>
        <v>871625</v>
      </c>
      <c r="F10" s="363" t="n">
        <f aca="false">'Bank Schedule'!AA92</f>
        <v>13625000</v>
      </c>
    </row>
    <row r="11" customFormat="false" ht="15" hidden="false" customHeight="false" outlineLevel="0" collapsed="false">
      <c r="A11" s="0" t="s">
        <v>180</v>
      </c>
      <c r="B11" s="361" t="n">
        <f aca="false">SUMIF(Units!D:D,"15-17 Great Portland Street &amp; 6-7 Great Castle Street",Units!G:G)</f>
        <v>9884</v>
      </c>
      <c r="C11" s="362" t="n">
        <f aca="false">SUMIF(Units!D:D,"15-17 Great Portland Street &amp; 6-7 Great Castle Street",Units!P:P)</f>
        <v>580000</v>
      </c>
      <c r="D11" s="362" t="n">
        <f aca="false">SUMIF(Units!D:D,"15-17 Great Portland Street &amp; 6-7 Great Castle Street",Units!S:S)</f>
        <v>580000</v>
      </c>
      <c r="E11" s="362" t="n">
        <f aca="false">SUMIF(Units!D:D,"15-17 Great Portland Street &amp; 6-7 Great Castle Street",Units!U:U)</f>
        <v>586000</v>
      </c>
      <c r="F11" s="363" t="n">
        <f aca="false">'Bank Schedule'!AA96</f>
        <v>8850000</v>
      </c>
    </row>
    <row r="12" customFormat="false" ht="15" hidden="false" customHeight="false" outlineLevel="0" collapsed="false">
      <c r="A12" s="0" t="s">
        <v>184</v>
      </c>
      <c r="B12" s="361" t="n">
        <f aca="false">SUMIF(Units!D:D,"19-21 Great Portland Street",Units!G:G)</f>
        <v>0</v>
      </c>
      <c r="C12" s="362" t="n">
        <f aca="false">SUMIF(Units!D:D,"19-21 Great Portland Street",Units!P:P)</f>
        <v>0</v>
      </c>
      <c r="D12" s="362" t="n">
        <f aca="false">SUMIF(Units!D:D,"19-21 Great Portland Street",Units!S:S)</f>
        <v>0</v>
      </c>
      <c r="E12" s="362" t="n">
        <f aca="false">SUMIF(Units!D:D,"19-21 Great Portland Street",Units!U:U)</f>
        <v>0</v>
      </c>
    </row>
    <row r="13" customFormat="false" ht="15" hidden="false" customHeight="false" outlineLevel="0" collapsed="false">
      <c r="A13" s="0" t="s">
        <v>196</v>
      </c>
      <c r="B13" s="361" t="n">
        <f aca="false">SUMIF(Units!D:D,"20 Great Portland Street",Units!G:G)</f>
        <v>4950</v>
      </c>
      <c r="C13" s="362" t="n">
        <f aca="false">SUMIF(Units!D:D,"20 Great Portland Street",Units!P:P)</f>
        <v>218002</v>
      </c>
      <c r="D13" s="362" t="n">
        <f aca="false">SUMIF(Units!D:D,"20 Great Portland Street",Units!S:S)</f>
        <v>228938</v>
      </c>
      <c r="E13" s="362" t="n">
        <f aca="false">SUMIF(Units!D:D,"20 Great Portland Street",Units!U:U)</f>
        <v>237600</v>
      </c>
      <c r="F13" s="363" t="n">
        <f aca="false">'Bank Schedule'!AA121</f>
        <v>3425000</v>
      </c>
    </row>
    <row r="14" customFormat="false" ht="15" hidden="false" customHeight="false" outlineLevel="0" collapsed="false">
      <c r="A14" s="0" t="s">
        <v>216</v>
      </c>
      <c r="B14" s="361" t="n">
        <f aca="false">SUMIF(Units!D:D,"Highlight House, 22-24 Great Portland Street",Units!G:G)</f>
        <v>9646</v>
      </c>
      <c r="C14" s="362" t="n">
        <f aca="false">SUMIF(Units!D:D,"Highlight House, 22-24 Great Portland Street",Units!P:P)</f>
        <v>220000</v>
      </c>
      <c r="D14" s="362" t="n">
        <f aca="false">SUMIF(Units!D:D,"Highlight House, 22-24 Great Portland Street",Units!S:S)</f>
        <v>551600</v>
      </c>
      <c r="E14" s="362" t="n">
        <f aca="false">SUMIF(Units!D:D,"Highlight House, 22-24 Great Portland Street",Units!U:U)</f>
        <v>606100</v>
      </c>
      <c r="F14" s="363" t="n">
        <f aca="false">'Bank Schedule'!AA131</f>
        <v>8750000</v>
      </c>
    </row>
    <row r="15" customFormat="false" ht="15" hidden="false" customHeight="false" outlineLevel="0" collapsed="false">
      <c r="A15" s="0" t="s">
        <v>222</v>
      </c>
      <c r="B15" s="361" t="n">
        <f aca="false">SUMIF(Units!D:D,"23-25 Great Portland Street &amp; 54-55 Margaret Street",Units!G:G)</f>
        <v>5709</v>
      </c>
      <c r="C15" s="362" t="n">
        <f aca="false">SUMIF(Units!D:D,"23-25 Great Portland Street &amp; 54-55 Margaret Street",Units!P:P)</f>
        <v>385000</v>
      </c>
      <c r="D15" s="362" t="n">
        <f aca="false">SUMIF(Units!D:D,"23-25 Great Portland Street &amp; 54-55 Margaret Street",Units!S:S)</f>
        <v>385000</v>
      </c>
      <c r="E15" s="362" t="n">
        <f aca="false">SUMIF(Units!D:D,"23-25 Great Portland Street &amp; 54-55 Margaret Street",Units!U:U)</f>
        <v>385000</v>
      </c>
      <c r="F15" s="363" t="n">
        <f aca="false">'Bank Schedule'!AA138</f>
        <v>6575000</v>
      </c>
    </row>
    <row r="16" customFormat="false" ht="15" hidden="false" customHeight="false" outlineLevel="0" collapsed="false">
      <c r="A16" s="0" t="s">
        <v>227</v>
      </c>
      <c r="B16" s="361" t="n">
        <f aca="false">SUMIF(Units!D:D,"39 Great Portland Street",Units!G:G)</f>
        <v>4894</v>
      </c>
      <c r="C16" s="362" t="n">
        <f aca="false">SUMIF(Units!D:D,"39 Great Portland Street",Units!P:P)</f>
        <v>265410</v>
      </c>
      <c r="D16" s="362" t="n">
        <f aca="false">SUMIF(Units!D:D,"39 Great Portland Street",Units!S:S)</f>
        <v>259360</v>
      </c>
      <c r="E16" s="362" t="n">
        <f aca="false">SUMIF(Units!D:D,"39 Great Portland Street",Units!U:U)</f>
        <v>261140</v>
      </c>
      <c r="F16" s="363" t="n">
        <f aca="false">'Bank Schedule'!AA148</f>
        <v>4025000</v>
      </c>
    </row>
    <row r="17" customFormat="false" ht="15" hidden="false" customHeight="false" outlineLevel="0" collapsed="false">
      <c r="A17" s="0" t="s">
        <v>239</v>
      </c>
      <c r="B17" s="361" t="n">
        <f aca="false">SUMIF(Units!D:D,"41 Great Portland Street",Units!G:G)</f>
        <v>2313</v>
      </c>
      <c r="C17" s="362" t="n">
        <f aca="false">SUMIF(Units!D:D,"41 Great Portland Street",Units!P:P)</f>
        <v>112000</v>
      </c>
      <c r="D17" s="362" t="n">
        <f aca="false">SUMIF(Units!D:D,"41 Great Portland Street",Units!S:S)</f>
        <v>106600</v>
      </c>
      <c r="E17" s="362" t="n">
        <f aca="false">SUMIF(Units!D:D,"41 Great Portland Street",Units!U:U)</f>
        <v>102100</v>
      </c>
      <c r="F17" s="363" t="n">
        <f aca="false">'Bank Schedule'!AA152</f>
        <v>1375000</v>
      </c>
    </row>
    <row r="18" customFormat="false" ht="15" hidden="false" customHeight="false" outlineLevel="0" collapsed="false">
      <c r="A18" s="0" t="s">
        <v>242</v>
      </c>
      <c r="B18" s="361" t="n">
        <f aca="false">SUMIF(Units!D:D,"42-48 Great Portland Street",Units!G:G)</f>
        <v>11298</v>
      </c>
      <c r="C18" s="362" t="n">
        <f aca="false">SUMIF(Units!D:D,"42-48 Great Portland Street",Units!P:P)</f>
        <v>324620</v>
      </c>
      <c r="D18" s="362" t="n">
        <f aca="false">SUMIF(Units!D:D,"42-48 Great Portland Street",Units!S:S)</f>
        <v>603000</v>
      </c>
      <c r="E18" s="362" t="n">
        <f aca="false">SUMIF(Units!D:D,"42-48 Great Portland Street",Units!U:U)</f>
        <v>670500</v>
      </c>
      <c r="F18" s="363" t="n">
        <f aca="false">'Bank Schedule'!AA163</f>
        <v>9000000</v>
      </c>
    </row>
    <row r="19" customFormat="false" ht="15" hidden="false" customHeight="false" outlineLevel="0" collapsed="false">
      <c r="A19" s="0" t="s">
        <v>247</v>
      </c>
      <c r="B19" s="361" t="n">
        <f aca="false">SUMIF(Units!D:D,"45-49 Great Portland Street",Units!G:G)</f>
        <v>6440</v>
      </c>
      <c r="C19" s="362" t="n">
        <f aca="false">SUMIF(Units!D:D,"45-49 Great Portland Street",Units!P:P)</f>
        <v>379000</v>
      </c>
      <c r="D19" s="362" t="n">
        <f aca="false">SUMIF(Units!D:D,"45-49 Great Portland Street",Units!S:S)</f>
        <v>346800</v>
      </c>
      <c r="E19" s="362" t="n">
        <f aca="false">SUMIF(Units!D:D,"45-49 Great Portland Street",Units!U:U)</f>
        <v>387800</v>
      </c>
      <c r="F19" s="363" t="n">
        <f aca="false">'Bank Schedule'!AA171</f>
        <v>5750000</v>
      </c>
    </row>
    <row r="20" customFormat="false" ht="15" hidden="false" customHeight="false" outlineLevel="0" collapsed="false">
      <c r="A20" s="0" t="s">
        <v>257</v>
      </c>
      <c r="B20" s="361" t="n">
        <f aca="false">SUMIF(Units!D:D,"50 Great Portland Street",Units!G:G)</f>
        <v>3154</v>
      </c>
      <c r="C20" s="362" t="n">
        <f aca="false">SUMIF(Units!D:D,"50 Great Portland Street",Units!P:P)</f>
        <v>128000</v>
      </c>
      <c r="D20" s="362" t="n">
        <f aca="false">SUMIF(Units!D:D,"50 Great Portland Street",Units!S:S)</f>
        <v>146600</v>
      </c>
      <c r="E20" s="362" t="n">
        <f aca="false">SUMIF(Units!D:D,"50 Great Portland Street",Units!U:U)</f>
        <v>158500</v>
      </c>
      <c r="F20" s="363" t="n">
        <f aca="false">'Bank Schedule'!AA182</f>
        <v>2225000</v>
      </c>
    </row>
    <row r="21" customFormat="false" ht="15" hidden="false" customHeight="false" outlineLevel="0" collapsed="false">
      <c r="A21" s="0" t="s">
        <v>267</v>
      </c>
      <c r="B21" s="361" t="n">
        <f aca="false">SUMIF(Units!D:D,"51 Great Portland Street",Units!G:G)</f>
        <v>1725</v>
      </c>
      <c r="C21" s="362" t="n">
        <f aca="false">SUMIF(Units!D:D,"51 Great Portland Street",Units!P:P)</f>
        <v>67069</v>
      </c>
      <c r="D21" s="362" t="n">
        <f aca="false">SUMIF(Units!D:D,"51 Great Portland Street",Units!S:S)</f>
        <v>89500</v>
      </c>
      <c r="E21" s="362" t="n">
        <f aca="false">SUMIF(Units!D:D,"51 Great Portland Street",Units!U:U)</f>
        <v>95500</v>
      </c>
      <c r="F21" s="363" t="n">
        <f aca="false">'Bank Schedule'!AA191</f>
        <v>1325000</v>
      </c>
    </row>
    <row r="22" customFormat="false" ht="15" hidden="false" customHeight="false" outlineLevel="0" collapsed="false">
      <c r="A22" s="0" t="s">
        <v>273</v>
      </c>
      <c r="B22" s="361" t="n">
        <f aca="false">SUMIF(Units!D:D,"53 Great Portland Street",Units!G:G)</f>
        <v>1883</v>
      </c>
      <c r="C22" s="362" t="n">
        <f aca="false">SUMIF(Units!D:D,"53 Great Portland Street",Units!P:P)</f>
        <v>36710</v>
      </c>
      <c r="D22" s="362" t="n">
        <f aca="false">SUMIF(Units!D:D,"53 Great Portland Street",Units!S:S)</f>
        <v>98820</v>
      </c>
      <c r="E22" s="362" t="n">
        <f aca="false">SUMIF(Units!D:D,"53 Great Portland Street",Units!U:U)</f>
        <v>112834</v>
      </c>
      <c r="F22" s="363" t="n">
        <f aca="false">'Bank Schedule'!AA201</f>
        <v>1475000</v>
      </c>
    </row>
    <row r="23" customFormat="false" ht="15" hidden="false" customHeight="false" outlineLevel="0" collapsed="false">
      <c r="A23" s="0" t="s">
        <v>281</v>
      </c>
      <c r="B23" s="361" t="n">
        <f aca="false">SUMIF(Units!D:D,"76 Great Portland Street",Units!G:G)</f>
        <v>3034</v>
      </c>
      <c r="C23" s="362" t="n">
        <f aca="false">SUMIF(Units!D:D,"76 Great Portland Street",Units!P:P)</f>
        <v>49000</v>
      </c>
      <c r="D23" s="362" t="n">
        <f aca="false">SUMIF(Units!D:D,"76 Great Portland Street",Units!S:S)</f>
        <v>135000</v>
      </c>
      <c r="E23" s="362" t="n">
        <f aca="false">SUMIF(Units!D:D,"76 Great Portland Street",Units!U:U)</f>
        <v>133000</v>
      </c>
      <c r="F23" s="363" t="n">
        <f aca="false">'Bank Schedule'!AA209</f>
        <v>1475000</v>
      </c>
    </row>
    <row r="24" customFormat="false" ht="15" hidden="false" customHeight="false" outlineLevel="0" collapsed="false">
      <c r="A24" s="0" t="s">
        <v>286</v>
      </c>
      <c r="B24" s="361" t="n">
        <f aca="false">SUMIF(Units!D:D,"1 Great Titchfield Street",Units!G:G)</f>
        <v>1305</v>
      </c>
      <c r="C24" s="362" t="n">
        <f aca="false">SUMIF(Units!D:D,"1 Great Titchfield Street",Units!P:P)</f>
        <v>0</v>
      </c>
      <c r="D24" s="362" t="n">
        <f aca="false">SUMIF(Units!D:D,"1 Great Titchfield Street",Units!S:S)</f>
        <v>90000</v>
      </c>
      <c r="E24" s="362" t="n">
        <f aca="false">SUMIF(Units!D:D,"1 Great Titchfield Street",Units!U:U)</f>
        <v>90000</v>
      </c>
      <c r="F24" s="363" t="n">
        <f aca="false">'Bank Schedule'!AA213</f>
        <v>1450000</v>
      </c>
    </row>
    <row r="25" customFormat="false" ht="15" hidden="false" customHeight="false" outlineLevel="0" collapsed="false">
      <c r="A25" s="0" t="s">
        <v>291</v>
      </c>
      <c r="B25" s="361" t="n">
        <f aca="false">SUMIF(Units!D:D,"3 Great Titchfield Street",Units!G:G)</f>
        <v>2522</v>
      </c>
      <c r="C25" s="362" t="n">
        <f aca="false">SUMIF(Units!D:D,"3 Great Titchfield Street",Units!P:P)</f>
        <v>188400</v>
      </c>
      <c r="D25" s="362" t="n">
        <f aca="false">SUMIF(Units!D:D,"3 Great Titchfield Street",Units!S:S)</f>
        <v>158968</v>
      </c>
      <c r="E25" s="362" t="n">
        <f aca="false">SUMIF(Units!D:D,"3 Great Titchfield Street",Units!U:U)</f>
        <v>188400</v>
      </c>
      <c r="F25" s="363" t="n">
        <f aca="false">'Bank Schedule'!AA221</f>
        <v>3550000</v>
      </c>
    </row>
    <row r="26" customFormat="false" ht="15" hidden="false" customHeight="false" outlineLevel="0" collapsed="false">
      <c r="A26" s="0" t="s">
        <v>297</v>
      </c>
      <c r="B26" s="361" t="n">
        <f aca="false">SUMIF(Units!D:D,"Great Titchfield House,  14-18 Great Titchfield Street",Units!G:G)</f>
        <v>13770</v>
      </c>
      <c r="C26" s="362" t="n">
        <f aca="false">SUMIF(Units!D:D,"Great Titchfield House,  14-18 Great Titchfield Street",Units!P:P)</f>
        <v>527305</v>
      </c>
      <c r="D26" s="362" t="n">
        <f aca="false">SUMIF(Units!D:D,"Great Titchfield House,  14-18 Great Titchfield Street",Units!S:S)</f>
        <v>733600</v>
      </c>
      <c r="E26" s="362" t="n">
        <f aca="false">SUMIF(Units!D:D,"Great Titchfield House,  14-18 Great Titchfield Street",Units!U:U)</f>
        <v>839725</v>
      </c>
      <c r="F26" s="363" t="n">
        <f aca="false">'Bank Schedule'!AA233</f>
        <v>11125000</v>
      </c>
    </row>
    <row r="27" customFormat="false" ht="15" hidden="false" customHeight="false" outlineLevel="0" collapsed="false">
      <c r="A27" s="0" t="s">
        <v>310</v>
      </c>
      <c r="B27" s="361" t="n">
        <f aca="false">SUMIF(Units!D:D,"Golderbrock House,  15-19 Great Titchfield Street",Units!G:G)</f>
        <v>8998</v>
      </c>
      <c r="C27" s="362" t="n">
        <f aca="false">SUMIF(Units!D:D,"Golderbrock House,  15-19 Great Titchfield Street",Units!P:P)</f>
        <v>438560</v>
      </c>
      <c r="D27" s="362" t="n">
        <f aca="false">SUMIF(Units!D:D,"Golderbrock House,  15-19 Great Titchfield Street",Units!S:S)</f>
        <v>479000</v>
      </c>
      <c r="E27" s="362" t="n">
        <f aca="false">SUMIF(Units!D:D,"Golderbrock House,  15-19 Great Titchfield Street",Units!U:U)</f>
        <v>519200</v>
      </c>
      <c r="F27" s="363" t="n">
        <f aca="false">'Bank Schedule'!AA247</f>
        <v>7475000</v>
      </c>
    </row>
    <row r="28" customFormat="false" ht="15" hidden="false" customHeight="false" outlineLevel="0" collapsed="false">
      <c r="A28" s="0" t="s">
        <v>329</v>
      </c>
      <c r="B28" s="361" t="n">
        <f aca="false">SUMIF(Units!D:D,"Circus House,  21 Great Titchfield Street",Units!G:G)</f>
        <v>16773</v>
      </c>
      <c r="C28" s="362" t="n">
        <f aca="false">SUMIF(Units!D:D,"Circus House,  21 Great Titchfield Street",Units!P:P)</f>
        <v>811341</v>
      </c>
      <c r="D28" s="362" t="n">
        <f aca="false">SUMIF(Units!D:D,"Circus House,  21 Great Titchfield Street",Units!S:S)</f>
        <v>948800</v>
      </c>
      <c r="E28" s="362" t="n">
        <f aca="false">SUMIF(Units!D:D,"Circus House,  21 Great Titchfield Street",Units!U:U)</f>
        <v>960100</v>
      </c>
      <c r="F28" s="363" t="n">
        <f aca="false">'Bank Schedule'!AA258</f>
        <v>14625000</v>
      </c>
    </row>
    <row r="29" customFormat="false" ht="15" hidden="false" customHeight="false" outlineLevel="0" collapsed="false">
      <c r="A29" s="0" t="s">
        <v>344</v>
      </c>
      <c r="B29" s="361" t="n">
        <f aca="false">SUMIF(Units!D:D,"Moray House, 23-35 Great Titchfield Street &amp; 63-65 Mortimer Street",Units!G:G)</f>
        <v>34064</v>
      </c>
      <c r="C29" s="362" t="n">
        <f aca="false">SUMIF(Units!D:D,"Moray House, 23-35 Great Titchfield Street &amp; 63-65 Mortimer Street",Units!P:P)</f>
        <v>1789201</v>
      </c>
      <c r="D29" s="362" t="n">
        <f aca="false">SUMIF(Units!D:D,"Moray House, 23-35 Great Titchfield Street &amp; 63-65 Mortimer Street",Units!S:S)</f>
        <v>1934246</v>
      </c>
      <c r="E29" s="362" t="n">
        <f aca="false">SUMIF(Units!D:D,"Moray House, 23-35 Great Titchfield Street &amp; 63-65 Mortimer Street",Units!U:U)</f>
        <v>2140116</v>
      </c>
      <c r="F29" s="363" t="n">
        <f aca="false">'Bank Schedule'!AA277</f>
        <v>35150000</v>
      </c>
    </row>
    <row r="30" customFormat="false" ht="15" hidden="false" customHeight="false" outlineLevel="0" collapsed="false">
      <c r="A30" s="0" t="s">
        <v>382</v>
      </c>
      <c r="B30" s="361" t="n">
        <f aca="false">SUMIF(Units!D:D,"56 Great Titchfield Street",Units!G:G)</f>
        <v>2692</v>
      </c>
      <c r="C30" s="362" t="n">
        <f aca="false">SUMIF(Units!D:D,"56 Great Titchfield Street",Units!P:P)</f>
        <v>104500</v>
      </c>
      <c r="D30" s="362" t="n">
        <f aca="false">SUMIF(Units!D:D,"56 Great Titchfield Street",Units!S:S)</f>
        <v>94400</v>
      </c>
      <c r="E30" s="362" t="n">
        <f aca="false">SUMIF(Units!D:D,"56 Great Titchfield Street",Units!U:U)</f>
        <v>94400</v>
      </c>
      <c r="F30" s="363" t="n">
        <f aca="false">'Bank Schedule'!AA281</f>
        <v>1375000</v>
      </c>
    </row>
    <row r="31" customFormat="false" ht="15" hidden="false" customHeight="false" outlineLevel="0" collapsed="false">
      <c r="A31" s="0" t="s">
        <v>385</v>
      </c>
      <c r="B31" s="361" t="n">
        <f aca="false">SUMIF(Units!D:D,"58 Great Titchfield Street",Units!G:G)</f>
        <v>2291</v>
      </c>
      <c r="C31" s="362" t="n">
        <f aca="false">SUMIF(Units!D:D,"58 Great Titchfield Street",Units!P:P)</f>
        <v>112000</v>
      </c>
      <c r="D31" s="362" t="n">
        <f aca="false">SUMIF(Units!D:D,"58 Great Titchfield Street",Units!S:S)</f>
        <v>99800</v>
      </c>
      <c r="E31" s="362" t="n">
        <f aca="false">SUMIF(Units!D:D,"58 Great Titchfield Street",Units!U:U)</f>
        <v>99800</v>
      </c>
      <c r="F31" s="363" t="n">
        <f aca="false">'Bank Schedule'!AA288</f>
        <v>1525000</v>
      </c>
    </row>
    <row r="32" customFormat="false" ht="15" hidden="false" customHeight="false" outlineLevel="0" collapsed="false">
      <c r="A32" s="0" t="s">
        <v>388</v>
      </c>
      <c r="B32" s="361" t="n">
        <f aca="false">SUMIF(Units!D:D,"12 Hallam Street (The Hallam Hotel)",Units!G:G)</f>
        <v>4284</v>
      </c>
      <c r="C32" s="362" t="n">
        <f aca="false">SUMIF(Units!D:D,"12 Hallam Street (The Hallam Hotel)",Units!P:P)</f>
        <v>0</v>
      </c>
      <c r="D32" s="362" t="n">
        <f aca="false">SUMIF(Units!D:D,"12 Hallam Street (The Hallam Hotel)",Units!S:S)</f>
        <v>0</v>
      </c>
      <c r="E32" s="362" t="n">
        <f aca="false">SUMIF(Units!D:D,"12 Hallam Street (The Hallam Hotel)",Units!U:U)</f>
        <v>0</v>
      </c>
      <c r="F32" s="363" t="n">
        <f aca="false">'Bank Schedule'!AA292</f>
        <v>1500000</v>
      </c>
    </row>
    <row r="33" customFormat="false" ht="15" hidden="false" customHeight="false" outlineLevel="0" collapsed="false">
      <c r="A33" s="0" t="s">
        <v>392</v>
      </c>
      <c r="B33" s="361" t="n">
        <f aca="false">SUMIF(Units!D:D,"16-20 Hallam Street  (Astor Court Hotel)",Units!G:G)</f>
        <v>23500</v>
      </c>
      <c r="C33" s="362" t="n">
        <f aca="false">SUMIF(Units!D:D,"16-20 Hallam Street  (Astor Court Hotel)",Units!P:P)</f>
        <v>660000</v>
      </c>
      <c r="D33" s="362" t="n">
        <f aca="false">SUMIF(Units!D:D,"16-20 Hallam Street  (Astor Court Hotel)",Units!S:S)</f>
        <v>0</v>
      </c>
      <c r="E33" s="362" t="n">
        <f aca="false">SUMIF(Units!D:D,"16-20 Hallam Street  (Astor Court Hotel)",Units!U:U)</f>
        <v>0</v>
      </c>
      <c r="F33" s="363" t="n">
        <f aca="false">'Bank Schedule'!AA297</f>
        <v>17100000</v>
      </c>
    </row>
    <row r="34" customFormat="false" ht="15" hidden="false" customHeight="false" outlineLevel="0" collapsed="false">
      <c r="A34" s="0" t="s">
        <v>396</v>
      </c>
      <c r="B34" s="361" t="n">
        <f aca="false">SUMIF(Units!D:D,"Flat 1, 2 Little Portland Street",Units!G:G)</f>
        <v>420</v>
      </c>
      <c r="C34" s="362" t="n">
        <f aca="false">SUMIF(Units!D:D,"Flat 1, 2 Little Portland Street",Units!P:P)</f>
        <v>25220</v>
      </c>
      <c r="D34" s="362" t="n">
        <f aca="false">SUMIF(Units!D:D,"Flat 1, 2 Little Portland Street",Units!S:S)</f>
        <v>27000</v>
      </c>
      <c r="E34" s="362" t="n">
        <f aca="false">SUMIF(Units!D:D,"Flat 1, 2 Little Portland Street",Units!U:U)</f>
        <v>25220</v>
      </c>
      <c r="F34" s="363" t="n">
        <f aca="false">'Bank Schedule'!AA301</f>
        <v>575000</v>
      </c>
    </row>
    <row r="35" customFormat="false" ht="15" hidden="false" customHeight="false" outlineLevel="0" collapsed="false">
      <c r="A35" s="0" t="s">
        <v>400</v>
      </c>
      <c r="B35" s="361" t="n">
        <f aca="false">SUMIF(Units!D:D,"3/4/4a Little Portland Street",Units!G:G)</f>
        <v>13648</v>
      </c>
      <c r="C35" s="362" t="n">
        <f aca="false">SUMIF(Units!D:D,"3/4/4a Little Portland Street",Units!P:P)</f>
        <v>708415</v>
      </c>
      <c r="D35" s="362" t="n">
        <f aca="false">SUMIF(Units!D:D,"3/4/4a Little Portland Street",Units!S:S)</f>
        <v>783320</v>
      </c>
      <c r="E35" s="362" t="n">
        <f aca="false">SUMIF(Units!D:D,"3/4/4a Little Portland Street",Units!U:U)</f>
        <v>780740</v>
      </c>
      <c r="F35" s="363" t="n">
        <f aca="false">'Bank Schedule'!AA318</f>
        <v>11175000</v>
      </c>
    </row>
    <row r="36" customFormat="false" ht="15" hidden="false" customHeight="false" outlineLevel="0" collapsed="false">
      <c r="A36" s="0" t="s">
        <v>422</v>
      </c>
      <c r="B36" s="361" t="n">
        <f aca="false">SUMIF(Units!D:D,"5 Little Portland Street",Units!G:G)</f>
        <v>4706</v>
      </c>
      <c r="C36" s="362" t="n">
        <f aca="false">SUMIF(Units!D:D,"5 Little Portland Street",Units!P:P)</f>
        <v>183700</v>
      </c>
      <c r="D36" s="362" t="n">
        <f aca="false">SUMIF(Units!D:D,"5 Little Portland Street",Units!S:S)</f>
        <v>187100</v>
      </c>
      <c r="E36" s="362" t="n">
        <f aca="false">SUMIF(Units!D:D,"5 Little Portland Street",Units!U:U)</f>
        <v>198000</v>
      </c>
      <c r="F36" s="363" t="n">
        <f aca="false">'Bank Schedule'!AA325</f>
        <v>3150000</v>
      </c>
    </row>
    <row r="37" customFormat="false" ht="15" hidden="false" customHeight="false" outlineLevel="0" collapsed="false">
      <c r="A37" s="0" t="s">
        <v>429</v>
      </c>
      <c r="B37" s="361" t="n">
        <f aca="false">SUMIF(Units!D:D,"Alexandra House, 6 Little Portland Street",Units!G:G)</f>
        <v>14851</v>
      </c>
      <c r="C37" s="362" t="n">
        <f aca="false">SUMIF(Units!D:D,"Alexandra House, 6 Little Portland Street",Units!P:P)</f>
        <v>743565</v>
      </c>
      <c r="D37" s="362" t="n">
        <f aca="false">SUMIF(Units!D:D,"Alexandra House, 6 Little Portland Street",Units!S:S)</f>
        <v>719600</v>
      </c>
      <c r="E37" s="362" t="n">
        <f aca="false">SUMIF(Units!D:D,"Alexandra House, 6 Little Portland Street",Units!U:U)</f>
        <v>741800</v>
      </c>
      <c r="F37" s="363" t="n">
        <f aca="false">'Bank Schedule'!AA332</f>
        <v>11050000</v>
      </c>
    </row>
    <row r="38" customFormat="false" ht="15" hidden="false" customHeight="false" outlineLevel="0" collapsed="false">
      <c r="A38" s="0" t="s">
        <v>435</v>
      </c>
      <c r="B38" s="361" t="n">
        <f aca="false">SUMIF(Units!D:D,"9 Little Portland Street",Units!G:G)</f>
        <v>1986</v>
      </c>
      <c r="C38" s="362" t="n">
        <f aca="false">SUMIF(Units!D:D,"9 Little Portland Street",Units!P:P)</f>
        <v>66060</v>
      </c>
      <c r="D38" s="362" t="n">
        <f aca="false">SUMIF(Units!D:D,"9 Little Portland Street",Units!S:S)</f>
        <v>109900</v>
      </c>
      <c r="E38" s="362" t="n">
        <f aca="false">SUMIF(Units!D:D,"9 Little Portland Street",Units!U:U)</f>
        <v>113200</v>
      </c>
      <c r="F38" s="363" t="n">
        <f aca="false">'Bank Schedule'!AA341</f>
        <v>1450000</v>
      </c>
    </row>
    <row r="39" customFormat="false" ht="15" hidden="false" customHeight="false" outlineLevel="0" collapsed="false">
      <c r="A39" s="0" t="s">
        <v>442</v>
      </c>
      <c r="B39" s="361" t="n">
        <f aca="false">SUMIF(Units!D:D,"21 Little Portland Street",Units!G:G)</f>
        <v>6542</v>
      </c>
      <c r="C39" s="362" t="n">
        <f aca="false">SUMIF(Units!D:D,"21 Little Portland Street",Units!P:P)</f>
        <v>258773</v>
      </c>
      <c r="D39" s="362" t="n">
        <f aca="false">SUMIF(Units!D:D,"21 Little Portland Street",Units!S:S)</f>
        <v>331500</v>
      </c>
      <c r="E39" s="362" t="n">
        <f aca="false">SUMIF(Units!D:D,"21 Little Portland Street",Units!U:U)</f>
        <v>375300</v>
      </c>
      <c r="F39" s="363" t="n">
        <f aca="false">'Bank Schedule'!AA352</f>
        <v>5400000</v>
      </c>
    </row>
    <row r="40" customFormat="false" ht="15" hidden="false" customHeight="false" outlineLevel="0" collapsed="false">
      <c r="A40" s="0" t="s">
        <v>449</v>
      </c>
      <c r="B40" s="361" t="n">
        <f aca="false">SUMIF(Units!D:D,"22 Little Portland Street (formerly 22-23 LPS)",Units!G:G)</f>
        <v>0</v>
      </c>
      <c r="C40" s="362" t="n">
        <f aca="false">SUMIF(Units!D:D,"22 Little Portland Street (formerly 22-23 LPS)",Units!P:P)</f>
        <v>0</v>
      </c>
      <c r="D40" s="362" t="n">
        <f aca="false">SUMIF(Units!D:D,"22 Little Portland Street (formerly 22-23 LPS)",Units!S:S)</f>
        <v>0</v>
      </c>
      <c r="E40" s="362" t="n">
        <f aca="false">SUMIF(Units!D:D,"22 Little Portland Street (formerly 22-23 LPS)",Units!U:U)</f>
        <v>0</v>
      </c>
    </row>
    <row r="41" customFormat="false" ht="15" hidden="false" customHeight="false" outlineLevel="0" collapsed="false">
      <c r="A41" s="0" t="s">
        <v>454</v>
      </c>
      <c r="B41" s="361" t="n">
        <f aca="false">SUMIF(Units!D:D,"9 Margaret Street",Units!G:G)</f>
        <v>4969</v>
      </c>
      <c r="C41" s="362" t="n">
        <f aca="false">SUMIF(Units!D:D,"9 Margaret Street",Units!P:P)</f>
        <v>315000</v>
      </c>
      <c r="D41" s="362" t="n">
        <f aca="false">SUMIF(Units!D:D,"9 Margaret Street",Units!S:S)</f>
        <v>266600</v>
      </c>
      <c r="E41" s="362" t="n">
        <f aca="false">SUMIF(Units!D:D,"9 Margaret Street",Units!U:U)</f>
        <v>324500</v>
      </c>
      <c r="F41" s="363" t="n">
        <f aca="false">'Bank Schedule'!AA360</f>
        <v>5400000</v>
      </c>
    </row>
    <row r="42" customFormat="false" ht="15" hidden="false" customHeight="false" outlineLevel="0" collapsed="false">
      <c r="A42" s="0" t="s">
        <v>457</v>
      </c>
      <c r="B42" s="361" t="n">
        <f aca="false">SUMIF(Units!D:D,"London House, 9a Margaret Street",Units!G:G)</f>
        <v>8311</v>
      </c>
      <c r="C42" s="362" t="n">
        <f aca="false">SUMIF(Units!D:D,"London House, 9a Margaret Street",Units!P:P)</f>
        <v>397150</v>
      </c>
      <c r="D42" s="362" t="n">
        <f aca="false">SUMIF(Units!D:D,"London House, 9a Margaret Street",Units!S:S)</f>
        <v>409300</v>
      </c>
      <c r="E42" s="362" t="n">
        <f aca="false">SUMIF(Units!D:D,"London House, 9a Margaret Street",Units!U:U)</f>
        <v>440100</v>
      </c>
      <c r="F42" s="363" t="n">
        <f aca="false">'Bank Schedule'!AA374</f>
        <v>5400000</v>
      </c>
    </row>
    <row r="43" customFormat="false" ht="15" hidden="false" customHeight="false" outlineLevel="0" collapsed="false">
      <c r="A43" s="0" t="s">
        <v>463</v>
      </c>
      <c r="B43" s="361" t="n">
        <f aca="false">SUMIF(Units!D:D,"10 Margaret Street",Units!G:G)</f>
        <v>8445</v>
      </c>
      <c r="C43" s="362" t="n">
        <f aca="false">SUMIF(Units!D:D,"10 Margaret Street",Units!P:P)</f>
        <v>451600</v>
      </c>
      <c r="D43" s="362" t="n">
        <f aca="false">SUMIF(Units!D:D,"10 Margaret Street",Units!S:S)</f>
        <v>451600</v>
      </c>
      <c r="E43" s="362" t="n">
        <f aca="false">SUMIF(Units!D:D,"10 Margaret Street",Units!U:U)</f>
        <v>496400</v>
      </c>
      <c r="F43" s="363" t="n">
        <f aca="false">'Bank Schedule'!AA381</f>
        <v>7275000</v>
      </c>
    </row>
    <row r="44" customFormat="false" ht="15" hidden="false" customHeight="false" outlineLevel="0" collapsed="false">
      <c r="A44" s="0" t="s">
        <v>467</v>
      </c>
      <c r="B44" s="361" t="n">
        <f aca="false">SUMIF(Units!D:D,"Audley House,  12 Margaret Street",Units!G:G)</f>
        <v>6563</v>
      </c>
      <c r="C44" s="362" t="n">
        <f aca="false">SUMIF(Units!D:D,"Audley House,  12 Margaret Street",Units!P:P)</f>
        <v>350000</v>
      </c>
      <c r="D44" s="362" t="n">
        <f aca="false">SUMIF(Units!D:D,"Audley House,  12 Margaret Street",Units!S:S)</f>
        <v>350000</v>
      </c>
      <c r="E44" s="362" t="n">
        <f aca="false">SUMIF(Units!D:D,"Audley House,  12 Margaret Street",Units!U:U)</f>
        <v>372700</v>
      </c>
      <c r="F44" s="363" t="n">
        <f aca="false">'Bank Schedule'!AA385</f>
        <v>6300000</v>
      </c>
    </row>
    <row r="45" customFormat="false" ht="15" hidden="false" customHeight="false" outlineLevel="0" collapsed="false">
      <c r="A45" s="0" t="s">
        <v>470</v>
      </c>
      <c r="B45" s="361" t="n">
        <f aca="false">SUMIF(Units!D:D,"13-14 Margaret Street",Units!G:G)</f>
        <v>17804</v>
      </c>
      <c r="C45" s="362" t="n">
        <f aca="false">SUMIF(Units!D:D,"13-14 Margaret Street",Units!P:P)</f>
        <v>1030975</v>
      </c>
      <c r="D45" s="362" t="n">
        <f aca="false">SUMIF(Units!D:D,"13-14 Margaret Street",Units!S:S)</f>
        <v>1022600</v>
      </c>
      <c r="E45" s="362" t="n">
        <f aca="false">SUMIF(Units!D:D,"13-14 Margaret Street",Units!U:U)</f>
        <v>1046488</v>
      </c>
      <c r="F45" s="363" t="n">
        <f aca="false">'Bank Schedule'!AA397</f>
        <v>14675000</v>
      </c>
    </row>
    <row r="46" customFormat="false" ht="15" hidden="false" customHeight="false" outlineLevel="0" collapsed="false">
      <c r="A46" s="0" t="s">
        <v>474</v>
      </c>
      <c r="B46" s="361" t="n">
        <f aca="false">SUMIF(Units!D:D,"15-16 Margaret Street",Units!G:G)</f>
        <v>9999</v>
      </c>
      <c r="C46" s="362" t="n">
        <f aca="false">SUMIF(Units!D:D,"15-16 Margaret Street",Units!P:P)</f>
        <v>205700</v>
      </c>
      <c r="D46" s="362" t="n">
        <f aca="false">SUMIF(Units!D:D,"15-16 Margaret Street",Units!S:S)</f>
        <v>493000</v>
      </c>
      <c r="E46" s="362" t="n">
        <f aca="false">SUMIF(Units!D:D,"15-16 Margaret Street",Units!U:U)</f>
        <v>553800</v>
      </c>
      <c r="F46" s="363" t="n">
        <f aca="false">'Bank Schedule'!AA409</f>
        <v>7750000</v>
      </c>
    </row>
    <row r="47" customFormat="false" ht="15" hidden="false" customHeight="false" outlineLevel="0" collapsed="false">
      <c r="A47" s="0" t="s">
        <v>482</v>
      </c>
      <c r="B47" s="361" t="n">
        <f aca="false">SUMIF(Units!D:D,"17-18 Margaret Street",Units!G:G)</f>
        <v>12996</v>
      </c>
      <c r="C47" s="362" t="n">
        <f aca="false">SUMIF(Units!D:D,"17-18 Margaret Street",Units!P:P)</f>
        <v>578943</v>
      </c>
      <c r="D47" s="362" t="n">
        <f aca="false">SUMIF(Units!D:D,"17-18 Margaret Street",Units!S:S)</f>
        <v>653710</v>
      </c>
      <c r="E47" s="362" t="n">
        <f aca="false">SUMIF(Units!D:D,"17-18 Margaret Street",Units!U:U)</f>
        <v>671500</v>
      </c>
      <c r="F47" s="363" t="n">
        <f aca="false">'Bank Schedule'!AA425</f>
        <v>9900000</v>
      </c>
    </row>
    <row r="48" customFormat="false" ht="15" hidden="false" customHeight="false" outlineLevel="0" collapsed="false">
      <c r="A48" s="0" t="s">
        <v>498</v>
      </c>
      <c r="B48" s="361" t="n">
        <f aca="false">SUMIF(Units!D:D,"19 Margaret Street",Units!G:G)</f>
        <v>6681</v>
      </c>
      <c r="C48" s="362" t="n">
        <f aca="false">SUMIF(Units!D:D,"19 Margaret Street",Units!P:P)</f>
        <v>253710</v>
      </c>
      <c r="D48" s="362" t="n">
        <f aca="false">SUMIF(Units!D:D,"19 Margaret Street",Units!S:S)</f>
        <v>337900</v>
      </c>
      <c r="E48" s="362" t="n">
        <f aca="false">SUMIF(Units!D:D,"19 Margaret Street",Units!U:U)</f>
        <v>390200</v>
      </c>
      <c r="F48" s="363" t="n">
        <f aca="false">'Bank Schedule'!AA436</f>
        <v>5725000</v>
      </c>
    </row>
    <row r="49" customFormat="false" ht="15" hidden="false" customHeight="false" outlineLevel="0" collapsed="false">
      <c r="A49" s="0" t="s">
        <v>503</v>
      </c>
      <c r="B49" s="361" t="n">
        <f aca="false">SUMIF(Units!D:D,"20 Margaret Street",Units!G:G)</f>
        <v>5898</v>
      </c>
      <c r="C49" s="362" t="n">
        <f aca="false">SUMIF(Units!D:D,"20 Margaret Street",Units!P:P)</f>
        <v>181940</v>
      </c>
      <c r="D49" s="362" t="n">
        <f aca="false">SUMIF(Units!D:D,"20 Margaret Street",Units!S:S)</f>
        <v>302200</v>
      </c>
      <c r="E49" s="362" t="n">
        <f aca="false">SUMIF(Units!D:D,"20 Margaret Street",Units!U:U)</f>
        <v>319450</v>
      </c>
      <c r="F49" s="363" t="n">
        <f aca="false">'Bank Schedule'!AA447</f>
        <v>4150000</v>
      </c>
    </row>
    <row r="50" customFormat="false" ht="15" hidden="false" customHeight="false" outlineLevel="0" collapsed="false">
      <c r="A50" s="0" t="s">
        <v>509</v>
      </c>
      <c r="B50" s="361" t="n">
        <f aca="false">SUMIF(Units!D:D,"25 Margaret Street",Units!G:G)</f>
        <v>2128</v>
      </c>
      <c r="C50" s="362" t="n">
        <f aca="false">SUMIF(Units!D:D,"25 Margaret Street",Units!P:P)</f>
        <v>124477</v>
      </c>
      <c r="D50" s="362" t="n">
        <f aca="false">SUMIF(Units!D:D,"25 Margaret Street",Units!S:S)</f>
        <v>118292</v>
      </c>
      <c r="E50" s="362" t="n">
        <f aca="false">SUMIF(Units!D:D,"25 Margaret Street",Units!U:U)</f>
        <v>129045</v>
      </c>
      <c r="F50" s="363" t="n">
        <f aca="false">'Bank Schedule'!AA459</f>
        <v>2200000</v>
      </c>
    </row>
    <row r="51" customFormat="false" ht="15" hidden="false" customHeight="false" outlineLevel="0" collapsed="false">
      <c r="A51" s="0" t="s">
        <v>524</v>
      </c>
      <c r="B51" s="361" t="n">
        <f aca="false">SUMIF(Units!D:D,"47,48 &amp; 50 Margaret Street",Units!G:G)</f>
        <v>18782</v>
      </c>
      <c r="C51" s="362" t="n">
        <f aca="false">SUMIF(Units!D:D,"47,48 &amp; 50 Margaret Street",Units!P:P)</f>
        <v>696630</v>
      </c>
      <c r="D51" s="362" t="n">
        <f aca="false">SUMIF(Units!D:D,"47,48 &amp; 50 Margaret Street",Units!S:S)</f>
        <v>1075700</v>
      </c>
      <c r="E51" s="362" t="n">
        <f aca="false">SUMIF(Units!D:D,"47,48 &amp; 50 Margaret Street",Units!U:U)</f>
        <v>1054700</v>
      </c>
      <c r="F51" s="363" t="n">
        <f aca="false">'Bank Schedule'!AA476</f>
        <v>16325000</v>
      </c>
    </row>
    <row r="52" customFormat="false" ht="15" hidden="false" customHeight="false" outlineLevel="0" collapsed="false">
      <c r="A52" s="0" t="s">
        <v>548</v>
      </c>
      <c r="B52" s="361" t="n">
        <f aca="false">SUMIF(Units!D:D,"51-53 Margaret Street",Units!G:G)</f>
        <v>7491</v>
      </c>
      <c r="C52" s="362" t="n">
        <f aca="false">SUMIF(Units!D:D,"51-53 Margaret Street",Units!P:P)</f>
        <v>212195</v>
      </c>
      <c r="D52" s="362" t="n">
        <f aca="false">SUMIF(Units!D:D,"51-53 Margaret Street",Units!S:S)</f>
        <v>422965</v>
      </c>
      <c r="E52" s="362" t="n">
        <f aca="false">SUMIF(Units!D:D,"51-53 Margaret Street",Units!U:U)</f>
        <v>442963</v>
      </c>
      <c r="F52" s="363" t="n">
        <f aca="false">'Bank Schedule'!AA493</f>
        <v>6275000</v>
      </c>
    </row>
    <row r="53" customFormat="false" ht="15" hidden="false" customHeight="false" outlineLevel="0" collapsed="false">
      <c r="A53" s="0" t="s">
        <v>563</v>
      </c>
      <c r="B53" s="361" t="n">
        <f aca="false">SUMIF(Units!D:D,"63-64 Margaret Street",Units!G:G)</f>
        <v>11505</v>
      </c>
      <c r="C53" s="362" t="n">
        <f aca="false">SUMIF(Units!D:D,"63-64 Margaret Street",Units!P:P)</f>
        <v>351590</v>
      </c>
      <c r="D53" s="362" t="n">
        <f aca="false">SUMIF(Units!D:D,"63-64 Margaret Street",Units!S:S)</f>
        <v>542000</v>
      </c>
      <c r="E53" s="362" t="n">
        <f aca="false">SUMIF(Units!D:D,"63-64 Margaret Street",Units!U:U)</f>
        <v>642260</v>
      </c>
      <c r="F53" s="363" t="n">
        <f aca="false">'Bank Schedule'!AA512</f>
        <v>8050000</v>
      </c>
    </row>
    <row r="54" customFormat="false" ht="15" hidden="false" customHeight="false" outlineLevel="0" collapsed="false">
      <c r="A54" s="0" t="s">
        <v>579</v>
      </c>
      <c r="B54" s="361" t="n">
        <f aca="false">SUMIF(Units!D:D,"65 Margaret Street",Units!G:G)</f>
        <v>2715</v>
      </c>
      <c r="C54" s="362" t="n">
        <f aca="false">SUMIF(Units!D:D,"65 Margaret Street",Units!P:P)</f>
        <v>124150</v>
      </c>
      <c r="D54" s="362" t="n">
        <f aca="false">SUMIF(Units!D:D,"65 Margaret Street",Units!S:S)</f>
        <v>141150</v>
      </c>
      <c r="E54" s="362" t="n">
        <f aca="false">SUMIF(Units!D:D,"65 Margaret Street",Units!U:U)</f>
        <v>149650</v>
      </c>
      <c r="F54" s="363" t="n">
        <f aca="false">'Bank Schedule'!AA523</f>
        <v>2100000</v>
      </c>
    </row>
    <row r="55" customFormat="false" ht="15" hidden="false" customHeight="false" outlineLevel="0" collapsed="false">
      <c r="A55" s="0" t="s">
        <v>587</v>
      </c>
      <c r="B55" s="361" t="n">
        <f aca="false">SUMIF(Units!D:D,"75-77 Margaret Street",Units!G:G)</f>
        <v>24539</v>
      </c>
      <c r="C55" s="362" t="n">
        <f aca="false">SUMIF(Units!D:D,"75-77 Margaret Street",Units!P:P)</f>
        <v>765755</v>
      </c>
      <c r="D55" s="362" t="n">
        <f aca="false">SUMIF(Units!D:D,"75-77 Margaret Street",Units!S:S)</f>
        <v>1179600</v>
      </c>
      <c r="E55" s="362" t="n">
        <f aca="false">SUMIF(Units!D:D,"75-77 Margaret Street",Units!U:U)</f>
        <v>1290475</v>
      </c>
      <c r="F55" s="363" t="n">
        <f aca="false">'Bank Schedule'!AA537</f>
        <v>16875000</v>
      </c>
    </row>
    <row r="56" customFormat="false" ht="15" hidden="false" customHeight="false" outlineLevel="0" collapsed="false">
      <c r="A56" s="0" t="s">
        <v>599</v>
      </c>
      <c r="B56" s="361" t="n">
        <f aca="false">SUMIF(Units!D:D,"Sackville House - 78 Margaret Street",Units!G:G)</f>
        <v>3908</v>
      </c>
      <c r="C56" s="362" t="n">
        <f aca="false">SUMIF(Units!D:D,"Sackville House - 78 Margaret Street",Units!P:P)</f>
        <v>0</v>
      </c>
      <c r="D56" s="362" t="n">
        <f aca="false">SUMIF(Units!D:D,"Sackville House - 78 Margaret Street",Units!S:S)</f>
        <v>175400</v>
      </c>
      <c r="E56" s="362" t="n">
        <f aca="false">SUMIF(Units!D:D,"Sackville House - 78 Margaret Street",Units!U:U)</f>
        <v>194900</v>
      </c>
      <c r="F56" s="363" t="n">
        <f aca="false">'Bank Schedule'!AA546</f>
        <v>2075000</v>
      </c>
    </row>
    <row r="57" customFormat="false" ht="15" hidden="false" customHeight="false" outlineLevel="0" collapsed="false">
      <c r="A57" s="0" t="s">
        <v>602</v>
      </c>
      <c r="B57" s="361" t="n">
        <f aca="false">SUMIF(Units!D:D,"Kenilworth House - 79-80 Margaret Street",Units!G:G)</f>
        <v>13448</v>
      </c>
      <c r="C57" s="362" t="n">
        <f aca="false">SUMIF(Units!D:D,"Kenilworth House - 79-80 Margaret Street",Units!P:P)</f>
        <v>144387</v>
      </c>
      <c r="D57" s="362" t="n">
        <f aca="false">SUMIF(Units!D:D,"Kenilworth House - 79-80 Margaret Street",Units!S:S)</f>
        <v>731300</v>
      </c>
      <c r="E57" s="362" t="n">
        <f aca="false">SUMIF(Units!D:D,"Kenilworth House - 79-80 Margaret Street",Units!U:U)</f>
        <v>773600</v>
      </c>
      <c r="F57" s="363" t="n">
        <f aca="false">'Bank Schedule'!AA564</f>
        <v>8875000</v>
      </c>
    </row>
    <row r="58" customFormat="false" ht="15" hidden="false" customHeight="false" outlineLevel="0" collapsed="false">
      <c r="A58" s="0" t="s">
        <v>611</v>
      </c>
      <c r="B58" s="361" t="n">
        <f aca="false">SUMIF(Units!D:D,"4 Market Place",Units!G:G)</f>
        <v>2234</v>
      </c>
      <c r="C58" s="362" t="n">
        <f aca="false">SUMIF(Units!D:D,"4 Market Place",Units!P:P)</f>
        <v>167500</v>
      </c>
      <c r="D58" s="362" t="n">
        <f aca="false">SUMIF(Units!D:D,"4 Market Place",Units!S:S)</f>
        <v>159800</v>
      </c>
      <c r="E58" s="362" t="n">
        <f aca="false">SUMIF(Units!D:D,"4 Market Place",Units!U:U)</f>
        <v>168800</v>
      </c>
      <c r="F58" s="363" t="n">
        <f aca="false">'Bank Schedule'!AA571</f>
        <v>3000000</v>
      </c>
    </row>
    <row r="59" customFormat="false" ht="15" hidden="false" customHeight="false" outlineLevel="0" collapsed="false">
      <c r="A59" s="0" t="s">
        <v>616</v>
      </c>
      <c r="B59" s="361" t="n">
        <f aca="false">SUMIF(Units!D:D,"11-13 Market Place",Units!G:G)</f>
        <v>6979</v>
      </c>
      <c r="C59" s="362" t="n">
        <f aca="false">SUMIF(Units!D:D,"11-13 Market Place",Units!P:P)</f>
        <v>420000</v>
      </c>
      <c r="D59" s="362" t="n">
        <f aca="false">SUMIF(Units!D:D,"11-13 Market Place",Units!S:S)</f>
        <v>364600</v>
      </c>
      <c r="E59" s="362" t="n">
        <f aca="false">SUMIF(Units!D:D,"11-13 Market Place",Units!U:U)</f>
        <v>420000</v>
      </c>
      <c r="F59" s="363" t="n">
        <f aca="false">'Bank Schedule'!AA575</f>
        <v>7550000</v>
      </c>
    </row>
    <row r="60" customFormat="false" ht="15" hidden="false" customHeight="false" outlineLevel="0" collapsed="false">
      <c r="A60" s="0" t="s">
        <v>620</v>
      </c>
      <c r="B60" s="361" t="n">
        <f aca="false">SUMIF(Units!D:D,"Radiant House, 34-38 Mortimer Street &amp; 3-4 Bywell Place",Units!G:G)</f>
        <v>16021</v>
      </c>
      <c r="C60" s="362" t="n">
        <f aca="false">SUMIF(Units!D:D,"Radiant House, 34-38 Mortimer Street &amp; 3-4 Bywell Place",Units!P:P)</f>
        <v>394110</v>
      </c>
      <c r="D60" s="362" t="n">
        <f aca="false">SUMIF(Units!D:D,"Radiant House, 34-38 Mortimer Street &amp; 3-4 Bywell Place",Units!S:S)</f>
        <v>708400</v>
      </c>
      <c r="E60" s="362" t="n">
        <f aca="false">SUMIF(Units!D:D,"Radiant House, 34-38 Mortimer Street &amp; 3-4 Bywell Place",Units!U:U)</f>
        <v>720800</v>
      </c>
      <c r="F60" s="363" t="n">
        <f aca="false">'Bank Schedule'!AA590</f>
        <v>9375000</v>
      </c>
    </row>
    <row r="61" customFormat="false" ht="15" hidden="false" customHeight="false" outlineLevel="0" collapsed="false">
      <c r="A61" s="0" t="s">
        <v>639</v>
      </c>
      <c r="B61" s="361" t="n">
        <f aca="false">SUMIF(Units!D:D,"Gilmoora House, 57-61 Mortimer Street",Units!G:G)</f>
        <v>27535</v>
      </c>
      <c r="C61" s="362" t="n">
        <f aca="false">SUMIF(Units!D:D,"Gilmoora House, 57-61 Mortimer Street",Units!P:P)</f>
        <v>1210000</v>
      </c>
      <c r="D61" s="362" t="n">
        <f aca="false">SUMIF(Units!D:D,"Gilmoora House, 57-61 Mortimer Street",Units!S:S)</f>
        <v>1898000</v>
      </c>
      <c r="E61" s="362" t="n">
        <f aca="false">SUMIF(Units!D:D,"Gilmoora House, 57-61 Mortimer Street",Units!U:U)</f>
        <v>2237000</v>
      </c>
      <c r="F61" s="363" t="n">
        <f aca="false">'Bank Schedule'!AA597</f>
        <v>24550000</v>
      </c>
    </row>
    <row r="62" customFormat="false" ht="15" hidden="false" customHeight="false" outlineLevel="0" collapsed="false">
      <c r="A62" s="0" t="s">
        <v>647</v>
      </c>
      <c r="B62" s="361" t="n">
        <f aca="false">SUMIF(Units!D:D,"67 - 81 Mortimer Street",Units!G:G)</f>
        <v>16518</v>
      </c>
      <c r="C62" s="362" t="n">
        <f aca="false">SUMIF(Units!D:D,"67 - 81 Mortimer Street",Units!P:P)</f>
        <v>583396</v>
      </c>
      <c r="D62" s="362" t="n">
        <f aca="false">SUMIF(Units!D:D,"67 - 81 Mortimer Street",Units!S:S)</f>
        <v>839900</v>
      </c>
      <c r="E62" s="362" t="n">
        <f aca="false">SUMIF(Units!D:D,"67 - 81 Mortimer Street",Units!U:U)</f>
        <v>845300</v>
      </c>
      <c r="F62" s="363" t="n">
        <f aca="false">'Bank Schedule'!AA614</f>
        <v>12350000</v>
      </c>
    </row>
    <row r="63" customFormat="false" ht="15" hidden="false" customHeight="false" outlineLevel="0" collapsed="false">
      <c r="A63" s="0" t="s">
        <v>666</v>
      </c>
      <c r="B63" s="361" t="n">
        <f aca="false">SUMIF(Units!D:D,"93 Mortimer Street &amp; 43 Great Portland Street",Units!G:G)</f>
        <v>10112</v>
      </c>
      <c r="C63" s="362" t="n">
        <f aca="false">SUMIF(Units!D:D,"93 Mortimer Street &amp; 43 Great Portland Street",Units!P:P)</f>
        <v>550000</v>
      </c>
      <c r="D63" s="362" t="n">
        <f aca="false">SUMIF(Units!D:D,"93 Mortimer Street &amp; 43 Great Portland Street",Units!S:S)</f>
        <v>750000</v>
      </c>
      <c r="E63" s="362" t="n">
        <f aca="false">SUMIF(Units!D:D,"93 Mortimer Street &amp; 43 Great Portland Street",Units!U:U)</f>
        <v>700000</v>
      </c>
      <c r="F63" s="363" t="n">
        <f aca="false">'Bank Schedule'!AA618</f>
        <v>11850000</v>
      </c>
    </row>
    <row r="64" customFormat="false" ht="15" hidden="false" customHeight="false" outlineLevel="0" collapsed="false">
      <c r="A64" s="0" t="s">
        <v>670</v>
      </c>
      <c r="B64" s="361" t="n">
        <f aca="false">SUMIF(Units!D:D,"142-144 Oxford Street",Units!G:G)</f>
        <v>9296</v>
      </c>
      <c r="C64" s="362" t="n">
        <f aca="false">SUMIF(Units!D:D,"142-144 Oxford Street",Units!P:P)</f>
        <v>550750</v>
      </c>
      <c r="D64" s="362" t="n">
        <f aca="false">SUMIF(Units!D:D,"142-144 Oxford Street",Units!S:S)</f>
        <v>811000</v>
      </c>
      <c r="E64" s="362" t="n">
        <f aca="false">SUMIF(Units!D:D,"142-144 Oxford Street",Units!U:U)</f>
        <v>876500</v>
      </c>
      <c r="F64" s="363" t="n">
        <f aca="false">'Bank Schedule'!AA627</f>
        <v>16300000</v>
      </c>
    </row>
    <row r="65" customFormat="false" ht="15" hidden="false" customHeight="false" outlineLevel="0" collapsed="false">
      <c r="A65" s="0" t="s">
        <v>679</v>
      </c>
      <c r="B65" s="361" t="n">
        <f aca="false">SUMIF(Units!D:D,"146/148 Oxford Street",Units!G:G)</f>
        <v>6312</v>
      </c>
      <c r="C65" s="362" t="n">
        <f aca="false">SUMIF(Units!D:D,"146/148 Oxford Street",Units!P:P)</f>
        <v>260000</v>
      </c>
      <c r="D65" s="362" t="n">
        <f aca="false">SUMIF(Units!D:D,"146/148 Oxford Street",Units!S:S)</f>
        <v>637500</v>
      </c>
      <c r="E65" s="362" t="n">
        <f aca="false">SUMIF(Units!D:D,"146/148 Oxford Street",Units!U:U)</f>
        <v>776800</v>
      </c>
      <c r="F65" s="363" t="n">
        <f aca="false">'Bank Schedule'!AA635</f>
        <v>12300000</v>
      </c>
    </row>
    <row r="66" customFormat="false" ht="15" hidden="false" customHeight="false" outlineLevel="0" collapsed="false">
      <c r="A66" s="0" t="s">
        <v>686</v>
      </c>
      <c r="B66" s="361" t="n">
        <f aca="false">SUMIF(Units!D:D,"150/154 Oxford Street",Units!G:G)</f>
        <v>61433</v>
      </c>
      <c r="C66" s="362" t="n">
        <f aca="false">SUMIF(Units!D:D,"150/154 Oxford Street",Units!P:P)</f>
        <v>4275000</v>
      </c>
      <c r="D66" s="362" t="n">
        <f aca="false">SUMIF(Units!D:D,"150/154 Oxford Street",Units!S:S)</f>
        <v>2569000</v>
      </c>
      <c r="E66" s="362" t="n">
        <f aca="false">SUMIF(Units!D:D,"150/154 Oxford Street",Units!U:U)</f>
        <v>3490000</v>
      </c>
      <c r="F66" s="363" t="n">
        <f aca="false">'Bank Schedule'!AA639</f>
        <v>72800000</v>
      </c>
    </row>
    <row r="67" customFormat="false" ht="15" hidden="false" customHeight="false" outlineLevel="0" collapsed="false">
      <c r="A67" s="0" t="s">
        <v>690</v>
      </c>
      <c r="B67" s="361" t="n">
        <f aca="false">SUMIF(Units!D:D,"50 Eastcastle Street",Units!G:G)</f>
        <v>0</v>
      </c>
      <c r="C67" s="362" t="n">
        <f aca="false">SUMIF(Units!D:D,"50 Eastcastle Street",Units!P:P)</f>
        <v>0</v>
      </c>
      <c r="D67" s="362" t="n">
        <f aca="false">SUMIF(Units!D:D,"50 Eastcastle Street",Units!S:S)</f>
        <v>0</v>
      </c>
      <c r="E67" s="362" t="n">
        <f aca="false">SUMIF(Units!D:D,"50 Eastcastle Street",Units!U:U)</f>
        <v>0</v>
      </c>
    </row>
    <row r="68" customFormat="false" ht="15" hidden="false" customHeight="false" outlineLevel="0" collapsed="false">
      <c r="A68" s="0" t="s">
        <v>742</v>
      </c>
      <c r="B68" s="361" t="n">
        <f aca="false">SUMIF(Units!D:D,"Mappin House, 156-162 Oxford Street",Units!G:G)</f>
        <v>57449</v>
      </c>
      <c r="C68" s="362" t="n">
        <f aca="false">SUMIF(Units!D:D,"Mappin House, 156-162 Oxford Street",Units!P:P)</f>
        <v>3420764</v>
      </c>
      <c r="D68" s="362" t="n">
        <f aca="false">SUMIF(Units!D:D,"Mappin House, 156-162 Oxford Street",Units!S:S)</f>
        <v>4554150</v>
      </c>
      <c r="E68" s="362" t="n">
        <f aca="false">SUMIF(Units!D:D,"Mappin House, 156-162 Oxford Street",Units!U:U)</f>
        <v>5611900</v>
      </c>
      <c r="F68" s="363" t="n">
        <f aca="false">'Bank Schedule'!AA690</f>
        <v>90600000</v>
      </c>
    </row>
    <row r="69" customFormat="false" ht="15" hidden="false" customHeight="false" outlineLevel="0" collapsed="false">
      <c r="A69" s="0" t="s">
        <v>766</v>
      </c>
      <c r="B69" s="361" t="n">
        <f aca="false">SUMIF(Units!D:D,"53 Wells Street",Units!G:G)</f>
        <v>825</v>
      </c>
      <c r="C69" s="362" t="n">
        <f aca="false">SUMIF(Units!D:D,"53 Wells Street",Units!P:P)</f>
        <v>300</v>
      </c>
      <c r="D69" s="362" t="n">
        <f aca="false">SUMIF(Units!D:D,"53 Wells Street",Units!S:S)</f>
        <v>27800</v>
      </c>
      <c r="E69" s="362" t="n">
        <f aca="false">SUMIF(Units!D:D,"53 Wells Street",Units!U:U)</f>
        <v>33600</v>
      </c>
      <c r="F69" s="363" t="n">
        <f aca="false">'Bank Schedule'!AA700</f>
        <v>360000</v>
      </c>
    </row>
    <row r="70" customFormat="false" ht="15" hidden="false" customHeight="false" outlineLevel="0" collapsed="false">
      <c r="A70" s="0" t="s">
        <v>778</v>
      </c>
      <c r="B70" s="361" t="n">
        <f aca="false">SUMIF(Units!D:D,"68 Wells Street",Units!G:G)</f>
        <v>2085</v>
      </c>
      <c r="C70" s="362" t="n">
        <f aca="false">SUMIF(Units!D:D,"68 Wells Street",Units!P:P)</f>
        <v>90000</v>
      </c>
      <c r="D70" s="362" t="n">
        <f aca="false">SUMIF(Units!D:D,"68 Wells Street",Units!S:S)</f>
        <v>80000</v>
      </c>
      <c r="E70" s="362" t="n">
        <f aca="false">SUMIF(Units!D:D,"68 Wells Street",Units!U:U)</f>
        <v>90000</v>
      </c>
      <c r="F70" s="363" t="n">
        <f aca="false">'Bank Schedule'!AA704</f>
        <v>1400000</v>
      </c>
    </row>
    <row r="71" customFormat="false" ht="15" hidden="false" customHeight="false" outlineLevel="0" collapsed="false">
      <c r="A71" s="0" t="s">
        <v>783</v>
      </c>
      <c r="B71" s="361" t="n">
        <f aca="false">SUMIF(Units!D:D,"33 Eastcastle Street",Units!G:G)</f>
        <v>3122</v>
      </c>
      <c r="C71" s="362" t="n">
        <f aca="false">SUMIF(Units!D:D,"33 Eastcastle Street",Units!P:P)</f>
        <v>170000</v>
      </c>
      <c r="D71" s="362" t="n">
        <f aca="false">SUMIF(Units!D:D,"33 Eastcastle Street",Units!S:S)</f>
        <v>124100</v>
      </c>
      <c r="E71" s="362" t="n">
        <f aca="false">SUMIF(Units!D:D,"33 Eastcastle Street",Units!U:U)</f>
        <v>134000</v>
      </c>
      <c r="F71" s="363" t="n">
        <f aca="false">'Bank Schedule'!AA712</f>
        <v>1325000</v>
      </c>
    </row>
    <row r="72" customFormat="false" ht="15" hidden="false" customHeight="false" outlineLevel="0" collapsed="false">
      <c r="A72" s="0" t="s">
        <v>787</v>
      </c>
      <c r="B72" s="361" t="n">
        <f aca="false">SUMIF(Units!D:D,"Julco House, 26-28 Great Portland Street",Units!G:G)</f>
        <v>14236</v>
      </c>
      <c r="C72" s="362" t="n">
        <f aca="false">SUMIF(Units!D:D,"Julco House, 26-28 Great Portland Street",Units!P:P)</f>
        <v>888926</v>
      </c>
      <c r="D72" s="362" t="n">
        <f aca="false">SUMIF(Units!D:D,"Julco House, 26-28 Great Portland Street",Units!S:S)</f>
        <v>909360</v>
      </c>
      <c r="E72" s="362" t="n">
        <f aca="false">SUMIF(Units!D:D,"Julco House, 26-28 Great Portland Street",Units!U:U)</f>
        <v>908160</v>
      </c>
      <c r="F72" s="363" t="n">
        <f aca="false">'Bank Schedule'!AA726</f>
        <v>13500000</v>
      </c>
    </row>
    <row r="73" customFormat="false" ht="15" hidden="false" customHeight="false" outlineLevel="0" collapsed="false">
      <c r="A73" s="0" t="s">
        <v>799</v>
      </c>
      <c r="B73" s="361" t="n">
        <f aca="false">SUMIF(Units!D:D,"5 Margaret Street",Units!G:G)</f>
        <v>2598</v>
      </c>
      <c r="C73" s="362" t="n">
        <f aca="false">SUMIF(Units!D:D,"5 Margaret Street",Units!P:P)</f>
        <v>155000</v>
      </c>
      <c r="D73" s="362" t="n">
        <f aca="false">SUMIF(Units!D:D,"5 Margaret Street",Units!S:S)</f>
        <v>118500</v>
      </c>
      <c r="E73" s="362" t="n">
        <f aca="false">SUMIF(Units!D:D,"5 Margaret Street",Units!U:U)</f>
        <v>142400</v>
      </c>
      <c r="F73" s="363" t="n">
        <f aca="false">'Bank Schedule'!AA731</f>
        <v>2300000</v>
      </c>
    </row>
    <row r="74" customFormat="false" ht="15" hidden="false" customHeight="false" outlineLevel="0" collapsed="false">
      <c r="A74" s="0" t="s">
        <v>801</v>
      </c>
      <c r="B74" s="361" t="n">
        <f aca="false">SUMIF(Units!D:D,"60/62 Margaret Street",Units!G:G)</f>
        <v>19812</v>
      </c>
      <c r="C74" s="362" t="n">
        <f aca="false">SUMIF(Units!D:D,"60/62 Margaret Street",Units!P:P)</f>
        <v>729167</v>
      </c>
      <c r="D74" s="362" t="n">
        <f aca="false">SUMIF(Units!D:D,"60/62 Margaret Street",Units!S:S)</f>
        <v>1250000</v>
      </c>
      <c r="E74" s="362" t="n">
        <f aca="false">SUMIF(Units!D:D,"60/62 Margaret Street",Units!U:U)</f>
        <v>1305000</v>
      </c>
      <c r="F74" s="363" t="n">
        <f aca="false">'Bank Schedule'!AA736</f>
        <v>22350000</v>
      </c>
    </row>
    <row r="75" customFormat="false" ht="15" hidden="false" customHeight="false" outlineLevel="0" collapsed="false">
      <c r="A75" s="0" t="s">
        <v>804</v>
      </c>
      <c r="B75" s="361" t="n">
        <f aca="false">SUMIF(Units!D:D,"85 Mortimer Street",Units!G:G)</f>
        <v>2830</v>
      </c>
      <c r="C75" s="362" t="n">
        <f aca="false">SUMIF(Units!D:D,"85 Mortimer Street",Units!P:P)</f>
        <v>70000</v>
      </c>
      <c r="D75" s="362" t="n">
        <f aca="false">SUMIF(Units!D:D,"85 Mortimer Street",Units!S:S)</f>
        <v>130100</v>
      </c>
      <c r="E75" s="362" t="n">
        <f aca="false">SUMIF(Units!D:D,"85 Mortimer Street",Units!U:U)</f>
        <v>131900</v>
      </c>
      <c r="F75" s="363" t="n">
        <f aca="false">'Bank Schedule'!AA744</f>
        <v>1785000</v>
      </c>
    </row>
    <row r="76" customFormat="false" ht="15" hidden="false" customHeight="false" outlineLevel="0" collapsed="false">
      <c r="A76" s="0" t="s">
        <v>806</v>
      </c>
      <c r="B76" s="361" t="n">
        <f aca="false">SUMIF(Units!D:D,"Welbeck House, 66/67 Wells Street",Units!G:G)</f>
        <v>8908</v>
      </c>
      <c r="C76" s="362" t="n">
        <f aca="false">SUMIF(Units!D:D,"Welbeck House, 66/67 Wells Street",Units!P:P)</f>
        <v>98572</v>
      </c>
      <c r="D76" s="362" t="n">
        <f aca="false">SUMIF(Units!D:D,"Welbeck House, 66/67 Wells Street",Units!S:S)</f>
        <v>458300</v>
      </c>
      <c r="E76" s="362" t="n">
        <f aca="false">SUMIF(Units!D:D,"Welbeck House, 66/67 Wells Street",Units!U:U)</f>
        <v>461400</v>
      </c>
      <c r="F76" s="363" t="n">
        <f aca="false">'Bank Schedule'!AA759</f>
        <v>4785000</v>
      </c>
    </row>
    <row r="77" customFormat="false" ht="15" hidden="false" customHeight="false" outlineLevel="0" collapsed="false">
      <c r="A77" s="0" t="s">
        <v>816</v>
      </c>
      <c r="B77" s="361" t="n">
        <f aca="false">SUMIF(Units!D:D,"32-36 Great Portland Street",Units!G:G)</f>
        <v>13021</v>
      </c>
      <c r="C77" s="362" t="n">
        <f aca="false">SUMIF(Units!D:D,"32-36 Great Portland Street",Units!P:P)</f>
        <v>263745</v>
      </c>
      <c r="D77" s="362" t="n">
        <f aca="false">SUMIF(Units!D:D,"32-36 Great Portland Street",Units!S:S)</f>
        <v>645600</v>
      </c>
      <c r="E77" s="362" t="n">
        <f aca="false">SUMIF(Units!D:D,"32-36 Great Portland Street",Units!U:U)</f>
        <v>833100</v>
      </c>
      <c r="F77" s="363" t="n">
        <f aca="false">'Bank Schedule'!AA771</f>
        <v>12900000</v>
      </c>
    </row>
    <row r="78" customFormat="false" ht="15" hidden="false" customHeight="false" outlineLevel="0" collapsed="false">
      <c r="A78" s="0" t="s">
        <v>827</v>
      </c>
      <c r="B78" s="361" t="n">
        <f aca="false">SUMIF(Units!D:D,"184-190 Oxford Street &amp; 28/30 Market Place",Units!G:G)</f>
        <v>33375</v>
      </c>
      <c r="C78" s="362" t="n">
        <f aca="false">SUMIF(Units!D:D,"184-190 Oxford Street &amp; 28/30 Market Place",Units!P:P)</f>
        <v>2168027</v>
      </c>
      <c r="D78" s="362" t="n">
        <f aca="false">SUMIF(Units!D:D,"184-190 Oxford Street &amp; 28/30 Market Place",Units!S:S)</f>
        <v>2858200</v>
      </c>
      <c r="E78" s="362" t="n">
        <f aca="false">SUMIF(Units!D:D,"184-190 Oxford Street &amp; 28/30 Market Place",Units!U:U)</f>
        <v>3793000</v>
      </c>
      <c r="F78" s="363" t="n">
        <f aca="false">'Bank Schedule'!AA788</f>
        <v>66100000</v>
      </c>
    </row>
  </sheetData>
  <autoFilter ref="A2:F78"/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LibreOffice/25.2.7.1$Windows_X86_64 LibreOffice_project/16e8e36d1610f10597ed778c3dcb0a5aa0ed5d6f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2001-09-21T10:37:47Z</dcterms:created>
  <dc:creator>Langham Estate Management Ltd</dc:creator>
  <dc:description/>
  <dc:language>en-GB</dc:language>
  <cp:lastModifiedBy/>
  <cp:lastPrinted>2025-09-05T13:47:35Z</cp:lastPrinted>
  <dcterms:modified xsi:type="dcterms:W3CDTF">2025-12-03T22:53:43Z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